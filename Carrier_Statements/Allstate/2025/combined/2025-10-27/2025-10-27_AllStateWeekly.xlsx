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0-27-25\"/>
    </mc:Choice>
  </mc:AlternateContent>
  <xr:revisionPtr revIDLastSave="0" documentId="13_ncr:1_{D86021F1-3071-4201-BA4D-8DF3C1ED2CE4}" xr6:coauthVersionLast="47" xr6:coauthVersionMax="47" xr10:uidLastSave="{00000000-0000-0000-0000-000000000000}"/>
  <bookViews>
    <workbookView xWindow="28680" yWindow="-120" windowWidth="29040" windowHeight="16440" activeTab="6" xr2:uid="{4217C214-EE97-43FE-AFFD-315175E9A354}"/>
  </bookViews>
  <sheets>
    <sheet name="20411454 - Main Line Benefits L" sheetId="1" r:id="rId1"/>
    <sheet name="RN" sheetId="2" r:id="rId2"/>
    <sheet name="RN1" sheetId="5" r:id="rId3"/>
    <sheet name="NB" sheetId="3" r:id="rId4"/>
    <sheet name="Sheet1" sheetId="7" r:id="rId5"/>
    <sheet name="NB1" sheetId="6" r:id="rId6"/>
    <sheet name="Chargeback" sheetId="4" r:id="rId7"/>
  </sheets>
  <definedNames>
    <definedName name="_xlnm._FilterDatabase" localSheetId="1" hidden="1">RN!$A$1:$AV$869</definedName>
  </definedNames>
  <calcPr calcId="181029"/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" i="7"/>
  <c r="K27" i="7"/>
  <c r="K8" i="7"/>
  <c r="K29" i="7"/>
  <c r="K6" i="7"/>
  <c r="K53" i="7"/>
  <c r="K54" i="7"/>
  <c r="K9" i="7"/>
  <c r="K7" i="7"/>
  <c r="K44" i="7"/>
  <c r="K10" i="7"/>
  <c r="K30" i="7"/>
  <c r="K49" i="7"/>
  <c r="K31" i="7"/>
  <c r="K22" i="7"/>
  <c r="K23" i="7"/>
  <c r="K21" i="7"/>
  <c r="K55" i="7"/>
  <c r="K24" i="7"/>
  <c r="K32" i="7"/>
  <c r="K33" i="7"/>
  <c r="K13" i="7"/>
  <c r="K14" i="7"/>
  <c r="K11" i="7"/>
  <c r="K3" i="7"/>
  <c r="K34" i="7"/>
  <c r="K39" i="7"/>
  <c r="K35" i="7"/>
  <c r="K57" i="7"/>
  <c r="K17" i="7"/>
  <c r="K58" i="7"/>
  <c r="K18" i="7"/>
  <c r="K26" i="7"/>
  <c r="K59" i="7"/>
  <c r="K60" i="7"/>
  <c r="K56" i="7"/>
  <c r="K4" i="7"/>
  <c r="K36" i="7"/>
  <c r="K38" i="7"/>
  <c r="K15" i="7"/>
  <c r="K16" i="7"/>
  <c r="K45" i="7"/>
  <c r="K46" i="7"/>
  <c r="K42" i="7"/>
  <c r="K43" i="7"/>
  <c r="K2" i="7"/>
  <c r="K5" i="7"/>
  <c r="K47" i="7"/>
  <c r="K48" i="7"/>
  <c r="K37" i="7"/>
  <c r="K52" i="7"/>
  <c r="K12" i="7"/>
  <c r="K20" i="7"/>
  <c r="K50" i="7"/>
  <c r="K40" i="7"/>
  <c r="K41" i="7"/>
  <c r="K51" i="7"/>
  <c r="AA35" i="4"/>
  <c r="AA34" i="4"/>
  <c r="AA33" i="4"/>
  <c r="AA30" i="4"/>
  <c r="AA29" i="4"/>
  <c r="AA28" i="4"/>
  <c r="AA25" i="4"/>
  <c r="AB23" i="4"/>
  <c r="AA23" i="4"/>
  <c r="AA20" i="4"/>
  <c r="AA21" i="4"/>
  <c r="AA19" i="4"/>
  <c r="AA18" i="4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2" i="6"/>
  <c r="L4" i="6"/>
  <c r="L26" i="6"/>
  <c r="L27" i="6"/>
  <c r="L18" i="6"/>
  <c r="L5" i="6"/>
  <c r="L22" i="6"/>
  <c r="L8" i="6"/>
  <c r="L29" i="6"/>
  <c r="L2" i="6"/>
  <c r="L3" i="6"/>
  <c r="L6" i="6"/>
  <c r="L14" i="6"/>
  <c r="L7" i="6"/>
  <c r="L31" i="6"/>
  <c r="L32" i="6"/>
  <c r="L30" i="6"/>
  <c r="L33" i="6"/>
  <c r="L28" i="6"/>
  <c r="L10" i="6"/>
  <c r="L11" i="6"/>
  <c r="L19" i="6"/>
  <c r="L17" i="6"/>
  <c r="L15" i="6"/>
  <c r="L16" i="6"/>
  <c r="L20" i="6"/>
  <c r="L21" i="6"/>
  <c r="L9" i="6"/>
  <c r="L25" i="6"/>
  <c r="L23" i="6"/>
  <c r="L13" i="6"/>
  <c r="L12" i="6"/>
  <c r="L24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2" i="5"/>
  <c r="P554" i="5"/>
  <c r="P206" i="5"/>
  <c r="P299" i="5"/>
  <c r="P221" i="5"/>
  <c r="P300" i="5"/>
  <c r="P96" i="5"/>
  <c r="P416" i="5"/>
  <c r="P388" i="5"/>
  <c r="P131" i="5"/>
  <c r="P134" i="5"/>
  <c r="P51" i="5"/>
  <c r="P604" i="5"/>
  <c r="P329" i="5"/>
  <c r="P346" i="5"/>
  <c r="P133" i="5"/>
  <c r="P356" i="5"/>
  <c r="P605" i="5"/>
  <c r="P589" i="5"/>
  <c r="P357" i="5"/>
  <c r="P352" i="5"/>
  <c r="P178" i="5"/>
  <c r="P62" i="5"/>
  <c r="P135" i="5"/>
  <c r="P136" i="5"/>
  <c r="P642" i="5"/>
  <c r="P629" i="5"/>
  <c r="P630" i="5"/>
  <c r="P606" i="5"/>
  <c r="P607" i="5"/>
  <c r="P417" i="5"/>
  <c r="P418" i="5"/>
  <c r="P389" i="5"/>
  <c r="P390" i="5"/>
  <c r="P358" i="5"/>
  <c r="P359" i="5"/>
  <c r="P360" i="5"/>
  <c r="P330" i="5"/>
  <c r="P361" i="5"/>
  <c r="P52" i="5"/>
  <c r="P331" i="5"/>
  <c r="P608" i="5"/>
  <c r="P353" i="5"/>
  <c r="P609" i="5"/>
  <c r="P179" i="5"/>
  <c r="P236" i="5"/>
  <c r="P63" i="5"/>
  <c r="P798" i="5"/>
  <c r="P362" i="5"/>
  <c r="P92" i="5"/>
  <c r="P69" i="5"/>
  <c r="P631" i="5"/>
  <c r="P391" i="5"/>
  <c r="P392" i="5"/>
  <c r="P393" i="5"/>
  <c r="P332" i="5"/>
  <c r="P419" i="5"/>
  <c r="P420" i="5"/>
  <c r="P394" i="5"/>
  <c r="P333" i="5"/>
  <c r="P324" i="5"/>
  <c r="P53" i="5"/>
  <c r="P363" i="5"/>
  <c r="P610" i="5"/>
  <c r="P112" i="5"/>
  <c r="P190" i="5"/>
  <c r="P180" i="5"/>
  <c r="P237" i="5"/>
  <c r="P64" i="5"/>
  <c r="P54" i="5"/>
  <c r="P622" i="5"/>
  <c r="P383" i="5"/>
  <c r="P415" i="5"/>
  <c r="P364" i="5"/>
  <c r="P334" i="5"/>
  <c r="P335" i="5"/>
  <c r="P590" i="5"/>
  <c r="P70" i="5"/>
  <c r="P643" i="5"/>
  <c r="P421" i="5"/>
  <c r="P395" i="5"/>
  <c r="P396" i="5"/>
  <c r="P397" i="5"/>
  <c r="P365" i="5"/>
  <c r="P611" i="5"/>
  <c r="P238" i="5"/>
  <c r="P191" i="5"/>
  <c r="P225" i="5"/>
  <c r="P302" i="5"/>
  <c r="P555" i="5"/>
  <c r="P422" i="5"/>
  <c r="P89" i="5"/>
  <c r="P132" i="5"/>
  <c r="P108" i="5"/>
  <c r="P91" i="5"/>
  <c r="P110" i="5"/>
  <c r="P591" i="5"/>
  <c r="P612" i="5"/>
  <c r="P592" i="5"/>
  <c r="P593" i="5"/>
  <c r="P325" i="5"/>
  <c r="P594" i="5"/>
  <c r="P595" i="5"/>
  <c r="P113" i="5"/>
  <c r="P366" i="5"/>
  <c r="P367" i="5"/>
  <c r="P235" i="5"/>
  <c r="P336" i="5"/>
  <c r="P337" i="5"/>
  <c r="P338" i="5"/>
  <c r="P339" i="5"/>
  <c r="P340" i="5"/>
  <c r="P90" i="5"/>
  <c r="P139" i="5"/>
  <c r="P97" i="5"/>
  <c r="P98" i="5"/>
  <c r="P99" i="5"/>
  <c r="P100" i="5"/>
  <c r="P93" i="5"/>
  <c r="P94" i="5"/>
  <c r="P95" i="5"/>
  <c r="P242" i="5"/>
  <c r="P240" i="5"/>
  <c r="P241" i="5"/>
  <c r="P441" i="5"/>
  <c r="P2" i="5"/>
  <c r="P644" i="5"/>
  <c r="P645" i="5"/>
  <c r="P646" i="5"/>
  <c r="P647" i="5"/>
  <c r="P632" i="5"/>
  <c r="P423" i="5"/>
  <c r="P424" i="5"/>
  <c r="P425" i="5"/>
  <c r="P426" i="5"/>
  <c r="P427" i="5"/>
  <c r="P428" i="5"/>
  <c r="P429" i="5"/>
  <c r="P398" i="5"/>
  <c r="P399" i="5"/>
  <c r="P400" i="5"/>
  <c r="P137" i="5"/>
  <c r="P239" i="5"/>
  <c r="P192" i="5"/>
  <c r="P111" i="5"/>
  <c r="P368" i="5"/>
  <c r="P369" i="5"/>
  <c r="P341" i="5"/>
  <c r="P613" i="5"/>
  <c r="P173" i="5"/>
  <c r="P204" i="5"/>
  <c r="P633" i="5"/>
  <c r="P634" i="5"/>
  <c r="P614" i="5"/>
  <c r="P615" i="5"/>
  <c r="P401" i="5"/>
  <c r="P370" i="5"/>
  <c r="P371" i="5"/>
  <c r="P372" i="5"/>
  <c r="P616" i="5"/>
  <c r="P373" i="5"/>
  <c r="P326" i="5"/>
  <c r="P585" i="5"/>
  <c r="P226" i="5"/>
  <c r="P744" i="5"/>
  <c r="P741" i="5"/>
  <c r="P742" i="5"/>
  <c r="P354" i="5"/>
  <c r="P347" i="5"/>
  <c r="P348" i="5"/>
  <c r="P601" i="5"/>
  <c r="P599" i="5"/>
  <c r="P617" i="5"/>
  <c r="P602" i="5"/>
  <c r="P635" i="5"/>
  <c r="P623" i="5"/>
  <c r="P624" i="5"/>
  <c r="P402" i="5"/>
  <c r="P403" i="5"/>
  <c r="P384" i="5"/>
  <c r="P349" i="5"/>
  <c r="P618" i="5"/>
  <c r="P374" i="5"/>
  <c r="P793" i="5"/>
  <c r="P114" i="5"/>
  <c r="P342" i="5"/>
  <c r="P553" i="5"/>
  <c r="P736" i="5"/>
  <c r="P71" i="5"/>
  <c r="P430" i="5"/>
  <c r="P648" i="5"/>
  <c r="P649" i="5"/>
  <c r="P636" i="5"/>
  <c r="P431" i="5"/>
  <c r="P404" i="5"/>
  <c r="P405" i="5"/>
  <c r="P406" i="5"/>
  <c r="P375" i="5"/>
  <c r="P376" i="5"/>
  <c r="P792" i="5"/>
  <c r="P350" i="5"/>
  <c r="P443" i="5"/>
  <c r="P442" i="5"/>
  <c r="P640" i="5"/>
  <c r="P432" i="5"/>
  <c r="P407" i="5"/>
  <c r="P637" i="5"/>
  <c r="P408" i="5"/>
  <c r="P799" i="5"/>
  <c r="P172" i="5"/>
  <c r="P650" i="5"/>
  <c r="P834" i="5"/>
  <c r="P651" i="5"/>
  <c r="P50" i="5"/>
  <c r="P355" i="5"/>
  <c r="P586" i="5"/>
  <c r="P327" i="5"/>
  <c r="P377" i="5"/>
  <c r="P308" i="5"/>
  <c r="P343" i="5"/>
  <c r="P596" i="5"/>
  <c r="P619" i="5"/>
  <c r="P177" i="5"/>
  <c r="P205" i="5"/>
  <c r="P61" i="5"/>
  <c r="P652" i="5"/>
  <c r="P433" i="5"/>
  <c r="P328" i="5"/>
  <c r="P344" i="5"/>
  <c r="P597" i="5"/>
  <c r="P109" i="5"/>
  <c r="P598" i="5"/>
  <c r="P587" i="5"/>
  <c r="P59" i="5"/>
  <c r="P345" i="5"/>
  <c r="P829" i="5"/>
  <c r="P138" i="5"/>
  <c r="P68" i="5"/>
  <c r="P638" i="5"/>
  <c r="P639" i="5"/>
  <c r="P625" i="5"/>
  <c r="P626" i="5"/>
  <c r="P627" i="5"/>
  <c r="P628" i="5"/>
  <c r="P434" i="5"/>
  <c r="P435" i="5"/>
  <c r="P436" i="5"/>
  <c r="P437" i="5"/>
  <c r="P438" i="5"/>
  <c r="P409" i="5"/>
  <c r="P410" i="5"/>
  <c r="P385" i="5"/>
  <c r="P386" i="5"/>
  <c r="P795" i="5"/>
  <c r="P387" i="5"/>
  <c r="P796" i="5"/>
  <c r="P603" i="5"/>
  <c r="P857" i="5"/>
  <c r="P740" i="5"/>
  <c r="P743" i="5"/>
  <c r="P739" i="5"/>
  <c r="P378" i="5"/>
  <c r="P66" i="5"/>
  <c r="P620" i="5"/>
  <c r="P379" i="5"/>
  <c r="P380" i="5"/>
  <c r="P856" i="5"/>
  <c r="P72" i="5"/>
  <c r="P411" i="5"/>
  <c r="P791" i="5"/>
  <c r="P588" i="5"/>
  <c r="P790" i="5"/>
  <c r="P737" i="5"/>
  <c r="P738" i="5"/>
  <c r="P653" i="5"/>
  <c r="P641" i="5"/>
  <c r="P621" i="5"/>
  <c r="P412" i="5"/>
  <c r="P800" i="5"/>
  <c r="P413" i="5"/>
  <c r="P414" i="5"/>
  <c r="P797" i="5"/>
  <c r="P794" i="5"/>
  <c r="P381" i="5"/>
  <c r="P351" i="5"/>
  <c r="P600" i="5"/>
  <c r="P67" i="5"/>
  <c r="P801" i="5"/>
  <c r="P654" i="5"/>
  <c r="P439" i="5"/>
  <c r="P382" i="5"/>
  <c r="P101" i="5"/>
  <c r="P655" i="5"/>
  <c r="P440" i="5"/>
  <c r="P140" i="5"/>
  <c r="P141" i="5"/>
  <c r="P142" i="5"/>
  <c r="P143" i="5"/>
  <c r="P3" i="5"/>
  <c r="P4" i="5"/>
  <c r="P189" i="5"/>
  <c r="P830" i="5"/>
  <c r="P447" i="5"/>
  <c r="P657" i="5"/>
  <c r="P835" i="5"/>
  <c r="P166" i="5"/>
  <c r="P165" i="5"/>
  <c r="P40" i="5"/>
  <c r="P41" i="5"/>
  <c r="P38" i="5"/>
  <c r="P818" i="5"/>
  <c r="P39" i="5"/>
  <c r="P36" i="5"/>
  <c r="P37" i="5"/>
  <c r="P35" i="5"/>
  <c r="P814" i="5"/>
  <c r="P783" i="5"/>
  <c r="P48" i="5"/>
  <c r="P838" i="5"/>
  <c r="P839" i="5"/>
  <c r="P49" i="5"/>
  <c r="P680" i="5"/>
  <c r="P232" i="5"/>
  <c r="P227" i="5"/>
  <c r="P866" i="5"/>
  <c r="P861" i="5"/>
  <c r="P286" i="5"/>
  <c r="P287" i="5"/>
  <c r="P288" i="5"/>
  <c r="P562" i="5"/>
  <c r="P781" i="5"/>
  <c r="P782" i="5"/>
  <c r="P778" i="5"/>
  <c r="P774" i="5"/>
  <c r="P768" i="5"/>
  <c r="P769" i="5"/>
  <c r="P754" i="5"/>
  <c r="P755" i="5"/>
  <c r="P298" i="5"/>
  <c r="P297" i="5"/>
  <c r="P295" i="5"/>
  <c r="P296" i="5"/>
  <c r="P849" i="5"/>
  <c r="P827" i="5"/>
  <c r="P840" i="5"/>
  <c r="P710" i="5"/>
  <c r="P681" i="5"/>
  <c r="P16" i="5"/>
  <c r="P448" i="5"/>
  <c r="P682" i="5"/>
  <c r="P488" i="5"/>
  <c r="P694" i="5"/>
  <c r="P524" i="5"/>
  <c r="P511" i="5"/>
  <c r="P809" i="5"/>
  <c r="P512" i="5"/>
  <c r="P810" i="5"/>
  <c r="P836" i="5"/>
  <c r="P658" i="5"/>
  <c r="P243" i="5"/>
  <c r="P659" i="5"/>
  <c r="P244" i="5"/>
  <c r="P249" i="5"/>
  <c r="P683" i="5"/>
  <c r="P195" i="5"/>
  <c r="P252" i="5"/>
  <c r="P253" i="5"/>
  <c r="P695" i="5"/>
  <c r="P11" i="5"/>
  <c r="P850" i="5"/>
  <c r="P258" i="5"/>
  <c r="P259" i="5"/>
  <c r="P260" i="5"/>
  <c r="P261" i="5"/>
  <c r="P262" i="5"/>
  <c r="P196" i="5"/>
  <c r="P197" i="5"/>
  <c r="P711" i="5"/>
  <c r="P528" i="5"/>
  <c r="P851" i="5"/>
  <c r="P263" i="5"/>
  <c r="P858" i="5"/>
  <c r="P859" i="5"/>
  <c r="P860" i="5"/>
  <c r="P268" i="5"/>
  <c r="P269" i="5"/>
  <c r="P270" i="5"/>
  <c r="P271" i="5"/>
  <c r="P272" i="5"/>
  <c r="P273" i="5"/>
  <c r="P274" i="5"/>
  <c r="P275" i="5"/>
  <c r="P276" i="5"/>
  <c r="P277" i="5"/>
  <c r="P25" i="5"/>
  <c r="P26" i="5"/>
  <c r="P556" i="5"/>
  <c r="P199" i="5"/>
  <c r="P200" i="5"/>
  <c r="P201" i="5"/>
  <c r="P202" i="5"/>
  <c r="P745" i="5"/>
  <c r="P746" i="5"/>
  <c r="P747" i="5"/>
  <c r="P748" i="5"/>
  <c r="P279" i="5"/>
  <c r="P280" i="5"/>
  <c r="P281" i="5"/>
  <c r="P282" i="5"/>
  <c r="P283" i="5"/>
  <c r="P284" i="5"/>
  <c r="P285" i="5"/>
  <c r="P176" i="5"/>
  <c r="P756" i="5"/>
  <c r="P757" i="5"/>
  <c r="P758" i="5"/>
  <c r="P759" i="5"/>
  <c r="P863" i="5"/>
  <c r="P864" i="5"/>
  <c r="P289" i="5"/>
  <c r="P290" i="5"/>
  <c r="P291" i="5"/>
  <c r="P292" i="5"/>
  <c r="P293" i="5"/>
  <c r="P770" i="5"/>
  <c r="P771" i="5"/>
  <c r="P116" i="5"/>
  <c r="P449" i="5"/>
  <c r="P450" i="5"/>
  <c r="P489" i="5"/>
  <c r="P660" i="5"/>
  <c r="P444" i="5"/>
  <c r="P451" i="5"/>
  <c r="P678" i="5"/>
  <c r="P684" i="5"/>
  <c r="P115" i="5"/>
  <c r="P117" i="5"/>
  <c r="P806" i="5"/>
  <c r="P127" i="5"/>
  <c r="P483" i="5"/>
  <c r="P128" i="5"/>
  <c r="P490" i="5"/>
  <c r="P685" i="5"/>
  <c r="P686" i="5"/>
  <c r="P118" i="5"/>
  <c r="P309" i="5"/>
  <c r="P661" i="5"/>
  <c r="P452" i="5"/>
  <c r="P216" i="5"/>
  <c r="P760" i="5"/>
  <c r="P231" i="5"/>
  <c r="P230" i="5"/>
  <c r="P228" i="5"/>
  <c r="P772" i="5"/>
  <c r="P224" i="5"/>
  <c r="P696" i="5"/>
  <c r="P697" i="5"/>
  <c r="P453" i="5"/>
  <c r="P454" i="5"/>
  <c r="P491" i="5"/>
  <c r="P492" i="5"/>
  <c r="P484" i="5"/>
  <c r="P687" i="5"/>
  <c r="P513" i="5"/>
  <c r="P493" i="5"/>
  <c r="P171" i="5"/>
  <c r="P169" i="5"/>
  <c r="P168" i="5"/>
  <c r="P88" i="5"/>
  <c r="P164" i="5"/>
  <c r="P823" i="5"/>
  <c r="P45" i="5"/>
  <c r="P822" i="5"/>
  <c r="P821" i="5"/>
  <c r="P820" i="5"/>
  <c r="P819" i="5"/>
  <c r="P815" i="5"/>
  <c r="P572" i="5"/>
  <c r="P813" i="5"/>
  <c r="P557" i="5"/>
  <c r="P789" i="5"/>
  <c r="P784" i="5"/>
  <c r="P779" i="5"/>
  <c r="P81" i="5"/>
  <c r="P129" i="5"/>
  <c r="P529" i="5"/>
  <c r="P514" i="5"/>
  <c r="P811" i="5"/>
  <c r="P807" i="5"/>
  <c r="P455" i="5"/>
  <c r="P456" i="5"/>
  <c r="P662" i="5"/>
  <c r="P712" i="5"/>
  <c r="P713" i="5"/>
  <c r="P714" i="5"/>
  <c r="P715" i="5"/>
  <c r="P716" i="5"/>
  <c r="P698" i="5"/>
  <c r="P699" i="5"/>
  <c r="P700" i="5"/>
  <c r="P530" i="5"/>
  <c r="P531" i="5"/>
  <c r="P532" i="5"/>
  <c r="P533" i="5"/>
  <c r="P534" i="5"/>
  <c r="P535" i="5"/>
  <c r="P515" i="5"/>
  <c r="P516" i="5"/>
  <c r="P47" i="5"/>
  <c r="P445" i="5"/>
  <c r="P446" i="5"/>
  <c r="P656" i="5"/>
  <c r="P457" i="5"/>
  <c r="P144" i="5"/>
  <c r="P663" i="5"/>
  <c r="P458" i="5"/>
  <c r="P459" i="5"/>
  <c r="P245" i="5"/>
  <c r="P126" i="5"/>
  <c r="P175" i="5"/>
  <c r="P223" i="5"/>
  <c r="P485" i="5"/>
  <c r="P679" i="5"/>
  <c r="P267" i="5"/>
  <c r="P198" i="5"/>
  <c r="P733" i="5"/>
  <c r="P278" i="5"/>
  <c r="P558" i="5"/>
  <c r="P203" i="5"/>
  <c r="P559" i="5"/>
  <c r="P749" i="5"/>
  <c r="P561" i="5"/>
  <c r="P233" i="5"/>
  <c r="P869" i="5"/>
  <c r="P868" i="5"/>
  <c r="P865" i="5"/>
  <c r="P577" i="5"/>
  <c r="P32" i="5"/>
  <c r="P568" i="5"/>
  <c r="P560" i="5"/>
  <c r="P780" i="5"/>
  <c r="P750" i="5"/>
  <c r="P844" i="5"/>
  <c r="P460" i="5"/>
  <c r="P55" i="5"/>
  <c r="P461" i="5"/>
  <c r="P664" i="5"/>
  <c r="P665" i="5"/>
  <c r="P666" i="5"/>
  <c r="P462" i="5"/>
  <c r="P486" i="5"/>
  <c r="P181" i="5"/>
  <c r="P65" i="5"/>
  <c r="P303" i="5"/>
  <c r="P463" i="5"/>
  <c r="P304" i="5"/>
  <c r="P464" i="5"/>
  <c r="P119" i="5"/>
  <c r="P667" i="5"/>
  <c r="P73" i="5"/>
  <c r="P802" i="5"/>
  <c r="P668" i="5"/>
  <c r="P120" i="5"/>
  <c r="P184" i="5"/>
  <c r="P185" i="5"/>
  <c r="P465" i="5"/>
  <c r="P305" i="5"/>
  <c r="P186" i="5"/>
  <c r="P301" i="5"/>
  <c r="P294" i="5"/>
  <c r="P773" i="5"/>
  <c r="P855" i="5"/>
  <c r="P852" i="5"/>
  <c r="P853" i="5"/>
  <c r="P854" i="5"/>
  <c r="P845" i="5"/>
  <c r="P846" i="5"/>
  <c r="P847" i="5"/>
  <c r="P841" i="5"/>
  <c r="P266" i="5"/>
  <c r="P264" i="5"/>
  <c r="P265" i="5"/>
  <c r="P254" i="5"/>
  <c r="P255" i="5"/>
  <c r="P256" i="5"/>
  <c r="P257" i="5"/>
  <c r="P250" i="5"/>
  <c r="P251" i="5"/>
  <c r="P24" i="5"/>
  <c r="P731" i="5"/>
  <c r="P717" i="5"/>
  <c r="P718" i="5"/>
  <c r="P688" i="5"/>
  <c r="P12" i="5"/>
  <c r="P170" i="5"/>
  <c r="P167" i="5"/>
  <c r="P583" i="5"/>
  <c r="P46" i="5"/>
  <c r="P584" i="5"/>
  <c r="P578" i="5"/>
  <c r="P42" i="5"/>
  <c r="P579" i="5"/>
  <c r="P580" i="5"/>
  <c r="P43" i="5"/>
  <c r="P581" i="5"/>
  <c r="P44" i="5"/>
  <c r="P582" i="5"/>
  <c r="P567" i="5"/>
  <c r="P183" i="5"/>
  <c r="P785" i="5"/>
  <c r="P786" i="5"/>
  <c r="P787" i="5"/>
  <c r="P788" i="5"/>
  <c r="P466" i="5"/>
  <c r="P669" i="5"/>
  <c r="P74" i="5"/>
  <c r="P151" i="5"/>
  <c r="P152" i="5"/>
  <c r="P145" i="5"/>
  <c r="P146" i="5"/>
  <c r="P153" i="5"/>
  <c r="P76" i="5"/>
  <c r="P467" i="5"/>
  <c r="P803" i="5"/>
  <c r="P121" i="5"/>
  <c r="P122" i="5"/>
  <c r="P468" i="5"/>
  <c r="P469" i="5"/>
  <c r="P494" i="5"/>
  <c r="P470" i="5"/>
  <c r="P495" i="5"/>
  <c r="P471" i="5"/>
  <c r="P320" i="5"/>
  <c r="P321" i="5"/>
  <c r="P217" i="5"/>
  <c r="P218" i="5"/>
  <c r="P82" i="5"/>
  <c r="P161" i="5"/>
  <c r="P83" i="5"/>
  <c r="P159" i="5"/>
  <c r="P154" i="5"/>
  <c r="P701" i="5"/>
  <c r="P536" i="5"/>
  <c r="P537" i="5"/>
  <c r="P538" i="5"/>
  <c r="P517" i="5"/>
  <c r="P496" i="5"/>
  <c r="P552" i="5"/>
  <c r="P734" i="5"/>
  <c r="P735" i="5"/>
  <c r="P497" i="5"/>
  <c r="P147" i="5"/>
  <c r="P5" i="5"/>
  <c r="P148" i="5"/>
  <c r="P174" i="5"/>
  <c r="P848" i="5"/>
  <c r="P155" i="5"/>
  <c r="P702" i="5"/>
  <c r="P812" i="5"/>
  <c r="P13" i="5"/>
  <c r="P7" i="5"/>
  <c r="P805" i="5"/>
  <c r="P310" i="5"/>
  <c r="P498" i="5"/>
  <c r="P832" i="5"/>
  <c r="P472" i="5"/>
  <c r="P473" i="5"/>
  <c r="P474" i="5"/>
  <c r="P475" i="5"/>
  <c r="P130" i="5"/>
  <c r="P499" i="5"/>
  <c r="P123" i="5"/>
  <c r="P149" i="5"/>
  <c r="P476" i="5"/>
  <c r="P477" i="5"/>
  <c r="P478" i="5"/>
  <c r="P60" i="5"/>
  <c r="P124" i="5"/>
  <c r="P500" i="5"/>
  <c r="P837" i="5"/>
  <c r="P842" i="5"/>
  <c r="P501" i="5"/>
  <c r="P479" i="5"/>
  <c r="P689" i="5"/>
  <c r="P125" i="5"/>
  <c r="P77" i="5"/>
  <c r="P502" i="5"/>
  <c r="P690" i="5"/>
  <c r="P670" i="5"/>
  <c r="P503" i="5"/>
  <c r="P671" i="5"/>
  <c r="P504" i="5"/>
  <c r="P156" i="5"/>
  <c r="P691" i="5"/>
  <c r="P672" i="5"/>
  <c r="P505" i="5"/>
  <c r="P6" i="5"/>
  <c r="P193" i="5"/>
  <c r="P246" i="5"/>
  <c r="P207" i="5"/>
  <c r="P323" i="5"/>
  <c r="P322" i="5"/>
  <c r="P234" i="5"/>
  <c r="P229" i="5"/>
  <c r="P867" i="5"/>
  <c r="P87" i="5"/>
  <c r="P86" i="5"/>
  <c r="P106" i="5"/>
  <c r="P107" i="5"/>
  <c r="P576" i="5"/>
  <c r="P575" i="5"/>
  <c r="P816" i="5"/>
  <c r="P817" i="5"/>
  <c r="P574" i="5"/>
  <c r="P573" i="5"/>
  <c r="P34" i="5"/>
  <c r="P571" i="5"/>
  <c r="P33" i="5"/>
  <c r="P30" i="5"/>
  <c r="P569" i="5"/>
  <c r="P570" i="5"/>
  <c r="P31" i="5"/>
  <c r="P563" i="5"/>
  <c r="P564" i="5"/>
  <c r="P27" i="5"/>
  <c r="P565" i="5"/>
  <c r="P28" i="5"/>
  <c r="P566" i="5"/>
  <c r="P220" i="5"/>
  <c r="P219" i="5"/>
  <c r="P777" i="5"/>
  <c r="P775" i="5"/>
  <c r="P776" i="5"/>
  <c r="P761" i="5"/>
  <c r="P762" i="5"/>
  <c r="P753" i="5"/>
  <c r="P751" i="5"/>
  <c r="P312" i="5"/>
  <c r="P306" i="5"/>
  <c r="P313" i="5"/>
  <c r="P314" i="5"/>
  <c r="P315" i="5"/>
  <c r="P307" i="5"/>
  <c r="P316" i="5"/>
  <c r="P317" i="5"/>
  <c r="P318" i="5"/>
  <c r="P319" i="5"/>
  <c r="P828" i="5"/>
  <c r="P833" i="5"/>
  <c r="P826" i="5"/>
  <c r="P843" i="5"/>
  <c r="P84" i="5"/>
  <c r="P104" i="5"/>
  <c r="P105" i="5"/>
  <c r="P162" i="5"/>
  <c r="P85" i="5"/>
  <c r="P163" i="5"/>
  <c r="P160" i="5"/>
  <c r="P102" i="5"/>
  <c r="P103" i="5"/>
  <c r="P78" i="5"/>
  <c r="P157" i="5"/>
  <c r="P79" i="5"/>
  <c r="P158" i="5"/>
  <c r="P58" i="5"/>
  <c r="P539" i="5"/>
  <c r="P551" i="5"/>
  <c r="P540" i="5"/>
  <c r="P17" i="5"/>
  <c r="P18" i="5"/>
  <c r="P541" i="5"/>
  <c r="P75" i="5"/>
  <c r="P150" i="5"/>
  <c r="P208" i="5"/>
  <c r="P187" i="5"/>
  <c r="P209" i="5"/>
  <c r="P210" i="5"/>
  <c r="P211" i="5"/>
  <c r="P188" i="5"/>
  <c r="P212" i="5"/>
  <c r="P213" i="5"/>
  <c r="P214" i="5"/>
  <c r="P215" i="5"/>
  <c r="P182" i="5"/>
  <c r="P719" i="5"/>
  <c r="P720" i="5"/>
  <c r="P732" i="5"/>
  <c r="P721" i="5"/>
  <c r="P722" i="5"/>
  <c r="P723" i="5"/>
  <c r="P724" i="5"/>
  <c r="P725" i="5"/>
  <c r="P726" i="5"/>
  <c r="P727" i="5"/>
  <c r="P708" i="5"/>
  <c r="P709" i="5"/>
  <c r="P703" i="5"/>
  <c r="P704" i="5"/>
  <c r="P705" i="5"/>
  <c r="P706" i="5"/>
  <c r="P692" i="5"/>
  <c r="P19" i="5"/>
  <c r="P542" i="5"/>
  <c r="P543" i="5"/>
  <c r="P20" i="5"/>
  <c r="P544" i="5"/>
  <c r="P21" i="5"/>
  <c r="P545" i="5"/>
  <c r="P22" i="5"/>
  <c r="P546" i="5"/>
  <c r="P547" i="5"/>
  <c r="P23" i="5"/>
  <c r="P548" i="5"/>
  <c r="P518" i="5"/>
  <c r="P525" i="5"/>
  <c r="P526" i="5"/>
  <c r="P527" i="5"/>
  <c r="P519" i="5"/>
  <c r="P520" i="5"/>
  <c r="P14" i="5"/>
  <c r="P15" i="5"/>
  <c r="P521" i="5"/>
  <c r="P522" i="5"/>
  <c r="P506" i="5"/>
  <c r="P8" i="5"/>
  <c r="P507" i="5"/>
  <c r="P9" i="5"/>
  <c r="P508" i="5"/>
  <c r="P10" i="5"/>
  <c r="P509" i="5"/>
  <c r="P808" i="5"/>
  <c r="P487" i="5"/>
  <c r="P804" i="5"/>
  <c r="P831" i="5"/>
  <c r="P247" i="5"/>
  <c r="P56" i="5"/>
  <c r="P57" i="5"/>
  <c r="P673" i="5"/>
  <c r="P824" i="5"/>
  <c r="P825" i="5"/>
  <c r="P248" i="5"/>
  <c r="P674" i="5"/>
  <c r="P194" i="5"/>
  <c r="P693" i="5"/>
  <c r="P222" i="5"/>
  <c r="P675" i="5"/>
  <c r="P510" i="5"/>
  <c r="P480" i="5"/>
  <c r="P676" i="5"/>
  <c r="P481" i="5"/>
  <c r="P80" i="5"/>
  <c r="P482" i="5"/>
  <c r="P677" i="5"/>
  <c r="P728" i="5"/>
  <c r="P729" i="5"/>
  <c r="P707" i="5"/>
  <c r="P549" i="5"/>
  <c r="P550" i="5"/>
  <c r="P523" i="5"/>
  <c r="P862" i="5"/>
  <c r="P29" i="5"/>
  <c r="P763" i="5"/>
  <c r="P764" i="5"/>
  <c r="P765" i="5"/>
  <c r="P766" i="5"/>
  <c r="P767" i="5"/>
  <c r="P752" i="5"/>
  <c r="P730" i="5"/>
  <c r="P311" i="5"/>
  <c r="K730" i="5"/>
  <c r="K74" i="5"/>
  <c r="K111" i="5"/>
  <c r="K460" i="5"/>
  <c r="K349" i="5"/>
  <c r="K131" i="5"/>
  <c r="K328" i="5"/>
  <c r="K134" i="5"/>
  <c r="K151" i="5"/>
  <c r="K50" i="5"/>
  <c r="K141" i="5"/>
  <c r="K310" i="5"/>
  <c r="K152" i="5"/>
  <c r="K355" i="5"/>
  <c r="K126" i="5"/>
  <c r="K344" i="5"/>
  <c r="K145" i="5"/>
  <c r="K146" i="5"/>
  <c r="K114" i="5"/>
  <c r="K118" i="5"/>
  <c r="K309" i="5"/>
  <c r="K498" i="5"/>
  <c r="K153" i="5"/>
  <c r="K586" i="5"/>
  <c r="K333" i="5"/>
  <c r="K76" i="5"/>
  <c r="K378" i="5"/>
  <c r="K137" i="5"/>
  <c r="K832" i="5"/>
  <c r="K324" i="5"/>
  <c r="K51" i="5"/>
  <c r="K472" i="5"/>
  <c r="K473" i="5"/>
  <c r="K474" i="5"/>
  <c r="K330" i="5"/>
  <c r="K361" i="5"/>
  <c r="K618" i="5"/>
  <c r="K604" i="5"/>
  <c r="K142" i="5"/>
  <c r="K365" i="5"/>
  <c r="K475" i="5"/>
  <c r="K374" i="5"/>
  <c r="K455" i="5"/>
  <c r="K143" i="5"/>
  <c r="K329" i="5"/>
  <c r="K346" i="5"/>
  <c r="K116" i="5"/>
  <c r="K130" i="5"/>
  <c r="K499" i="5"/>
  <c r="K453" i="5"/>
  <c r="K123" i="5"/>
  <c r="K52" i="5"/>
  <c r="K597" i="5"/>
  <c r="K66" i="5"/>
  <c r="K364" i="5"/>
  <c r="K791" i="5"/>
  <c r="K467" i="5"/>
  <c r="K803" i="5"/>
  <c r="K804" i="5"/>
  <c r="K149" i="5"/>
  <c r="K109" i="5"/>
  <c r="K327" i="5"/>
  <c r="K368" i="5"/>
  <c r="K48" i="5"/>
  <c r="K693" i="5"/>
  <c r="K133" i="5"/>
  <c r="K121" i="5"/>
  <c r="K377" i="5"/>
  <c r="K3" i="5"/>
  <c r="K80" i="5"/>
  <c r="K449" i="5"/>
  <c r="K369" i="5"/>
  <c r="K375" i="5"/>
  <c r="K53" i="5"/>
  <c r="K122" i="5"/>
  <c r="K468" i="5"/>
  <c r="K331" i="5"/>
  <c r="K55" i="5"/>
  <c r="K144" i="5"/>
  <c r="K476" i="5"/>
  <c r="K303" i="5"/>
  <c r="K147" i="5"/>
  <c r="K450" i="5"/>
  <c r="K334" i="5"/>
  <c r="K454" i="5"/>
  <c r="K466" i="5"/>
  <c r="K463" i="5"/>
  <c r="K831" i="5"/>
  <c r="K661" i="5"/>
  <c r="K308" i="5"/>
  <c r="K838" i="5"/>
  <c r="K836" i="5"/>
  <c r="K608" i="5"/>
  <c r="K793" i="5"/>
  <c r="K477" i="5"/>
  <c r="K478" i="5"/>
  <c r="K304" i="5"/>
  <c r="K461" i="5"/>
  <c r="K342" i="5"/>
  <c r="K247" i="5"/>
  <c r="K222" i="5"/>
  <c r="K353" i="5"/>
  <c r="K60" i="5"/>
  <c r="K5" i="5"/>
  <c r="K89" i="5"/>
  <c r="K464" i="5"/>
  <c r="K124" i="5"/>
  <c r="K500" i="5"/>
  <c r="K491" i="5"/>
  <c r="K376" i="5"/>
  <c r="K132" i="5"/>
  <c r="K469" i="5"/>
  <c r="K332" i="5"/>
  <c r="K56" i="5"/>
  <c r="K57" i="5"/>
  <c r="K354" i="5"/>
  <c r="K494" i="5"/>
  <c r="K249" i="5"/>
  <c r="K673" i="5"/>
  <c r="K837" i="5"/>
  <c r="K489" i="5"/>
  <c r="K351" i="5"/>
  <c r="K492" i="5"/>
  <c r="K119" i="5"/>
  <c r="K148" i="5"/>
  <c r="K842" i="5"/>
  <c r="K839" i="5"/>
  <c r="K108" i="5"/>
  <c r="K343" i="5"/>
  <c r="K501" i="5"/>
  <c r="K479" i="5"/>
  <c r="K685" i="5"/>
  <c r="K664" i="5"/>
  <c r="K676" i="5"/>
  <c r="K675" i="5"/>
  <c r="K665" i="5"/>
  <c r="K666" i="5"/>
  <c r="K596" i="5"/>
  <c r="K482" i="5"/>
  <c r="K658" i="5"/>
  <c r="K619" i="5"/>
  <c r="K301" i="5"/>
  <c r="K457" i="5"/>
  <c r="K600" i="5"/>
  <c r="K91" i="5"/>
  <c r="K356" i="5"/>
  <c r="K362" i="5"/>
  <c r="K470" i="5"/>
  <c r="K663" i="5"/>
  <c r="K609" i="5"/>
  <c r="K605" i="5"/>
  <c r="K689" i="5"/>
  <c r="K125" i="5"/>
  <c r="K824" i="5"/>
  <c r="K825" i="5"/>
  <c r="K110" i="5"/>
  <c r="K588" i="5"/>
  <c r="K598" i="5"/>
  <c r="K587" i="5"/>
  <c r="K591" i="5"/>
  <c r="K485" i="5"/>
  <c r="K462" i="5"/>
  <c r="K363" i="5"/>
  <c r="K484" i="5"/>
  <c r="K77" i="5"/>
  <c r="K612" i="5"/>
  <c r="K502" i="5"/>
  <c r="K589" i="5"/>
  <c r="K677" i="5"/>
  <c r="K335" i="5"/>
  <c r="K448" i="5"/>
  <c r="K452" i="5"/>
  <c r="K603" i="5"/>
  <c r="K347" i="5"/>
  <c r="K446" i="5"/>
  <c r="K456" i="5"/>
  <c r="K690" i="5"/>
  <c r="K348" i="5"/>
  <c r="K687" i="5"/>
  <c r="K172" i="5"/>
  <c r="K670" i="5"/>
  <c r="K465" i="5"/>
  <c r="K243" i="5"/>
  <c r="K660" i="5"/>
  <c r="K592" i="5"/>
  <c r="K667" i="5"/>
  <c r="K341" i="5"/>
  <c r="K593" i="5"/>
  <c r="K326" i="5"/>
  <c r="K669" i="5"/>
  <c r="K585" i="5"/>
  <c r="K656" i="5"/>
  <c r="K495" i="5"/>
  <c r="K444" i="5"/>
  <c r="K451" i="5"/>
  <c r="K662" i="5"/>
  <c r="K248" i="5"/>
  <c r="K503" i="5"/>
  <c r="K59" i="5"/>
  <c r="K325" i="5"/>
  <c r="K613" i="5"/>
  <c r="K678" i="5"/>
  <c r="K682" i="5"/>
  <c r="K458" i="5"/>
  <c r="K671" i="5"/>
  <c r="K47" i="5"/>
  <c r="K49" i="5"/>
  <c r="K504" i="5"/>
  <c r="K305" i="5"/>
  <c r="K4" i="5"/>
  <c r="K156" i="5"/>
  <c r="K345" i="5"/>
  <c r="K174" i="5"/>
  <c r="K445" i="5"/>
  <c r="K792" i="5"/>
  <c r="K73" i="5"/>
  <c r="K684" i="5"/>
  <c r="K802" i="5"/>
  <c r="K594" i="5"/>
  <c r="K616" i="5"/>
  <c r="K668" i="5"/>
  <c r="K189" i="5"/>
  <c r="K459" i="5"/>
  <c r="K659" i="5"/>
  <c r="K590" i="5"/>
  <c r="K674" i="5"/>
  <c r="K680" i="5"/>
  <c r="K481" i="5"/>
  <c r="K350" i="5"/>
  <c r="K115" i="5"/>
  <c r="K117" i="5"/>
  <c r="K679" i="5"/>
  <c r="K610" i="5"/>
  <c r="K830" i="5"/>
  <c r="K245" i="5"/>
  <c r="K806" i="5"/>
  <c r="K595" i="5"/>
  <c r="K510" i="5"/>
  <c r="K357" i="5"/>
  <c r="K447" i="5"/>
  <c r="K486" i="5"/>
  <c r="K683" i="5"/>
  <c r="K691" i="5"/>
  <c r="K611" i="5"/>
  <c r="K112" i="5"/>
  <c r="K127" i="5"/>
  <c r="K601" i="5"/>
  <c r="K113" i="5"/>
  <c r="K471" i="5"/>
  <c r="K238" i="5"/>
  <c r="K120" i="5"/>
  <c r="K173" i="5"/>
  <c r="K175" i="5"/>
  <c r="K239" i="5"/>
  <c r="K488" i="5"/>
  <c r="K483" i="5"/>
  <c r="K790" i="5"/>
  <c r="K599" i="5"/>
  <c r="K686" i="5"/>
  <c r="K617" i="5"/>
  <c r="K672" i="5"/>
  <c r="K244" i="5"/>
  <c r="K480" i="5"/>
  <c r="K352" i="5"/>
  <c r="K505" i="5"/>
  <c r="K602" i="5"/>
  <c r="K366" i="5"/>
  <c r="K367" i="5"/>
  <c r="K223" i="5"/>
  <c r="K235" i="5"/>
  <c r="K336" i="5"/>
  <c r="K337" i="5"/>
  <c r="K338" i="5"/>
  <c r="K339" i="5"/>
  <c r="K340" i="5"/>
  <c r="K90" i="5"/>
  <c r="K6" i="5"/>
  <c r="K190" i="5"/>
  <c r="K192" i="5"/>
  <c r="K180" i="5"/>
  <c r="K195" i="5"/>
  <c r="K191" i="5"/>
  <c r="K178" i="5"/>
  <c r="K179" i="5"/>
  <c r="K193" i="5"/>
  <c r="K181" i="5"/>
  <c r="K194" i="5"/>
  <c r="K177" i="5"/>
  <c r="K657" i="5"/>
  <c r="K246" i="5"/>
  <c r="K236" i="5"/>
  <c r="K207" i="5"/>
  <c r="K205" i="5"/>
  <c r="K184" i="5"/>
  <c r="K185" i="5"/>
  <c r="K186" i="5"/>
  <c r="K62" i="5"/>
  <c r="K63" i="5"/>
  <c r="K65" i="5"/>
  <c r="K61" i="5"/>
  <c r="K237" i="5"/>
  <c r="K323" i="5"/>
  <c r="K322" i="5"/>
  <c r="K311" i="5"/>
  <c r="K320" i="5"/>
  <c r="K321" i="5"/>
  <c r="K234" i="5"/>
  <c r="K233" i="5"/>
  <c r="K226" i="5"/>
  <c r="K232" i="5"/>
  <c r="K231" i="5"/>
  <c r="K230" i="5"/>
  <c r="K229" i="5"/>
  <c r="K228" i="5"/>
  <c r="K225" i="5"/>
  <c r="K227" i="5"/>
  <c r="K834" i="5"/>
  <c r="K869" i="5"/>
  <c r="K835" i="5"/>
  <c r="K868" i="5"/>
  <c r="K867" i="5"/>
  <c r="K857" i="5"/>
  <c r="K866" i="5"/>
  <c r="K865" i="5"/>
  <c r="K863" i="5"/>
  <c r="K864" i="5"/>
  <c r="K861" i="5"/>
  <c r="K862" i="5"/>
  <c r="K856" i="5"/>
  <c r="K858" i="5"/>
  <c r="K859" i="5"/>
  <c r="K860" i="5"/>
  <c r="K171" i="5"/>
  <c r="K169" i="5"/>
  <c r="K170" i="5"/>
  <c r="K168" i="5"/>
  <c r="K167" i="5"/>
  <c r="K166" i="5"/>
  <c r="K165" i="5"/>
  <c r="K88" i="5"/>
  <c r="K87" i="5"/>
  <c r="K86" i="5"/>
  <c r="K164" i="5"/>
  <c r="K106" i="5"/>
  <c r="K107" i="5"/>
  <c r="K294" i="5"/>
  <c r="K286" i="5"/>
  <c r="K289" i="5"/>
  <c r="K290" i="5"/>
  <c r="K287" i="5"/>
  <c r="K288" i="5"/>
  <c r="K291" i="5"/>
  <c r="K292" i="5"/>
  <c r="K293" i="5"/>
  <c r="K279" i="5"/>
  <c r="K280" i="5"/>
  <c r="K281" i="5"/>
  <c r="K282" i="5"/>
  <c r="K283" i="5"/>
  <c r="K284" i="5"/>
  <c r="K285" i="5"/>
  <c r="K268" i="5"/>
  <c r="K269" i="5"/>
  <c r="K270" i="5"/>
  <c r="K271" i="5"/>
  <c r="K278" i="5"/>
  <c r="K272" i="5"/>
  <c r="K273" i="5"/>
  <c r="K274" i="5"/>
  <c r="K275" i="5"/>
  <c r="K276" i="5"/>
  <c r="K277" i="5"/>
  <c r="K302" i="5"/>
  <c r="K823" i="5"/>
  <c r="K583" i="5"/>
  <c r="K46" i="5"/>
  <c r="K45" i="5"/>
  <c r="K822" i="5"/>
  <c r="K584" i="5"/>
  <c r="K578" i="5"/>
  <c r="K42" i="5"/>
  <c r="K579" i="5"/>
  <c r="K40" i="5"/>
  <c r="K41" i="5"/>
  <c r="K577" i="5"/>
  <c r="K821" i="5"/>
  <c r="K580" i="5"/>
  <c r="K43" i="5"/>
  <c r="K581" i="5"/>
  <c r="K44" i="5"/>
  <c r="K582" i="5"/>
  <c r="K820" i="5"/>
  <c r="K38" i="5"/>
  <c r="K818" i="5"/>
  <c r="K576" i="5"/>
  <c r="K819" i="5"/>
  <c r="K39" i="5"/>
  <c r="K36" i="5"/>
  <c r="K575" i="5"/>
  <c r="K37" i="5"/>
  <c r="K816" i="5"/>
  <c r="K817" i="5"/>
  <c r="K574" i="5"/>
  <c r="K35" i="5"/>
  <c r="K573" i="5"/>
  <c r="K34" i="5"/>
  <c r="K815" i="5"/>
  <c r="K814" i="5"/>
  <c r="K32" i="5"/>
  <c r="K572" i="5"/>
  <c r="K571" i="5"/>
  <c r="K33" i="5"/>
  <c r="K813" i="5"/>
  <c r="K30" i="5"/>
  <c r="K569" i="5"/>
  <c r="K570" i="5"/>
  <c r="K31" i="5"/>
  <c r="K568" i="5"/>
  <c r="K567" i="5"/>
  <c r="K563" i="5"/>
  <c r="K564" i="5"/>
  <c r="K27" i="5"/>
  <c r="K29" i="5"/>
  <c r="K565" i="5"/>
  <c r="K28" i="5"/>
  <c r="K562" i="5"/>
  <c r="K176" i="5"/>
  <c r="K566" i="5"/>
  <c r="K555" i="5"/>
  <c r="K554" i="5"/>
  <c r="K561" i="5"/>
  <c r="K553" i="5"/>
  <c r="K25" i="5"/>
  <c r="K558" i="5"/>
  <c r="K557" i="5"/>
  <c r="K26" i="5"/>
  <c r="K559" i="5"/>
  <c r="K560" i="5"/>
  <c r="K556" i="5"/>
  <c r="K183" i="5"/>
  <c r="K220" i="5"/>
  <c r="K219" i="5"/>
  <c r="K206" i="5"/>
  <c r="K217" i="5"/>
  <c r="K216" i="5"/>
  <c r="K218" i="5"/>
  <c r="K199" i="5"/>
  <c r="K200" i="5"/>
  <c r="K203" i="5"/>
  <c r="K201" i="5"/>
  <c r="K202" i="5"/>
  <c r="K789" i="5"/>
  <c r="K785" i="5"/>
  <c r="K783" i="5"/>
  <c r="K784" i="5"/>
  <c r="K786" i="5"/>
  <c r="K787" i="5"/>
  <c r="K788" i="5"/>
  <c r="K781" i="5"/>
  <c r="K782" i="5"/>
  <c r="K744" i="5"/>
  <c r="K780" i="5"/>
  <c r="K741" i="5"/>
  <c r="K740" i="5"/>
  <c r="K743" i="5"/>
  <c r="K779" i="5"/>
  <c r="K742" i="5"/>
  <c r="K739" i="5"/>
  <c r="K777" i="5"/>
  <c r="K778" i="5"/>
  <c r="K775" i="5"/>
  <c r="K776" i="5"/>
  <c r="K774" i="5"/>
  <c r="K773" i="5"/>
  <c r="K770" i="5"/>
  <c r="K768" i="5"/>
  <c r="K769" i="5"/>
  <c r="K772" i="5"/>
  <c r="K771" i="5"/>
  <c r="K761" i="5"/>
  <c r="K760" i="5"/>
  <c r="K763" i="5"/>
  <c r="K764" i="5"/>
  <c r="K765" i="5"/>
  <c r="K766" i="5"/>
  <c r="K767" i="5"/>
  <c r="K754" i="5"/>
  <c r="K762" i="5"/>
  <c r="K756" i="5"/>
  <c r="K755" i="5"/>
  <c r="K757" i="5"/>
  <c r="K758" i="5"/>
  <c r="K759" i="5"/>
  <c r="K753" i="5"/>
  <c r="K736" i="5"/>
  <c r="K745" i="5"/>
  <c r="K751" i="5"/>
  <c r="K746" i="5"/>
  <c r="K737" i="5"/>
  <c r="K738" i="5"/>
  <c r="K749" i="5"/>
  <c r="K747" i="5"/>
  <c r="K750" i="5"/>
  <c r="K752" i="5"/>
  <c r="K748" i="5"/>
  <c r="K298" i="5"/>
  <c r="K297" i="5"/>
  <c r="K295" i="5"/>
  <c r="K296" i="5"/>
  <c r="K312" i="5"/>
  <c r="K306" i="5"/>
  <c r="K313" i="5"/>
  <c r="K314" i="5"/>
  <c r="K315" i="5"/>
  <c r="K307" i="5"/>
  <c r="K316" i="5"/>
  <c r="K317" i="5"/>
  <c r="K318" i="5"/>
  <c r="K319" i="5"/>
  <c r="K299" i="5"/>
  <c r="K221" i="5"/>
  <c r="K300" i="5"/>
  <c r="K224" i="5"/>
  <c r="K855" i="5"/>
  <c r="K828" i="5"/>
  <c r="K852" i="5"/>
  <c r="K850" i="5"/>
  <c r="K851" i="5"/>
  <c r="K849" i="5"/>
  <c r="K853" i="5"/>
  <c r="K854" i="5"/>
  <c r="K845" i="5"/>
  <c r="K827" i="5"/>
  <c r="K833" i="5"/>
  <c r="K846" i="5"/>
  <c r="K844" i="5"/>
  <c r="K848" i="5"/>
  <c r="K847" i="5"/>
  <c r="K829" i="5"/>
  <c r="K826" i="5"/>
  <c r="K840" i="5"/>
  <c r="K843" i="5"/>
  <c r="K841" i="5"/>
  <c r="K84" i="5"/>
  <c r="K139" i="5"/>
  <c r="K104" i="5"/>
  <c r="K97" i="5"/>
  <c r="K105" i="5"/>
  <c r="K98" i="5"/>
  <c r="K162" i="5"/>
  <c r="K82" i="5"/>
  <c r="K161" i="5"/>
  <c r="K85" i="5"/>
  <c r="K83" i="5"/>
  <c r="K96" i="5"/>
  <c r="K99" i="5"/>
  <c r="K163" i="5"/>
  <c r="K100" i="5"/>
  <c r="K101" i="5"/>
  <c r="K160" i="5"/>
  <c r="K102" i="5"/>
  <c r="K71" i="5"/>
  <c r="K103" i="5"/>
  <c r="K81" i="5"/>
  <c r="K72" i="5"/>
  <c r="K93" i="5"/>
  <c r="K70" i="5"/>
  <c r="K94" i="5"/>
  <c r="K92" i="5"/>
  <c r="K95" i="5"/>
  <c r="K159" i="5"/>
  <c r="K69" i="5"/>
  <c r="K78" i="5"/>
  <c r="K138" i="5"/>
  <c r="K68" i="5"/>
  <c r="K155" i="5"/>
  <c r="K157" i="5"/>
  <c r="K79" i="5"/>
  <c r="K158" i="5"/>
  <c r="K67" i="5"/>
  <c r="K129" i="5"/>
  <c r="K266" i="5"/>
  <c r="K267" i="5"/>
  <c r="K242" i="5"/>
  <c r="K258" i="5"/>
  <c r="K259" i="5"/>
  <c r="K264" i="5"/>
  <c r="K240" i="5"/>
  <c r="K260" i="5"/>
  <c r="K263" i="5"/>
  <c r="K261" i="5"/>
  <c r="K262" i="5"/>
  <c r="K241" i="5"/>
  <c r="K265" i="5"/>
  <c r="K58" i="5"/>
  <c r="K254" i="5"/>
  <c r="K252" i="5"/>
  <c r="K255" i="5"/>
  <c r="K256" i="5"/>
  <c r="K257" i="5"/>
  <c r="K253" i="5"/>
  <c r="K64" i="5"/>
  <c r="K54" i="5"/>
  <c r="K250" i="5"/>
  <c r="K251" i="5"/>
  <c r="K24" i="5"/>
  <c r="K443" i="5"/>
  <c r="K539" i="5"/>
  <c r="K551" i="5"/>
  <c r="K441" i="5"/>
  <c r="K2" i="5"/>
  <c r="K801" i="5"/>
  <c r="K442" i="5"/>
  <c r="K430" i="5"/>
  <c r="K540" i="5"/>
  <c r="K17" i="5"/>
  <c r="K18" i="5"/>
  <c r="K541" i="5"/>
  <c r="K128" i="5"/>
  <c r="K135" i="5"/>
  <c r="K75" i="5"/>
  <c r="K150" i="5"/>
  <c r="K136" i="5"/>
  <c r="K154" i="5"/>
  <c r="K208" i="5"/>
  <c r="K187" i="5"/>
  <c r="K209" i="5"/>
  <c r="K210" i="5"/>
  <c r="K211" i="5"/>
  <c r="K188" i="5"/>
  <c r="K212" i="5"/>
  <c r="K213" i="5"/>
  <c r="K214" i="5"/>
  <c r="K215" i="5"/>
  <c r="K198" i="5"/>
  <c r="K196" i="5"/>
  <c r="K197" i="5"/>
  <c r="K182" i="5"/>
  <c r="K204" i="5"/>
  <c r="K719" i="5"/>
  <c r="K650" i="5"/>
  <c r="K731" i="5"/>
  <c r="K733" i="5"/>
  <c r="K720" i="5"/>
  <c r="K732" i="5"/>
  <c r="K721" i="5"/>
  <c r="K648" i="5"/>
  <c r="K722" i="5"/>
  <c r="K723" i="5"/>
  <c r="K649" i="5"/>
  <c r="K711" i="5"/>
  <c r="K644" i="5"/>
  <c r="K645" i="5"/>
  <c r="K717" i="5"/>
  <c r="K724" i="5"/>
  <c r="K725" i="5"/>
  <c r="K646" i="5"/>
  <c r="K712" i="5"/>
  <c r="K713" i="5"/>
  <c r="K714" i="5"/>
  <c r="K728" i="5"/>
  <c r="K710" i="5"/>
  <c r="K726" i="5"/>
  <c r="K651" i="5"/>
  <c r="K653" i="5"/>
  <c r="K654" i="5"/>
  <c r="K715" i="5"/>
  <c r="K652" i="5"/>
  <c r="K727" i="5"/>
  <c r="K642" i="5"/>
  <c r="K647" i="5"/>
  <c r="K655" i="5"/>
  <c r="K716" i="5"/>
  <c r="K643" i="5"/>
  <c r="K729" i="5"/>
  <c r="K718" i="5"/>
  <c r="K708" i="5"/>
  <c r="K709" i="5"/>
  <c r="K703" i="5"/>
  <c r="K640" i="5"/>
  <c r="K641" i="5"/>
  <c r="K636" i="5"/>
  <c r="K704" i="5"/>
  <c r="K705" i="5"/>
  <c r="K707" i="5"/>
  <c r="K637" i="5"/>
  <c r="K698" i="5"/>
  <c r="K696" i="5"/>
  <c r="K633" i="5"/>
  <c r="K632" i="5"/>
  <c r="K706" i="5"/>
  <c r="K699" i="5"/>
  <c r="K634" i="5"/>
  <c r="K629" i="5"/>
  <c r="K697" i="5"/>
  <c r="K702" i="5"/>
  <c r="K694" i="5"/>
  <c r="K701" i="5"/>
  <c r="K630" i="5"/>
  <c r="K638" i="5"/>
  <c r="K631" i="5"/>
  <c r="K700" i="5"/>
  <c r="K639" i="5"/>
  <c r="K635" i="5"/>
  <c r="K695" i="5"/>
  <c r="K625" i="5"/>
  <c r="K626" i="5"/>
  <c r="K627" i="5"/>
  <c r="K681" i="5"/>
  <c r="K622" i="5"/>
  <c r="K623" i="5"/>
  <c r="K624" i="5"/>
  <c r="K628" i="5"/>
  <c r="K606" i="5"/>
  <c r="K692" i="5"/>
  <c r="K614" i="5"/>
  <c r="K688" i="5"/>
  <c r="K615" i="5"/>
  <c r="K607" i="5"/>
  <c r="K620" i="5"/>
  <c r="K621" i="5"/>
  <c r="K419" i="5"/>
  <c r="K530" i="5"/>
  <c r="K531" i="5"/>
  <c r="K19" i="5"/>
  <c r="K542" i="5"/>
  <c r="K532" i="5"/>
  <c r="K423" i="5"/>
  <c r="K536" i="5"/>
  <c r="K424" i="5"/>
  <c r="K543" i="5"/>
  <c r="K20" i="5"/>
  <c r="K425" i="5"/>
  <c r="K544" i="5"/>
  <c r="K21" i="5"/>
  <c r="K537" i="5"/>
  <c r="K545" i="5"/>
  <c r="K22" i="5"/>
  <c r="K529" i="5"/>
  <c r="K426" i="5"/>
  <c r="K533" i="5"/>
  <c r="K534" i="5"/>
  <c r="K538" i="5"/>
  <c r="K431" i="5"/>
  <c r="K420" i="5"/>
  <c r="K549" i="5"/>
  <c r="K546" i="5"/>
  <c r="K416" i="5"/>
  <c r="K427" i="5"/>
  <c r="K547" i="5"/>
  <c r="K434" i="5"/>
  <c r="K439" i="5"/>
  <c r="K435" i="5"/>
  <c r="K528" i="5"/>
  <c r="K433" i="5"/>
  <c r="K436" i="5"/>
  <c r="K23" i="5"/>
  <c r="K548" i="5"/>
  <c r="K417" i="5"/>
  <c r="K437" i="5"/>
  <c r="K428" i="5"/>
  <c r="K440" i="5"/>
  <c r="K418" i="5"/>
  <c r="K535" i="5"/>
  <c r="K429" i="5"/>
  <c r="K421" i="5"/>
  <c r="K550" i="5"/>
  <c r="K438" i="5"/>
  <c r="K432" i="5"/>
  <c r="K16" i="5"/>
  <c r="K422" i="5"/>
  <c r="K518" i="5"/>
  <c r="K525" i="5"/>
  <c r="K515" i="5"/>
  <c r="K526" i="5"/>
  <c r="K527" i="5"/>
  <c r="K519" i="5"/>
  <c r="K415" i="5"/>
  <c r="K524" i="5"/>
  <c r="K513" i="5"/>
  <c r="K411" i="5"/>
  <c r="K404" i="5"/>
  <c r="K520" i="5"/>
  <c r="K14" i="5"/>
  <c r="K15" i="5"/>
  <c r="K12" i="5"/>
  <c r="K511" i="5"/>
  <c r="K809" i="5"/>
  <c r="K514" i="5"/>
  <c r="K523" i="5"/>
  <c r="K408" i="5"/>
  <c r="K516" i="5"/>
  <c r="K798" i="5"/>
  <c r="K405" i="5"/>
  <c r="K799" i="5"/>
  <c r="K398" i="5"/>
  <c r="K395" i="5"/>
  <c r="K399" i="5"/>
  <c r="K521" i="5"/>
  <c r="K812" i="5"/>
  <c r="K401" i="5"/>
  <c r="K391" i="5"/>
  <c r="K396" i="5"/>
  <c r="K400" i="5"/>
  <c r="K389" i="5"/>
  <c r="K522" i="5"/>
  <c r="K407" i="5"/>
  <c r="K402" i="5"/>
  <c r="K13" i="5"/>
  <c r="K397" i="5"/>
  <c r="K811" i="5"/>
  <c r="K512" i="5"/>
  <c r="K810" i="5"/>
  <c r="K517" i="5"/>
  <c r="K390" i="5"/>
  <c r="K406" i="5"/>
  <c r="K409" i="5"/>
  <c r="K388" i="5"/>
  <c r="K392" i="5"/>
  <c r="K410" i="5"/>
  <c r="K412" i="5"/>
  <c r="K800" i="5"/>
  <c r="K403" i="5"/>
  <c r="K394" i="5"/>
  <c r="K393" i="5"/>
  <c r="K11" i="5"/>
  <c r="K413" i="5"/>
  <c r="K414" i="5"/>
  <c r="K506" i="5"/>
  <c r="K8" i="5"/>
  <c r="K385" i="5"/>
  <c r="K386" i="5"/>
  <c r="K795" i="5"/>
  <c r="K383" i="5"/>
  <c r="K384" i="5"/>
  <c r="K387" i="5"/>
  <c r="K796" i="5"/>
  <c r="K797" i="5"/>
  <c r="K358" i="5"/>
  <c r="K7" i="5"/>
  <c r="K507" i="5"/>
  <c r="K9" i="5"/>
  <c r="K508" i="5"/>
  <c r="K10" i="5"/>
  <c r="K373" i="5"/>
  <c r="K509" i="5"/>
  <c r="K808" i="5"/>
  <c r="K382" i="5"/>
  <c r="K370" i="5"/>
  <c r="K371" i="5"/>
  <c r="K807" i="5"/>
  <c r="K490" i="5"/>
  <c r="K359" i="5"/>
  <c r="K372" i="5"/>
  <c r="K497" i="5"/>
  <c r="K487" i="5"/>
  <c r="K360" i="5"/>
  <c r="K493" i="5"/>
  <c r="K379" i="5"/>
  <c r="K380" i="5"/>
  <c r="K496" i="5"/>
  <c r="K794" i="5"/>
  <c r="K381" i="5"/>
  <c r="K805" i="5"/>
  <c r="K140" i="5"/>
</calcChain>
</file>

<file path=xl/sharedStrings.xml><?xml version="1.0" encoding="utf-8"?>
<sst xmlns="http://schemas.openxmlformats.org/spreadsheetml/2006/main" count="40365" uniqueCount="1108">
  <si>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</si>
  <si>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</si>
  <si>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</si>
  <si>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</si>
  <si>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</si>
  <si>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</si>
  <si>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</si>
  <si>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</si>
  <si>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</si>
  <si>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</si>
  <si>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</si>
  <si>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</si>
  <si>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</si>
  <si>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</si>
  <si>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</si>
  <si>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</si>
  <si>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</si>
  <si>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</si>
  <si>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</si>
  <si>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</si>
  <si>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</si>
  <si>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</si>
  <si>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</si>
  <si>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</si>
  <si>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</si>
  <si>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</si>
  <si>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</si>
  <si>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</si>
  <si>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</si>
  <si>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</si>
  <si>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</si>
  <si>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</si>
  <si>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</si>
  <si>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</si>
  <si>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</si>
  <si>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</si>
  <si>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</si>
  <si>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</si>
  <si>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</si>
  <si>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</si>
  <si>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</si>
  <si>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</si>
  <si>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</si>
  <si>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</si>
  <si>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</si>
  <si>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</si>
  <si>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</si>
  <si>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</si>
  <si>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</si>
  <si>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WILLANDA</t>
  </si>
  <si>
    <t>BURT-HOLSENDOLPH</t>
  </si>
  <si>
    <t>Allstate Health Solutions</t>
  </si>
  <si>
    <t>FL</t>
  </si>
  <si>
    <t>Other</t>
  </si>
  <si>
    <t>Plan Enhancer 20214</t>
  </si>
  <si>
    <t>CALTAGIRONE</t>
  </si>
  <si>
    <t>RYAN</t>
  </si>
  <si>
    <t>Active</t>
  </si>
  <si>
    <t xml:space="preserve">Monthly </t>
  </si>
  <si>
    <t>Converted</t>
  </si>
  <si>
    <t>FY</t>
  </si>
  <si>
    <t>N</t>
  </si>
  <si>
    <t>LISA</t>
  </si>
  <si>
    <t>YOUNG</t>
  </si>
  <si>
    <t>NC</t>
  </si>
  <si>
    <t>DAUGHERTY</t>
  </si>
  <si>
    <t>MATTHEW</t>
  </si>
  <si>
    <t>GIUSEPPE</t>
  </si>
  <si>
    <t>PULVINO</t>
  </si>
  <si>
    <t>IL</t>
  </si>
  <si>
    <t>Yale</t>
  </si>
  <si>
    <t>Chad</t>
  </si>
  <si>
    <t>VALERIE</t>
  </si>
  <si>
    <t>CORBEIL</t>
  </si>
  <si>
    <t>Choi</t>
  </si>
  <si>
    <t>Andrew</t>
  </si>
  <si>
    <t>LORRETTA</t>
  </si>
  <si>
    <t>MARSHALL</t>
  </si>
  <si>
    <t>AL</t>
  </si>
  <si>
    <t>KRISTOPHER</t>
  </si>
  <si>
    <t>WOLFF</t>
  </si>
  <si>
    <t>IA</t>
  </si>
  <si>
    <t>PORTUGAL</t>
  </si>
  <si>
    <t>GARY</t>
  </si>
  <si>
    <t>NATALIE</t>
  </si>
  <si>
    <t>FILIPPO</t>
  </si>
  <si>
    <t>NICHOLAS</t>
  </si>
  <si>
    <t>FUS</t>
  </si>
  <si>
    <t>BRENNER</t>
  </si>
  <si>
    <t>BARRY</t>
  </si>
  <si>
    <t>DEANNA</t>
  </si>
  <si>
    <t>NEIGHBORS</t>
  </si>
  <si>
    <t>CO</t>
  </si>
  <si>
    <t>Geske</t>
  </si>
  <si>
    <t>Heather</t>
  </si>
  <si>
    <t>LUKAS</t>
  </si>
  <si>
    <t>MOSSELL</t>
  </si>
  <si>
    <t>DUNAVANT</t>
  </si>
  <si>
    <t>MICHAEL</t>
  </si>
  <si>
    <t>TINA</t>
  </si>
  <si>
    <t>HATANPAA</t>
  </si>
  <si>
    <t>OR</t>
  </si>
  <si>
    <t>TRAIE</t>
  </si>
  <si>
    <t>THOMAS</t>
  </si>
  <si>
    <t>Weitzman</t>
  </si>
  <si>
    <t>Kenneth</t>
  </si>
  <si>
    <t>ETHAN</t>
  </si>
  <si>
    <t>ANDERSON</t>
  </si>
  <si>
    <t>Sentman</t>
  </si>
  <si>
    <t>Sandra</t>
  </si>
  <si>
    <t>WILLIAM</t>
  </si>
  <si>
    <t>TRAMMELL</t>
  </si>
  <si>
    <t>WENDELL</t>
  </si>
  <si>
    <t>ARNOLD</t>
  </si>
  <si>
    <t>YALE</t>
  </si>
  <si>
    <t>JACOB</t>
  </si>
  <si>
    <t>ROCHELLE</t>
  </si>
  <si>
    <t>VARGAS</t>
  </si>
  <si>
    <t>MD</t>
  </si>
  <si>
    <t>Accident Fixed Benefit</t>
  </si>
  <si>
    <t>Max</t>
  </si>
  <si>
    <t>Ronald</t>
  </si>
  <si>
    <t>Dental Indemnity 21618</t>
  </si>
  <si>
    <t>CHELSEA</t>
  </si>
  <si>
    <t>TALARICO</t>
  </si>
  <si>
    <t>JEANA</t>
  </si>
  <si>
    <t>HENDRICKSON</t>
  </si>
  <si>
    <t>JEREMY</t>
  </si>
  <si>
    <t>LIST</t>
  </si>
  <si>
    <t>OH</t>
  </si>
  <si>
    <t>Halsaver</t>
  </si>
  <si>
    <t>Jennifer</t>
  </si>
  <si>
    <t>Term Life 21673</t>
  </si>
  <si>
    <t>TRACY</t>
  </si>
  <si>
    <t>DORENCZ</t>
  </si>
  <si>
    <t>Abdul</t>
  </si>
  <si>
    <t>Saadia</t>
  </si>
  <si>
    <t>LESA</t>
  </si>
  <si>
    <t>CRANE</t>
  </si>
  <si>
    <t>STEPHANIE</t>
  </si>
  <si>
    <t>WILLIAMS</t>
  </si>
  <si>
    <t>Roller</t>
  </si>
  <si>
    <t>Jason</t>
  </si>
  <si>
    <t>DUSTIN</t>
  </si>
  <si>
    <t>CALKINS</t>
  </si>
  <si>
    <t>WI</t>
  </si>
  <si>
    <t>LUNDIN</t>
  </si>
  <si>
    <t>LISKOVEC</t>
  </si>
  <si>
    <t>FRANK</t>
  </si>
  <si>
    <t>MATHIAS</t>
  </si>
  <si>
    <t>HIBBARD</t>
  </si>
  <si>
    <t>Hodgman</t>
  </si>
  <si>
    <t>Timothy</t>
  </si>
  <si>
    <t>DAVID</t>
  </si>
  <si>
    <t>MERDIAN</t>
  </si>
  <si>
    <t>RICHTER</t>
  </si>
  <si>
    <t>ADAM</t>
  </si>
  <si>
    <t>ALEXANDER</t>
  </si>
  <si>
    <t>WIRTH</t>
  </si>
  <si>
    <t>Hunsberger</t>
  </si>
  <si>
    <t>Anthony</t>
  </si>
  <si>
    <t>BRAXTON</t>
  </si>
  <si>
    <t>HART</t>
  </si>
  <si>
    <t>TIFFANY</t>
  </si>
  <si>
    <t>RIOS</t>
  </si>
  <si>
    <t>TX</t>
  </si>
  <si>
    <t>MARSICO</t>
  </si>
  <si>
    <t>CHARLES</t>
  </si>
  <si>
    <t>BENISH</t>
  </si>
  <si>
    <t>FINNIGAN</t>
  </si>
  <si>
    <t>COLLEEN</t>
  </si>
  <si>
    <t>LOUIS</t>
  </si>
  <si>
    <t>DELLIS</t>
  </si>
  <si>
    <t>ROBYN</t>
  </si>
  <si>
    <t>KUKER</t>
  </si>
  <si>
    <t>Shulman</t>
  </si>
  <si>
    <t>Jake</t>
  </si>
  <si>
    <t>JODI</t>
  </si>
  <si>
    <t>DEBERARD</t>
  </si>
  <si>
    <t>IN</t>
  </si>
  <si>
    <t>MELANIE</t>
  </si>
  <si>
    <t>KRAUTER</t>
  </si>
  <si>
    <t>MI</t>
  </si>
  <si>
    <t>Richard</t>
  </si>
  <si>
    <t>JONAH</t>
  </si>
  <si>
    <t>LINDBLAD</t>
  </si>
  <si>
    <t>ALEXANDRA</t>
  </si>
  <si>
    <t>FRASER</t>
  </si>
  <si>
    <t>ANGILA</t>
  </si>
  <si>
    <t>GARRETT</t>
  </si>
  <si>
    <t>GA</t>
  </si>
  <si>
    <t>KINYUA</t>
  </si>
  <si>
    <t>JARED</t>
  </si>
  <si>
    <t>ABBEY</t>
  </si>
  <si>
    <t>BORROUGHS</t>
  </si>
  <si>
    <t>PA</t>
  </si>
  <si>
    <t>Stocker</t>
  </si>
  <si>
    <t>Ryan</t>
  </si>
  <si>
    <t>SUNG</t>
  </si>
  <si>
    <t>YEOUN</t>
  </si>
  <si>
    <t>CURRIER</t>
  </si>
  <si>
    <t>WA</t>
  </si>
  <si>
    <t>LAURA</t>
  </si>
  <si>
    <t>RIEDEL</t>
  </si>
  <si>
    <t>WESTON</t>
  </si>
  <si>
    <t>ADAMS</t>
  </si>
  <si>
    <t>KENNETH</t>
  </si>
  <si>
    <t>JR.</t>
  </si>
  <si>
    <t>LA</t>
  </si>
  <si>
    <t>PHILLIP</t>
  </si>
  <si>
    <t>III</t>
  </si>
  <si>
    <t>Shepard</t>
  </si>
  <si>
    <t>Jill</t>
  </si>
  <si>
    <t>ABENDROTH</t>
  </si>
  <si>
    <t>KEITH</t>
  </si>
  <si>
    <t>LESNIAK</t>
  </si>
  <si>
    <t>KEVIN</t>
  </si>
  <si>
    <t>GOODSELL</t>
  </si>
  <si>
    <t>TAUGNER</t>
  </si>
  <si>
    <t>CHRISTIAN</t>
  </si>
  <si>
    <t>JEAN</t>
  </si>
  <si>
    <t>AYALA</t>
  </si>
  <si>
    <t>CRAIG</t>
  </si>
  <si>
    <t>WEIS</t>
  </si>
  <si>
    <t>ANDREW</t>
  </si>
  <si>
    <t>HILDEBRAND</t>
  </si>
  <si>
    <t>MEGAN</t>
  </si>
  <si>
    <t>MASUD</t>
  </si>
  <si>
    <t>SANTOS</t>
  </si>
  <si>
    <t>RICARDO</t>
  </si>
  <si>
    <t>MARY</t>
  </si>
  <si>
    <t>JONES</t>
  </si>
  <si>
    <t>TIMOTHY</t>
  </si>
  <si>
    <t>CHAPMAN</t>
  </si>
  <si>
    <t>VA</t>
  </si>
  <si>
    <t>FRIEDMANN</t>
  </si>
  <si>
    <t>HEATHER</t>
  </si>
  <si>
    <t>PARDUE</t>
  </si>
  <si>
    <t>Default</t>
  </si>
  <si>
    <t>HOPSON</t>
  </si>
  <si>
    <t>JUSTIN</t>
  </si>
  <si>
    <t>BOUNSINH</t>
  </si>
  <si>
    <t>LATSAMY</t>
  </si>
  <si>
    <t>THANADABOUTH</t>
  </si>
  <si>
    <t>PATSAMON</t>
  </si>
  <si>
    <t>SEMPRINI</t>
  </si>
  <si>
    <t>JANICE</t>
  </si>
  <si>
    <t>SC</t>
  </si>
  <si>
    <t>IBSEN</t>
  </si>
  <si>
    <t>KATY</t>
  </si>
  <si>
    <t>ITURBE</t>
  </si>
  <si>
    <t>TORRES</t>
  </si>
  <si>
    <t>JOSE</t>
  </si>
  <si>
    <t>SALMETE</t>
  </si>
  <si>
    <t>ACE</t>
  </si>
  <si>
    <t>LESTER</t>
  </si>
  <si>
    <t>SAVANNAH</t>
  </si>
  <si>
    <t>Accident Fixed-Benefit 21044</t>
  </si>
  <si>
    <t>COTTER</t>
  </si>
  <si>
    <t>SLAIS</t>
  </si>
  <si>
    <t>COLIN</t>
  </si>
  <si>
    <t>AZ</t>
  </si>
  <si>
    <t>Short Term Medical</t>
  </si>
  <si>
    <t>NHIC STM PPO All Other States Renewable</t>
  </si>
  <si>
    <t>RN</t>
  </si>
  <si>
    <t>LARSON</t>
  </si>
  <si>
    <t>ANTOINETTE</t>
  </si>
  <si>
    <t>DEBORD</t>
  </si>
  <si>
    <t>JULIE</t>
  </si>
  <si>
    <t>NHIC STM 2022 OH Single Term</t>
  </si>
  <si>
    <t>WAGNER</t>
  </si>
  <si>
    <t>LYNDON</t>
  </si>
  <si>
    <t>LYNN</t>
  </si>
  <si>
    <t>TAMMY</t>
  </si>
  <si>
    <t>OBRIEN</t>
  </si>
  <si>
    <t>MICHELE</t>
  </si>
  <si>
    <t>KY</t>
  </si>
  <si>
    <t>MAURER</t>
  </si>
  <si>
    <t>DAWN</t>
  </si>
  <si>
    <t>FABRITZ</t>
  </si>
  <si>
    <t>MARTIN</t>
  </si>
  <si>
    <t>DOWDA</t>
  </si>
  <si>
    <t>DENEEN</t>
  </si>
  <si>
    <t>SALGADO</t>
  </si>
  <si>
    <t>CARLOS</t>
  </si>
  <si>
    <t>BROMUND</t>
  </si>
  <si>
    <t>AMATA</t>
  </si>
  <si>
    <t>MS</t>
  </si>
  <si>
    <t>KISIN</t>
  </si>
  <si>
    <t>PETRUNGARO</t>
  </si>
  <si>
    <t>ANDREA</t>
  </si>
  <si>
    <t>BLAKENSHIP</t>
  </si>
  <si>
    <t>DUSTEN</t>
  </si>
  <si>
    <t>TN</t>
  </si>
  <si>
    <t>CARLSON</t>
  </si>
  <si>
    <t>ARTHUR</t>
  </si>
  <si>
    <t>ANTHONY</t>
  </si>
  <si>
    <t>HOEPPNER</t>
  </si>
  <si>
    <t>NHIC STM PPO All Other States</t>
  </si>
  <si>
    <t>JOHNSON</t>
  </si>
  <si>
    <t>JAMAR</t>
  </si>
  <si>
    <t>ERIC</t>
  </si>
  <si>
    <t>BAKER</t>
  </si>
  <si>
    <t>ROSANGELA</t>
  </si>
  <si>
    <t>VALLE</t>
  </si>
  <si>
    <t>JADE</t>
  </si>
  <si>
    <t>LEVINSON</t>
  </si>
  <si>
    <t>BRIDGES</t>
  </si>
  <si>
    <t>ELIZABETH</t>
  </si>
  <si>
    <t>Supplement</t>
  </si>
  <si>
    <t>NHIC Dental 2020 DVH 65+</t>
  </si>
  <si>
    <t>FENGER</t>
  </si>
  <si>
    <t>JOHN</t>
  </si>
  <si>
    <t>HOFFMANN</t>
  </si>
  <si>
    <t>JASON</t>
  </si>
  <si>
    <t>MANSELL</t>
  </si>
  <si>
    <t>MERLE</t>
  </si>
  <si>
    <t>CARRYER</t>
  </si>
  <si>
    <t>KELLY</t>
  </si>
  <si>
    <t>BASKERVILLE</t>
  </si>
  <si>
    <t>JOY</t>
  </si>
  <si>
    <t>KOZACHECK</t>
  </si>
  <si>
    <t>ANNE MARIE</t>
  </si>
  <si>
    <t>MADIGAN</t>
  </si>
  <si>
    <t>KATHLEEN</t>
  </si>
  <si>
    <t>INSKIPT</t>
  </si>
  <si>
    <t>DEBORAH</t>
  </si>
  <si>
    <t>GEHRON</t>
  </si>
  <si>
    <t>AMIE</t>
  </si>
  <si>
    <t>SLOTT</t>
  </si>
  <si>
    <t>COLLETTA</t>
  </si>
  <si>
    <t>MILLER</t>
  </si>
  <si>
    <t>HENRY</t>
  </si>
  <si>
    <t>AFRASSIAB</t>
  </si>
  <si>
    <t>MONA</t>
  </si>
  <si>
    <t>HANSFORD</t>
  </si>
  <si>
    <t>GREGORY</t>
  </si>
  <si>
    <t>BROOME</t>
  </si>
  <si>
    <t>BARBARA</t>
  </si>
  <si>
    <t>CHERRY</t>
  </si>
  <si>
    <t>NHIC LM 2021 SENIOR INDEMNITY 65+</t>
  </si>
  <si>
    <t>Life Association Standalone Bundled wLM</t>
  </si>
  <si>
    <t>STEVEN</t>
  </si>
  <si>
    <t>GATHANY</t>
  </si>
  <si>
    <t>BEVERLY</t>
  </si>
  <si>
    <t>COLLETTE</t>
  </si>
  <si>
    <t>POOLE</t>
  </si>
  <si>
    <t>GUNTER</t>
  </si>
  <si>
    <t>DARRELL</t>
  </si>
  <si>
    <t>ROKEN</t>
  </si>
  <si>
    <t>IQBAL</t>
  </si>
  <si>
    <t>MIR</t>
  </si>
  <si>
    <t>CBK</t>
  </si>
  <si>
    <t>BISSELL</t>
  </si>
  <si>
    <t>JAMES</t>
  </si>
  <si>
    <t>Fixed Indemnity</t>
  </si>
  <si>
    <t>NHIC LM 2021 Hospital Expense Protection U65</t>
  </si>
  <si>
    <t>FOLEY</t>
  </si>
  <si>
    <t>CAROL</t>
  </si>
  <si>
    <t>Chargeback</t>
  </si>
  <si>
    <t>NHIC NG0000 Statement 10/20/2025</t>
  </si>
  <si>
    <t>Association</t>
  </si>
  <si>
    <t>LIFE Association Membership - C 14956 LM</t>
  </si>
  <si>
    <t>CARVETH</t>
  </si>
  <si>
    <t>ANNE</t>
  </si>
  <si>
    <t>NHIC NG0000 Statement 10/27/2025</t>
  </si>
  <si>
    <t>GALEN</t>
  </si>
  <si>
    <t>ALMENDAREZ</t>
  </si>
  <si>
    <t>DEYANIRA</t>
  </si>
  <si>
    <t>Ancillary</t>
  </si>
  <si>
    <t>Cancer and Heart/Stroke 20231</t>
  </si>
  <si>
    <t>FUENTES</t>
  </si>
  <si>
    <t>VICTOR</t>
  </si>
  <si>
    <t>MORRIS</t>
  </si>
  <si>
    <t>ROBERT</t>
  </si>
  <si>
    <t>Critical Illness w/ Term Life 21677</t>
  </si>
  <si>
    <t>BINAL</t>
  </si>
  <si>
    <t>SHAH</t>
  </si>
  <si>
    <t>Dental</t>
  </si>
  <si>
    <t>SELECT DENTAL 29304</t>
  </si>
  <si>
    <t>Brousseau</t>
  </si>
  <si>
    <t>Christopher</t>
  </si>
  <si>
    <t>RANDI`</t>
  </si>
  <si>
    <t>SPANO</t>
  </si>
  <si>
    <t>National General STM CO-CT-IA-KS-MD-MO-ND-OR-SD</t>
  </si>
  <si>
    <t>PATRICIA</t>
  </si>
  <si>
    <t>BARBER</t>
  </si>
  <si>
    <t>QUINCY</t>
  </si>
  <si>
    <t>COOK</t>
  </si>
  <si>
    <t>Allen</t>
  </si>
  <si>
    <t>James</t>
  </si>
  <si>
    <t>GASTLEY</t>
  </si>
  <si>
    <t>JAX</t>
  </si>
  <si>
    <t>CHRISTINE</t>
  </si>
  <si>
    <t>DUDA</t>
  </si>
  <si>
    <t>Accident</t>
  </si>
  <si>
    <t>TrioMED Accident and CI 14939</t>
  </si>
  <si>
    <t>DOOLEY</t>
  </si>
  <si>
    <t>Schumann</t>
  </si>
  <si>
    <t>Barry</t>
  </si>
  <si>
    <t>STRALOW</t>
  </si>
  <si>
    <t>JORDAN</t>
  </si>
  <si>
    <t>LIFE Association Membership - C 14956 PPO</t>
  </si>
  <si>
    <t>KINDER</t>
  </si>
  <si>
    <t>LORA</t>
  </si>
  <si>
    <t>TrioMED 15k 15285</t>
  </si>
  <si>
    <t>Sherman</t>
  </si>
  <si>
    <t>Matthew</t>
  </si>
  <si>
    <t>Y</t>
  </si>
  <si>
    <t>LAFERNEY</t>
  </si>
  <si>
    <t>SHELBY</t>
  </si>
  <si>
    <t>TrioMED 30k 15307</t>
  </si>
  <si>
    <t>HOTT</t>
  </si>
  <si>
    <t>BRIAN</t>
  </si>
  <si>
    <t>KIM</t>
  </si>
  <si>
    <t>BENJAMIN</t>
  </si>
  <si>
    <t>PETERS</t>
  </si>
  <si>
    <t>JESSICA</t>
  </si>
  <si>
    <t>Cancer and Heart/Stroke 20231 CO-FL-MN-MI</t>
  </si>
  <si>
    <t>STARK</t>
  </si>
  <si>
    <t>KRISTA</t>
  </si>
  <si>
    <t>Cancer and Heart/Stroke GI 20231</t>
  </si>
  <si>
    <t>PARKS</t>
  </si>
  <si>
    <t>TERRENCE</t>
  </si>
  <si>
    <t>JEFFERYS</t>
  </si>
  <si>
    <t>SUGAR</t>
  </si>
  <si>
    <t>FRIEDLANDER</t>
  </si>
  <si>
    <t>JOSHUA</t>
  </si>
  <si>
    <t>LIAO</t>
  </si>
  <si>
    <t>ANGEL</t>
  </si>
  <si>
    <t>Life Association Access</t>
  </si>
  <si>
    <t>A6</t>
  </si>
  <si>
    <t>RARDIN</t>
  </si>
  <si>
    <t>LESLIE</t>
  </si>
  <si>
    <t>Life Association C IN</t>
  </si>
  <si>
    <t>Sanderock</t>
  </si>
  <si>
    <t>Marsha</t>
  </si>
  <si>
    <t>ISBELL</t>
  </si>
  <si>
    <t>KANDICE</t>
  </si>
  <si>
    <t>OK</t>
  </si>
  <si>
    <t>Powers</t>
  </si>
  <si>
    <t>RAMSAY</t>
  </si>
  <si>
    <t>JORDYN</t>
  </si>
  <si>
    <t>Allstate Health Access</t>
  </si>
  <si>
    <t>Allstate Recuro RX Discount Card</t>
  </si>
  <si>
    <t>CHRIST</t>
  </si>
  <si>
    <t>ROBIN</t>
  </si>
  <si>
    <t>Walenga</t>
  </si>
  <si>
    <t>Dale</t>
  </si>
  <si>
    <t>LYONS</t>
  </si>
  <si>
    <t>MILEAH</t>
  </si>
  <si>
    <t>STERLING</t>
  </si>
  <si>
    <t>WINSTON</t>
  </si>
  <si>
    <t>KENNERLY</t>
  </si>
  <si>
    <t>KITTY</t>
  </si>
  <si>
    <t>MT</t>
  </si>
  <si>
    <t>TALL</t>
  </si>
  <si>
    <t>AMADOU</t>
  </si>
  <si>
    <t>Oliver</t>
  </si>
  <si>
    <t>Brittany</t>
  </si>
  <si>
    <t>DERUSHA</t>
  </si>
  <si>
    <t>APARICIO</t>
  </si>
  <si>
    <t>AUGUSTO</t>
  </si>
  <si>
    <t>ZACHARIAH</t>
  </si>
  <si>
    <t>PHENU</t>
  </si>
  <si>
    <t>SAGE</t>
  </si>
  <si>
    <t>HIGGINS</t>
  </si>
  <si>
    <t>SANDBERG</t>
  </si>
  <si>
    <t>HAMILTON</t>
  </si>
  <si>
    <t>Tigue</t>
  </si>
  <si>
    <t>Kirk</t>
  </si>
  <si>
    <t>NKENG</t>
  </si>
  <si>
    <t>ELZY</t>
  </si>
  <si>
    <t>MAURICE</t>
  </si>
  <si>
    <t>Cheregi</t>
  </si>
  <si>
    <t>Raluca</t>
  </si>
  <si>
    <t>A3</t>
  </si>
  <si>
    <t>Recuro CO-CT-IA-KS-MD-MO-ND-OR-SD</t>
  </si>
  <si>
    <t>NHIC STM 2022 IN Single Term</t>
  </si>
  <si>
    <t>TRUMBAUER</t>
  </si>
  <si>
    <t>JAMIE</t>
  </si>
  <si>
    <t>PETER</t>
  </si>
  <si>
    <t>LUCEY</t>
  </si>
  <si>
    <t>KAREN</t>
  </si>
  <si>
    <t>LANDER</t>
  </si>
  <si>
    <t>DOUGLAS</t>
  </si>
  <si>
    <t>SHEFFIELD</t>
  </si>
  <si>
    <t>LOIS</t>
  </si>
  <si>
    <t>MCCANN</t>
  </si>
  <si>
    <t>AGUGLIA</t>
  </si>
  <si>
    <t>SCOTT</t>
  </si>
  <si>
    <t>GRUSKIN</t>
  </si>
  <si>
    <t>SOFIA</t>
  </si>
  <si>
    <t>BYRSE</t>
  </si>
  <si>
    <t>EBONEY</t>
  </si>
  <si>
    <t>STOFKA</t>
  </si>
  <si>
    <t>TODD</t>
  </si>
  <si>
    <t>MADDEN</t>
  </si>
  <si>
    <t>DEHART</t>
  </si>
  <si>
    <t>SCHAEFFER</t>
  </si>
  <si>
    <t>HERMANN</t>
  </si>
  <si>
    <t>TESSA</t>
  </si>
  <si>
    <t>WERNER</t>
  </si>
  <si>
    <t>HUANG</t>
  </si>
  <si>
    <t>JERRY</t>
  </si>
  <si>
    <t>IEZZI</t>
  </si>
  <si>
    <t>GEORGE</t>
  </si>
  <si>
    <t>WACKENTHALER</t>
  </si>
  <si>
    <t>BOJAZI</t>
  </si>
  <si>
    <t>GIANNA</t>
  </si>
  <si>
    <t>STEHLIK</t>
  </si>
  <si>
    <t>NATHAN</t>
  </si>
  <si>
    <t>WOODS</t>
  </si>
  <si>
    <t>ALBERT</t>
  </si>
  <si>
    <t>STRENGTH</t>
  </si>
  <si>
    <t>AMANDA</t>
  </si>
  <si>
    <t>MURRAY</t>
  </si>
  <si>
    <t>CATHERINE</t>
  </si>
  <si>
    <t>KAPADIA</t>
  </si>
  <si>
    <t>RAJ</t>
  </si>
  <si>
    <t>WHITTENBERG</t>
  </si>
  <si>
    <t>RODNEY</t>
  </si>
  <si>
    <t>FLISHER</t>
  </si>
  <si>
    <t>WILSON</t>
  </si>
  <si>
    <t>SHAWN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</si>
  <si>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</si>
  <si>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</si>
  <si>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</si>
  <si>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</si>
  <si>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</si>
  <si>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</si>
  <si>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</si>
  <si>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</si>
  <si>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ROSS</t>
  </si>
  <si>
    <t>CABRAL</t>
  </si>
  <si>
    <t>MAGDALENA</t>
  </si>
  <si>
    <t>HUNT</t>
  </si>
  <si>
    <t>SUSAN</t>
  </si>
  <si>
    <t>LANCASTER</t>
  </si>
  <si>
    <t>DERRICK</t>
  </si>
  <si>
    <t>EDWARDS</t>
  </si>
  <si>
    <t>KHALIL</t>
  </si>
  <si>
    <t>KISSEL</t>
  </si>
  <si>
    <t>AMY</t>
  </si>
  <si>
    <t>MARGARET</t>
  </si>
  <si>
    <t>SHIPPEE</t>
  </si>
  <si>
    <t>JACK</t>
  </si>
  <si>
    <t>BROOKS</t>
  </si>
  <si>
    <t>DOMINICK</t>
  </si>
  <si>
    <t>HOLLAND</t>
  </si>
  <si>
    <t>TAMARA</t>
  </si>
  <si>
    <t>BRYAN</t>
  </si>
  <si>
    <t>VIVIANO</t>
  </si>
  <si>
    <t>SHEILA</t>
  </si>
  <si>
    <t>MORGAN</t>
  </si>
  <si>
    <t>CA</t>
  </si>
  <si>
    <t>WINTERS</t>
  </si>
  <si>
    <t>BROWN</t>
  </si>
  <si>
    <t>DIETZ</t>
  </si>
  <si>
    <t>NE</t>
  </si>
  <si>
    <t>TEIPEL</t>
  </si>
  <si>
    <t>POWELL</t>
  </si>
  <si>
    <t>LUCAS</t>
  </si>
  <si>
    <t>MO</t>
  </si>
  <si>
    <t>MEHAFFEY</t>
  </si>
  <si>
    <t>LANCE</t>
  </si>
  <si>
    <t>KATELENN</t>
  </si>
  <si>
    <t>SWORD</t>
  </si>
  <si>
    <t>LINDA</t>
  </si>
  <si>
    <t>GAINES</t>
  </si>
  <si>
    <t>BRIDGETT</t>
  </si>
  <si>
    <t>PHILBRICK</t>
  </si>
  <si>
    <t>COLEMAN</t>
  </si>
  <si>
    <t>MERCER</t>
  </si>
  <si>
    <t>MELISSA</t>
  </si>
  <si>
    <t>WEBB</t>
  </si>
  <si>
    <t>JACKSON</t>
  </si>
  <si>
    <t>RICHARD</t>
  </si>
  <si>
    <t>BUSCHELL</t>
  </si>
  <si>
    <t>JEPPERSON</t>
  </si>
  <si>
    <t>RIZO</t>
  </si>
  <si>
    <t>ESTEBAN</t>
  </si>
  <si>
    <t>FARNSWORTH</t>
  </si>
  <si>
    <t>KELLOGG</t>
  </si>
  <si>
    <t>BOUCHARD</t>
  </si>
  <si>
    <t>PIERRE</t>
  </si>
  <si>
    <t>RAGGETT</t>
  </si>
  <si>
    <t>BORDEAUX</t>
  </si>
  <si>
    <t>RONNIE</t>
  </si>
  <si>
    <t>WADDLE</t>
  </si>
  <si>
    <t>LYNSEY</t>
  </si>
  <si>
    <t>BRUCK</t>
  </si>
  <si>
    <t>MAX</t>
  </si>
  <si>
    <t>CROSSETT</t>
  </si>
  <si>
    <t>PAPADOPOULOS</t>
  </si>
  <si>
    <t>DEMETRA</t>
  </si>
  <si>
    <t>CHAMBERS</t>
  </si>
  <si>
    <t>BOBBI</t>
  </si>
  <si>
    <t>HEON</t>
  </si>
  <si>
    <t>AUDREY</t>
  </si>
  <si>
    <t>JIMENEZ</t>
  </si>
  <si>
    <t>FIDEL</t>
  </si>
  <si>
    <t>BRINK</t>
  </si>
  <si>
    <t>JENNA</t>
  </si>
  <si>
    <t>GESKE</t>
  </si>
  <si>
    <t>DUARTE</t>
  </si>
  <si>
    <t>CHRISTALDI</t>
  </si>
  <si>
    <t>GINA</t>
  </si>
  <si>
    <t>CHYA</t>
  </si>
  <si>
    <t>JOSIAH</t>
  </si>
  <si>
    <t>SZYMANSKI</t>
  </si>
  <si>
    <t>ROBSON</t>
  </si>
  <si>
    <t>ANGELA</t>
  </si>
  <si>
    <t>WY</t>
  </si>
  <si>
    <t>HILL</t>
  </si>
  <si>
    <t>TAVARES</t>
  </si>
  <si>
    <t>LUTES</t>
  </si>
  <si>
    <t>NANCY</t>
  </si>
  <si>
    <t>COTY</t>
  </si>
  <si>
    <t>SKIPWORTH</t>
  </si>
  <si>
    <t>BECKY</t>
  </si>
  <si>
    <t>CAMERON</t>
  </si>
  <si>
    <t>LOYA</t>
  </si>
  <si>
    <t>BRENDA</t>
  </si>
  <si>
    <t>LIVELY</t>
  </si>
  <si>
    <t>LANDON</t>
  </si>
  <si>
    <t>LATTANZIO</t>
  </si>
  <si>
    <t>LAIT</t>
  </si>
  <si>
    <t>JULIA</t>
  </si>
  <si>
    <t>VAWTER</t>
  </si>
  <si>
    <t>SALES</t>
  </si>
  <si>
    <t>JOANNA</t>
  </si>
  <si>
    <t>SETH</t>
  </si>
  <si>
    <t>CALLOZZO</t>
  </si>
  <si>
    <t>JANIS</t>
  </si>
  <si>
    <t>RIDING</t>
  </si>
  <si>
    <t>UT</t>
  </si>
  <si>
    <t>ALMENDARES</t>
  </si>
  <si>
    <t>DEE</t>
  </si>
  <si>
    <t>SUCHARSKI</t>
  </si>
  <si>
    <t>SOLIVAN</t>
  </si>
  <si>
    <t>LOPEZ</t>
  </si>
  <si>
    <t>DOMENIC</t>
  </si>
  <si>
    <t>GODWIN</t>
  </si>
  <si>
    <t>LYNDA</t>
  </si>
  <si>
    <t>JAMESON</t>
  </si>
  <si>
    <t>STINSON</t>
  </si>
  <si>
    <t>EVAN</t>
  </si>
  <si>
    <t>CHHOUN</t>
  </si>
  <si>
    <t>LAY</t>
  </si>
  <si>
    <t>SOBEL</t>
  </si>
  <si>
    <t>RICKY</t>
  </si>
  <si>
    <t>BAILEY</t>
  </si>
  <si>
    <t>FRANCINE</t>
  </si>
  <si>
    <t>KRYSIK</t>
  </si>
  <si>
    <t>CANNIE</t>
  </si>
  <si>
    <t>REID-KAPLAN</t>
  </si>
  <si>
    <t>MAZILYN</t>
  </si>
  <si>
    <t>MOONEY</t>
  </si>
  <si>
    <t>BOWERS</t>
  </si>
  <si>
    <t>ESPINOZA</t>
  </si>
  <si>
    <t>MAITRELLY</t>
  </si>
  <si>
    <t>DEWALD</t>
  </si>
  <si>
    <t>DEBBIE</t>
  </si>
  <si>
    <t>CHEN</t>
  </si>
  <si>
    <t>GARBO</t>
  </si>
  <si>
    <t>ORLANDO</t>
  </si>
  <si>
    <t>LANDRY</t>
  </si>
  <si>
    <t>JESSE</t>
  </si>
  <si>
    <t>DODSON</t>
  </si>
  <si>
    <t>PEGLER</t>
  </si>
  <si>
    <t>ABIGAIL</t>
  </si>
  <si>
    <t>MURPHY</t>
  </si>
  <si>
    <t>LA'JOIA</t>
  </si>
  <si>
    <t>HENDERSON</t>
  </si>
  <si>
    <t>PAMELA</t>
  </si>
  <si>
    <t>JUWAN</t>
  </si>
  <si>
    <t>HATHAWAY</t>
  </si>
  <si>
    <t>HERRICK</t>
  </si>
  <si>
    <t>SANDRA</t>
  </si>
  <si>
    <t>MITCHELL</t>
  </si>
  <si>
    <t>CLEON</t>
  </si>
  <si>
    <t>HEVELONE</t>
  </si>
  <si>
    <t>ADDISON</t>
  </si>
  <si>
    <t>OLIVE</t>
  </si>
  <si>
    <t>WAKELEY</t>
  </si>
  <si>
    <t>FELICHA</t>
  </si>
  <si>
    <t>JANG</t>
  </si>
  <si>
    <t>SO</t>
  </si>
  <si>
    <t>DIAZ</t>
  </si>
  <si>
    <t>DELIA</t>
  </si>
  <si>
    <t>MACTAVISH</t>
  </si>
  <si>
    <t>MADISON</t>
  </si>
  <si>
    <t>MATHIEU</t>
  </si>
  <si>
    <t>ISAAC</t>
  </si>
  <si>
    <t>KIRSCH</t>
  </si>
  <si>
    <t>SD</t>
  </si>
  <si>
    <t>Berthelsen</t>
  </si>
  <si>
    <t>Heidi</t>
  </si>
  <si>
    <t>WALENGA</t>
  </si>
  <si>
    <t>DALE</t>
  </si>
  <si>
    <t>STOVER</t>
  </si>
  <si>
    <t>EDWARD</t>
  </si>
  <si>
    <t>O'REILLY</t>
  </si>
  <si>
    <t>JUDITH</t>
  </si>
  <si>
    <t>CETRE</t>
  </si>
  <si>
    <t>KNOEBEL</t>
  </si>
  <si>
    <t>MARTINA</t>
  </si>
  <si>
    <t>TOUHEY</t>
  </si>
  <si>
    <t>TAKASHI</t>
  </si>
  <si>
    <t>KANAI</t>
  </si>
  <si>
    <t>GERALD</t>
  </si>
  <si>
    <t>Medicare Supplement</t>
  </si>
  <si>
    <t>NHIC MedSupp 2022 IL Plan F, G Age 65-80</t>
  </si>
  <si>
    <t>WEAVER</t>
  </si>
  <si>
    <t>SONG</t>
  </si>
  <si>
    <t>OFZKY</t>
  </si>
  <si>
    <t>JUSTICE-BOWERS</t>
  </si>
  <si>
    <t>KIMBERLY</t>
  </si>
  <si>
    <t>DE</t>
  </si>
  <si>
    <t>PHELPS</t>
  </si>
  <si>
    <t>ROGER</t>
  </si>
  <si>
    <t>BISCHOFFER</t>
  </si>
  <si>
    <t>CHESTER</t>
  </si>
  <si>
    <t>FULLER</t>
  </si>
  <si>
    <t>BLADES</t>
  </si>
  <si>
    <t>CHERYL</t>
  </si>
  <si>
    <t>NEAL</t>
  </si>
  <si>
    <t>MAERTENS</t>
  </si>
  <si>
    <t>HEIDI</t>
  </si>
  <si>
    <t>BURZO</t>
  </si>
  <si>
    <t>CONCETTA</t>
  </si>
  <si>
    <t>RAVEN</t>
  </si>
  <si>
    <t>LAIOS</t>
  </si>
  <si>
    <t>KELLEY</t>
  </si>
  <si>
    <t>SUSANNE</t>
  </si>
  <si>
    <t>CHRISTIANSEN</t>
  </si>
  <si>
    <t>BEST</t>
  </si>
  <si>
    <t>MICHAYLA</t>
  </si>
  <si>
    <t>ZUMPELLA</t>
  </si>
  <si>
    <t>DENISE</t>
  </si>
  <si>
    <t>COIA</t>
  </si>
  <si>
    <t>KS</t>
  </si>
  <si>
    <t>GIRON</t>
  </si>
  <si>
    <t>EDWAR</t>
  </si>
  <si>
    <t>STEAD</t>
  </si>
  <si>
    <t>PAUL</t>
  </si>
  <si>
    <t>RAMBOLDT</t>
  </si>
  <si>
    <t>WENDY</t>
  </si>
  <si>
    <t>HUMPHRIES</t>
  </si>
  <si>
    <t>WALLACE</t>
  </si>
  <si>
    <t>FELICIA</t>
  </si>
  <si>
    <t>FARNAM</t>
  </si>
  <si>
    <t>WESTAWSKI</t>
  </si>
  <si>
    <t>JONI</t>
  </si>
  <si>
    <t>GUGLIELMO</t>
  </si>
  <si>
    <t>CULLIMORE</t>
  </si>
  <si>
    <t>SHAYLEE</t>
  </si>
  <si>
    <t>CASILLAS</t>
  </si>
  <si>
    <t>CAROLINA</t>
  </si>
  <si>
    <t>ERSTE</t>
  </si>
  <si>
    <t>GOTH</t>
  </si>
  <si>
    <t>SHANKS</t>
  </si>
  <si>
    <t>CHRISTOPHER</t>
  </si>
  <si>
    <t>JACKSON-EILAND</t>
  </si>
  <si>
    <t>TINYA</t>
  </si>
  <si>
    <t>LAWRENCE</t>
  </si>
  <si>
    <t>BATDELGER</t>
  </si>
  <si>
    <t>TSERENBAT</t>
  </si>
  <si>
    <t>ZANA</t>
  </si>
  <si>
    <t>NASANDELGER</t>
  </si>
  <si>
    <t>KALMAN</t>
  </si>
  <si>
    <t>THERESA</t>
  </si>
  <si>
    <t>BAYARSAIKHAN</t>
  </si>
  <si>
    <t>BATBOLD</t>
  </si>
  <si>
    <t>PAINTER</t>
  </si>
  <si>
    <t>REPPAL</t>
  </si>
  <si>
    <t>RAMEEM</t>
  </si>
  <si>
    <t>ACEVEDO</t>
  </si>
  <si>
    <t>JORGE</t>
  </si>
  <si>
    <t>ZIMMERMAN</t>
  </si>
  <si>
    <t>DRAKE</t>
  </si>
  <si>
    <t>MARTINEZ</t>
  </si>
  <si>
    <t>ALDO</t>
  </si>
  <si>
    <t>OWENS</t>
  </si>
  <si>
    <t>KONTOS</t>
  </si>
  <si>
    <t>MAES</t>
  </si>
  <si>
    <t>CLARICE</t>
  </si>
  <si>
    <t>TAYLOR</t>
  </si>
  <si>
    <t>SCHOENDIENST</t>
  </si>
  <si>
    <t>LINDSEY</t>
  </si>
  <si>
    <t>CROWE</t>
  </si>
  <si>
    <t>RANDALL</t>
  </si>
  <si>
    <t>WRING</t>
  </si>
  <si>
    <t>JOSEPH</t>
  </si>
  <si>
    <t>BLOOM</t>
  </si>
  <si>
    <t>AUSTIN</t>
  </si>
  <si>
    <t>DANIEL</t>
  </si>
  <si>
    <t>GOODWILLIE</t>
  </si>
  <si>
    <t>GIAMPAPA</t>
  </si>
  <si>
    <t>Drapac</t>
  </si>
  <si>
    <t>Stephanie</t>
  </si>
  <si>
    <t>RALUCA</t>
  </si>
  <si>
    <t>CHEREGI</t>
  </si>
  <si>
    <t>HILFIKER</t>
  </si>
  <si>
    <t>MARIE</t>
  </si>
  <si>
    <t>ROGERS</t>
  </si>
  <si>
    <t>Allstate Health Cancer Only 5035</t>
  </si>
  <si>
    <t>KRISTINA</t>
  </si>
  <si>
    <t>WOOLEY</t>
  </si>
  <si>
    <t>VAZQUEZ</t>
  </si>
  <si>
    <t>SCHWAB</t>
  </si>
  <si>
    <t>THURSTON</t>
  </si>
  <si>
    <t>HARRISON</t>
  </si>
  <si>
    <t>WILLER</t>
  </si>
  <si>
    <t>MARK</t>
  </si>
  <si>
    <t>Life Association C All Other States</t>
  </si>
  <si>
    <t>Life Association C OH</t>
  </si>
  <si>
    <t>AMIRREZA</t>
  </si>
  <si>
    <t>BAHADOR</t>
  </si>
  <si>
    <t>LIFE Association Membership - B 14995</t>
  </si>
  <si>
    <t>HOLLY</t>
  </si>
  <si>
    <t>BORING</t>
  </si>
  <si>
    <t>AIKEN</t>
  </si>
  <si>
    <t>SAGI</t>
  </si>
  <si>
    <t>SPIKER</t>
  </si>
  <si>
    <t>LANCELOT</t>
  </si>
  <si>
    <t>NICOLE</t>
  </si>
  <si>
    <t>YACAVACE</t>
  </si>
  <si>
    <t>NOAH</t>
  </si>
  <si>
    <t>AMALIA</t>
  </si>
  <si>
    <t>MACKENZIE</t>
  </si>
  <si>
    <t>LEVY</t>
  </si>
  <si>
    <t>SUZANNE</t>
  </si>
  <si>
    <t>DESOUSA</t>
  </si>
  <si>
    <t>KYLE</t>
  </si>
  <si>
    <t>BEJJANI</t>
  </si>
  <si>
    <t>ADELYNE</t>
  </si>
  <si>
    <t>GAGLIARDOTTO</t>
  </si>
  <si>
    <t>DOMINIC</t>
  </si>
  <si>
    <t>GREEN</t>
  </si>
  <si>
    <t>BUCHANAN</t>
  </si>
  <si>
    <t>BLACK</t>
  </si>
  <si>
    <t>HUNTER</t>
  </si>
  <si>
    <t>GALE</t>
  </si>
  <si>
    <t>PISTORIUS</t>
  </si>
  <si>
    <t>ELIANA</t>
  </si>
  <si>
    <t>ALEXANDRIA</t>
  </si>
  <si>
    <t>WOODWARD</t>
  </si>
  <si>
    <t>OLIBUEL</t>
  </si>
  <si>
    <t>BUCKLEY</t>
  </si>
  <si>
    <t>KEO</t>
  </si>
  <si>
    <t>PRANY</t>
  </si>
  <si>
    <t>CHRISTENSEN</t>
  </si>
  <si>
    <t>VOELZKE</t>
  </si>
  <si>
    <t>ALICE</t>
  </si>
  <si>
    <t>RIO-COOPER</t>
  </si>
  <si>
    <t>SALAZAR</t>
  </si>
  <si>
    <t>JEFFREY</t>
  </si>
  <si>
    <t>WENGERSKI</t>
  </si>
  <si>
    <t>ANITA</t>
  </si>
  <si>
    <t>LAZZARETTI</t>
  </si>
  <si>
    <t>ORZECHOWSKI</t>
  </si>
  <si>
    <t>ELISE</t>
  </si>
  <si>
    <t>STRUCHEN</t>
  </si>
  <si>
    <t>KELSEY</t>
  </si>
  <si>
    <t>SELLS</t>
  </si>
  <si>
    <t>FOGLE</t>
  </si>
  <si>
    <t>EUGENE</t>
  </si>
  <si>
    <t>ROBINSON</t>
  </si>
  <si>
    <t>WORDEN</t>
  </si>
  <si>
    <t>EMALEE</t>
  </si>
  <si>
    <t>AR</t>
  </si>
  <si>
    <t>MURATA</t>
  </si>
  <si>
    <t>SARAH</t>
  </si>
  <si>
    <t>RABIN</t>
  </si>
  <si>
    <t>FRIEDMAN</t>
  </si>
  <si>
    <t>LEWIS</t>
  </si>
  <si>
    <t>ALAN</t>
  </si>
  <si>
    <t>CALDERON</t>
  </si>
  <si>
    <t>SARAI</t>
  </si>
  <si>
    <t>KINCAID</t>
  </si>
  <si>
    <t>SAUL</t>
  </si>
  <si>
    <t>JENSEN</t>
  </si>
  <si>
    <t>EDWINA</t>
  </si>
  <si>
    <t>GONZALEZ</t>
  </si>
  <si>
    <t>MARIA</t>
  </si>
  <si>
    <t>WOJTASIK</t>
  </si>
  <si>
    <t>JAY</t>
  </si>
  <si>
    <t>DIAKITE</t>
  </si>
  <si>
    <t>FATOUMATA</t>
  </si>
  <si>
    <t>JOLI-COEUR</t>
  </si>
  <si>
    <t>NADINE</t>
  </si>
  <si>
    <t>BETTIS</t>
  </si>
  <si>
    <t>DEATON</t>
  </si>
  <si>
    <t>EDIZER</t>
  </si>
  <si>
    <t>BOGAC</t>
  </si>
  <si>
    <t>PATRICK</t>
  </si>
  <si>
    <t>ZESSAR</t>
  </si>
  <si>
    <t>USHIJIMA</t>
  </si>
  <si>
    <t>RYOSUKE</t>
  </si>
  <si>
    <t>BATIO</t>
  </si>
  <si>
    <t>ZACHARY</t>
  </si>
  <si>
    <t>MARVIN</t>
  </si>
  <si>
    <t>FERNANDEZ</t>
  </si>
  <si>
    <t>MELVIN</t>
  </si>
  <si>
    <t>OAKMAN</t>
  </si>
  <si>
    <t>TRACEY</t>
  </si>
  <si>
    <t>TRIBUZIO</t>
  </si>
  <si>
    <t>MCGIN</t>
  </si>
  <si>
    <t>BROMLEY</t>
  </si>
  <si>
    <t>MONIKA</t>
  </si>
  <si>
    <t>SHIPBAUGH</t>
  </si>
  <si>
    <t>BROOKE</t>
  </si>
  <si>
    <t>TINNEY</t>
  </si>
  <si>
    <t>CAUSE</t>
  </si>
  <si>
    <t>KRAMER-KAHNY</t>
  </si>
  <si>
    <t>RUSSELL</t>
  </si>
  <si>
    <t>COURTNEY</t>
  </si>
  <si>
    <t>BORTKO</t>
  </si>
  <si>
    <t>TARPLEY</t>
  </si>
  <si>
    <t>SHAUN</t>
  </si>
  <si>
    <t>KRYST</t>
  </si>
  <si>
    <t>JANET</t>
  </si>
  <si>
    <t>MUEHLFELDER</t>
  </si>
  <si>
    <t>DICKSON</t>
  </si>
  <si>
    <t>JOANN</t>
  </si>
  <si>
    <t>WHEATON</t>
  </si>
  <si>
    <t>ADRIAN</t>
  </si>
  <si>
    <t>KINNEY</t>
  </si>
  <si>
    <t>Rose</t>
  </si>
  <si>
    <t>Latesha</t>
  </si>
  <si>
    <t>PETROV</t>
  </si>
  <si>
    <t>PETAR</t>
  </si>
  <si>
    <t>ALIKHAN</t>
  </si>
  <si>
    <t>RIZWAN</t>
  </si>
  <si>
    <t>CASTELLO</t>
  </si>
  <si>
    <t>SAMANTHA</t>
  </si>
  <si>
    <t>SNARSKI</t>
  </si>
  <si>
    <t>MEDINA</t>
  </si>
  <si>
    <t>PAULSEN</t>
  </si>
  <si>
    <t>ABNEY</t>
  </si>
  <si>
    <t>KRISTY</t>
  </si>
  <si>
    <t>MAKSIMOWICZ</t>
  </si>
  <si>
    <t>IZABELA</t>
  </si>
  <si>
    <t>VANESSA</t>
  </si>
  <si>
    <t>CONLEY</t>
  </si>
  <si>
    <t>BRIT</t>
  </si>
  <si>
    <t>POWERS</t>
  </si>
  <si>
    <t>KEE</t>
  </si>
  <si>
    <t>RICORDER</t>
  </si>
  <si>
    <t>GABRIEL</t>
  </si>
  <si>
    <t>WIMBERLY</t>
  </si>
  <si>
    <t>GOODSON</t>
  </si>
  <si>
    <t>HOSMAN</t>
  </si>
  <si>
    <t>CRUZ</t>
  </si>
  <si>
    <t>ASHLEY</t>
  </si>
  <si>
    <t>BRANDY</t>
  </si>
  <si>
    <t>FARROW</t>
  </si>
  <si>
    <t>CHARLIE</t>
  </si>
  <si>
    <t>MORROW</t>
  </si>
  <si>
    <t>CRUMP</t>
  </si>
  <si>
    <t>MATHEW</t>
  </si>
  <si>
    <t>EVERS</t>
  </si>
  <si>
    <t>SARA</t>
  </si>
  <si>
    <t>RIVERA</t>
  </si>
  <si>
    <t>PRESSLEY</t>
  </si>
  <si>
    <t>ALLISON</t>
  </si>
  <si>
    <t>SOLOMON</t>
  </si>
  <si>
    <t>HEATH</t>
  </si>
  <si>
    <t>WICK</t>
  </si>
  <si>
    <t>SULSKI</t>
  </si>
  <si>
    <t>STEPHEN</t>
  </si>
  <si>
    <t>STROHMAN</t>
  </si>
  <si>
    <t>STOETZEL</t>
  </si>
  <si>
    <t>TYLLER</t>
  </si>
  <si>
    <t>SERRANO</t>
  </si>
  <si>
    <t>PEIFER</t>
  </si>
  <si>
    <t>LOGAN</t>
  </si>
  <si>
    <t>COLLINS</t>
  </si>
  <si>
    <t>DEBRA</t>
  </si>
  <si>
    <t>MEYER</t>
  </si>
  <si>
    <t>ALICIA</t>
  </si>
  <si>
    <t>DUKE</t>
  </si>
  <si>
    <t>QIGLEY</t>
  </si>
  <si>
    <t>BLACKSHAW</t>
  </si>
  <si>
    <t>KRISTIN</t>
  </si>
  <si>
    <t>POHLMAN</t>
  </si>
  <si>
    <t>HAVER</t>
  </si>
  <si>
    <t>MAGTOTO</t>
  </si>
  <si>
    <t>EDUARDO</t>
  </si>
  <si>
    <t>MCDANIEL</t>
  </si>
  <si>
    <t>ROWAN</t>
  </si>
  <si>
    <t>MORRELL</t>
  </si>
  <si>
    <t>RINCHINDORJ</t>
  </si>
  <si>
    <t>YERUULT</t>
  </si>
  <si>
    <t>FLYNN</t>
  </si>
  <si>
    <t>BRION</t>
  </si>
  <si>
    <t>JAQUALINE</t>
  </si>
  <si>
    <t>BLEVINS</t>
  </si>
  <si>
    <t>ZAWACKI</t>
  </si>
  <si>
    <t>GAVIN</t>
  </si>
  <si>
    <t>LARSEN</t>
  </si>
  <si>
    <t>DEVIN</t>
  </si>
  <si>
    <t>HERRERA-LARSEN</t>
  </si>
  <si>
    <t>ESTHER</t>
  </si>
  <si>
    <t>OLMOS</t>
  </si>
  <si>
    <t>ALBERTO</t>
  </si>
  <si>
    <t>MONTOYA</t>
  </si>
  <si>
    <t>JOHANNA</t>
  </si>
  <si>
    <t>ADOUT</t>
  </si>
  <si>
    <t>YUVAL</t>
  </si>
  <si>
    <t>ROBINSON-MARTIN</t>
  </si>
  <si>
    <t>CYNTHIA</t>
  </si>
  <si>
    <t>LAKIN</t>
  </si>
  <si>
    <t>VALARIE</t>
  </si>
  <si>
    <t>ROSENAU</t>
  </si>
  <si>
    <t>JILL</t>
  </si>
  <si>
    <t>HAMRICK</t>
  </si>
  <si>
    <t>ZANE</t>
  </si>
  <si>
    <t>WUTHRICH</t>
  </si>
  <si>
    <t>LORI</t>
  </si>
  <si>
    <t>DAMDINVAANJIL</t>
  </si>
  <si>
    <t>TSOGOO</t>
  </si>
  <si>
    <t>ENKHTUR</t>
  </si>
  <si>
    <t>ODMAA</t>
  </si>
  <si>
    <t>DEJESUS</t>
  </si>
  <si>
    <t>KATHY</t>
  </si>
  <si>
    <t>VIRGINIA</t>
  </si>
  <si>
    <t>JEFF</t>
  </si>
  <si>
    <t>GABOURY</t>
  </si>
  <si>
    <t>GRACE</t>
  </si>
  <si>
    <t>SHUST</t>
  </si>
  <si>
    <t>GOZALES</t>
  </si>
  <si>
    <t>NINO</t>
  </si>
  <si>
    <t>NOE</t>
  </si>
  <si>
    <t>COCKRELL</t>
  </si>
  <si>
    <t>TERRY</t>
  </si>
  <si>
    <t>LUNDBERG</t>
  </si>
  <si>
    <t>STRICKER</t>
  </si>
  <si>
    <t>Aloff</t>
  </si>
  <si>
    <t>Jonathan</t>
  </si>
  <si>
    <t>NEIGEBAUER</t>
  </si>
  <si>
    <t>SIMS</t>
  </si>
  <si>
    <t>ROSA</t>
  </si>
  <si>
    <t>BROCKSMITH</t>
  </si>
  <si>
    <t>KENT</t>
  </si>
  <si>
    <t>SHANON</t>
  </si>
  <si>
    <t>Byrne</t>
  </si>
  <si>
    <t>Patrick</t>
  </si>
  <si>
    <t>BAAS</t>
  </si>
  <si>
    <t>KASSONDRA</t>
  </si>
  <si>
    <t>VILLARREAL</t>
  </si>
  <si>
    <t>ELIUD</t>
  </si>
  <si>
    <t>ROMERO</t>
  </si>
  <si>
    <t>RUBY</t>
  </si>
  <si>
    <t>SCHREINER</t>
  </si>
  <si>
    <t>DEQUAKER</t>
  </si>
  <si>
    <t>ALTAN</t>
  </si>
  <si>
    <t>TUUL</t>
  </si>
  <si>
    <t>TUVSHINJARGAL</t>
  </si>
  <si>
    <t>LEON</t>
  </si>
  <si>
    <t>JENNIFER</t>
  </si>
  <si>
    <t>DAGENAIS</t>
  </si>
  <si>
    <t>MICHELLE</t>
  </si>
  <si>
    <t>HOEPFNER</t>
  </si>
  <si>
    <t>GREGG</t>
  </si>
  <si>
    <t>TERGUUNBAYAR</t>
  </si>
  <si>
    <t>ERDENE</t>
  </si>
  <si>
    <t>PRICE</t>
  </si>
  <si>
    <t>SPENCER</t>
  </si>
  <si>
    <t>ROLLER</t>
  </si>
  <si>
    <t>MARCIE</t>
  </si>
  <si>
    <t>HOUSE</t>
  </si>
  <si>
    <t>THORNTON</t>
  </si>
  <si>
    <t>AMARBAYASGALAN</t>
  </si>
  <si>
    <t>GANBOLD</t>
  </si>
  <si>
    <t>GISELLE</t>
  </si>
  <si>
    <t>YANEZ</t>
  </si>
  <si>
    <t>17528908N</t>
  </si>
  <si>
    <t>18201929old</t>
  </si>
  <si>
    <t>19279958old</t>
  </si>
  <si>
    <t>21283956old</t>
  </si>
  <si>
    <t>20003537old</t>
  </si>
  <si>
    <t>17425766old</t>
  </si>
  <si>
    <t>AV1</t>
  </si>
  <si>
    <t>AE</t>
  </si>
  <si>
    <t>Allstate OVR</t>
  </si>
  <si>
    <t>Main Line Benefits</t>
  </si>
  <si>
    <t>Cancer and Heart-Stroke 20231</t>
  </si>
  <si>
    <t>Cancer and Heart-Stroke 20231 CO-FL-MN-MI</t>
  </si>
  <si>
    <t>Critical Illness with Term Life 21677</t>
  </si>
  <si>
    <t>Life Association C</t>
  </si>
  <si>
    <t>NHIC MedSupp 2022 IN Plan F G N Age 65-80</t>
  </si>
  <si>
    <t>18201929AV6old</t>
  </si>
  <si>
    <t>7470776AV6</t>
  </si>
  <si>
    <t>17554531AV6</t>
  </si>
  <si>
    <t>19681796AV6</t>
  </si>
  <si>
    <t>8325282AV6</t>
  </si>
  <si>
    <t>8814784AV6</t>
  </si>
  <si>
    <t>16865615AV6</t>
  </si>
  <si>
    <t>21421111AV6</t>
  </si>
  <si>
    <t>20724564AV6</t>
  </si>
  <si>
    <t>8812322Av6</t>
  </si>
  <si>
    <t>21648482AV6</t>
  </si>
  <si>
    <t>16633294AV6</t>
  </si>
  <si>
    <t>371819AV6</t>
  </si>
  <si>
    <t>NHIC STM PPO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</si>
</sst>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14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9" fontId="0" fillId="35" borderId="0" xfId="0" applyNumberFormat="1" applyFill="1"/>
    <xf numFmtId="0" fontId="16" fillId="0" borderId="0" xfId="0" applyFont="1"/>
    <xf numFmtId="14" fontId="0" fillId="36" borderId="0" xfId="0" applyNumberFormat="1" applyFill="1"/>
    <xf numFmtId="0" fontId="0" fillId="36" borderId="0" xfId="0" applyFill="1"/>
    <xf numFmtId="164" fontId="0" fillId="36" borderId="0" xfId="0" applyNumberFormat="1" applyFill="1"/>
    <xf numFmtId="9" fontId="0" fillId="36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8" fontId="14" fillId="33" borderId="0" xfId="0" applyNumberFormat="1" applyFont="1" applyFill="1"/>
    <xf numFmtId="0" fontId="18" fillId="34" borderId="0" xfId="0" applyFont="1" applyFill="1"/>
    <xf numFmtId="14" fontId="18" fillId="34" borderId="0" xfId="0" applyNumberFormat="1" applyFont="1" applyFill="1"/>
    <xf numFmtId="164" fontId="18" fillId="34" borderId="0" xfId="0" applyNumberFormat="1" applyFont="1" applyFill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99DD-3490-45BD-9797-5524B3D1D2A8}">
  <dimension ref="A1:AV968"/>
  <sheetViews>
    <sheetView topLeftCell="Y1" workbookViewId="0">
      <pane ySplit="1" topLeftCell="A94" activePane="bottomLeft" state="frozen"/>
      <selection activeCell="D1" sqref="D1"/>
      <selection pane="bottomLeft" activeCell="A114" sqref="A114:XFD114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</row>
    <row r="2" spans="1:48" x14ac:dyDescent="0.25">
      <c r="A2" s="1">
        <v>45957</v>
      </c>
      <c r="B2" t="s">
        <v>48</v>
      </c>
      <c r="C2">
        <v>649163</v>
      </c>
      <c r="D2">
        <v>2030313588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673059</v>
      </c>
      <c r="L2" t="s">
        <v>55</v>
      </c>
      <c r="M2" t="s">
        <v>56</v>
      </c>
      <c r="N2" t="s">
        <v>57</v>
      </c>
      <c r="O2" s="1">
        <v>45894</v>
      </c>
      <c r="Q2" s="1">
        <v>45986</v>
      </c>
      <c r="R2" s="2">
        <v>120.91</v>
      </c>
      <c r="S2">
        <v>1</v>
      </c>
      <c r="T2" t="s">
        <v>58</v>
      </c>
      <c r="U2" t="s">
        <v>59</v>
      </c>
      <c r="V2" s="3">
        <v>0.7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84.64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8" x14ac:dyDescent="0.25">
      <c r="A3" s="1">
        <v>45957</v>
      </c>
      <c r="B3" t="s">
        <v>48</v>
      </c>
      <c r="C3">
        <v>649163</v>
      </c>
      <c r="D3">
        <v>2030328061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753748</v>
      </c>
      <c r="L3" t="s">
        <v>65</v>
      </c>
      <c r="M3" t="s">
        <v>66</v>
      </c>
      <c r="N3" t="s">
        <v>57</v>
      </c>
      <c r="O3" s="1">
        <v>45901</v>
      </c>
      <c r="Q3" s="1">
        <v>45992</v>
      </c>
      <c r="R3" s="2">
        <v>13.71</v>
      </c>
      <c r="S3">
        <v>1</v>
      </c>
      <c r="T3" t="s">
        <v>58</v>
      </c>
      <c r="U3" t="s">
        <v>59</v>
      </c>
      <c r="V3" s="3">
        <v>0.7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9.6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45957</v>
      </c>
      <c r="B4" t="s">
        <v>48</v>
      </c>
      <c r="C4">
        <v>649163</v>
      </c>
      <c r="D4">
        <v>2030361122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54</v>
      </c>
      <c r="K4">
        <v>856163</v>
      </c>
      <c r="L4" t="s">
        <v>70</v>
      </c>
      <c r="M4" t="s">
        <v>71</v>
      </c>
      <c r="N4" t="s">
        <v>57</v>
      </c>
      <c r="O4" s="1">
        <v>45901</v>
      </c>
      <c r="Q4" s="1">
        <v>45992</v>
      </c>
      <c r="R4" s="2">
        <v>78.069999999999993</v>
      </c>
      <c r="S4">
        <v>1</v>
      </c>
      <c r="T4" t="s">
        <v>58</v>
      </c>
      <c r="U4" t="s">
        <v>59</v>
      </c>
      <c r="V4" s="3">
        <v>0.7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54.65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45957</v>
      </c>
      <c r="B5" t="s">
        <v>48</v>
      </c>
      <c r="C5">
        <v>649163</v>
      </c>
      <c r="D5">
        <v>2030372674</v>
      </c>
      <c r="E5" t="s">
        <v>72</v>
      </c>
      <c r="F5" t="s">
        <v>73</v>
      </c>
      <c r="G5" t="s">
        <v>51</v>
      </c>
      <c r="H5" t="s">
        <v>69</v>
      </c>
      <c r="I5" t="s">
        <v>53</v>
      </c>
      <c r="J5" t="s">
        <v>54</v>
      </c>
      <c r="K5">
        <v>824062</v>
      </c>
      <c r="L5" t="s">
        <v>74</v>
      </c>
      <c r="M5" t="s">
        <v>75</v>
      </c>
      <c r="N5" t="s">
        <v>57</v>
      </c>
      <c r="O5" s="1">
        <v>45901</v>
      </c>
      <c r="Q5" s="1">
        <v>45992</v>
      </c>
      <c r="R5" s="2">
        <v>102.7</v>
      </c>
      <c r="S5">
        <v>1</v>
      </c>
      <c r="T5" t="s">
        <v>58</v>
      </c>
      <c r="U5" t="s">
        <v>59</v>
      </c>
      <c r="V5" s="3">
        <v>0.7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71.89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45957</v>
      </c>
      <c r="B6" t="s">
        <v>48</v>
      </c>
      <c r="C6">
        <v>649163</v>
      </c>
      <c r="D6">
        <v>2030383551</v>
      </c>
      <c r="E6" t="s">
        <v>76</v>
      </c>
      <c r="F6" t="s">
        <v>77</v>
      </c>
      <c r="G6" t="s">
        <v>51</v>
      </c>
      <c r="H6" t="s">
        <v>78</v>
      </c>
      <c r="I6" t="s">
        <v>53</v>
      </c>
      <c r="J6" t="s">
        <v>54</v>
      </c>
      <c r="K6">
        <v>753748</v>
      </c>
      <c r="L6" t="s">
        <v>65</v>
      </c>
      <c r="M6" t="s">
        <v>66</v>
      </c>
      <c r="N6" t="s">
        <v>57</v>
      </c>
      <c r="O6" s="1">
        <v>45901</v>
      </c>
      <c r="Q6" s="1">
        <v>45992</v>
      </c>
      <c r="R6" s="2">
        <v>36.58</v>
      </c>
      <c r="S6">
        <v>1</v>
      </c>
      <c r="T6" t="s">
        <v>58</v>
      </c>
      <c r="U6" t="s">
        <v>59</v>
      </c>
      <c r="V6" s="3">
        <v>0.7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25.61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45957</v>
      </c>
      <c r="B7" t="s">
        <v>48</v>
      </c>
      <c r="C7">
        <v>649163</v>
      </c>
      <c r="D7">
        <v>2030409866</v>
      </c>
      <c r="E7" t="s">
        <v>79</v>
      </c>
      <c r="F7" t="s">
        <v>80</v>
      </c>
      <c r="G7" t="s">
        <v>51</v>
      </c>
      <c r="H7" t="s">
        <v>81</v>
      </c>
      <c r="I7" t="s">
        <v>53</v>
      </c>
      <c r="J7" t="s">
        <v>54</v>
      </c>
      <c r="K7">
        <v>812656</v>
      </c>
      <c r="L7" t="s">
        <v>82</v>
      </c>
      <c r="M7" t="s">
        <v>83</v>
      </c>
      <c r="N7" t="s">
        <v>57</v>
      </c>
      <c r="O7" s="1">
        <v>45901</v>
      </c>
      <c r="Q7" s="1">
        <v>45992</v>
      </c>
      <c r="R7" s="2">
        <v>66.239999999999995</v>
      </c>
      <c r="S7">
        <v>1</v>
      </c>
      <c r="T7" t="s">
        <v>58</v>
      </c>
      <c r="U7" t="s">
        <v>59</v>
      </c>
      <c r="V7" s="3">
        <v>0.7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46.37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45957</v>
      </c>
      <c r="B8" t="s">
        <v>48</v>
      </c>
      <c r="C8">
        <v>649163</v>
      </c>
      <c r="D8">
        <v>2030439490</v>
      </c>
      <c r="E8" t="s">
        <v>84</v>
      </c>
      <c r="F8" t="s">
        <v>85</v>
      </c>
      <c r="G8" t="s">
        <v>51</v>
      </c>
      <c r="H8" t="s">
        <v>69</v>
      </c>
      <c r="I8" t="s">
        <v>53</v>
      </c>
      <c r="J8" t="s">
        <v>54</v>
      </c>
      <c r="K8">
        <v>673059</v>
      </c>
      <c r="L8" t="s">
        <v>55</v>
      </c>
      <c r="M8" t="s">
        <v>56</v>
      </c>
      <c r="N8" t="s">
        <v>57</v>
      </c>
      <c r="O8" s="1">
        <v>45901</v>
      </c>
      <c r="Q8" s="1">
        <v>45992</v>
      </c>
      <c r="R8" s="2">
        <v>60.25</v>
      </c>
      <c r="S8">
        <v>1</v>
      </c>
      <c r="T8" t="s">
        <v>58</v>
      </c>
      <c r="U8" t="s">
        <v>59</v>
      </c>
      <c r="V8" s="3">
        <v>0.7</v>
      </c>
      <c r="W8" s="2">
        <v>0</v>
      </c>
      <c r="X8">
        <v>0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42.18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45957</v>
      </c>
      <c r="B9" t="s">
        <v>48</v>
      </c>
      <c r="C9">
        <v>649163</v>
      </c>
      <c r="D9">
        <v>2030453119</v>
      </c>
      <c r="E9" t="s">
        <v>86</v>
      </c>
      <c r="F9" t="s">
        <v>87</v>
      </c>
      <c r="G9" t="s">
        <v>51</v>
      </c>
      <c r="H9" t="s">
        <v>69</v>
      </c>
      <c r="I9" t="s">
        <v>53</v>
      </c>
      <c r="J9" t="s">
        <v>54</v>
      </c>
      <c r="K9">
        <v>806645</v>
      </c>
      <c r="L9" t="s">
        <v>88</v>
      </c>
      <c r="M9" t="s">
        <v>89</v>
      </c>
      <c r="N9" t="s">
        <v>57</v>
      </c>
      <c r="O9" s="1">
        <v>45901</v>
      </c>
      <c r="Q9" s="1">
        <v>45992</v>
      </c>
      <c r="R9" s="2">
        <v>31.6</v>
      </c>
      <c r="S9">
        <v>1</v>
      </c>
      <c r="T9" t="s">
        <v>58</v>
      </c>
      <c r="U9" t="s">
        <v>59</v>
      </c>
      <c r="V9" s="3">
        <v>0.7</v>
      </c>
      <c r="W9" s="2">
        <v>0</v>
      </c>
      <c r="X9">
        <v>0</v>
      </c>
      <c r="Y9" t="s">
        <v>60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22.12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45957</v>
      </c>
      <c r="B10" t="s">
        <v>48</v>
      </c>
      <c r="C10">
        <v>649163</v>
      </c>
      <c r="D10">
        <v>2030453868</v>
      </c>
      <c r="E10" t="s">
        <v>90</v>
      </c>
      <c r="F10" t="s">
        <v>91</v>
      </c>
      <c r="G10" t="s">
        <v>51</v>
      </c>
      <c r="H10" t="s">
        <v>92</v>
      </c>
      <c r="I10" t="s">
        <v>53</v>
      </c>
      <c r="J10" t="s">
        <v>54</v>
      </c>
      <c r="K10">
        <v>816021</v>
      </c>
      <c r="L10" t="s">
        <v>93</v>
      </c>
      <c r="M10" t="s">
        <v>94</v>
      </c>
      <c r="N10" t="s">
        <v>57</v>
      </c>
      <c r="O10" s="1">
        <v>45901</v>
      </c>
      <c r="Q10" s="1">
        <v>45992</v>
      </c>
      <c r="R10" s="2">
        <v>9.1</v>
      </c>
      <c r="S10">
        <v>1</v>
      </c>
      <c r="T10" t="s">
        <v>58</v>
      </c>
      <c r="U10" t="s">
        <v>59</v>
      </c>
      <c r="V10" s="3">
        <v>0.7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6.37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45957</v>
      </c>
      <c r="B11" t="s">
        <v>48</v>
      </c>
      <c r="C11">
        <v>649163</v>
      </c>
      <c r="D11">
        <v>2030464735</v>
      </c>
      <c r="E11" t="s">
        <v>95</v>
      </c>
      <c r="F11" t="s">
        <v>96</v>
      </c>
      <c r="G11" t="s">
        <v>51</v>
      </c>
      <c r="H11" t="s">
        <v>69</v>
      </c>
      <c r="I11" t="s">
        <v>53</v>
      </c>
      <c r="J11" t="s">
        <v>54</v>
      </c>
      <c r="K11">
        <v>766747</v>
      </c>
      <c r="L11" t="s">
        <v>97</v>
      </c>
      <c r="M11" t="s">
        <v>98</v>
      </c>
      <c r="N11" t="s">
        <v>57</v>
      </c>
      <c r="O11" s="1">
        <v>45901</v>
      </c>
      <c r="Q11" s="1">
        <v>45992</v>
      </c>
      <c r="R11" s="2">
        <v>57.57</v>
      </c>
      <c r="S11">
        <v>1</v>
      </c>
      <c r="T11" t="s">
        <v>58</v>
      </c>
      <c r="U11" t="s">
        <v>59</v>
      </c>
      <c r="V11" s="3">
        <v>0.7</v>
      </c>
      <c r="W11" s="2">
        <v>0</v>
      </c>
      <c r="X11">
        <v>0</v>
      </c>
      <c r="Y11" t="s">
        <v>60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40.299999999999997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45957</v>
      </c>
      <c r="B12" t="s">
        <v>48</v>
      </c>
      <c r="C12">
        <v>649163</v>
      </c>
      <c r="D12">
        <v>2030468293</v>
      </c>
      <c r="E12" t="s">
        <v>99</v>
      </c>
      <c r="F12" t="s">
        <v>100</v>
      </c>
      <c r="G12" t="s">
        <v>51</v>
      </c>
      <c r="H12" t="s">
        <v>101</v>
      </c>
      <c r="I12" t="s">
        <v>53</v>
      </c>
      <c r="J12" t="s">
        <v>54</v>
      </c>
      <c r="K12">
        <v>753748</v>
      </c>
      <c r="L12" t="s">
        <v>65</v>
      </c>
      <c r="M12" t="s">
        <v>66</v>
      </c>
      <c r="N12" t="s">
        <v>57</v>
      </c>
      <c r="O12" s="1">
        <v>45901</v>
      </c>
      <c r="Q12" s="1">
        <v>45992</v>
      </c>
      <c r="R12" s="2">
        <v>74.14</v>
      </c>
      <c r="S12">
        <v>1</v>
      </c>
      <c r="T12" t="s">
        <v>58</v>
      </c>
      <c r="U12" t="s">
        <v>59</v>
      </c>
      <c r="V12" s="3">
        <v>0.7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51.9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45957</v>
      </c>
      <c r="B13" t="s">
        <v>48</v>
      </c>
      <c r="C13">
        <v>649163</v>
      </c>
      <c r="D13">
        <v>2030488470</v>
      </c>
      <c r="E13" t="s">
        <v>102</v>
      </c>
      <c r="F13" t="s">
        <v>103</v>
      </c>
      <c r="G13" t="s">
        <v>51</v>
      </c>
      <c r="H13" t="s">
        <v>69</v>
      </c>
      <c r="I13" t="s">
        <v>53</v>
      </c>
      <c r="J13" t="s">
        <v>54</v>
      </c>
      <c r="K13">
        <v>867497</v>
      </c>
      <c r="L13" t="s">
        <v>104</v>
      </c>
      <c r="M13" t="s">
        <v>105</v>
      </c>
      <c r="N13" t="s">
        <v>57</v>
      </c>
      <c r="O13" s="1">
        <v>45901</v>
      </c>
      <c r="Q13" s="1">
        <v>45992</v>
      </c>
      <c r="R13" s="2">
        <v>65.55</v>
      </c>
      <c r="S13">
        <v>1</v>
      </c>
      <c r="T13" t="s">
        <v>58</v>
      </c>
      <c r="U13" t="s">
        <v>59</v>
      </c>
      <c r="V13" s="3">
        <v>0.7</v>
      </c>
      <c r="W13" s="2">
        <v>0</v>
      </c>
      <c r="X13">
        <v>0</v>
      </c>
      <c r="Y13" t="s">
        <v>60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45.88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45957</v>
      </c>
      <c r="B14" t="s">
        <v>48</v>
      </c>
      <c r="C14">
        <v>649163</v>
      </c>
      <c r="D14">
        <v>2030491855</v>
      </c>
      <c r="E14" t="s">
        <v>106</v>
      </c>
      <c r="F14" t="s">
        <v>107</v>
      </c>
      <c r="G14" t="s">
        <v>51</v>
      </c>
      <c r="H14" t="s">
        <v>69</v>
      </c>
      <c r="I14" t="s">
        <v>53</v>
      </c>
      <c r="J14" t="s">
        <v>54</v>
      </c>
      <c r="K14">
        <v>856574</v>
      </c>
      <c r="L14" t="s">
        <v>108</v>
      </c>
      <c r="M14" t="s">
        <v>109</v>
      </c>
      <c r="N14" t="s">
        <v>57</v>
      </c>
      <c r="O14" s="1">
        <v>45901</v>
      </c>
      <c r="Q14" s="1">
        <v>45992</v>
      </c>
      <c r="R14" s="2">
        <v>19</v>
      </c>
      <c r="S14">
        <v>1</v>
      </c>
      <c r="T14" t="s">
        <v>58</v>
      </c>
      <c r="U14" t="s">
        <v>59</v>
      </c>
      <c r="V14" s="3">
        <v>0.7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13.3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45957</v>
      </c>
      <c r="B15" t="s">
        <v>48</v>
      </c>
      <c r="C15">
        <v>649163</v>
      </c>
      <c r="D15">
        <v>2030493936</v>
      </c>
      <c r="E15" t="s">
        <v>110</v>
      </c>
      <c r="F15" t="s">
        <v>111</v>
      </c>
      <c r="G15" t="s">
        <v>51</v>
      </c>
      <c r="H15" t="s">
        <v>52</v>
      </c>
      <c r="I15" t="s">
        <v>53</v>
      </c>
      <c r="J15" t="s">
        <v>54</v>
      </c>
      <c r="K15">
        <v>673059</v>
      </c>
      <c r="L15" t="s">
        <v>55</v>
      </c>
      <c r="M15" t="s">
        <v>56</v>
      </c>
      <c r="N15" t="s">
        <v>57</v>
      </c>
      <c r="O15" s="1">
        <v>45901</v>
      </c>
      <c r="Q15" s="1">
        <v>45992</v>
      </c>
      <c r="R15" s="2">
        <v>59.57</v>
      </c>
      <c r="S15">
        <v>1</v>
      </c>
      <c r="T15" t="s">
        <v>58</v>
      </c>
      <c r="U15" t="s">
        <v>59</v>
      </c>
      <c r="V15" s="3">
        <v>0.7</v>
      </c>
      <c r="W15" s="2">
        <v>0</v>
      </c>
      <c r="X15">
        <v>0</v>
      </c>
      <c r="Y15" t="s">
        <v>60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41.7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45957</v>
      </c>
      <c r="B16" t="s">
        <v>48</v>
      </c>
      <c r="C16">
        <v>649163</v>
      </c>
      <c r="D16">
        <v>2030499770</v>
      </c>
      <c r="E16" t="s">
        <v>112</v>
      </c>
      <c r="F16" t="s">
        <v>113</v>
      </c>
      <c r="G16" t="s">
        <v>51</v>
      </c>
      <c r="H16" t="s">
        <v>52</v>
      </c>
      <c r="I16" t="s">
        <v>53</v>
      </c>
      <c r="J16" t="s">
        <v>54</v>
      </c>
      <c r="K16">
        <v>812782</v>
      </c>
      <c r="L16" t="s">
        <v>114</v>
      </c>
      <c r="M16" t="s">
        <v>115</v>
      </c>
      <c r="N16" t="s">
        <v>57</v>
      </c>
      <c r="O16" s="1">
        <v>45901</v>
      </c>
      <c r="Q16" s="1">
        <v>45992</v>
      </c>
      <c r="R16" s="2">
        <v>30.86</v>
      </c>
      <c r="S16">
        <v>1</v>
      </c>
      <c r="T16" t="s">
        <v>58</v>
      </c>
      <c r="U16" t="s">
        <v>59</v>
      </c>
      <c r="V16" s="3">
        <v>0.7</v>
      </c>
      <c r="W16" s="2">
        <v>0</v>
      </c>
      <c r="X16">
        <v>0</v>
      </c>
      <c r="Y16" t="s">
        <v>60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21.6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45957</v>
      </c>
      <c r="B17" t="s">
        <v>48</v>
      </c>
      <c r="C17">
        <v>649163</v>
      </c>
      <c r="D17">
        <v>2030500325</v>
      </c>
      <c r="E17" t="s">
        <v>116</v>
      </c>
      <c r="F17" t="s">
        <v>117</v>
      </c>
      <c r="G17" t="s">
        <v>51</v>
      </c>
      <c r="H17" t="s">
        <v>118</v>
      </c>
      <c r="I17" t="s">
        <v>53</v>
      </c>
      <c r="J17" t="s">
        <v>119</v>
      </c>
      <c r="K17">
        <v>823068</v>
      </c>
      <c r="L17" t="s">
        <v>120</v>
      </c>
      <c r="M17" t="s">
        <v>121</v>
      </c>
      <c r="N17" t="s">
        <v>57</v>
      </c>
      <c r="O17" s="1">
        <v>45901</v>
      </c>
      <c r="Q17" s="1">
        <v>45992</v>
      </c>
      <c r="R17" s="2">
        <v>55.58</v>
      </c>
      <c r="S17">
        <v>1</v>
      </c>
      <c r="T17" t="s">
        <v>58</v>
      </c>
      <c r="U17" t="s">
        <v>59</v>
      </c>
      <c r="V17" s="3">
        <v>0.7</v>
      </c>
      <c r="W17" s="2">
        <v>0</v>
      </c>
      <c r="X17">
        <v>0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38.909999999999997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45957</v>
      </c>
      <c r="B18" t="s">
        <v>48</v>
      </c>
      <c r="C18">
        <v>649163</v>
      </c>
      <c r="D18">
        <v>2030500327</v>
      </c>
      <c r="E18" t="s">
        <v>116</v>
      </c>
      <c r="F18" t="s">
        <v>117</v>
      </c>
      <c r="G18" t="s">
        <v>51</v>
      </c>
      <c r="H18" t="s">
        <v>118</v>
      </c>
      <c r="I18" t="s">
        <v>53</v>
      </c>
      <c r="J18" t="s">
        <v>122</v>
      </c>
      <c r="K18">
        <v>823068</v>
      </c>
      <c r="L18" t="s">
        <v>120</v>
      </c>
      <c r="M18" t="s">
        <v>121</v>
      </c>
      <c r="N18" t="s">
        <v>57</v>
      </c>
      <c r="O18" s="1">
        <v>45901</v>
      </c>
      <c r="Q18" s="1">
        <v>45992</v>
      </c>
      <c r="R18" s="2">
        <v>38.93</v>
      </c>
      <c r="S18">
        <v>1</v>
      </c>
      <c r="T18" t="s">
        <v>58</v>
      </c>
      <c r="U18" t="s">
        <v>59</v>
      </c>
      <c r="V18" s="3">
        <v>0.42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16.350000000000001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45957</v>
      </c>
      <c r="B19" t="s">
        <v>48</v>
      </c>
      <c r="C19">
        <v>649163</v>
      </c>
      <c r="D19">
        <v>2030500796</v>
      </c>
      <c r="E19" t="s">
        <v>123</v>
      </c>
      <c r="F19" t="s">
        <v>124</v>
      </c>
      <c r="G19" t="s">
        <v>51</v>
      </c>
      <c r="H19" t="s">
        <v>69</v>
      </c>
      <c r="I19" t="s">
        <v>53</v>
      </c>
      <c r="J19" t="s">
        <v>54</v>
      </c>
      <c r="K19">
        <v>673059</v>
      </c>
      <c r="L19" t="s">
        <v>55</v>
      </c>
      <c r="M19" t="s">
        <v>56</v>
      </c>
      <c r="N19" t="s">
        <v>57</v>
      </c>
      <c r="O19" s="1">
        <v>45901</v>
      </c>
      <c r="Q19" s="1">
        <v>45992</v>
      </c>
      <c r="R19" s="2">
        <v>119.57</v>
      </c>
      <c r="S19">
        <v>1</v>
      </c>
      <c r="T19" t="s">
        <v>58</v>
      </c>
      <c r="U19" t="s">
        <v>59</v>
      </c>
      <c r="V19" s="3">
        <v>0.7</v>
      </c>
      <c r="W19" s="2">
        <v>0</v>
      </c>
      <c r="X19">
        <v>0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83.7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45957</v>
      </c>
      <c r="B20" t="s">
        <v>48</v>
      </c>
      <c r="C20">
        <v>649163</v>
      </c>
      <c r="D20">
        <v>2030552095</v>
      </c>
      <c r="E20" t="s">
        <v>125</v>
      </c>
      <c r="F20" t="s">
        <v>126</v>
      </c>
      <c r="G20" t="s">
        <v>51</v>
      </c>
      <c r="H20" t="s">
        <v>101</v>
      </c>
      <c r="I20" t="s">
        <v>53</v>
      </c>
      <c r="J20" t="s">
        <v>54</v>
      </c>
      <c r="K20">
        <v>753748</v>
      </c>
      <c r="L20" t="s">
        <v>65</v>
      </c>
      <c r="M20" t="s">
        <v>66</v>
      </c>
      <c r="N20" t="s">
        <v>57</v>
      </c>
      <c r="O20" s="1">
        <v>45901</v>
      </c>
      <c r="Q20" s="1">
        <v>45992</v>
      </c>
      <c r="R20" s="2">
        <v>88.71</v>
      </c>
      <c r="S20">
        <v>1</v>
      </c>
      <c r="T20" t="s">
        <v>58</v>
      </c>
      <c r="U20" t="s">
        <v>59</v>
      </c>
      <c r="V20" s="3">
        <v>0.7</v>
      </c>
      <c r="W20" s="2">
        <v>0</v>
      </c>
      <c r="X20">
        <v>0</v>
      </c>
      <c r="Y20" t="s">
        <v>60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62.1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45957</v>
      </c>
      <c r="B21" t="s">
        <v>48</v>
      </c>
      <c r="C21">
        <v>649163</v>
      </c>
      <c r="D21">
        <v>2030552136</v>
      </c>
      <c r="E21" t="s">
        <v>127</v>
      </c>
      <c r="F21" t="s">
        <v>128</v>
      </c>
      <c r="G21" t="s">
        <v>51</v>
      </c>
      <c r="H21" t="s">
        <v>129</v>
      </c>
      <c r="I21" t="s">
        <v>53</v>
      </c>
      <c r="J21" t="s">
        <v>54</v>
      </c>
      <c r="K21">
        <v>874230</v>
      </c>
      <c r="L21" t="s">
        <v>130</v>
      </c>
      <c r="M21" t="s">
        <v>131</v>
      </c>
      <c r="N21" t="s">
        <v>57</v>
      </c>
      <c r="O21" s="1">
        <v>45901</v>
      </c>
      <c r="Q21" s="1">
        <v>45992</v>
      </c>
      <c r="R21" s="2">
        <v>65.48</v>
      </c>
      <c r="S21">
        <v>1</v>
      </c>
      <c r="T21" t="s">
        <v>58</v>
      </c>
      <c r="U21" t="s">
        <v>59</v>
      </c>
      <c r="V21" s="3">
        <v>0.7</v>
      </c>
      <c r="W21" s="2">
        <v>0</v>
      </c>
      <c r="X21">
        <v>0</v>
      </c>
      <c r="Y21" t="s">
        <v>60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45.84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45957</v>
      </c>
      <c r="B22" t="s">
        <v>48</v>
      </c>
      <c r="C22">
        <v>649163</v>
      </c>
      <c r="D22">
        <v>2030552137</v>
      </c>
      <c r="E22" t="s">
        <v>127</v>
      </c>
      <c r="F22" t="s">
        <v>128</v>
      </c>
      <c r="G22" t="s">
        <v>51</v>
      </c>
      <c r="H22" t="s">
        <v>129</v>
      </c>
      <c r="I22" t="s">
        <v>53</v>
      </c>
      <c r="J22" t="s">
        <v>132</v>
      </c>
      <c r="K22">
        <v>874230</v>
      </c>
      <c r="L22" t="s">
        <v>130</v>
      </c>
      <c r="M22" t="s">
        <v>131</v>
      </c>
      <c r="N22" t="s">
        <v>57</v>
      </c>
      <c r="O22" s="1">
        <v>45901</v>
      </c>
      <c r="Q22" s="1">
        <v>45992</v>
      </c>
      <c r="R22" s="2">
        <v>16.63</v>
      </c>
      <c r="S22">
        <v>1</v>
      </c>
      <c r="T22" t="s">
        <v>58</v>
      </c>
      <c r="U22" t="s">
        <v>59</v>
      </c>
      <c r="V22" s="3">
        <v>0.9</v>
      </c>
      <c r="W22" s="2">
        <v>0</v>
      </c>
      <c r="X22">
        <v>0</v>
      </c>
      <c r="Y22" t="s">
        <v>60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14.97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45957</v>
      </c>
      <c r="B23" t="s">
        <v>48</v>
      </c>
      <c r="C23">
        <v>649163</v>
      </c>
      <c r="D23">
        <v>2030569259</v>
      </c>
      <c r="E23" t="s">
        <v>133</v>
      </c>
      <c r="F23" t="s">
        <v>134</v>
      </c>
      <c r="G23" t="s">
        <v>51</v>
      </c>
      <c r="H23" t="s">
        <v>69</v>
      </c>
      <c r="I23" t="s">
        <v>53</v>
      </c>
      <c r="J23" t="s">
        <v>54</v>
      </c>
      <c r="K23">
        <v>824076</v>
      </c>
      <c r="L23" t="s">
        <v>135</v>
      </c>
      <c r="M23" t="s">
        <v>136</v>
      </c>
      <c r="N23" t="s">
        <v>57</v>
      </c>
      <c r="O23" s="1">
        <v>45901</v>
      </c>
      <c r="Q23" s="1">
        <v>45992</v>
      </c>
      <c r="R23" s="2">
        <v>11.5</v>
      </c>
      <c r="S23">
        <v>1</v>
      </c>
      <c r="T23" t="s">
        <v>58</v>
      </c>
      <c r="U23" t="s">
        <v>59</v>
      </c>
      <c r="V23" s="3">
        <v>0.7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8.0500000000000007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45957</v>
      </c>
      <c r="B24" t="s">
        <v>48</v>
      </c>
      <c r="C24">
        <v>649163</v>
      </c>
      <c r="D24">
        <v>2030570950</v>
      </c>
      <c r="E24" t="s">
        <v>137</v>
      </c>
      <c r="F24" t="s">
        <v>138</v>
      </c>
      <c r="G24" t="s">
        <v>51</v>
      </c>
      <c r="H24" t="s">
        <v>69</v>
      </c>
      <c r="I24" t="s">
        <v>53</v>
      </c>
      <c r="J24" t="s">
        <v>54</v>
      </c>
      <c r="K24">
        <v>856163</v>
      </c>
      <c r="L24" t="s">
        <v>70</v>
      </c>
      <c r="M24" t="s">
        <v>71</v>
      </c>
      <c r="N24" t="s">
        <v>57</v>
      </c>
      <c r="O24" s="1">
        <v>45901</v>
      </c>
      <c r="Q24" s="1">
        <v>45992</v>
      </c>
      <c r="R24" s="2">
        <v>66.36</v>
      </c>
      <c r="S24">
        <v>1</v>
      </c>
      <c r="T24" t="s">
        <v>58</v>
      </c>
      <c r="U24" t="s">
        <v>59</v>
      </c>
      <c r="V24" s="3">
        <v>0.7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46.45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1">
        <v>45957</v>
      </c>
      <c r="B25" t="s">
        <v>48</v>
      </c>
      <c r="C25">
        <v>649163</v>
      </c>
      <c r="D25">
        <v>2030578219</v>
      </c>
      <c r="E25" t="s">
        <v>139</v>
      </c>
      <c r="F25" t="s">
        <v>140</v>
      </c>
      <c r="G25" t="s">
        <v>51</v>
      </c>
      <c r="H25" t="s">
        <v>69</v>
      </c>
      <c r="I25" t="s">
        <v>53</v>
      </c>
      <c r="J25" t="s">
        <v>54</v>
      </c>
      <c r="K25">
        <v>882035</v>
      </c>
      <c r="L25" t="s">
        <v>141</v>
      </c>
      <c r="M25" t="s">
        <v>142</v>
      </c>
      <c r="N25" t="s">
        <v>57</v>
      </c>
      <c r="O25" s="1">
        <v>45901</v>
      </c>
      <c r="Q25" s="1">
        <v>45992</v>
      </c>
      <c r="R25" s="2">
        <v>34</v>
      </c>
      <c r="S25">
        <v>1</v>
      </c>
      <c r="T25" t="s">
        <v>58</v>
      </c>
      <c r="U25" t="s">
        <v>59</v>
      </c>
      <c r="V25" s="3">
        <v>0.7</v>
      </c>
      <c r="W25" s="2">
        <v>0</v>
      </c>
      <c r="X25">
        <v>0</v>
      </c>
      <c r="Y25" t="s">
        <v>60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23.8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45957</v>
      </c>
      <c r="B26" t="s">
        <v>48</v>
      </c>
      <c r="C26">
        <v>649163</v>
      </c>
      <c r="D26">
        <v>2030579017</v>
      </c>
      <c r="E26" t="s">
        <v>143</v>
      </c>
      <c r="F26" t="s">
        <v>144</v>
      </c>
      <c r="G26" t="s">
        <v>51</v>
      </c>
      <c r="H26" t="s">
        <v>145</v>
      </c>
      <c r="I26" t="s">
        <v>53</v>
      </c>
      <c r="J26" t="s">
        <v>54</v>
      </c>
      <c r="K26">
        <v>812782</v>
      </c>
      <c r="L26" t="s">
        <v>114</v>
      </c>
      <c r="M26" t="s">
        <v>115</v>
      </c>
      <c r="N26" t="s">
        <v>57</v>
      </c>
      <c r="O26" s="1">
        <v>45901</v>
      </c>
      <c r="Q26" s="1">
        <v>45992</v>
      </c>
      <c r="R26" s="2">
        <v>109.25</v>
      </c>
      <c r="S26">
        <v>1</v>
      </c>
      <c r="T26" t="s">
        <v>58</v>
      </c>
      <c r="U26" t="s">
        <v>59</v>
      </c>
      <c r="V26" s="3">
        <v>0.7</v>
      </c>
      <c r="W26" s="2">
        <v>0</v>
      </c>
      <c r="X26">
        <v>0</v>
      </c>
      <c r="Y26" t="s">
        <v>60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76.48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45957</v>
      </c>
      <c r="B27" t="s">
        <v>48</v>
      </c>
      <c r="C27">
        <v>649163</v>
      </c>
      <c r="D27">
        <v>2030579268</v>
      </c>
      <c r="E27" t="s">
        <v>98</v>
      </c>
      <c r="F27" t="s">
        <v>146</v>
      </c>
      <c r="G27" t="s">
        <v>51</v>
      </c>
      <c r="H27" t="s">
        <v>69</v>
      </c>
      <c r="I27" t="s">
        <v>53</v>
      </c>
      <c r="J27" t="s">
        <v>54</v>
      </c>
      <c r="K27">
        <v>814033</v>
      </c>
      <c r="L27" t="s">
        <v>147</v>
      </c>
      <c r="M27" t="s">
        <v>148</v>
      </c>
      <c r="N27" t="s">
        <v>57</v>
      </c>
      <c r="O27" s="1">
        <v>45901</v>
      </c>
      <c r="Q27" s="1">
        <v>45992</v>
      </c>
      <c r="R27" s="2">
        <v>66.36</v>
      </c>
      <c r="S27">
        <v>1</v>
      </c>
      <c r="T27" t="s">
        <v>58</v>
      </c>
      <c r="U27" t="s">
        <v>59</v>
      </c>
      <c r="V27" s="3">
        <v>0.7</v>
      </c>
      <c r="W27" s="2">
        <v>0</v>
      </c>
      <c r="X27">
        <v>0</v>
      </c>
      <c r="Y27" t="s">
        <v>60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46.45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45957</v>
      </c>
      <c r="B28" t="s">
        <v>48</v>
      </c>
      <c r="C28">
        <v>649163</v>
      </c>
      <c r="D28">
        <v>2030594430</v>
      </c>
      <c r="E28" t="s">
        <v>149</v>
      </c>
      <c r="F28" t="s">
        <v>150</v>
      </c>
      <c r="G28" t="s">
        <v>51</v>
      </c>
      <c r="H28" t="s">
        <v>145</v>
      </c>
      <c r="I28" t="s">
        <v>53</v>
      </c>
      <c r="J28" t="s">
        <v>54</v>
      </c>
      <c r="K28">
        <v>822723</v>
      </c>
      <c r="L28" t="s">
        <v>151</v>
      </c>
      <c r="M28" t="s">
        <v>152</v>
      </c>
      <c r="N28" t="s">
        <v>57</v>
      </c>
      <c r="O28" s="1">
        <v>45898</v>
      </c>
      <c r="Q28" s="1">
        <v>45990</v>
      </c>
      <c r="R28" s="2">
        <v>41.5</v>
      </c>
      <c r="S28">
        <v>1</v>
      </c>
      <c r="T28" t="s">
        <v>58</v>
      </c>
      <c r="U28" t="s">
        <v>59</v>
      </c>
      <c r="V28" s="3">
        <v>0.7</v>
      </c>
      <c r="W28" s="2">
        <v>0</v>
      </c>
      <c r="X28">
        <v>0</v>
      </c>
      <c r="Y28" t="s">
        <v>60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29.05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45957</v>
      </c>
      <c r="B29" t="s">
        <v>48</v>
      </c>
      <c r="C29">
        <v>649163</v>
      </c>
      <c r="D29">
        <v>2030597037</v>
      </c>
      <c r="E29" t="s">
        <v>153</v>
      </c>
      <c r="F29" t="s">
        <v>154</v>
      </c>
      <c r="G29" t="s">
        <v>51</v>
      </c>
      <c r="H29" t="s">
        <v>118</v>
      </c>
      <c r="I29" t="s">
        <v>53</v>
      </c>
      <c r="J29" t="s">
        <v>119</v>
      </c>
      <c r="K29">
        <v>652037</v>
      </c>
      <c r="L29" t="s">
        <v>155</v>
      </c>
      <c r="M29" t="s">
        <v>156</v>
      </c>
      <c r="N29" t="s">
        <v>57</v>
      </c>
      <c r="O29" s="1">
        <v>45901</v>
      </c>
      <c r="Q29" s="1">
        <v>45992</v>
      </c>
      <c r="R29" s="2">
        <v>24.61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17.23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45957</v>
      </c>
      <c r="B30" t="s">
        <v>48</v>
      </c>
      <c r="C30">
        <v>649163</v>
      </c>
      <c r="D30">
        <v>2030621734</v>
      </c>
      <c r="E30" t="s">
        <v>157</v>
      </c>
      <c r="F30" t="s">
        <v>158</v>
      </c>
      <c r="G30" t="s">
        <v>51</v>
      </c>
      <c r="H30" t="s">
        <v>69</v>
      </c>
      <c r="I30" t="s">
        <v>53</v>
      </c>
      <c r="J30" t="s">
        <v>54</v>
      </c>
      <c r="K30">
        <v>840313</v>
      </c>
      <c r="L30" t="s">
        <v>159</v>
      </c>
      <c r="M30" t="s">
        <v>160</v>
      </c>
      <c r="N30" t="s">
        <v>57</v>
      </c>
      <c r="O30" s="1">
        <v>45901</v>
      </c>
      <c r="Q30" s="1">
        <v>45992</v>
      </c>
      <c r="R30" s="2">
        <v>118.33</v>
      </c>
      <c r="S30">
        <v>1</v>
      </c>
      <c r="T30" t="s">
        <v>58</v>
      </c>
      <c r="U30" t="s">
        <v>59</v>
      </c>
      <c r="V30" s="3">
        <v>0.7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82.83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45957</v>
      </c>
      <c r="B31" t="s">
        <v>48</v>
      </c>
      <c r="C31">
        <v>649163</v>
      </c>
      <c r="D31">
        <v>2030625305</v>
      </c>
      <c r="E31" t="s">
        <v>161</v>
      </c>
      <c r="F31" t="s">
        <v>162</v>
      </c>
      <c r="G31" t="s">
        <v>51</v>
      </c>
      <c r="H31" t="s">
        <v>69</v>
      </c>
      <c r="I31" t="s">
        <v>53</v>
      </c>
      <c r="J31" t="s">
        <v>54</v>
      </c>
      <c r="K31">
        <v>882035</v>
      </c>
      <c r="L31" t="s">
        <v>141</v>
      </c>
      <c r="M31" t="s">
        <v>142</v>
      </c>
      <c r="N31" t="s">
        <v>57</v>
      </c>
      <c r="O31" s="1">
        <v>45901</v>
      </c>
      <c r="Q31" s="1">
        <v>45992</v>
      </c>
      <c r="R31" s="2">
        <v>59.4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41.58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45957</v>
      </c>
      <c r="B32" t="s">
        <v>48</v>
      </c>
      <c r="C32">
        <v>649163</v>
      </c>
      <c r="D32">
        <v>2030638848</v>
      </c>
      <c r="E32" t="s">
        <v>163</v>
      </c>
      <c r="F32" t="s">
        <v>164</v>
      </c>
      <c r="G32" t="s">
        <v>51</v>
      </c>
      <c r="H32" t="s">
        <v>165</v>
      </c>
      <c r="I32" t="s">
        <v>53</v>
      </c>
      <c r="J32" t="s">
        <v>54</v>
      </c>
      <c r="K32">
        <v>673059</v>
      </c>
      <c r="L32" t="s">
        <v>55</v>
      </c>
      <c r="M32" t="s">
        <v>56</v>
      </c>
      <c r="N32" t="s">
        <v>57</v>
      </c>
      <c r="O32" s="1">
        <v>45901</v>
      </c>
      <c r="Q32" s="1">
        <v>45992</v>
      </c>
      <c r="R32" s="2">
        <v>69.14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48.4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45957</v>
      </c>
      <c r="B33" t="s">
        <v>48</v>
      </c>
      <c r="C33">
        <v>649163</v>
      </c>
      <c r="D33">
        <v>2030642689</v>
      </c>
      <c r="E33" t="s">
        <v>103</v>
      </c>
      <c r="F33" t="s">
        <v>166</v>
      </c>
      <c r="G33" t="s">
        <v>51</v>
      </c>
      <c r="H33" t="s">
        <v>52</v>
      </c>
      <c r="I33" t="s">
        <v>53</v>
      </c>
      <c r="J33" t="s">
        <v>54</v>
      </c>
      <c r="K33">
        <v>673059</v>
      </c>
      <c r="L33" t="s">
        <v>55</v>
      </c>
      <c r="M33" t="s">
        <v>56</v>
      </c>
      <c r="N33" t="s">
        <v>57</v>
      </c>
      <c r="O33" s="1">
        <v>45901</v>
      </c>
      <c r="Q33" s="1">
        <v>45992</v>
      </c>
      <c r="R33" s="2">
        <v>41.75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29.22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45957</v>
      </c>
      <c r="B34" t="s">
        <v>48</v>
      </c>
      <c r="C34">
        <v>649163</v>
      </c>
      <c r="D34">
        <v>2030659851</v>
      </c>
      <c r="E34" t="s">
        <v>167</v>
      </c>
      <c r="F34" t="s">
        <v>168</v>
      </c>
      <c r="G34" t="s">
        <v>51</v>
      </c>
      <c r="H34" t="s">
        <v>69</v>
      </c>
      <c r="I34" t="s">
        <v>53</v>
      </c>
      <c r="J34" t="s">
        <v>54</v>
      </c>
      <c r="K34">
        <v>669316</v>
      </c>
      <c r="L34" t="s">
        <v>169</v>
      </c>
      <c r="M34" t="s">
        <v>170</v>
      </c>
      <c r="N34" t="s">
        <v>57</v>
      </c>
      <c r="O34" s="1">
        <v>45901</v>
      </c>
      <c r="Q34" s="1">
        <v>45992</v>
      </c>
      <c r="R34" s="2">
        <v>31.6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22.12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45957</v>
      </c>
      <c r="B35" t="s">
        <v>48</v>
      </c>
      <c r="C35">
        <v>649163</v>
      </c>
      <c r="D35">
        <v>2030670300</v>
      </c>
      <c r="E35" t="s">
        <v>171</v>
      </c>
      <c r="F35" t="s">
        <v>172</v>
      </c>
      <c r="G35" t="s">
        <v>51</v>
      </c>
      <c r="H35" t="s">
        <v>52</v>
      </c>
      <c r="I35" t="s">
        <v>53</v>
      </c>
      <c r="J35" t="s">
        <v>54</v>
      </c>
      <c r="K35">
        <v>814033</v>
      </c>
      <c r="L35" t="s">
        <v>147</v>
      </c>
      <c r="M35" t="s">
        <v>148</v>
      </c>
      <c r="N35" t="s">
        <v>57</v>
      </c>
      <c r="O35" s="1">
        <v>45901</v>
      </c>
      <c r="Q35" s="1">
        <v>45992</v>
      </c>
      <c r="R35" s="2">
        <v>32.31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22.62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45957</v>
      </c>
      <c r="B36" t="s">
        <v>48</v>
      </c>
      <c r="C36">
        <v>649163</v>
      </c>
      <c r="D36">
        <v>2030671135</v>
      </c>
      <c r="E36" t="s">
        <v>173</v>
      </c>
      <c r="F36" t="s">
        <v>174</v>
      </c>
      <c r="G36" t="s">
        <v>51</v>
      </c>
      <c r="H36" t="s">
        <v>81</v>
      </c>
      <c r="I36" t="s">
        <v>53</v>
      </c>
      <c r="J36" t="s">
        <v>54</v>
      </c>
      <c r="K36">
        <v>856824</v>
      </c>
      <c r="L36" t="s">
        <v>175</v>
      </c>
      <c r="M36" t="s">
        <v>176</v>
      </c>
      <c r="N36" t="s">
        <v>57</v>
      </c>
      <c r="O36" s="1">
        <v>45901</v>
      </c>
      <c r="Q36" s="1">
        <v>45992</v>
      </c>
      <c r="R36" s="2">
        <v>29.1</v>
      </c>
      <c r="S36">
        <v>1</v>
      </c>
      <c r="T36" t="s">
        <v>58</v>
      </c>
      <c r="U36" t="s">
        <v>59</v>
      </c>
      <c r="V36" s="3">
        <v>0.7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20.37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45957</v>
      </c>
      <c r="B37" t="s">
        <v>48</v>
      </c>
      <c r="C37">
        <v>649163</v>
      </c>
      <c r="D37">
        <v>2030673650</v>
      </c>
      <c r="E37" t="s">
        <v>177</v>
      </c>
      <c r="F37" t="s">
        <v>178</v>
      </c>
      <c r="G37" t="s">
        <v>51</v>
      </c>
      <c r="H37" t="s">
        <v>179</v>
      </c>
      <c r="I37" t="s">
        <v>53</v>
      </c>
      <c r="J37" t="s">
        <v>54</v>
      </c>
      <c r="K37">
        <v>673059</v>
      </c>
      <c r="L37" t="s">
        <v>55</v>
      </c>
      <c r="M37" t="s">
        <v>56</v>
      </c>
      <c r="N37" t="s">
        <v>57</v>
      </c>
      <c r="O37" s="1">
        <v>45901</v>
      </c>
      <c r="Q37" s="1">
        <v>45992</v>
      </c>
      <c r="R37" s="2">
        <v>113.98</v>
      </c>
      <c r="S37">
        <v>1</v>
      </c>
      <c r="T37" t="s">
        <v>58</v>
      </c>
      <c r="U37" t="s">
        <v>59</v>
      </c>
      <c r="V37" s="3">
        <v>0.7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79.790000000000006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45957</v>
      </c>
      <c r="B38" t="s">
        <v>48</v>
      </c>
      <c r="C38">
        <v>649163</v>
      </c>
      <c r="D38">
        <v>2030673651</v>
      </c>
      <c r="E38" t="s">
        <v>177</v>
      </c>
      <c r="F38" t="s">
        <v>178</v>
      </c>
      <c r="G38" t="s">
        <v>51</v>
      </c>
      <c r="H38" t="s">
        <v>179</v>
      </c>
      <c r="I38" t="s">
        <v>53</v>
      </c>
      <c r="J38" t="s">
        <v>119</v>
      </c>
      <c r="K38">
        <v>673059</v>
      </c>
      <c r="L38" t="s">
        <v>55</v>
      </c>
      <c r="M38" t="s">
        <v>56</v>
      </c>
      <c r="N38" t="s">
        <v>57</v>
      </c>
      <c r="O38" s="1">
        <v>45901</v>
      </c>
      <c r="Q38" s="1">
        <v>45992</v>
      </c>
      <c r="R38" s="2">
        <v>8.3699999999999992</v>
      </c>
      <c r="S38">
        <v>1</v>
      </c>
      <c r="T38" t="s">
        <v>58</v>
      </c>
      <c r="U38" t="s">
        <v>59</v>
      </c>
      <c r="V38" s="3">
        <v>0.7</v>
      </c>
      <c r="W38" s="2">
        <v>0</v>
      </c>
      <c r="X38">
        <v>0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5.86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45957</v>
      </c>
      <c r="B39" t="s">
        <v>48</v>
      </c>
      <c r="C39">
        <v>649163</v>
      </c>
      <c r="D39">
        <v>2030675165</v>
      </c>
      <c r="E39" t="s">
        <v>180</v>
      </c>
      <c r="F39" t="s">
        <v>181</v>
      </c>
      <c r="G39" t="s">
        <v>51</v>
      </c>
      <c r="H39" t="s">
        <v>182</v>
      </c>
      <c r="I39" t="s">
        <v>53</v>
      </c>
      <c r="J39" t="s">
        <v>54</v>
      </c>
      <c r="K39">
        <v>823350</v>
      </c>
      <c r="L39" t="s">
        <v>70</v>
      </c>
      <c r="M39" t="s">
        <v>183</v>
      </c>
      <c r="N39" t="s">
        <v>57</v>
      </c>
      <c r="O39" s="1">
        <v>45901</v>
      </c>
      <c r="Q39" s="1">
        <v>45992</v>
      </c>
      <c r="R39" s="2">
        <v>24.15</v>
      </c>
      <c r="S39">
        <v>1</v>
      </c>
      <c r="T39" t="s">
        <v>58</v>
      </c>
      <c r="U39" t="s">
        <v>59</v>
      </c>
      <c r="V39" s="3">
        <v>0.7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16.899999999999999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45957</v>
      </c>
      <c r="B40" t="s">
        <v>48</v>
      </c>
      <c r="C40">
        <v>649163</v>
      </c>
      <c r="D40">
        <v>2030686025</v>
      </c>
      <c r="E40" t="s">
        <v>184</v>
      </c>
      <c r="F40" t="s">
        <v>185</v>
      </c>
      <c r="G40" t="s">
        <v>51</v>
      </c>
      <c r="H40" t="s">
        <v>92</v>
      </c>
      <c r="I40" t="s">
        <v>53</v>
      </c>
      <c r="J40" t="s">
        <v>54</v>
      </c>
      <c r="K40">
        <v>816021</v>
      </c>
      <c r="L40" t="s">
        <v>93</v>
      </c>
      <c r="M40" t="s">
        <v>94</v>
      </c>
      <c r="N40" t="s">
        <v>57</v>
      </c>
      <c r="O40" s="1">
        <v>45901</v>
      </c>
      <c r="Q40" s="1">
        <v>45992</v>
      </c>
      <c r="R40" s="2">
        <v>9.1</v>
      </c>
      <c r="S40">
        <v>1</v>
      </c>
      <c r="T40" t="s">
        <v>58</v>
      </c>
      <c r="U40" t="s">
        <v>59</v>
      </c>
      <c r="V40" s="3">
        <v>0.7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6.37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1">
        <v>45957</v>
      </c>
      <c r="B41" t="s">
        <v>48</v>
      </c>
      <c r="C41">
        <v>649163</v>
      </c>
      <c r="D41">
        <v>2030694347</v>
      </c>
      <c r="E41" t="s">
        <v>186</v>
      </c>
      <c r="F41" t="s">
        <v>187</v>
      </c>
      <c r="G41" t="s">
        <v>51</v>
      </c>
      <c r="H41" t="s">
        <v>129</v>
      </c>
      <c r="I41" t="s">
        <v>53</v>
      </c>
      <c r="J41" t="s">
        <v>54</v>
      </c>
      <c r="K41">
        <v>874230</v>
      </c>
      <c r="L41" t="s">
        <v>130</v>
      </c>
      <c r="M41" t="s">
        <v>131</v>
      </c>
      <c r="N41" t="s">
        <v>57</v>
      </c>
      <c r="O41" s="1">
        <v>45901</v>
      </c>
      <c r="Q41" s="1">
        <v>45992</v>
      </c>
      <c r="R41" s="2">
        <v>53.04</v>
      </c>
      <c r="S41">
        <v>1</v>
      </c>
      <c r="T41" t="s">
        <v>58</v>
      </c>
      <c r="U41" t="s">
        <v>59</v>
      </c>
      <c r="V41" s="3">
        <v>0.7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37.130000000000003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45957</v>
      </c>
      <c r="B42" t="s">
        <v>48</v>
      </c>
      <c r="C42">
        <v>649163</v>
      </c>
      <c r="D42">
        <v>2030694666</v>
      </c>
      <c r="E42" t="s">
        <v>188</v>
      </c>
      <c r="F42" t="s">
        <v>189</v>
      </c>
      <c r="G42" t="s">
        <v>51</v>
      </c>
      <c r="H42" t="s">
        <v>190</v>
      </c>
      <c r="I42" t="s">
        <v>53</v>
      </c>
      <c r="J42" t="s">
        <v>54</v>
      </c>
      <c r="K42">
        <v>756418</v>
      </c>
      <c r="L42" t="s">
        <v>191</v>
      </c>
      <c r="M42" t="s">
        <v>192</v>
      </c>
      <c r="N42" t="s">
        <v>57</v>
      </c>
      <c r="O42" s="1">
        <v>45896</v>
      </c>
      <c r="Q42" s="1">
        <v>45988</v>
      </c>
      <c r="R42" s="2">
        <v>26.32</v>
      </c>
      <c r="S42">
        <v>1</v>
      </c>
      <c r="T42" t="s">
        <v>58</v>
      </c>
      <c r="U42" t="s">
        <v>59</v>
      </c>
      <c r="V42" s="3">
        <v>0.7</v>
      </c>
      <c r="W42" s="2">
        <v>0</v>
      </c>
      <c r="X42">
        <v>0</v>
      </c>
      <c r="Y42" t="s">
        <v>60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18.420000000000002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45957</v>
      </c>
      <c r="B43" t="s">
        <v>48</v>
      </c>
      <c r="C43">
        <v>649163</v>
      </c>
      <c r="D43">
        <v>2030697182</v>
      </c>
      <c r="E43" t="s">
        <v>193</v>
      </c>
      <c r="F43" t="s">
        <v>194</v>
      </c>
      <c r="G43" t="s">
        <v>51</v>
      </c>
      <c r="H43" t="s">
        <v>195</v>
      </c>
      <c r="I43" t="s">
        <v>53</v>
      </c>
      <c r="J43" t="s">
        <v>132</v>
      </c>
      <c r="K43">
        <v>885445</v>
      </c>
      <c r="L43" t="s">
        <v>196</v>
      </c>
      <c r="M43" t="s">
        <v>197</v>
      </c>
      <c r="N43" t="s">
        <v>57</v>
      </c>
      <c r="O43" s="1">
        <v>45901</v>
      </c>
      <c r="Q43" s="1">
        <v>45992</v>
      </c>
      <c r="R43" s="2">
        <v>68.63</v>
      </c>
      <c r="S43">
        <v>1</v>
      </c>
      <c r="T43" t="s">
        <v>58</v>
      </c>
      <c r="U43" t="s">
        <v>59</v>
      </c>
      <c r="V43" s="3">
        <v>0.9</v>
      </c>
      <c r="W43" s="2">
        <v>0</v>
      </c>
      <c r="X43">
        <v>0</v>
      </c>
      <c r="Y43" t="s">
        <v>60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61.77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45957</v>
      </c>
      <c r="B44" t="s">
        <v>48</v>
      </c>
      <c r="C44">
        <v>649163</v>
      </c>
      <c r="D44">
        <v>2030707328</v>
      </c>
      <c r="E44" t="s">
        <v>198</v>
      </c>
      <c r="F44" t="s">
        <v>199</v>
      </c>
      <c r="G44" t="s">
        <v>51</v>
      </c>
      <c r="H44" t="s">
        <v>92</v>
      </c>
      <c r="I44" t="s">
        <v>53</v>
      </c>
      <c r="J44" t="s">
        <v>54</v>
      </c>
      <c r="K44">
        <v>756418</v>
      </c>
      <c r="L44" t="s">
        <v>191</v>
      </c>
      <c r="M44" t="s">
        <v>192</v>
      </c>
      <c r="N44" t="s">
        <v>57</v>
      </c>
      <c r="O44" s="1">
        <v>45896</v>
      </c>
      <c r="Q44" s="1">
        <v>45988</v>
      </c>
      <c r="R44" s="2">
        <v>19.489999999999998</v>
      </c>
      <c r="S44">
        <v>1</v>
      </c>
      <c r="T44" t="s">
        <v>58</v>
      </c>
      <c r="U44" t="s">
        <v>59</v>
      </c>
      <c r="V44" s="3">
        <v>0.7</v>
      </c>
      <c r="W44" s="2">
        <v>0</v>
      </c>
      <c r="X44">
        <v>0</v>
      </c>
      <c r="Y44" t="s">
        <v>60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13.64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45957</v>
      </c>
      <c r="B45" t="s">
        <v>48</v>
      </c>
      <c r="C45">
        <v>649163</v>
      </c>
      <c r="D45">
        <v>2030714655</v>
      </c>
      <c r="E45" t="s">
        <v>86</v>
      </c>
      <c r="F45" t="s">
        <v>200</v>
      </c>
      <c r="G45" t="s">
        <v>51</v>
      </c>
      <c r="H45" t="s">
        <v>201</v>
      </c>
      <c r="I45" t="s">
        <v>53</v>
      </c>
      <c r="J45" t="s">
        <v>122</v>
      </c>
      <c r="K45">
        <v>856824</v>
      </c>
      <c r="L45" t="s">
        <v>175</v>
      </c>
      <c r="M45" t="s">
        <v>176</v>
      </c>
      <c r="N45" t="s">
        <v>57</v>
      </c>
      <c r="O45" s="1">
        <v>45901</v>
      </c>
      <c r="Q45" s="1">
        <v>45992</v>
      </c>
      <c r="R45" s="2">
        <v>22.02</v>
      </c>
      <c r="S45">
        <v>1</v>
      </c>
      <c r="T45" t="s">
        <v>58</v>
      </c>
      <c r="U45" t="s">
        <v>59</v>
      </c>
      <c r="V45" s="3">
        <v>0.42</v>
      </c>
      <c r="W45" s="2">
        <v>0</v>
      </c>
      <c r="X45">
        <v>0</v>
      </c>
      <c r="Y45" t="s">
        <v>60</v>
      </c>
      <c r="Z45" t="s">
        <v>61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9.25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45957</v>
      </c>
      <c r="B46" t="s">
        <v>48</v>
      </c>
      <c r="C46">
        <v>649163</v>
      </c>
      <c r="D46">
        <v>2030720375</v>
      </c>
      <c r="E46" t="s">
        <v>202</v>
      </c>
      <c r="F46" t="s">
        <v>203</v>
      </c>
      <c r="G46" t="s">
        <v>51</v>
      </c>
      <c r="H46" t="s">
        <v>92</v>
      </c>
      <c r="I46" t="s">
        <v>53</v>
      </c>
      <c r="J46" t="s">
        <v>54</v>
      </c>
      <c r="K46">
        <v>816021</v>
      </c>
      <c r="L46" t="s">
        <v>93</v>
      </c>
      <c r="M46" t="s">
        <v>94</v>
      </c>
      <c r="N46" t="s">
        <v>57</v>
      </c>
      <c r="O46" s="1">
        <v>45901</v>
      </c>
      <c r="Q46" s="1">
        <v>45992</v>
      </c>
      <c r="R46" s="2">
        <v>9.1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6.37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45957</v>
      </c>
      <c r="B47" t="s">
        <v>48</v>
      </c>
      <c r="C47">
        <v>649163</v>
      </c>
      <c r="D47">
        <v>2030743323</v>
      </c>
      <c r="E47" t="s">
        <v>204</v>
      </c>
      <c r="F47" t="s">
        <v>205</v>
      </c>
      <c r="G47" t="s">
        <v>51</v>
      </c>
      <c r="H47" t="s">
        <v>165</v>
      </c>
      <c r="I47" t="s">
        <v>53</v>
      </c>
      <c r="J47" t="s">
        <v>54</v>
      </c>
      <c r="K47">
        <v>753748</v>
      </c>
      <c r="L47" t="s">
        <v>65</v>
      </c>
      <c r="M47" t="s">
        <v>66</v>
      </c>
      <c r="N47" t="s">
        <v>57</v>
      </c>
      <c r="O47" s="1">
        <v>45901</v>
      </c>
      <c r="Q47" s="1">
        <v>45992</v>
      </c>
      <c r="R47" s="2">
        <v>50.24</v>
      </c>
      <c r="S47">
        <v>1</v>
      </c>
      <c r="T47" t="s">
        <v>58</v>
      </c>
      <c r="U47" t="s">
        <v>59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35.17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45957</v>
      </c>
      <c r="B48" t="s">
        <v>48</v>
      </c>
      <c r="C48">
        <v>649163</v>
      </c>
      <c r="D48">
        <v>2030743324</v>
      </c>
      <c r="E48" t="s">
        <v>204</v>
      </c>
      <c r="F48" t="s">
        <v>205</v>
      </c>
      <c r="G48" t="s">
        <v>51</v>
      </c>
      <c r="H48" t="s">
        <v>165</v>
      </c>
      <c r="I48" t="s">
        <v>53</v>
      </c>
      <c r="J48" t="s">
        <v>132</v>
      </c>
      <c r="K48">
        <v>753748</v>
      </c>
      <c r="L48" t="s">
        <v>65</v>
      </c>
      <c r="M48" t="s">
        <v>66</v>
      </c>
      <c r="N48" t="s">
        <v>57</v>
      </c>
      <c r="O48" s="1">
        <v>45901</v>
      </c>
      <c r="Q48" s="1">
        <v>45992</v>
      </c>
      <c r="R48" s="2">
        <v>68.75</v>
      </c>
      <c r="S48">
        <v>1</v>
      </c>
      <c r="T48" t="s">
        <v>58</v>
      </c>
      <c r="U48" t="s">
        <v>59</v>
      </c>
      <c r="V48" s="3">
        <v>0.9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61.88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45957</v>
      </c>
      <c r="B49" t="s">
        <v>48</v>
      </c>
      <c r="C49">
        <v>649163</v>
      </c>
      <c r="D49">
        <v>2030748533</v>
      </c>
      <c r="E49" t="s">
        <v>206</v>
      </c>
      <c r="F49" t="s">
        <v>207</v>
      </c>
      <c r="G49" t="s">
        <v>51</v>
      </c>
      <c r="H49" t="s">
        <v>208</v>
      </c>
      <c r="I49" t="s">
        <v>53</v>
      </c>
      <c r="J49" t="s">
        <v>54</v>
      </c>
      <c r="K49">
        <v>756418</v>
      </c>
      <c r="L49" t="s">
        <v>191</v>
      </c>
      <c r="M49" t="s">
        <v>192</v>
      </c>
      <c r="N49" t="s">
        <v>57</v>
      </c>
      <c r="O49" s="1">
        <v>45898</v>
      </c>
      <c r="Q49" s="1">
        <v>45990</v>
      </c>
      <c r="R49" s="2">
        <v>39.25</v>
      </c>
      <c r="S49">
        <v>1</v>
      </c>
      <c r="T49" t="s">
        <v>58</v>
      </c>
      <c r="U49" t="s">
        <v>59</v>
      </c>
      <c r="V49" s="3">
        <v>0.7</v>
      </c>
      <c r="W49" s="2">
        <v>0</v>
      </c>
      <c r="X49">
        <v>0</v>
      </c>
      <c r="Y49" t="s">
        <v>60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27.48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45957</v>
      </c>
      <c r="B50" t="s">
        <v>48</v>
      </c>
      <c r="C50">
        <v>649163</v>
      </c>
      <c r="D50">
        <v>2030762531</v>
      </c>
      <c r="E50" t="s">
        <v>209</v>
      </c>
      <c r="F50" t="s">
        <v>210</v>
      </c>
      <c r="G50" t="s">
        <v>51</v>
      </c>
      <c r="H50" t="s">
        <v>129</v>
      </c>
      <c r="I50" t="s">
        <v>53</v>
      </c>
      <c r="J50" t="s">
        <v>54</v>
      </c>
      <c r="K50">
        <v>888536</v>
      </c>
      <c r="L50" t="s">
        <v>211</v>
      </c>
      <c r="M50" t="s">
        <v>212</v>
      </c>
      <c r="N50" t="s">
        <v>57</v>
      </c>
      <c r="O50" s="1">
        <v>45899</v>
      </c>
      <c r="Q50" s="1">
        <v>45991</v>
      </c>
      <c r="R50" s="2">
        <v>30.51</v>
      </c>
      <c r="S50">
        <v>1</v>
      </c>
      <c r="T50" t="s">
        <v>58</v>
      </c>
      <c r="U50" t="s">
        <v>59</v>
      </c>
      <c r="V50" s="3">
        <v>0.7</v>
      </c>
      <c r="W50" s="2">
        <v>0</v>
      </c>
      <c r="X50">
        <v>0</v>
      </c>
      <c r="Y50" t="s">
        <v>60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21.36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45957</v>
      </c>
      <c r="B51" t="s">
        <v>48</v>
      </c>
      <c r="C51">
        <v>649163</v>
      </c>
      <c r="D51">
        <v>2030770955</v>
      </c>
      <c r="E51" t="s">
        <v>202</v>
      </c>
      <c r="F51" t="s">
        <v>213</v>
      </c>
      <c r="G51" t="s">
        <v>51</v>
      </c>
      <c r="H51" t="s">
        <v>118</v>
      </c>
      <c r="I51" t="s">
        <v>53</v>
      </c>
      <c r="J51" t="s">
        <v>119</v>
      </c>
      <c r="K51">
        <v>652037</v>
      </c>
      <c r="L51" t="s">
        <v>155</v>
      </c>
      <c r="M51" t="s">
        <v>156</v>
      </c>
      <c r="N51" t="s">
        <v>57</v>
      </c>
      <c r="O51" s="1">
        <v>45901</v>
      </c>
      <c r="Q51" s="1">
        <v>45992</v>
      </c>
      <c r="R51" s="2">
        <v>78.97</v>
      </c>
      <c r="S51">
        <v>1</v>
      </c>
      <c r="T51" t="s">
        <v>58</v>
      </c>
      <c r="U51" t="s">
        <v>59</v>
      </c>
      <c r="V51" s="3">
        <v>0.7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55.28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45957</v>
      </c>
      <c r="B52" t="s">
        <v>48</v>
      </c>
      <c r="C52">
        <v>649163</v>
      </c>
      <c r="D52">
        <v>2030774548</v>
      </c>
      <c r="E52" t="s">
        <v>214</v>
      </c>
      <c r="F52" t="s">
        <v>215</v>
      </c>
      <c r="G52" t="s">
        <v>51</v>
      </c>
      <c r="H52" t="s">
        <v>69</v>
      </c>
      <c r="I52" t="s">
        <v>53</v>
      </c>
      <c r="J52" t="s">
        <v>54</v>
      </c>
      <c r="K52">
        <v>840313</v>
      </c>
      <c r="L52" t="s">
        <v>159</v>
      </c>
      <c r="M52" t="s">
        <v>160</v>
      </c>
      <c r="N52" t="s">
        <v>57</v>
      </c>
      <c r="O52" s="1">
        <v>45901</v>
      </c>
      <c r="Q52" s="1">
        <v>45992</v>
      </c>
      <c r="R52" s="2">
        <v>72.760000000000005</v>
      </c>
      <c r="S52">
        <v>1</v>
      </c>
      <c r="T52" t="s">
        <v>58</v>
      </c>
      <c r="U52" t="s">
        <v>59</v>
      </c>
      <c r="V52" s="3">
        <v>0.7</v>
      </c>
      <c r="W52" s="2">
        <v>0</v>
      </c>
      <c r="X52">
        <v>0</v>
      </c>
      <c r="Y52" t="s">
        <v>60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50.93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45957</v>
      </c>
      <c r="B53" t="s">
        <v>48</v>
      </c>
      <c r="C53">
        <v>649163</v>
      </c>
      <c r="D53">
        <v>2030777832</v>
      </c>
      <c r="E53" t="s">
        <v>216</v>
      </c>
      <c r="F53" t="s">
        <v>217</v>
      </c>
      <c r="G53" t="s">
        <v>51</v>
      </c>
      <c r="H53" t="s">
        <v>69</v>
      </c>
      <c r="I53" t="s">
        <v>53</v>
      </c>
      <c r="J53" t="s">
        <v>54</v>
      </c>
      <c r="K53">
        <v>813184</v>
      </c>
      <c r="L53" t="s">
        <v>218</v>
      </c>
      <c r="M53" t="s">
        <v>219</v>
      </c>
      <c r="N53" t="s">
        <v>57</v>
      </c>
      <c r="O53" s="1">
        <v>45901</v>
      </c>
      <c r="Q53" s="1">
        <v>45992</v>
      </c>
      <c r="R53" s="2">
        <v>137.41</v>
      </c>
      <c r="S53">
        <v>1</v>
      </c>
      <c r="T53" t="s">
        <v>58</v>
      </c>
      <c r="U53" t="s">
        <v>59</v>
      </c>
      <c r="V53" s="3">
        <v>0.7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96.19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45957</v>
      </c>
      <c r="B54" t="s">
        <v>48</v>
      </c>
      <c r="C54">
        <v>649163</v>
      </c>
      <c r="D54">
        <v>2030779465</v>
      </c>
      <c r="E54" t="s">
        <v>220</v>
      </c>
      <c r="F54" t="s">
        <v>221</v>
      </c>
      <c r="G54" t="s">
        <v>51</v>
      </c>
      <c r="H54" t="s">
        <v>92</v>
      </c>
      <c r="I54" t="s">
        <v>53</v>
      </c>
      <c r="J54" t="s">
        <v>54</v>
      </c>
      <c r="K54">
        <v>816021</v>
      </c>
      <c r="L54" t="s">
        <v>93</v>
      </c>
      <c r="M54" t="s">
        <v>94</v>
      </c>
      <c r="N54" t="s">
        <v>57</v>
      </c>
      <c r="O54" s="1">
        <v>45901</v>
      </c>
      <c r="Q54" s="1">
        <v>45992</v>
      </c>
      <c r="R54" s="2">
        <v>9.1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6.37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45957</v>
      </c>
      <c r="B55" t="s">
        <v>48</v>
      </c>
      <c r="C55">
        <v>649163</v>
      </c>
      <c r="D55">
        <v>2030784686</v>
      </c>
      <c r="E55" t="s">
        <v>222</v>
      </c>
      <c r="F55" t="s">
        <v>223</v>
      </c>
      <c r="G55" t="s">
        <v>51</v>
      </c>
      <c r="H55" t="s">
        <v>101</v>
      </c>
      <c r="I55" t="s">
        <v>53</v>
      </c>
      <c r="J55" t="s">
        <v>54</v>
      </c>
      <c r="K55">
        <v>823350</v>
      </c>
      <c r="L55" t="s">
        <v>70</v>
      </c>
      <c r="M55" t="s">
        <v>183</v>
      </c>
      <c r="N55" t="s">
        <v>57</v>
      </c>
      <c r="O55" s="1">
        <v>45901</v>
      </c>
      <c r="Q55" s="1">
        <v>45992</v>
      </c>
      <c r="R55" s="2">
        <v>161.18</v>
      </c>
      <c r="S55">
        <v>1</v>
      </c>
      <c r="T55" t="s">
        <v>58</v>
      </c>
      <c r="U55" t="s">
        <v>59</v>
      </c>
      <c r="V55" s="3">
        <v>0.7</v>
      </c>
      <c r="W55" s="2">
        <v>0</v>
      </c>
      <c r="X55">
        <v>0</v>
      </c>
      <c r="Y55" t="s">
        <v>60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112.83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45957</v>
      </c>
      <c r="B56" t="s">
        <v>48</v>
      </c>
      <c r="C56">
        <v>649163</v>
      </c>
      <c r="D56">
        <v>2030788952</v>
      </c>
      <c r="E56" t="s">
        <v>224</v>
      </c>
      <c r="F56" t="s">
        <v>225</v>
      </c>
      <c r="G56" t="s">
        <v>51</v>
      </c>
      <c r="H56" t="s">
        <v>92</v>
      </c>
      <c r="I56" t="s">
        <v>53</v>
      </c>
      <c r="J56" t="s">
        <v>54</v>
      </c>
      <c r="K56">
        <v>816021</v>
      </c>
      <c r="L56" t="s">
        <v>93</v>
      </c>
      <c r="M56" t="s">
        <v>94</v>
      </c>
      <c r="N56" t="s">
        <v>57</v>
      </c>
      <c r="O56" s="1">
        <v>45901</v>
      </c>
      <c r="Q56" s="1">
        <v>45992</v>
      </c>
      <c r="R56" s="2">
        <v>9.1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6.37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45957</v>
      </c>
      <c r="B57" t="s">
        <v>48</v>
      </c>
      <c r="C57">
        <v>649163</v>
      </c>
      <c r="D57">
        <v>2030790526</v>
      </c>
      <c r="E57" t="s">
        <v>226</v>
      </c>
      <c r="F57" t="s">
        <v>227</v>
      </c>
      <c r="G57" t="s">
        <v>51</v>
      </c>
      <c r="H57" t="s">
        <v>69</v>
      </c>
      <c r="I57" t="s">
        <v>53</v>
      </c>
      <c r="J57" t="s">
        <v>54</v>
      </c>
      <c r="K57">
        <v>812994</v>
      </c>
      <c r="L57" t="s">
        <v>228</v>
      </c>
      <c r="M57" t="s">
        <v>229</v>
      </c>
      <c r="N57" t="s">
        <v>57</v>
      </c>
      <c r="O57" s="1">
        <v>45901</v>
      </c>
      <c r="Q57" s="1">
        <v>45992</v>
      </c>
      <c r="R57" s="2">
        <v>42.38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29.67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45957</v>
      </c>
      <c r="B58" t="s">
        <v>48</v>
      </c>
      <c r="C58">
        <v>649163</v>
      </c>
      <c r="D58">
        <v>2030800611</v>
      </c>
      <c r="E58" t="s">
        <v>230</v>
      </c>
      <c r="F58" t="s">
        <v>231</v>
      </c>
      <c r="G58" t="s">
        <v>51</v>
      </c>
      <c r="H58" t="s">
        <v>69</v>
      </c>
      <c r="I58" t="s">
        <v>53</v>
      </c>
      <c r="J58" t="s">
        <v>54</v>
      </c>
      <c r="K58">
        <v>812656</v>
      </c>
      <c r="L58" t="s">
        <v>82</v>
      </c>
      <c r="M58" t="s">
        <v>83</v>
      </c>
      <c r="N58" t="s">
        <v>57</v>
      </c>
      <c r="O58" s="1">
        <v>45901</v>
      </c>
      <c r="Q58" s="1">
        <v>45992</v>
      </c>
      <c r="R58" s="2">
        <v>95.54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66.88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45957</v>
      </c>
      <c r="B59" t="s">
        <v>48</v>
      </c>
      <c r="C59">
        <v>649163</v>
      </c>
      <c r="D59">
        <v>2030801810</v>
      </c>
      <c r="E59" t="s">
        <v>232</v>
      </c>
      <c r="F59" t="s">
        <v>233</v>
      </c>
      <c r="G59" t="s">
        <v>51</v>
      </c>
      <c r="H59" t="s">
        <v>234</v>
      </c>
      <c r="I59" t="s">
        <v>53</v>
      </c>
      <c r="J59" t="s">
        <v>54</v>
      </c>
      <c r="K59">
        <v>652037</v>
      </c>
      <c r="L59" t="s">
        <v>155</v>
      </c>
      <c r="M59" t="s">
        <v>156</v>
      </c>
      <c r="N59" t="s">
        <v>57</v>
      </c>
      <c r="O59" s="1">
        <v>45901</v>
      </c>
      <c r="Q59" s="1">
        <v>45992</v>
      </c>
      <c r="R59" s="2">
        <v>15.29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10.7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45957</v>
      </c>
      <c r="B60" t="s">
        <v>48</v>
      </c>
      <c r="C60">
        <v>649163</v>
      </c>
      <c r="D60">
        <v>2030823304</v>
      </c>
      <c r="E60" t="s">
        <v>235</v>
      </c>
      <c r="F60" t="s">
        <v>236</v>
      </c>
      <c r="G60" t="s">
        <v>51</v>
      </c>
      <c r="H60" t="s">
        <v>52</v>
      </c>
      <c r="I60" t="s">
        <v>53</v>
      </c>
      <c r="J60" t="s">
        <v>132</v>
      </c>
      <c r="K60">
        <v>767312</v>
      </c>
      <c r="L60" t="s">
        <v>237</v>
      </c>
      <c r="M60" t="s">
        <v>103</v>
      </c>
      <c r="N60" t="s">
        <v>57</v>
      </c>
      <c r="O60" s="1">
        <v>45927</v>
      </c>
      <c r="Q60" s="1">
        <v>45988</v>
      </c>
      <c r="R60" s="2">
        <v>9.8000000000000007</v>
      </c>
      <c r="S60">
        <v>1</v>
      </c>
      <c r="T60" t="s">
        <v>58</v>
      </c>
      <c r="U60" t="s">
        <v>238</v>
      </c>
      <c r="V60" s="3">
        <v>0.9</v>
      </c>
      <c r="W60" s="2">
        <v>0</v>
      </c>
      <c r="X60">
        <v>0</v>
      </c>
      <c r="Y60" t="s">
        <v>60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8.82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45957</v>
      </c>
      <c r="B61" t="s">
        <v>48</v>
      </c>
      <c r="C61">
        <v>649163</v>
      </c>
      <c r="D61">
        <v>2030857319</v>
      </c>
      <c r="E61" t="s">
        <v>239</v>
      </c>
      <c r="F61" t="s">
        <v>240</v>
      </c>
      <c r="G61" t="s">
        <v>51</v>
      </c>
      <c r="H61" t="s">
        <v>234</v>
      </c>
      <c r="I61" t="s">
        <v>53</v>
      </c>
      <c r="J61" t="s">
        <v>54</v>
      </c>
      <c r="K61">
        <v>756418</v>
      </c>
      <c r="L61" t="s">
        <v>191</v>
      </c>
      <c r="M61" t="s">
        <v>192</v>
      </c>
      <c r="N61" t="s">
        <v>57</v>
      </c>
      <c r="O61" s="1">
        <v>45904</v>
      </c>
      <c r="Q61" s="1">
        <v>45965</v>
      </c>
      <c r="R61" s="2">
        <v>30.88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21.62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45957</v>
      </c>
      <c r="B62" t="s">
        <v>48</v>
      </c>
      <c r="C62">
        <v>649163</v>
      </c>
      <c r="D62">
        <v>2031146811</v>
      </c>
      <c r="E62" t="s">
        <v>241</v>
      </c>
      <c r="F62" t="s">
        <v>242</v>
      </c>
      <c r="G62" t="s">
        <v>51</v>
      </c>
      <c r="H62" t="s">
        <v>69</v>
      </c>
      <c r="I62" t="s">
        <v>53</v>
      </c>
      <c r="J62" t="s">
        <v>122</v>
      </c>
      <c r="K62">
        <v>789909</v>
      </c>
      <c r="L62" t="s">
        <v>243</v>
      </c>
      <c r="M62" t="s">
        <v>244</v>
      </c>
      <c r="N62" t="s">
        <v>57</v>
      </c>
      <c r="O62" s="1">
        <v>45930</v>
      </c>
      <c r="Q62" s="1">
        <v>45991</v>
      </c>
      <c r="R62" s="2">
        <v>51</v>
      </c>
      <c r="S62">
        <v>1</v>
      </c>
      <c r="T62" t="s">
        <v>58</v>
      </c>
      <c r="U62" t="s">
        <v>238</v>
      </c>
      <c r="V62" s="3">
        <v>0.42</v>
      </c>
      <c r="W62" s="2">
        <v>0</v>
      </c>
      <c r="X62">
        <v>0</v>
      </c>
      <c r="Y62" t="s">
        <v>60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21.42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45957</v>
      </c>
      <c r="B63" t="s">
        <v>48</v>
      </c>
      <c r="C63">
        <v>649163</v>
      </c>
      <c r="D63">
        <v>2031190208</v>
      </c>
      <c r="E63" t="s">
        <v>245</v>
      </c>
      <c r="F63" t="s">
        <v>246</v>
      </c>
      <c r="G63" t="s">
        <v>51</v>
      </c>
      <c r="H63" t="s">
        <v>247</v>
      </c>
      <c r="I63" t="s">
        <v>53</v>
      </c>
      <c r="J63" t="s">
        <v>54</v>
      </c>
      <c r="K63">
        <v>823350</v>
      </c>
      <c r="L63" t="s">
        <v>70</v>
      </c>
      <c r="M63" t="s">
        <v>183</v>
      </c>
      <c r="N63" t="s">
        <v>57</v>
      </c>
      <c r="O63" s="1">
        <v>45925</v>
      </c>
      <c r="Q63" s="1">
        <v>45986</v>
      </c>
      <c r="R63" s="2">
        <v>194.05</v>
      </c>
      <c r="S63">
        <v>1</v>
      </c>
      <c r="T63" t="s">
        <v>58</v>
      </c>
      <c r="U63" t="s">
        <v>238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135.84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45957</v>
      </c>
      <c r="B64" t="s">
        <v>48</v>
      </c>
      <c r="C64">
        <v>649163</v>
      </c>
      <c r="D64">
        <v>2031242400</v>
      </c>
      <c r="E64" t="s">
        <v>248</v>
      </c>
      <c r="F64" t="s">
        <v>249</v>
      </c>
      <c r="G64" t="s">
        <v>51</v>
      </c>
      <c r="H64" t="s">
        <v>92</v>
      </c>
      <c r="I64" t="s">
        <v>53</v>
      </c>
      <c r="J64" t="s">
        <v>54</v>
      </c>
      <c r="K64">
        <v>816021</v>
      </c>
      <c r="L64" t="s">
        <v>93</v>
      </c>
      <c r="M64" t="s">
        <v>94</v>
      </c>
      <c r="N64" t="s">
        <v>57</v>
      </c>
      <c r="O64" s="1">
        <v>45925</v>
      </c>
      <c r="Q64" s="1">
        <v>45986</v>
      </c>
      <c r="R64" s="2">
        <v>27.38</v>
      </c>
      <c r="S64">
        <v>1</v>
      </c>
      <c r="T64" t="s">
        <v>58</v>
      </c>
      <c r="U64" t="s">
        <v>238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19.170000000000002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1">
        <v>45957</v>
      </c>
      <c r="B65" t="s">
        <v>48</v>
      </c>
      <c r="C65">
        <v>649163</v>
      </c>
      <c r="D65">
        <v>2031249951</v>
      </c>
      <c r="E65" t="s">
        <v>250</v>
      </c>
      <c r="F65" t="s">
        <v>98</v>
      </c>
      <c r="G65" t="s">
        <v>51</v>
      </c>
      <c r="H65" t="s">
        <v>69</v>
      </c>
      <c r="I65" t="s">
        <v>53</v>
      </c>
      <c r="J65" t="s">
        <v>54</v>
      </c>
      <c r="K65">
        <v>756803</v>
      </c>
      <c r="L65" t="s">
        <v>251</v>
      </c>
      <c r="M65" t="s">
        <v>252</v>
      </c>
      <c r="N65" t="s">
        <v>57</v>
      </c>
      <c r="O65" s="1">
        <v>45925</v>
      </c>
      <c r="Q65" s="1">
        <v>45986</v>
      </c>
      <c r="R65" s="2">
        <v>28.9</v>
      </c>
      <c r="S65">
        <v>1</v>
      </c>
      <c r="T65" t="s">
        <v>58</v>
      </c>
      <c r="U65" t="s">
        <v>238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20.23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1">
        <v>45957</v>
      </c>
      <c r="B66" t="s">
        <v>48</v>
      </c>
      <c r="C66">
        <v>649163</v>
      </c>
      <c r="D66">
        <v>2031255010</v>
      </c>
      <c r="E66" t="s">
        <v>253</v>
      </c>
      <c r="F66" t="s">
        <v>254</v>
      </c>
      <c r="G66" t="s">
        <v>51</v>
      </c>
      <c r="H66" t="s">
        <v>69</v>
      </c>
      <c r="I66" t="s">
        <v>53</v>
      </c>
      <c r="J66" t="s">
        <v>54</v>
      </c>
      <c r="K66">
        <v>812994</v>
      </c>
      <c r="L66" t="s">
        <v>228</v>
      </c>
      <c r="M66" t="s">
        <v>229</v>
      </c>
      <c r="N66" t="s">
        <v>57</v>
      </c>
      <c r="O66" s="1">
        <v>45925</v>
      </c>
      <c r="Q66" s="1">
        <v>45986</v>
      </c>
      <c r="R66" s="2">
        <v>86.25</v>
      </c>
      <c r="S66">
        <v>1</v>
      </c>
      <c r="T66" t="s">
        <v>58</v>
      </c>
      <c r="U66" t="s">
        <v>238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60.38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1">
        <v>45957</v>
      </c>
      <c r="B67" t="s">
        <v>48</v>
      </c>
      <c r="C67">
        <v>649163</v>
      </c>
      <c r="D67">
        <v>2031266651</v>
      </c>
      <c r="E67" t="s">
        <v>255</v>
      </c>
      <c r="F67" t="s">
        <v>256</v>
      </c>
      <c r="G67" t="s">
        <v>51</v>
      </c>
      <c r="H67" t="s">
        <v>190</v>
      </c>
      <c r="I67" t="s">
        <v>53</v>
      </c>
      <c r="J67" t="s">
        <v>54</v>
      </c>
      <c r="K67">
        <v>756418</v>
      </c>
      <c r="L67" t="s">
        <v>191</v>
      </c>
      <c r="M67" t="s">
        <v>192</v>
      </c>
      <c r="N67" t="s">
        <v>57</v>
      </c>
      <c r="O67" s="1">
        <v>45926</v>
      </c>
      <c r="Q67" s="1">
        <v>45987</v>
      </c>
      <c r="R67" s="2">
        <v>23.28</v>
      </c>
      <c r="S67">
        <v>1</v>
      </c>
      <c r="T67" t="s">
        <v>58</v>
      </c>
      <c r="U67" t="s">
        <v>238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16.3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45957</v>
      </c>
      <c r="B68" t="s">
        <v>48</v>
      </c>
      <c r="C68">
        <v>649163</v>
      </c>
      <c r="D68">
        <v>2031266652</v>
      </c>
      <c r="E68" t="s">
        <v>255</v>
      </c>
      <c r="F68" t="s">
        <v>256</v>
      </c>
      <c r="G68" t="s">
        <v>51</v>
      </c>
      <c r="H68" t="s">
        <v>190</v>
      </c>
      <c r="I68" t="s">
        <v>53</v>
      </c>
      <c r="J68" t="s">
        <v>257</v>
      </c>
      <c r="K68">
        <v>756418</v>
      </c>
      <c r="L68" t="s">
        <v>191</v>
      </c>
      <c r="M68" t="s">
        <v>192</v>
      </c>
      <c r="N68" t="s">
        <v>57</v>
      </c>
      <c r="O68" s="1">
        <v>45926</v>
      </c>
      <c r="Q68" s="1">
        <v>45987</v>
      </c>
      <c r="R68" s="2">
        <v>25.73</v>
      </c>
      <c r="S68">
        <v>1</v>
      </c>
      <c r="T68" t="s">
        <v>58</v>
      </c>
      <c r="U68" t="s">
        <v>238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18.010000000000002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1">
        <v>45957</v>
      </c>
      <c r="B69" t="s">
        <v>48</v>
      </c>
      <c r="C69">
        <v>649163</v>
      </c>
      <c r="D69">
        <v>2031312177</v>
      </c>
      <c r="E69" t="s">
        <v>258</v>
      </c>
      <c r="F69" t="s">
        <v>98</v>
      </c>
      <c r="G69" t="s">
        <v>51</v>
      </c>
      <c r="H69" t="s">
        <v>69</v>
      </c>
      <c r="I69" t="s">
        <v>53</v>
      </c>
      <c r="J69" t="s">
        <v>54</v>
      </c>
      <c r="K69">
        <v>813184</v>
      </c>
      <c r="L69" t="s">
        <v>218</v>
      </c>
      <c r="M69" t="s">
        <v>219</v>
      </c>
      <c r="N69" t="s">
        <v>57</v>
      </c>
      <c r="O69" s="1">
        <v>45928</v>
      </c>
      <c r="Q69" s="1">
        <v>45989</v>
      </c>
      <c r="R69" s="2">
        <v>124.72</v>
      </c>
      <c r="S69">
        <v>1</v>
      </c>
      <c r="T69" t="s">
        <v>58</v>
      </c>
      <c r="U69" t="s">
        <v>238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87.3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s="16" customFormat="1" x14ac:dyDescent="0.25">
      <c r="A70" s="15">
        <v>45957</v>
      </c>
      <c r="B70" s="16" t="s">
        <v>48</v>
      </c>
      <c r="C70" s="16">
        <v>649163</v>
      </c>
      <c r="D70" s="16">
        <v>2020392155</v>
      </c>
      <c r="E70" s="16" t="s">
        <v>259</v>
      </c>
      <c r="F70" s="16" t="s">
        <v>260</v>
      </c>
      <c r="G70" s="16" t="s">
        <v>51</v>
      </c>
      <c r="H70" s="16" t="s">
        <v>261</v>
      </c>
      <c r="I70" s="16" t="s">
        <v>262</v>
      </c>
      <c r="J70" s="16" t="s">
        <v>263</v>
      </c>
      <c r="K70" s="16">
        <v>673059</v>
      </c>
      <c r="L70" s="16" t="s">
        <v>55</v>
      </c>
      <c r="M70" s="16" t="s">
        <v>56</v>
      </c>
      <c r="N70" s="16" t="s">
        <v>57</v>
      </c>
      <c r="O70" s="15">
        <v>45288</v>
      </c>
      <c r="Q70" s="15">
        <v>45987</v>
      </c>
      <c r="R70" s="17">
        <v>584.87</v>
      </c>
      <c r="S70" s="16">
        <v>1</v>
      </c>
      <c r="T70" s="16" t="s">
        <v>58</v>
      </c>
      <c r="U70" s="16" t="s">
        <v>59</v>
      </c>
      <c r="V70" s="18">
        <v>0.28999999999999998</v>
      </c>
      <c r="W70" s="17">
        <v>0</v>
      </c>
      <c r="X70" s="16">
        <v>0</v>
      </c>
      <c r="Y70" s="16" t="s">
        <v>264</v>
      </c>
      <c r="Z70" s="16" t="s">
        <v>61</v>
      </c>
      <c r="AA70" s="16">
        <v>0</v>
      </c>
      <c r="AB70" s="17">
        <v>0</v>
      </c>
      <c r="AC70" s="17">
        <v>0</v>
      </c>
      <c r="AD70" s="18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169.61</v>
      </c>
      <c r="AN70" s="17">
        <v>169.61</v>
      </c>
      <c r="AO70" s="17">
        <v>0</v>
      </c>
      <c r="AP70" s="17">
        <v>0</v>
      </c>
      <c r="AQ70" s="17">
        <v>0</v>
      </c>
    </row>
    <row r="71" spans="1:43" x14ac:dyDescent="0.25">
      <c r="A71" s="1">
        <v>45957</v>
      </c>
      <c r="B71" t="s">
        <v>48</v>
      </c>
      <c r="C71">
        <v>649163</v>
      </c>
      <c r="D71">
        <v>2023809265</v>
      </c>
      <c r="E71" t="s">
        <v>265</v>
      </c>
      <c r="F71" t="s">
        <v>266</v>
      </c>
      <c r="G71" t="s">
        <v>51</v>
      </c>
      <c r="H71" t="s">
        <v>261</v>
      </c>
      <c r="I71" t="s">
        <v>262</v>
      </c>
      <c r="J71" t="s">
        <v>263</v>
      </c>
      <c r="K71">
        <v>673059</v>
      </c>
      <c r="L71" t="s">
        <v>55</v>
      </c>
      <c r="M71" t="s">
        <v>56</v>
      </c>
      <c r="N71" t="s">
        <v>57</v>
      </c>
      <c r="O71" s="1">
        <v>45653</v>
      </c>
      <c r="Q71" s="1">
        <v>45988</v>
      </c>
      <c r="R71" s="2">
        <v>252.6</v>
      </c>
      <c r="S71">
        <v>1</v>
      </c>
      <c r="T71" t="s">
        <v>58</v>
      </c>
      <c r="U71" t="s">
        <v>59</v>
      </c>
      <c r="V71" s="3">
        <v>0.28999999999999998</v>
      </c>
      <c r="W71" s="2">
        <v>0</v>
      </c>
      <c r="X71">
        <v>0</v>
      </c>
      <c r="Y71" t="s">
        <v>60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73.25</v>
      </c>
      <c r="AN71" s="2">
        <v>73.25</v>
      </c>
      <c r="AO71" s="2">
        <v>0</v>
      </c>
      <c r="AP71" s="2">
        <v>0</v>
      </c>
      <c r="AQ71" s="2">
        <v>0</v>
      </c>
    </row>
    <row r="72" spans="1:43" x14ac:dyDescent="0.25">
      <c r="A72" s="1">
        <v>45957</v>
      </c>
      <c r="B72" t="s">
        <v>48</v>
      </c>
      <c r="C72">
        <v>649163</v>
      </c>
      <c r="D72">
        <v>2023882011</v>
      </c>
      <c r="E72" t="s">
        <v>267</v>
      </c>
      <c r="F72" t="s">
        <v>268</v>
      </c>
      <c r="G72" t="s">
        <v>51</v>
      </c>
      <c r="H72" t="s">
        <v>129</v>
      </c>
      <c r="I72" t="s">
        <v>262</v>
      </c>
      <c r="J72" t="s">
        <v>269</v>
      </c>
      <c r="K72">
        <v>673059</v>
      </c>
      <c r="L72" t="s">
        <v>55</v>
      </c>
      <c r="M72" t="s">
        <v>56</v>
      </c>
      <c r="N72" t="s">
        <v>57</v>
      </c>
      <c r="O72" s="1">
        <v>45657</v>
      </c>
      <c r="Q72" s="1">
        <v>45991</v>
      </c>
      <c r="R72" s="2">
        <v>338.29</v>
      </c>
      <c r="S72">
        <v>1</v>
      </c>
      <c r="T72" t="s">
        <v>58</v>
      </c>
      <c r="U72" t="s">
        <v>59</v>
      </c>
      <c r="V72" s="3">
        <v>0.19</v>
      </c>
      <c r="W72" s="2">
        <v>0</v>
      </c>
      <c r="X72">
        <v>0</v>
      </c>
      <c r="Y72" t="s">
        <v>60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64.28</v>
      </c>
      <c r="AN72" s="2">
        <v>64.28</v>
      </c>
      <c r="AO72" s="2">
        <v>0</v>
      </c>
      <c r="AP72" s="2">
        <v>0</v>
      </c>
      <c r="AQ72" s="2">
        <v>0</v>
      </c>
    </row>
    <row r="73" spans="1:43" x14ac:dyDescent="0.25">
      <c r="A73" s="1">
        <v>45957</v>
      </c>
      <c r="B73" t="s">
        <v>48</v>
      </c>
      <c r="C73">
        <v>649163</v>
      </c>
      <c r="D73">
        <v>2023957695</v>
      </c>
      <c r="E73" t="s">
        <v>270</v>
      </c>
      <c r="F73" t="s">
        <v>271</v>
      </c>
      <c r="G73" t="s">
        <v>51</v>
      </c>
      <c r="H73" t="s">
        <v>52</v>
      </c>
      <c r="I73" t="s">
        <v>262</v>
      </c>
      <c r="J73" t="s">
        <v>263</v>
      </c>
      <c r="K73">
        <v>673059</v>
      </c>
      <c r="L73" t="s">
        <v>55</v>
      </c>
      <c r="M73" t="s">
        <v>56</v>
      </c>
      <c r="N73" t="s">
        <v>57</v>
      </c>
      <c r="O73" s="1">
        <v>45656</v>
      </c>
      <c r="Q73" s="1">
        <v>45991</v>
      </c>
      <c r="R73" s="2">
        <v>339.35</v>
      </c>
      <c r="S73">
        <v>1</v>
      </c>
      <c r="T73" t="s">
        <v>58</v>
      </c>
      <c r="U73" t="s">
        <v>59</v>
      </c>
      <c r="V73" s="3">
        <v>0.28999999999999998</v>
      </c>
      <c r="W73" s="2">
        <v>0</v>
      </c>
      <c r="X73">
        <v>0</v>
      </c>
      <c r="Y73" t="s">
        <v>60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98.41</v>
      </c>
      <c r="AN73" s="2">
        <v>98.41</v>
      </c>
      <c r="AO73" s="2">
        <v>0</v>
      </c>
      <c r="AP73" s="2">
        <v>0</v>
      </c>
      <c r="AQ73" s="2">
        <v>0</v>
      </c>
    </row>
    <row r="74" spans="1:43" x14ac:dyDescent="0.25">
      <c r="A74" s="1">
        <v>45957</v>
      </c>
      <c r="B74" t="s">
        <v>48</v>
      </c>
      <c r="C74">
        <v>649163</v>
      </c>
      <c r="D74">
        <v>2023963351</v>
      </c>
      <c r="E74" t="s">
        <v>272</v>
      </c>
      <c r="F74" t="s">
        <v>273</v>
      </c>
      <c r="G74" t="s">
        <v>51</v>
      </c>
      <c r="H74" t="s">
        <v>52</v>
      </c>
      <c r="I74" t="s">
        <v>262</v>
      </c>
      <c r="J74" t="s">
        <v>263</v>
      </c>
      <c r="K74">
        <v>673059</v>
      </c>
      <c r="L74" t="s">
        <v>55</v>
      </c>
      <c r="M74" t="s">
        <v>56</v>
      </c>
      <c r="N74" t="s">
        <v>57</v>
      </c>
      <c r="O74" s="1">
        <v>45656</v>
      </c>
      <c r="Q74" s="1">
        <v>45991</v>
      </c>
      <c r="R74" s="2">
        <v>569.27</v>
      </c>
      <c r="S74">
        <v>1</v>
      </c>
      <c r="T74" t="s">
        <v>58</v>
      </c>
      <c r="U74" t="s">
        <v>59</v>
      </c>
      <c r="V74" s="3">
        <v>0.28999999999999998</v>
      </c>
      <c r="W74" s="2">
        <v>0</v>
      </c>
      <c r="X74">
        <v>0</v>
      </c>
      <c r="Y74" t="s">
        <v>60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165.09</v>
      </c>
      <c r="AN74" s="2">
        <v>165.09</v>
      </c>
      <c r="AO74" s="2">
        <v>0</v>
      </c>
      <c r="AP74" s="2">
        <v>0</v>
      </c>
      <c r="AQ74" s="2">
        <v>0</v>
      </c>
    </row>
    <row r="75" spans="1:43" x14ac:dyDescent="0.25">
      <c r="A75" s="1">
        <v>45957</v>
      </c>
      <c r="B75" t="s">
        <v>48</v>
      </c>
      <c r="C75">
        <v>649163</v>
      </c>
      <c r="D75">
        <v>2023964241</v>
      </c>
      <c r="E75" t="s">
        <v>274</v>
      </c>
      <c r="F75" t="s">
        <v>275</v>
      </c>
      <c r="G75" t="s">
        <v>51</v>
      </c>
      <c r="H75" t="s">
        <v>276</v>
      </c>
      <c r="I75" t="s">
        <v>262</v>
      </c>
      <c r="J75" t="s">
        <v>263</v>
      </c>
      <c r="K75">
        <v>673059</v>
      </c>
      <c r="L75" t="s">
        <v>55</v>
      </c>
      <c r="M75" t="s">
        <v>56</v>
      </c>
      <c r="N75" t="s">
        <v>57</v>
      </c>
      <c r="O75" s="1">
        <v>45656</v>
      </c>
      <c r="Q75" s="1">
        <v>45991</v>
      </c>
      <c r="R75" s="2">
        <v>327.36</v>
      </c>
      <c r="S75">
        <v>1</v>
      </c>
      <c r="T75" t="s">
        <v>58</v>
      </c>
      <c r="U75" t="s">
        <v>59</v>
      </c>
      <c r="V75" s="3">
        <v>0.28999999999999998</v>
      </c>
      <c r="W75" s="2">
        <v>0</v>
      </c>
      <c r="X75">
        <v>0</v>
      </c>
      <c r="Y75" t="s">
        <v>60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94.93</v>
      </c>
      <c r="AN75" s="2">
        <v>94.93</v>
      </c>
      <c r="AO75" s="2">
        <v>0</v>
      </c>
      <c r="AP75" s="2">
        <v>0</v>
      </c>
      <c r="AQ75" s="2">
        <v>0</v>
      </c>
    </row>
    <row r="76" spans="1:43" x14ac:dyDescent="0.25">
      <c r="A76" s="1">
        <v>45957</v>
      </c>
      <c r="B76" t="s">
        <v>48</v>
      </c>
      <c r="C76">
        <v>649163</v>
      </c>
      <c r="D76">
        <v>2023980076</v>
      </c>
      <c r="E76" t="s">
        <v>277</v>
      </c>
      <c r="F76" t="s">
        <v>278</v>
      </c>
      <c r="G76" t="s">
        <v>51</v>
      </c>
      <c r="H76" t="s">
        <v>129</v>
      </c>
      <c r="I76" t="s">
        <v>262</v>
      </c>
      <c r="J76" t="s">
        <v>269</v>
      </c>
      <c r="K76">
        <v>673059</v>
      </c>
      <c r="L76" t="s">
        <v>55</v>
      </c>
      <c r="M76" t="s">
        <v>56</v>
      </c>
      <c r="N76" t="s">
        <v>57</v>
      </c>
      <c r="O76" s="1">
        <v>45657</v>
      </c>
      <c r="Q76" s="1">
        <v>45991</v>
      </c>
      <c r="R76" s="2">
        <v>204.87</v>
      </c>
      <c r="S76">
        <v>1</v>
      </c>
      <c r="T76" t="s">
        <v>58</v>
      </c>
      <c r="U76" t="s">
        <v>59</v>
      </c>
      <c r="V76" s="3">
        <v>0.19</v>
      </c>
      <c r="W76" s="2">
        <v>0</v>
      </c>
      <c r="X76">
        <v>0</v>
      </c>
      <c r="Y76" t="s">
        <v>60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38.93</v>
      </c>
      <c r="AN76" s="2">
        <v>38.93</v>
      </c>
      <c r="AO76" s="2">
        <v>0</v>
      </c>
      <c r="AP76" s="2">
        <v>0</v>
      </c>
      <c r="AQ76" s="2">
        <v>0</v>
      </c>
    </row>
    <row r="77" spans="1:43" x14ac:dyDescent="0.25">
      <c r="A77" s="1">
        <v>45957</v>
      </c>
      <c r="B77" t="s">
        <v>48</v>
      </c>
      <c r="C77">
        <v>649163</v>
      </c>
      <c r="D77">
        <v>2024035177</v>
      </c>
      <c r="E77" t="s">
        <v>279</v>
      </c>
      <c r="F77" t="s">
        <v>280</v>
      </c>
      <c r="G77" t="s">
        <v>51</v>
      </c>
      <c r="H77" t="s">
        <v>261</v>
      </c>
      <c r="I77" t="s">
        <v>262</v>
      </c>
      <c r="J77" t="s">
        <v>263</v>
      </c>
      <c r="K77">
        <v>673059</v>
      </c>
      <c r="L77" t="s">
        <v>55</v>
      </c>
      <c r="M77" t="s">
        <v>56</v>
      </c>
      <c r="N77" t="s">
        <v>57</v>
      </c>
      <c r="O77" s="1">
        <v>45656</v>
      </c>
      <c r="Q77" s="1">
        <v>45991</v>
      </c>
      <c r="R77" s="2">
        <v>302.77999999999997</v>
      </c>
      <c r="S77">
        <v>1</v>
      </c>
      <c r="T77" t="s">
        <v>58</v>
      </c>
      <c r="U77" t="s">
        <v>59</v>
      </c>
      <c r="V77" s="3">
        <v>0.28999999999999998</v>
      </c>
      <c r="W77" s="2">
        <v>0</v>
      </c>
      <c r="X77">
        <v>0</v>
      </c>
      <c r="Y77" t="s">
        <v>60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87.81</v>
      </c>
      <c r="AN77" s="2">
        <v>87.81</v>
      </c>
      <c r="AO77" s="2">
        <v>0</v>
      </c>
      <c r="AP77" s="2">
        <v>0</v>
      </c>
      <c r="AQ77" s="2">
        <v>0</v>
      </c>
    </row>
    <row r="78" spans="1:43" x14ac:dyDescent="0.25">
      <c r="A78" s="1">
        <v>45957</v>
      </c>
      <c r="B78" t="s">
        <v>48</v>
      </c>
      <c r="C78">
        <v>649163</v>
      </c>
      <c r="D78">
        <v>2024112403</v>
      </c>
      <c r="E78" t="s">
        <v>281</v>
      </c>
      <c r="F78" t="s">
        <v>282</v>
      </c>
      <c r="G78" t="s">
        <v>51</v>
      </c>
      <c r="H78" t="s">
        <v>52</v>
      </c>
      <c r="I78" t="s">
        <v>262</v>
      </c>
      <c r="J78" t="s">
        <v>263</v>
      </c>
      <c r="K78">
        <v>673059</v>
      </c>
      <c r="L78" t="s">
        <v>55</v>
      </c>
      <c r="M78" t="s">
        <v>56</v>
      </c>
      <c r="N78" t="s">
        <v>57</v>
      </c>
      <c r="O78" s="1">
        <v>45656</v>
      </c>
      <c r="Q78" s="1">
        <v>45991</v>
      </c>
      <c r="R78" s="2">
        <v>427.73</v>
      </c>
      <c r="S78">
        <v>1</v>
      </c>
      <c r="T78" t="s">
        <v>58</v>
      </c>
      <c r="U78" t="s">
        <v>59</v>
      </c>
      <c r="V78" s="3">
        <v>0.28999999999999998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124.04</v>
      </c>
      <c r="AN78" s="2">
        <v>124.04</v>
      </c>
      <c r="AO78" s="2">
        <v>0</v>
      </c>
      <c r="AP78" s="2">
        <v>0</v>
      </c>
      <c r="AQ78" s="2">
        <v>0</v>
      </c>
    </row>
    <row r="79" spans="1:43" x14ac:dyDescent="0.25">
      <c r="A79" s="1">
        <v>45957</v>
      </c>
      <c r="B79" t="s">
        <v>48</v>
      </c>
      <c r="C79">
        <v>649163</v>
      </c>
      <c r="D79">
        <v>2024136816</v>
      </c>
      <c r="E79" t="s">
        <v>283</v>
      </c>
      <c r="F79" t="s">
        <v>284</v>
      </c>
      <c r="G79" t="s">
        <v>51</v>
      </c>
      <c r="H79" t="s">
        <v>52</v>
      </c>
      <c r="I79" t="s">
        <v>262</v>
      </c>
      <c r="J79" t="s">
        <v>263</v>
      </c>
      <c r="K79">
        <v>673059</v>
      </c>
      <c r="L79" t="s">
        <v>55</v>
      </c>
      <c r="M79" t="s">
        <v>56</v>
      </c>
      <c r="N79" t="s">
        <v>57</v>
      </c>
      <c r="O79" s="1">
        <v>45536</v>
      </c>
      <c r="Q79" s="1">
        <v>45991</v>
      </c>
      <c r="R79" s="2">
        <v>542.13</v>
      </c>
      <c r="S79">
        <v>1</v>
      </c>
      <c r="T79" t="s">
        <v>58</v>
      </c>
      <c r="U79" t="s">
        <v>59</v>
      </c>
      <c r="V79" s="3">
        <v>0.28999999999999998</v>
      </c>
      <c r="W79" s="2">
        <v>0</v>
      </c>
      <c r="X79">
        <v>0</v>
      </c>
      <c r="Y79" t="s">
        <v>264</v>
      </c>
      <c r="Z79" t="s">
        <v>61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157.22</v>
      </c>
      <c r="AN79" s="2">
        <v>157.22</v>
      </c>
      <c r="AO79" s="2">
        <v>0</v>
      </c>
      <c r="AP79" s="2">
        <v>0</v>
      </c>
      <c r="AQ79" s="2">
        <v>0</v>
      </c>
    </row>
    <row r="80" spans="1:43" x14ac:dyDescent="0.25">
      <c r="A80" s="1">
        <v>45957</v>
      </c>
      <c r="B80" t="s">
        <v>48</v>
      </c>
      <c r="C80">
        <v>649163</v>
      </c>
      <c r="D80">
        <v>2024225541</v>
      </c>
      <c r="E80" t="s">
        <v>285</v>
      </c>
      <c r="F80" t="s">
        <v>286</v>
      </c>
      <c r="G80" t="s">
        <v>51</v>
      </c>
      <c r="H80" t="s">
        <v>287</v>
      </c>
      <c r="I80" t="s">
        <v>262</v>
      </c>
      <c r="J80" t="s">
        <v>263</v>
      </c>
      <c r="K80">
        <v>673059</v>
      </c>
      <c r="L80" t="s">
        <v>55</v>
      </c>
      <c r="M80" t="s">
        <v>56</v>
      </c>
      <c r="N80" t="s">
        <v>57</v>
      </c>
      <c r="O80" s="1">
        <v>45656</v>
      </c>
      <c r="Q80" s="1">
        <v>45991</v>
      </c>
      <c r="R80" s="2">
        <v>386.94</v>
      </c>
      <c r="S80">
        <v>1</v>
      </c>
      <c r="T80" t="s">
        <v>58</v>
      </c>
      <c r="U80" t="s">
        <v>59</v>
      </c>
      <c r="V80" s="3">
        <v>0.28999999999999998</v>
      </c>
      <c r="W80" s="2">
        <v>0</v>
      </c>
      <c r="X80">
        <v>0</v>
      </c>
      <c r="Y80" t="s">
        <v>60</v>
      </c>
      <c r="Z80" t="s">
        <v>61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112.21</v>
      </c>
      <c r="AN80" s="2">
        <v>112.21</v>
      </c>
      <c r="AO80" s="2">
        <v>0</v>
      </c>
      <c r="AP80" s="2">
        <v>0</v>
      </c>
      <c r="AQ80" s="2">
        <v>0</v>
      </c>
    </row>
    <row r="81" spans="1:43" x14ac:dyDescent="0.25">
      <c r="A81" s="1">
        <v>45957</v>
      </c>
      <c r="B81" t="s">
        <v>48</v>
      </c>
      <c r="C81">
        <v>649163</v>
      </c>
      <c r="D81">
        <v>2024267553</v>
      </c>
      <c r="E81" t="s">
        <v>288</v>
      </c>
      <c r="F81" t="s">
        <v>66</v>
      </c>
      <c r="G81" t="s">
        <v>51</v>
      </c>
      <c r="H81" t="s">
        <v>52</v>
      </c>
      <c r="I81" t="s">
        <v>262</v>
      </c>
      <c r="J81" t="s">
        <v>263</v>
      </c>
      <c r="K81">
        <v>768887</v>
      </c>
      <c r="L81" t="s">
        <v>289</v>
      </c>
      <c r="M81" t="s">
        <v>290</v>
      </c>
      <c r="N81" t="s">
        <v>57</v>
      </c>
      <c r="O81" s="1">
        <v>45536</v>
      </c>
      <c r="Q81" s="1">
        <v>45991</v>
      </c>
      <c r="R81" s="2">
        <v>279.18</v>
      </c>
      <c r="S81">
        <v>1</v>
      </c>
      <c r="T81" t="s">
        <v>58</v>
      </c>
      <c r="U81" t="s">
        <v>59</v>
      </c>
      <c r="V81" s="3">
        <v>0.28999999999999998</v>
      </c>
      <c r="W81" s="2">
        <v>0</v>
      </c>
      <c r="X81">
        <v>0</v>
      </c>
      <c r="Y81" t="s">
        <v>264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80.959999999999994</v>
      </c>
      <c r="AN81" s="2">
        <v>80.959999999999994</v>
      </c>
      <c r="AO81" s="2">
        <v>0</v>
      </c>
      <c r="AP81" s="2">
        <v>0</v>
      </c>
      <c r="AQ81" s="2">
        <v>0</v>
      </c>
    </row>
    <row r="82" spans="1:43" x14ac:dyDescent="0.25">
      <c r="A82" s="1">
        <v>45957</v>
      </c>
      <c r="B82" t="s">
        <v>48</v>
      </c>
      <c r="C82">
        <v>649163</v>
      </c>
      <c r="D82">
        <v>2024433918</v>
      </c>
      <c r="E82" t="s">
        <v>291</v>
      </c>
      <c r="F82" t="s">
        <v>292</v>
      </c>
      <c r="G82" t="s">
        <v>51</v>
      </c>
      <c r="H82" t="s">
        <v>293</v>
      </c>
      <c r="I82" t="s">
        <v>262</v>
      </c>
      <c r="J82" t="s">
        <v>263</v>
      </c>
      <c r="K82">
        <v>753748</v>
      </c>
      <c r="L82" t="s">
        <v>65</v>
      </c>
      <c r="M82" t="s">
        <v>66</v>
      </c>
      <c r="N82" t="s">
        <v>57</v>
      </c>
      <c r="O82" s="1">
        <v>45536</v>
      </c>
      <c r="Q82" s="1">
        <v>45991</v>
      </c>
      <c r="R82" s="2">
        <v>218.28</v>
      </c>
      <c r="S82">
        <v>1</v>
      </c>
      <c r="T82" t="s">
        <v>58</v>
      </c>
      <c r="U82" t="s">
        <v>59</v>
      </c>
      <c r="V82" s="3">
        <v>0.28999999999999998</v>
      </c>
      <c r="W82" s="2">
        <v>0</v>
      </c>
      <c r="X82">
        <v>0</v>
      </c>
      <c r="Y82" t="s">
        <v>264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63.3</v>
      </c>
      <c r="AN82" s="2">
        <v>63.3</v>
      </c>
      <c r="AO82" s="2">
        <v>0</v>
      </c>
      <c r="AP82" s="2">
        <v>0</v>
      </c>
      <c r="AQ82" s="2">
        <v>0</v>
      </c>
    </row>
    <row r="83" spans="1:43" x14ac:dyDescent="0.25">
      <c r="A83" s="1">
        <v>45957</v>
      </c>
      <c r="B83" t="s">
        <v>48</v>
      </c>
      <c r="C83">
        <v>649163</v>
      </c>
      <c r="D83">
        <v>2024536862</v>
      </c>
      <c r="E83" t="s">
        <v>294</v>
      </c>
      <c r="F83" t="s">
        <v>295</v>
      </c>
      <c r="G83" t="s">
        <v>51</v>
      </c>
      <c r="H83" t="s">
        <v>52</v>
      </c>
      <c r="I83" t="s">
        <v>262</v>
      </c>
      <c r="J83" t="s">
        <v>263</v>
      </c>
      <c r="K83">
        <v>673059</v>
      </c>
      <c r="L83" t="s">
        <v>55</v>
      </c>
      <c r="M83" t="s">
        <v>56</v>
      </c>
      <c r="N83" t="s">
        <v>57</v>
      </c>
      <c r="O83" s="1">
        <v>45656</v>
      </c>
      <c r="Q83" s="1">
        <v>45991</v>
      </c>
      <c r="R83" s="2">
        <v>240.51</v>
      </c>
      <c r="S83">
        <v>1</v>
      </c>
      <c r="T83" t="s">
        <v>58</v>
      </c>
      <c r="U83" t="s">
        <v>59</v>
      </c>
      <c r="V83" s="3">
        <v>0.28999999999999998</v>
      </c>
      <c r="W83" s="2">
        <v>0</v>
      </c>
      <c r="X83">
        <v>0</v>
      </c>
      <c r="Y83" t="s">
        <v>60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69.75</v>
      </c>
      <c r="AN83" s="2">
        <v>69.75</v>
      </c>
      <c r="AO83" s="2">
        <v>0</v>
      </c>
      <c r="AP83" s="2">
        <v>0</v>
      </c>
      <c r="AQ83" s="2">
        <v>0</v>
      </c>
    </row>
    <row r="84" spans="1:43" x14ac:dyDescent="0.25">
      <c r="A84" s="1">
        <v>45957</v>
      </c>
      <c r="B84" t="s">
        <v>48</v>
      </c>
      <c r="C84">
        <v>649163</v>
      </c>
      <c r="D84">
        <v>2024626406</v>
      </c>
      <c r="E84" t="s">
        <v>296</v>
      </c>
      <c r="F84" t="s">
        <v>297</v>
      </c>
      <c r="G84" t="s">
        <v>51</v>
      </c>
      <c r="H84" t="s">
        <v>293</v>
      </c>
      <c r="I84" t="s">
        <v>262</v>
      </c>
      <c r="J84" t="s">
        <v>298</v>
      </c>
      <c r="K84">
        <v>669316</v>
      </c>
      <c r="L84" t="s">
        <v>169</v>
      </c>
      <c r="M84" t="s">
        <v>170</v>
      </c>
      <c r="N84" t="s">
        <v>57</v>
      </c>
      <c r="O84" s="1">
        <v>45898</v>
      </c>
      <c r="Q84" s="1">
        <v>45990</v>
      </c>
      <c r="R84" s="2">
        <v>352.41</v>
      </c>
      <c r="S84">
        <v>1</v>
      </c>
      <c r="T84" t="s">
        <v>58</v>
      </c>
      <c r="U84" t="s">
        <v>59</v>
      </c>
      <c r="V84" s="3">
        <v>0.28999999999999998</v>
      </c>
      <c r="W84" s="2">
        <v>0</v>
      </c>
      <c r="X84">
        <v>0</v>
      </c>
      <c r="Y84" t="s">
        <v>60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102.2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45957</v>
      </c>
      <c r="B85" t="s">
        <v>48</v>
      </c>
      <c r="C85">
        <v>649163</v>
      </c>
      <c r="D85">
        <v>2024635213</v>
      </c>
      <c r="E85" t="s">
        <v>299</v>
      </c>
      <c r="F85" t="s">
        <v>300</v>
      </c>
      <c r="G85" t="s">
        <v>51</v>
      </c>
      <c r="H85" t="s">
        <v>52</v>
      </c>
      <c r="I85" t="s">
        <v>262</v>
      </c>
      <c r="J85" t="s">
        <v>263</v>
      </c>
      <c r="K85">
        <v>753748</v>
      </c>
      <c r="L85" t="s">
        <v>65</v>
      </c>
      <c r="M85" t="s">
        <v>66</v>
      </c>
      <c r="N85" t="s">
        <v>57</v>
      </c>
      <c r="O85" s="1">
        <v>45536</v>
      </c>
      <c r="Q85" s="1">
        <v>45991</v>
      </c>
      <c r="R85" s="2">
        <v>1650.07</v>
      </c>
      <c r="S85">
        <v>1</v>
      </c>
      <c r="T85" t="s">
        <v>58</v>
      </c>
      <c r="U85" t="s">
        <v>59</v>
      </c>
      <c r="V85" s="3">
        <v>0.28999999999999998</v>
      </c>
      <c r="W85" s="2">
        <v>0</v>
      </c>
      <c r="X85">
        <v>0</v>
      </c>
      <c r="Y85" t="s">
        <v>264</v>
      </c>
      <c r="Z85" t="s">
        <v>61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478.52</v>
      </c>
      <c r="AN85" s="2">
        <v>478.52</v>
      </c>
      <c r="AO85" s="2">
        <v>0</v>
      </c>
      <c r="AP85" s="2">
        <v>0</v>
      </c>
      <c r="AQ85" s="2">
        <v>0</v>
      </c>
    </row>
    <row r="86" spans="1:43" x14ac:dyDescent="0.25">
      <c r="A86" s="1">
        <v>45957</v>
      </c>
      <c r="B86" t="s">
        <v>48</v>
      </c>
      <c r="C86">
        <v>649163</v>
      </c>
      <c r="D86">
        <v>2030674187</v>
      </c>
      <c r="E86" t="s">
        <v>301</v>
      </c>
      <c r="F86" t="s">
        <v>302</v>
      </c>
      <c r="G86" t="s">
        <v>51</v>
      </c>
      <c r="H86" t="s">
        <v>129</v>
      </c>
      <c r="I86" t="s">
        <v>262</v>
      </c>
      <c r="J86" t="s">
        <v>269</v>
      </c>
      <c r="K86">
        <v>874230</v>
      </c>
      <c r="L86" t="s">
        <v>130</v>
      </c>
      <c r="M86" t="s">
        <v>131</v>
      </c>
      <c r="N86" t="s">
        <v>57</v>
      </c>
      <c r="O86" s="1">
        <v>45901</v>
      </c>
      <c r="Q86" s="1">
        <v>45992</v>
      </c>
      <c r="R86" s="2">
        <v>219.24</v>
      </c>
      <c r="S86">
        <v>1</v>
      </c>
      <c r="T86" t="s">
        <v>58</v>
      </c>
      <c r="U86" t="s">
        <v>59</v>
      </c>
      <c r="V86" s="3">
        <v>0.19</v>
      </c>
      <c r="W86" s="2">
        <v>0</v>
      </c>
      <c r="X86">
        <v>0</v>
      </c>
      <c r="Y86" t="s">
        <v>60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41.65</v>
      </c>
      <c r="AM86" s="2">
        <v>0.01</v>
      </c>
      <c r="AN86" s="2">
        <v>0.01</v>
      </c>
      <c r="AO86" s="2">
        <v>0</v>
      </c>
      <c r="AP86" s="2">
        <v>0</v>
      </c>
      <c r="AQ86" s="2">
        <v>0</v>
      </c>
    </row>
    <row r="87" spans="1:43" x14ac:dyDescent="0.25">
      <c r="A87" s="1">
        <v>45957</v>
      </c>
      <c r="B87" t="s">
        <v>48</v>
      </c>
      <c r="C87">
        <v>649163</v>
      </c>
      <c r="D87">
        <v>2030691611</v>
      </c>
      <c r="E87" t="s">
        <v>303</v>
      </c>
      <c r="F87" t="s">
        <v>304</v>
      </c>
      <c r="G87" t="s">
        <v>51</v>
      </c>
      <c r="H87" t="s">
        <v>52</v>
      </c>
      <c r="I87" t="s">
        <v>262</v>
      </c>
      <c r="J87" t="s">
        <v>298</v>
      </c>
      <c r="K87">
        <v>673059</v>
      </c>
      <c r="L87" t="s">
        <v>55</v>
      </c>
      <c r="M87" t="s">
        <v>56</v>
      </c>
      <c r="N87" t="s">
        <v>57</v>
      </c>
      <c r="O87" s="1">
        <v>45901</v>
      </c>
      <c r="Q87" s="1">
        <v>45992</v>
      </c>
      <c r="R87" s="2">
        <v>416.74</v>
      </c>
      <c r="S87">
        <v>1</v>
      </c>
      <c r="T87" t="s">
        <v>58</v>
      </c>
      <c r="U87" t="s">
        <v>59</v>
      </c>
      <c r="V87" s="3">
        <v>0.28999999999999998</v>
      </c>
      <c r="W87" s="2">
        <v>0</v>
      </c>
      <c r="X87">
        <v>0</v>
      </c>
      <c r="Y87" t="s">
        <v>60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120.85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45957</v>
      </c>
      <c r="B88" t="s">
        <v>48</v>
      </c>
      <c r="C88">
        <v>649163</v>
      </c>
      <c r="D88">
        <v>2030694346</v>
      </c>
      <c r="E88" t="s">
        <v>186</v>
      </c>
      <c r="F88" t="s">
        <v>187</v>
      </c>
      <c r="G88" t="s">
        <v>51</v>
      </c>
      <c r="H88" t="s">
        <v>129</v>
      </c>
      <c r="I88" t="s">
        <v>262</v>
      </c>
      <c r="J88" t="s">
        <v>269</v>
      </c>
      <c r="K88">
        <v>874230</v>
      </c>
      <c r="L88" t="s">
        <v>130</v>
      </c>
      <c r="M88" t="s">
        <v>131</v>
      </c>
      <c r="N88" t="s">
        <v>57</v>
      </c>
      <c r="O88" s="1">
        <v>45901</v>
      </c>
      <c r="Q88" s="1">
        <v>45992</v>
      </c>
      <c r="R88" s="2">
        <v>248.82</v>
      </c>
      <c r="S88">
        <v>1</v>
      </c>
      <c r="T88" t="s">
        <v>58</v>
      </c>
      <c r="U88" t="s">
        <v>59</v>
      </c>
      <c r="V88" s="3">
        <v>0.19</v>
      </c>
      <c r="W88" s="2">
        <v>0</v>
      </c>
      <c r="X88">
        <v>0</v>
      </c>
      <c r="Y88" t="s">
        <v>60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47.27</v>
      </c>
      <c r="AM88" s="2">
        <v>0.01</v>
      </c>
      <c r="AN88" s="2">
        <v>0.01</v>
      </c>
      <c r="AO88" s="2">
        <v>0</v>
      </c>
      <c r="AP88" s="2">
        <v>0</v>
      </c>
      <c r="AQ88" s="2">
        <v>0</v>
      </c>
    </row>
    <row r="89" spans="1:43" x14ac:dyDescent="0.25">
      <c r="A89" s="1">
        <v>45957</v>
      </c>
      <c r="B89" t="s">
        <v>48</v>
      </c>
      <c r="C89">
        <v>649163</v>
      </c>
      <c r="D89">
        <v>2030722441</v>
      </c>
      <c r="E89" t="s">
        <v>305</v>
      </c>
      <c r="F89" t="s">
        <v>306</v>
      </c>
      <c r="G89" t="s">
        <v>51</v>
      </c>
      <c r="H89" t="s">
        <v>261</v>
      </c>
      <c r="I89" t="s">
        <v>262</v>
      </c>
      <c r="J89" t="s">
        <v>298</v>
      </c>
      <c r="K89">
        <v>812994</v>
      </c>
      <c r="L89" t="s">
        <v>228</v>
      </c>
      <c r="M89" t="s">
        <v>229</v>
      </c>
      <c r="N89" t="s">
        <v>57</v>
      </c>
      <c r="O89" s="1">
        <v>45897</v>
      </c>
      <c r="Q89" s="1">
        <v>45989</v>
      </c>
      <c r="R89" s="2">
        <v>150.93</v>
      </c>
      <c r="S89">
        <v>1</v>
      </c>
      <c r="T89" t="s">
        <v>58</v>
      </c>
      <c r="U89" t="s">
        <v>59</v>
      </c>
      <c r="V89" s="3">
        <v>0.28999999999999998</v>
      </c>
      <c r="W89" s="2">
        <v>0</v>
      </c>
      <c r="X89">
        <v>0</v>
      </c>
      <c r="Y89" t="s">
        <v>60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43.77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45957</v>
      </c>
      <c r="B90" t="s">
        <v>48</v>
      </c>
      <c r="C90">
        <v>649163</v>
      </c>
      <c r="D90">
        <v>2030762530</v>
      </c>
      <c r="E90" t="s">
        <v>209</v>
      </c>
      <c r="F90" t="s">
        <v>210</v>
      </c>
      <c r="G90" t="s">
        <v>51</v>
      </c>
      <c r="H90" t="s">
        <v>129</v>
      </c>
      <c r="I90" t="s">
        <v>262</v>
      </c>
      <c r="J90" t="s">
        <v>269</v>
      </c>
      <c r="K90">
        <v>888536</v>
      </c>
      <c r="L90" t="s">
        <v>211</v>
      </c>
      <c r="M90" t="s">
        <v>212</v>
      </c>
      <c r="N90" t="s">
        <v>57</v>
      </c>
      <c r="O90" s="1">
        <v>45899</v>
      </c>
      <c r="Q90" s="1">
        <v>45991</v>
      </c>
      <c r="R90" s="2">
        <v>90.98</v>
      </c>
      <c r="S90">
        <v>1</v>
      </c>
      <c r="T90" t="s">
        <v>58</v>
      </c>
      <c r="U90" t="s">
        <v>59</v>
      </c>
      <c r="V90" s="3">
        <v>0.19</v>
      </c>
      <c r="W90" s="2">
        <v>0</v>
      </c>
      <c r="X90">
        <v>0</v>
      </c>
      <c r="Y90" t="s">
        <v>60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17.28</v>
      </c>
      <c r="AM90" s="2">
        <v>0.01</v>
      </c>
      <c r="AN90" s="2">
        <v>0.01</v>
      </c>
      <c r="AO90" s="2">
        <v>0</v>
      </c>
      <c r="AP90" s="2">
        <v>0</v>
      </c>
      <c r="AQ90" s="2">
        <v>0</v>
      </c>
    </row>
    <row r="91" spans="1:43" x14ac:dyDescent="0.25">
      <c r="A91" s="1">
        <v>45957</v>
      </c>
      <c r="B91" t="s">
        <v>48</v>
      </c>
      <c r="C91">
        <v>649163</v>
      </c>
      <c r="D91">
        <v>2018421687</v>
      </c>
      <c r="E91" t="s">
        <v>307</v>
      </c>
      <c r="F91" t="s">
        <v>308</v>
      </c>
      <c r="G91" t="s">
        <v>51</v>
      </c>
      <c r="H91" t="s">
        <v>52</v>
      </c>
      <c r="I91" t="s">
        <v>309</v>
      </c>
      <c r="J91" t="s">
        <v>310</v>
      </c>
      <c r="K91">
        <v>673059</v>
      </c>
      <c r="L91" t="s">
        <v>55</v>
      </c>
      <c r="M91" t="s">
        <v>56</v>
      </c>
      <c r="N91" t="s">
        <v>57</v>
      </c>
      <c r="O91" s="1">
        <v>45037</v>
      </c>
      <c r="Q91" s="1">
        <v>45982</v>
      </c>
      <c r="R91" s="2">
        <v>113.49</v>
      </c>
      <c r="S91">
        <v>1</v>
      </c>
      <c r="T91" t="s">
        <v>58</v>
      </c>
      <c r="U91" t="s">
        <v>59</v>
      </c>
      <c r="V91" s="4">
        <v>5.2499999999999998E-2</v>
      </c>
      <c r="W91" s="2">
        <v>0</v>
      </c>
      <c r="X91">
        <v>0</v>
      </c>
      <c r="Y91" t="s">
        <v>264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5.96</v>
      </c>
      <c r="AN91" s="2">
        <v>5.96</v>
      </c>
      <c r="AO91" s="2">
        <v>0</v>
      </c>
      <c r="AP91" s="2">
        <v>0</v>
      </c>
      <c r="AQ91" s="2">
        <v>0</v>
      </c>
    </row>
    <row r="92" spans="1:43" x14ac:dyDescent="0.25">
      <c r="A92" s="1">
        <v>45957</v>
      </c>
      <c r="B92" t="s">
        <v>48</v>
      </c>
      <c r="C92">
        <v>649163</v>
      </c>
      <c r="D92">
        <v>2020850122</v>
      </c>
      <c r="E92" t="s">
        <v>311</v>
      </c>
      <c r="F92" t="s">
        <v>312</v>
      </c>
      <c r="G92" t="s">
        <v>51</v>
      </c>
      <c r="H92" t="s">
        <v>190</v>
      </c>
      <c r="I92" t="s">
        <v>309</v>
      </c>
      <c r="J92" t="s">
        <v>310</v>
      </c>
      <c r="K92">
        <v>649164</v>
      </c>
      <c r="L92" t="s">
        <v>313</v>
      </c>
      <c r="M92" t="s">
        <v>314</v>
      </c>
      <c r="N92" t="s">
        <v>57</v>
      </c>
      <c r="O92" s="1">
        <v>45251</v>
      </c>
      <c r="Q92" s="1">
        <v>45982</v>
      </c>
      <c r="R92" s="2">
        <v>130.83000000000001</v>
      </c>
      <c r="S92">
        <v>1</v>
      </c>
      <c r="T92" t="s">
        <v>58</v>
      </c>
      <c r="U92" t="s">
        <v>59</v>
      </c>
      <c r="V92" s="4">
        <v>5.2499999999999998E-2</v>
      </c>
      <c r="W92" s="2">
        <v>0</v>
      </c>
      <c r="X92">
        <v>0</v>
      </c>
      <c r="Y92" t="s">
        <v>264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6.87</v>
      </c>
      <c r="AN92" s="2">
        <v>6.87</v>
      </c>
      <c r="AO92" s="2">
        <v>0</v>
      </c>
      <c r="AP92" s="2">
        <v>0</v>
      </c>
      <c r="AQ92" s="2">
        <v>0</v>
      </c>
    </row>
    <row r="93" spans="1:43" x14ac:dyDescent="0.25">
      <c r="A93" s="1">
        <v>45957</v>
      </c>
      <c r="B93" t="s">
        <v>48</v>
      </c>
      <c r="C93">
        <v>649163</v>
      </c>
      <c r="D93">
        <v>2021173379</v>
      </c>
      <c r="E93" t="s">
        <v>315</v>
      </c>
      <c r="F93" t="s">
        <v>316</v>
      </c>
      <c r="G93" t="s">
        <v>51</v>
      </c>
      <c r="H93" t="s">
        <v>195</v>
      </c>
      <c r="I93" t="s">
        <v>309</v>
      </c>
      <c r="J93" t="s">
        <v>310</v>
      </c>
      <c r="K93">
        <v>678320</v>
      </c>
      <c r="L93" t="s">
        <v>317</v>
      </c>
      <c r="M93" t="s">
        <v>318</v>
      </c>
      <c r="N93" t="s">
        <v>57</v>
      </c>
      <c r="O93" s="1">
        <v>45286</v>
      </c>
      <c r="Q93" s="1">
        <v>45987</v>
      </c>
      <c r="R93" s="2">
        <v>33.590000000000003</v>
      </c>
      <c r="S93">
        <v>1</v>
      </c>
      <c r="T93" t="s">
        <v>58</v>
      </c>
      <c r="U93" t="s">
        <v>59</v>
      </c>
      <c r="V93" s="4">
        <v>5.2499999999999998E-2</v>
      </c>
      <c r="W93" s="2">
        <v>0</v>
      </c>
      <c r="X93">
        <v>0</v>
      </c>
      <c r="Y93" t="s">
        <v>264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1.76</v>
      </c>
      <c r="AN93" s="2">
        <v>1.76</v>
      </c>
      <c r="AO93" s="2">
        <v>0</v>
      </c>
      <c r="AP93" s="2">
        <v>0</v>
      </c>
      <c r="AQ93" s="2">
        <v>0</v>
      </c>
    </row>
    <row r="94" spans="1:43" x14ac:dyDescent="0.25">
      <c r="A94" s="1">
        <v>45957</v>
      </c>
      <c r="B94" t="s">
        <v>48</v>
      </c>
      <c r="C94">
        <v>649163</v>
      </c>
      <c r="D94">
        <v>2021515732</v>
      </c>
      <c r="E94" t="s">
        <v>319</v>
      </c>
      <c r="F94" t="s">
        <v>320</v>
      </c>
      <c r="G94" t="s">
        <v>51</v>
      </c>
      <c r="H94" t="s">
        <v>195</v>
      </c>
      <c r="I94" t="s">
        <v>309</v>
      </c>
      <c r="J94" t="s">
        <v>310</v>
      </c>
      <c r="K94">
        <v>649247</v>
      </c>
      <c r="L94" t="s">
        <v>321</v>
      </c>
      <c r="M94" t="s">
        <v>322</v>
      </c>
      <c r="N94" t="s">
        <v>57</v>
      </c>
      <c r="O94" s="1">
        <v>45315</v>
      </c>
      <c r="Q94" s="1">
        <v>45985</v>
      </c>
      <c r="R94" s="2">
        <v>54.54</v>
      </c>
      <c r="S94">
        <v>1</v>
      </c>
      <c r="T94" t="s">
        <v>58</v>
      </c>
      <c r="U94" t="s">
        <v>59</v>
      </c>
      <c r="V94" s="4">
        <v>5.2499999999999998E-2</v>
      </c>
      <c r="W94" s="2">
        <v>0</v>
      </c>
      <c r="X94">
        <v>0</v>
      </c>
      <c r="Y94" t="s">
        <v>264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2.86</v>
      </c>
      <c r="AN94" s="2">
        <v>2.86</v>
      </c>
      <c r="AO94" s="2">
        <v>0</v>
      </c>
      <c r="AP94" s="2">
        <v>0</v>
      </c>
      <c r="AQ94" s="2">
        <v>0</v>
      </c>
    </row>
    <row r="95" spans="1:43" x14ac:dyDescent="0.25">
      <c r="A95" s="1">
        <v>45957</v>
      </c>
      <c r="B95" t="s">
        <v>48</v>
      </c>
      <c r="C95">
        <v>649163</v>
      </c>
      <c r="D95">
        <v>2021945460</v>
      </c>
      <c r="E95" t="s">
        <v>323</v>
      </c>
      <c r="F95" t="s">
        <v>324</v>
      </c>
      <c r="G95" t="s">
        <v>51</v>
      </c>
      <c r="H95" t="s">
        <v>195</v>
      </c>
      <c r="I95" t="s">
        <v>309</v>
      </c>
      <c r="J95" t="s">
        <v>310</v>
      </c>
      <c r="K95">
        <v>728134</v>
      </c>
      <c r="L95" t="s">
        <v>325</v>
      </c>
      <c r="M95" t="s">
        <v>326</v>
      </c>
      <c r="N95" t="s">
        <v>57</v>
      </c>
      <c r="O95" s="1">
        <v>45346</v>
      </c>
      <c r="Q95" s="1">
        <v>45985</v>
      </c>
      <c r="R95" s="2">
        <v>33.590000000000003</v>
      </c>
      <c r="S95">
        <v>1</v>
      </c>
      <c r="T95" t="s">
        <v>58</v>
      </c>
      <c r="U95" t="s">
        <v>59</v>
      </c>
      <c r="V95" s="4">
        <v>5.2499999999999998E-2</v>
      </c>
      <c r="W95" s="2">
        <v>0</v>
      </c>
      <c r="X95">
        <v>0</v>
      </c>
      <c r="Y95" t="s">
        <v>264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1.76</v>
      </c>
      <c r="AN95" s="2">
        <v>1.76</v>
      </c>
      <c r="AO95" s="2">
        <v>0</v>
      </c>
      <c r="AP95" s="2">
        <v>0</v>
      </c>
      <c r="AQ95" s="2">
        <v>0</v>
      </c>
    </row>
    <row r="96" spans="1:43" x14ac:dyDescent="0.25">
      <c r="A96" s="1">
        <v>45957</v>
      </c>
      <c r="B96" t="s">
        <v>48</v>
      </c>
      <c r="C96">
        <v>649163</v>
      </c>
      <c r="D96">
        <v>2022400180</v>
      </c>
      <c r="E96" t="s">
        <v>327</v>
      </c>
      <c r="F96" t="s">
        <v>328</v>
      </c>
      <c r="G96" t="s">
        <v>51</v>
      </c>
      <c r="H96" t="s">
        <v>195</v>
      </c>
      <c r="I96" t="s">
        <v>309</v>
      </c>
      <c r="J96" t="s">
        <v>310</v>
      </c>
      <c r="K96">
        <v>728134</v>
      </c>
      <c r="L96" t="s">
        <v>325</v>
      </c>
      <c r="M96" t="s">
        <v>326</v>
      </c>
      <c r="N96" t="s">
        <v>57</v>
      </c>
      <c r="O96" s="1">
        <v>45374</v>
      </c>
      <c r="Q96" s="1">
        <v>45984</v>
      </c>
      <c r="R96" s="2">
        <v>43.59</v>
      </c>
      <c r="S96">
        <v>1</v>
      </c>
      <c r="T96" t="s">
        <v>58</v>
      </c>
      <c r="U96" t="s">
        <v>59</v>
      </c>
      <c r="V96" s="4">
        <v>5.2499999999999998E-2</v>
      </c>
      <c r="W96" s="2">
        <v>0</v>
      </c>
      <c r="X96">
        <v>0</v>
      </c>
      <c r="Y96" t="s">
        <v>264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2.29</v>
      </c>
      <c r="AN96" s="2">
        <v>2.29</v>
      </c>
      <c r="AO96" s="2">
        <v>0</v>
      </c>
      <c r="AP96" s="2">
        <v>0</v>
      </c>
      <c r="AQ96" s="2">
        <v>0</v>
      </c>
    </row>
    <row r="97" spans="1:44" x14ac:dyDescent="0.25">
      <c r="A97" s="1">
        <v>45957</v>
      </c>
      <c r="B97" t="s">
        <v>48</v>
      </c>
      <c r="C97">
        <v>649163</v>
      </c>
      <c r="D97">
        <v>2022833707</v>
      </c>
      <c r="E97" t="s">
        <v>329</v>
      </c>
      <c r="F97" t="s">
        <v>330</v>
      </c>
      <c r="G97" t="s">
        <v>51</v>
      </c>
      <c r="H97" t="s">
        <v>165</v>
      </c>
      <c r="I97" t="s">
        <v>309</v>
      </c>
      <c r="J97" t="s">
        <v>310</v>
      </c>
      <c r="K97">
        <v>673059</v>
      </c>
      <c r="L97" t="s">
        <v>55</v>
      </c>
      <c r="M97" t="s">
        <v>56</v>
      </c>
      <c r="N97" t="s">
        <v>57</v>
      </c>
      <c r="O97" s="1">
        <v>45407</v>
      </c>
      <c r="Q97" s="1">
        <v>45986</v>
      </c>
      <c r="R97" s="2">
        <v>74.53</v>
      </c>
      <c r="S97">
        <v>1</v>
      </c>
      <c r="T97" t="s">
        <v>58</v>
      </c>
      <c r="U97" t="s">
        <v>59</v>
      </c>
      <c r="V97" s="4">
        <v>5.2499999999999998E-2</v>
      </c>
      <c r="W97" s="2">
        <v>0</v>
      </c>
      <c r="X97">
        <v>0</v>
      </c>
      <c r="Y97" t="s">
        <v>264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3.91</v>
      </c>
      <c r="AN97" s="2">
        <v>3.91</v>
      </c>
      <c r="AO97" s="2">
        <v>0</v>
      </c>
      <c r="AP97" s="2">
        <v>0</v>
      </c>
      <c r="AQ97" s="2">
        <v>0</v>
      </c>
    </row>
    <row r="98" spans="1:44" x14ac:dyDescent="0.25">
      <c r="A98" s="1">
        <v>45957</v>
      </c>
      <c r="B98" t="s">
        <v>48</v>
      </c>
      <c r="C98">
        <v>649163</v>
      </c>
      <c r="D98">
        <v>2024084590</v>
      </c>
      <c r="E98" t="s">
        <v>331</v>
      </c>
      <c r="F98" t="s">
        <v>332</v>
      </c>
      <c r="G98" t="s">
        <v>51</v>
      </c>
      <c r="H98" t="s">
        <v>195</v>
      </c>
      <c r="I98" t="s">
        <v>309</v>
      </c>
      <c r="J98" t="s">
        <v>310</v>
      </c>
      <c r="K98">
        <v>728134</v>
      </c>
      <c r="L98" t="s">
        <v>325</v>
      </c>
      <c r="M98" t="s">
        <v>326</v>
      </c>
      <c r="N98" t="s">
        <v>57</v>
      </c>
      <c r="O98" s="1">
        <v>45499</v>
      </c>
      <c r="Q98" s="1">
        <v>45987</v>
      </c>
      <c r="R98" s="2">
        <v>43.59</v>
      </c>
      <c r="S98">
        <v>1</v>
      </c>
      <c r="T98" t="s">
        <v>58</v>
      </c>
      <c r="U98" t="s">
        <v>59</v>
      </c>
      <c r="V98" s="4">
        <v>5.2499999999999998E-2</v>
      </c>
      <c r="W98" s="2">
        <v>0</v>
      </c>
      <c r="X98">
        <v>0</v>
      </c>
      <c r="Y98" t="s">
        <v>264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2.29</v>
      </c>
      <c r="AN98" s="2">
        <v>2.29</v>
      </c>
      <c r="AO98" s="2">
        <v>0</v>
      </c>
      <c r="AP98" s="2">
        <v>0</v>
      </c>
      <c r="AQ98" s="2">
        <v>0</v>
      </c>
    </row>
    <row r="99" spans="1:44" x14ac:dyDescent="0.25">
      <c r="A99" s="1">
        <v>45957</v>
      </c>
      <c r="B99" t="s">
        <v>48</v>
      </c>
      <c r="C99">
        <v>649163</v>
      </c>
      <c r="D99">
        <v>2024464934</v>
      </c>
      <c r="E99" t="s">
        <v>333</v>
      </c>
      <c r="F99" t="s">
        <v>334</v>
      </c>
      <c r="G99" t="s">
        <v>51</v>
      </c>
      <c r="H99" t="s">
        <v>69</v>
      </c>
      <c r="I99" t="s">
        <v>309</v>
      </c>
      <c r="J99" t="s">
        <v>310</v>
      </c>
      <c r="K99">
        <v>766422</v>
      </c>
      <c r="L99" t="s">
        <v>335</v>
      </c>
      <c r="M99" t="s">
        <v>336</v>
      </c>
      <c r="N99" t="s">
        <v>57</v>
      </c>
      <c r="O99" s="1">
        <v>45527</v>
      </c>
      <c r="Q99" s="1">
        <v>45984</v>
      </c>
      <c r="R99" s="2">
        <v>109.48</v>
      </c>
      <c r="S99">
        <v>1</v>
      </c>
      <c r="T99" t="s">
        <v>58</v>
      </c>
      <c r="U99" t="s">
        <v>59</v>
      </c>
      <c r="V99" s="4">
        <v>5.2499999999999998E-2</v>
      </c>
      <c r="W99" s="2">
        <v>0</v>
      </c>
      <c r="X99">
        <v>0</v>
      </c>
      <c r="Y99" t="s">
        <v>264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5.75</v>
      </c>
      <c r="AN99" s="2">
        <v>5.75</v>
      </c>
      <c r="AO99" s="2">
        <v>0</v>
      </c>
      <c r="AP99" s="2">
        <v>0</v>
      </c>
      <c r="AQ99" s="2">
        <v>0</v>
      </c>
    </row>
    <row r="100" spans="1:44" x14ac:dyDescent="0.25">
      <c r="A100" s="1">
        <v>45957</v>
      </c>
      <c r="B100" t="s">
        <v>48</v>
      </c>
      <c r="C100">
        <v>649163</v>
      </c>
      <c r="D100">
        <v>2024526899</v>
      </c>
      <c r="E100" t="s">
        <v>337</v>
      </c>
      <c r="F100" t="s">
        <v>338</v>
      </c>
      <c r="G100" t="s">
        <v>51</v>
      </c>
      <c r="H100" t="s">
        <v>195</v>
      </c>
      <c r="I100" t="s">
        <v>309</v>
      </c>
      <c r="J100" t="s">
        <v>310</v>
      </c>
      <c r="K100">
        <v>649247</v>
      </c>
      <c r="L100" t="s">
        <v>321</v>
      </c>
      <c r="M100" t="s">
        <v>322</v>
      </c>
      <c r="N100" t="s">
        <v>57</v>
      </c>
      <c r="O100" s="1">
        <v>45528</v>
      </c>
      <c r="Q100" s="1">
        <v>45985</v>
      </c>
      <c r="R100" s="2">
        <v>50.6</v>
      </c>
      <c r="S100">
        <v>1</v>
      </c>
      <c r="T100" t="s">
        <v>58</v>
      </c>
      <c r="U100" t="s">
        <v>59</v>
      </c>
      <c r="V100" s="4">
        <v>5.2499999999999998E-2</v>
      </c>
      <c r="W100" s="2">
        <v>0</v>
      </c>
      <c r="X100">
        <v>0</v>
      </c>
      <c r="Y100" t="s">
        <v>264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2.66</v>
      </c>
      <c r="AN100" s="2">
        <v>2.66</v>
      </c>
      <c r="AO100" s="2">
        <v>0</v>
      </c>
      <c r="AP100" s="2">
        <v>0</v>
      </c>
      <c r="AQ100" s="2">
        <v>0</v>
      </c>
    </row>
    <row r="101" spans="1:44" x14ac:dyDescent="0.25">
      <c r="A101" s="1">
        <v>45957</v>
      </c>
      <c r="B101" t="s">
        <v>48</v>
      </c>
      <c r="C101">
        <v>649163</v>
      </c>
      <c r="D101">
        <v>2026705202</v>
      </c>
      <c r="E101" t="s">
        <v>339</v>
      </c>
      <c r="F101" t="s">
        <v>62</v>
      </c>
      <c r="G101" t="s">
        <v>51</v>
      </c>
      <c r="H101" t="s">
        <v>69</v>
      </c>
      <c r="I101" t="s">
        <v>309</v>
      </c>
      <c r="J101" t="s">
        <v>340</v>
      </c>
      <c r="K101">
        <v>768887</v>
      </c>
      <c r="L101" t="s">
        <v>289</v>
      </c>
      <c r="M101" t="s">
        <v>290</v>
      </c>
      <c r="N101" t="s">
        <v>57</v>
      </c>
      <c r="O101" s="1">
        <v>45679</v>
      </c>
      <c r="Q101" s="1">
        <v>45983</v>
      </c>
      <c r="R101" s="2">
        <v>113.89</v>
      </c>
      <c r="S101">
        <v>1</v>
      </c>
      <c r="T101" t="s">
        <v>58</v>
      </c>
      <c r="U101" t="s">
        <v>59</v>
      </c>
      <c r="V101" s="3">
        <v>0.51</v>
      </c>
      <c r="W101" s="2">
        <v>0</v>
      </c>
      <c r="X101">
        <v>0</v>
      </c>
      <c r="Y101" t="s">
        <v>60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58.08</v>
      </c>
      <c r="AN101" s="2">
        <v>58.08</v>
      </c>
      <c r="AO101" s="2">
        <v>0</v>
      </c>
      <c r="AP101" s="2">
        <v>0</v>
      </c>
      <c r="AQ101" s="2">
        <v>0</v>
      </c>
    </row>
    <row r="102" spans="1:44" x14ac:dyDescent="0.25">
      <c r="A102" s="1">
        <v>45957</v>
      </c>
      <c r="B102" t="s">
        <v>48</v>
      </c>
      <c r="C102">
        <v>649163</v>
      </c>
      <c r="D102">
        <v>2026705203</v>
      </c>
      <c r="E102" t="s">
        <v>339</v>
      </c>
      <c r="F102" t="s">
        <v>62</v>
      </c>
      <c r="G102" t="s">
        <v>51</v>
      </c>
      <c r="H102" t="s">
        <v>69</v>
      </c>
      <c r="I102" t="s">
        <v>309</v>
      </c>
      <c r="J102" t="s">
        <v>341</v>
      </c>
      <c r="K102">
        <v>768887</v>
      </c>
      <c r="L102" t="s">
        <v>289</v>
      </c>
      <c r="M102" t="s">
        <v>290</v>
      </c>
      <c r="N102" t="s">
        <v>57</v>
      </c>
      <c r="O102" s="1">
        <v>45679</v>
      </c>
      <c r="Q102" s="1">
        <v>45983</v>
      </c>
      <c r="R102" s="2">
        <v>14.95</v>
      </c>
      <c r="S102">
        <v>1</v>
      </c>
      <c r="T102" t="s">
        <v>58</v>
      </c>
      <c r="U102" t="s">
        <v>59</v>
      </c>
      <c r="V102" s="3">
        <v>0.51</v>
      </c>
      <c r="W102" s="2">
        <v>0</v>
      </c>
      <c r="X102">
        <v>0</v>
      </c>
      <c r="Y102" t="s">
        <v>60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7.62</v>
      </c>
      <c r="AN102" s="2">
        <v>7.62</v>
      </c>
      <c r="AO102" s="2">
        <v>0</v>
      </c>
      <c r="AP102" s="2">
        <v>0</v>
      </c>
      <c r="AQ102" s="2">
        <v>0</v>
      </c>
    </row>
    <row r="103" spans="1:44" x14ac:dyDescent="0.25">
      <c r="A103" s="1">
        <v>45957</v>
      </c>
      <c r="B103" t="s">
        <v>48</v>
      </c>
      <c r="C103">
        <v>649163</v>
      </c>
      <c r="D103">
        <v>2026721618</v>
      </c>
      <c r="E103" t="s">
        <v>107</v>
      </c>
      <c r="F103" t="s">
        <v>342</v>
      </c>
      <c r="G103" t="s">
        <v>51</v>
      </c>
      <c r="H103" t="s">
        <v>145</v>
      </c>
      <c r="I103" t="s">
        <v>309</v>
      </c>
      <c r="J103" t="s">
        <v>340</v>
      </c>
      <c r="K103">
        <v>768887</v>
      </c>
      <c r="L103" t="s">
        <v>289</v>
      </c>
      <c r="M103" t="s">
        <v>290</v>
      </c>
      <c r="N103" t="s">
        <v>57</v>
      </c>
      <c r="O103" s="1">
        <v>45680</v>
      </c>
      <c r="Q103" s="1">
        <v>45984</v>
      </c>
      <c r="R103" s="2">
        <v>113.89</v>
      </c>
      <c r="S103">
        <v>1</v>
      </c>
      <c r="T103" t="s">
        <v>58</v>
      </c>
      <c r="U103" t="s">
        <v>59</v>
      </c>
      <c r="V103" s="3">
        <v>0.51</v>
      </c>
      <c r="W103" s="2">
        <v>0</v>
      </c>
      <c r="X103">
        <v>0</v>
      </c>
      <c r="Y103" t="s">
        <v>60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58.08</v>
      </c>
      <c r="AN103" s="2">
        <v>58.08</v>
      </c>
      <c r="AO103" s="2">
        <v>0</v>
      </c>
      <c r="AP103" s="2">
        <v>0</v>
      </c>
      <c r="AQ103" s="2">
        <v>0</v>
      </c>
    </row>
    <row r="104" spans="1:44" x14ac:dyDescent="0.25">
      <c r="A104" s="1">
        <v>45957</v>
      </c>
      <c r="B104" t="s">
        <v>48</v>
      </c>
      <c r="C104">
        <v>649163</v>
      </c>
      <c r="D104">
        <v>2029303774</v>
      </c>
      <c r="E104" t="s">
        <v>343</v>
      </c>
      <c r="F104" t="s">
        <v>344</v>
      </c>
      <c r="G104" t="s">
        <v>51</v>
      </c>
      <c r="H104" t="s">
        <v>195</v>
      </c>
      <c r="I104" t="s">
        <v>309</v>
      </c>
      <c r="J104" t="s">
        <v>310</v>
      </c>
      <c r="K104">
        <v>728134</v>
      </c>
      <c r="L104" t="s">
        <v>325</v>
      </c>
      <c r="M104" t="s">
        <v>326</v>
      </c>
      <c r="N104" t="s">
        <v>57</v>
      </c>
      <c r="O104" s="1">
        <v>45798</v>
      </c>
      <c r="Q104" s="1">
        <v>45982</v>
      </c>
      <c r="R104" s="2">
        <v>37.32</v>
      </c>
      <c r="S104">
        <v>1</v>
      </c>
      <c r="T104" t="s">
        <v>58</v>
      </c>
      <c r="U104" t="s">
        <v>59</v>
      </c>
      <c r="V104" s="3">
        <v>0.47</v>
      </c>
      <c r="W104" s="2">
        <v>0</v>
      </c>
      <c r="X104">
        <v>0</v>
      </c>
      <c r="Y104" t="s">
        <v>60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17.54</v>
      </c>
      <c r="AN104" s="2">
        <v>17.54</v>
      </c>
      <c r="AO104" s="2">
        <v>0</v>
      </c>
      <c r="AP104" s="2">
        <v>0</v>
      </c>
      <c r="AQ104" s="2">
        <v>0</v>
      </c>
    </row>
    <row r="105" spans="1:44" x14ac:dyDescent="0.25">
      <c r="A105" s="1">
        <v>45957</v>
      </c>
      <c r="B105" t="s">
        <v>48</v>
      </c>
      <c r="C105">
        <v>649163</v>
      </c>
      <c r="D105">
        <v>2029646226</v>
      </c>
      <c r="E105" t="s">
        <v>345</v>
      </c>
      <c r="F105" t="s">
        <v>346</v>
      </c>
      <c r="G105" t="s">
        <v>51</v>
      </c>
      <c r="H105" t="s">
        <v>234</v>
      </c>
      <c r="I105" t="s">
        <v>309</v>
      </c>
      <c r="J105" t="s">
        <v>310</v>
      </c>
      <c r="K105">
        <v>756418</v>
      </c>
      <c r="L105" t="s">
        <v>191</v>
      </c>
      <c r="M105" t="s">
        <v>192</v>
      </c>
      <c r="N105" t="s">
        <v>57</v>
      </c>
      <c r="O105" s="1">
        <v>45834</v>
      </c>
      <c r="Q105" s="1">
        <v>45987</v>
      </c>
      <c r="R105" s="2">
        <v>13.99</v>
      </c>
      <c r="S105">
        <v>1</v>
      </c>
      <c r="T105" t="s">
        <v>58</v>
      </c>
      <c r="U105" t="s">
        <v>59</v>
      </c>
      <c r="V105" s="3">
        <v>0.47</v>
      </c>
      <c r="W105" s="2">
        <v>0</v>
      </c>
      <c r="X105">
        <v>0</v>
      </c>
      <c r="Y105" t="s">
        <v>60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6.58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4" x14ac:dyDescent="0.25">
      <c r="A106" s="1">
        <v>45957</v>
      </c>
      <c r="B106" t="s">
        <v>48</v>
      </c>
      <c r="C106">
        <v>649163</v>
      </c>
      <c r="D106">
        <v>2031209004</v>
      </c>
      <c r="E106" t="s">
        <v>347</v>
      </c>
      <c r="F106" t="s">
        <v>348</v>
      </c>
      <c r="G106" t="s">
        <v>51</v>
      </c>
      <c r="H106" t="s">
        <v>195</v>
      </c>
      <c r="I106" t="s">
        <v>309</v>
      </c>
      <c r="J106" t="s">
        <v>340</v>
      </c>
      <c r="K106">
        <v>751867</v>
      </c>
      <c r="L106" t="s">
        <v>349</v>
      </c>
      <c r="M106" t="s">
        <v>312</v>
      </c>
      <c r="N106" t="s">
        <v>57</v>
      </c>
      <c r="O106" s="1">
        <v>45923</v>
      </c>
      <c r="Q106" s="1">
        <v>45984</v>
      </c>
      <c r="R106" s="2">
        <v>55.2</v>
      </c>
      <c r="S106">
        <v>1</v>
      </c>
      <c r="T106" t="s">
        <v>58</v>
      </c>
      <c r="U106" t="s">
        <v>238</v>
      </c>
      <c r="V106" s="3">
        <v>0.51</v>
      </c>
      <c r="W106" s="2">
        <v>0</v>
      </c>
      <c r="X106">
        <v>0</v>
      </c>
      <c r="Y106" t="s">
        <v>60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28.15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4" x14ac:dyDescent="0.25">
      <c r="A107" s="1">
        <v>45957</v>
      </c>
      <c r="B107" t="s">
        <v>48</v>
      </c>
      <c r="C107">
        <v>649163</v>
      </c>
      <c r="D107">
        <v>2031269232</v>
      </c>
      <c r="E107" t="s">
        <v>350</v>
      </c>
      <c r="F107" t="s">
        <v>351</v>
      </c>
      <c r="G107" t="s">
        <v>51</v>
      </c>
      <c r="H107" t="s">
        <v>69</v>
      </c>
      <c r="I107" t="s">
        <v>309</v>
      </c>
      <c r="J107" t="s">
        <v>310</v>
      </c>
      <c r="K107">
        <v>824076</v>
      </c>
      <c r="L107" t="s">
        <v>135</v>
      </c>
      <c r="M107" t="s">
        <v>136</v>
      </c>
      <c r="N107" t="s">
        <v>57</v>
      </c>
      <c r="O107" s="1">
        <v>45926</v>
      </c>
      <c r="Q107" s="1">
        <v>45987</v>
      </c>
      <c r="R107" s="2">
        <v>84.15</v>
      </c>
      <c r="S107">
        <v>1</v>
      </c>
      <c r="T107" t="s">
        <v>58</v>
      </c>
      <c r="U107" t="s">
        <v>238</v>
      </c>
      <c r="V107" s="3">
        <v>0.47</v>
      </c>
      <c r="W107" s="2">
        <v>0</v>
      </c>
      <c r="X107">
        <v>0</v>
      </c>
      <c r="Y107" t="s">
        <v>60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39.549999999999997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4" x14ac:dyDescent="0.25">
      <c r="A108" s="1">
        <v>45957</v>
      </c>
      <c r="B108" t="s">
        <v>352</v>
      </c>
      <c r="C108">
        <v>650218</v>
      </c>
      <c r="D108">
        <v>2023231109</v>
      </c>
      <c r="E108" t="s">
        <v>353</v>
      </c>
      <c r="F108" t="s">
        <v>354</v>
      </c>
      <c r="G108" t="s">
        <v>51</v>
      </c>
      <c r="I108" t="s">
        <v>355</v>
      </c>
      <c r="J108" t="s">
        <v>356</v>
      </c>
      <c r="K108">
        <v>650218</v>
      </c>
      <c r="L108" t="s">
        <v>357</v>
      </c>
      <c r="M108" t="s">
        <v>358</v>
      </c>
      <c r="N108" t="s">
        <v>359</v>
      </c>
      <c r="O108" s="1">
        <v>45444</v>
      </c>
      <c r="P108" s="1">
        <v>45950</v>
      </c>
      <c r="R108" s="2">
        <v>0</v>
      </c>
      <c r="AB108" s="2">
        <v>0</v>
      </c>
      <c r="AC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t="s">
        <v>360</v>
      </c>
    </row>
    <row r="109" spans="1:44" x14ac:dyDescent="0.25">
      <c r="A109" s="1">
        <v>45957</v>
      </c>
      <c r="B109" t="s">
        <v>352</v>
      </c>
      <c r="C109">
        <v>650218</v>
      </c>
      <c r="D109">
        <v>2023231110</v>
      </c>
      <c r="E109" t="s">
        <v>353</v>
      </c>
      <c r="F109" t="s">
        <v>354</v>
      </c>
      <c r="G109" t="s">
        <v>51</v>
      </c>
      <c r="I109" t="s">
        <v>361</v>
      </c>
      <c r="J109" t="s">
        <v>362</v>
      </c>
      <c r="K109">
        <v>650218</v>
      </c>
      <c r="L109" t="s">
        <v>357</v>
      </c>
      <c r="M109" t="s">
        <v>358</v>
      </c>
      <c r="N109" t="s">
        <v>359</v>
      </c>
      <c r="O109" s="1">
        <v>45444</v>
      </c>
      <c r="P109" s="1">
        <v>45950</v>
      </c>
      <c r="R109" s="2">
        <v>0</v>
      </c>
      <c r="AB109" s="2">
        <v>0</v>
      </c>
      <c r="AC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t="s">
        <v>360</v>
      </c>
    </row>
    <row r="110" spans="1:44" x14ac:dyDescent="0.25">
      <c r="A110" s="1">
        <v>45957</v>
      </c>
      <c r="B110" t="s">
        <v>352</v>
      </c>
      <c r="C110">
        <v>649163</v>
      </c>
      <c r="D110">
        <v>2028549720</v>
      </c>
      <c r="E110" t="s">
        <v>363</v>
      </c>
      <c r="F110" t="s">
        <v>364</v>
      </c>
      <c r="G110" t="s">
        <v>51</v>
      </c>
      <c r="I110" t="s">
        <v>53</v>
      </c>
      <c r="J110" t="s">
        <v>54</v>
      </c>
      <c r="K110">
        <v>649163</v>
      </c>
      <c r="L110" t="s">
        <v>175</v>
      </c>
      <c r="M110" t="s">
        <v>176</v>
      </c>
      <c r="N110" t="s">
        <v>359</v>
      </c>
      <c r="O110" s="1">
        <v>45778</v>
      </c>
      <c r="P110" s="1">
        <v>45957</v>
      </c>
      <c r="R110" s="2">
        <v>0</v>
      </c>
      <c r="AB110" s="2">
        <v>0</v>
      </c>
      <c r="AC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t="s">
        <v>365</v>
      </c>
    </row>
    <row r="111" spans="1:44" x14ac:dyDescent="0.25">
      <c r="A111" s="1">
        <v>45957</v>
      </c>
      <c r="B111" t="s">
        <v>352</v>
      </c>
      <c r="C111">
        <v>650218</v>
      </c>
      <c r="D111">
        <v>2028565355</v>
      </c>
      <c r="E111" t="s">
        <v>318</v>
      </c>
      <c r="F111" t="s">
        <v>366</v>
      </c>
      <c r="G111" t="s">
        <v>51</v>
      </c>
      <c r="I111" t="s">
        <v>53</v>
      </c>
      <c r="J111" t="s">
        <v>54</v>
      </c>
      <c r="K111">
        <v>650218</v>
      </c>
      <c r="L111" t="s">
        <v>357</v>
      </c>
      <c r="M111" t="s">
        <v>358</v>
      </c>
      <c r="N111" t="s">
        <v>359</v>
      </c>
      <c r="O111" s="1">
        <v>45777</v>
      </c>
      <c r="P111" s="1">
        <v>45957</v>
      </c>
      <c r="R111" s="2">
        <v>0</v>
      </c>
      <c r="AB111" s="2">
        <v>0</v>
      </c>
      <c r="AC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t="s">
        <v>365</v>
      </c>
    </row>
    <row r="112" spans="1:44" x14ac:dyDescent="0.25">
      <c r="A112" s="1">
        <v>45957</v>
      </c>
      <c r="B112" t="s">
        <v>352</v>
      </c>
      <c r="C112">
        <v>650218</v>
      </c>
      <c r="D112">
        <v>2028565358</v>
      </c>
      <c r="E112" t="s">
        <v>318</v>
      </c>
      <c r="F112" t="s">
        <v>366</v>
      </c>
      <c r="G112" t="s">
        <v>51</v>
      </c>
      <c r="I112" t="s">
        <v>361</v>
      </c>
      <c r="J112" t="s">
        <v>362</v>
      </c>
      <c r="K112">
        <v>650218</v>
      </c>
      <c r="L112" t="s">
        <v>357</v>
      </c>
      <c r="M112" t="s">
        <v>358</v>
      </c>
      <c r="N112" t="s">
        <v>359</v>
      </c>
      <c r="O112" s="1">
        <v>45777</v>
      </c>
      <c r="P112" s="1">
        <v>45957</v>
      </c>
      <c r="R112" s="2">
        <v>0</v>
      </c>
      <c r="AB112" s="2">
        <v>0</v>
      </c>
      <c r="AC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t="s">
        <v>365</v>
      </c>
    </row>
    <row r="113" spans="1:44" x14ac:dyDescent="0.25">
      <c r="A113" s="1">
        <v>45957</v>
      </c>
      <c r="B113" t="s">
        <v>352</v>
      </c>
      <c r="C113">
        <v>792847</v>
      </c>
      <c r="D113">
        <v>2029910877</v>
      </c>
      <c r="E113" t="s">
        <v>367</v>
      </c>
      <c r="F113" t="s">
        <v>368</v>
      </c>
      <c r="G113" t="s">
        <v>51</v>
      </c>
      <c r="I113" t="s">
        <v>369</v>
      </c>
      <c r="J113" t="s">
        <v>370</v>
      </c>
      <c r="K113">
        <v>792847</v>
      </c>
      <c r="L113" t="s">
        <v>371</v>
      </c>
      <c r="M113" t="s">
        <v>372</v>
      </c>
      <c r="N113" t="s">
        <v>359</v>
      </c>
      <c r="O113" s="1">
        <v>45850</v>
      </c>
      <c r="P113" s="1">
        <v>45957</v>
      </c>
      <c r="R113" s="2">
        <v>0</v>
      </c>
      <c r="AB113" s="2">
        <v>677.16</v>
      </c>
      <c r="AC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677.16</v>
      </c>
      <c r="AN113" s="2">
        <v>0</v>
      </c>
      <c r="AO113" s="2">
        <v>0</v>
      </c>
      <c r="AP113" s="2">
        <v>0</v>
      </c>
      <c r="AQ113" s="2">
        <v>0</v>
      </c>
      <c r="AR113" t="s">
        <v>365</v>
      </c>
    </row>
    <row r="114" spans="1:44" x14ac:dyDescent="0.25">
      <c r="A114" s="1">
        <v>45957</v>
      </c>
      <c r="B114" t="s">
        <v>352</v>
      </c>
      <c r="C114">
        <v>756418</v>
      </c>
      <c r="D114">
        <v>2030135277</v>
      </c>
      <c r="E114" t="s">
        <v>373</v>
      </c>
      <c r="F114" t="s">
        <v>374</v>
      </c>
      <c r="G114" t="s">
        <v>51</v>
      </c>
      <c r="I114" t="s">
        <v>369</v>
      </c>
      <c r="J114" t="s">
        <v>375</v>
      </c>
      <c r="K114">
        <v>756418</v>
      </c>
      <c r="L114" t="s">
        <v>191</v>
      </c>
      <c r="M114" t="s">
        <v>192</v>
      </c>
      <c r="N114" t="s">
        <v>359</v>
      </c>
      <c r="O114" s="1">
        <v>45863</v>
      </c>
      <c r="P114" s="1">
        <v>45957</v>
      </c>
      <c r="R114" s="2">
        <v>0</v>
      </c>
      <c r="AB114" s="2">
        <v>962.12</v>
      </c>
      <c r="AC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320.7</v>
      </c>
      <c r="AN114" s="2">
        <v>-641.41999999999996</v>
      </c>
      <c r="AO114" s="2">
        <v>-641.41999999999996</v>
      </c>
      <c r="AP114" s="2">
        <v>0</v>
      </c>
      <c r="AQ114" s="2">
        <v>0</v>
      </c>
      <c r="AR114" t="s">
        <v>365</v>
      </c>
    </row>
    <row r="115" spans="1:44" x14ac:dyDescent="0.25">
      <c r="A115" s="1">
        <v>45957</v>
      </c>
      <c r="B115" t="s">
        <v>352</v>
      </c>
      <c r="C115">
        <v>649163</v>
      </c>
      <c r="D115">
        <v>2030176830</v>
      </c>
      <c r="E115" t="s">
        <v>376</v>
      </c>
      <c r="F115" t="s">
        <v>377</v>
      </c>
      <c r="G115" t="s">
        <v>51</v>
      </c>
      <c r="I115" t="s">
        <v>378</v>
      </c>
      <c r="J115" t="s">
        <v>379</v>
      </c>
      <c r="K115">
        <v>649163</v>
      </c>
      <c r="L115" t="s">
        <v>380</v>
      </c>
      <c r="M115" t="s">
        <v>381</v>
      </c>
      <c r="N115" t="s">
        <v>359</v>
      </c>
      <c r="O115" s="1">
        <v>45868</v>
      </c>
      <c r="P115" s="1">
        <v>45957</v>
      </c>
      <c r="R115" s="2">
        <v>0</v>
      </c>
      <c r="AB115" s="2">
        <v>155.93</v>
      </c>
      <c r="AC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77.97</v>
      </c>
      <c r="AN115" s="2">
        <v>-77.959999999999994</v>
      </c>
      <c r="AO115" s="2">
        <v>-77.959999999999994</v>
      </c>
      <c r="AP115" s="2">
        <v>0</v>
      </c>
      <c r="AQ115" s="2">
        <v>0</v>
      </c>
      <c r="AR115" t="s">
        <v>365</v>
      </c>
    </row>
    <row r="116" spans="1:44" x14ac:dyDescent="0.25">
      <c r="A116" s="1">
        <v>45957</v>
      </c>
      <c r="B116" t="s">
        <v>352</v>
      </c>
      <c r="C116">
        <v>652037</v>
      </c>
      <c r="D116">
        <v>2030160154</v>
      </c>
      <c r="E116" t="s">
        <v>382</v>
      </c>
      <c r="F116" t="s">
        <v>383</v>
      </c>
      <c r="G116" t="s">
        <v>51</v>
      </c>
      <c r="I116" t="s">
        <v>262</v>
      </c>
      <c r="J116" t="s">
        <v>384</v>
      </c>
      <c r="K116">
        <v>652037</v>
      </c>
      <c r="L116" t="s">
        <v>155</v>
      </c>
      <c r="M116" t="s">
        <v>156</v>
      </c>
      <c r="N116" t="s">
        <v>359</v>
      </c>
      <c r="O116" s="1">
        <v>45865</v>
      </c>
      <c r="P116" s="1">
        <v>45957</v>
      </c>
      <c r="R116" s="2">
        <v>0</v>
      </c>
      <c r="AB116" s="2">
        <v>282.05</v>
      </c>
      <c r="AC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282.05</v>
      </c>
      <c r="AN116" s="2">
        <v>0</v>
      </c>
      <c r="AO116" s="2">
        <v>0</v>
      </c>
      <c r="AP116" s="2">
        <v>0</v>
      </c>
      <c r="AQ116" s="2">
        <v>0</v>
      </c>
      <c r="AR116" t="s">
        <v>365</v>
      </c>
    </row>
    <row r="117" spans="1:44" x14ac:dyDescent="0.25">
      <c r="A117" s="1">
        <v>45957</v>
      </c>
      <c r="B117" t="s">
        <v>352</v>
      </c>
      <c r="C117">
        <v>649163</v>
      </c>
      <c r="D117">
        <v>2030269156</v>
      </c>
      <c r="E117" t="s">
        <v>385</v>
      </c>
      <c r="F117" t="s">
        <v>386</v>
      </c>
      <c r="G117" t="s">
        <v>51</v>
      </c>
      <c r="I117" t="s">
        <v>361</v>
      </c>
      <c r="J117" t="s">
        <v>362</v>
      </c>
      <c r="K117">
        <v>649163</v>
      </c>
      <c r="L117" t="s">
        <v>349</v>
      </c>
      <c r="M117" t="s">
        <v>312</v>
      </c>
      <c r="N117" t="s">
        <v>359</v>
      </c>
      <c r="O117" s="1">
        <v>45871</v>
      </c>
      <c r="P117" s="1">
        <v>45957</v>
      </c>
      <c r="R117" s="2">
        <v>0</v>
      </c>
      <c r="AB117" s="2">
        <v>34.200000000000003</v>
      </c>
      <c r="AC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17.100000000000001</v>
      </c>
      <c r="AN117" s="2">
        <v>-17.100000000000001</v>
      </c>
      <c r="AO117" s="2">
        <v>-17.100000000000001</v>
      </c>
      <c r="AP117" s="2">
        <v>0</v>
      </c>
      <c r="AQ117" s="2">
        <v>0</v>
      </c>
      <c r="AR117" t="s">
        <v>365</v>
      </c>
    </row>
    <row r="118" spans="1:44" x14ac:dyDescent="0.25">
      <c r="A118" s="1">
        <v>45957</v>
      </c>
      <c r="B118" t="s">
        <v>352</v>
      </c>
      <c r="C118">
        <v>751867</v>
      </c>
      <c r="D118">
        <v>2030678332</v>
      </c>
      <c r="E118" t="s">
        <v>127</v>
      </c>
      <c r="F118" t="s">
        <v>387</v>
      </c>
      <c r="G118" t="s">
        <v>51</v>
      </c>
      <c r="I118" t="s">
        <v>355</v>
      </c>
      <c r="J118" t="s">
        <v>356</v>
      </c>
      <c r="K118">
        <v>751867</v>
      </c>
      <c r="L118" t="s">
        <v>349</v>
      </c>
      <c r="M118" t="s">
        <v>312</v>
      </c>
      <c r="N118" t="s">
        <v>359</v>
      </c>
      <c r="O118" s="1">
        <v>45895</v>
      </c>
      <c r="P118" s="1">
        <v>45957</v>
      </c>
      <c r="R118" s="2">
        <v>0</v>
      </c>
      <c r="AB118" s="2">
        <v>52.6</v>
      </c>
      <c r="AC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8.77</v>
      </c>
      <c r="AN118" s="2">
        <v>-43.83</v>
      </c>
      <c r="AO118" s="2">
        <v>-43.83</v>
      </c>
      <c r="AP118" s="2">
        <v>0</v>
      </c>
      <c r="AQ118" s="2">
        <v>0</v>
      </c>
      <c r="AR118" t="s">
        <v>365</v>
      </c>
    </row>
    <row r="119" spans="1:44" x14ac:dyDescent="0.25">
      <c r="A119" s="1">
        <v>45957</v>
      </c>
      <c r="B119" t="s">
        <v>352</v>
      </c>
      <c r="C119">
        <v>843573</v>
      </c>
      <c r="D119">
        <v>2029685078</v>
      </c>
      <c r="E119" t="s">
        <v>278</v>
      </c>
      <c r="F119" t="s">
        <v>388</v>
      </c>
      <c r="G119" t="s">
        <v>51</v>
      </c>
      <c r="I119" t="s">
        <v>53</v>
      </c>
      <c r="J119" t="s">
        <v>54</v>
      </c>
      <c r="K119">
        <v>843573</v>
      </c>
      <c r="L119" t="s">
        <v>389</v>
      </c>
      <c r="M119" t="s">
        <v>390</v>
      </c>
      <c r="N119" t="s">
        <v>359</v>
      </c>
      <c r="O119" s="1">
        <v>45838</v>
      </c>
      <c r="P119" s="1">
        <v>45957</v>
      </c>
      <c r="R119" s="2">
        <v>0</v>
      </c>
      <c r="AB119" s="2">
        <v>48.3</v>
      </c>
      <c r="AC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24.15</v>
      </c>
      <c r="AN119" s="2">
        <v>-24.15</v>
      </c>
      <c r="AO119" s="2">
        <v>-24.15</v>
      </c>
      <c r="AP119" s="2">
        <v>0</v>
      </c>
      <c r="AQ119" s="2">
        <v>0</v>
      </c>
      <c r="AR119" t="s">
        <v>365</v>
      </c>
    </row>
    <row r="120" spans="1:44" x14ac:dyDescent="0.25">
      <c r="A120" s="1">
        <v>45957</v>
      </c>
      <c r="B120" t="s">
        <v>352</v>
      </c>
      <c r="C120">
        <v>792847</v>
      </c>
      <c r="D120">
        <v>2029910878</v>
      </c>
      <c r="E120" t="s">
        <v>367</v>
      </c>
      <c r="F120" t="s">
        <v>368</v>
      </c>
      <c r="G120" t="s">
        <v>51</v>
      </c>
      <c r="I120" t="s">
        <v>53</v>
      </c>
      <c r="J120" t="s">
        <v>54</v>
      </c>
      <c r="K120">
        <v>792847</v>
      </c>
      <c r="L120" t="s">
        <v>371</v>
      </c>
      <c r="M120" t="s">
        <v>372</v>
      </c>
      <c r="N120" t="s">
        <v>359</v>
      </c>
      <c r="O120" s="1">
        <v>45850</v>
      </c>
      <c r="P120" s="1">
        <v>45957</v>
      </c>
      <c r="R120" s="2">
        <v>0</v>
      </c>
      <c r="AB120" s="2">
        <v>736.55</v>
      </c>
      <c r="AC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736.55</v>
      </c>
      <c r="AN120" s="2">
        <v>0</v>
      </c>
      <c r="AO120" s="2">
        <v>0</v>
      </c>
      <c r="AP120" s="2">
        <v>0</v>
      </c>
      <c r="AQ120" s="2">
        <v>0</v>
      </c>
      <c r="AR120" t="s">
        <v>365</v>
      </c>
    </row>
    <row r="121" spans="1:44" x14ac:dyDescent="0.25">
      <c r="A121" s="1">
        <v>45957</v>
      </c>
      <c r="B121" t="s">
        <v>352</v>
      </c>
      <c r="C121">
        <v>649163</v>
      </c>
      <c r="D121">
        <v>2030176831</v>
      </c>
      <c r="E121" t="s">
        <v>376</v>
      </c>
      <c r="F121" t="s">
        <v>377</v>
      </c>
      <c r="G121" t="s">
        <v>51</v>
      </c>
      <c r="I121" t="s">
        <v>53</v>
      </c>
      <c r="J121" t="s">
        <v>54</v>
      </c>
      <c r="K121">
        <v>649163</v>
      </c>
      <c r="L121" t="s">
        <v>380</v>
      </c>
      <c r="M121" t="s">
        <v>381</v>
      </c>
      <c r="N121" t="s">
        <v>359</v>
      </c>
      <c r="O121" s="1">
        <v>45868</v>
      </c>
      <c r="P121" s="1">
        <v>45957</v>
      </c>
      <c r="R121" s="2">
        <v>0</v>
      </c>
      <c r="AB121" s="2">
        <v>54.6</v>
      </c>
      <c r="AC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27.3</v>
      </c>
      <c r="AN121" s="2">
        <v>-27.3</v>
      </c>
      <c r="AO121" s="2">
        <v>-27.3</v>
      </c>
      <c r="AP121" s="2">
        <v>0</v>
      </c>
      <c r="AQ121" s="2">
        <v>0</v>
      </c>
      <c r="AR121" t="s">
        <v>365</v>
      </c>
    </row>
    <row r="122" spans="1:44" x14ac:dyDescent="0.25">
      <c r="A122" s="1">
        <v>45957</v>
      </c>
      <c r="B122" t="s">
        <v>352</v>
      </c>
      <c r="C122">
        <v>649163</v>
      </c>
      <c r="D122">
        <v>2028215886</v>
      </c>
      <c r="E122" t="s">
        <v>391</v>
      </c>
      <c r="F122" t="s">
        <v>336</v>
      </c>
      <c r="G122" t="s">
        <v>51</v>
      </c>
      <c r="I122" t="s">
        <v>378</v>
      </c>
      <c r="J122" t="s">
        <v>379</v>
      </c>
      <c r="K122">
        <v>649163</v>
      </c>
      <c r="L122" t="s">
        <v>349</v>
      </c>
      <c r="M122" t="s">
        <v>312</v>
      </c>
      <c r="N122" t="s">
        <v>359</v>
      </c>
      <c r="O122" s="1">
        <v>45751</v>
      </c>
      <c r="P122" s="1">
        <v>45957</v>
      </c>
      <c r="R122" s="2">
        <v>0</v>
      </c>
      <c r="AB122" s="2">
        <v>0</v>
      </c>
      <c r="AC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t="s">
        <v>365</v>
      </c>
    </row>
    <row r="123" spans="1:44" x14ac:dyDescent="0.25">
      <c r="A123" s="1">
        <v>45957</v>
      </c>
      <c r="B123" t="s">
        <v>352</v>
      </c>
      <c r="C123">
        <v>649163</v>
      </c>
      <c r="D123">
        <v>2027825905</v>
      </c>
      <c r="E123" t="s">
        <v>189</v>
      </c>
      <c r="F123" t="s">
        <v>392</v>
      </c>
      <c r="G123" t="s">
        <v>51</v>
      </c>
      <c r="I123" t="s">
        <v>53</v>
      </c>
      <c r="J123" t="s">
        <v>54</v>
      </c>
      <c r="K123">
        <v>649163</v>
      </c>
      <c r="L123" t="s">
        <v>55</v>
      </c>
      <c r="M123" t="s">
        <v>56</v>
      </c>
      <c r="N123" t="s">
        <v>359</v>
      </c>
      <c r="O123" s="1">
        <v>45731</v>
      </c>
      <c r="P123" s="1">
        <v>45957</v>
      </c>
      <c r="R123" s="2">
        <v>0</v>
      </c>
      <c r="AB123" s="2">
        <v>0</v>
      </c>
      <c r="AC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t="s">
        <v>365</v>
      </c>
    </row>
    <row r="124" spans="1:44" x14ac:dyDescent="0.25">
      <c r="A124" s="1">
        <v>45957</v>
      </c>
      <c r="B124" t="s">
        <v>352</v>
      </c>
      <c r="C124">
        <v>756418</v>
      </c>
      <c r="D124">
        <v>2030135276</v>
      </c>
      <c r="E124" t="s">
        <v>373</v>
      </c>
      <c r="F124" t="s">
        <v>374</v>
      </c>
      <c r="G124" t="s">
        <v>51</v>
      </c>
      <c r="I124" t="s">
        <v>309</v>
      </c>
      <c r="J124" t="s">
        <v>310</v>
      </c>
      <c r="K124">
        <v>756418</v>
      </c>
      <c r="L124" t="s">
        <v>191</v>
      </c>
      <c r="M124" t="s">
        <v>192</v>
      </c>
      <c r="N124" t="s">
        <v>359</v>
      </c>
      <c r="O124" s="1">
        <v>45863</v>
      </c>
      <c r="P124" s="1">
        <v>45957</v>
      </c>
      <c r="R124" s="2">
        <v>0</v>
      </c>
      <c r="AB124" s="2">
        <v>275.97000000000003</v>
      </c>
      <c r="AC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91.98</v>
      </c>
      <c r="AN124" s="2">
        <v>-183.99</v>
      </c>
      <c r="AO124" s="2">
        <v>-183.99</v>
      </c>
      <c r="AP124" s="2">
        <v>0</v>
      </c>
      <c r="AQ124" s="2">
        <v>0</v>
      </c>
      <c r="AR124" t="s">
        <v>365</v>
      </c>
    </row>
    <row r="125" spans="1:44" x14ac:dyDescent="0.25">
      <c r="A125" s="1">
        <v>45957</v>
      </c>
      <c r="B125" t="s">
        <v>352</v>
      </c>
      <c r="C125">
        <v>649163</v>
      </c>
      <c r="D125">
        <v>2030269154</v>
      </c>
      <c r="E125" t="s">
        <v>385</v>
      </c>
      <c r="F125" t="s">
        <v>386</v>
      </c>
      <c r="G125" t="s">
        <v>51</v>
      </c>
      <c r="I125" t="s">
        <v>355</v>
      </c>
      <c r="J125" t="s">
        <v>356</v>
      </c>
      <c r="K125">
        <v>649163</v>
      </c>
      <c r="L125" t="s">
        <v>349</v>
      </c>
      <c r="M125" t="s">
        <v>312</v>
      </c>
      <c r="N125" t="s">
        <v>359</v>
      </c>
      <c r="O125" s="1">
        <v>45871</v>
      </c>
      <c r="P125" s="1">
        <v>45957</v>
      </c>
      <c r="R125" s="2">
        <v>0</v>
      </c>
      <c r="AB125" s="2">
        <v>86.25</v>
      </c>
      <c r="AC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43.13</v>
      </c>
      <c r="AN125" s="2">
        <v>-43.12</v>
      </c>
      <c r="AO125" s="2">
        <v>-43.12</v>
      </c>
      <c r="AP125" s="2">
        <v>0</v>
      </c>
      <c r="AQ125" s="2">
        <v>0</v>
      </c>
      <c r="AR125" t="s">
        <v>365</v>
      </c>
    </row>
    <row r="126" spans="1:44" x14ac:dyDescent="0.25">
      <c r="A126" s="1">
        <v>45957</v>
      </c>
      <c r="B126" t="s">
        <v>352</v>
      </c>
      <c r="C126">
        <v>843573</v>
      </c>
      <c r="D126">
        <v>2030571498</v>
      </c>
      <c r="E126" t="s">
        <v>393</v>
      </c>
      <c r="F126" t="s">
        <v>394</v>
      </c>
      <c r="G126" t="s">
        <v>51</v>
      </c>
      <c r="I126" t="s">
        <v>53</v>
      </c>
      <c r="J126" t="s">
        <v>54</v>
      </c>
      <c r="K126">
        <v>843573</v>
      </c>
      <c r="L126" t="s">
        <v>389</v>
      </c>
      <c r="M126" t="s">
        <v>390</v>
      </c>
      <c r="N126" t="s">
        <v>359</v>
      </c>
      <c r="O126" s="1">
        <v>45894</v>
      </c>
      <c r="P126" s="1">
        <v>45957</v>
      </c>
      <c r="R126" s="2">
        <v>0</v>
      </c>
      <c r="AB126" s="2">
        <v>115.5</v>
      </c>
      <c r="AC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19.25</v>
      </c>
      <c r="AN126" s="2">
        <v>-96.25</v>
      </c>
      <c r="AO126" s="2">
        <v>-96.25</v>
      </c>
      <c r="AP126" s="2">
        <v>0</v>
      </c>
      <c r="AQ126" s="2">
        <v>0</v>
      </c>
      <c r="AR126" t="s">
        <v>365</v>
      </c>
    </row>
    <row r="127" spans="1:44" x14ac:dyDescent="0.25">
      <c r="A127" s="1">
        <v>45957</v>
      </c>
      <c r="B127" t="s">
        <v>352</v>
      </c>
      <c r="C127">
        <v>649163</v>
      </c>
      <c r="D127">
        <v>2028215887</v>
      </c>
      <c r="E127" t="s">
        <v>391</v>
      </c>
      <c r="F127" t="s">
        <v>336</v>
      </c>
      <c r="G127" t="s">
        <v>51</v>
      </c>
      <c r="I127" t="s">
        <v>395</v>
      </c>
      <c r="J127" t="s">
        <v>396</v>
      </c>
      <c r="K127">
        <v>649163</v>
      </c>
      <c r="L127" t="s">
        <v>349</v>
      </c>
      <c r="M127" t="s">
        <v>312</v>
      </c>
      <c r="N127" t="s">
        <v>359</v>
      </c>
      <c r="O127" s="1">
        <v>45751</v>
      </c>
      <c r="P127" s="1">
        <v>45957</v>
      </c>
      <c r="R127" s="2">
        <v>0</v>
      </c>
      <c r="AB127" s="2">
        <v>0</v>
      </c>
      <c r="AC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t="s">
        <v>365</v>
      </c>
    </row>
    <row r="128" spans="1:44" x14ac:dyDescent="0.25">
      <c r="A128" s="1">
        <v>45957</v>
      </c>
      <c r="B128" t="s">
        <v>352</v>
      </c>
      <c r="D128">
        <v>2027825906</v>
      </c>
      <c r="E128" t="s">
        <v>189</v>
      </c>
      <c r="F128" t="s">
        <v>392</v>
      </c>
      <c r="G128" t="s">
        <v>51</v>
      </c>
      <c r="I128" t="s">
        <v>53</v>
      </c>
      <c r="J128" t="s">
        <v>257</v>
      </c>
      <c r="L128" t="s">
        <v>55</v>
      </c>
      <c r="M128" t="s">
        <v>56</v>
      </c>
      <c r="N128" t="s">
        <v>359</v>
      </c>
      <c r="O128" s="1">
        <v>45731</v>
      </c>
      <c r="P128" s="1">
        <v>45957</v>
      </c>
      <c r="R128" s="2">
        <v>0</v>
      </c>
      <c r="AB128" s="2">
        <v>0</v>
      </c>
      <c r="AC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t="s">
        <v>365</v>
      </c>
    </row>
    <row r="129" spans="1:44" x14ac:dyDescent="0.25">
      <c r="A129" s="1">
        <v>45957</v>
      </c>
      <c r="B129" t="s">
        <v>352</v>
      </c>
      <c r="C129">
        <v>756418</v>
      </c>
      <c r="D129">
        <v>2030135275</v>
      </c>
      <c r="E129" t="s">
        <v>373</v>
      </c>
      <c r="F129" t="s">
        <v>374</v>
      </c>
      <c r="G129" t="s">
        <v>51</v>
      </c>
      <c r="I129" t="s">
        <v>53</v>
      </c>
      <c r="J129" t="s">
        <v>54</v>
      </c>
      <c r="K129">
        <v>756418</v>
      </c>
      <c r="L129" t="s">
        <v>191</v>
      </c>
      <c r="M129" t="s">
        <v>192</v>
      </c>
      <c r="N129" t="s">
        <v>359</v>
      </c>
      <c r="O129" s="1">
        <v>45863</v>
      </c>
      <c r="P129" s="1">
        <v>45957</v>
      </c>
      <c r="R129" s="2">
        <v>0</v>
      </c>
      <c r="AB129" s="2">
        <v>81.52</v>
      </c>
      <c r="AC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27.18</v>
      </c>
      <c r="AN129" s="2">
        <v>-54.34</v>
      </c>
      <c r="AO129" s="2">
        <v>-54.34</v>
      </c>
      <c r="AP129" s="2">
        <v>0</v>
      </c>
      <c r="AQ129" s="2">
        <v>0</v>
      </c>
      <c r="AR129" t="s">
        <v>365</v>
      </c>
    </row>
    <row r="130" spans="1:44" x14ac:dyDescent="0.25">
      <c r="A130" s="1">
        <v>45957</v>
      </c>
      <c r="B130" t="s">
        <v>352</v>
      </c>
      <c r="C130">
        <v>649163</v>
      </c>
      <c r="D130">
        <v>2030269155</v>
      </c>
      <c r="E130" t="s">
        <v>385</v>
      </c>
      <c r="F130" t="s">
        <v>386</v>
      </c>
      <c r="G130" t="s">
        <v>51</v>
      </c>
      <c r="I130" t="s">
        <v>378</v>
      </c>
      <c r="J130" t="s">
        <v>379</v>
      </c>
      <c r="K130">
        <v>649163</v>
      </c>
      <c r="L130" t="s">
        <v>349</v>
      </c>
      <c r="M130" t="s">
        <v>312</v>
      </c>
      <c r="N130" t="s">
        <v>359</v>
      </c>
      <c r="O130" s="1">
        <v>45871</v>
      </c>
      <c r="P130" s="1">
        <v>45957</v>
      </c>
      <c r="R130" s="2">
        <v>0</v>
      </c>
      <c r="AB130" s="2">
        <v>98.8</v>
      </c>
      <c r="AC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49.4</v>
      </c>
      <c r="AN130" s="2">
        <v>-49.4</v>
      </c>
      <c r="AO130" s="2">
        <v>-49.4</v>
      </c>
      <c r="AP130" s="2">
        <v>0</v>
      </c>
      <c r="AQ130" s="2">
        <v>0</v>
      </c>
      <c r="AR130" t="s">
        <v>365</v>
      </c>
    </row>
    <row r="131" spans="1:44" x14ac:dyDescent="0.25">
      <c r="A131" s="1">
        <v>45957</v>
      </c>
      <c r="B131" t="s">
        <v>352</v>
      </c>
      <c r="C131">
        <v>843573</v>
      </c>
      <c r="D131">
        <v>2030571499</v>
      </c>
      <c r="E131" t="s">
        <v>393</v>
      </c>
      <c r="F131" t="s">
        <v>394</v>
      </c>
      <c r="G131" t="s">
        <v>51</v>
      </c>
      <c r="I131" t="s">
        <v>378</v>
      </c>
      <c r="J131" t="s">
        <v>379</v>
      </c>
      <c r="K131">
        <v>843573</v>
      </c>
      <c r="L131" t="s">
        <v>389</v>
      </c>
      <c r="M131" t="s">
        <v>390</v>
      </c>
      <c r="N131" t="s">
        <v>359</v>
      </c>
      <c r="O131" s="1">
        <v>45894</v>
      </c>
      <c r="P131" s="1">
        <v>45957</v>
      </c>
      <c r="R131" s="2">
        <v>0</v>
      </c>
      <c r="AB131" s="2">
        <v>174.33</v>
      </c>
      <c r="AC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29.06</v>
      </c>
      <c r="AN131" s="2">
        <v>-145.27000000000001</v>
      </c>
      <c r="AO131" s="2">
        <v>-145.27000000000001</v>
      </c>
      <c r="AP131" s="2">
        <v>0</v>
      </c>
      <c r="AQ131" s="2">
        <v>0</v>
      </c>
      <c r="AR131" t="s">
        <v>365</v>
      </c>
    </row>
    <row r="132" spans="1:44" x14ac:dyDescent="0.25">
      <c r="A132" s="1">
        <v>45957</v>
      </c>
      <c r="B132" t="s">
        <v>352</v>
      </c>
      <c r="C132">
        <v>751867</v>
      </c>
      <c r="D132">
        <v>2030678333</v>
      </c>
      <c r="E132" t="s">
        <v>127</v>
      </c>
      <c r="F132" t="s">
        <v>387</v>
      </c>
      <c r="G132" t="s">
        <v>51</v>
      </c>
      <c r="I132" t="s">
        <v>361</v>
      </c>
      <c r="J132" t="s">
        <v>362</v>
      </c>
      <c r="K132">
        <v>751867</v>
      </c>
      <c r="L132" t="s">
        <v>349</v>
      </c>
      <c r="M132" t="s">
        <v>312</v>
      </c>
      <c r="N132" t="s">
        <v>359</v>
      </c>
      <c r="O132" s="1">
        <v>45895</v>
      </c>
      <c r="P132" s="1">
        <v>45957</v>
      </c>
      <c r="R132" s="2">
        <v>0</v>
      </c>
      <c r="AB132" s="2">
        <v>34.200000000000003</v>
      </c>
      <c r="AC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5.7</v>
      </c>
      <c r="AN132" s="2">
        <v>-28.5</v>
      </c>
      <c r="AO132" s="2">
        <v>-28.5</v>
      </c>
      <c r="AP132" s="2">
        <v>0</v>
      </c>
      <c r="AQ132" s="2">
        <v>0</v>
      </c>
      <c r="AR132" t="s">
        <v>365</v>
      </c>
    </row>
    <row r="133" spans="1:44" x14ac:dyDescent="0.25">
      <c r="A133" s="1">
        <v>45957</v>
      </c>
      <c r="B133" t="s">
        <v>352</v>
      </c>
      <c r="C133">
        <v>649163</v>
      </c>
      <c r="D133">
        <v>2031606026</v>
      </c>
      <c r="E133" t="s">
        <v>397</v>
      </c>
      <c r="F133" t="s">
        <v>312</v>
      </c>
      <c r="G133" t="s">
        <v>51</v>
      </c>
      <c r="I133" t="s">
        <v>378</v>
      </c>
      <c r="J133" t="s">
        <v>379</v>
      </c>
      <c r="K133">
        <v>649163</v>
      </c>
      <c r="L133" t="s">
        <v>398</v>
      </c>
      <c r="M133" t="s">
        <v>399</v>
      </c>
      <c r="N133" t="s">
        <v>359</v>
      </c>
      <c r="O133" s="1">
        <v>45945</v>
      </c>
      <c r="P133" s="1">
        <v>45957</v>
      </c>
      <c r="R133" s="2">
        <v>0</v>
      </c>
      <c r="AB133" s="2">
        <v>168.36</v>
      </c>
      <c r="AC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28.06</v>
      </c>
      <c r="AN133" s="2">
        <v>-140.30000000000001</v>
      </c>
      <c r="AO133" s="2">
        <v>-140.30000000000001</v>
      </c>
      <c r="AP133" s="2">
        <v>0</v>
      </c>
      <c r="AQ133" s="2">
        <v>0</v>
      </c>
      <c r="AR133" t="s">
        <v>365</v>
      </c>
    </row>
    <row r="134" spans="1:44" x14ac:dyDescent="0.25">
      <c r="A134" s="1">
        <v>45957</v>
      </c>
      <c r="B134" t="s">
        <v>352</v>
      </c>
      <c r="C134">
        <v>649163</v>
      </c>
      <c r="D134">
        <v>2031693394</v>
      </c>
      <c r="E134" t="s">
        <v>400</v>
      </c>
      <c r="F134" t="s">
        <v>401</v>
      </c>
      <c r="G134" t="s">
        <v>51</v>
      </c>
      <c r="I134" t="s">
        <v>361</v>
      </c>
      <c r="J134" t="s">
        <v>402</v>
      </c>
      <c r="K134">
        <v>649163</v>
      </c>
      <c r="L134" t="s">
        <v>70</v>
      </c>
      <c r="M134" t="s">
        <v>183</v>
      </c>
      <c r="N134" t="s">
        <v>359</v>
      </c>
      <c r="O134" s="1">
        <v>45948</v>
      </c>
      <c r="P134" s="1">
        <v>45957</v>
      </c>
      <c r="R134" s="2">
        <v>0</v>
      </c>
      <c r="AB134" s="2">
        <v>13.05</v>
      </c>
      <c r="AC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4.3499999999999996</v>
      </c>
      <c r="AN134" s="2">
        <v>-8.6999999999999993</v>
      </c>
      <c r="AO134" s="2">
        <v>-8.6999999999999993</v>
      </c>
      <c r="AP134" s="2">
        <v>0</v>
      </c>
      <c r="AQ134" s="2">
        <v>0</v>
      </c>
      <c r="AR134" t="s">
        <v>365</v>
      </c>
    </row>
    <row r="135" spans="1:44" x14ac:dyDescent="0.25">
      <c r="A135" s="1">
        <v>45957</v>
      </c>
      <c r="B135" t="s">
        <v>48</v>
      </c>
      <c r="C135">
        <v>649163</v>
      </c>
      <c r="D135">
        <v>2031718267</v>
      </c>
      <c r="E135" t="s">
        <v>403</v>
      </c>
      <c r="F135" t="s">
        <v>404</v>
      </c>
      <c r="G135" t="s">
        <v>51</v>
      </c>
      <c r="H135" t="s">
        <v>69</v>
      </c>
      <c r="I135" t="s">
        <v>395</v>
      </c>
      <c r="J135" t="s">
        <v>405</v>
      </c>
      <c r="K135">
        <v>894525</v>
      </c>
      <c r="L135" t="s">
        <v>406</v>
      </c>
      <c r="M135" t="s">
        <v>407</v>
      </c>
      <c r="N135" t="s">
        <v>57</v>
      </c>
      <c r="O135" s="1">
        <v>45962</v>
      </c>
      <c r="Q135" s="1">
        <v>45992</v>
      </c>
      <c r="R135" s="2">
        <v>97.45</v>
      </c>
      <c r="S135">
        <v>1</v>
      </c>
      <c r="T135" t="s">
        <v>58</v>
      </c>
      <c r="U135" t="s">
        <v>238</v>
      </c>
      <c r="V135" s="3">
        <v>0.6</v>
      </c>
      <c r="W135" s="2">
        <v>0</v>
      </c>
      <c r="X135">
        <v>0</v>
      </c>
      <c r="Y135" t="s">
        <v>60</v>
      </c>
      <c r="Z135" t="s">
        <v>408</v>
      </c>
      <c r="AA135">
        <v>6</v>
      </c>
      <c r="AB135" s="2">
        <v>350.82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58.47</v>
      </c>
      <c r="AM135" s="2">
        <v>0</v>
      </c>
      <c r="AN135" s="2">
        <v>350.82</v>
      </c>
      <c r="AO135" s="2">
        <v>0</v>
      </c>
      <c r="AP135" s="2">
        <v>0</v>
      </c>
      <c r="AQ135" s="2">
        <v>0</v>
      </c>
    </row>
    <row r="136" spans="1:44" x14ac:dyDescent="0.25">
      <c r="A136" s="1">
        <v>45957</v>
      </c>
      <c r="B136" t="s">
        <v>48</v>
      </c>
      <c r="C136">
        <v>649163</v>
      </c>
      <c r="D136">
        <v>2031775267</v>
      </c>
      <c r="E136" t="s">
        <v>409</v>
      </c>
      <c r="F136" t="s">
        <v>410</v>
      </c>
      <c r="G136" t="s">
        <v>51</v>
      </c>
      <c r="H136" t="s">
        <v>195</v>
      </c>
      <c r="I136" t="s">
        <v>395</v>
      </c>
      <c r="J136" t="s">
        <v>411</v>
      </c>
      <c r="K136">
        <v>885445</v>
      </c>
      <c r="L136" t="s">
        <v>196</v>
      </c>
      <c r="M136" t="s">
        <v>197</v>
      </c>
      <c r="N136" t="s">
        <v>57</v>
      </c>
      <c r="O136" s="1">
        <v>45962</v>
      </c>
      <c r="Q136" s="1">
        <v>45992</v>
      </c>
      <c r="R136" s="2">
        <v>88.27</v>
      </c>
      <c r="S136">
        <v>1</v>
      </c>
      <c r="T136" t="s">
        <v>58</v>
      </c>
      <c r="U136" t="s">
        <v>238</v>
      </c>
      <c r="V136" s="3">
        <v>0.6</v>
      </c>
      <c r="W136" s="2">
        <v>0</v>
      </c>
      <c r="X136">
        <v>0</v>
      </c>
      <c r="Y136" t="s">
        <v>60</v>
      </c>
      <c r="Z136" t="s">
        <v>408</v>
      </c>
      <c r="AA136">
        <v>6</v>
      </c>
      <c r="AB136" s="2">
        <v>317.76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52.96</v>
      </c>
      <c r="AM136" s="2">
        <v>0</v>
      </c>
      <c r="AN136" s="2">
        <v>317.76</v>
      </c>
      <c r="AO136" s="2">
        <v>0</v>
      </c>
      <c r="AP136" s="2">
        <v>0</v>
      </c>
      <c r="AQ136" s="2">
        <v>0</v>
      </c>
    </row>
    <row r="137" spans="1:44" x14ac:dyDescent="0.25">
      <c r="A137" s="1">
        <v>45957</v>
      </c>
      <c r="B137" t="s">
        <v>48</v>
      </c>
      <c r="C137">
        <v>649163</v>
      </c>
      <c r="D137">
        <v>2031383607</v>
      </c>
      <c r="E137" t="s">
        <v>412</v>
      </c>
      <c r="F137" t="s">
        <v>413</v>
      </c>
      <c r="G137" t="s">
        <v>51</v>
      </c>
      <c r="H137" t="s">
        <v>118</v>
      </c>
      <c r="I137" t="s">
        <v>369</v>
      </c>
      <c r="J137" t="s">
        <v>375</v>
      </c>
      <c r="K137">
        <v>823068</v>
      </c>
      <c r="L137" t="s">
        <v>120</v>
      </c>
      <c r="M137" t="s">
        <v>121</v>
      </c>
      <c r="N137" t="s">
        <v>57</v>
      </c>
      <c r="O137" s="1">
        <v>45942</v>
      </c>
      <c r="Q137" s="1">
        <v>45973</v>
      </c>
      <c r="R137" s="2">
        <v>68.11</v>
      </c>
      <c r="S137">
        <v>1</v>
      </c>
      <c r="T137" t="s">
        <v>58</v>
      </c>
      <c r="U137" t="s">
        <v>238</v>
      </c>
      <c r="V137" s="3">
        <v>0.9</v>
      </c>
      <c r="W137" s="2">
        <v>0</v>
      </c>
      <c r="X137">
        <v>0</v>
      </c>
      <c r="Y137" t="s">
        <v>60</v>
      </c>
      <c r="Z137" t="s">
        <v>408</v>
      </c>
      <c r="AA137">
        <v>6</v>
      </c>
      <c r="AB137" s="2">
        <v>367.8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61.3</v>
      </c>
      <c r="AM137" s="2">
        <v>0</v>
      </c>
      <c r="AN137" s="2">
        <v>367.8</v>
      </c>
      <c r="AO137" s="2">
        <v>0</v>
      </c>
      <c r="AP137" s="2">
        <v>0</v>
      </c>
      <c r="AQ137" s="2">
        <v>0</v>
      </c>
    </row>
    <row r="138" spans="1:44" x14ac:dyDescent="0.25">
      <c r="A138" s="1">
        <v>45957</v>
      </c>
      <c r="B138" t="s">
        <v>48</v>
      </c>
      <c r="C138">
        <v>649163</v>
      </c>
      <c r="D138">
        <v>2031684820</v>
      </c>
      <c r="E138" t="s">
        <v>414</v>
      </c>
      <c r="F138" t="s">
        <v>415</v>
      </c>
      <c r="G138" t="s">
        <v>51</v>
      </c>
      <c r="H138" t="s">
        <v>69</v>
      </c>
      <c r="I138" t="s">
        <v>369</v>
      </c>
      <c r="J138" t="s">
        <v>375</v>
      </c>
      <c r="K138">
        <v>824062</v>
      </c>
      <c r="L138" t="s">
        <v>74</v>
      </c>
      <c r="M138" t="s">
        <v>75</v>
      </c>
      <c r="N138" t="s">
        <v>57</v>
      </c>
      <c r="O138" s="1">
        <v>45962</v>
      </c>
      <c r="Q138" s="1">
        <v>45992</v>
      </c>
      <c r="R138" s="2">
        <v>168.5</v>
      </c>
      <c r="S138">
        <v>1</v>
      </c>
      <c r="T138" t="s">
        <v>58</v>
      </c>
      <c r="U138" t="s">
        <v>238</v>
      </c>
      <c r="V138" s="3">
        <v>0.9</v>
      </c>
      <c r="W138" s="2">
        <v>0</v>
      </c>
      <c r="X138">
        <v>0</v>
      </c>
      <c r="Y138" t="s">
        <v>60</v>
      </c>
      <c r="Z138" t="s">
        <v>408</v>
      </c>
      <c r="AA138">
        <v>6</v>
      </c>
      <c r="AB138" s="2">
        <v>909.9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151.65</v>
      </c>
      <c r="AM138" s="2">
        <v>0</v>
      </c>
      <c r="AN138" s="2">
        <v>909.9</v>
      </c>
      <c r="AO138" s="2">
        <v>0</v>
      </c>
      <c r="AP138" s="2">
        <v>0</v>
      </c>
      <c r="AQ138" s="2">
        <v>0</v>
      </c>
    </row>
    <row r="139" spans="1:44" x14ac:dyDescent="0.25">
      <c r="A139" s="1">
        <v>45957</v>
      </c>
      <c r="B139" t="s">
        <v>48</v>
      </c>
      <c r="C139">
        <v>649163</v>
      </c>
      <c r="D139">
        <v>2031738859</v>
      </c>
      <c r="E139" t="s">
        <v>416</v>
      </c>
      <c r="F139" t="s">
        <v>417</v>
      </c>
      <c r="G139" t="s">
        <v>51</v>
      </c>
      <c r="H139" t="s">
        <v>52</v>
      </c>
      <c r="I139" t="s">
        <v>369</v>
      </c>
      <c r="J139" t="s">
        <v>418</v>
      </c>
      <c r="K139">
        <v>673059</v>
      </c>
      <c r="L139" t="s">
        <v>55</v>
      </c>
      <c r="M139" t="s">
        <v>56</v>
      </c>
      <c r="N139" t="s">
        <v>57</v>
      </c>
      <c r="O139" s="1">
        <v>45952</v>
      </c>
      <c r="Q139" s="1">
        <v>45983</v>
      </c>
      <c r="R139" s="2">
        <v>41.51</v>
      </c>
      <c r="S139">
        <v>1</v>
      </c>
      <c r="T139" t="s">
        <v>58</v>
      </c>
      <c r="U139" t="s">
        <v>238</v>
      </c>
      <c r="V139" s="3">
        <v>0.65</v>
      </c>
      <c r="W139" s="2">
        <v>0</v>
      </c>
      <c r="X139">
        <v>0</v>
      </c>
      <c r="Y139" t="s">
        <v>60</v>
      </c>
      <c r="Z139" t="s">
        <v>408</v>
      </c>
      <c r="AA139">
        <v>6</v>
      </c>
      <c r="AB139" s="2">
        <v>161.88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26.98</v>
      </c>
      <c r="AM139" s="2">
        <v>0</v>
      </c>
      <c r="AN139" s="2">
        <v>161.88</v>
      </c>
      <c r="AO139" s="2">
        <v>0</v>
      </c>
      <c r="AP139" s="2">
        <v>0</v>
      </c>
      <c r="AQ139" s="2">
        <v>0</v>
      </c>
    </row>
    <row r="140" spans="1:44" x14ac:dyDescent="0.25">
      <c r="A140" s="1">
        <v>45957</v>
      </c>
      <c r="B140" t="s">
        <v>48</v>
      </c>
      <c r="C140">
        <v>649163</v>
      </c>
      <c r="D140">
        <v>2031759933</v>
      </c>
      <c r="E140" t="s">
        <v>419</v>
      </c>
      <c r="F140" t="s">
        <v>420</v>
      </c>
      <c r="G140" t="s">
        <v>51</v>
      </c>
      <c r="H140" t="s">
        <v>69</v>
      </c>
      <c r="I140" t="s">
        <v>369</v>
      </c>
      <c r="J140" t="s">
        <v>421</v>
      </c>
      <c r="K140">
        <v>823350</v>
      </c>
      <c r="L140" t="s">
        <v>70</v>
      </c>
      <c r="M140" t="s">
        <v>183</v>
      </c>
      <c r="N140" t="s">
        <v>57</v>
      </c>
      <c r="O140" s="1">
        <v>45954</v>
      </c>
      <c r="Q140" s="1">
        <v>45985</v>
      </c>
      <c r="R140" s="2">
        <v>25.33</v>
      </c>
      <c r="S140">
        <v>1</v>
      </c>
      <c r="T140" t="s">
        <v>58</v>
      </c>
      <c r="U140" t="s">
        <v>238</v>
      </c>
      <c r="V140" s="3">
        <v>0.75</v>
      </c>
      <c r="W140" s="2">
        <v>0</v>
      </c>
      <c r="X140">
        <v>0</v>
      </c>
      <c r="Y140" t="s">
        <v>60</v>
      </c>
      <c r="Z140" t="s">
        <v>408</v>
      </c>
      <c r="AA140">
        <v>6</v>
      </c>
      <c r="AB140" s="2">
        <v>114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19</v>
      </c>
      <c r="AM140" s="2">
        <v>0</v>
      </c>
      <c r="AN140" s="2">
        <v>114</v>
      </c>
      <c r="AO140" s="2">
        <v>0</v>
      </c>
      <c r="AP140" s="2">
        <v>0</v>
      </c>
      <c r="AQ140" s="2">
        <v>0</v>
      </c>
    </row>
    <row r="141" spans="1:44" x14ac:dyDescent="0.25">
      <c r="A141" s="1">
        <v>45957</v>
      </c>
      <c r="B141" t="s">
        <v>48</v>
      </c>
      <c r="C141">
        <v>649163</v>
      </c>
      <c r="D141">
        <v>2031759934</v>
      </c>
      <c r="E141" t="s">
        <v>419</v>
      </c>
      <c r="F141" t="s">
        <v>420</v>
      </c>
      <c r="G141" t="s">
        <v>51</v>
      </c>
      <c r="H141" t="s">
        <v>69</v>
      </c>
      <c r="I141" t="s">
        <v>369</v>
      </c>
      <c r="J141" t="s">
        <v>375</v>
      </c>
      <c r="K141">
        <v>823350</v>
      </c>
      <c r="L141" t="s">
        <v>70</v>
      </c>
      <c r="M141" t="s">
        <v>183</v>
      </c>
      <c r="N141" t="s">
        <v>57</v>
      </c>
      <c r="O141" s="1">
        <v>45954</v>
      </c>
      <c r="Q141" s="1">
        <v>45985</v>
      </c>
      <c r="R141" s="2">
        <v>42.75</v>
      </c>
      <c r="S141">
        <v>1</v>
      </c>
      <c r="T141" t="s">
        <v>58</v>
      </c>
      <c r="U141" t="s">
        <v>238</v>
      </c>
      <c r="V141" s="3">
        <v>0.9</v>
      </c>
      <c r="W141" s="2">
        <v>0</v>
      </c>
      <c r="X141">
        <v>0</v>
      </c>
      <c r="Y141" t="s">
        <v>60</v>
      </c>
      <c r="Z141" t="s">
        <v>408</v>
      </c>
      <c r="AA141">
        <v>6</v>
      </c>
      <c r="AB141" s="2">
        <v>230.88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38.479999999999997</v>
      </c>
      <c r="AM141" s="2">
        <v>0</v>
      </c>
      <c r="AN141" s="2">
        <v>230.88</v>
      </c>
      <c r="AO141" s="2">
        <v>0</v>
      </c>
      <c r="AP141" s="2">
        <v>0</v>
      </c>
      <c r="AQ141" s="2">
        <v>0</v>
      </c>
    </row>
    <row r="142" spans="1:44" x14ac:dyDescent="0.25">
      <c r="A142" s="1">
        <v>45957</v>
      </c>
      <c r="B142" t="s">
        <v>48</v>
      </c>
      <c r="C142">
        <v>649163</v>
      </c>
      <c r="D142">
        <v>2031760072</v>
      </c>
      <c r="E142" t="s">
        <v>422</v>
      </c>
      <c r="F142" t="s">
        <v>423</v>
      </c>
      <c r="G142" t="s">
        <v>51</v>
      </c>
      <c r="H142" t="s">
        <v>118</v>
      </c>
      <c r="I142" t="s">
        <v>369</v>
      </c>
      <c r="J142" t="s">
        <v>375</v>
      </c>
      <c r="K142">
        <v>823068</v>
      </c>
      <c r="L142" t="s">
        <v>120</v>
      </c>
      <c r="M142" t="s">
        <v>121</v>
      </c>
      <c r="N142" t="s">
        <v>57</v>
      </c>
      <c r="O142" s="1">
        <v>45962</v>
      </c>
      <c r="Q142" s="1">
        <v>45992</v>
      </c>
      <c r="R142" s="2">
        <v>113.13</v>
      </c>
      <c r="S142">
        <v>1</v>
      </c>
      <c r="T142" t="s">
        <v>58</v>
      </c>
      <c r="U142" t="s">
        <v>238</v>
      </c>
      <c r="V142" s="3">
        <v>0.9</v>
      </c>
      <c r="W142" s="2">
        <v>0</v>
      </c>
      <c r="X142">
        <v>0</v>
      </c>
      <c r="Y142" t="s">
        <v>60</v>
      </c>
      <c r="Z142" t="s">
        <v>408</v>
      </c>
      <c r="AA142">
        <v>6</v>
      </c>
      <c r="AB142" s="2">
        <v>610.91999999999996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101.82</v>
      </c>
      <c r="AM142" s="2">
        <v>0</v>
      </c>
      <c r="AN142" s="2">
        <v>610.91999999999996</v>
      </c>
      <c r="AO142" s="2">
        <v>0</v>
      </c>
      <c r="AP142" s="2">
        <v>0</v>
      </c>
      <c r="AQ142" s="2">
        <v>0</v>
      </c>
    </row>
    <row r="143" spans="1:44" x14ac:dyDescent="0.25">
      <c r="A143" s="1">
        <v>45957</v>
      </c>
      <c r="B143" t="s">
        <v>48</v>
      </c>
      <c r="C143">
        <v>649163</v>
      </c>
      <c r="D143">
        <v>2031761352</v>
      </c>
      <c r="E143" t="s">
        <v>424</v>
      </c>
      <c r="F143" t="s">
        <v>413</v>
      </c>
      <c r="G143" t="s">
        <v>51</v>
      </c>
      <c r="H143" t="s">
        <v>118</v>
      </c>
      <c r="I143" t="s">
        <v>369</v>
      </c>
      <c r="J143" t="s">
        <v>375</v>
      </c>
      <c r="K143">
        <v>652037</v>
      </c>
      <c r="L143" t="s">
        <v>155</v>
      </c>
      <c r="M143" t="s">
        <v>156</v>
      </c>
      <c r="N143" t="s">
        <v>57</v>
      </c>
      <c r="O143" s="1">
        <v>45962</v>
      </c>
      <c r="Q143" s="1">
        <v>45992</v>
      </c>
      <c r="R143" s="2">
        <v>26.98</v>
      </c>
      <c r="S143">
        <v>1</v>
      </c>
      <c r="T143" t="s">
        <v>58</v>
      </c>
      <c r="U143" t="s">
        <v>238</v>
      </c>
      <c r="V143" s="3">
        <v>0.9</v>
      </c>
      <c r="W143" s="2">
        <v>0</v>
      </c>
      <c r="X143">
        <v>0</v>
      </c>
      <c r="Y143" t="s">
        <v>60</v>
      </c>
      <c r="Z143" t="s">
        <v>408</v>
      </c>
      <c r="AA143">
        <v>6</v>
      </c>
      <c r="AB143" s="2">
        <v>145.68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24.28</v>
      </c>
      <c r="AM143" s="2">
        <v>0</v>
      </c>
      <c r="AN143" s="2">
        <v>145.68</v>
      </c>
      <c r="AO143" s="2">
        <v>0</v>
      </c>
      <c r="AP143" s="2">
        <v>0</v>
      </c>
      <c r="AQ143" s="2">
        <v>0</v>
      </c>
    </row>
    <row r="144" spans="1:44" x14ac:dyDescent="0.25">
      <c r="A144" s="1">
        <v>45957</v>
      </c>
      <c r="B144" t="s">
        <v>48</v>
      </c>
      <c r="C144">
        <v>649163</v>
      </c>
      <c r="D144">
        <v>2031775761</v>
      </c>
      <c r="E144" t="s">
        <v>425</v>
      </c>
      <c r="F144" t="s">
        <v>153</v>
      </c>
      <c r="G144" t="s">
        <v>51</v>
      </c>
      <c r="H144" t="s">
        <v>92</v>
      </c>
      <c r="I144" t="s">
        <v>369</v>
      </c>
      <c r="J144" t="s">
        <v>421</v>
      </c>
      <c r="K144">
        <v>816021</v>
      </c>
      <c r="L144" t="s">
        <v>93</v>
      </c>
      <c r="M144" t="s">
        <v>94</v>
      </c>
      <c r="N144" t="s">
        <v>57</v>
      </c>
      <c r="O144" s="1">
        <v>45954</v>
      </c>
      <c r="Q144" s="1">
        <v>45985</v>
      </c>
      <c r="R144" s="2">
        <v>59.29</v>
      </c>
      <c r="S144">
        <v>1</v>
      </c>
      <c r="T144" t="s">
        <v>58</v>
      </c>
      <c r="U144" t="s">
        <v>238</v>
      </c>
      <c r="V144" s="3">
        <v>0.75</v>
      </c>
      <c r="W144" s="2">
        <v>0</v>
      </c>
      <c r="X144">
        <v>0</v>
      </c>
      <c r="Y144" t="s">
        <v>60</v>
      </c>
      <c r="Z144" t="s">
        <v>408</v>
      </c>
      <c r="AA144">
        <v>6</v>
      </c>
      <c r="AB144" s="2">
        <v>266.82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44.47</v>
      </c>
      <c r="AM144" s="2">
        <v>0</v>
      </c>
      <c r="AN144" s="2">
        <v>266.82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45957</v>
      </c>
      <c r="B145" t="s">
        <v>48</v>
      </c>
      <c r="C145">
        <v>649163</v>
      </c>
      <c r="D145">
        <v>2031795289</v>
      </c>
      <c r="E145" t="s">
        <v>426</v>
      </c>
      <c r="F145" t="s">
        <v>427</v>
      </c>
      <c r="G145" t="s">
        <v>51</v>
      </c>
      <c r="H145" t="s">
        <v>118</v>
      </c>
      <c r="I145" t="s">
        <v>369</v>
      </c>
      <c r="J145" t="s">
        <v>375</v>
      </c>
      <c r="K145">
        <v>823068</v>
      </c>
      <c r="L145" t="s">
        <v>120</v>
      </c>
      <c r="M145" t="s">
        <v>121</v>
      </c>
      <c r="N145" t="s">
        <v>57</v>
      </c>
      <c r="O145" s="1">
        <v>45962</v>
      </c>
      <c r="Q145" s="1">
        <v>45992</v>
      </c>
      <c r="R145" s="2">
        <v>31.21</v>
      </c>
      <c r="S145">
        <v>1</v>
      </c>
      <c r="T145" t="s">
        <v>58</v>
      </c>
      <c r="U145" t="s">
        <v>238</v>
      </c>
      <c r="V145" s="3">
        <v>0.9</v>
      </c>
      <c r="W145" s="2">
        <v>0</v>
      </c>
      <c r="X145">
        <v>0</v>
      </c>
      <c r="Y145" t="s">
        <v>60</v>
      </c>
      <c r="Z145" t="s">
        <v>408</v>
      </c>
      <c r="AA145">
        <v>6</v>
      </c>
      <c r="AB145" s="2">
        <v>168.54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28.09</v>
      </c>
      <c r="AM145" s="2">
        <v>0</v>
      </c>
      <c r="AN145" s="2">
        <v>168.54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45957</v>
      </c>
      <c r="B146" t="s">
        <v>48</v>
      </c>
      <c r="C146">
        <v>649163</v>
      </c>
      <c r="D146">
        <v>2031475878</v>
      </c>
      <c r="E146" t="s">
        <v>428</v>
      </c>
      <c r="F146" t="s">
        <v>429</v>
      </c>
      <c r="G146" t="s">
        <v>51</v>
      </c>
      <c r="H146" t="s">
        <v>69</v>
      </c>
      <c r="I146" t="s">
        <v>361</v>
      </c>
      <c r="J146" t="s">
        <v>430</v>
      </c>
      <c r="K146">
        <v>824062</v>
      </c>
      <c r="L146" t="s">
        <v>74</v>
      </c>
      <c r="M146" t="s">
        <v>75</v>
      </c>
      <c r="N146" t="s">
        <v>57</v>
      </c>
      <c r="O146" s="1">
        <v>45962</v>
      </c>
      <c r="Q146" s="1">
        <v>45992</v>
      </c>
      <c r="R146" s="2">
        <v>15</v>
      </c>
      <c r="S146">
        <v>1</v>
      </c>
      <c r="T146" t="s">
        <v>58</v>
      </c>
      <c r="U146" t="s">
        <v>431</v>
      </c>
      <c r="V146" s="3">
        <v>0.38</v>
      </c>
      <c r="W146" s="2">
        <v>0</v>
      </c>
      <c r="X146">
        <v>0</v>
      </c>
      <c r="Y146" t="s">
        <v>60</v>
      </c>
      <c r="Z146" t="s">
        <v>408</v>
      </c>
      <c r="AA146">
        <v>6</v>
      </c>
      <c r="AB146" s="2">
        <v>34.200000000000003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5.7</v>
      </c>
      <c r="AM146" s="2">
        <v>0</v>
      </c>
      <c r="AN146" s="2">
        <v>34.200000000000003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45957</v>
      </c>
      <c r="B147" t="s">
        <v>48</v>
      </c>
      <c r="C147">
        <v>649163</v>
      </c>
      <c r="D147">
        <v>2031804599</v>
      </c>
      <c r="E147" t="s">
        <v>432</v>
      </c>
      <c r="F147" t="s">
        <v>433</v>
      </c>
      <c r="G147" t="s">
        <v>51</v>
      </c>
      <c r="H147" t="s">
        <v>179</v>
      </c>
      <c r="I147" t="s">
        <v>361</v>
      </c>
      <c r="J147" t="s">
        <v>434</v>
      </c>
      <c r="K147">
        <v>877790</v>
      </c>
      <c r="L147" t="s">
        <v>435</v>
      </c>
      <c r="M147" t="s">
        <v>436</v>
      </c>
      <c r="N147" t="s">
        <v>57</v>
      </c>
      <c r="O147" s="1">
        <v>45955</v>
      </c>
      <c r="Q147" s="1">
        <v>45986</v>
      </c>
      <c r="R147" s="2">
        <v>15</v>
      </c>
      <c r="S147">
        <v>1</v>
      </c>
      <c r="T147" t="s">
        <v>58</v>
      </c>
      <c r="U147" t="s">
        <v>431</v>
      </c>
      <c r="V147" s="3">
        <v>0.19</v>
      </c>
      <c r="W147" s="2">
        <v>0</v>
      </c>
      <c r="X147">
        <v>0</v>
      </c>
      <c r="Y147" t="s">
        <v>60</v>
      </c>
      <c r="Z147" t="s">
        <v>408</v>
      </c>
      <c r="AA147">
        <v>6</v>
      </c>
      <c r="AB147" s="2">
        <v>17.100000000000001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2.85</v>
      </c>
      <c r="AM147" s="2">
        <v>0</v>
      </c>
      <c r="AN147" s="2">
        <v>17.100000000000001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45957</v>
      </c>
      <c r="B148" t="s">
        <v>48</v>
      </c>
      <c r="C148">
        <v>649163</v>
      </c>
      <c r="D148">
        <v>2031684819</v>
      </c>
      <c r="E148" t="s">
        <v>414</v>
      </c>
      <c r="F148" t="s">
        <v>415</v>
      </c>
      <c r="G148" t="s">
        <v>51</v>
      </c>
      <c r="H148" t="s">
        <v>69</v>
      </c>
      <c r="I148" t="s">
        <v>378</v>
      </c>
      <c r="J148" t="s">
        <v>379</v>
      </c>
      <c r="K148">
        <v>824062</v>
      </c>
      <c r="L148" t="s">
        <v>74</v>
      </c>
      <c r="M148" t="s">
        <v>75</v>
      </c>
      <c r="N148" t="s">
        <v>57</v>
      </c>
      <c r="O148" s="1">
        <v>45962</v>
      </c>
      <c r="Q148" s="1">
        <v>45992</v>
      </c>
      <c r="R148" s="2">
        <v>149.87</v>
      </c>
      <c r="S148">
        <v>1</v>
      </c>
      <c r="T148" t="s">
        <v>58</v>
      </c>
      <c r="U148" t="s">
        <v>238</v>
      </c>
      <c r="V148" s="4">
        <v>0.375</v>
      </c>
      <c r="W148" s="2">
        <v>0</v>
      </c>
      <c r="X148">
        <v>0</v>
      </c>
      <c r="Y148" t="s">
        <v>60</v>
      </c>
      <c r="Z148" t="s">
        <v>408</v>
      </c>
      <c r="AA148">
        <v>6</v>
      </c>
      <c r="AB148" s="2">
        <v>337.2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56.2</v>
      </c>
      <c r="AM148" s="2">
        <v>0</v>
      </c>
      <c r="AN148" s="2">
        <v>337.2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45957</v>
      </c>
      <c r="B149" t="s">
        <v>48</v>
      </c>
      <c r="C149">
        <v>649163</v>
      </c>
      <c r="D149">
        <v>2031719649</v>
      </c>
      <c r="E149" t="s">
        <v>113</v>
      </c>
      <c r="F149" t="s">
        <v>115</v>
      </c>
      <c r="G149" t="s">
        <v>51</v>
      </c>
      <c r="H149" t="s">
        <v>52</v>
      </c>
      <c r="I149" t="s">
        <v>378</v>
      </c>
      <c r="J149" t="s">
        <v>379</v>
      </c>
      <c r="K149">
        <v>812782</v>
      </c>
      <c r="L149" t="s">
        <v>114</v>
      </c>
      <c r="M149" t="s">
        <v>115</v>
      </c>
      <c r="N149" t="s">
        <v>57</v>
      </c>
      <c r="O149" s="1">
        <v>45951</v>
      </c>
      <c r="Q149" s="1">
        <v>45982</v>
      </c>
      <c r="R149" s="2">
        <v>27.97</v>
      </c>
      <c r="S149">
        <v>1</v>
      </c>
      <c r="T149" t="s">
        <v>58</v>
      </c>
      <c r="U149" t="s">
        <v>238</v>
      </c>
      <c r="V149" s="4">
        <v>0.375</v>
      </c>
      <c r="W149" s="2">
        <v>0</v>
      </c>
      <c r="X149">
        <v>0</v>
      </c>
      <c r="Y149" t="s">
        <v>60</v>
      </c>
      <c r="Z149" t="s">
        <v>408</v>
      </c>
      <c r="AA149">
        <v>6</v>
      </c>
      <c r="AB149" s="2">
        <v>62.94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10.49</v>
      </c>
      <c r="AM149" s="2">
        <v>0</v>
      </c>
      <c r="AN149" s="2">
        <v>62.94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45957</v>
      </c>
      <c r="B150" t="s">
        <v>48</v>
      </c>
      <c r="C150">
        <v>649163</v>
      </c>
      <c r="D150">
        <v>2031721212</v>
      </c>
      <c r="E150" t="s">
        <v>437</v>
      </c>
      <c r="F150" t="s">
        <v>438</v>
      </c>
      <c r="G150" t="s">
        <v>51</v>
      </c>
      <c r="H150" t="s">
        <v>439</v>
      </c>
      <c r="I150" t="s">
        <v>378</v>
      </c>
      <c r="J150" t="s">
        <v>379</v>
      </c>
      <c r="K150">
        <v>820140</v>
      </c>
      <c r="L150" t="s">
        <v>440</v>
      </c>
      <c r="M150" t="s">
        <v>407</v>
      </c>
      <c r="N150" t="s">
        <v>57</v>
      </c>
      <c r="O150" s="1">
        <v>45951</v>
      </c>
      <c r="Q150" s="1">
        <v>45982</v>
      </c>
      <c r="R150" s="2">
        <v>123.26</v>
      </c>
      <c r="S150">
        <v>1</v>
      </c>
      <c r="T150" t="s">
        <v>58</v>
      </c>
      <c r="U150" t="s">
        <v>238</v>
      </c>
      <c r="V150" s="4">
        <v>9.5000000000000001E-2</v>
      </c>
      <c r="W150" s="2">
        <v>0</v>
      </c>
      <c r="X150">
        <v>0</v>
      </c>
      <c r="Y150" t="s">
        <v>60</v>
      </c>
      <c r="Z150" t="s">
        <v>408</v>
      </c>
      <c r="AA150">
        <v>6</v>
      </c>
      <c r="AB150" s="2">
        <v>70.260000000000005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11.71</v>
      </c>
      <c r="AM150" s="2">
        <v>0</v>
      </c>
      <c r="AN150" s="2">
        <v>70.260000000000005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45957</v>
      </c>
      <c r="B151" t="s">
        <v>48</v>
      </c>
      <c r="C151">
        <v>649163</v>
      </c>
      <c r="D151">
        <v>2031738861</v>
      </c>
      <c r="E151" t="s">
        <v>416</v>
      </c>
      <c r="F151" t="s">
        <v>417</v>
      </c>
      <c r="G151" t="s">
        <v>51</v>
      </c>
      <c r="H151" t="s">
        <v>52</v>
      </c>
      <c r="I151" t="s">
        <v>378</v>
      </c>
      <c r="J151" t="s">
        <v>379</v>
      </c>
      <c r="K151">
        <v>673059</v>
      </c>
      <c r="L151" t="s">
        <v>55</v>
      </c>
      <c r="M151" t="s">
        <v>56</v>
      </c>
      <c r="N151" t="s">
        <v>57</v>
      </c>
      <c r="O151" s="1">
        <v>45952</v>
      </c>
      <c r="Q151" s="1">
        <v>45983</v>
      </c>
      <c r="R151" s="2">
        <v>24.54</v>
      </c>
      <c r="S151">
        <v>1</v>
      </c>
      <c r="T151" t="s">
        <v>58</v>
      </c>
      <c r="U151" t="s">
        <v>238</v>
      </c>
      <c r="V151" s="4">
        <v>0.375</v>
      </c>
      <c r="W151" s="2">
        <v>0</v>
      </c>
      <c r="X151">
        <v>0</v>
      </c>
      <c r="Y151" t="s">
        <v>60</v>
      </c>
      <c r="Z151" t="s">
        <v>408</v>
      </c>
      <c r="AA151">
        <v>6</v>
      </c>
      <c r="AB151" s="2">
        <v>55.2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9.1999999999999993</v>
      </c>
      <c r="AM151" s="2">
        <v>0</v>
      </c>
      <c r="AN151" s="2">
        <v>55.2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45957</v>
      </c>
      <c r="B152" t="s">
        <v>48</v>
      </c>
      <c r="C152">
        <v>649163</v>
      </c>
      <c r="D152">
        <v>2031743428</v>
      </c>
      <c r="E152" t="s">
        <v>441</v>
      </c>
      <c r="F152" t="s">
        <v>442</v>
      </c>
      <c r="G152" t="s">
        <v>51</v>
      </c>
      <c r="H152" t="s">
        <v>195</v>
      </c>
      <c r="I152" t="s">
        <v>378</v>
      </c>
      <c r="J152" t="s">
        <v>379</v>
      </c>
      <c r="K152">
        <v>650218</v>
      </c>
      <c r="L152" t="s">
        <v>357</v>
      </c>
      <c r="M152" t="s">
        <v>358</v>
      </c>
      <c r="N152" t="s">
        <v>57</v>
      </c>
      <c r="O152" s="1">
        <v>45962</v>
      </c>
      <c r="Q152" s="1">
        <v>45992</v>
      </c>
      <c r="R152" s="2">
        <v>32.979999999999997</v>
      </c>
      <c r="S152">
        <v>1</v>
      </c>
      <c r="T152" t="s">
        <v>58</v>
      </c>
      <c r="U152" t="s">
        <v>238</v>
      </c>
      <c r="V152" s="4">
        <v>0.375</v>
      </c>
      <c r="W152" s="2">
        <v>0</v>
      </c>
      <c r="X152">
        <v>0</v>
      </c>
      <c r="Y152" t="s">
        <v>60</v>
      </c>
      <c r="Z152" t="s">
        <v>408</v>
      </c>
      <c r="AA152">
        <v>6</v>
      </c>
      <c r="AB152" s="2">
        <v>74.22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12.37</v>
      </c>
      <c r="AM152" s="2">
        <v>0</v>
      </c>
      <c r="AN152" s="2">
        <v>74.22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45957</v>
      </c>
      <c r="B153" t="s">
        <v>48</v>
      </c>
      <c r="C153">
        <v>649163</v>
      </c>
      <c r="D153">
        <v>2031759931</v>
      </c>
      <c r="E153" t="s">
        <v>419</v>
      </c>
      <c r="F153" t="s">
        <v>420</v>
      </c>
      <c r="G153" t="s">
        <v>51</v>
      </c>
      <c r="H153" t="s">
        <v>69</v>
      </c>
      <c r="I153" t="s">
        <v>378</v>
      </c>
      <c r="J153" t="s">
        <v>379</v>
      </c>
      <c r="K153">
        <v>823350</v>
      </c>
      <c r="L153" t="s">
        <v>70</v>
      </c>
      <c r="M153" t="s">
        <v>183</v>
      </c>
      <c r="N153" t="s">
        <v>57</v>
      </c>
      <c r="O153" s="1">
        <v>45954</v>
      </c>
      <c r="Q153" s="1">
        <v>45985</v>
      </c>
      <c r="R153" s="2">
        <v>77.48</v>
      </c>
      <c r="S153">
        <v>1</v>
      </c>
      <c r="T153" t="s">
        <v>58</v>
      </c>
      <c r="U153" t="s">
        <v>238</v>
      </c>
      <c r="V153" s="4">
        <v>0.375</v>
      </c>
      <c r="W153" s="2">
        <v>0</v>
      </c>
      <c r="X153">
        <v>0</v>
      </c>
      <c r="Y153" t="s">
        <v>60</v>
      </c>
      <c r="Z153" t="s">
        <v>408</v>
      </c>
      <c r="AA153">
        <v>6</v>
      </c>
      <c r="AB153" s="2">
        <v>174.36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29.06</v>
      </c>
      <c r="AM153" s="2">
        <v>0</v>
      </c>
      <c r="AN153" s="2">
        <v>174.36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45957</v>
      </c>
      <c r="B154" t="s">
        <v>48</v>
      </c>
      <c r="C154">
        <v>649163</v>
      </c>
      <c r="D154">
        <v>2031775266</v>
      </c>
      <c r="E154" t="s">
        <v>409</v>
      </c>
      <c r="F154" t="s">
        <v>410</v>
      </c>
      <c r="G154" t="s">
        <v>51</v>
      </c>
      <c r="H154" t="s">
        <v>195</v>
      </c>
      <c r="I154" t="s">
        <v>378</v>
      </c>
      <c r="J154" t="s">
        <v>379</v>
      </c>
      <c r="K154">
        <v>885445</v>
      </c>
      <c r="L154" t="s">
        <v>196</v>
      </c>
      <c r="M154" t="s">
        <v>197</v>
      </c>
      <c r="N154" t="s">
        <v>57</v>
      </c>
      <c r="O154" s="1">
        <v>45962</v>
      </c>
      <c r="Q154" s="1">
        <v>45992</v>
      </c>
      <c r="R154" s="2">
        <v>136.69</v>
      </c>
      <c r="S154">
        <v>1</v>
      </c>
      <c r="T154" t="s">
        <v>58</v>
      </c>
      <c r="U154" t="s">
        <v>238</v>
      </c>
      <c r="V154" s="4">
        <v>0.375</v>
      </c>
      <c r="W154" s="2">
        <v>0</v>
      </c>
      <c r="X154">
        <v>0</v>
      </c>
      <c r="Y154" t="s">
        <v>60</v>
      </c>
      <c r="Z154" t="s">
        <v>408</v>
      </c>
      <c r="AA154">
        <v>6</v>
      </c>
      <c r="AB154" s="2">
        <v>307.56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51.26</v>
      </c>
      <c r="AM154" s="2">
        <v>0</v>
      </c>
      <c r="AN154" s="2">
        <v>307.56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45957</v>
      </c>
      <c r="B155" t="s">
        <v>48</v>
      </c>
      <c r="C155">
        <v>649163</v>
      </c>
      <c r="D155">
        <v>2031475875</v>
      </c>
      <c r="E155" t="s">
        <v>428</v>
      </c>
      <c r="F155" t="s">
        <v>429</v>
      </c>
      <c r="G155" t="s">
        <v>51</v>
      </c>
      <c r="H155" t="s">
        <v>69</v>
      </c>
      <c r="I155" t="s">
        <v>355</v>
      </c>
      <c r="J155" t="s">
        <v>443</v>
      </c>
      <c r="K155">
        <v>824062</v>
      </c>
      <c r="L155" t="s">
        <v>74</v>
      </c>
      <c r="M155" t="s">
        <v>75</v>
      </c>
      <c r="N155" t="s">
        <v>57</v>
      </c>
      <c r="O155" s="1">
        <v>45962</v>
      </c>
      <c r="Q155" s="1">
        <v>45992</v>
      </c>
      <c r="R155" s="2">
        <v>226.98</v>
      </c>
      <c r="S155">
        <v>1</v>
      </c>
      <c r="T155" t="s">
        <v>58</v>
      </c>
      <c r="U155" t="s">
        <v>238</v>
      </c>
      <c r="V155" s="3">
        <v>0.38</v>
      </c>
      <c r="W155" s="2">
        <v>0</v>
      </c>
      <c r="X155">
        <v>0</v>
      </c>
      <c r="Y155" t="s">
        <v>60</v>
      </c>
      <c r="Z155" t="s">
        <v>408</v>
      </c>
      <c r="AA155">
        <v>6</v>
      </c>
      <c r="AB155" s="2">
        <v>517.5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86.25</v>
      </c>
      <c r="AM155" s="2">
        <v>0</v>
      </c>
      <c r="AN155" s="2">
        <v>517.5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45957</v>
      </c>
      <c r="B156" t="s">
        <v>48</v>
      </c>
      <c r="C156">
        <v>649163</v>
      </c>
      <c r="D156">
        <v>2031475876</v>
      </c>
      <c r="E156" t="s">
        <v>428</v>
      </c>
      <c r="F156" t="s">
        <v>429</v>
      </c>
      <c r="G156" t="s">
        <v>51</v>
      </c>
      <c r="H156" t="s">
        <v>69</v>
      </c>
      <c r="I156" t="s">
        <v>355</v>
      </c>
      <c r="J156" t="s">
        <v>444</v>
      </c>
      <c r="K156">
        <v>824062</v>
      </c>
      <c r="L156" t="s">
        <v>74</v>
      </c>
      <c r="M156" t="s">
        <v>75</v>
      </c>
      <c r="N156" t="s">
        <v>57</v>
      </c>
      <c r="O156" s="1">
        <v>45962</v>
      </c>
      <c r="Q156" s="1">
        <v>45992</v>
      </c>
      <c r="R156" s="2">
        <v>7.09</v>
      </c>
      <c r="S156">
        <v>1</v>
      </c>
      <c r="T156" t="s">
        <v>58</v>
      </c>
      <c r="U156" t="s">
        <v>238</v>
      </c>
      <c r="V156" s="3">
        <v>0.38</v>
      </c>
      <c r="W156" s="2">
        <v>0</v>
      </c>
      <c r="X156">
        <v>0</v>
      </c>
      <c r="Y156" t="s">
        <v>60</v>
      </c>
      <c r="Z156" t="s">
        <v>408</v>
      </c>
      <c r="AA156">
        <v>6</v>
      </c>
      <c r="AB156" s="2">
        <v>16.14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2.69</v>
      </c>
      <c r="AM156" s="2">
        <v>0</v>
      </c>
      <c r="AN156" s="2">
        <v>16.14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45957</v>
      </c>
      <c r="B157" t="s">
        <v>48</v>
      </c>
      <c r="C157">
        <v>649163</v>
      </c>
      <c r="D157">
        <v>2031743427</v>
      </c>
      <c r="E157" t="s">
        <v>441</v>
      </c>
      <c r="F157" t="s">
        <v>442</v>
      </c>
      <c r="G157" t="s">
        <v>51</v>
      </c>
      <c r="H157" t="s">
        <v>195</v>
      </c>
      <c r="I157" t="s">
        <v>355</v>
      </c>
      <c r="J157" t="s">
        <v>356</v>
      </c>
      <c r="K157">
        <v>650218</v>
      </c>
      <c r="L157" t="s">
        <v>357</v>
      </c>
      <c r="M157" t="s">
        <v>358</v>
      </c>
      <c r="N157" t="s">
        <v>57</v>
      </c>
      <c r="O157" s="1">
        <v>45962</v>
      </c>
      <c r="Q157" s="1">
        <v>45992</v>
      </c>
      <c r="R157" s="2">
        <v>21.97</v>
      </c>
      <c r="S157">
        <v>1</v>
      </c>
      <c r="T157" t="s">
        <v>58</v>
      </c>
      <c r="U157" t="s">
        <v>238</v>
      </c>
      <c r="V157" s="3">
        <v>0.38</v>
      </c>
      <c r="W157" s="2">
        <v>0</v>
      </c>
      <c r="X157">
        <v>0</v>
      </c>
      <c r="Y157" t="s">
        <v>60</v>
      </c>
      <c r="Z157" t="s">
        <v>408</v>
      </c>
      <c r="AA157">
        <v>6</v>
      </c>
      <c r="AB157" s="2">
        <v>50.1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8.35</v>
      </c>
      <c r="AM157" s="2">
        <v>0</v>
      </c>
      <c r="AN157" s="2">
        <v>50.1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45957</v>
      </c>
      <c r="B158" t="s">
        <v>48</v>
      </c>
      <c r="C158">
        <v>649163</v>
      </c>
      <c r="D158">
        <v>2031775265</v>
      </c>
      <c r="E158" t="s">
        <v>409</v>
      </c>
      <c r="F158" t="s">
        <v>410</v>
      </c>
      <c r="G158" t="s">
        <v>51</v>
      </c>
      <c r="H158" t="s">
        <v>195</v>
      </c>
      <c r="I158" t="s">
        <v>355</v>
      </c>
      <c r="J158" t="s">
        <v>356</v>
      </c>
      <c r="K158">
        <v>885445</v>
      </c>
      <c r="L158" t="s">
        <v>196</v>
      </c>
      <c r="M158" t="s">
        <v>197</v>
      </c>
      <c r="N158" t="s">
        <v>57</v>
      </c>
      <c r="O158" s="1">
        <v>45962</v>
      </c>
      <c r="Q158" s="1">
        <v>45992</v>
      </c>
      <c r="R158" s="2">
        <v>69.290000000000006</v>
      </c>
      <c r="S158">
        <v>1</v>
      </c>
      <c r="T158" t="s">
        <v>58</v>
      </c>
      <c r="U158" t="s">
        <v>238</v>
      </c>
      <c r="V158" s="3">
        <v>0.38</v>
      </c>
      <c r="W158" s="2">
        <v>0</v>
      </c>
      <c r="X158">
        <v>0</v>
      </c>
      <c r="Y158" t="s">
        <v>60</v>
      </c>
      <c r="Z158" t="s">
        <v>408</v>
      </c>
      <c r="AA158">
        <v>6</v>
      </c>
      <c r="AB158" s="2">
        <v>157.97999999999999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26.33</v>
      </c>
      <c r="AM158" s="2">
        <v>0</v>
      </c>
      <c r="AN158" s="2">
        <v>157.97999999999999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45957</v>
      </c>
      <c r="B159" t="s">
        <v>48</v>
      </c>
      <c r="C159">
        <v>649163</v>
      </c>
      <c r="D159">
        <v>2031383606</v>
      </c>
      <c r="E159" t="s">
        <v>412</v>
      </c>
      <c r="F159" t="s">
        <v>413</v>
      </c>
      <c r="G159" t="s">
        <v>51</v>
      </c>
      <c r="H159" t="s">
        <v>118</v>
      </c>
      <c r="I159" t="s">
        <v>53</v>
      </c>
      <c r="J159" t="s">
        <v>122</v>
      </c>
      <c r="K159">
        <v>823068</v>
      </c>
      <c r="L159" t="s">
        <v>120</v>
      </c>
      <c r="M159" t="s">
        <v>121</v>
      </c>
      <c r="N159" t="s">
        <v>57</v>
      </c>
      <c r="O159" s="1">
        <v>45942</v>
      </c>
      <c r="Q159" s="1">
        <v>45973</v>
      </c>
      <c r="R159" s="2">
        <v>21.08</v>
      </c>
      <c r="S159">
        <v>1</v>
      </c>
      <c r="T159" t="s">
        <v>58</v>
      </c>
      <c r="U159" t="s">
        <v>238</v>
      </c>
      <c r="V159" s="3">
        <v>0.42</v>
      </c>
      <c r="W159" s="2">
        <v>0</v>
      </c>
      <c r="X159">
        <v>0</v>
      </c>
      <c r="Y159" t="s">
        <v>60</v>
      </c>
      <c r="Z159" t="s">
        <v>408</v>
      </c>
      <c r="AA159">
        <v>6</v>
      </c>
      <c r="AB159" s="2">
        <v>53.1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8.85</v>
      </c>
      <c r="AM159" s="2">
        <v>0</v>
      </c>
      <c r="AN159" s="2">
        <v>53.1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45957</v>
      </c>
      <c r="B160" t="s">
        <v>48</v>
      </c>
      <c r="C160">
        <v>649163</v>
      </c>
      <c r="D160">
        <v>2031383608</v>
      </c>
      <c r="E160" t="s">
        <v>412</v>
      </c>
      <c r="F160" t="s">
        <v>413</v>
      </c>
      <c r="G160" t="s">
        <v>51</v>
      </c>
      <c r="H160" t="s">
        <v>118</v>
      </c>
      <c r="I160" t="s">
        <v>53</v>
      </c>
      <c r="J160" t="s">
        <v>257</v>
      </c>
      <c r="K160">
        <v>823068</v>
      </c>
      <c r="L160" t="s">
        <v>120</v>
      </c>
      <c r="M160" t="s">
        <v>121</v>
      </c>
      <c r="N160" t="s">
        <v>57</v>
      </c>
      <c r="O160" s="1">
        <v>45942</v>
      </c>
      <c r="Q160" s="1">
        <v>45973</v>
      </c>
      <c r="R160" s="2">
        <v>24.61</v>
      </c>
      <c r="S160">
        <v>1</v>
      </c>
      <c r="T160" t="s">
        <v>58</v>
      </c>
      <c r="U160" t="s">
        <v>238</v>
      </c>
      <c r="V160" s="3">
        <v>0.7</v>
      </c>
      <c r="W160" s="2">
        <v>0</v>
      </c>
      <c r="X160">
        <v>0</v>
      </c>
      <c r="Y160" t="s">
        <v>60</v>
      </c>
      <c r="Z160" t="s">
        <v>408</v>
      </c>
      <c r="AA160">
        <v>6</v>
      </c>
      <c r="AB160" s="2">
        <v>103.38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17.23</v>
      </c>
      <c r="AM160" s="2">
        <v>0</v>
      </c>
      <c r="AN160" s="2">
        <v>103.38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45957</v>
      </c>
      <c r="B161" t="s">
        <v>48</v>
      </c>
      <c r="C161">
        <v>649163</v>
      </c>
      <c r="D161">
        <v>2031475877</v>
      </c>
      <c r="E161" t="s">
        <v>428</v>
      </c>
      <c r="F161" t="s">
        <v>429</v>
      </c>
      <c r="G161" t="s">
        <v>51</v>
      </c>
      <c r="H161" t="s">
        <v>69</v>
      </c>
      <c r="I161" t="s">
        <v>53</v>
      </c>
      <c r="J161" t="s">
        <v>54</v>
      </c>
      <c r="K161">
        <v>824062</v>
      </c>
      <c r="L161" t="s">
        <v>74</v>
      </c>
      <c r="M161" t="s">
        <v>75</v>
      </c>
      <c r="N161" t="s">
        <v>57</v>
      </c>
      <c r="O161" s="1">
        <v>45962</v>
      </c>
      <c r="Q161" s="1">
        <v>45992</v>
      </c>
      <c r="R161" s="2">
        <v>34.68</v>
      </c>
      <c r="S161">
        <v>1</v>
      </c>
      <c r="T161" t="s">
        <v>58</v>
      </c>
      <c r="U161" t="s">
        <v>238</v>
      </c>
      <c r="V161" s="3">
        <v>0.7</v>
      </c>
      <c r="W161" s="2">
        <v>0</v>
      </c>
      <c r="X161">
        <v>0</v>
      </c>
      <c r="Y161" t="s">
        <v>60</v>
      </c>
      <c r="Z161" t="s">
        <v>408</v>
      </c>
      <c r="AA161">
        <v>6</v>
      </c>
      <c r="AB161" s="2">
        <v>145.68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24.28</v>
      </c>
      <c r="AM161" s="2">
        <v>0</v>
      </c>
      <c r="AN161" s="2">
        <v>145.68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45957</v>
      </c>
      <c r="B162" t="s">
        <v>48</v>
      </c>
      <c r="C162">
        <v>649163</v>
      </c>
      <c r="D162">
        <v>2031615386</v>
      </c>
      <c r="E162" t="s">
        <v>445</v>
      </c>
      <c r="F162" t="s">
        <v>446</v>
      </c>
      <c r="G162" t="s">
        <v>51</v>
      </c>
      <c r="H162" t="s">
        <v>69</v>
      </c>
      <c r="I162" t="s">
        <v>53</v>
      </c>
      <c r="J162" t="s">
        <v>54</v>
      </c>
      <c r="K162">
        <v>820873</v>
      </c>
      <c r="L162" t="s">
        <v>447</v>
      </c>
      <c r="M162" t="s">
        <v>448</v>
      </c>
      <c r="N162" t="s">
        <v>57</v>
      </c>
      <c r="O162" s="1">
        <v>45962</v>
      </c>
      <c r="Q162" s="1">
        <v>45992</v>
      </c>
      <c r="R162" s="2">
        <v>11.5</v>
      </c>
      <c r="S162">
        <v>1</v>
      </c>
      <c r="T162" t="s">
        <v>58</v>
      </c>
      <c r="U162" t="s">
        <v>238</v>
      </c>
      <c r="V162" s="3">
        <v>0.7</v>
      </c>
      <c r="W162" s="2">
        <v>0</v>
      </c>
      <c r="X162">
        <v>0</v>
      </c>
      <c r="Y162" t="s">
        <v>60</v>
      </c>
      <c r="Z162" t="s">
        <v>408</v>
      </c>
      <c r="AA162">
        <v>6</v>
      </c>
      <c r="AB162" s="2">
        <v>48.3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8.0500000000000007</v>
      </c>
      <c r="AM162" s="2">
        <v>0</v>
      </c>
      <c r="AN162" s="2">
        <v>48.3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45957</v>
      </c>
      <c r="B163" t="s">
        <v>48</v>
      </c>
      <c r="C163">
        <v>649163</v>
      </c>
      <c r="D163">
        <v>2031684818</v>
      </c>
      <c r="E163" t="s">
        <v>414</v>
      </c>
      <c r="F163" t="s">
        <v>415</v>
      </c>
      <c r="G163" t="s">
        <v>51</v>
      </c>
      <c r="H163" t="s">
        <v>69</v>
      </c>
      <c r="I163" t="s">
        <v>53</v>
      </c>
      <c r="J163" t="s">
        <v>54</v>
      </c>
      <c r="K163">
        <v>824062</v>
      </c>
      <c r="L163" t="s">
        <v>74</v>
      </c>
      <c r="M163" t="s">
        <v>75</v>
      </c>
      <c r="N163" t="s">
        <v>57</v>
      </c>
      <c r="O163" s="1">
        <v>45962</v>
      </c>
      <c r="Q163" s="1">
        <v>45992</v>
      </c>
      <c r="R163" s="2">
        <v>56.62</v>
      </c>
      <c r="S163">
        <v>1</v>
      </c>
      <c r="T163" t="s">
        <v>58</v>
      </c>
      <c r="U163" t="s">
        <v>238</v>
      </c>
      <c r="V163" s="3">
        <v>0.7</v>
      </c>
      <c r="W163" s="2">
        <v>0</v>
      </c>
      <c r="X163">
        <v>0</v>
      </c>
      <c r="Y163" t="s">
        <v>60</v>
      </c>
      <c r="Z163" t="s">
        <v>408</v>
      </c>
      <c r="AA163">
        <v>6</v>
      </c>
      <c r="AB163" s="2">
        <v>237.78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39.630000000000003</v>
      </c>
      <c r="AM163" s="2">
        <v>0</v>
      </c>
      <c r="AN163" s="2">
        <v>237.78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45957</v>
      </c>
      <c r="B164" t="s">
        <v>48</v>
      </c>
      <c r="C164">
        <v>649163</v>
      </c>
      <c r="D164">
        <v>2031709307</v>
      </c>
      <c r="E164" t="s">
        <v>449</v>
      </c>
      <c r="F164" t="s">
        <v>450</v>
      </c>
      <c r="G164" t="s">
        <v>51</v>
      </c>
      <c r="H164" t="s">
        <v>439</v>
      </c>
      <c r="I164" t="s">
        <v>53</v>
      </c>
      <c r="J164" t="s">
        <v>132</v>
      </c>
      <c r="K164">
        <v>767312</v>
      </c>
      <c r="L164" t="s">
        <v>237</v>
      </c>
      <c r="M164" t="s">
        <v>103</v>
      </c>
      <c r="N164" t="s">
        <v>57</v>
      </c>
      <c r="O164" s="1">
        <v>45955</v>
      </c>
      <c r="Q164" s="1">
        <v>45986</v>
      </c>
      <c r="R164" s="2">
        <v>21.83</v>
      </c>
      <c r="S164">
        <v>1</v>
      </c>
      <c r="T164" t="s">
        <v>58</v>
      </c>
      <c r="U164" t="s">
        <v>238</v>
      </c>
      <c r="V164" s="3">
        <v>0.9</v>
      </c>
      <c r="W164" s="2">
        <v>0</v>
      </c>
      <c r="X164">
        <v>0</v>
      </c>
      <c r="Y164" t="s">
        <v>60</v>
      </c>
      <c r="Z164" t="s">
        <v>408</v>
      </c>
      <c r="AA164">
        <v>6</v>
      </c>
      <c r="AB164" s="2">
        <v>117.9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19.649999999999999</v>
      </c>
      <c r="AM164" s="2">
        <v>0</v>
      </c>
      <c r="AN164" s="2">
        <v>117.9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45957</v>
      </c>
      <c r="B165" t="s">
        <v>48</v>
      </c>
      <c r="C165">
        <v>649163</v>
      </c>
      <c r="D165">
        <v>2031719648</v>
      </c>
      <c r="E165" t="s">
        <v>113</v>
      </c>
      <c r="F165" t="s">
        <v>115</v>
      </c>
      <c r="G165" t="s">
        <v>51</v>
      </c>
      <c r="H165" t="s">
        <v>52</v>
      </c>
      <c r="I165" t="s">
        <v>53</v>
      </c>
      <c r="J165" t="s">
        <v>54</v>
      </c>
      <c r="K165">
        <v>812782</v>
      </c>
      <c r="L165" t="s">
        <v>114</v>
      </c>
      <c r="M165" t="s">
        <v>115</v>
      </c>
      <c r="N165" t="s">
        <v>57</v>
      </c>
      <c r="O165" s="1">
        <v>45951</v>
      </c>
      <c r="Q165" s="1">
        <v>45982</v>
      </c>
      <c r="R165" s="2">
        <v>11.74</v>
      </c>
      <c r="S165">
        <v>1</v>
      </c>
      <c r="T165" t="s">
        <v>58</v>
      </c>
      <c r="U165" t="s">
        <v>238</v>
      </c>
      <c r="V165" s="3">
        <v>0.7</v>
      </c>
      <c r="W165" s="2">
        <v>0</v>
      </c>
      <c r="X165">
        <v>0</v>
      </c>
      <c r="Y165" t="s">
        <v>60</v>
      </c>
      <c r="Z165" t="s">
        <v>408</v>
      </c>
      <c r="AA165">
        <v>6</v>
      </c>
      <c r="AB165" s="2">
        <v>49.32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8.2200000000000006</v>
      </c>
      <c r="AM165" s="2">
        <v>0</v>
      </c>
      <c r="AN165" s="2">
        <v>49.32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45957</v>
      </c>
      <c r="B166" t="s">
        <v>48</v>
      </c>
      <c r="C166">
        <v>649163</v>
      </c>
      <c r="D166">
        <v>2031721211</v>
      </c>
      <c r="E166" t="s">
        <v>437</v>
      </c>
      <c r="F166" t="s">
        <v>438</v>
      </c>
      <c r="G166" t="s">
        <v>51</v>
      </c>
      <c r="H166" t="s">
        <v>439</v>
      </c>
      <c r="I166" t="s">
        <v>53</v>
      </c>
      <c r="J166" t="s">
        <v>54</v>
      </c>
      <c r="K166">
        <v>820140</v>
      </c>
      <c r="L166" t="s">
        <v>440</v>
      </c>
      <c r="M166" t="s">
        <v>407</v>
      </c>
      <c r="N166" t="s">
        <v>57</v>
      </c>
      <c r="O166" s="1">
        <v>45951</v>
      </c>
      <c r="Q166" s="1">
        <v>45982</v>
      </c>
      <c r="R166" s="2">
        <v>11.5</v>
      </c>
      <c r="S166">
        <v>1</v>
      </c>
      <c r="T166" t="s">
        <v>58</v>
      </c>
      <c r="U166" t="s">
        <v>238</v>
      </c>
      <c r="V166" s="3">
        <v>0.3</v>
      </c>
      <c r="W166" s="2">
        <v>0</v>
      </c>
      <c r="X166">
        <v>0</v>
      </c>
      <c r="Y166" t="s">
        <v>60</v>
      </c>
      <c r="Z166" t="s">
        <v>408</v>
      </c>
      <c r="AA166">
        <v>6</v>
      </c>
      <c r="AB166" s="2">
        <v>20.7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3.45</v>
      </c>
      <c r="AM166" s="2">
        <v>0</v>
      </c>
      <c r="AN166" s="2">
        <v>20.7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45957</v>
      </c>
      <c r="B167" t="s">
        <v>48</v>
      </c>
      <c r="C167">
        <v>649163</v>
      </c>
      <c r="D167">
        <v>2031731468</v>
      </c>
      <c r="E167" t="s">
        <v>451</v>
      </c>
      <c r="F167" t="s">
        <v>452</v>
      </c>
      <c r="G167" t="s">
        <v>51</v>
      </c>
      <c r="H167" t="s">
        <v>439</v>
      </c>
      <c r="I167" t="s">
        <v>53</v>
      </c>
      <c r="J167" t="s">
        <v>132</v>
      </c>
      <c r="K167">
        <v>767312</v>
      </c>
      <c r="L167" t="s">
        <v>237</v>
      </c>
      <c r="M167" t="s">
        <v>103</v>
      </c>
      <c r="N167" t="s">
        <v>57</v>
      </c>
      <c r="O167" s="1">
        <v>45951</v>
      </c>
      <c r="Q167" s="1">
        <v>45982</v>
      </c>
      <c r="R167" s="2">
        <v>15.33</v>
      </c>
      <c r="S167">
        <v>1</v>
      </c>
      <c r="T167" t="s">
        <v>58</v>
      </c>
      <c r="U167" t="s">
        <v>238</v>
      </c>
      <c r="V167" s="3">
        <v>0.9</v>
      </c>
      <c r="W167" s="2">
        <v>0</v>
      </c>
      <c r="X167">
        <v>0</v>
      </c>
      <c r="Y167" t="s">
        <v>60</v>
      </c>
      <c r="Z167" t="s">
        <v>408</v>
      </c>
      <c r="AA167">
        <v>6</v>
      </c>
      <c r="AB167" s="2">
        <v>82.8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13.8</v>
      </c>
      <c r="AM167" s="2">
        <v>0</v>
      </c>
      <c r="AN167" s="2">
        <v>82.8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45957</v>
      </c>
      <c r="B168" t="s">
        <v>48</v>
      </c>
      <c r="C168">
        <v>649163</v>
      </c>
      <c r="D168">
        <v>2031738860</v>
      </c>
      <c r="E168" t="s">
        <v>416</v>
      </c>
      <c r="F168" t="s">
        <v>417</v>
      </c>
      <c r="G168" t="s">
        <v>51</v>
      </c>
      <c r="H168" t="s">
        <v>52</v>
      </c>
      <c r="I168" t="s">
        <v>53</v>
      </c>
      <c r="J168" t="s">
        <v>54</v>
      </c>
      <c r="K168">
        <v>673059</v>
      </c>
      <c r="L168" t="s">
        <v>55</v>
      </c>
      <c r="M168" t="s">
        <v>56</v>
      </c>
      <c r="N168" t="s">
        <v>57</v>
      </c>
      <c r="O168" s="1">
        <v>45952</v>
      </c>
      <c r="Q168" s="1">
        <v>45983</v>
      </c>
      <c r="R168" s="2">
        <v>31.23</v>
      </c>
      <c r="S168">
        <v>1</v>
      </c>
      <c r="T168" t="s">
        <v>58</v>
      </c>
      <c r="U168" t="s">
        <v>238</v>
      </c>
      <c r="V168" s="3">
        <v>0.7</v>
      </c>
      <c r="W168" s="2">
        <v>0</v>
      </c>
      <c r="X168">
        <v>0</v>
      </c>
      <c r="Y168" t="s">
        <v>60</v>
      </c>
      <c r="Z168" t="s">
        <v>408</v>
      </c>
      <c r="AA168">
        <v>6</v>
      </c>
      <c r="AB168" s="2">
        <v>131.16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21.86</v>
      </c>
      <c r="AM168" s="2">
        <v>0</v>
      </c>
      <c r="AN168" s="2">
        <v>131.16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45957</v>
      </c>
      <c r="B169" t="s">
        <v>48</v>
      </c>
      <c r="C169">
        <v>649163</v>
      </c>
      <c r="D169">
        <v>2031740078</v>
      </c>
      <c r="E169" t="s">
        <v>231</v>
      </c>
      <c r="F169" t="s">
        <v>98</v>
      </c>
      <c r="G169" t="s">
        <v>51</v>
      </c>
      <c r="H169" t="s">
        <v>118</v>
      </c>
      <c r="I169" t="s">
        <v>53</v>
      </c>
      <c r="J169" t="s">
        <v>132</v>
      </c>
      <c r="K169">
        <v>823068</v>
      </c>
      <c r="L169" t="s">
        <v>120</v>
      </c>
      <c r="M169" t="s">
        <v>121</v>
      </c>
      <c r="N169" t="s">
        <v>57</v>
      </c>
      <c r="O169" s="1">
        <v>45962</v>
      </c>
      <c r="Q169" s="1">
        <v>45992</v>
      </c>
      <c r="R169" s="2">
        <v>93.44</v>
      </c>
      <c r="S169">
        <v>1</v>
      </c>
      <c r="T169" t="s">
        <v>58</v>
      </c>
      <c r="U169" t="s">
        <v>238</v>
      </c>
      <c r="V169" s="3">
        <v>0.9</v>
      </c>
      <c r="W169" s="2">
        <v>0</v>
      </c>
      <c r="X169">
        <v>0</v>
      </c>
      <c r="Y169" t="s">
        <v>60</v>
      </c>
      <c r="Z169" t="s">
        <v>408</v>
      </c>
      <c r="AA169">
        <v>6</v>
      </c>
      <c r="AB169" s="2">
        <v>504.6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84.1</v>
      </c>
      <c r="AM169" s="2">
        <v>0</v>
      </c>
      <c r="AN169" s="2">
        <v>504.6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45957</v>
      </c>
      <c r="B170" t="s">
        <v>48</v>
      </c>
      <c r="C170">
        <v>649163</v>
      </c>
      <c r="D170">
        <v>2031750243</v>
      </c>
      <c r="E170" t="s">
        <v>453</v>
      </c>
      <c r="F170" t="s">
        <v>454</v>
      </c>
      <c r="G170" t="s">
        <v>51</v>
      </c>
      <c r="H170" t="s">
        <v>455</v>
      </c>
      <c r="I170" t="s">
        <v>53</v>
      </c>
      <c r="J170" t="s">
        <v>54</v>
      </c>
      <c r="K170">
        <v>767312</v>
      </c>
      <c r="L170" t="s">
        <v>237</v>
      </c>
      <c r="M170" t="s">
        <v>103</v>
      </c>
      <c r="N170" t="s">
        <v>57</v>
      </c>
      <c r="O170" s="1">
        <v>45952</v>
      </c>
      <c r="Q170" s="1">
        <v>45983</v>
      </c>
      <c r="R170" s="2">
        <v>62.75</v>
      </c>
      <c r="S170">
        <v>1</v>
      </c>
      <c r="T170" t="s">
        <v>58</v>
      </c>
      <c r="U170" t="s">
        <v>238</v>
      </c>
      <c r="V170" s="3">
        <v>0.7</v>
      </c>
      <c r="W170" s="2">
        <v>0</v>
      </c>
      <c r="X170">
        <v>0</v>
      </c>
      <c r="Y170" t="s">
        <v>60</v>
      </c>
      <c r="Z170" t="s">
        <v>408</v>
      </c>
      <c r="AA170">
        <v>6</v>
      </c>
      <c r="AB170" s="2">
        <v>263.52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43.92</v>
      </c>
      <c r="AM170" s="2">
        <v>0</v>
      </c>
      <c r="AN170" s="2">
        <v>263.52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45957</v>
      </c>
      <c r="B171" t="s">
        <v>48</v>
      </c>
      <c r="C171">
        <v>649163</v>
      </c>
      <c r="D171">
        <v>2031750244</v>
      </c>
      <c r="E171" t="s">
        <v>453</v>
      </c>
      <c r="F171" t="s">
        <v>454</v>
      </c>
      <c r="G171" t="s">
        <v>51</v>
      </c>
      <c r="H171" t="s">
        <v>455</v>
      </c>
      <c r="I171" t="s">
        <v>53</v>
      </c>
      <c r="J171" t="s">
        <v>132</v>
      </c>
      <c r="K171">
        <v>767312</v>
      </c>
      <c r="L171" t="s">
        <v>237</v>
      </c>
      <c r="M171" t="s">
        <v>103</v>
      </c>
      <c r="N171" t="s">
        <v>57</v>
      </c>
      <c r="O171" s="1">
        <v>45952</v>
      </c>
      <c r="Q171" s="1">
        <v>45983</v>
      </c>
      <c r="R171" s="2">
        <v>37.880000000000003</v>
      </c>
      <c r="S171">
        <v>1</v>
      </c>
      <c r="T171" t="s">
        <v>58</v>
      </c>
      <c r="U171" t="s">
        <v>238</v>
      </c>
      <c r="V171" s="3">
        <v>0.9</v>
      </c>
      <c r="W171" s="2">
        <v>0</v>
      </c>
      <c r="X171">
        <v>0</v>
      </c>
      <c r="Y171" t="s">
        <v>60</v>
      </c>
      <c r="Z171" t="s">
        <v>408</v>
      </c>
      <c r="AA171">
        <v>6</v>
      </c>
      <c r="AB171" s="2">
        <v>204.54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34.090000000000003</v>
      </c>
      <c r="AM171" s="2">
        <v>0</v>
      </c>
      <c r="AN171" s="2">
        <v>204.54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45957</v>
      </c>
      <c r="B172" t="s">
        <v>48</v>
      </c>
      <c r="C172">
        <v>649163</v>
      </c>
      <c r="D172">
        <v>2031759932</v>
      </c>
      <c r="E172" t="s">
        <v>419</v>
      </c>
      <c r="F172" t="s">
        <v>420</v>
      </c>
      <c r="G172" t="s">
        <v>51</v>
      </c>
      <c r="H172" t="s">
        <v>69</v>
      </c>
      <c r="I172" t="s">
        <v>53</v>
      </c>
      <c r="J172" t="s">
        <v>54</v>
      </c>
      <c r="K172">
        <v>823350</v>
      </c>
      <c r="L172" t="s">
        <v>70</v>
      </c>
      <c r="M172" t="s">
        <v>183</v>
      </c>
      <c r="N172" t="s">
        <v>57</v>
      </c>
      <c r="O172" s="1">
        <v>45954</v>
      </c>
      <c r="Q172" s="1">
        <v>45985</v>
      </c>
      <c r="R172" s="2">
        <v>63.95</v>
      </c>
      <c r="S172">
        <v>1</v>
      </c>
      <c r="T172" t="s">
        <v>58</v>
      </c>
      <c r="U172" t="s">
        <v>238</v>
      </c>
      <c r="V172" s="3">
        <v>0.7</v>
      </c>
      <c r="W172" s="2">
        <v>0</v>
      </c>
      <c r="X172">
        <v>0</v>
      </c>
      <c r="Y172" t="s">
        <v>60</v>
      </c>
      <c r="Z172" t="s">
        <v>408</v>
      </c>
      <c r="AA172">
        <v>6</v>
      </c>
      <c r="AB172" s="2">
        <v>268.56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44.76</v>
      </c>
      <c r="AM172" s="2">
        <v>0</v>
      </c>
      <c r="AN172" s="2">
        <v>268.56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45957</v>
      </c>
      <c r="B173" t="s">
        <v>48</v>
      </c>
      <c r="C173">
        <v>649163</v>
      </c>
      <c r="D173">
        <v>2031760071</v>
      </c>
      <c r="E173" t="s">
        <v>422</v>
      </c>
      <c r="F173" t="s">
        <v>423</v>
      </c>
      <c r="G173" t="s">
        <v>51</v>
      </c>
      <c r="H173" t="s">
        <v>118</v>
      </c>
      <c r="I173" t="s">
        <v>53</v>
      </c>
      <c r="J173" t="s">
        <v>257</v>
      </c>
      <c r="K173">
        <v>823068</v>
      </c>
      <c r="L173" t="s">
        <v>120</v>
      </c>
      <c r="M173" t="s">
        <v>121</v>
      </c>
      <c r="N173" t="s">
        <v>57</v>
      </c>
      <c r="O173" s="1">
        <v>45962</v>
      </c>
      <c r="Q173" s="1">
        <v>45992</v>
      </c>
      <c r="R173" s="2">
        <v>24.61</v>
      </c>
      <c r="S173">
        <v>1</v>
      </c>
      <c r="T173" t="s">
        <v>58</v>
      </c>
      <c r="U173" t="s">
        <v>238</v>
      </c>
      <c r="V173" s="3">
        <v>0.7</v>
      </c>
      <c r="W173" s="2">
        <v>0</v>
      </c>
      <c r="X173">
        <v>0</v>
      </c>
      <c r="Y173" t="s">
        <v>60</v>
      </c>
      <c r="Z173" t="s">
        <v>408</v>
      </c>
      <c r="AA173">
        <v>6</v>
      </c>
      <c r="AB173" s="2">
        <v>103.38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17.23</v>
      </c>
      <c r="AM173" s="2">
        <v>0</v>
      </c>
      <c r="AN173" s="2">
        <v>103.38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45957</v>
      </c>
      <c r="B174" t="s">
        <v>48</v>
      </c>
      <c r="C174">
        <v>649163</v>
      </c>
      <c r="D174">
        <v>2031765088</v>
      </c>
      <c r="E174" t="s">
        <v>456</v>
      </c>
      <c r="F174" t="s">
        <v>457</v>
      </c>
      <c r="G174" t="s">
        <v>51</v>
      </c>
      <c r="H174" t="s">
        <v>118</v>
      </c>
      <c r="I174" t="s">
        <v>53</v>
      </c>
      <c r="J174" t="s">
        <v>122</v>
      </c>
      <c r="K174">
        <v>902625</v>
      </c>
      <c r="L174" t="s">
        <v>458</v>
      </c>
      <c r="M174" t="s">
        <v>459</v>
      </c>
      <c r="N174" t="s">
        <v>57</v>
      </c>
      <c r="O174" s="1">
        <v>45953</v>
      </c>
      <c r="Q174" s="1">
        <v>45984</v>
      </c>
      <c r="R174" s="2">
        <v>32.700000000000003</v>
      </c>
      <c r="S174">
        <v>1</v>
      </c>
      <c r="T174" t="s">
        <v>58</v>
      </c>
      <c r="U174" t="s">
        <v>238</v>
      </c>
      <c r="V174" s="3">
        <v>0.42</v>
      </c>
      <c r="W174" s="2">
        <v>0</v>
      </c>
      <c r="X174">
        <v>0</v>
      </c>
      <c r="Y174" t="s">
        <v>60</v>
      </c>
      <c r="Z174" t="s">
        <v>408</v>
      </c>
      <c r="AA174">
        <v>6</v>
      </c>
      <c r="AB174" s="2">
        <v>82.38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13.73</v>
      </c>
      <c r="AM174" s="2">
        <v>0</v>
      </c>
      <c r="AN174" s="2">
        <v>82.38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45957</v>
      </c>
      <c r="B175" t="s">
        <v>48</v>
      </c>
      <c r="C175">
        <v>649163</v>
      </c>
      <c r="D175">
        <v>2031766018</v>
      </c>
      <c r="E175" t="s">
        <v>460</v>
      </c>
      <c r="F175" t="s">
        <v>202</v>
      </c>
      <c r="G175" t="s">
        <v>51</v>
      </c>
      <c r="H175" t="s">
        <v>69</v>
      </c>
      <c r="I175" t="s">
        <v>53</v>
      </c>
      <c r="J175" t="s">
        <v>54</v>
      </c>
      <c r="K175">
        <v>813184</v>
      </c>
      <c r="L175" t="s">
        <v>218</v>
      </c>
      <c r="M175" t="s">
        <v>219</v>
      </c>
      <c r="N175" t="s">
        <v>57</v>
      </c>
      <c r="O175" s="1">
        <v>45953</v>
      </c>
      <c r="Q175" s="1">
        <v>45984</v>
      </c>
      <c r="R175" s="2">
        <v>74</v>
      </c>
      <c r="S175">
        <v>1</v>
      </c>
      <c r="T175" t="s">
        <v>58</v>
      </c>
      <c r="U175" t="s">
        <v>238</v>
      </c>
      <c r="V175" s="3">
        <v>0.7</v>
      </c>
      <c r="W175" s="2">
        <v>0</v>
      </c>
      <c r="X175">
        <v>0</v>
      </c>
      <c r="Y175" t="s">
        <v>60</v>
      </c>
      <c r="Z175" t="s">
        <v>408</v>
      </c>
      <c r="AA175">
        <v>6</v>
      </c>
      <c r="AB175" s="2">
        <v>310.8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51.8</v>
      </c>
      <c r="AM175" s="2">
        <v>0</v>
      </c>
      <c r="AN175" s="2">
        <v>310.8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45957</v>
      </c>
      <c r="B176" t="s">
        <v>48</v>
      </c>
      <c r="C176">
        <v>649163</v>
      </c>
      <c r="D176">
        <v>2031767154</v>
      </c>
      <c r="E176" t="s">
        <v>461</v>
      </c>
      <c r="F176" t="s">
        <v>462</v>
      </c>
      <c r="G176" t="s">
        <v>51</v>
      </c>
      <c r="H176" t="s">
        <v>52</v>
      </c>
      <c r="I176" t="s">
        <v>53</v>
      </c>
      <c r="J176" t="s">
        <v>54</v>
      </c>
      <c r="K176">
        <v>812656</v>
      </c>
      <c r="L176" t="s">
        <v>82</v>
      </c>
      <c r="M176" t="s">
        <v>83</v>
      </c>
      <c r="N176" t="s">
        <v>57</v>
      </c>
      <c r="O176" s="1">
        <v>45953</v>
      </c>
      <c r="Q176" s="1">
        <v>45984</v>
      </c>
      <c r="R176" s="2">
        <v>59.57</v>
      </c>
      <c r="S176">
        <v>1</v>
      </c>
      <c r="T176" t="s">
        <v>58</v>
      </c>
      <c r="U176" t="s">
        <v>238</v>
      </c>
      <c r="V176" s="3">
        <v>0.7</v>
      </c>
      <c r="W176" s="2">
        <v>0</v>
      </c>
      <c r="X176">
        <v>0</v>
      </c>
      <c r="Y176" t="s">
        <v>60</v>
      </c>
      <c r="Z176" t="s">
        <v>408</v>
      </c>
      <c r="AA176">
        <v>6</v>
      </c>
      <c r="AB176" s="2">
        <v>250.2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41.7</v>
      </c>
      <c r="AM176" s="2">
        <v>0</v>
      </c>
      <c r="AN176" s="2">
        <v>250.2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45957</v>
      </c>
      <c r="B177" t="s">
        <v>48</v>
      </c>
      <c r="C177">
        <v>649163</v>
      </c>
      <c r="D177">
        <v>2031773320</v>
      </c>
      <c r="E177" t="s">
        <v>463</v>
      </c>
      <c r="F177" t="s">
        <v>464</v>
      </c>
      <c r="G177" t="s">
        <v>51</v>
      </c>
      <c r="H177" t="s">
        <v>165</v>
      </c>
      <c r="I177" t="s">
        <v>53</v>
      </c>
      <c r="J177" t="s">
        <v>54</v>
      </c>
      <c r="K177">
        <v>812656</v>
      </c>
      <c r="L177" t="s">
        <v>82</v>
      </c>
      <c r="M177" t="s">
        <v>83</v>
      </c>
      <c r="N177" t="s">
        <v>57</v>
      </c>
      <c r="O177" s="1">
        <v>45954</v>
      </c>
      <c r="Q177" s="1">
        <v>45985</v>
      </c>
      <c r="R177" s="2">
        <v>132.82</v>
      </c>
      <c r="S177">
        <v>1</v>
      </c>
      <c r="T177" t="s">
        <v>58</v>
      </c>
      <c r="U177" t="s">
        <v>238</v>
      </c>
      <c r="V177" s="3">
        <v>0.7</v>
      </c>
      <c r="W177" s="2">
        <v>0</v>
      </c>
      <c r="X177">
        <v>0</v>
      </c>
      <c r="Y177" t="s">
        <v>60</v>
      </c>
      <c r="Z177" t="s">
        <v>408</v>
      </c>
      <c r="AA177">
        <v>6</v>
      </c>
      <c r="AB177" s="2">
        <v>557.82000000000005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92.97</v>
      </c>
      <c r="AM177" s="2">
        <v>0</v>
      </c>
      <c r="AN177" s="2">
        <v>557.82000000000005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45957</v>
      </c>
      <c r="B178" t="s">
        <v>48</v>
      </c>
      <c r="C178">
        <v>649163</v>
      </c>
      <c r="D178">
        <v>2031775760</v>
      </c>
      <c r="E178" t="s">
        <v>425</v>
      </c>
      <c r="F178" t="s">
        <v>153</v>
      </c>
      <c r="G178" t="s">
        <v>51</v>
      </c>
      <c r="H178" t="s">
        <v>92</v>
      </c>
      <c r="I178" t="s">
        <v>53</v>
      </c>
      <c r="J178" t="s">
        <v>54</v>
      </c>
      <c r="K178">
        <v>816021</v>
      </c>
      <c r="L178" t="s">
        <v>93</v>
      </c>
      <c r="M178" t="s">
        <v>94</v>
      </c>
      <c r="N178" t="s">
        <v>57</v>
      </c>
      <c r="O178" s="1">
        <v>45954</v>
      </c>
      <c r="Q178" s="1">
        <v>45985</v>
      </c>
      <c r="R178" s="2">
        <v>9.1</v>
      </c>
      <c r="S178">
        <v>1</v>
      </c>
      <c r="T178" t="s">
        <v>58</v>
      </c>
      <c r="U178" t="s">
        <v>238</v>
      </c>
      <c r="V178" s="3">
        <v>0.7</v>
      </c>
      <c r="W178" s="2">
        <v>0</v>
      </c>
      <c r="X178">
        <v>0</v>
      </c>
      <c r="Y178" t="s">
        <v>60</v>
      </c>
      <c r="Z178" t="s">
        <v>408</v>
      </c>
      <c r="AA178">
        <v>6</v>
      </c>
      <c r="AB178" s="2">
        <v>38.22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6.37</v>
      </c>
      <c r="AM178" s="2">
        <v>0</v>
      </c>
      <c r="AN178" s="2">
        <v>38.22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45957</v>
      </c>
      <c r="B179" t="s">
        <v>48</v>
      </c>
      <c r="C179">
        <v>649163</v>
      </c>
      <c r="D179">
        <v>2031775762</v>
      </c>
      <c r="E179" t="s">
        <v>425</v>
      </c>
      <c r="F179" t="s">
        <v>153</v>
      </c>
      <c r="G179" t="s">
        <v>51</v>
      </c>
      <c r="H179" t="s">
        <v>92</v>
      </c>
      <c r="I179" t="s">
        <v>53</v>
      </c>
      <c r="J179" t="s">
        <v>257</v>
      </c>
      <c r="K179">
        <v>816021</v>
      </c>
      <c r="L179" t="s">
        <v>93</v>
      </c>
      <c r="M179" t="s">
        <v>94</v>
      </c>
      <c r="N179" t="s">
        <v>57</v>
      </c>
      <c r="O179" s="1">
        <v>45954</v>
      </c>
      <c r="Q179" s="1">
        <v>45985</v>
      </c>
      <c r="R179" s="2">
        <v>6.3</v>
      </c>
      <c r="S179">
        <v>1</v>
      </c>
      <c r="T179" t="s">
        <v>58</v>
      </c>
      <c r="U179" t="s">
        <v>238</v>
      </c>
      <c r="V179" s="3">
        <v>0.7</v>
      </c>
      <c r="W179" s="2">
        <v>0</v>
      </c>
      <c r="X179">
        <v>0</v>
      </c>
      <c r="Y179" t="s">
        <v>60</v>
      </c>
      <c r="Z179" t="s">
        <v>408</v>
      </c>
      <c r="AA179">
        <v>6</v>
      </c>
      <c r="AB179" s="2">
        <v>26.46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4.41</v>
      </c>
      <c r="AM179" s="2">
        <v>0</v>
      </c>
      <c r="AN179" s="2">
        <v>26.46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45957</v>
      </c>
      <c r="B180" t="s">
        <v>48</v>
      </c>
      <c r="C180">
        <v>649163</v>
      </c>
      <c r="D180">
        <v>2031778888</v>
      </c>
      <c r="E180" t="s">
        <v>465</v>
      </c>
      <c r="F180" t="s">
        <v>273</v>
      </c>
      <c r="G180" t="s">
        <v>51</v>
      </c>
      <c r="H180" t="s">
        <v>69</v>
      </c>
      <c r="I180" t="s">
        <v>53</v>
      </c>
      <c r="J180" t="s">
        <v>122</v>
      </c>
      <c r="K180">
        <v>814033</v>
      </c>
      <c r="L180" t="s">
        <v>147</v>
      </c>
      <c r="M180" t="s">
        <v>148</v>
      </c>
      <c r="N180" t="s">
        <v>57</v>
      </c>
      <c r="O180" s="1">
        <v>45962</v>
      </c>
      <c r="Q180" s="1">
        <v>45992</v>
      </c>
      <c r="R180" s="2">
        <v>25.08</v>
      </c>
      <c r="S180">
        <v>1</v>
      </c>
      <c r="T180" t="s">
        <v>58</v>
      </c>
      <c r="U180" t="s">
        <v>238</v>
      </c>
      <c r="V180" s="3">
        <v>0.42</v>
      </c>
      <c r="W180" s="2">
        <v>0</v>
      </c>
      <c r="X180">
        <v>0</v>
      </c>
      <c r="Y180" t="s">
        <v>60</v>
      </c>
      <c r="Z180" t="s">
        <v>408</v>
      </c>
      <c r="AA180">
        <v>6</v>
      </c>
      <c r="AB180" s="2">
        <v>63.18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10.53</v>
      </c>
      <c r="AM180" s="2">
        <v>0</v>
      </c>
      <c r="AN180" s="2">
        <v>63.18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45957</v>
      </c>
      <c r="B181" t="s">
        <v>48</v>
      </c>
      <c r="C181">
        <v>649163</v>
      </c>
      <c r="D181">
        <v>2031778889</v>
      </c>
      <c r="E181" t="s">
        <v>465</v>
      </c>
      <c r="F181" t="s">
        <v>273</v>
      </c>
      <c r="G181" t="s">
        <v>51</v>
      </c>
      <c r="H181" t="s">
        <v>69</v>
      </c>
      <c r="I181" t="s">
        <v>53</v>
      </c>
      <c r="J181" t="s">
        <v>54</v>
      </c>
      <c r="K181">
        <v>814033</v>
      </c>
      <c r="L181" t="s">
        <v>147</v>
      </c>
      <c r="M181" t="s">
        <v>148</v>
      </c>
      <c r="N181" t="s">
        <v>57</v>
      </c>
      <c r="O181" s="1">
        <v>45962</v>
      </c>
      <c r="Q181" s="1">
        <v>45992</v>
      </c>
      <c r="R181" s="2">
        <v>112.95</v>
      </c>
      <c r="S181">
        <v>1</v>
      </c>
      <c r="T181" t="s">
        <v>58</v>
      </c>
      <c r="U181" t="s">
        <v>238</v>
      </c>
      <c r="V181" s="3">
        <v>0.7</v>
      </c>
      <c r="W181" s="2">
        <v>0</v>
      </c>
      <c r="X181">
        <v>0</v>
      </c>
      <c r="Y181" t="s">
        <v>60</v>
      </c>
      <c r="Z181" t="s">
        <v>408</v>
      </c>
      <c r="AA181">
        <v>6</v>
      </c>
      <c r="AB181" s="2">
        <v>474.36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79.06</v>
      </c>
      <c r="AM181" s="2">
        <v>0</v>
      </c>
      <c r="AN181" s="2">
        <v>474.36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45957</v>
      </c>
      <c r="B182" t="s">
        <v>48</v>
      </c>
      <c r="C182">
        <v>649163</v>
      </c>
      <c r="D182">
        <v>2031780521</v>
      </c>
      <c r="E182" t="s">
        <v>466</v>
      </c>
      <c r="F182" t="s">
        <v>354</v>
      </c>
      <c r="G182" t="s">
        <v>51</v>
      </c>
      <c r="H182" t="s">
        <v>118</v>
      </c>
      <c r="I182" t="s">
        <v>53</v>
      </c>
      <c r="J182" t="s">
        <v>257</v>
      </c>
      <c r="K182">
        <v>751867</v>
      </c>
      <c r="L182" t="s">
        <v>349</v>
      </c>
      <c r="M182" t="s">
        <v>312</v>
      </c>
      <c r="N182" t="s">
        <v>57</v>
      </c>
      <c r="O182" s="1">
        <v>45954</v>
      </c>
      <c r="Q182" s="1">
        <v>45985</v>
      </c>
      <c r="R182" s="2">
        <v>24.61</v>
      </c>
      <c r="S182">
        <v>1</v>
      </c>
      <c r="T182" t="s">
        <v>58</v>
      </c>
      <c r="U182" t="s">
        <v>238</v>
      </c>
      <c r="V182" s="3">
        <v>0.7</v>
      </c>
      <c r="W182" s="2">
        <v>0</v>
      </c>
      <c r="X182">
        <v>0</v>
      </c>
      <c r="Y182" t="s">
        <v>60</v>
      </c>
      <c r="Z182" t="s">
        <v>408</v>
      </c>
      <c r="AA182">
        <v>6</v>
      </c>
      <c r="AB182" s="2">
        <v>103.38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17.23</v>
      </c>
      <c r="AM182" s="2">
        <v>0</v>
      </c>
      <c r="AN182" s="2">
        <v>103.38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45957</v>
      </c>
      <c r="B183" t="s">
        <v>48</v>
      </c>
      <c r="C183">
        <v>649163</v>
      </c>
      <c r="D183">
        <v>2031795288</v>
      </c>
      <c r="E183" t="s">
        <v>426</v>
      </c>
      <c r="F183" t="s">
        <v>427</v>
      </c>
      <c r="G183" t="s">
        <v>51</v>
      </c>
      <c r="H183" t="s">
        <v>118</v>
      </c>
      <c r="I183" t="s">
        <v>53</v>
      </c>
      <c r="J183" t="s">
        <v>257</v>
      </c>
      <c r="K183">
        <v>823068</v>
      </c>
      <c r="L183" t="s">
        <v>120</v>
      </c>
      <c r="M183" t="s">
        <v>121</v>
      </c>
      <c r="N183" t="s">
        <v>57</v>
      </c>
      <c r="O183" s="1">
        <v>45962</v>
      </c>
      <c r="Q183" s="1">
        <v>45992</v>
      </c>
      <c r="R183" s="2">
        <v>24.61</v>
      </c>
      <c r="S183">
        <v>1</v>
      </c>
      <c r="T183" t="s">
        <v>58</v>
      </c>
      <c r="U183" t="s">
        <v>238</v>
      </c>
      <c r="V183" s="3">
        <v>0.7</v>
      </c>
      <c r="W183" s="2">
        <v>0</v>
      </c>
      <c r="X183">
        <v>0</v>
      </c>
      <c r="Y183" t="s">
        <v>60</v>
      </c>
      <c r="Z183" t="s">
        <v>408</v>
      </c>
      <c r="AA183">
        <v>6</v>
      </c>
      <c r="AB183" s="2">
        <v>103.38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17.23</v>
      </c>
      <c r="AM183" s="2">
        <v>0</v>
      </c>
      <c r="AN183" s="2">
        <v>103.38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45957</v>
      </c>
      <c r="B184" t="s">
        <v>48</v>
      </c>
      <c r="C184">
        <v>649163</v>
      </c>
      <c r="D184">
        <v>2031799852</v>
      </c>
      <c r="E184" t="s">
        <v>467</v>
      </c>
      <c r="F184" t="s">
        <v>413</v>
      </c>
      <c r="G184" t="s">
        <v>51</v>
      </c>
      <c r="H184" t="s">
        <v>52</v>
      </c>
      <c r="I184" t="s">
        <v>53</v>
      </c>
      <c r="J184" t="s">
        <v>54</v>
      </c>
      <c r="K184">
        <v>856824</v>
      </c>
      <c r="L184" t="s">
        <v>175</v>
      </c>
      <c r="M184" t="s">
        <v>176</v>
      </c>
      <c r="N184" t="s">
        <v>57</v>
      </c>
      <c r="O184" s="1">
        <v>45957</v>
      </c>
      <c r="Q184" s="1">
        <v>45988</v>
      </c>
      <c r="R184" s="2">
        <v>50.9</v>
      </c>
      <c r="S184">
        <v>1</v>
      </c>
      <c r="T184" t="s">
        <v>58</v>
      </c>
      <c r="U184" t="s">
        <v>238</v>
      </c>
      <c r="V184" s="3">
        <v>0.7</v>
      </c>
      <c r="W184" s="2">
        <v>0</v>
      </c>
      <c r="X184">
        <v>0</v>
      </c>
      <c r="Y184" t="s">
        <v>60</v>
      </c>
      <c r="Z184" t="s">
        <v>408</v>
      </c>
      <c r="AA184">
        <v>6</v>
      </c>
      <c r="AB184" s="2">
        <v>213.78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35.630000000000003</v>
      </c>
      <c r="AM184" s="2">
        <v>0</v>
      </c>
      <c r="AN184" s="2">
        <v>213.78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45957</v>
      </c>
      <c r="B185" t="s">
        <v>48</v>
      </c>
      <c r="C185">
        <v>649163</v>
      </c>
      <c r="D185">
        <v>2031805822</v>
      </c>
      <c r="E185" t="s">
        <v>468</v>
      </c>
      <c r="F185" t="s">
        <v>354</v>
      </c>
      <c r="G185" t="s">
        <v>51</v>
      </c>
      <c r="H185" t="s">
        <v>165</v>
      </c>
      <c r="I185" t="s">
        <v>53</v>
      </c>
      <c r="J185" t="s">
        <v>54</v>
      </c>
      <c r="K185">
        <v>822865</v>
      </c>
      <c r="L185" t="s">
        <v>469</v>
      </c>
      <c r="M185" t="s">
        <v>470</v>
      </c>
      <c r="N185" t="s">
        <v>57</v>
      </c>
      <c r="O185" s="1">
        <v>45955</v>
      </c>
      <c r="Q185" s="1">
        <v>45986</v>
      </c>
      <c r="R185" s="2">
        <v>83</v>
      </c>
      <c r="S185">
        <v>1</v>
      </c>
      <c r="T185" t="s">
        <v>58</v>
      </c>
      <c r="U185" t="s">
        <v>238</v>
      </c>
      <c r="V185" s="3">
        <v>0.7</v>
      </c>
      <c r="W185" s="2">
        <v>0</v>
      </c>
      <c r="X185">
        <v>0</v>
      </c>
      <c r="Y185" t="s">
        <v>60</v>
      </c>
      <c r="Z185" t="s">
        <v>408</v>
      </c>
      <c r="AA185">
        <v>6</v>
      </c>
      <c r="AB185" s="2">
        <v>348.6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58.1</v>
      </c>
      <c r="AM185" s="2">
        <v>0</v>
      </c>
      <c r="AN185" s="2">
        <v>348.6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45957</v>
      </c>
      <c r="B186" t="s">
        <v>48</v>
      </c>
      <c r="C186">
        <v>649163</v>
      </c>
      <c r="D186">
        <v>2031808342</v>
      </c>
      <c r="E186" t="s">
        <v>471</v>
      </c>
      <c r="F186" t="s">
        <v>167</v>
      </c>
      <c r="G186" t="s">
        <v>51</v>
      </c>
      <c r="H186" t="s">
        <v>118</v>
      </c>
      <c r="I186" t="s">
        <v>53</v>
      </c>
      <c r="J186" t="s">
        <v>257</v>
      </c>
      <c r="K186">
        <v>902625</v>
      </c>
      <c r="L186" t="s">
        <v>458</v>
      </c>
      <c r="M186" t="s">
        <v>459</v>
      </c>
      <c r="N186" t="s">
        <v>57</v>
      </c>
      <c r="O186" s="1">
        <v>45962</v>
      </c>
      <c r="Q186" s="1">
        <v>45992</v>
      </c>
      <c r="R186" s="2">
        <v>48</v>
      </c>
      <c r="S186">
        <v>1</v>
      </c>
      <c r="T186" t="s">
        <v>58</v>
      </c>
      <c r="U186" t="s">
        <v>238</v>
      </c>
      <c r="V186" s="3">
        <v>0.7</v>
      </c>
      <c r="W186" s="2">
        <v>0</v>
      </c>
      <c r="X186">
        <v>0</v>
      </c>
      <c r="Y186" t="s">
        <v>60</v>
      </c>
      <c r="Z186" t="s">
        <v>408</v>
      </c>
      <c r="AA186">
        <v>6</v>
      </c>
      <c r="AB186" s="2">
        <v>201.6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33.6</v>
      </c>
      <c r="AM186" s="2">
        <v>0</v>
      </c>
      <c r="AN186" s="2">
        <v>201.6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45957</v>
      </c>
      <c r="B187" t="s">
        <v>48</v>
      </c>
      <c r="C187">
        <v>649163</v>
      </c>
      <c r="D187">
        <v>2031823475</v>
      </c>
      <c r="E187" t="s">
        <v>472</v>
      </c>
      <c r="F187" t="s">
        <v>473</v>
      </c>
      <c r="G187" t="s">
        <v>51</v>
      </c>
      <c r="H187" t="s">
        <v>69</v>
      </c>
      <c r="I187" t="s">
        <v>53</v>
      </c>
      <c r="J187" t="s">
        <v>54</v>
      </c>
      <c r="K187">
        <v>893408</v>
      </c>
      <c r="L187" t="s">
        <v>474</v>
      </c>
      <c r="M187" t="s">
        <v>475</v>
      </c>
      <c r="N187" t="s">
        <v>57</v>
      </c>
      <c r="O187" s="1">
        <v>45956</v>
      </c>
      <c r="Q187" s="1">
        <v>45987</v>
      </c>
      <c r="R187" s="2">
        <v>148.32</v>
      </c>
      <c r="S187">
        <v>1</v>
      </c>
      <c r="T187" t="s">
        <v>58</v>
      </c>
      <c r="U187" t="s">
        <v>238</v>
      </c>
      <c r="V187" s="3">
        <v>0.7</v>
      </c>
      <c r="W187" s="2">
        <v>0</v>
      </c>
      <c r="X187">
        <v>0</v>
      </c>
      <c r="Y187" t="s">
        <v>60</v>
      </c>
      <c r="Z187" t="s">
        <v>408</v>
      </c>
      <c r="AA187">
        <v>6</v>
      </c>
      <c r="AB187" s="2">
        <v>622.91999999999996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103.82</v>
      </c>
      <c r="AM187" s="2">
        <v>0</v>
      </c>
      <c r="AN187" s="2">
        <v>622.91999999999996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45957</v>
      </c>
      <c r="B188" t="s">
        <v>48</v>
      </c>
      <c r="C188">
        <v>649163</v>
      </c>
      <c r="D188">
        <v>2031780522</v>
      </c>
      <c r="E188" t="s">
        <v>466</v>
      </c>
      <c r="F188" t="s">
        <v>354</v>
      </c>
      <c r="G188" t="s">
        <v>51</v>
      </c>
      <c r="H188" t="s">
        <v>118</v>
      </c>
      <c r="I188" t="s">
        <v>262</v>
      </c>
      <c r="J188" t="s">
        <v>384</v>
      </c>
      <c r="K188">
        <v>751867</v>
      </c>
      <c r="L188" t="s">
        <v>349</v>
      </c>
      <c r="M188" t="s">
        <v>312</v>
      </c>
      <c r="N188" t="s">
        <v>57</v>
      </c>
      <c r="O188" s="1">
        <v>45954</v>
      </c>
      <c r="Q188" s="1">
        <v>45985</v>
      </c>
      <c r="R188" s="2">
        <v>142.16</v>
      </c>
      <c r="S188">
        <v>1</v>
      </c>
      <c r="T188" t="s">
        <v>58</v>
      </c>
      <c r="U188" t="s">
        <v>476</v>
      </c>
      <c r="V188" s="3">
        <v>0.27</v>
      </c>
      <c r="W188" s="2">
        <v>0</v>
      </c>
      <c r="X188">
        <v>0</v>
      </c>
      <c r="Y188" t="s">
        <v>60</v>
      </c>
      <c r="Z188" t="s">
        <v>408</v>
      </c>
      <c r="AA188">
        <v>3</v>
      </c>
      <c r="AB188" s="2">
        <v>115.14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38.380000000000003</v>
      </c>
      <c r="AM188" s="2">
        <v>0</v>
      </c>
      <c r="AN188" s="2">
        <v>115.14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45957</v>
      </c>
      <c r="B189" t="s">
        <v>48</v>
      </c>
      <c r="C189">
        <v>649163</v>
      </c>
      <c r="D189">
        <v>2031780523</v>
      </c>
      <c r="E189" t="s">
        <v>466</v>
      </c>
      <c r="F189" t="s">
        <v>354</v>
      </c>
      <c r="G189" t="s">
        <v>51</v>
      </c>
      <c r="H189" t="s">
        <v>118</v>
      </c>
      <c r="I189" t="s">
        <v>262</v>
      </c>
      <c r="J189" t="s">
        <v>477</v>
      </c>
      <c r="K189">
        <v>751867</v>
      </c>
      <c r="L189" t="s">
        <v>349</v>
      </c>
      <c r="M189" t="s">
        <v>312</v>
      </c>
      <c r="N189" t="s">
        <v>57</v>
      </c>
      <c r="O189" s="1">
        <v>45954</v>
      </c>
      <c r="Q189" s="1">
        <v>45985</v>
      </c>
      <c r="R189" s="2">
        <v>9.9499999999999993</v>
      </c>
      <c r="S189">
        <v>1</v>
      </c>
      <c r="T189" t="s">
        <v>58</v>
      </c>
      <c r="U189" t="s">
        <v>476</v>
      </c>
      <c r="V189" s="3">
        <v>0.27</v>
      </c>
      <c r="W189" s="2">
        <v>0</v>
      </c>
      <c r="X189">
        <v>0</v>
      </c>
      <c r="Y189" t="s">
        <v>60</v>
      </c>
      <c r="Z189" t="s">
        <v>408</v>
      </c>
      <c r="AA189">
        <v>3</v>
      </c>
      <c r="AB189" s="2">
        <v>8.07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2.69</v>
      </c>
      <c r="AM189" s="2">
        <v>0</v>
      </c>
      <c r="AN189" s="2">
        <v>8.07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45957</v>
      </c>
      <c r="B190" t="s">
        <v>48</v>
      </c>
      <c r="C190">
        <v>649163</v>
      </c>
      <c r="D190">
        <v>2031804598</v>
      </c>
      <c r="E190" t="s">
        <v>432</v>
      </c>
      <c r="F190" t="s">
        <v>433</v>
      </c>
      <c r="G190" t="s">
        <v>51</v>
      </c>
      <c r="H190" t="s">
        <v>179</v>
      </c>
      <c r="I190" t="s">
        <v>262</v>
      </c>
      <c r="J190" t="s">
        <v>478</v>
      </c>
      <c r="K190">
        <v>877790</v>
      </c>
      <c r="L190" t="s">
        <v>435</v>
      </c>
      <c r="M190" t="s">
        <v>436</v>
      </c>
      <c r="N190" t="s">
        <v>57</v>
      </c>
      <c r="O190" s="1">
        <v>45955</v>
      </c>
      <c r="Q190" s="1">
        <v>45986</v>
      </c>
      <c r="R190" s="2">
        <v>832.5</v>
      </c>
      <c r="S190">
        <v>1</v>
      </c>
      <c r="T190" t="s">
        <v>58</v>
      </c>
      <c r="U190" t="s">
        <v>431</v>
      </c>
      <c r="V190" s="3">
        <v>0.19</v>
      </c>
      <c r="W190" s="2">
        <v>0</v>
      </c>
      <c r="X190">
        <v>0</v>
      </c>
      <c r="Y190" t="s">
        <v>60</v>
      </c>
      <c r="Z190" t="s">
        <v>408</v>
      </c>
      <c r="AA190">
        <v>6</v>
      </c>
      <c r="AB190" s="2">
        <v>949.08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158.18</v>
      </c>
      <c r="AM190" s="2">
        <v>0</v>
      </c>
      <c r="AN190" s="2">
        <v>949.08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45957</v>
      </c>
      <c r="B191" t="s">
        <v>48</v>
      </c>
      <c r="C191">
        <v>649163</v>
      </c>
      <c r="D191">
        <v>2031615384</v>
      </c>
      <c r="E191" t="s">
        <v>445</v>
      </c>
      <c r="F191" t="s">
        <v>446</v>
      </c>
      <c r="G191" t="s">
        <v>51</v>
      </c>
      <c r="H191" t="s">
        <v>69</v>
      </c>
      <c r="I191" t="s">
        <v>309</v>
      </c>
      <c r="J191" t="s">
        <v>340</v>
      </c>
      <c r="K191">
        <v>820873</v>
      </c>
      <c r="L191" t="s">
        <v>447</v>
      </c>
      <c r="M191" t="s">
        <v>448</v>
      </c>
      <c r="N191" t="s">
        <v>57</v>
      </c>
      <c r="O191" s="1">
        <v>45962</v>
      </c>
      <c r="Q191" s="1">
        <v>45992</v>
      </c>
      <c r="R191" s="2">
        <v>35.270000000000003</v>
      </c>
      <c r="S191">
        <v>1</v>
      </c>
      <c r="T191" t="s">
        <v>58</v>
      </c>
      <c r="U191" t="s">
        <v>238</v>
      </c>
      <c r="V191" s="3">
        <v>0.51</v>
      </c>
      <c r="W191" s="2">
        <v>0</v>
      </c>
      <c r="X191">
        <v>0</v>
      </c>
      <c r="Y191" t="s">
        <v>60</v>
      </c>
      <c r="Z191" t="s">
        <v>408</v>
      </c>
      <c r="AA191">
        <v>6</v>
      </c>
      <c r="AB191" s="2">
        <v>107.94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17.989999999999998</v>
      </c>
      <c r="AM191" s="2">
        <v>0</v>
      </c>
      <c r="AN191" s="2">
        <v>107.94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45957</v>
      </c>
      <c r="B192" t="s">
        <v>48</v>
      </c>
      <c r="C192">
        <v>649163</v>
      </c>
      <c r="D192">
        <v>2031615385</v>
      </c>
      <c r="E192" t="s">
        <v>445</v>
      </c>
      <c r="F192" t="s">
        <v>446</v>
      </c>
      <c r="G192" t="s">
        <v>51</v>
      </c>
      <c r="H192" t="s">
        <v>69</v>
      </c>
      <c r="I192" t="s">
        <v>309</v>
      </c>
      <c r="J192" t="s">
        <v>341</v>
      </c>
      <c r="K192">
        <v>820873</v>
      </c>
      <c r="L192" t="s">
        <v>447</v>
      </c>
      <c r="M192" t="s">
        <v>448</v>
      </c>
      <c r="N192" t="s">
        <v>57</v>
      </c>
      <c r="O192" s="1">
        <v>45962</v>
      </c>
      <c r="Q192" s="1">
        <v>45992</v>
      </c>
      <c r="R192" s="2">
        <v>5.95</v>
      </c>
      <c r="S192">
        <v>1</v>
      </c>
      <c r="T192" t="s">
        <v>58</v>
      </c>
      <c r="U192" t="s">
        <v>238</v>
      </c>
      <c r="V192" s="3">
        <v>0.51</v>
      </c>
      <c r="W192" s="2">
        <v>0</v>
      </c>
      <c r="X192">
        <v>0</v>
      </c>
      <c r="Y192" t="s">
        <v>60</v>
      </c>
      <c r="Z192" t="s">
        <v>408</v>
      </c>
      <c r="AA192">
        <v>6</v>
      </c>
      <c r="AB192" s="2">
        <v>18.18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3.03</v>
      </c>
      <c r="AM192" s="2">
        <v>0</v>
      </c>
      <c r="AN192" s="2">
        <v>18.18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45957</v>
      </c>
      <c r="B193" t="s">
        <v>48</v>
      </c>
      <c r="C193">
        <v>649163</v>
      </c>
      <c r="D193">
        <v>2016670253</v>
      </c>
      <c r="E193" t="s">
        <v>479</v>
      </c>
      <c r="F193" t="s">
        <v>480</v>
      </c>
      <c r="G193" t="s">
        <v>51</v>
      </c>
      <c r="H193" t="s">
        <v>195</v>
      </c>
      <c r="I193" t="s">
        <v>395</v>
      </c>
      <c r="J193" t="s">
        <v>411</v>
      </c>
      <c r="K193">
        <v>650794</v>
      </c>
      <c r="L193" t="s">
        <v>155</v>
      </c>
      <c r="M193" t="s">
        <v>481</v>
      </c>
      <c r="N193" t="s">
        <v>57</v>
      </c>
      <c r="O193" s="1">
        <v>44863</v>
      </c>
      <c r="Q193" s="1">
        <v>45990</v>
      </c>
      <c r="R193" s="2">
        <v>68.52</v>
      </c>
      <c r="S193">
        <v>1</v>
      </c>
      <c r="T193" t="s">
        <v>58</v>
      </c>
      <c r="U193" t="s">
        <v>59</v>
      </c>
      <c r="V193" s="4">
        <v>6.5000000000000002E-2</v>
      </c>
      <c r="W193" s="2">
        <v>0</v>
      </c>
      <c r="X193">
        <v>0</v>
      </c>
      <c r="Y193" t="s">
        <v>264</v>
      </c>
      <c r="Z193" t="s">
        <v>61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4.45</v>
      </c>
      <c r="AN193" s="2">
        <v>4.45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45957</v>
      </c>
      <c r="B194" t="s">
        <v>48</v>
      </c>
      <c r="C194">
        <v>649163</v>
      </c>
      <c r="D194">
        <v>2017126555</v>
      </c>
      <c r="E194" t="s">
        <v>482</v>
      </c>
      <c r="F194" t="s">
        <v>483</v>
      </c>
      <c r="G194" t="s">
        <v>51</v>
      </c>
      <c r="H194" t="s">
        <v>195</v>
      </c>
      <c r="I194" t="s">
        <v>395</v>
      </c>
      <c r="J194" t="s">
        <v>396</v>
      </c>
      <c r="K194">
        <v>649164</v>
      </c>
      <c r="L194" t="s">
        <v>313</v>
      </c>
      <c r="M194" t="s">
        <v>314</v>
      </c>
      <c r="N194" t="s">
        <v>57</v>
      </c>
      <c r="O194" s="1">
        <v>44958</v>
      </c>
      <c r="Q194" s="1">
        <v>45992</v>
      </c>
      <c r="R194" s="2">
        <v>92.55</v>
      </c>
      <c r="S194">
        <v>1</v>
      </c>
      <c r="T194" t="s">
        <v>58</v>
      </c>
      <c r="U194" t="s">
        <v>59</v>
      </c>
      <c r="V194" s="4">
        <v>6.5000000000000002E-2</v>
      </c>
      <c r="W194" s="2">
        <v>0</v>
      </c>
      <c r="X194">
        <v>0</v>
      </c>
      <c r="Y194" t="s">
        <v>264</v>
      </c>
      <c r="Z194" t="s">
        <v>61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6.02</v>
      </c>
      <c r="AN194" s="2">
        <v>6.02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45957</v>
      </c>
      <c r="B195" t="s">
        <v>48</v>
      </c>
      <c r="C195">
        <v>649163</v>
      </c>
      <c r="D195">
        <v>2017340029</v>
      </c>
      <c r="E195" t="s">
        <v>484</v>
      </c>
      <c r="F195" t="s">
        <v>415</v>
      </c>
      <c r="G195" t="s">
        <v>51</v>
      </c>
      <c r="H195" t="s">
        <v>195</v>
      </c>
      <c r="I195" t="s">
        <v>395</v>
      </c>
      <c r="J195" t="s">
        <v>411</v>
      </c>
      <c r="K195">
        <v>652037</v>
      </c>
      <c r="L195" t="s">
        <v>155</v>
      </c>
      <c r="M195" t="s">
        <v>156</v>
      </c>
      <c r="N195" t="s">
        <v>57</v>
      </c>
      <c r="O195" s="1">
        <v>44958</v>
      </c>
      <c r="Q195" s="1">
        <v>45992</v>
      </c>
      <c r="R195" s="2">
        <v>71.69</v>
      </c>
      <c r="S195">
        <v>1</v>
      </c>
      <c r="T195" t="s">
        <v>58</v>
      </c>
      <c r="U195" t="s">
        <v>59</v>
      </c>
      <c r="V195" s="4">
        <v>6.5000000000000002E-2</v>
      </c>
      <c r="W195" s="2">
        <v>0</v>
      </c>
      <c r="X195">
        <v>0</v>
      </c>
      <c r="Y195" t="s">
        <v>264</v>
      </c>
      <c r="Z195" t="s">
        <v>61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4.66</v>
      </c>
      <c r="AN195" s="2">
        <v>4.66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45957</v>
      </c>
      <c r="B196" t="s">
        <v>48</v>
      </c>
      <c r="C196">
        <v>649163</v>
      </c>
      <c r="D196">
        <v>2019754489</v>
      </c>
      <c r="E196" t="s">
        <v>80</v>
      </c>
      <c r="F196" t="s">
        <v>485</v>
      </c>
      <c r="G196" t="s">
        <v>51</v>
      </c>
      <c r="H196" t="s">
        <v>195</v>
      </c>
      <c r="I196" t="s">
        <v>395</v>
      </c>
      <c r="J196" t="s">
        <v>396</v>
      </c>
      <c r="K196">
        <v>649164</v>
      </c>
      <c r="L196" t="s">
        <v>313</v>
      </c>
      <c r="M196" t="s">
        <v>314</v>
      </c>
      <c r="N196" t="s">
        <v>57</v>
      </c>
      <c r="O196" s="1">
        <v>45170</v>
      </c>
      <c r="Q196" s="1">
        <v>45992</v>
      </c>
      <c r="R196" s="2">
        <v>52.69</v>
      </c>
      <c r="S196">
        <v>1</v>
      </c>
      <c r="T196" t="s">
        <v>58</v>
      </c>
      <c r="U196" t="s">
        <v>59</v>
      </c>
      <c r="V196" s="4">
        <v>6.5000000000000002E-2</v>
      </c>
      <c r="W196" s="2">
        <v>0</v>
      </c>
      <c r="X196">
        <v>0</v>
      </c>
      <c r="Y196" t="s">
        <v>264</v>
      </c>
      <c r="Z196" t="s">
        <v>61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3.42</v>
      </c>
      <c r="AN196" s="2">
        <v>3.42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45957</v>
      </c>
      <c r="B197" t="s">
        <v>48</v>
      </c>
      <c r="C197">
        <v>649163</v>
      </c>
      <c r="D197">
        <v>2020393565</v>
      </c>
      <c r="E197" t="s">
        <v>486</v>
      </c>
      <c r="F197" t="s">
        <v>487</v>
      </c>
      <c r="G197" t="s">
        <v>51</v>
      </c>
      <c r="H197" t="s">
        <v>276</v>
      </c>
      <c r="I197" t="s">
        <v>395</v>
      </c>
      <c r="J197" t="s">
        <v>396</v>
      </c>
      <c r="K197">
        <v>673059</v>
      </c>
      <c r="L197" t="s">
        <v>55</v>
      </c>
      <c r="M197" t="s">
        <v>56</v>
      </c>
      <c r="N197" t="s">
        <v>57</v>
      </c>
      <c r="O197" s="1">
        <v>45231</v>
      </c>
      <c r="Q197" s="1">
        <v>45992</v>
      </c>
      <c r="R197" s="2">
        <v>75.75</v>
      </c>
      <c r="S197">
        <v>1</v>
      </c>
      <c r="T197" t="s">
        <v>58</v>
      </c>
      <c r="U197" t="s">
        <v>59</v>
      </c>
      <c r="V197" s="4">
        <v>6.5000000000000002E-2</v>
      </c>
      <c r="W197" s="2">
        <v>0</v>
      </c>
      <c r="X197">
        <v>0</v>
      </c>
      <c r="Y197" t="s">
        <v>264</v>
      </c>
      <c r="Z197" t="s">
        <v>61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4.92</v>
      </c>
      <c r="AN197" s="2">
        <v>4.92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45957</v>
      </c>
      <c r="B198" t="s">
        <v>48</v>
      </c>
      <c r="C198">
        <v>649163</v>
      </c>
      <c r="D198">
        <v>2020534057</v>
      </c>
      <c r="E198" t="s">
        <v>488</v>
      </c>
      <c r="F198" t="s">
        <v>98</v>
      </c>
      <c r="G198" t="s">
        <v>51</v>
      </c>
      <c r="H198" t="s">
        <v>195</v>
      </c>
      <c r="I198" t="s">
        <v>395</v>
      </c>
      <c r="J198" t="s">
        <v>396</v>
      </c>
      <c r="K198">
        <v>702406</v>
      </c>
      <c r="L198" t="s">
        <v>489</v>
      </c>
      <c r="M198" t="s">
        <v>490</v>
      </c>
      <c r="N198" t="s">
        <v>57</v>
      </c>
      <c r="O198" s="1">
        <v>45224</v>
      </c>
      <c r="Q198" s="1">
        <v>45986</v>
      </c>
      <c r="R198" s="2">
        <v>42.45</v>
      </c>
      <c r="S198">
        <v>1</v>
      </c>
      <c r="T198" t="s">
        <v>58</v>
      </c>
      <c r="U198" t="s">
        <v>59</v>
      </c>
      <c r="V198" s="4">
        <v>6.5000000000000002E-2</v>
      </c>
      <c r="W198" s="2">
        <v>0</v>
      </c>
      <c r="X198">
        <v>0</v>
      </c>
      <c r="Y198" t="s">
        <v>264</v>
      </c>
      <c r="Z198" t="s">
        <v>61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2.76</v>
      </c>
      <c r="AN198" s="2">
        <v>2.76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45957</v>
      </c>
      <c r="B199" t="s">
        <v>48</v>
      </c>
      <c r="C199">
        <v>649163</v>
      </c>
      <c r="D199">
        <v>2021515733</v>
      </c>
      <c r="E199" t="s">
        <v>319</v>
      </c>
      <c r="F199" t="s">
        <v>320</v>
      </c>
      <c r="G199" t="s">
        <v>51</v>
      </c>
      <c r="H199" t="s">
        <v>195</v>
      </c>
      <c r="I199" t="s">
        <v>395</v>
      </c>
      <c r="J199" t="s">
        <v>396</v>
      </c>
      <c r="K199">
        <v>649247</v>
      </c>
      <c r="L199" t="s">
        <v>321</v>
      </c>
      <c r="M199" t="s">
        <v>322</v>
      </c>
      <c r="N199" t="s">
        <v>57</v>
      </c>
      <c r="O199" s="1">
        <v>45315</v>
      </c>
      <c r="Q199" s="1">
        <v>45985</v>
      </c>
      <c r="R199" s="2">
        <v>42.45</v>
      </c>
      <c r="S199">
        <v>1</v>
      </c>
      <c r="T199" t="s">
        <v>58</v>
      </c>
      <c r="U199" t="s">
        <v>59</v>
      </c>
      <c r="V199" s="4">
        <v>6.5000000000000002E-2</v>
      </c>
      <c r="W199" s="2">
        <v>0</v>
      </c>
      <c r="X199">
        <v>0</v>
      </c>
      <c r="Y199" t="s">
        <v>264</v>
      </c>
      <c r="Z199" t="s">
        <v>61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2.76</v>
      </c>
      <c r="AN199" s="2">
        <v>2.76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45957</v>
      </c>
      <c r="B200" t="s">
        <v>48</v>
      </c>
      <c r="C200">
        <v>649163</v>
      </c>
      <c r="D200">
        <v>2022933292</v>
      </c>
      <c r="E200" t="s">
        <v>491</v>
      </c>
      <c r="F200" t="s">
        <v>492</v>
      </c>
      <c r="G200" t="s">
        <v>51</v>
      </c>
      <c r="H200" t="s">
        <v>195</v>
      </c>
      <c r="I200" t="s">
        <v>395</v>
      </c>
      <c r="J200" t="s">
        <v>396</v>
      </c>
      <c r="K200">
        <v>649164</v>
      </c>
      <c r="L200" t="s">
        <v>313</v>
      </c>
      <c r="M200" t="s">
        <v>314</v>
      </c>
      <c r="N200" t="s">
        <v>57</v>
      </c>
      <c r="O200" s="1">
        <v>45444</v>
      </c>
      <c r="Q200" s="1">
        <v>45992</v>
      </c>
      <c r="R200" s="2">
        <v>75.75</v>
      </c>
      <c r="S200">
        <v>1</v>
      </c>
      <c r="T200" t="s">
        <v>58</v>
      </c>
      <c r="U200" t="s">
        <v>59</v>
      </c>
      <c r="V200" s="4">
        <v>6.5000000000000002E-2</v>
      </c>
      <c r="W200" s="2">
        <v>0</v>
      </c>
      <c r="X200">
        <v>0</v>
      </c>
      <c r="Y200" t="s">
        <v>264</v>
      </c>
      <c r="Z200" t="s">
        <v>61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4.92</v>
      </c>
      <c r="AN200" s="2">
        <v>4.92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45957</v>
      </c>
      <c r="B201" t="s">
        <v>48</v>
      </c>
      <c r="C201">
        <v>649163</v>
      </c>
      <c r="D201">
        <v>2023105852</v>
      </c>
      <c r="E201" t="s">
        <v>493</v>
      </c>
      <c r="F201" t="s">
        <v>494</v>
      </c>
      <c r="G201" t="s">
        <v>51</v>
      </c>
      <c r="H201" t="s">
        <v>78</v>
      </c>
      <c r="I201" t="s">
        <v>395</v>
      </c>
      <c r="J201" t="s">
        <v>396</v>
      </c>
      <c r="K201">
        <v>650218</v>
      </c>
      <c r="L201" t="s">
        <v>357</v>
      </c>
      <c r="M201" t="s">
        <v>358</v>
      </c>
      <c r="N201" t="s">
        <v>57</v>
      </c>
      <c r="O201" s="1">
        <v>45444</v>
      </c>
      <c r="Q201" s="1">
        <v>45992</v>
      </c>
      <c r="R201" s="2">
        <v>46.45</v>
      </c>
      <c r="S201">
        <v>1</v>
      </c>
      <c r="T201" t="s">
        <v>58</v>
      </c>
      <c r="U201" t="s">
        <v>59</v>
      </c>
      <c r="V201" s="4">
        <v>6.5000000000000002E-2</v>
      </c>
      <c r="W201" s="2">
        <v>0</v>
      </c>
      <c r="X201">
        <v>0</v>
      </c>
      <c r="Y201" t="s">
        <v>264</v>
      </c>
      <c r="Z201" t="s">
        <v>61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3.02</v>
      </c>
      <c r="AN201" s="2">
        <v>3.02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45957</v>
      </c>
      <c r="B202" t="s">
        <v>48</v>
      </c>
      <c r="C202">
        <v>649163</v>
      </c>
      <c r="D202">
        <v>2023252075</v>
      </c>
      <c r="E202" t="s">
        <v>495</v>
      </c>
      <c r="F202" t="s">
        <v>496</v>
      </c>
      <c r="G202" t="s">
        <v>51</v>
      </c>
      <c r="H202" t="s">
        <v>195</v>
      </c>
      <c r="I202" t="s">
        <v>395</v>
      </c>
      <c r="J202" t="s">
        <v>396</v>
      </c>
      <c r="K202">
        <v>650218</v>
      </c>
      <c r="L202" t="s">
        <v>357</v>
      </c>
      <c r="M202" t="s">
        <v>358</v>
      </c>
      <c r="N202" t="s">
        <v>57</v>
      </c>
      <c r="O202" s="1">
        <v>45444</v>
      </c>
      <c r="Q202" s="1">
        <v>45992</v>
      </c>
      <c r="R202" s="2">
        <v>62.54</v>
      </c>
      <c r="S202">
        <v>1</v>
      </c>
      <c r="T202" t="s">
        <v>58</v>
      </c>
      <c r="U202" t="s">
        <v>59</v>
      </c>
      <c r="V202" s="4">
        <v>6.5000000000000002E-2</v>
      </c>
      <c r="W202" s="2">
        <v>0</v>
      </c>
      <c r="X202">
        <v>0</v>
      </c>
      <c r="Y202" t="s">
        <v>264</v>
      </c>
      <c r="Z202" t="s">
        <v>61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4.07</v>
      </c>
      <c r="AN202" s="2">
        <v>4.07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45957</v>
      </c>
      <c r="B203" t="s">
        <v>48</v>
      </c>
      <c r="C203">
        <v>649163</v>
      </c>
      <c r="D203">
        <v>2024382486</v>
      </c>
      <c r="E203" t="s">
        <v>497</v>
      </c>
      <c r="F203" t="s">
        <v>167</v>
      </c>
      <c r="G203" t="s">
        <v>51</v>
      </c>
      <c r="H203" t="s">
        <v>195</v>
      </c>
      <c r="I203" t="s">
        <v>395</v>
      </c>
      <c r="J203" t="s">
        <v>396</v>
      </c>
      <c r="K203">
        <v>649247</v>
      </c>
      <c r="L203" t="s">
        <v>321</v>
      </c>
      <c r="M203" t="s">
        <v>322</v>
      </c>
      <c r="N203" t="s">
        <v>57</v>
      </c>
      <c r="O203" s="1">
        <v>45536</v>
      </c>
      <c r="Q203" s="1">
        <v>45992</v>
      </c>
      <c r="R203" s="2">
        <v>42.45</v>
      </c>
      <c r="S203">
        <v>1</v>
      </c>
      <c r="T203" t="s">
        <v>58</v>
      </c>
      <c r="U203" t="s">
        <v>59</v>
      </c>
      <c r="V203" s="4">
        <v>6.5000000000000002E-2</v>
      </c>
      <c r="W203" s="2">
        <v>0</v>
      </c>
      <c r="X203">
        <v>0</v>
      </c>
      <c r="Y203" t="s">
        <v>264</v>
      </c>
      <c r="Z203" t="s">
        <v>61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2.76</v>
      </c>
      <c r="AN203" s="2">
        <v>2.76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45957</v>
      </c>
      <c r="B204" t="s">
        <v>48</v>
      </c>
      <c r="C204">
        <v>649163</v>
      </c>
      <c r="D204">
        <v>2024417985</v>
      </c>
      <c r="E204" t="s">
        <v>498</v>
      </c>
      <c r="F204" t="s">
        <v>56</v>
      </c>
      <c r="G204" t="s">
        <v>51</v>
      </c>
      <c r="H204" t="s">
        <v>195</v>
      </c>
      <c r="I204" t="s">
        <v>395</v>
      </c>
      <c r="J204" t="s">
        <v>396</v>
      </c>
      <c r="K204">
        <v>780434</v>
      </c>
      <c r="L204" t="s">
        <v>499</v>
      </c>
      <c r="M204" t="s">
        <v>110</v>
      </c>
      <c r="N204" t="s">
        <v>57</v>
      </c>
      <c r="O204" s="1">
        <v>45536</v>
      </c>
      <c r="Q204" s="1">
        <v>45992</v>
      </c>
      <c r="R204" s="2">
        <v>52.69</v>
      </c>
      <c r="S204">
        <v>1</v>
      </c>
      <c r="T204" t="s">
        <v>58</v>
      </c>
      <c r="U204" t="s">
        <v>59</v>
      </c>
      <c r="V204" s="4">
        <v>6.5000000000000002E-2</v>
      </c>
      <c r="W204" s="2">
        <v>0</v>
      </c>
      <c r="X204">
        <v>0</v>
      </c>
      <c r="Y204" t="s">
        <v>264</v>
      </c>
      <c r="Z204" t="s">
        <v>61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3.42</v>
      </c>
      <c r="AN204" s="2">
        <v>3.42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45957</v>
      </c>
      <c r="B205" t="s">
        <v>48</v>
      </c>
      <c r="C205">
        <v>649163</v>
      </c>
      <c r="D205">
        <v>2024662994</v>
      </c>
      <c r="E205" t="s">
        <v>500</v>
      </c>
      <c r="F205" t="s">
        <v>501</v>
      </c>
      <c r="G205" t="s">
        <v>51</v>
      </c>
      <c r="H205" t="s">
        <v>69</v>
      </c>
      <c r="I205" t="s">
        <v>395</v>
      </c>
      <c r="J205" t="s">
        <v>396</v>
      </c>
      <c r="K205">
        <v>757039</v>
      </c>
      <c r="L205" t="s">
        <v>502</v>
      </c>
      <c r="M205" t="s">
        <v>342</v>
      </c>
      <c r="N205" t="s">
        <v>57</v>
      </c>
      <c r="O205" s="1">
        <v>45536</v>
      </c>
      <c r="Q205" s="1">
        <v>45992</v>
      </c>
      <c r="R205" s="2">
        <v>52.69</v>
      </c>
      <c r="S205">
        <v>1</v>
      </c>
      <c r="T205" t="s">
        <v>58</v>
      </c>
      <c r="U205" t="s">
        <v>59</v>
      </c>
      <c r="V205" s="4">
        <v>6.5000000000000002E-2</v>
      </c>
      <c r="W205" s="2">
        <v>0</v>
      </c>
      <c r="X205">
        <v>0</v>
      </c>
      <c r="Y205" t="s">
        <v>264</v>
      </c>
      <c r="Z205" t="s">
        <v>61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3.42</v>
      </c>
      <c r="AN205" s="2">
        <v>3.42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45957</v>
      </c>
      <c r="B206" t="s">
        <v>48</v>
      </c>
      <c r="C206">
        <v>649163</v>
      </c>
      <c r="D206">
        <v>2025303844</v>
      </c>
      <c r="E206" t="s">
        <v>503</v>
      </c>
      <c r="F206" t="s">
        <v>504</v>
      </c>
      <c r="G206" t="s">
        <v>51</v>
      </c>
      <c r="H206" t="s">
        <v>195</v>
      </c>
      <c r="I206" t="s">
        <v>395</v>
      </c>
      <c r="J206" t="s">
        <v>396</v>
      </c>
      <c r="K206">
        <v>650218</v>
      </c>
      <c r="L206" t="s">
        <v>357</v>
      </c>
      <c r="M206" t="s">
        <v>358</v>
      </c>
      <c r="N206" t="s">
        <v>57</v>
      </c>
      <c r="O206" s="1">
        <v>45597</v>
      </c>
      <c r="Q206" s="1">
        <v>45992</v>
      </c>
      <c r="R206" s="2">
        <v>56.69</v>
      </c>
      <c r="S206">
        <v>1</v>
      </c>
      <c r="T206" t="s">
        <v>58</v>
      </c>
      <c r="U206" t="s">
        <v>59</v>
      </c>
      <c r="V206" s="4">
        <v>6.5000000000000002E-2</v>
      </c>
      <c r="W206" s="2">
        <v>0</v>
      </c>
      <c r="X206">
        <v>0</v>
      </c>
      <c r="Y206" t="s">
        <v>264</v>
      </c>
      <c r="Z206" t="s">
        <v>61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3.68</v>
      </c>
      <c r="AN206" s="2">
        <v>3.68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45957</v>
      </c>
      <c r="B207" t="s">
        <v>48</v>
      </c>
      <c r="C207">
        <v>649163</v>
      </c>
      <c r="D207">
        <v>2025378908</v>
      </c>
      <c r="E207" t="s">
        <v>505</v>
      </c>
      <c r="F207" t="s">
        <v>506</v>
      </c>
      <c r="G207" t="s">
        <v>51</v>
      </c>
      <c r="H207" t="s">
        <v>195</v>
      </c>
      <c r="I207" t="s">
        <v>395</v>
      </c>
      <c r="J207" t="s">
        <v>396</v>
      </c>
      <c r="K207">
        <v>650218</v>
      </c>
      <c r="L207" t="s">
        <v>357</v>
      </c>
      <c r="M207" t="s">
        <v>358</v>
      </c>
      <c r="N207" t="s">
        <v>57</v>
      </c>
      <c r="O207" s="1">
        <v>45597</v>
      </c>
      <c r="Q207" s="1">
        <v>45992</v>
      </c>
      <c r="R207" s="2">
        <v>40.159999999999997</v>
      </c>
      <c r="S207">
        <v>1</v>
      </c>
      <c r="T207" t="s">
        <v>58</v>
      </c>
      <c r="U207" t="s">
        <v>59</v>
      </c>
      <c r="V207" s="4">
        <v>6.5000000000000002E-2</v>
      </c>
      <c r="W207" s="2">
        <v>0</v>
      </c>
      <c r="X207">
        <v>0</v>
      </c>
      <c r="Y207" t="s">
        <v>264</v>
      </c>
      <c r="Z207" t="s">
        <v>61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2.61</v>
      </c>
      <c r="AN207" s="2">
        <v>2.61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45957</v>
      </c>
      <c r="B208" t="s">
        <v>48</v>
      </c>
      <c r="C208">
        <v>649163</v>
      </c>
      <c r="D208">
        <v>2025486441</v>
      </c>
      <c r="E208" t="s">
        <v>507</v>
      </c>
      <c r="F208" t="s">
        <v>374</v>
      </c>
      <c r="G208" t="s">
        <v>51</v>
      </c>
      <c r="H208" t="s">
        <v>129</v>
      </c>
      <c r="I208" t="s">
        <v>395</v>
      </c>
      <c r="J208" t="s">
        <v>396</v>
      </c>
      <c r="K208">
        <v>650218</v>
      </c>
      <c r="L208" t="s">
        <v>357</v>
      </c>
      <c r="M208" t="s">
        <v>358</v>
      </c>
      <c r="N208" t="s">
        <v>57</v>
      </c>
      <c r="O208" s="1">
        <v>45597</v>
      </c>
      <c r="Q208" s="1">
        <v>45992</v>
      </c>
      <c r="R208" s="2">
        <v>94.37</v>
      </c>
      <c r="S208">
        <v>1</v>
      </c>
      <c r="T208" t="s">
        <v>58</v>
      </c>
      <c r="U208" t="s">
        <v>59</v>
      </c>
      <c r="V208" s="4">
        <v>6.5000000000000002E-2</v>
      </c>
      <c r="W208" s="2">
        <v>0</v>
      </c>
      <c r="X208">
        <v>0</v>
      </c>
      <c r="Y208" t="s">
        <v>264</v>
      </c>
      <c r="Z208" t="s">
        <v>61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6.13</v>
      </c>
      <c r="AN208" s="2">
        <v>6.13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45957</v>
      </c>
      <c r="B209" t="s">
        <v>48</v>
      </c>
      <c r="C209">
        <v>649163</v>
      </c>
      <c r="D209">
        <v>2025934064</v>
      </c>
      <c r="E209" t="s">
        <v>508</v>
      </c>
      <c r="F209" t="s">
        <v>509</v>
      </c>
      <c r="G209" t="s">
        <v>51</v>
      </c>
      <c r="H209" t="s">
        <v>195</v>
      </c>
      <c r="I209" t="s">
        <v>395</v>
      </c>
      <c r="J209" t="s">
        <v>396</v>
      </c>
      <c r="K209">
        <v>751867</v>
      </c>
      <c r="L209" t="s">
        <v>349</v>
      </c>
      <c r="M209" t="s">
        <v>312</v>
      </c>
      <c r="N209" t="s">
        <v>57</v>
      </c>
      <c r="O209" s="1">
        <v>45627</v>
      </c>
      <c r="Q209" s="1">
        <v>45962</v>
      </c>
      <c r="R209" s="2">
        <v>56.69</v>
      </c>
      <c r="S209">
        <v>1</v>
      </c>
      <c r="T209" t="s">
        <v>58</v>
      </c>
      <c r="U209" t="s">
        <v>59</v>
      </c>
      <c r="V209" s="3">
        <v>0.6</v>
      </c>
      <c r="W209" s="2">
        <v>0</v>
      </c>
      <c r="X209">
        <v>0</v>
      </c>
      <c r="Y209" t="s">
        <v>60</v>
      </c>
      <c r="Z209" t="s">
        <v>61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34.01</v>
      </c>
      <c r="AN209" s="2">
        <v>34.01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45957</v>
      </c>
      <c r="B210" t="s">
        <v>48</v>
      </c>
      <c r="C210">
        <v>649163</v>
      </c>
      <c r="D210">
        <v>2026471872</v>
      </c>
      <c r="E210" t="s">
        <v>510</v>
      </c>
      <c r="F210" t="s">
        <v>511</v>
      </c>
      <c r="G210" t="s">
        <v>51</v>
      </c>
      <c r="H210" t="s">
        <v>182</v>
      </c>
      <c r="I210" t="s">
        <v>395</v>
      </c>
      <c r="J210" t="s">
        <v>405</v>
      </c>
      <c r="K210">
        <v>673059</v>
      </c>
      <c r="L210" t="s">
        <v>55</v>
      </c>
      <c r="M210" t="s">
        <v>56</v>
      </c>
      <c r="N210" t="s">
        <v>57</v>
      </c>
      <c r="O210" s="1">
        <v>45689</v>
      </c>
      <c r="Q210" s="1">
        <v>45992</v>
      </c>
      <c r="R210" s="2">
        <v>37.81</v>
      </c>
      <c r="S210">
        <v>1</v>
      </c>
      <c r="T210" t="s">
        <v>58</v>
      </c>
      <c r="U210" t="s">
        <v>59</v>
      </c>
      <c r="V210" s="3">
        <v>0.6</v>
      </c>
      <c r="W210" s="2">
        <v>0</v>
      </c>
      <c r="X210">
        <v>0</v>
      </c>
      <c r="Y210" t="s">
        <v>60</v>
      </c>
      <c r="Z210" t="s">
        <v>61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22.69</v>
      </c>
      <c r="AN210" s="2">
        <v>22.69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45957</v>
      </c>
      <c r="B211" t="s">
        <v>48</v>
      </c>
      <c r="C211">
        <v>649163</v>
      </c>
      <c r="D211">
        <v>2026610948</v>
      </c>
      <c r="E211" t="s">
        <v>512</v>
      </c>
      <c r="F211" t="s">
        <v>513</v>
      </c>
      <c r="G211" t="s">
        <v>51</v>
      </c>
      <c r="H211" t="s">
        <v>195</v>
      </c>
      <c r="I211" t="s">
        <v>395</v>
      </c>
      <c r="J211" t="s">
        <v>396</v>
      </c>
      <c r="K211">
        <v>751867</v>
      </c>
      <c r="L211" t="s">
        <v>349</v>
      </c>
      <c r="M211" t="s">
        <v>312</v>
      </c>
      <c r="N211" t="s">
        <v>57</v>
      </c>
      <c r="O211" s="1">
        <v>45689</v>
      </c>
      <c r="Q211" s="1">
        <v>45992</v>
      </c>
      <c r="R211" s="2">
        <v>46.45</v>
      </c>
      <c r="S211">
        <v>1</v>
      </c>
      <c r="T211" t="s">
        <v>58</v>
      </c>
      <c r="U211" t="s">
        <v>59</v>
      </c>
      <c r="V211" s="3">
        <v>0.6</v>
      </c>
      <c r="W211" s="2">
        <v>0</v>
      </c>
      <c r="X211">
        <v>0</v>
      </c>
      <c r="Y211" t="s">
        <v>60</v>
      </c>
      <c r="Z211" t="s">
        <v>61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27.87</v>
      </c>
      <c r="AN211" s="2">
        <v>27.87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45957</v>
      </c>
      <c r="B212" t="s">
        <v>48</v>
      </c>
      <c r="C212">
        <v>649163</v>
      </c>
      <c r="D212">
        <v>2026649887</v>
      </c>
      <c r="E212" t="s">
        <v>514</v>
      </c>
      <c r="F212" t="s">
        <v>515</v>
      </c>
      <c r="G212" t="s">
        <v>51</v>
      </c>
      <c r="H212" t="s">
        <v>78</v>
      </c>
      <c r="I212" t="s">
        <v>395</v>
      </c>
      <c r="J212" t="s">
        <v>396</v>
      </c>
      <c r="K212">
        <v>650218</v>
      </c>
      <c r="L212" t="s">
        <v>357</v>
      </c>
      <c r="M212" t="s">
        <v>358</v>
      </c>
      <c r="N212" t="s">
        <v>57</v>
      </c>
      <c r="O212" s="1">
        <v>45689</v>
      </c>
      <c r="Q212" s="1">
        <v>45992</v>
      </c>
      <c r="R212" s="2">
        <v>56.69</v>
      </c>
      <c r="S212">
        <v>1</v>
      </c>
      <c r="T212" t="s">
        <v>58</v>
      </c>
      <c r="U212" t="s">
        <v>59</v>
      </c>
      <c r="V212" s="3">
        <v>0.6</v>
      </c>
      <c r="W212" s="2">
        <v>0</v>
      </c>
      <c r="X212">
        <v>0</v>
      </c>
      <c r="Y212" t="s">
        <v>60</v>
      </c>
      <c r="Z212" t="s">
        <v>61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34.01</v>
      </c>
      <c r="AN212" s="2">
        <v>34.01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45957</v>
      </c>
      <c r="B213" t="s">
        <v>48</v>
      </c>
      <c r="C213">
        <v>649163</v>
      </c>
      <c r="D213">
        <v>2026740151</v>
      </c>
      <c r="E213" t="s">
        <v>516</v>
      </c>
      <c r="F213" t="s">
        <v>517</v>
      </c>
      <c r="G213" t="s">
        <v>51</v>
      </c>
      <c r="H213" t="s">
        <v>195</v>
      </c>
      <c r="I213" t="s">
        <v>395</v>
      </c>
      <c r="J213" t="s">
        <v>396</v>
      </c>
      <c r="K213">
        <v>650218</v>
      </c>
      <c r="L213" t="s">
        <v>357</v>
      </c>
      <c r="M213" t="s">
        <v>358</v>
      </c>
      <c r="N213" t="s">
        <v>57</v>
      </c>
      <c r="O213" s="1">
        <v>45681</v>
      </c>
      <c r="Q213" s="1">
        <v>45985</v>
      </c>
      <c r="R213" s="2">
        <v>40.159999999999997</v>
      </c>
      <c r="S213">
        <v>1</v>
      </c>
      <c r="T213" t="s">
        <v>58</v>
      </c>
      <c r="U213" t="s">
        <v>59</v>
      </c>
      <c r="V213" s="3">
        <v>0.6</v>
      </c>
      <c r="W213" s="2">
        <v>0</v>
      </c>
      <c r="X213">
        <v>0</v>
      </c>
      <c r="Y213" t="s">
        <v>60</v>
      </c>
      <c r="Z213" t="s">
        <v>61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24.1</v>
      </c>
      <c r="AN213" s="2">
        <v>24.1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45957</v>
      </c>
      <c r="B214" t="s">
        <v>48</v>
      </c>
      <c r="C214">
        <v>649163</v>
      </c>
      <c r="D214">
        <v>2026748270</v>
      </c>
      <c r="E214" t="s">
        <v>518</v>
      </c>
      <c r="F214" t="s">
        <v>519</v>
      </c>
      <c r="G214" t="s">
        <v>51</v>
      </c>
      <c r="H214" t="s">
        <v>195</v>
      </c>
      <c r="I214" t="s">
        <v>395</v>
      </c>
      <c r="J214" t="s">
        <v>396</v>
      </c>
      <c r="K214">
        <v>649247</v>
      </c>
      <c r="L214" t="s">
        <v>321</v>
      </c>
      <c r="M214" t="s">
        <v>322</v>
      </c>
      <c r="N214" t="s">
        <v>57</v>
      </c>
      <c r="O214" s="1">
        <v>45689</v>
      </c>
      <c r="Q214" s="1">
        <v>45992</v>
      </c>
      <c r="R214" s="2">
        <v>71.510000000000005</v>
      </c>
      <c r="S214">
        <v>1</v>
      </c>
      <c r="T214" t="s">
        <v>58</v>
      </c>
      <c r="U214" t="s">
        <v>59</v>
      </c>
      <c r="V214" s="3">
        <v>0.6</v>
      </c>
      <c r="W214" s="2">
        <v>0</v>
      </c>
      <c r="X214">
        <v>0</v>
      </c>
      <c r="Y214" t="s">
        <v>60</v>
      </c>
      <c r="Z214" t="s">
        <v>61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42.91</v>
      </c>
      <c r="AN214" s="2">
        <v>42.91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45957</v>
      </c>
      <c r="B215" t="s">
        <v>48</v>
      </c>
      <c r="C215">
        <v>649163</v>
      </c>
      <c r="D215">
        <v>2026848726</v>
      </c>
      <c r="E215" t="s">
        <v>520</v>
      </c>
      <c r="F215" t="s">
        <v>521</v>
      </c>
      <c r="G215" t="s">
        <v>51</v>
      </c>
      <c r="H215" t="s">
        <v>195</v>
      </c>
      <c r="I215" t="s">
        <v>395</v>
      </c>
      <c r="J215" t="s">
        <v>396</v>
      </c>
      <c r="K215">
        <v>751867</v>
      </c>
      <c r="L215" t="s">
        <v>349</v>
      </c>
      <c r="M215" t="s">
        <v>312</v>
      </c>
      <c r="N215" t="s">
        <v>57</v>
      </c>
      <c r="O215" s="1">
        <v>45689</v>
      </c>
      <c r="Q215" s="1">
        <v>45992</v>
      </c>
      <c r="R215" s="2">
        <v>52.69</v>
      </c>
      <c r="S215">
        <v>1</v>
      </c>
      <c r="T215" t="s">
        <v>58</v>
      </c>
      <c r="U215" t="s">
        <v>59</v>
      </c>
      <c r="V215" s="3">
        <v>0.6</v>
      </c>
      <c r="W215" s="2">
        <v>0</v>
      </c>
      <c r="X215">
        <v>0</v>
      </c>
      <c r="Y215" t="s">
        <v>60</v>
      </c>
      <c r="Z215" t="s">
        <v>61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31.61</v>
      </c>
      <c r="AN215" s="2">
        <v>31.61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45957</v>
      </c>
      <c r="B216" t="s">
        <v>48</v>
      </c>
      <c r="C216">
        <v>649163</v>
      </c>
      <c r="D216">
        <v>2026874970</v>
      </c>
      <c r="E216" t="s">
        <v>522</v>
      </c>
      <c r="F216" t="s">
        <v>66</v>
      </c>
      <c r="G216" t="s">
        <v>51</v>
      </c>
      <c r="H216" t="s">
        <v>64</v>
      </c>
      <c r="I216" t="s">
        <v>395</v>
      </c>
      <c r="J216" t="s">
        <v>396</v>
      </c>
      <c r="K216">
        <v>751867</v>
      </c>
      <c r="L216" t="s">
        <v>349</v>
      </c>
      <c r="M216" t="s">
        <v>312</v>
      </c>
      <c r="N216" t="s">
        <v>57</v>
      </c>
      <c r="O216" s="1">
        <v>45689</v>
      </c>
      <c r="Q216" s="1">
        <v>45992</v>
      </c>
      <c r="R216" s="2">
        <v>61.53</v>
      </c>
      <c r="S216">
        <v>1</v>
      </c>
      <c r="T216" t="s">
        <v>58</v>
      </c>
      <c r="U216" t="s">
        <v>59</v>
      </c>
      <c r="V216" s="3">
        <v>0.6</v>
      </c>
      <c r="W216" s="2">
        <v>0</v>
      </c>
      <c r="X216">
        <v>0</v>
      </c>
      <c r="Y216" t="s">
        <v>60</v>
      </c>
      <c r="Z216" t="s">
        <v>61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36.92</v>
      </c>
      <c r="AN216" s="2">
        <v>36.92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45957</v>
      </c>
      <c r="B217" t="s">
        <v>48</v>
      </c>
      <c r="C217">
        <v>649163</v>
      </c>
      <c r="D217">
        <v>2027665174</v>
      </c>
      <c r="E217" t="s">
        <v>523</v>
      </c>
      <c r="F217" t="s">
        <v>524</v>
      </c>
      <c r="G217" t="s">
        <v>51</v>
      </c>
      <c r="H217" t="s">
        <v>52</v>
      </c>
      <c r="I217" t="s">
        <v>395</v>
      </c>
      <c r="J217" t="s">
        <v>396</v>
      </c>
      <c r="K217">
        <v>751867</v>
      </c>
      <c r="L217" t="s">
        <v>349</v>
      </c>
      <c r="M217" t="s">
        <v>312</v>
      </c>
      <c r="N217" t="s">
        <v>57</v>
      </c>
      <c r="O217" s="1">
        <v>45748</v>
      </c>
      <c r="Q217" s="1">
        <v>45992</v>
      </c>
      <c r="R217" s="2">
        <v>46.45</v>
      </c>
      <c r="S217">
        <v>1</v>
      </c>
      <c r="T217" t="s">
        <v>58</v>
      </c>
      <c r="U217" t="s">
        <v>59</v>
      </c>
      <c r="V217" s="3">
        <v>0.6</v>
      </c>
      <c r="W217" s="2">
        <v>0</v>
      </c>
      <c r="X217">
        <v>0</v>
      </c>
      <c r="Y217" t="s">
        <v>60</v>
      </c>
      <c r="Z217" t="s">
        <v>61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27.87</v>
      </c>
      <c r="AN217" s="2">
        <v>27.87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45957</v>
      </c>
      <c r="B218" t="s">
        <v>48</v>
      </c>
      <c r="C218">
        <v>649163</v>
      </c>
      <c r="D218">
        <v>2027740289</v>
      </c>
      <c r="E218" t="s">
        <v>525</v>
      </c>
      <c r="F218" t="s">
        <v>62</v>
      </c>
      <c r="G218" t="s">
        <v>51</v>
      </c>
      <c r="H218" t="s">
        <v>195</v>
      </c>
      <c r="I218" t="s">
        <v>395</v>
      </c>
      <c r="J218" t="s">
        <v>405</v>
      </c>
      <c r="K218">
        <v>649247</v>
      </c>
      <c r="L218" t="s">
        <v>321</v>
      </c>
      <c r="M218" t="s">
        <v>322</v>
      </c>
      <c r="N218" t="s">
        <v>57</v>
      </c>
      <c r="O218" s="1">
        <v>45748</v>
      </c>
      <c r="Q218" s="1">
        <v>45992</v>
      </c>
      <c r="R218" s="2">
        <v>69.260000000000005</v>
      </c>
      <c r="S218">
        <v>1</v>
      </c>
      <c r="T218" t="s">
        <v>58</v>
      </c>
      <c r="U218" t="s">
        <v>59</v>
      </c>
      <c r="V218" s="3">
        <v>0.6</v>
      </c>
      <c r="W218" s="2">
        <v>0</v>
      </c>
      <c r="X218">
        <v>0</v>
      </c>
      <c r="Y218" t="s">
        <v>60</v>
      </c>
      <c r="Z218" t="s">
        <v>61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41.56</v>
      </c>
      <c r="AN218" s="2">
        <v>41.56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45957</v>
      </c>
      <c r="B219" t="s">
        <v>48</v>
      </c>
      <c r="C219">
        <v>649163</v>
      </c>
      <c r="D219">
        <v>2027745346</v>
      </c>
      <c r="E219" t="s">
        <v>526</v>
      </c>
      <c r="F219" t="s">
        <v>527</v>
      </c>
      <c r="G219" t="s">
        <v>51</v>
      </c>
      <c r="H219" t="s">
        <v>276</v>
      </c>
      <c r="I219" t="s">
        <v>395</v>
      </c>
      <c r="J219" t="s">
        <v>411</v>
      </c>
      <c r="K219">
        <v>673059</v>
      </c>
      <c r="L219" t="s">
        <v>55</v>
      </c>
      <c r="M219" t="s">
        <v>56</v>
      </c>
      <c r="N219" t="s">
        <v>57</v>
      </c>
      <c r="O219" s="1">
        <v>45748</v>
      </c>
      <c r="Q219" s="1">
        <v>45992</v>
      </c>
      <c r="R219" s="2">
        <v>90.95</v>
      </c>
      <c r="S219">
        <v>1</v>
      </c>
      <c r="T219" t="s">
        <v>58</v>
      </c>
      <c r="U219" t="s">
        <v>59</v>
      </c>
      <c r="V219" s="3">
        <v>0.6</v>
      </c>
      <c r="W219" s="2">
        <v>0</v>
      </c>
      <c r="X219">
        <v>0</v>
      </c>
      <c r="Y219" t="s">
        <v>60</v>
      </c>
      <c r="Z219" t="s">
        <v>61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54.57</v>
      </c>
      <c r="AN219" s="2">
        <v>54.57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45957</v>
      </c>
      <c r="B220" t="s">
        <v>48</v>
      </c>
      <c r="C220">
        <v>649163</v>
      </c>
      <c r="D220">
        <v>2027762075</v>
      </c>
      <c r="E220" t="s">
        <v>528</v>
      </c>
      <c r="F220" t="s">
        <v>529</v>
      </c>
      <c r="G220" t="s">
        <v>51</v>
      </c>
      <c r="H220" t="s">
        <v>195</v>
      </c>
      <c r="I220" t="s">
        <v>395</v>
      </c>
      <c r="J220" t="s">
        <v>396</v>
      </c>
      <c r="K220">
        <v>751867</v>
      </c>
      <c r="L220" t="s">
        <v>349</v>
      </c>
      <c r="M220" t="s">
        <v>312</v>
      </c>
      <c r="N220" t="s">
        <v>57</v>
      </c>
      <c r="O220" s="1">
        <v>45748</v>
      </c>
      <c r="Q220" s="1">
        <v>45992</v>
      </c>
      <c r="R220" s="2">
        <v>62.54</v>
      </c>
      <c r="S220">
        <v>1</v>
      </c>
      <c r="T220" t="s">
        <v>58</v>
      </c>
      <c r="U220" t="s">
        <v>59</v>
      </c>
      <c r="V220" s="3">
        <v>0.6</v>
      </c>
      <c r="W220" s="2">
        <v>0</v>
      </c>
      <c r="X220">
        <v>0</v>
      </c>
      <c r="Y220" t="s">
        <v>60</v>
      </c>
      <c r="Z220" t="s">
        <v>61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37.520000000000003</v>
      </c>
      <c r="AN220" s="2">
        <v>37.520000000000003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45957</v>
      </c>
      <c r="B221" t="s">
        <v>48</v>
      </c>
      <c r="C221">
        <v>649163</v>
      </c>
      <c r="D221">
        <v>2028015540</v>
      </c>
      <c r="E221" t="s">
        <v>530</v>
      </c>
      <c r="F221" t="s">
        <v>156</v>
      </c>
      <c r="G221" t="s">
        <v>51</v>
      </c>
      <c r="H221" t="s">
        <v>195</v>
      </c>
      <c r="I221" t="s">
        <v>395</v>
      </c>
      <c r="J221" t="s">
        <v>396</v>
      </c>
      <c r="K221">
        <v>649164</v>
      </c>
      <c r="L221" t="s">
        <v>313</v>
      </c>
      <c r="M221" t="s">
        <v>314</v>
      </c>
      <c r="N221" t="s">
        <v>57</v>
      </c>
      <c r="O221" s="1">
        <v>45748</v>
      </c>
      <c r="Q221" s="1">
        <v>45992</v>
      </c>
      <c r="R221" s="2">
        <v>92.55</v>
      </c>
      <c r="S221">
        <v>1</v>
      </c>
      <c r="T221" t="s">
        <v>58</v>
      </c>
      <c r="U221" t="s">
        <v>59</v>
      </c>
      <c r="V221" s="3">
        <v>0.6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55.53</v>
      </c>
      <c r="AN221" s="2">
        <v>55.53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45957</v>
      </c>
      <c r="B222" t="s">
        <v>48</v>
      </c>
      <c r="C222">
        <v>649163</v>
      </c>
      <c r="D222">
        <v>2028028178</v>
      </c>
      <c r="E222" t="s">
        <v>531</v>
      </c>
      <c r="F222" t="s">
        <v>532</v>
      </c>
      <c r="G222" t="s">
        <v>51</v>
      </c>
      <c r="H222" t="s">
        <v>195</v>
      </c>
      <c r="I222" t="s">
        <v>395</v>
      </c>
      <c r="J222" t="s">
        <v>396</v>
      </c>
      <c r="K222">
        <v>823068</v>
      </c>
      <c r="L222" t="s">
        <v>120</v>
      </c>
      <c r="M222" t="s">
        <v>121</v>
      </c>
      <c r="N222" t="s">
        <v>57</v>
      </c>
      <c r="O222" s="1">
        <v>45748</v>
      </c>
      <c r="Q222" s="1">
        <v>45992</v>
      </c>
      <c r="R222" s="2">
        <v>36.159999999999997</v>
      </c>
      <c r="S222">
        <v>1</v>
      </c>
      <c r="T222" t="s">
        <v>58</v>
      </c>
      <c r="U222" t="s">
        <v>59</v>
      </c>
      <c r="V222" s="3">
        <v>0.6</v>
      </c>
      <c r="W222" s="2">
        <v>0</v>
      </c>
      <c r="X222">
        <v>0</v>
      </c>
      <c r="Y222" t="s">
        <v>60</v>
      </c>
      <c r="Z222" t="s">
        <v>61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21.7</v>
      </c>
      <c r="AN222" s="2">
        <v>21.7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45957</v>
      </c>
      <c r="B223" t="s">
        <v>48</v>
      </c>
      <c r="C223">
        <v>649163</v>
      </c>
      <c r="D223">
        <v>2028048849</v>
      </c>
      <c r="E223" t="s">
        <v>533</v>
      </c>
      <c r="F223" t="s">
        <v>110</v>
      </c>
      <c r="G223" t="s">
        <v>51</v>
      </c>
      <c r="H223" t="s">
        <v>247</v>
      </c>
      <c r="I223" t="s">
        <v>395</v>
      </c>
      <c r="J223" t="s">
        <v>396</v>
      </c>
      <c r="K223">
        <v>751867</v>
      </c>
      <c r="L223" t="s">
        <v>349</v>
      </c>
      <c r="M223" t="s">
        <v>312</v>
      </c>
      <c r="N223" t="s">
        <v>57</v>
      </c>
      <c r="O223" s="1">
        <v>45748</v>
      </c>
      <c r="Q223" s="1">
        <v>45992</v>
      </c>
      <c r="R223" s="2">
        <v>46.45</v>
      </c>
      <c r="S223">
        <v>1</v>
      </c>
      <c r="T223" t="s">
        <v>58</v>
      </c>
      <c r="U223" t="s">
        <v>59</v>
      </c>
      <c r="V223" s="3">
        <v>0.6</v>
      </c>
      <c r="W223" s="2">
        <v>0</v>
      </c>
      <c r="X223">
        <v>0</v>
      </c>
      <c r="Y223" t="s">
        <v>60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27.87</v>
      </c>
      <c r="AN223" s="2">
        <v>27.87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45957</v>
      </c>
      <c r="B224" t="s">
        <v>48</v>
      </c>
      <c r="C224">
        <v>649163</v>
      </c>
      <c r="D224">
        <v>2028215887</v>
      </c>
      <c r="E224" t="s">
        <v>391</v>
      </c>
      <c r="F224" t="s">
        <v>336</v>
      </c>
      <c r="G224" t="s">
        <v>51</v>
      </c>
      <c r="H224" t="s">
        <v>195</v>
      </c>
      <c r="I224" t="s">
        <v>395</v>
      </c>
      <c r="J224" t="s">
        <v>396</v>
      </c>
      <c r="K224">
        <v>751867</v>
      </c>
      <c r="L224" t="s">
        <v>349</v>
      </c>
      <c r="M224" t="s">
        <v>312</v>
      </c>
      <c r="N224" t="s">
        <v>359</v>
      </c>
      <c r="O224" s="1">
        <v>45751</v>
      </c>
      <c r="P224" s="1">
        <v>45957</v>
      </c>
      <c r="Q224" s="1">
        <v>45965</v>
      </c>
      <c r="R224" s="2">
        <v>-40.159999999999997</v>
      </c>
      <c r="S224">
        <v>1</v>
      </c>
      <c r="T224" t="s">
        <v>58</v>
      </c>
      <c r="U224" t="s">
        <v>59</v>
      </c>
      <c r="V224" s="3">
        <v>0.6</v>
      </c>
      <c r="W224" s="2">
        <v>0</v>
      </c>
      <c r="X224">
        <v>-1</v>
      </c>
      <c r="Y224" t="s">
        <v>60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-24.1</v>
      </c>
      <c r="AN224" s="2">
        <v>-24.1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45957</v>
      </c>
      <c r="B225" t="s">
        <v>48</v>
      </c>
      <c r="C225">
        <v>649163</v>
      </c>
      <c r="D225">
        <v>2028320246</v>
      </c>
      <c r="E225" t="s">
        <v>534</v>
      </c>
      <c r="F225" t="s">
        <v>535</v>
      </c>
      <c r="G225" t="s">
        <v>51</v>
      </c>
      <c r="H225" t="s">
        <v>190</v>
      </c>
      <c r="I225" t="s">
        <v>395</v>
      </c>
      <c r="J225" t="s">
        <v>411</v>
      </c>
      <c r="K225">
        <v>823350</v>
      </c>
      <c r="L225" t="s">
        <v>70</v>
      </c>
      <c r="M225" t="s">
        <v>183</v>
      </c>
      <c r="N225" t="s">
        <v>57</v>
      </c>
      <c r="O225" s="1">
        <v>45772</v>
      </c>
      <c r="Q225" s="1">
        <v>45986</v>
      </c>
      <c r="R225" s="2">
        <v>68.52</v>
      </c>
      <c r="S225">
        <v>1</v>
      </c>
      <c r="T225" t="s">
        <v>58</v>
      </c>
      <c r="U225" t="s">
        <v>59</v>
      </c>
      <c r="V225" s="3">
        <v>0.6</v>
      </c>
      <c r="W225" s="2">
        <v>0</v>
      </c>
      <c r="X225">
        <v>0</v>
      </c>
      <c r="Y225" t="s">
        <v>60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41.11</v>
      </c>
      <c r="AN225" s="2">
        <v>41.11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45957</v>
      </c>
      <c r="B226" t="s">
        <v>48</v>
      </c>
      <c r="C226">
        <v>649163</v>
      </c>
      <c r="D226">
        <v>2028448244</v>
      </c>
      <c r="E226" t="s">
        <v>536</v>
      </c>
      <c r="F226" t="s">
        <v>537</v>
      </c>
      <c r="G226" t="s">
        <v>51</v>
      </c>
      <c r="H226" t="s">
        <v>179</v>
      </c>
      <c r="I226" t="s">
        <v>395</v>
      </c>
      <c r="J226" t="s">
        <v>405</v>
      </c>
      <c r="K226">
        <v>673059</v>
      </c>
      <c r="L226" t="s">
        <v>55</v>
      </c>
      <c r="M226" t="s">
        <v>56</v>
      </c>
      <c r="N226" t="s">
        <v>57</v>
      </c>
      <c r="O226" s="1">
        <v>45809</v>
      </c>
      <c r="Q226" s="1">
        <v>45992</v>
      </c>
      <c r="R226" s="2">
        <v>41.73</v>
      </c>
      <c r="S226">
        <v>1</v>
      </c>
      <c r="T226" t="s">
        <v>58</v>
      </c>
      <c r="U226" t="s">
        <v>59</v>
      </c>
      <c r="V226" s="3">
        <v>0.6</v>
      </c>
      <c r="W226" s="2">
        <v>0</v>
      </c>
      <c r="X226">
        <v>0</v>
      </c>
      <c r="Y226" t="s">
        <v>60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25.04</v>
      </c>
      <c r="AN226" s="2">
        <v>25.04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45957</v>
      </c>
      <c r="B227" t="s">
        <v>48</v>
      </c>
      <c r="C227">
        <v>649163</v>
      </c>
      <c r="D227">
        <v>2028565272</v>
      </c>
      <c r="E227" t="s">
        <v>538</v>
      </c>
      <c r="F227" t="s">
        <v>539</v>
      </c>
      <c r="G227" t="s">
        <v>51</v>
      </c>
      <c r="H227" t="s">
        <v>190</v>
      </c>
      <c r="I227" t="s">
        <v>395</v>
      </c>
      <c r="J227" t="s">
        <v>396</v>
      </c>
      <c r="K227">
        <v>673059</v>
      </c>
      <c r="L227" t="s">
        <v>55</v>
      </c>
      <c r="M227" t="s">
        <v>56</v>
      </c>
      <c r="N227" t="s">
        <v>57</v>
      </c>
      <c r="O227" s="1">
        <v>45809</v>
      </c>
      <c r="Q227" s="1">
        <v>45992</v>
      </c>
      <c r="R227" s="2">
        <v>52.69</v>
      </c>
      <c r="S227">
        <v>1</v>
      </c>
      <c r="T227" t="s">
        <v>58</v>
      </c>
      <c r="U227" t="s">
        <v>59</v>
      </c>
      <c r="V227" s="3">
        <v>0.6</v>
      </c>
      <c r="W227" s="2">
        <v>0</v>
      </c>
      <c r="X227">
        <v>0</v>
      </c>
      <c r="Y227" t="s">
        <v>60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31.61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45957</v>
      </c>
      <c r="B228" t="s">
        <v>48</v>
      </c>
      <c r="C228">
        <v>649163</v>
      </c>
      <c r="D228">
        <v>2028584436</v>
      </c>
      <c r="E228" t="s">
        <v>540</v>
      </c>
      <c r="F228" t="s">
        <v>541</v>
      </c>
      <c r="G228" t="s">
        <v>51</v>
      </c>
      <c r="H228" t="s">
        <v>195</v>
      </c>
      <c r="I228" t="s">
        <v>395</v>
      </c>
      <c r="J228" t="s">
        <v>396</v>
      </c>
      <c r="K228">
        <v>649247</v>
      </c>
      <c r="L228" t="s">
        <v>321</v>
      </c>
      <c r="M228" t="s">
        <v>322</v>
      </c>
      <c r="N228" t="s">
        <v>57</v>
      </c>
      <c r="O228" s="1">
        <v>45778</v>
      </c>
      <c r="Q228" s="1">
        <v>45962</v>
      </c>
      <c r="R228" s="2">
        <v>52.69</v>
      </c>
      <c r="S228">
        <v>1</v>
      </c>
      <c r="T228" t="s">
        <v>58</v>
      </c>
      <c r="U228" t="s">
        <v>59</v>
      </c>
      <c r="V228" s="3">
        <v>0.6</v>
      </c>
      <c r="W228" s="2">
        <v>0</v>
      </c>
      <c r="X228">
        <v>0</v>
      </c>
      <c r="Y228" t="s">
        <v>60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31.61</v>
      </c>
      <c r="AN228" s="2">
        <v>31.61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45957</v>
      </c>
      <c r="B229" t="s">
        <v>48</v>
      </c>
      <c r="C229">
        <v>649163</v>
      </c>
      <c r="D229">
        <v>2028774422</v>
      </c>
      <c r="E229" t="s">
        <v>542</v>
      </c>
      <c r="F229" t="s">
        <v>543</v>
      </c>
      <c r="G229" t="s">
        <v>51</v>
      </c>
      <c r="H229" t="s">
        <v>179</v>
      </c>
      <c r="I229" t="s">
        <v>395</v>
      </c>
      <c r="J229" t="s">
        <v>396</v>
      </c>
      <c r="K229">
        <v>673059</v>
      </c>
      <c r="L229" t="s">
        <v>55</v>
      </c>
      <c r="M229" t="s">
        <v>56</v>
      </c>
      <c r="N229" t="s">
        <v>57</v>
      </c>
      <c r="O229" s="1">
        <v>45809</v>
      </c>
      <c r="Q229" s="1">
        <v>45992</v>
      </c>
      <c r="R229" s="2">
        <v>42.18</v>
      </c>
      <c r="S229">
        <v>1</v>
      </c>
      <c r="T229" t="s">
        <v>58</v>
      </c>
      <c r="U229" t="s">
        <v>59</v>
      </c>
      <c r="V229" s="3">
        <v>0.6</v>
      </c>
      <c r="W229" s="2">
        <v>0</v>
      </c>
      <c r="X229">
        <v>0</v>
      </c>
      <c r="Y229" t="s">
        <v>60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25.31</v>
      </c>
      <c r="AN229" s="2">
        <v>25.31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45957</v>
      </c>
      <c r="B230" t="s">
        <v>48</v>
      </c>
      <c r="C230">
        <v>649163</v>
      </c>
      <c r="D230">
        <v>2028837568</v>
      </c>
      <c r="E230" t="s">
        <v>485</v>
      </c>
      <c r="F230" t="s">
        <v>544</v>
      </c>
      <c r="G230" t="s">
        <v>51</v>
      </c>
      <c r="H230" t="s">
        <v>78</v>
      </c>
      <c r="I230" t="s">
        <v>395</v>
      </c>
      <c r="J230" t="s">
        <v>396</v>
      </c>
      <c r="K230">
        <v>751867</v>
      </c>
      <c r="L230" t="s">
        <v>349</v>
      </c>
      <c r="M230" t="s">
        <v>312</v>
      </c>
      <c r="N230" t="s">
        <v>57</v>
      </c>
      <c r="O230" s="1">
        <v>45809</v>
      </c>
      <c r="Q230" s="1">
        <v>45992</v>
      </c>
      <c r="R230" s="2">
        <v>40.159999999999997</v>
      </c>
      <c r="S230">
        <v>1</v>
      </c>
      <c r="T230" t="s">
        <v>58</v>
      </c>
      <c r="U230" t="s">
        <v>59</v>
      </c>
      <c r="V230" s="3">
        <v>0.6</v>
      </c>
      <c r="W230" s="2">
        <v>0</v>
      </c>
      <c r="X230">
        <v>0</v>
      </c>
      <c r="Y230" t="s">
        <v>60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24.1</v>
      </c>
      <c r="AN230" s="2">
        <v>24.1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45957</v>
      </c>
      <c r="B231" t="s">
        <v>48</v>
      </c>
      <c r="C231">
        <v>649163</v>
      </c>
      <c r="D231">
        <v>2028934222</v>
      </c>
      <c r="E231" t="s">
        <v>545</v>
      </c>
      <c r="F231" t="s">
        <v>546</v>
      </c>
      <c r="G231" t="s">
        <v>51</v>
      </c>
      <c r="H231" t="s">
        <v>190</v>
      </c>
      <c r="I231" t="s">
        <v>395</v>
      </c>
      <c r="J231" t="s">
        <v>411</v>
      </c>
      <c r="K231">
        <v>673059</v>
      </c>
      <c r="L231" t="s">
        <v>55</v>
      </c>
      <c r="M231" t="s">
        <v>56</v>
      </c>
      <c r="N231" t="s">
        <v>57</v>
      </c>
      <c r="O231" s="1">
        <v>45809</v>
      </c>
      <c r="Q231" s="1">
        <v>45992</v>
      </c>
      <c r="R231" s="2">
        <v>152.6</v>
      </c>
      <c r="S231">
        <v>1</v>
      </c>
      <c r="T231" t="s">
        <v>58</v>
      </c>
      <c r="U231" t="s">
        <v>59</v>
      </c>
      <c r="V231" s="3">
        <v>0.6</v>
      </c>
      <c r="W231" s="2">
        <v>0</v>
      </c>
      <c r="X231">
        <v>0</v>
      </c>
      <c r="Y231" t="s">
        <v>60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91.56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45957</v>
      </c>
      <c r="B232" t="s">
        <v>48</v>
      </c>
      <c r="C232">
        <v>649163</v>
      </c>
      <c r="D232">
        <v>2029202228</v>
      </c>
      <c r="E232" t="s">
        <v>547</v>
      </c>
      <c r="F232" t="s">
        <v>548</v>
      </c>
      <c r="G232" t="s">
        <v>51</v>
      </c>
      <c r="H232" t="s">
        <v>195</v>
      </c>
      <c r="I232" t="s">
        <v>395</v>
      </c>
      <c r="J232" t="s">
        <v>396</v>
      </c>
      <c r="K232">
        <v>649247</v>
      </c>
      <c r="L232" t="s">
        <v>321</v>
      </c>
      <c r="M232" t="s">
        <v>322</v>
      </c>
      <c r="N232" t="s">
        <v>57</v>
      </c>
      <c r="O232" s="1">
        <v>45809</v>
      </c>
      <c r="Q232" s="1">
        <v>45992</v>
      </c>
      <c r="R232" s="2">
        <v>52.69</v>
      </c>
      <c r="S232">
        <v>1</v>
      </c>
      <c r="T232" t="s">
        <v>58</v>
      </c>
      <c r="U232" t="s">
        <v>59</v>
      </c>
      <c r="V232" s="3">
        <v>0.6</v>
      </c>
      <c r="W232" s="2">
        <v>0</v>
      </c>
      <c r="X232">
        <v>0</v>
      </c>
      <c r="Y232" t="s">
        <v>60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31.61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45957</v>
      </c>
      <c r="B233" t="s">
        <v>48</v>
      </c>
      <c r="C233">
        <v>649163</v>
      </c>
      <c r="D233">
        <v>2029207836</v>
      </c>
      <c r="E233" t="s">
        <v>549</v>
      </c>
      <c r="F233" t="s">
        <v>550</v>
      </c>
      <c r="G233" t="s">
        <v>51</v>
      </c>
      <c r="H233" t="s">
        <v>195</v>
      </c>
      <c r="I233" t="s">
        <v>395</v>
      </c>
      <c r="J233" t="s">
        <v>396</v>
      </c>
      <c r="K233">
        <v>649247</v>
      </c>
      <c r="L233" t="s">
        <v>321</v>
      </c>
      <c r="M233" t="s">
        <v>322</v>
      </c>
      <c r="N233" t="s">
        <v>57</v>
      </c>
      <c r="O233" s="1">
        <v>45809</v>
      </c>
      <c r="Q233" s="1">
        <v>45992</v>
      </c>
      <c r="R233" s="2">
        <v>71.510000000000005</v>
      </c>
      <c r="S233">
        <v>1</v>
      </c>
      <c r="T233" t="s">
        <v>58</v>
      </c>
      <c r="U233" t="s">
        <v>59</v>
      </c>
      <c r="V233" s="3">
        <v>0.6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42.91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45957</v>
      </c>
      <c r="B234" t="s">
        <v>48</v>
      </c>
      <c r="C234">
        <v>649163</v>
      </c>
      <c r="D234">
        <v>2029877051</v>
      </c>
      <c r="E234" t="s">
        <v>551</v>
      </c>
      <c r="F234" t="s">
        <v>552</v>
      </c>
      <c r="G234" t="s">
        <v>51</v>
      </c>
      <c r="H234" t="s">
        <v>129</v>
      </c>
      <c r="I234" t="s">
        <v>395</v>
      </c>
      <c r="J234" t="s">
        <v>396</v>
      </c>
      <c r="K234">
        <v>673059</v>
      </c>
      <c r="L234" t="s">
        <v>55</v>
      </c>
      <c r="M234" t="s">
        <v>56</v>
      </c>
      <c r="N234" t="s">
        <v>57</v>
      </c>
      <c r="O234" s="1">
        <v>45901</v>
      </c>
      <c r="Q234" s="1">
        <v>45992</v>
      </c>
      <c r="R234" s="2">
        <v>54.66</v>
      </c>
      <c r="S234">
        <v>1</v>
      </c>
      <c r="T234" t="s">
        <v>58</v>
      </c>
      <c r="U234" t="s">
        <v>59</v>
      </c>
      <c r="V234" s="3">
        <v>0.6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32.799999999999997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45957</v>
      </c>
      <c r="B235" t="s">
        <v>48</v>
      </c>
      <c r="C235">
        <v>649163</v>
      </c>
      <c r="D235">
        <v>2030400631</v>
      </c>
      <c r="E235" t="s">
        <v>553</v>
      </c>
      <c r="F235" t="s">
        <v>554</v>
      </c>
      <c r="G235" t="s">
        <v>51</v>
      </c>
      <c r="H235" t="s">
        <v>555</v>
      </c>
      <c r="I235" t="s">
        <v>395</v>
      </c>
      <c r="J235" t="s">
        <v>396</v>
      </c>
      <c r="K235">
        <v>650218</v>
      </c>
      <c r="L235" t="s">
        <v>357</v>
      </c>
      <c r="M235" t="s">
        <v>358</v>
      </c>
      <c r="N235" t="s">
        <v>57</v>
      </c>
      <c r="O235" s="1">
        <v>45901</v>
      </c>
      <c r="Q235" s="1">
        <v>45992</v>
      </c>
      <c r="R235" s="2">
        <v>71.510000000000005</v>
      </c>
      <c r="S235">
        <v>1</v>
      </c>
      <c r="T235" t="s">
        <v>58</v>
      </c>
      <c r="U235" t="s">
        <v>59</v>
      </c>
      <c r="V235" s="3">
        <v>0.6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42.91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45957</v>
      </c>
      <c r="B236" t="s">
        <v>48</v>
      </c>
      <c r="C236">
        <v>649163</v>
      </c>
      <c r="D236">
        <v>2030693610</v>
      </c>
      <c r="E236" t="s">
        <v>314</v>
      </c>
      <c r="F236" t="s">
        <v>556</v>
      </c>
      <c r="G236" t="s">
        <v>51</v>
      </c>
      <c r="H236" t="s">
        <v>195</v>
      </c>
      <c r="I236" t="s">
        <v>395</v>
      </c>
      <c r="J236" t="s">
        <v>405</v>
      </c>
      <c r="K236">
        <v>885445</v>
      </c>
      <c r="L236" t="s">
        <v>196</v>
      </c>
      <c r="M236" t="s">
        <v>197</v>
      </c>
      <c r="N236" t="s">
        <v>57</v>
      </c>
      <c r="O236" s="1">
        <v>45901</v>
      </c>
      <c r="Q236" s="1">
        <v>45992</v>
      </c>
      <c r="R236" s="2">
        <v>41.81</v>
      </c>
      <c r="S236">
        <v>1</v>
      </c>
      <c r="T236" t="s">
        <v>58</v>
      </c>
      <c r="U236" t="s">
        <v>59</v>
      </c>
      <c r="V236" s="3">
        <v>0.6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25.09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45957</v>
      </c>
      <c r="B237" t="s">
        <v>48</v>
      </c>
      <c r="C237">
        <v>649163</v>
      </c>
      <c r="D237">
        <v>2030697181</v>
      </c>
      <c r="E237" t="s">
        <v>193</v>
      </c>
      <c r="F237" t="s">
        <v>194</v>
      </c>
      <c r="G237" t="s">
        <v>51</v>
      </c>
      <c r="H237" t="s">
        <v>195</v>
      </c>
      <c r="I237" t="s">
        <v>395</v>
      </c>
      <c r="J237" t="s">
        <v>411</v>
      </c>
      <c r="K237">
        <v>885445</v>
      </c>
      <c r="L237" t="s">
        <v>196</v>
      </c>
      <c r="M237" t="s">
        <v>197</v>
      </c>
      <c r="N237" t="s">
        <v>57</v>
      </c>
      <c r="O237" s="1">
        <v>45901</v>
      </c>
      <c r="Q237" s="1">
        <v>45992</v>
      </c>
      <c r="R237" s="2">
        <v>75.69</v>
      </c>
      <c r="S237">
        <v>1</v>
      </c>
      <c r="T237" t="s">
        <v>58</v>
      </c>
      <c r="U237" t="s">
        <v>59</v>
      </c>
      <c r="V237" s="3">
        <v>0.6</v>
      </c>
      <c r="W237" s="2">
        <v>0</v>
      </c>
      <c r="X237">
        <v>0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45.41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45957</v>
      </c>
      <c r="B238" t="s">
        <v>48</v>
      </c>
      <c r="C238">
        <v>649163</v>
      </c>
      <c r="D238">
        <v>2030791105</v>
      </c>
      <c r="E238" t="s">
        <v>192</v>
      </c>
      <c r="F238" t="s">
        <v>557</v>
      </c>
      <c r="G238" t="s">
        <v>51</v>
      </c>
      <c r="H238" t="s">
        <v>195</v>
      </c>
      <c r="I238" t="s">
        <v>395</v>
      </c>
      <c r="J238" t="s">
        <v>405</v>
      </c>
      <c r="K238">
        <v>885445</v>
      </c>
      <c r="L238" t="s">
        <v>196</v>
      </c>
      <c r="M238" t="s">
        <v>197</v>
      </c>
      <c r="N238" t="s">
        <v>57</v>
      </c>
      <c r="O238" s="1">
        <v>45901</v>
      </c>
      <c r="Q238" s="1">
        <v>45992</v>
      </c>
      <c r="R238" s="2">
        <v>41.81</v>
      </c>
      <c r="S238">
        <v>1</v>
      </c>
      <c r="T238" t="s">
        <v>58</v>
      </c>
      <c r="U238" t="s">
        <v>59</v>
      </c>
      <c r="V238" s="3">
        <v>0.6</v>
      </c>
      <c r="W238" s="2">
        <v>0</v>
      </c>
      <c r="X238">
        <v>0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25.09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45957</v>
      </c>
      <c r="B239" t="s">
        <v>48</v>
      </c>
      <c r="C239">
        <v>649163</v>
      </c>
      <c r="D239">
        <v>2030801809</v>
      </c>
      <c r="E239" t="s">
        <v>232</v>
      </c>
      <c r="F239" t="s">
        <v>233</v>
      </c>
      <c r="G239" t="s">
        <v>51</v>
      </c>
      <c r="H239" t="s">
        <v>234</v>
      </c>
      <c r="I239" t="s">
        <v>395</v>
      </c>
      <c r="J239" t="s">
        <v>411</v>
      </c>
      <c r="K239">
        <v>652037</v>
      </c>
      <c r="L239" t="s">
        <v>155</v>
      </c>
      <c r="M239" t="s">
        <v>156</v>
      </c>
      <c r="N239" t="s">
        <v>57</v>
      </c>
      <c r="O239" s="1">
        <v>45901</v>
      </c>
      <c r="Q239" s="1">
        <v>45992</v>
      </c>
      <c r="R239" s="2">
        <v>19.91</v>
      </c>
      <c r="S239">
        <v>1</v>
      </c>
      <c r="T239" t="s">
        <v>58</v>
      </c>
      <c r="U239" t="s">
        <v>59</v>
      </c>
      <c r="V239" s="3">
        <v>0.6</v>
      </c>
      <c r="W239" s="2">
        <v>0</v>
      </c>
      <c r="X239">
        <v>0</v>
      </c>
      <c r="Y239" t="s">
        <v>60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11.95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45957</v>
      </c>
      <c r="B240" t="s">
        <v>48</v>
      </c>
      <c r="C240">
        <v>649163</v>
      </c>
      <c r="D240">
        <v>2016328594</v>
      </c>
      <c r="E240" t="s">
        <v>558</v>
      </c>
      <c r="F240" t="s">
        <v>342</v>
      </c>
      <c r="G240" t="s">
        <v>51</v>
      </c>
      <c r="H240" t="s">
        <v>559</v>
      </c>
      <c r="I240" t="s">
        <v>369</v>
      </c>
      <c r="J240" t="s">
        <v>375</v>
      </c>
      <c r="K240">
        <v>651818</v>
      </c>
      <c r="L240" t="s">
        <v>560</v>
      </c>
      <c r="M240" t="s">
        <v>336</v>
      </c>
      <c r="N240" t="s">
        <v>57</v>
      </c>
      <c r="O240" s="1">
        <v>44829</v>
      </c>
      <c r="Q240" s="1">
        <v>45986</v>
      </c>
      <c r="R240" s="2">
        <v>85.84</v>
      </c>
      <c r="S240">
        <v>1</v>
      </c>
      <c r="T240" t="s">
        <v>58</v>
      </c>
      <c r="U240" t="s">
        <v>59</v>
      </c>
      <c r="V240" s="3">
        <v>0.1</v>
      </c>
      <c r="W240" s="2">
        <v>0</v>
      </c>
      <c r="X240">
        <v>0</v>
      </c>
      <c r="Y240" t="s">
        <v>264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8.58</v>
      </c>
      <c r="AN240" s="2">
        <v>8.58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45957</v>
      </c>
      <c r="B241" t="s">
        <v>48</v>
      </c>
      <c r="C241">
        <v>649163</v>
      </c>
      <c r="D241">
        <v>2016589853</v>
      </c>
      <c r="E241" t="s">
        <v>561</v>
      </c>
      <c r="F241" t="s">
        <v>562</v>
      </c>
      <c r="G241" t="s">
        <v>51</v>
      </c>
      <c r="H241" t="s">
        <v>563</v>
      </c>
      <c r="I241" t="s">
        <v>369</v>
      </c>
      <c r="J241" t="s">
        <v>375</v>
      </c>
      <c r="K241">
        <v>651818</v>
      </c>
      <c r="L241" t="s">
        <v>560</v>
      </c>
      <c r="M241" t="s">
        <v>336</v>
      </c>
      <c r="N241" t="s">
        <v>57</v>
      </c>
      <c r="O241" s="1">
        <v>44866</v>
      </c>
      <c r="Q241" s="1">
        <v>45992</v>
      </c>
      <c r="R241" s="2">
        <v>54.67</v>
      </c>
      <c r="S241">
        <v>1</v>
      </c>
      <c r="T241" t="s">
        <v>58</v>
      </c>
      <c r="U241" t="s">
        <v>59</v>
      </c>
      <c r="V241" s="3">
        <v>0.1</v>
      </c>
      <c r="W241" s="2">
        <v>0</v>
      </c>
      <c r="X241">
        <v>0</v>
      </c>
      <c r="Y241" t="s">
        <v>264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5.47</v>
      </c>
      <c r="AN241" s="2">
        <v>5.47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45957</v>
      </c>
      <c r="B242" t="s">
        <v>48</v>
      </c>
      <c r="C242">
        <v>649163</v>
      </c>
      <c r="D242">
        <v>2016611651</v>
      </c>
      <c r="E242" t="s">
        <v>564</v>
      </c>
      <c r="F242" t="s">
        <v>565</v>
      </c>
      <c r="G242" t="s">
        <v>51</v>
      </c>
      <c r="H242" t="s">
        <v>69</v>
      </c>
      <c r="I242" t="s">
        <v>369</v>
      </c>
      <c r="J242" t="s">
        <v>375</v>
      </c>
      <c r="K242">
        <v>649793</v>
      </c>
      <c r="L242" t="s">
        <v>55</v>
      </c>
      <c r="M242" t="s">
        <v>566</v>
      </c>
      <c r="N242" t="s">
        <v>57</v>
      </c>
      <c r="O242" s="1">
        <v>44866</v>
      </c>
      <c r="Q242" s="1">
        <v>45992</v>
      </c>
      <c r="R242" s="2">
        <v>111.83</v>
      </c>
      <c r="S242">
        <v>1</v>
      </c>
      <c r="T242" t="s">
        <v>58</v>
      </c>
      <c r="U242" t="s">
        <v>59</v>
      </c>
      <c r="V242" s="3">
        <v>0.1</v>
      </c>
      <c r="W242" s="2">
        <v>0</v>
      </c>
      <c r="X242">
        <v>0</v>
      </c>
      <c r="Y242" t="s">
        <v>264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11.18</v>
      </c>
      <c r="AN242" s="2">
        <v>11.18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45957</v>
      </c>
      <c r="B243" t="s">
        <v>48</v>
      </c>
      <c r="C243">
        <v>649163</v>
      </c>
      <c r="D243">
        <v>2016927272</v>
      </c>
      <c r="E243" t="s">
        <v>567</v>
      </c>
      <c r="F243" t="s">
        <v>568</v>
      </c>
      <c r="G243" t="s">
        <v>51</v>
      </c>
      <c r="H243" t="s">
        <v>563</v>
      </c>
      <c r="I243" t="s">
        <v>369</v>
      </c>
      <c r="J243" t="s">
        <v>375</v>
      </c>
      <c r="K243">
        <v>651818</v>
      </c>
      <c r="L243" t="s">
        <v>560</v>
      </c>
      <c r="M243" t="s">
        <v>336</v>
      </c>
      <c r="N243" t="s">
        <v>57</v>
      </c>
      <c r="O243" s="1">
        <v>44894</v>
      </c>
      <c r="Q243" s="1">
        <v>45990</v>
      </c>
      <c r="R243" s="2">
        <v>395.25</v>
      </c>
      <c r="S243">
        <v>1</v>
      </c>
      <c r="T243" t="s">
        <v>58</v>
      </c>
      <c r="U243" t="s">
        <v>59</v>
      </c>
      <c r="V243" s="3">
        <v>0.1</v>
      </c>
      <c r="W243" s="2">
        <v>0</v>
      </c>
      <c r="X243">
        <v>0</v>
      </c>
      <c r="Y243" t="s">
        <v>264</v>
      </c>
      <c r="Z243" t="s">
        <v>61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39.520000000000003</v>
      </c>
      <c r="AN243" s="2">
        <v>39.520000000000003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45957</v>
      </c>
      <c r="B244" t="s">
        <v>48</v>
      </c>
      <c r="C244">
        <v>649163</v>
      </c>
      <c r="D244">
        <v>2017333575</v>
      </c>
      <c r="E244" t="s">
        <v>569</v>
      </c>
      <c r="F244" t="s">
        <v>570</v>
      </c>
      <c r="G244" t="s">
        <v>51</v>
      </c>
      <c r="H244" t="s">
        <v>261</v>
      </c>
      <c r="I244" t="s">
        <v>369</v>
      </c>
      <c r="J244" t="s">
        <v>375</v>
      </c>
      <c r="K244">
        <v>649793</v>
      </c>
      <c r="L244" t="s">
        <v>55</v>
      </c>
      <c r="M244" t="s">
        <v>566</v>
      </c>
      <c r="N244" t="s">
        <v>57</v>
      </c>
      <c r="O244" s="1">
        <v>44958</v>
      </c>
      <c r="Q244" s="1">
        <v>45992</v>
      </c>
      <c r="R244" s="2">
        <v>152.54</v>
      </c>
      <c r="S244">
        <v>1</v>
      </c>
      <c r="T244" t="s">
        <v>58</v>
      </c>
      <c r="U244" t="s">
        <v>59</v>
      </c>
      <c r="V244" s="3">
        <v>0.1</v>
      </c>
      <c r="W244" s="2">
        <v>0</v>
      </c>
      <c r="X244">
        <v>0</v>
      </c>
      <c r="Y244" t="s">
        <v>264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15.25</v>
      </c>
      <c r="AN244" s="2">
        <v>15.25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45957</v>
      </c>
      <c r="B245" t="s">
        <v>48</v>
      </c>
      <c r="C245">
        <v>649163</v>
      </c>
      <c r="D245">
        <v>2017351925</v>
      </c>
      <c r="E245" t="s">
        <v>571</v>
      </c>
      <c r="F245" t="s">
        <v>490</v>
      </c>
      <c r="G245" t="s">
        <v>51</v>
      </c>
      <c r="H245" t="s">
        <v>118</v>
      </c>
      <c r="I245" t="s">
        <v>369</v>
      </c>
      <c r="J245" t="s">
        <v>375</v>
      </c>
      <c r="K245">
        <v>652037</v>
      </c>
      <c r="L245" t="s">
        <v>155</v>
      </c>
      <c r="M245" t="s">
        <v>156</v>
      </c>
      <c r="N245" t="s">
        <v>57</v>
      </c>
      <c r="O245" s="1">
        <v>44958</v>
      </c>
      <c r="Q245" s="1">
        <v>45992</v>
      </c>
      <c r="R245" s="2">
        <v>73.08</v>
      </c>
      <c r="S245">
        <v>1</v>
      </c>
      <c r="T245" t="s">
        <v>58</v>
      </c>
      <c r="U245" t="s">
        <v>59</v>
      </c>
      <c r="V245" s="3">
        <v>0.1</v>
      </c>
      <c r="W245" s="2">
        <v>0</v>
      </c>
      <c r="X245">
        <v>0</v>
      </c>
      <c r="Y245" t="s">
        <v>264</v>
      </c>
      <c r="Z245" t="s">
        <v>61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7.31</v>
      </c>
      <c r="AN245" s="2">
        <v>7.31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45957</v>
      </c>
      <c r="B246" t="s">
        <v>48</v>
      </c>
      <c r="C246">
        <v>649163</v>
      </c>
      <c r="D246">
        <v>2018077137</v>
      </c>
      <c r="E246" t="s">
        <v>572</v>
      </c>
      <c r="F246" t="s">
        <v>312</v>
      </c>
      <c r="G246" t="s">
        <v>51</v>
      </c>
      <c r="H246" t="s">
        <v>118</v>
      </c>
      <c r="I246" t="s">
        <v>369</v>
      </c>
      <c r="J246" t="s">
        <v>375</v>
      </c>
      <c r="K246">
        <v>652037</v>
      </c>
      <c r="L246" t="s">
        <v>155</v>
      </c>
      <c r="M246" t="s">
        <v>156</v>
      </c>
      <c r="N246" t="s">
        <v>57</v>
      </c>
      <c r="O246" s="1">
        <v>45017</v>
      </c>
      <c r="Q246" s="1">
        <v>45992</v>
      </c>
      <c r="R246" s="2">
        <v>193.83</v>
      </c>
      <c r="S246">
        <v>1</v>
      </c>
      <c r="T246" t="s">
        <v>58</v>
      </c>
      <c r="U246" t="s">
        <v>59</v>
      </c>
      <c r="V246" s="3">
        <v>0.1</v>
      </c>
      <c r="W246" s="2">
        <v>0</v>
      </c>
      <c r="X246">
        <v>0</v>
      </c>
      <c r="Y246" t="s">
        <v>264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19.38</v>
      </c>
      <c r="AN246" s="2">
        <v>19.38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45957</v>
      </c>
      <c r="B247" t="s">
        <v>48</v>
      </c>
      <c r="C247">
        <v>649163</v>
      </c>
      <c r="D247">
        <v>2018192802</v>
      </c>
      <c r="E247" t="s">
        <v>573</v>
      </c>
      <c r="F247" t="s">
        <v>574</v>
      </c>
      <c r="G247" t="s">
        <v>51</v>
      </c>
      <c r="H247" t="s">
        <v>165</v>
      </c>
      <c r="I247" t="s">
        <v>369</v>
      </c>
      <c r="J247" t="s">
        <v>370</v>
      </c>
      <c r="K247">
        <v>651818</v>
      </c>
      <c r="L247" t="s">
        <v>560</v>
      </c>
      <c r="M247" t="s">
        <v>336</v>
      </c>
      <c r="N247" t="s">
        <v>57</v>
      </c>
      <c r="O247" s="1">
        <v>45015</v>
      </c>
      <c r="Q247" s="1">
        <v>45991</v>
      </c>
      <c r="R247" s="2">
        <v>206.88</v>
      </c>
      <c r="S247">
        <v>1</v>
      </c>
      <c r="T247" t="s">
        <v>58</v>
      </c>
      <c r="U247" t="s">
        <v>59</v>
      </c>
      <c r="V247" s="3">
        <v>0.1</v>
      </c>
      <c r="W247" s="2">
        <v>0</v>
      </c>
      <c r="X247">
        <v>0</v>
      </c>
      <c r="Y247" t="s">
        <v>264</v>
      </c>
      <c r="Z247" t="s">
        <v>61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20.69</v>
      </c>
      <c r="AN247" s="2">
        <v>20.69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45957</v>
      </c>
      <c r="B248" t="s">
        <v>48</v>
      </c>
      <c r="C248">
        <v>649163</v>
      </c>
      <c r="D248">
        <v>2018621161</v>
      </c>
      <c r="E248" t="s">
        <v>267</v>
      </c>
      <c r="F248" t="s">
        <v>268</v>
      </c>
      <c r="G248" t="s">
        <v>51</v>
      </c>
      <c r="H248" t="s">
        <v>129</v>
      </c>
      <c r="I248" t="s">
        <v>369</v>
      </c>
      <c r="J248" t="s">
        <v>370</v>
      </c>
      <c r="K248">
        <v>673059</v>
      </c>
      <c r="L248" t="s">
        <v>55</v>
      </c>
      <c r="M248" t="s">
        <v>56</v>
      </c>
      <c r="N248" t="s">
        <v>57</v>
      </c>
      <c r="O248" s="1">
        <v>45078</v>
      </c>
      <c r="Q248" s="1">
        <v>45992</v>
      </c>
      <c r="R248" s="2">
        <v>160.83000000000001</v>
      </c>
      <c r="S248">
        <v>1</v>
      </c>
      <c r="T248" t="s">
        <v>58</v>
      </c>
      <c r="U248" t="s">
        <v>59</v>
      </c>
      <c r="V248" s="3">
        <v>0.1</v>
      </c>
      <c r="W248" s="2">
        <v>0</v>
      </c>
      <c r="X248">
        <v>0</v>
      </c>
      <c r="Y248" t="s">
        <v>264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16.079999999999998</v>
      </c>
      <c r="AN248" s="2">
        <v>16.079999999999998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45957</v>
      </c>
      <c r="B249" t="s">
        <v>48</v>
      </c>
      <c r="C249">
        <v>649163</v>
      </c>
      <c r="D249">
        <v>2021427318</v>
      </c>
      <c r="E249" t="s">
        <v>575</v>
      </c>
      <c r="F249" t="s">
        <v>103</v>
      </c>
      <c r="G249" t="s">
        <v>51</v>
      </c>
      <c r="H249" t="s">
        <v>261</v>
      </c>
      <c r="I249" t="s">
        <v>369</v>
      </c>
      <c r="J249" t="s">
        <v>370</v>
      </c>
      <c r="K249">
        <v>673059</v>
      </c>
      <c r="L249" t="s">
        <v>55</v>
      </c>
      <c r="M249" t="s">
        <v>56</v>
      </c>
      <c r="N249" t="s">
        <v>57</v>
      </c>
      <c r="O249" s="1">
        <v>45351</v>
      </c>
      <c r="Q249" s="1">
        <v>45990</v>
      </c>
      <c r="R249" s="2">
        <v>149.51</v>
      </c>
      <c r="S249">
        <v>1</v>
      </c>
      <c r="T249" t="s">
        <v>58</v>
      </c>
      <c r="U249" t="s">
        <v>59</v>
      </c>
      <c r="V249" s="3">
        <v>0.1</v>
      </c>
      <c r="W249" s="2">
        <v>0</v>
      </c>
      <c r="X249">
        <v>0</v>
      </c>
      <c r="Y249" t="s">
        <v>264</v>
      </c>
      <c r="Z249" t="s">
        <v>61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14.95</v>
      </c>
      <c r="AN249" s="2">
        <v>14.95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45957</v>
      </c>
      <c r="B250" t="s">
        <v>48</v>
      </c>
      <c r="C250">
        <v>649163</v>
      </c>
      <c r="D250">
        <v>2022762069</v>
      </c>
      <c r="E250" t="s">
        <v>576</v>
      </c>
      <c r="F250" t="s">
        <v>577</v>
      </c>
      <c r="G250" t="s">
        <v>51</v>
      </c>
      <c r="H250" t="s">
        <v>190</v>
      </c>
      <c r="I250" t="s">
        <v>369</v>
      </c>
      <c r="J250" t="s">
        <v>375</v>
      </c>
      <c r="K250">
        <v>651818</v>
      </c>
      <c r="L250" t="s">
        <v>560</v>
      </c>
      <c r="M250" t="s">
        <v>336</v>
      </c>
      <c r="N250" t="s">
        <v>57</v>
      </c>
      <c r="O250" s="1">
        <v>45407</v>
      </c>
      <c r="Q250" s="1">
        <v>45986</v>
      </c>
      <c r="R250" s="2">
        <v>178.58</v>
      </c>
      <c r="S250">
        <v>1</v>
      </c>
      <c r="T250" t="s">
        <v>58</v>
      </c>
      <c r="U250" t="s">
        <v>59</v>
      </c>
      <c r="V250" s="3">
        <v>0.1</v>
      </c>
      <c r="W250" s="2">
        <v>0</v>
      </c>
      <c r="X250">
        <v>0</v>
      </c>
      <c r="Y250" t="s">
        <v>264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17.86</v>
      </c>
      <c r="AN250" s="2">
        <v>17.86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45957</v>
      </c>
      <c r="B251" t="s">
        <v>48</v>
      </c>
      <c r="C251">
        <v>649163</v>
      </c>
      <c r="D251">
        <v>2024136818</v>
      </c>
      <c r="E251" t="s">
        <v>283</v>
      </c>
      <c r="F251" t="s">
        <v>284</v>
      </c>
      <c r="G251" t="s">
        <v>51</v>
      </c>
      <c r="H251" t="s">
        <v>52</v>
      </c>
      <c r="I251" t="s">
        <v>369</v>
      </c>
      <c r="J251" t="s">
        <v>418</v>
      </c>
      <c r="K251">
        <v>673059</v>
      </c>
      <c r="L251" t="s">
        <v>55</v>
      </c>
      <c r="M251" t="s">
        <v>56</v>
      </c>
      <c r="N251" t="s">
        <v>57</v>
      </c>
      <c r="O251" s="1">
        <v>45536</v>
      </c>
      <c r="Q251" s="1">
        <v>45992</v>
      </c>
      <c r="R251" s="2">
        <v>127.15</v>
      </c>
      <c r="S251">
        <v>1</v>
      </c>
      <c r="T251" t="s">
        <v>58</v>
      </c>
      <c r="U251" t="s">
        <v>59</v>
      </c>
      <c r="V251" s="3">
        <v>0.1</v>
      </c>
      <c r="W251" s="2">
        <v>0</v>
      </c>
      <c r="X251">
        <v>0</v>
      </c>
      <c r="Y251" t="s">
        <v>264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12.72</v>
      </c>
      <c r="AN251" s="2">
        <v>12.72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45957</v>
      </c>
      <c r="B252" t="s">
        <v>48</v>
      </c>
      <c r="C252">
        <v>649163</v>
      </c>
      <c r="D252">
        <v>2024384777</v>
      </c>
      <c r="E252" t="s">
        <v>578</v>
      </c>
      <c r="F252" t="s">
        <v>413</v>
      </c>
      <c r="G252" t="s">
        <v>51</v>
      </c>
      <c r="H252" t="s">
        <v>182</v>
      </c>
      <c r="I252" t="s">
        <v>369</v>
      </c>
      <c r="J252" t="s">
        <v>418</v>
      </c>
      <c r="K252">
        <v>673059</v>
      </c>
      <c r="L252" t="s">
        <v>55</v>
      </c>
      <c r="M252" t="s">
        <v>56</v>
      </c>
      <c r="N252" t="s">
        <v>57</v>
      </c>
      <c r="O252" s="1">
        <v>45536</v>
      </c>
      <c r="Q252" s="1">
        <v>45992</v>
      </c>
      <c r="R252" s="2">
        <v>35.5</v>
      </c>
      <c r="S252">
        <v>1</v>
      </c>
      <c r="T252" t="s">
        <v>58</v>
      </c>
      <c r="U252" t="s">
        <v>59</v>
      </c>
      <c r="V252" s="3">
        <v>0.1</v>
      </c>
      <c r="W252" s="2">
        <v>0</v>
      </c>
      <c r="X252">
        <v>0</v>
      </c>
      <c r="Y252" t="s">
        <v>264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3.55</v>
      </c>
      <c r="AN252" s="2">
        <v>3.55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45957</v>
      </c>
      <c r="B253" t="s">
        <v>48</v>
      </c>
      <c r="C253">
        <v>649163</v>
      </c>
      <c r="D253">
        <v>2025997429</v>
      </c>
      <c r="E253" t="s">
        <v>579</v>
      </c>
      <c r="F253" t="s">
        <v>490</v>
      </c>
      <c r="G253" t="s">
        <v>51</v>
      </c>
      <c r="H253" t="s">
        <v>81</v>
      </c>
      <c r="I253" t="s">
        <v>369</v>
      </c>
      <c r="J253" t="s">
        <v>370</v>
      </c>
      <c r="K253">
        <v>673059</v>
      </c>
      <c r="L253" t="s">
        <v>55</v>
      </c>
      <c r="M253" t="s">
        <v>56</v>
      </c>
      <c r="N253" t="s">
        <v>57</v>
      </c>
      <c r="O253" s="1">
        <v>45689</v>
      </c>
      <c r="Q253" s="1">
        <v>45992</v>
      </c>
      <c r="R253" s="2">
        <v>224.85</v>
      </c>
      <c r="S253">
        <v>1</v>
      </c>
      <c r="T253" t="s">
        <v>58</v>
      </c>
      <c r="U253" t="s">
        <v>59</v>
      </c>
      <c r="V253" s="3">
        <v>0.75</v>
      </c>
      <c r="W253" s="2">
        <v>0</v>
      </c>
      <c r="X253">
        <v>0</v>
      </c>
      <c r="Y253" t="s">
        <v>60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168.64</v>
      </c>
      <c r="AN253" s="2">
        <v>168.64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45957</v>
      </c>
      <c r="B254" t="s">
        <v>48</v>
      </c>
      <c r="C254">
        <v>649163</v>
      </c>
      <c r="D254">
        <v>2026262566</v>
      </c>
      <c r="E254" t="s">
        <v>580</v>
      </c>
      <c r="F254" t="s">
        <v>581</v>
      </c>
      <c r="G254" t="s">
        <v>51</v>
      </c>
      <c r="H254" t="s">
        <v>92</v>
      </c>
      <c r="I254" t="s">
        <v>369</v>
      </c>
      <c r="J254" t="s">
        <v>375</v>
      </c>
      <c r="K254">
        <v>816021</v>
      </c>
      <c r="L254" t="s">
        <v>93</v>
      </c>
      <c r="M254" t="s">
        <v>94</v>
      </c>
      <c r="N254" t="s">
        <v>57</v>
      </c>
      <c r="O254" s="1">
        <v>45647</v>
      </c>
      <c r="Q254" s="1">
        <v>45982</v>
      </c>
      <c r="R254" s="2">
        <v>31.71</v>
      </c>
      <c r="S254">
        <v>1</v>
      </c>
      <c r="T254" t="s">
        <v>58</v>
      </c>
      <c r="U254" t="s">
        <v>59</v>
      </c>
      <c r="V254" s="3">
        <v>0.9</v>
      </c>
      <c r="W254" s="2">
        <v>0</v>
      </c>
      <c r="X254">
        <v>0</v>
      </c>
      <c r="Y254" t="s">
        <v>60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28.54</v>
      </c>
      <c r="AN254" s="2">
        <v>28.54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45957</v>
      </c>
      <c r="B255" t="s">
        <v>48</v>
      </c>
      <c r="C255">
        <v>649163</v>
      </c>
      <c r="D255">
        <v>2026471869</v>
      </c>
      <c r="E255" t="s">
        <v>510</v>
      </c>
      <c r="F255" t="s">
        <v>511</v>
      </c>
      <c r="G255" t="s">
        <v>51</v>
      </c>
      <c r="H255" t="s">
        <v>182</v>
      </c>
      <c r="I255" t="s">
        <v>369</v>
      </c>
      <c r="J255" t="s">
        <v>418</v>
      </c>
      <c r="K255">
        <v>673059</v>
      </c>
      <c r="L255" t="s">
        <v>55</v>
      </c>
      <c r="M255" t="s">
        <v>56</v>
      </c>
      <c r="N255" t="s">
        <v>57</v>
      </c>
      <c r="O255" s="1">
        <v>45689</v>
      </c>
      <c r="Q255" s="1">
        <v>45992</v>
      </c>
      <c r="R255" s="2">
        <v>17.25</v>
      </c>
      <c r="S255">
        <v>1</v>
      </c>
      <c r="T255" t="s">
        <v>58</v>
      </c>
      <c r="U255" t="s">
        <v>59</v>
      </c>
      <c r="V255" s="3">
        <v>0.65</v>
      </c>
      <c r="W255" s="2">
        <v>0</v>
      </c>
      <c r="X255">
        <v>0</v>
      </c>
      <c r="Y255" t="s">
        <v>60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11.21</v>
      </c>
      <c r="AN255" s="2">
        <v>11.21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45957</v>
      </c>
      <c r="B256" t="s">
        <v>48</v>
      </c>
      <c r="C256">
        <v>649163</v>
      </c>
      <c r="D256">
        <v>2026605720</v>
      </c>
      <c r="E256" t="s">
        <v>582</v>
      </c>
      <c r="F256" t="s">
        <v>106</v>
      </c>
      <c r="G256" t="s">
        <v>51</v>
      </c>
      <c r="H256" t="s">
        <v>92</v>
      </c>
      <c r="I256" t="s">
        <v>369</v>
      </c>
      <c r="J256" t="s">
        <v>418</v>
      </c>
      <c r="K256">
        <v>816021</v>
      </c>
      <c r="L256" t="s">
        <v>93</v>
      </c>
      <c r="M256" t="s">
        <v>94</v>
      </c>
      <c r="N256" t="s">
        <v>57</v>
      </c>
      <c r="O256" s="1">
        <v>45689</v>
      </c>
      <c r="Q256" s="1">
        <v>45992</v>
      </c>
      <c r="R256" s="2">
        <v>11.98</v>
      </c>
      <c r="S256">
        <v>1</v>
      </c>
      <c r="T256" t="s">
        <v>58</v>
      </c>
      <c r="U256" t="s">
        <v>59</v>
      </c>
      <c r="V256" s="3">
        <v>0.65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7.79</v>
      </c>
      <c r="AN256" s="2">
        <v>7.79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45957</v>
      </c>
      <c r="B257" t="s">
        <v>48</v>
      </c>
      <c r="C257">
        <v>649163</v>
      </c>
      <c r="D257">
        <v>2026613383</v>
      </c>
      <c r="E257" t="s">
        <v>583</v>
      </c>
      <c r="F257" t="s">
        <v>490</v>
      </c>
      <c r="G257" t="s">
        <v>51</v>
      </c>
      <c r="H257" t="s">
        <v>52</v>
      </c>
      <c r="I257" t="s">
        <v>369</v>
      </c>
      <c r="J257" t="s">
        <v>418</v>
      </c>
      <c r="K257">
        <v>673059</v>
      </c>
      <c r="L257" t="s">
        <v>55</v>
      </c>
      <c r="M257" t="s">
        <v>56</v>
      </c>
      <c r="N257" t="s">
        <v>57</v>
      </c>
      <c r="O257" s="1">
        <v>45689</v>
      </c>
      <c r="Q257" s="1">
        <v>45992</v>
      </c>
      <c r="R257" s="2">
        <v>161.66</v>
      </c>
      <c r="S257">
        <v>1</v>
      </c>
      <c r="T257" t="s">
        <v>58</v>
      </c>
      <c r="U257" t="s">
        <v>59</v>
      </c>
      <c r="V257" s="3">
        <v>0.65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105.08</v>
      </c>
      <c r="AN257" s="2">
        <v>105.08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45957</v>
      </c>
      <c r="B258" t="s">
        <v>48</v>
      </c>
      <c r="C258">
        <v>649163</v>
      </c>
      <c r="D258">
        <v>2026615271</v>
      </c>
      <c r="E258" t="s">
        <v>584</v>
      </c>
      <c r="F258" t="s">
        <v>585</v>
      </c>
      <c r="G258" t="s">
        <v>51</v>
      </c>
      <c r="H258" t="s">
        <v>92</v>
      </c>
      <c r="I258" t="s">
        <v>369</v>
      </c>
      <c r="J258" t="s">
        <v>418</v>
      </c>
      <c r="K258">
        <v>816021</v>
      </c>
      <c r="L258" t="s">
        <v>93</v>
      </c>
      <c r="M258" t="s">
        <v>94</v>
      </c>
      <c r="N258" t="s">
        <v>57</v>
      </c>
      <c r="O258" s="1">
        <v>45689</v>
      </c>
      <c r="Q258" s="1">
        <v>45992</v>
      </c>
      <c r="R258" s="2">
        <v>31.48</v>
      </c>
      <c r="S258">
        <v>1</v>
      </c>
      <c r="T258" t="s">
        <v>58</v>
      </c>
      <c r="U258" t="s">
        <v>59</v>
      </c>
      <c r="V258" s="3">
        <v>0.65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20.46</v>
      </c>
      <c r="AN258" s="2">
        <v>20.46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45957</v>
      </c>
      <c r="B259" t="s">
        <v>48</v>
      </c>
      <c r="C259">
        <v>649163</v>
      </c>
      <c r="D259">
        <v>2026616495</v>
      </c>
      <c r="E259" t="s">
        <v>586</v>
      </c>
      <c r="F259" t="s">
        <v>354</v>
      </c>
      <c r="G259" t="s">
        <v>51</v>
      </c>
      <c r="H259" t="s">
        <v>182</v>
      </c>
      <c r="I259" t="s">
        <v>369</v>
      </c>
      <c r="J259" t="s">
        <v>375</v>
      </c>
      <c r="K259">
        <v>673059</v>
      </c>
      <c r="L259" t="s">
        <v>55</v>
      </c>
      <c r="M259" t="s">
        <v>56</v>
      </c>
      <c r="N259" t="s">
        <v>57</v>
      </c>
      <c r="O259" s="1">
        <v>45689</v>
      </c>
      <c r="Q259" s="1">
        <v>45992</v>
      </c>
      <c r="R259" s="2">
        <v>60.43</v>
      </c>
      <c r="S259">
        <v>1</v>
      </c>
      <c r="T259" t="s">
        <v>58</v>
      </c>
      <c r="U259" t="s">
        <v>59</v>
      </c>
      <c r="V259" s="3">
        <v>0.9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54.39</v>
      </c>
      <c r="AN259" s="2">
        <v>54.39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45957</v>
      </c>
      <c r="B260" t="s">
        <v>48</v>
      </c>
      <c r="C260">
        <v>649163</v>
      </c>
      <c r="D260">
        <v>2026617313</v>
      </c>
      <c r="E260" t="s">
        <v>587</v>
      </c>
      <c r="F260" t="s">
        <v>588</v>
      </c>
      <c r="G260" t="s">
        <v>51</v>
      </c>
      <c r="H260" t="s">
        <v>64</v>
      </c>
      <c r="I260" t="s">
        <v>369</v>
      </c>
      <c r="J260" t="s">
        <v>370</v>
      </c>
      <c r="K260">
        <v>753748</v>
      </c>
      <c r="L260" t="s">
        <v>65</v>
      </c>
      <c r="M260" t="s">
        <v>66</v>
      </c>
      <c r="N260" t="s">
        <v>57</v>
      </c>
      <c r="O260" s="1">
        <v>45689</v>
      </c>
      <c r="Q260" s="1">
        <v>45992</v>
      </c>
      <c r="R260" s="2">
        <v>78.28</v>
      </c>
      <c r="S260">
        <v>1</v>
      </c>
      <c r="T260" t="s">
        <v>58</v>
      </c>
      <c r="U260" t="s">
        <v>59</v>
      </c>
      <c r="V260" s="3">
        <v>0.75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58.71</v>
      </c>
      <c r="AN260" s="2">
        <v>58.71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45957</v>
      </c>
      <c r="B261" t="s">
        <v>48</v>
      </c>
      <c r="C261">
        <v>649163</v>
      </c>
      <c r="D261">
        <v>2026618580</v>
      </c>
      <c r="E261" t="s">
        <v>589</v>
      </c>
      <c r="F261" t="s">
        <v>590</v>
      </c>
      <c r="G261" t="s">
        <v>51</v>
      </c>
      <c r="H261" t="s">
        <v>64</v>
      </c>
      <c r="I261" t="s">
        <v>369</v>
      </c>
      <c r="J261" t="s">
        <v>375</v>
      </c>
      <c r="K261">
        <v>753748</v>
      </c>
      <c r="L261" t="s">
        <v>65</v>
      </c>
      <c r="M261" t="s">
        <v>66</v>
      </c>
      <c r="N261" t="s">
        <v>57</v>
      </c>
      <c r="O261" s="1">
        <v>45689</v>
      </c>
      <c r="Q261" s="1">
        <v>45992</v>
      </c>
      <c r="R261" s="2">
        <v>81.5</v>
      </c>
      <c r="S261">
        <v>1</v>
      </c>
      <c r="T261" t="s">
        <v>58</v>
      </c>
      <c r="U261" t="s">
        <v>59</v>
      </c>
      <c r="V261" s="3">
        <v>0.9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73.349999999999994</v>
      </c>
      <c r="AN261" s="2">
        <v>73.349999999999994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45957</v>
      </c>
      <c r="B262" t="s">
        <v>48</v>
      </c>
      <c r="C262">
        <v>649163</v>
      </c>
      <c r="D262">
        <v>2026619110</v>
      </c>
      <c r="E262" t="s">
        <v>591</v>
      </c>
      <c r="F262" t="s">
        <v>592</v>
      </c>
      <c r="G262" t="s">
        <v>51</v>
      </c>
      <c r="H262" t="s">
        <v>165</v>
      </c>
      <c r="I262" t="s">
        <v>369</v>
      </c>
      <c r="J262" t="s">
        <v>370</v>
      </c>
      <c r="K262">
        <v>673059</v>
      </c>
      <c r="L262" t="s">
        <v>55</v>
      </c>
      <c r="M262" t="s">
        <v>56</v>
      </c>
      <c r="N262" t="s">
        <v>57</v>
      </c>
      <c r="O262" s="1">
        <v>45689</v>
      </c>
      <c r="Q262" s="1">
        <v>45992</v>
      </c>
      <c r="R262" s="2">
        <v>168.15</v>
      </c>
      <c r="S262">
        <v>1</v>
      </c>
      <c r="T262" t="s">
        <v>58</v>
      </c>
      <c r="U262" t="s">
        <v>59</v>
      </c>
      <c r="V262" s="3">
        <v>0.75</v>
      </c>
      <c r="W262" s="2">
        <v>0</v>
      </c>
      <c r="X262">
        <v>0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126.11</v>
      </c>
      <c r="AN262" s="2">
        <v>126.11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45957</v>
      </c>
      <c r="B263" t="s">
        <v>48</v>
      </c>
      <c r="C263">
        <v>649163</v>
      </c>
      <c r="D263">
        <v>2026701619</v>
      </c>
      <c r="E263" t="s">
        <v>593</v>
      </c>
      <c r="F263" t="s">
        <v>90</v>
      </c>
      <c r="G263" t="s">
        <v>51</v>
      </c>
      <c r="H263" t="s">
        <v>69</v>
      </c>
      <c r="I263" t="s">
        <v>369</v>
      </c>
      <c r="J263" t="s">
        <v>370</v>
      </c>
      <c r="K263">
        <v>753748</v>
      </c>
      <c r="L263" t="s">
        <v>65</v>
      </c>
      <c r="M263" t="s">
        <v>66</v>
      </c>
      <c r="N263" t="s">
        <v>57</v>
      </c>
      <c r="O263" s="1">
        <v>45689</v>
      </c>
      <c r="Q263" s="1">
        <v>45992</v>
      </c>
      <c r="R263" s="2">
        <v>141.44999999999999</v>
      </c>
      <c r="S263">
        <v>1</v>
      </c>
      <c r="T263" t="s">
        <v>58</v>
      </c>
      <c r="U263" t="s">
        <v>59</v>
      </c>
      <c r="V263" s="3">
        <v>0.75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106.09</v>
      </c>
      <c r="AN263" s="2">
        <v>106.09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45957</v>
      </c>
      <c r="B264" t="s">
        <v>48</v>
      </c>
      <c r="C264">
        <v>649163</v>
      </c>
      <c r="D264">
        <v>2026734343</v>
      </c>
      <c r="E264" t="s">
        <v>594</v>
      </c>
      <c r="F264" t="s">
        <v>595</v>
      </c>
      <c r="G264" t="s">
        <v>51</v>
      </c>
      <c r="H264" t="s">
        <v>52</v>
      </c>
      <c r="I264" t="s">
        <v>369</v>
      </c>
      <c r="J264" t="s">
        <v>418</v>
      </c>
      <c r="K264">
        <v>768887</v>
      </c>
      <c r="L264" t="s">
        <v>289</v>
      </c>
      <c r="M264" t="s">
        <v>290</v>
      </c>
      <c r="N264" t="s">
        <v>57</v>
      </c>
      <c r="O264" s="1">
        <v>45689</v>
      </c>
      <c r="Q264" s="1">
        <v>45992</v>
      </c>
      <c r="R264" s="2">
        <v>53.56</v>
      </c>
      <c r="S264">
        <v>1</v>
      </c>
      <c r="T264" t="s">
        <v>58</v>
      </c>
      <c r="U264" t="s">
        <v>59</v>
      </c>
      <c r="V264" s="3">
        <v>0.65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34.81</v>
      </c>
      <c r="AN264" s="2">
        <v>34.81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45957</v>
      </c>
      <c r="B265" t="s">
        <v>48</v>
      </c>
      <c r="C265">
        <v>649163</v>
      </c>
      <c r="D265">
        <v>2026735219</v>
      </c>
      <c r="E265" t="s">
        <v>596</v>
      </c>
      <c r="F265" t="s">
        <v>597</v>
      </c>
      <c r="G265" t="s">
        <v>51</v>
      </c>
      <c r="H265" t="s">
        <v>92</v>
      </c>
      <c r="I265" t="s">
        <v>369</v>
      </c>
      <c r="J265" t="s">
        <v>418</v>
      </c>
      <c r="K265">
        <v>816021</v>
      </c>
      <c r="L265" t="s">
        <v>93</v>
      </c>
      <c r="M265" t="s">
        <v>94</v>
      </c>
      <c r="N265" t="s">
        <v>57</v>
      </c>
      <c r="O265" s="1">
        <v>45689</v>
      </c>
      <c r="Q265" s="1">
        <v>45992</v>
      </c>
      <c r="R265" s="2">
        <v>46.03</v>
      </c>
      <c r="S265">
        <v>1</v>
      </c>
      <c r="T265" t="s">
        <v>58</v>
      </c>
      <c r="U265" t="s">
        <v>59</v>
      </c>
      <c r="V265" s="3">
        <v>0.65</v>
      </c>
      <c r="W265" s="2">
        <v>0</v>
      </c>
      <c r="X265">
        <v>0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29.92</v>
      </c>
      <c r="AN265" s="2">
        <v>29.92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45957</v>
      </c>
      <c r="B266" t="s">
        <v>48</v>
      </c>
      <c r="C266">
        <v>649163</v>
      </c>
      <c r="D266">
        <v>2026807603</v>
      </c>
      <c r="E266" t="s">
        <v>598</v>
      </c>
      <c r="F266" t="s">
        <v>599</v>
      </c>
      <c r="G266" t="s">
        <v>51</v>
      </c>
      <c r="H266" t="s">
        <v>247</v>
      </c>
      <c r="I266" t="s">
        <v>369</v>
      </c>
      <c r="J266" t="s">
        <v>375</v>
      </c>
      <c r="K266">
        <v>673059</v>
      </c>
      <c r="L266" t="s">
        <v>55</v>
      </c>
      <c r="M266" t="s">
        <v>56</v>
      </c>
      <c r="N266" t="s">
        <v>57</v>
      </c>
      <c r="O266" s="1">
        <v>45689</v>
      </c>
      <c r="Q266" s="1">
        <v>45992</v>
      </c>
      <c r="R266" s="2">
        <v>92.46</v>
      </c>
      <c r="S266">
        <v>1</v>
      </c>
      <c r="T266" t="s">
        <v>58</v>
      </c>
      <c r="U266" t="s">
        <v>59</v>
      </c>
      <c r="V266" s="3">
        <v>0.9</v>
      </c>
      <c r="W266" s="2">
        <v>0</v>
      </c>
      <c r="X266">
        <v>0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83.21</v>
      </c>
      <c r="AN266" s="2">
        <v>83.21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45957</v>
      </c>
      <c r="B267" t="s">
        <v>48</v>
      </c>
      <c r="C267">
        <v>649163</v>
      </c>
      <c r="D267">
        <v>2026812433</v>
      </c>
      <c r="E267" t="s">
        <v>600</v>
      </c>
      <c r="F267" t="s">
        <v>601</v>
      </c>
      <c r="G267" t="s">
        <v>51</v>
      </c>
      <c r="H267" t="s">
        <v>92</v>
      </c>
      <c r="I267" t="s">
        <v>369</v>
      </c>
      <c r="J267" t="s">
        <v>418</v>
      </c>
      <c r="K267">
        <v>816021</v>
      </c>
      <c r="L267" t="s">
        <v>93</v>
      </c>
      <c r="M267" t="s">
        <v>94</v>
      </c>
      <c r="N267" t="s">
        <v>57</v>
      </c>
      <c r="O267" s="1">
        <v>45690</v>
      </c>
      <c r="Q267" s="1">
        <v>45993</v>
      </c>
      <c r="R267" s="2">
        <v>91.88</v>
      </c>
      <c r="S267">
        <v>1</v>
      </c>
      <c r="T267" t="s">
        <v>58</v>
      </c>
      <c r="U267" t="s">
        <v>59</v>
      </c>
      <c r="V267" s="3">
        <v>0.65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59.72</v>
      </c>
      <c r="AN267" s="2">
        <v>59.72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45957</v>
      </c>
      <c r="B268" t="s">
        <v>48</v>
      </c>
      <c r="C268">
        <v>649163</v>
      </c>
      <c r="D268">
        <v>2026817010</v>
      </c>
      <c r="E268" t="s">
        <v>602</v>
      </c>
      <c r="F268" t="s">
        <v>603</v>
      </c>
      <c r="G268" t="s">
        <v>51</v>
      </c>
      <c r="H268" t="s">
        <v>92</v>
      </c>
      <c r="I268" t="s">
        <v>369</v>
      </c>
      <c r="J268" t="s">
        <v>418</v>
      </c>
      <c r="K268">
        <v>796984</v>
      </c>
      <c r="L268" t="s">
        <v>604</v>
      </c>
      <c r="M268" t="s">
        <v>110</v>
      </c>
      <c r="N268" t="s">
        <v>57</v>
      </c>
      <c r="O268" s="1">
        <v>45689</v>
      </c>
      <c r="Q268" s="1">
        <v>45992</v>
      </c>
      <c r="R268" s="2">
        <v>36.18</v>
      </c>
      <c r="S268">
        <v>1</v>
      </c>
      <c r="T268" t="s">
        <v>58</v>
      </c>
      <c r="U268" t="s">
        <v>59</v>
      </c>
      <c r="V268" s="3">
        <v>0.65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23.52</v>
      </c>
      <c r="AN268" s="2">
        <v>23.52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45957</v>
      </c>
      <c r="B269" t="s">
        <v>48</v>
      </c>
      <c r="C269">
        <v>649163</v>
      </c>
      <c r="D269">
        <v>2027348180</v>
      </c>
      <c r="E269" t="s">
        <v>605</v>
      </c>
      <c r="F269" t="s">
        <v>543</v>
      </c>
      <c r="G269" t="s">
        <v>51</v>
      </c>
      <c r="H269" t="s">
        <v>69</v>
      </c>
      <c r="I269" t="s">
        <v>369</v>
      </c>
      <c r="J269" t="s">
        <v>375</v>
      </c>
      <c r="K269">
        <v>673059</v>
      </c>
      <c r="L269" t="s">
        <v>55</v>
      </c>
      <c r="M269" t="s">
        <v>56</v>
      </c>
      <c r="N269" t="s">
        <v>57</v>
      </c>
      <c r="O269" s="1">
        <v>45716</v>
      </c>
      <c r="Q269" s="1">
        <v>45989</v>
      </c>
      <c r="R269" s="2">
        <v>41.61</v>
      </c>
      <c r="S269">
        <v>1</v>
      </c>
      <c r="T269" t="s">
        <v>58</v>
      </c>
      <c r="U269" t="s">
        <v>59</v>
      </c>
      <c r="V269" s="3">
        <v>0.9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37.450000000000003</v>
      </c>
      <c r="AN269" s="2">
        <v>37.450000000000003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45957</v>
      </c>
      <c r="B270" t="s">
        <v>48</v>
      </c>
      <c r="C270">
        <v>649163</v>
      </c>
      <c r="D270">
        <v>2027398847</v>
      </c>
      <c r="E270" t="s">
        <v>606</v>
      </c>
      <c r="F270" t="s">
        <v>607</v>
      </c>
      <c r="G270" t="s">
        <v>51</v>
      </c>
      <c r="H270" t="s">
        <v>52</v>
      </c>
      <c r="I270" t="s">
        <v>369</v>
      </c>
      <c r="J270" t="s">
        <v>418</v>
      </c>
      <c r="K270">
        <v>673059</v>
      </c>
      <c r="L270" t="s">
        <v>55</v>
      </c>
      <c r="M270" t="s">
        <v>56</v>
      </c>
      <c r="N270" t="s">
        <v>57</v>
      </c>
      <c r="O270" s="1">
        <v>45748</v>
      </c>
      <c r="Q270" s="1">
        <v>45992</v>
      </c>
      <c r="R270" s="2">
        <v>75.010000000000005</v>
      </c>
      <c r="S270">
        <v>1</v>
      </c>
      <c r="T270" t="s">
        <v>58</v>
      </c>
      <c r="U270" t="s">
        <v>59</v>
      </c>
      <c r="V270" s="3">
        <v>0.65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48.76</v>
      </c>
      <c r="AN270" s="2">
        <v>48.76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45957</v>
      </c>
      <c r="B271" t="s">
        <v>48</v>
      </c>
      <c r="C271">
        <v>649163</v>
      </c>
      <c r="D271">
        <v>2027741056</v>
      </c>
      <c r="E271" t="s">
        <v>608</v>
      </c>
      <c r="F271" t="s">
        <v>609</v>
      </c>
      <c r="G271" t="s">
        <v>51</v>
      </c>
      <c r="H271" t="s">
        <v>69</v>
      </c>
      <c r="I271" t="s">
        <v>369</v>
      </c>
      <c r="J271" t="s">
        <v>370</v>
      </c>
      <c r="K271">
        <v>766747</v>
      </c>
      <c r="L271" t="s">
        <v>97</v>
      </c>
      <c r="M271" t="s">
        <v>98</v>
      </c>
      <c r="N271" t="s">
        <v>57</v>
      </c>
      <c r="O271" s="1">
        <v>45748</v>
      </c>
      <c r="Q271" s="1">
        <v>45992</v>
      </c>
      <c r="R271" s="2">
        <v>12.08</v>
      </c>
      <c r="S271">
        <v>1</v>
      </c>
      <c r="T271" t="s">
        <v>58</v>
      </c>
      <c r="U271" t="s">
        <v>59</v>
      </c>
      <c r="V271" s="3">
        <v>0.75</v>
      </c>
      <c r="W271" s="2">
        <v>0</v>
      </c>
      <c r="X271">
        <v>0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9.06</v>
      </c>
      <c r="AN271" s="2">
        <v>9.06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45957</v>
      </c>
      <c r="B272" t="s">
        <v>48</v>
      </c>
      <c r="C272">
        <v>649163</v>
      </c>
      <c r="D272">
        <v>2027743283</v>
      </c>
      <c r="E272" t="s">
        <v>610</v>
      </c>
      <c r="F272" t="s">
        <v>324</v>
      </c>
      <c r="G272" t="s">
        <v>51</v>
      </c>
      <c r="H272" t="s">
        <v>182</v>
      </c>
      <c r="I272" t="s">
        <v>369</v>
      </c>
      <c r="J272" t="s">
        <v>418</v>
      </c>
      <c r="K272">
        <v>673059</v>
      </c>
      <c r="L272" t="s">
        <v>55</v>
      </c>
      <c r="M272" t="s">
        <v>56</v>
      </c>
      <c r="N272" t="s">
        <v>57</v>
      </c>
      <c r="O272" s="1">
        <v>45748</v>
      </c>
      <c r="Q272" s="1">
        <v>45992</v>
      </c>
      <c r="R272" s="2">
        <v>191.47</v>
      </c>
      <c r="S272">
        <v>1</v>
      </c>
      <c r="T272" t="s">
        <v>58</v>
      </c>
      <c r="U272" t="s">
        <v>59</v>
      </c>
      <c r="V272" s="3">
        <v>0.65</v>
      </c>
      <c r="W272" s="2">
        <v>0</v>
      </c>
      <c r="X272">
        <v>0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124.46</v>
      </c>
      <c r="AN272" s="2">
        <v>124.46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45957</v>
      </c>
      <c r="B273" t="s">
        <v>48</v>
      </c>
      <c r="C273">
        <v>649163</v>
      </c>
      <c r="D273">
        <v>2027855574</v>
      </c>
      <c r="E273" t="s">
        <v>611</v>
      </c>
      <c r="F273" t="s">
        <v>612</v>
      </c>
      <c r="G273" t="s">
        <v>51</v>
      </c>
      <c r="H273" t="s">
        <v>613</v>
      </c>
      <c r="I273" t="s">
        <v>369</v>
      </c>
      <c r="J273" t="s">
        <v>370</v>
      </c>
      <c r="K273">
        <v>651818</v>
      </c>
      <c r="L273" t="s">
        <v>560</v>
      </c>
      <c r="M273" t="s">
        <v>336</v>
      </c>
      <c r="N273" t="s">
        <v>57</v>
      </c>
      <c r="O273" s="1">
        <v>45734</v>
      </c>
      <c r="Q273" s="1">
        <v>45979</v>
      </c>
      <c r="R273" s="2">
        <v>75.8</v>
      </c>
      <c r="S273">
        <v>1</v>
      </c>
      <c r="T273" t="s">
        <v>58</v>
      </c>
      <c r="U273" t="s">
        <v>59</v>
      </c>
      <c r="V273" s="3">
        <v>0.75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56.85</v>
      </c>
      <c r="AN273" s="2">
        <v>56.85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45957</v>
      </c>
      <c r="B274" t="s">
        <v>48</v>
      </c>
      <c r="C274">
        <v>649163</v>
      </c>
      <c r="D274">
        <v>2027865745</v>
      </c>
      <c r="E274" t="s">
        <v>614</v>
      </c>
      <c r="F274" t="s">
        <v>615</v>
      </c>
      <c r="G274" t="s">
        <v>51</v>
      </c>
      <c r="H274" t="s">
        <v>69</v>
      </c>
      <c r="I274" t="s">
        <v>369</v>
      </c>
      <c r="J274" t="s">
        <v>370</v>
      </c>
      <c r="K274">
        <v>757039</v>
      </c>
      <c r="L274" t="s">
        <v>502</v>
      </c>
      <c r="M274" t="s">
        <v>342</v>
      </c>
      <c r="N274" t="s">
        <v>57</v>
      </c>
      <c r="O274" s="1">
        <v>45748</v>
      </c>
      <c r="Q274" s="1">
        <v>45992</v>
      </c>
      <c r="R274" s="2">
        <v>103.83</v>
      </c>
      <c r="S274">
        <v>1</v>
      </c>
      <c r="T274" t="s">
        <v>58</v>
      </c>
      <c r="U274" t="s">
        <v>59</v>
      </c>
      <c r="V274" s="3">
        <v>0.75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77.87</v>
      </c>
      <c r="AN274" s="2">
        <v>77.87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45957</v>
      </c>
      <c r="B275" t="s">
        <v>48</v>
      </c>
      <c r="C275">
        <v>649163</v>
      </c>
      <c r="D275">
        <v>2027920264</v>
      </c>
      <c r="E275" t="s">
        <v>616</v>
      </c>
      <c r="F275" t="s">
        <v>617</v>
      </c>
      <c r="G275" t="s">
        <v>51</v>
      </c>
      <c r="H275" t="s">
        <v>92</v>
      </c>
      <c r="I275" t="s">
        <v>369</v>
      </c>
      <c r="J275" t="s">
        <v>418</v>
      </c>
      <c r="K275">
        <v>816021</v>
      </c>
      <c r="L275" t="s">
        <v>93</v>
      </c>
      <c r="M275" t="s">
        <v>94</v>
      </c>
      <c r="N275" t="s">
        <v>57</v>
      </c>
      <c r="O275" s="1">
        <v>45744</v>
      </c>
      <c r="Q275" s="1">
        <v>45989</v>
      </c>
      <c r="R275" s="2">
        <v>65.28</v>
      </c>
      <c r="S275">
        <v>1</v>
      </c>
      <c r="T275" t="s">
        <v>58</v>
      </c>
      <c r="U275" t="s">
        <v>59</v>
      </c>
      <c r="V275" s="3">
        <v>0.65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42.43</v>
      </c>
      <c r="AN275" s="2">
        <v>42.43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45957</v>
      </c>
      <c r="B276" t="s">
        <v>48</v>
      </c>
      <c r="C276">
        <v>649163</v>
      </c>
      <c r="D276">
        <v>2027933173</v>
      </c>
      <c r="E276" t="s">
        <v>618</v>
      </c>
      <c r="F276" t="s">
        <v>612</v>
      </c>
      <c r="G276" t="s">
        <v>51</v>
      </c>
      <c r="H276" t="s">
        <v>145</v>
      </c>
      <c r="I276" t="s">
        <v>369</v>
      </c>
      <c r="J276" t="s">
        <v>370</v>
      </c>
      <c r="K276">
        <v>814033</v>
      </c>
      <c r="L276" t="s">
        <v>147</v>
      </c>
      <c r="M276" t="s">
        <v>148</v>
      </c>
      <c r="N276" t="s">
        <v>57</v>
      </c>
      <c r="O276" s="1">
        <v>45748</v>
      </c>
      <c r="Q276" s="1">
        <v>45992</v>
      </c>
      <c r="R276" s="2">
        <v>49.93</v>
      </c>
      <c r="S276">
        <v>1</v>
      </c>
      <c r="T276" t="s">
        <v>58</v>
      </c>
      <c r="U276" t="s">
        <v>59</v>
      </c>
      <c r="V276" s="3">
        <v>0.75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37.450000000000003</v>
      </c>
      <c r="AN276" s="2">
        <v>37.450000000000003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45957</v>
      </c>
      <c r="B277" t="s">
        <v>48</v>
      </c>
      <c r="C277">
        <v>649163</v>
      </c>
      <c r="D277">
        <v>2027936972</v>
      </c>
      <c r="E277" t="s">
        <v>619</v>
      </c>
      <c r="F277" t="s">
        <v>620</v>
      </c>
      <c r="G277" t="s">
        <v>51</v>
      </c>
      <c r="H277" t="s">
        <v>92</v>
      </c>
      <c r="I277" t="s">
        <v>369</v>
      </c>
      <c r="J277" t="s">
        <v>418</v>
      </c>
      <c r="K277">
        <v>816021</v>
      </c>
      <c r="L277" t="s">
        <v>93</v>
      </c>
      <c r="M277" t="s">
        <v>94</v>
      </c>
      <c r="N277" t="s">
        <v>57</v>
      </c>
      <c r="O277" s="1">
        <v>45748</v>
      </c>
      <c r="Q277" s="1">
        <v>45992</v>
      </c>
      <c r="R277" s="2">
        <v>57.48</v>
      </c>
      <c r="S277">
        <v>1</v>
      </c>
      <c r="T277" t="s">
        <v>58</v>
      </c>
      <c r="U277" t="s">
        <v>59</v>
      </c>
      <c r="V277" s="3">
        <v>0.65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37.36</v>
      </c>
      <c r="AN277" s="2">
        <v>37.36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45957</v>
      </c>
      <c r="B278" t="s">
        <v>48</v>
      </c>
      <c r="C278">
        <v>649163</v>
      </c>
      <c r="D278">
        <v>2027996022</v>
      </c>
      <c r="E278" t="s">
        <v>103</v>
      </c>
      <c r="F278" t="s">
        <v>621</v>
      </c>
      <c r="G278" t="s">
        <v>51</v>
      </c>
      <c r="H278" t="s">
        <v>52</v>
      </c>
      <c r="I278" t="s">
        <v>369</v>
      </c>
      <c r="J278" t="s">
        <v>418</v>
      </c>
      <c r="K278">
        <v>821015</v>
      </c>
      <c r="L278" t="s">
        <v>398</v>
      </c>
      <c r="M278" t="s">
        <v>399</v>
      </c>
      <c r="N278" t="s">
        <v>57</v>
      </c>
      <c r="O278" s="1">
        <v>45743</v>
      </c>
      <c r="Q278" s="1">
        <v>45988</v>
      </c>
      <c r="R278" s="2">
        <v>16.29</v>
      </c>
      <c r="S278">
        <v>1</v>
      </c>
      <c r="T278" t="s">
        <v>58</v>
      </c>
      <c r="U278" t="s">
        <v>59</v>
      </c>
      <c r="V278" s="3">
        <v>0.65</v>
      </c>
      <c r="W278" s="2">
        <v>0</v>
      </c>
      <c r="X278">
        <v>0</v>
      </c>
      <c r="Y278" t="s">
        <v>60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10.59</v>
      </c>
      <c r="AN278" s="2">
        <v>10.59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45957</v>
      </c>
      <c r="B279" t="s">
        <v>48</v>
      </c>
      <c r="C279">
        <v>649163</v>
      </c>
      <c r="D279">
        <v>2028004036</v>
      </c>
      <c r="E279" t="s">
        <v>622</v>
      </c>
      <c r="F279" t="s">
        <v>623</v>
      </c>
      <c r="G279" t="s">
        <v>51</v>
      </c>
      <c r="H279" t="s">
        <v>92</v>
      </c>
      <c r="I279" t="s">
        <v>369</v>
      </c>
      <c r="J279" t="s">
        <v>418</v>
      </c>
      <c r="K279">
        <v>816021</v>
      </c>
      <c r="L279" t="s">
        <v>93</v>
      </c>
      <c r="M279" t="s">
        <v>94</v>
      </c>
      <c r="N279" t="s">
        <v>57</v>
      </c>
      <c r="O279" s="1">
        <v>45741</v>
      </c>
      <c r="Q279" s="1">
        <v>45986</v>
      </c>
      <c r="R279" s="2">
        <v>21.96</v>
      </c>
      <c r="S279">
        <v>1</v>
      </c>
      <c r="T279" t="s">
        <v>58</v>
      </c>
      <c r="U279" t="s">
        <v>59</v>
      </c>
      <c r="V279" s="3">
        <v>0.65</v>
      </c>
      <c r="W279" s="2">
        <v>0</v>
      </c>
      <c r="X279">
        <v>0</v>
      </c>
      <c r="Y279" t="s">
        <v>60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14.27</v>
      </c>
      <c r="AN279" s="2">
        <v>14.27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45957</v>
      </c>
      <c r="B280" t="s">
        <v>48</v>
      </c>
      <c r="C280">
        <v>649163</v>
      </c>
      <c r="D280">
        <v>2028052819</v>
      </c>
      <c r="E280" t="s">
        <v>624</v>
      </c>
      <c r="F280" t="s">
        <v>625</v>
      </c>
      <c r="G280" t="s">
        <v>51</v>
      </c>
      <c r="H280" t="s">
        <v>165</v>
      </c>
      <c r="I280" t="s">
        <v>369</v>
      </c>
      <c r="J280" t="s">
        <v>375</v>
      </c>
      <c r="K280">
        <v>753748</v>
      </c>
      <c r="L280" t="s">
        <v>65</v>
      </c>
      <c r="M280" t="s">
        <v>66</v>
      </c>
      <c r="N280" t="s">
        <v>57</v>
      </c>
      <c r="O280" s="1">
        <v>45748</v>
      </c>
      <c r="Q280" s="1">
        <v>45992</v>
      </c>
      <c r="R280" s="2">
        <v>164.84</v>
      </c>
      <c r="S280">
        <v>1</v>
      </c>
      <c r="T280" t="s">
        <v>58</v>
      </c>
      <c r="U280" t="s">
        <v>59</v>
      </c>
      <c r="V280" s="3">
        <v>0.9</v>
      </c>
      <c r="W280" s="2">
        <v>0</v>
      </c>
      <c r="X280">
        <v>0</v>
      </c>
      <c r="Y280" t="s">
        <v>60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148.36000000000001</v>
      </c>
      <c r="AN280" s="2">
        <v>148.36000000000001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45957</v>
      </c>
      <c r="B281" t="s">
        <v>48</v>
      </c>
      <c r="C281">
        <v>649163</v>
      </c>
      <c r="D281">
        <v>2028149310</v>
      </c>
      <c r="E281" t="s">
        <v>626</v>
      </c>
      <c r="F281" t="s">
        <v>98</v>
      </c>
      <c r="G281" t="s">
        <v>51</v>
      </c>
      <c r="H281" t="s">
        <v>69</v>
      </c>
      <c r="I281" t="s">
        <v>369</v>
      </c>
      <c r="J281" t="s">
        <v>370</v>
      </c>
      <c r="K281">
        <v>821015</v>
      </c>
      <c r="L281" t="s">
        <v>398</v>
      </c>
      <c r="M281" t="s">
        <v>399</v>
      </c>
      <c r="N281" t="s">
        <v>57</v>
      </c>
      <c r="O281" s="1">
        <v>45748</v>
      </c>
      <c r="Q281" s="1">
        <v>45992</v>
      </c>
      <c r="R281" s="2">
        <v>36.4</v>
      </c>
      <c r="S281">
        <v>1</v>
      </c>
      <c r="T281" t="s">
        <v>58</v>
      </c>
      <c r="U281" t="s">
        <v>59</v>
      </c>
      <c r="V281" s="3">
        <v>0.75</v>
      </c>
      <c r="W281" s="2">
        <v>0</v>
      </c>
      <c r="X281">
        <v>0</v>
      </c>
      <c r="Y281" t="s">
        <v>60</v>
      </c>
      <c r="Z281" t="s">
        <v>61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27.3</v>
      </c>
      <c r="AN281" s="2">
        <v>27.3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45957</v>
      </c>
      <c r="B282" t="s">
        <v>48</v>
      </c>
      <c r="C282">
        <v>649163</v>
      </c>
      <c r="D282">
        <v>2028448241</v>
      </c>
      <c r="E282" t="s">
        <v>536</v>
      </c>
      <c r="F282" t="s">
        <v>537</v>
      </c>
      <c r="G282" t="s">
        <v>51</v>
      </c>
      <c r="H282" t="s">
        <v>179</v>
      </c>
      <c r="I282" t="s">
        <v>369</v>
      </c>
      <c r="J282" t="s">
        <v>370</v>
      </c>
      <c r="K282">
        <v>673059</v>
      </c>
      <c r="L282" t="s">
        <v>55</v>
      </c>
      <c r="M282" t="s">
        <v>56</v>
      </c>
      <c r="N282" t="s">
        <v>57</v>
      </c>
      <c r="O282" s="1">
        <v>45809</v>
      </c>
      <c r="Q282" s="1">
        <v>45992</v>
      </c>
      <c r="R282" s="2">
        <v>75.73</v>
      </c>
      <c r="S282">
        <v>1</v>
      </c>
      <c r="T282" t="s">
        <v>58</v>
      </c>
      <c r="U282" t="s">
        <v>59</v>
      </c>
      <c r="V282" s="3">
        <v>0.75</v>
      </c>
      <c r="W282" s="2">
        <v>0</v>
      </c>
      <c r="X282">
        <v>0</v>
      </c>
      <c r="Y282" t="s">
        <v>60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56.8</v>
      </c>
      <c r="AN282" s="2">
        <v>56.8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45957</v>
      </c>
      <c r="B283" t="s">
        <v>48</v>
      </c>
      <c r="C283">
        <v>649163</v>
      </c>
      <c r="D283">
        <v>2028461883</v>
      </c>
      <c r="E283" t="s">
        <v>627</v>
      </c>
      <c r="F283" t="s">
        <v>628</v>
      </c>
      <c r="G283" t="s">
        <v>51</v>
      </c>
      <c r="H283" t="s">
        <v>145</v>
      </c>
      <c r="I283" t="s">
        <v>369</v>
      </c>
      <c r="J283" t="s">
        <v>375</v>
      </c>
      <c r="K283">
        <v>823350</v>
      </c>
      <c r="L283" t="s">
        <v>70</v>
      </c>
      <c r="M283" t="s">
        <v>183</v>
      </c>
      <c r="N283" t="s">
        <v>57</v>
      </c>
      <c r="O283" s="1">
        <v>45772</v>
      </c>
      <c r="Q283" s="1">
        <v>45986</v>
      </c>
      <c r="R283" s="2">
        <v>36.82</v>
      </c>
      <c r="S283">
        <v>1</v>
      </c>
      <c r="T283" t="s">
        <v>58</v>
      </c>
      <c r="U283" t="s">
        <v>59</v>
      </c>
      <c r="V283" s="3">
        <v>0.9</v>
      </c>
      <c r="W283" s="2">
        <v>0</v>
      </c>
      <c r="X283">
        <v>0</v>
      </c>
      <c r="Y283" t="s">
        <v>60</v>
      </c>
      <c r="Z283" t="s">
        <v>61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33.14</v>
      </c>
      <c r="AN283" s="2">
        <v>33.14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45957</v>
      </c>
      <c r="B284" t="s">
        <v>48</v>
      </c>
      <c r="C284">
        <v>649163</v>
      </c>
      <c r="D284">
        <v>2028498800</v>
      </c>
      <c r="E284" t="s">
        <v>629</v>
      </c>
      <c r="F284" t="s">
        <v>232</v>
      </c>
      <c r="G284" t="s">
        <v>51</v>
      </c>
      <c r="H284" t="s">
        <v>179</v>
      </c>
      <c r="I284" t="s">
        <v>369</v>
      </c>
      <c r="J284" t="s">
        <v>370</v>
      </c>
      <c r="K284">
        <v>823350</v>
      </c>
      <c r="L284" t="s">
        <v>70</v>
      </c>
      <c r="M284" t="s">
        <v>183</v>
      </c>
      <c r="N284" t="s">
        <v>57</v>
      </c>
      <c r="O284" s="1">
        <v>45772</v>
      </c>
      <c r="Q284" s="1">
        <v>45986</v>
      </c>
      <c r="R284" s="2">
        <v>28.95</v>
      </c>
      <c r="S284">
        <v>1</v>
      </c>
      <c r="T284" t="s">
        <v>58</v>
      </c>
      <c r="U284" t="s">
        <v>59</v>
      </c>
      <c r="V284" s="3">
        <v>0.75</v>
      </c>
      <c r="W284" s="2">
        <v>0</v>
      </c>
      <c r="X284">
        <v>0</v>
      </c>
      <c r="Y284" t="s">
        <v>60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21.71</v>
      </c>
      <c r="AN284" s="2">
        <v>21.71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45957</v>
      </c>
      <c r="B285" t="s">
        <v>48</v>
      </c>
      <c r="C285">
        <v>649163</v>
      </c>
      <c r="D285">
        <v>2028769444</v>
      </c>
      <c r="E285" t="s">
        <v>630</v>
      </c>
      <c r="F285" t="s">
        <v>631</v>
      </c>
      <c r="G285" t="s">
        <v>51</v>
      </c>
      <c r="H285" t="s">
        <v>118</v>
      </c>
      <c r="I285" t="s">
        <v>369</v>
      </c>
      <c r="J285" t="s">
        <v>375</v>
      </c>
      <c r="K285">
        <v>823068</v>
      </c>
      <c r="L285" t="s">
        <v>120</v>
      </c>
      <c r="M285" t="s">
        <v>121</v>
      </c>
      <c r="N285" t="s">
        <v>57</v>
      </c>
      <c r="O285" s="1">
        <v>45809</v>
      </c>
      <c r="Q285" s="1">
        <v>45992</v>
      </c>
      <c r="R285" s="2">
        <v>65.58</v>
      </c>
      <c r="S285">
        <v>1</v>
      </c>
      <c r="T285" t="s">
        <v>58</v>
      </c>
      <c r="U285" t="s">
        <v>59</v>
      </c>
      <c r="V285" s="3">
        <v>0.9</v>
      </c>
      <c r="W285" s="2">
        <v>0</v>
      </c>
      <c r="X285">
        <v>0</v>
      </c>
      <c r="Y285" t="s">
        <v>60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59.02</v>
      </c>
      <c r="AN285" s="2">
        <v>59.02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45957</v>
      </c>
      <c r="B286" t="s">
        <v>48</v>
      </c>
      <c r="C286">
        <v>649163</v>
      </c>
      <c r="D286">
        <v>2028773698</v>
      </c>
      <c r="E286" t="s">
        <v>542</v>
      </c>
      <c r="F286" t="s">
        <v>632</v>
      </c>
      <c r="G286" t="s">
        <v>51</v>
      </c>
      <c r="H286" t="s">
        <v>179</v>
      </c>
      <c r="I286" t="s">
        <v>369</v>
      </c>
      <c r="J286" t="s">
        <v>375</v>
      </c>
      <c r="K286">
        <v>673059</v>
      </c>
      <c r="L286" t="s">
        <v>55</v>
      </c>
      <c r="M286" t="s">
        <v>56</v>
      </c>
      <c r="N286" t="s">
        <v>57</v>
      </c>
      <c r="O286" s="1">
        <v>45809</v>
      </c>
      <c r="Q286" s="1">
        <v>45992</v>
      </c>
      <c r="R286" s="2">
        <v>55.75</v>
      </c>
      <c r="S286">
        <v>1</v>
      </c>
      <c r="T286" t="s">
        <v>58</v>
      </c>
      <c r="U286" t="s">
        <v>59</v>
      </c>
      <c r="V286" s="3">
        <v>0.9</v>
      </c>
      <c r="W286" s="2">
        <v>0</v>
      </c>
      <c r="X286">
        <v>0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50.18</v>
      </c>
      <c r="AN286" s="2">
        <v>50.18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45957</v>
      </c>
      <c r="B287" t="s">
        <v>48</v>
      </c>
      <c r="C287">
        <v>649163</v>
      </c>
      <c r="D287">
        <v>2028774076</v>
      </c>
      <c r="E287" t="s">
        <v>633</v>
      </c>
      <c r="F287" t="s">
        <v>634</v>
      </c>
      <c r="G287" t="s">
        <v>51</v>
      </c>
      <c r="H287" t="s">
        <v>145</v>
      </c>
      <c r="I287" t="s">
        <v>369</v>
      </c>
      <c r="J287" t="s">
        <v>370</v>
      </c>
      <c r="K287">
        <v>822723</v>
      </c>
      <c r="L287" t="s">
        <v>151</v>
      </c>
      <c r="M287" t="s">
        <v>152</v>
      </c>
      <c r="N287" t="s">
        <v>57</v>
      </c>
      <c r="O287" s="1">
        <v>45809</v>
      </c>
      <c r="Q287" s="1">
        <v>45992</v>
      </c>
      <c r="R287" s="2">
        <v>73.42</v>
      </c>
      <c r="S287">
        <v>1</v>
      </c>
      <c r="T287" t="s">
        <v>58</v>
      </c>
      <c r="U287" t="s">
        <v>59</v>
      </c>
      <c r="V287" s="3">
        <v>0.75</v>
      </c>
      <c r="W287" s="2">
        <v>0</v>
      </c>
      <c r="X287">
        <v>0</v>
      </c>
      <c r="Y287" t="s">
        <v>60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55.06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45957</v>
      </c>
      <c r="B288" t="s">
        <v>48</v>
      </c>
      <c r="C288">
        <v>649163</v>
      </c>
      <c r="D288">
        <v>2028774423</v>
      </c>
      <c r="E288" t="s">
        <v>542</v>
      </c>
      <c r="F288" t="s">
        <v>543</v>
      </c>
      <c r="G288" t="s">
        <v>51</v>
      </c>
      <c r="H288" t="s">
        <v>179</v>
      </c>
      <c r="I288" t="s">
        <v>369</v>
      </c>
      <c r="J288" t="s">
        <v>370</v>
      </c>
      <c r="K288">
        <v>673059</v>
      </c>
      <c r="L288" t="s">
        <v>55</v>
      </c>
      <c r="M288" t="s">
        <v>56</v>
      </c>
      <c r="N288" t="s">
        <v>57</v>
      </c>
      <c r="O288" s="1">
        <v>45809</v>
      </c>
      <c r="Q288" s="1">
        <v>45992</v>
      </c>
      <c r="R288" s="2">
        <v>37.75</v>
      </c>
      <c r="S288">
        <v>1</v>
      </c>
      <c r="T288" t="s">
        <v>58</v>
      </c>
      <c r="U288" t="s">
        <v>59</v>
      </c>
      <c r="V288" s="3">
        <v>0.75</v>
      </c>
      <c r="W288" s="2">
        <v>0</v>
      </c>
      <c r="X288">
        <v>0</v>
      </c>
      <c r="Y288" t="s">
        <v>60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28.31</v>
      </c>
      <c r="AN288" s="2">
        <v>28.31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45957</v>
      </c>
      <c r="B289" t="s">
        <v>48</v>
      </c>
      <c r="C289">
        <v>649163</v>
      </c>
      <c r="D289">
        <v>2028776888</v>
      </c>
      <c r="E289" t="s">
        <v>635</v>
      </c>
      <c r="F289" t="s">
        <v>354</v>
      </c>
      <c r="G289" t="s">
        <v>51</v>
      </c>
      <c r="H289" t="s">
        <v>636</v>
      </c>
      <c r="I289" t="s">
        <v>369</v>
      </c>
      <c r="J289" t="s">
        <v>375</v>
      </c>
      <c r="K289">
        <v>673059</v>
      </c>
      <c r="L289" t="s">
        <v>55</v>
      </c>
      <c r="M289" t="s">
        <v>56</v>
      </c>
      <c r="N289" t="s">
        <v>57</v>
      </c>
      <c r="O289" s="1">
        <v>45809</v>
      </c>
      <c r="Q289" s="1">
        <v>45992</v>
      </c>
      <c r="R289" s="2">
        <v>226.66</v>
      </c>
      <c r="S289">
        <v>1</v>
      </c>
      <c r="T289" t="s">
        <v>58</v>
      </c>
      <c r="U289" t="s">
        <v>59</v>
      </c>
      <c r="V289" s="3">
        <v>0.9</v>
      </c>
      <c r="W289" s="2">
        <v>0</v>
      </c>
      <c r="X289">
        <v>0</v>
      </c>
      <c r="Y289" t="s">
        <v>60</v>
      </c>
      <c r="Z289" t="s">
        <v>61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203.99</v>
      </c>
      <c r="AN289" s="2">
        <v>203.99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45957</v>
      </c>
      <c r="B290" t="s">
        <v>48</v>
      </c>
      <c r="C290">
        <v>649163</v>
      </c>
      <c r="D290">
        <v>2028799845</v>
      </c>
      <c r="E290" t="s">
        <v>637</v>
      </c>
      <c r="F290" t="s">
        <v>284</v>
      </c>
      <c r="G290" t="s">
        <v>51</v>
      </c>
      <c r="H290" t="s">
        <v>208</v>
      </c>
      <c r="I290" t="s">
        <v>369</v>
      </c>
      <c r="J290" t="s">
        <v>370</v>
      </c>
      <c r="K290">
        <v>792847</v>
      </c>
      <c r="L290" t="s">
        <v>371</v>
      </c>
      <c r="M290" t="s">
        <v>372</v>
      </c>
      <c r="N290" t="s">
        <v>57</v>
      </c>
      <c r="O290" s="1">
        <v>45809</v>
      </c>
      <c r="Q290" s="1">
        <v>45992</v>
      </c>
      <c r="R290" s="2">
        <v>43.18</v>
      </c>
      <c r="S290">
        <v>1</v>
      </c>
      <c r="T290" t="s">
        <v>58</v>
      </c>
      <c r="U290" t="s">
        <v>59</v>
      </c>
      <c r="V290" s="3">
        <v>0.75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32.380000000000003</v>
      </c>
      <c r="AN290" s="2">
        <v>32.380000000000003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45957</v>
      </c>
      <c r="B291" t="s">
        <v>48</v>
      </c>
      <c r="C291">
        <v>649163</v>
      </c>
      <c r="D291">
        <v>2028857840</v>
      </c>
      <c r="E291" t="s">
        <v>422</v>
      </c>
      <c r="F291" t="s">
        <v>638</v>
      </c>
      <c r="G291" t="s">
        <v>51</v>
      </c>
      <c r="H291" t="s">
        <v>613</v>
      </c>
      <c r="I291" t="s">
        <v>369</v>
      </c>
      <c r="J291" t="s">
        <v>421</v>
      </c>
      <c r="K291">
        <v>651818</v>
      </c>
      <c r="L291" t="s">
        <v>560</v>
      </c>
      <c r="M291" t="s">
        <v>336</v>
      </c>
      <c r="N291" t="s">
        <v>57</v>
      </c>
      <c r="O291" s="1">
        <v>45789</v>
      </c>
      <c r="Q291" s="1">
        <v>45973</v>
      </c>
      <c r="R291" s="2">
        <v>68.7</v>
      </c>
      <c r="S291">
        <v>1</v>
      </c>
      <c r="T291" t="s">
        <v>58</v>
      </c>
      <c r="U291" t="s">
        <v>59</v>
      </c>
      <c r="V291" s="3">
        <v>0.75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51.52</v>
      </c>
      <c r="AN291" s="2">
        <v>51.52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45957</v>
      </c>
      <c r="B292" t="s">
        <v>48</v>
      </c>
      <c r="C292">
        <v>649163</v>
      </c>
      <c r="D292">
        <v>2028863859</v>
      </c>
      <c r="E292" t="s">
        <v>639</v>
      </c>
      <c r="F292" t="s">
        <v>338</v>
      </c>
      <c r="G292" t="s">
        <v>51</v>
      </c>
      <c r="H292" t="s">
        <v>261</v>
      </c>
      <c r="I292" t="s">
        <v>369</v>
      </c>
      <c r="J292" t="s">
        <v>370</v>
      </c>
      <c r="K292">
        <v>753748</v>
      </c>
      <c r="L292" t="s">
        <v>65</v>
      </c>
      <c r="M292" t="s">
        <v>66</v>
      </c>
      <c r="N292" t="s">
        <v>57</v>
      </c>
      <c r="O292" s="1">
        <v>45809</v>
      </c>
      <c r="Q292" s="1">
        <v>45992</v>
      </c>
      <c r="R292" s="2">
        <v>126.15</v>
      </c>
      <c r="S292">
        <v>1</v>
      </c>
      <c r="T292" t="s">
        <v>58</v>
      </c>
      <c r="U292" t="s">
        <v>59</v>
      </c>
      <c r="V292" s="3">
        <v>0.75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94.61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45957</v>
      </c>
      <c r="B293" t="s">
        <v>48</v>
      </c>
      <c r="C293">
        <v>649163</v>
      </c>
      <c r="D293">
        <v>2022747853</v>
      </c>
      <c r="E293" t="s">
        <v>640</v>
      </c>
      <c r="F293" t="s">
        <v>617</v>
      </c>
      <c r="G293" t="s">
        <v>51</v>
      </c>
      <c r="H293" t="s">
        <v>195</v>
      </c>
      <c r="I293" t="s">
        <v>355</v>
      </c>
      <c r="J293" t="s">
        <v>356</v>
      </c>
      <c r="K293">
        <v>751867</v>
      </c>
      <c r="L293" t="s">
        <v>349</v>
      </c>
      <c r="M293" t="s">
        <v>312</v>
      </c>
      <c r="N293" t="s">
        <v>57</v>
      </c>
      <c r="O293" s="1">
        <v>45413</v>
      </c>
      <c r="Q293" s="1">
        <v>45962</v>
      </c>
      <c r="R293" s="2">
        <v>61.39</v>
      </c>
      <c r="S293">
        <v>1</v>
      </c>
      <c r="T293" t="s">
        <v>58</v>
      </c>
      <c r="U293" t="s">
        <v>59</v>
      </c>
      <c r="V293" s="3">
        <v>0.1</v>
      </c>
      <c r="W293" s="2">
        <v>0</v>
      </c>
      <c r="X293">
        <v>0</v>
      </c>
      <c r="Y293" t="s">
        <v>264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6.14</v>
      </c>
      <c r="AN293" s="2">
        <v>6.14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45957</v>
      </c>
      <c r="B294" t="s">
        <v>48</v>
      </c>
      <c r="C294">
        <v>649163</v>
      </c>
      <c r="D294">
        <v>2022979208</v>
      </c>
      <c r="E294" t="s">
        <v>641</v>
      </c>
      <c r="F294" t="s">
        <v>642</v>
      </c>
      <c r="G294" t="s">
        <v>51</v>
      </c>
      <c r="H294" t="s">
        <v>195</v>
      </c>
      <c r="I294" t="s">
        <v>355</v>
      </c>
      <c r="J294" t="s">
        <v>356</v>
      </c>
      <c r="K294">
        <v>649247</v>
      </c>
      <c r="L294" t="s">
        <v>321</v>
      </c>
      <c r="M294" t="s">
        <v>322</v>
      </c>
      <c r="N294" t="s">
        <v>57</v>
      </c>
      <c r="O294" s="1">
        <v>45444</v>
      </c>
      <c r="Q294" s="1">
        <v>45992</v>
      </c>
      <c r="R294" s="2">
        <v>61.39</v>
      </c>
      <c r="S294">
        <v>1</v>
      </c>
      <c r="T294" t="s">
        <v>58</v>
      </c>
      <c r="U294" t="s">
        <v>59</v>
      </c>
      <c r="V294" s="3">
        <v>0.1</v>
      </c>
      <c r="W294" s="2">
        <v>0</v>
      </c>
      <c r="X294">
        <v>0</v>
      </c>
      <c r="Y294" t="s">
        <v>264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6.14</v>
      </c>
      <c r="AN294" s="2">
        <v>6.14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45957</v>
      </c>
      <c r="B295" t="s">
        <v>48</v>
      </c>
      <c r="C295">
        <v>649163</v>
      </c>
      <c r="D295">
        <v>2023057745</v>
      </c>
      <c r="E295" t="s">
        <v>643</v>
      </c>
      <c r="F295" t="s">
        <v>644</v>
      </c>
      <c r="G295" t="s">
        <v>51</v>
      </c>
      <c r="H295" t="s">
        <v>195</v>
      </c>
      <c r="I295" t="s">
        <v>355</v>
      </c>
      <c r="J295" t="s">
        <v>356</v>
      </c>
      <c r="K295">
        <v>650218</v>
      </c>
      <c r="L295" t="s">
        <v>357</v>
      </c>
      <c r="M295" t="s">
        <v>358</v>
      </c>
      <c r="N295" t="s">
        <v>57</v>
      </c>
      <c r="O295" s="1">
        <v>45444</v>
      </c>
      <c r="Q295" s="1">
        <v>45992</v>
      </c>
      <c r="R295" s="2">
        <v>87.66</v>
      </c>
      <c r="S295">
        <v>1</v>
      </c>
      <c r="T295" t="s">
        <v>58</v>
      </c>
      <c r="U295" t="s">
        <v>59</v>
      </c>
      <c r="V295" s="3">
        <v>0.1</v>
      </c>
      <c r="W295" s="2">
        <v>0</v>
      </c>
      <c r="X295">
        <v>0</v>
      </c>
      <c r="Y295" t="s">
        <v>264</v>
      </c>
      <c r="Z295" t="s">
        <v>61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8.77</v>
      </c>
      <c r="AN295" s="2">
        <v>8.77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45957</v>
      </c>
      <c r="B296" t="s">
        <v>48</v>
      </c>
      <c r="C296">
        <v>649163</v>
      </c>
      <c r="D296">
        <v>2023105853</v>
      </c>
      <c r="E296" t="s">
        <v>493</v>
      </c>
      <c r="F296" t="s">
        <v>494</v>
      </c>
      <c r="G296" t="s">
        <v>51</v>
      </c>
      <c r="H296" t="s">
        <v>78</v>
      </c>
      <c r="I296" t="s">
        <v>355</v>
      </c>
      <c r="J296" t="s">
        <v>356</v>
      </c>
      <c r="K296">
        <v>650218</v>
      </c>
      <c r="L296" t="s">
        <v>357</v>
      </c>
      <c r="M296" t="s">
        <v>358</v>
      </c>
      <c r="N296" t="s">
        <v>57</v>
      </c>
      <c r="O296" s="1">
        <v>45444</v>
      </c>
      <c r="Q296" s="1">
        <v>45992</v>
      </c>
      <c r="R296" s="2">
        <v>23.22</v>
      </c>
      <c r="S296">
        <v>1</v>
      </c>
      <c r="T296" t="s">
        <v>58</v>
      </c>
      <c r="U296" t="s">
        <v>59</v>
      </c>
      <c r="V296" s="3">
        <v>0.1</v>
      </c>
      <c r="W296" s="2">
        <v>0</v>
      </c>
      <c r="X296">
        <v>0</v>
      </c>
      <c r="Y296" t="s">
        <v>264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2.3199999999999998</v>
      </c>
      <c r="AN296" s="2">
        <v>2.3199999999999998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45957</v>
      </c>
      <c r="B297" t="s">
        <v>48</v>
      </c>
      <c r="C297">
        <v>649163</v>
      </c>
      <c r="D297">
        <v>2023157516</v>
      </c>
      <c r="E297" t="s">
        <v>645</v>
      </c>
      <c r="F297" t="s">
        <v>268</v>
      </c>
      <c r="G297" t="s">
        <v>51</v>
      </c>
      <c r="H297" t="s">
        <v>195</v>
      </c>
      <c r="I297" t="s">
        <v>355</v>
      </c>
      <c r="J297" t="s">
        <v>356</v>
      </c>
      <c r="K297">
        <v>649247</v>
      </c>
      <c r="L297" t="s">
        <v>321</v>
      </c>
      <c r="M297" t="s">
        <v>322</v>
      </c>
      <c r="N297" t="s">
        <v>57</v>
      </c>
      <c r="O297" s="1">
        <v>45444</v>
      </c>
      <c r="Q297" s="1">
        <v>45992</v>
      </c>
      <c r="R297" s="2">
        <v>53.16</v>
      </c>
      <c r="S297">
        <v>1</v>
      </c>
      <c r="T297" t="s">
        <v>58</v>
      </c>
      <c r="U297" t="s">
        <v>59</v>
      </c>
      <c r="V297" s="3">
        <v>0.1</v>
      </c>
      <c r="W297" s="2">
        <v>0</v>
      </c>
      <c r="X297">
        <v>0</v>
      </c>
      <c r="Y297" t="s">
        <v>264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5.32</v>
      </c>
      <c r="AN297" s="2">
        <v>5.32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45957</v>
      </c>
      <c r="B298" t="s">
        <v>48</v>
      </c>
      <c r="C298">
        <v>649163</v>
      </c>
      <c r="D298">
        <v>2023184837</v>
      </c>
      <c r="E298" t="s">
        <v>646</v>
      </c>
      <c r="F298" t="s">
        <v>647</v>
      </c>
      <c r="G298" t="s">
        <v>51</v>
      </c>
      <c r="H298" t="s">
        <v>195</v>
      </c>
      <c r="I298" t="s">
        <v>355</v>
      </c>
      <c r="J298" t="s">
        <v>356</v>
      </c>
      <c r="K298">
        <v>649247</v>
      </c>
      <c r="L298" t="s">
        <v>321</v>
      </c>
      <c r="M298" t="s">
        <v>322</v>
      </c>
      <c r="N298" t="s">
        <v>57</v>
      </c>
      <c r="O298" s="1">
        <v>45444</v>
      </c>
      <c r="Q298" s="1">
        <v>45992</v>
      </c>
      <c r="R298" s="2">
        <v>21.97</v>
      </c>
      <c r="S298">
        <v>1</v>
      </c>
      <c r="T298" t="s">
        <v>58</v>
      </c>
      <c r="U298" t="s">
        <v>59</v>
      </c>
      <c r="V298" s="3">
        <v>0.1</v>
      </c>
      <c r="W298" s="2">
        <v>0</v>
      </c>
      <c r="X298">
        <v>0</v>
      </c>
      <c r="Y298" t="s">
        <v>264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2.2000000000000002</v>
      </c>
      <c r="AN298" s="2">
        <v>2.2000000000000002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45957</v>
      </c>
      <c r="B299" t="s">
        <v>48</v>
      </c>
      <c r="C299">
        <v>649163</v>
      </c>
      <c r="D299">
        <v>2023215080</v>
      </c>
      <c r="E299" t="s">
        <v>648</v>
      </c>
      <c r="F299" t="s">
        <v>649</v>
      </c>
      <c r="G299" t="s">
        <v>51</v>
      </c>
      <c r="H299" t="s">
        <v>195</v>
      </c>
      <c r="I299" t="s">
        <v>355</v>
      </c>
      <c r="J299" t="s">
        <v>356</v>
      </c>
      <c r="K299">
        <v>650218</v>
      </c>
      <c r="L299" t="s">
        <v>357</v>
      </c>
      <c r="M299" t="s">
        <v>358</v>
      </c>
      <c r="N299" t="s">
        <v>57</v>
      </c>
      <c r="O299" s="1">
        <v>45444</v>
      </c>
      <c r="Q299" s="1">
        <v>45992</v>
      </c>
      <c r="R299" s="2">
        <v>53.16</v>
      </c>
      <c r="S299">
        <v>1</v>
      </c>
      <c r="T299" t="s">
        <v>58</v>
      </c>
      <c r="U299" t="s">
        <v>59</v>
      </c>
      <c r="V299" s="3">
        <v>0.1</v>
      </c>
      <c r="W299" s="2">
        <v>0</v>
      </c>
      <c r="X299">
        <v>0</v>
      </c>
      <c r="Y299" t="s">
        <v>264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5.32</v>
      </c>
      <c r="AN299" s="2">
        <v>5.32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45957</v>
      </c>
      <c r="B300" t="s">
        <v>48</v>
      </c>
      <c r="C300">
        <v>649163</v>
      </c>
      <c r="D300">
        <v>2023252073</v>
      </c>
      <c r="E300" t="s">
        <v>495</v>
      </c>
      <c r="F300" t="s">
        <v>496</v>
      </c>
      <c r="G300" t="s">
        <v>51</v>
      </c>
      <c r="H300" t="s">
        <v>195</v>
      </c>
      <c r="I300" t="s">
        <v>355</v>
      </c>
      <c r="J300" t="s">
        <v>356</v>
      </c>
      <c r="K300">
        <v>650218</v>
      </c>
      <c r="L300" t="s">
        <v>357</v>
      </c>
      <c r="M300" t="s">
        <v>358</v>
      </c>
      <c r="N300" t="s">
        <v>57</v>
      </c>
      <c r="O300" s="1">
        <v>45444</v>
      </c>
      <c r="Q300" s="1">
        <v>45992</v>
      </c>
      <c r="R300" s="2">
        <v>116.64</v>
      </c>
      <c r="S300">
        <v>1</v>
      </c>
      <c r="T300" t="s">
        <v>58</v>
      </c>
      <c r="U300" t="s">
        <v>59</v>
      </c>
      <c r="V300" s="3">
        <v>0.1</v>
      </c>
      <c r="W300" s="2">
        <v>0</v>
      </c>
      <c r="X300">
        <v>0</v>
      </c>
      <c r="Y300" t="s">
        <v>264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11.66</v>
      </c>
      <c r="AN300" s="2">
        <v>11.66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45957</v>
      </c>
      <c r="B301" t="s">
        <v>48</v>
      </c>
      <c r="C301">
        <v>649163</v>
      </c>
      <c r="D301">
        <v>2023296698</v>
      </c>
      <c r="E301" t="s">
        <v>650</v>
      </c>
      <c r="F301" t="s">
        <v>651</v>
      </c>
      <c r="G301" t="s">
        <v>51</v>
      </c>
      <c r="H301" t="s">
        <v>195</v>
      </c>
      <c r="I301" t="s">
        <v>355</v>
      </c>
      <c r="J301" t="s">
        <v>356</v>
      </c>
      <c r="K301">
        <v>650218</v>
      </c>
      <c r="L301" t="s">
        <v>357</v>
      </c>
      <c r="M301" t="s">
        <v>358</v>
      </c>
      <c r="N301" t="s">
        <v>57</v>
      </c>
      <c r="O301" s="1">
        <v>45444</v>
      </c>
      <c r="Q301" s="1">
        <v>45992</v>
      </c>
      <c r="R301" s="2">
        <v>21.97</v>
      </c>
      <c r="S301">
        <v>1</v>
      </c>
      <c r="T301" t="s">
        <v>58</v>
      </c>
      <c r="U301" t="s">
        <v>59</v>
      </c>
      <c r="V301" s="3">
        <v>0.1</v>
      </c>
      <c r="W301" s="2">
        <v>0</v>
      </c>
      <c r="X301">
        <v>0</v>
      </c>
      <c r="Y301" t="s">
        <v>264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2.2000000000000002</v>
      </c>
      <c r="AN301" s="2">
        <v>2.2000000000000002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45957</v>
      </c>
      <c r="B302" t="s">
        <v>48</v>
      </c>
      <c r="C302">
        <v>649163</v>
      </c>
      <c r="D302">
        <v>2024476863</v>
      </c>
      <c r="E302" t="s">
        <v>652</v>
      </c>
      <c r="F302" t="s">
        <v>653</v>
      </c>
      <c r="G302" t="s">
        <v>51</v>
      </c>
      <c r="H302" t="s">
        <v>195</v>
      </c>
      <c r="I302" t="s">
        <v>355</v>
      </c>
      <c r="J302" t="s">
        <v>356</v>
      </c>
      <c r="K302">
        <v>650218</v>
      </c>
      <c r="L302" t="s">
        <v>357</v>
      </c>
      <c r="M302" t="s">
        <v>358</v>
      </c>
      <c r="N302" t="s">
        <v>57</v>
      </c>
      <c r="O302" s="1">
        <v>45536</v>
      </c>
      <c r="Q302" s="1">
        <v>45992</v>
      </c>
      <c r="R302" s="2">
        <v>46.13</v>
      </c>
      <c r="S302">
        <v>1</v>
      </c>
      <c r="T302" t="s">
        <v>58</v>
      </c>
      <c r="U302" t="s">
        <v>59</v>
      </c>
      <c r="V302" s="3">
        <v>0.1</v>
      </c>
      <c r="W302" s="2">
        <v>0</v>
      </c>
      <c r="X302">
        <v>0</v>
      </c>
      <c r="Y302" t="s">
        <v>264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4.6100000000000003</v>
      </c>
      <c r="AN302" s="2">
        <v>4.6100000000000003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45957</v>
      </c>
      <c r="B303" t="s">
        <v>48</v>
      </c>
      <c r="C303">
        <v>649163</v>
      </c>
      <c r="D303">
        <v>2024477616</v>
      </c>
      <c r="E303" t="s">
        <v>654</v>
      </c>
      <c r="F303" t="s">
        <v>66</v>
      </c>
      <c r="G303" t="s">
        <v>51</v>
      </c>
      <c r="H303" t="s">
        <v>195</v>
      </c>
      <c r="I303" t="s">
        <v>355</v>
      </c>
      <c r="J303" t="s">
        <v>356</v>
      </c>
      <c r="K303">
        <v>650218</v>
      </c>
      <c r="L303" t="s">
        <v>357</v>
      </c>
      <c r="M303" t="s">
        <v>358</v>
      </c>
      <c r="N303" t="s">
        <v>57</v>
      </c>
      <c r="O303" s="1">
        <v>45536</v>
      </c>
      <c r="Q303" s="1">
        <v>45992</v>
      </c>
      <c r="R303" s="2">
        <v>38.11</v>
      </c>
      <c r="S303">
        <v>1</v>
      </c>
      <c r="T303" t="s">
        <v>58</v>
      </c>
      <c r="U303" t="s">
        <v>59</v>
      </c>
      <c r="V303" s="3">
        <v>0.1</v>
      </c>
      <c r="W303" s="2">
        <v>0</v>
      </c>
      <c r="X303">
        <v>0</v>
      </c>
      <c r="Y303" t="s">
        <v>264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3.81</v>
      </c>
      <c r="AN303" s="2">
        <v>3.81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45957</v>
      </c>
      <c r="B304" t="s">
        <v>48</v>
      </c>
      <c r="C304">
        <v>649163</v>
      </c>
      <c r="D304">
        <v>2024586356</v>
      </c>
      <c r="E304" t="s">
        <v>655</v>
      </c>
      <c r="F304" t="s">
        <v>387</v>
      </c>
      <c r="G304" t="s">
        <v>51</v>
      </c>
      <c r="H304" t="s">
        <v>195</v>
      </c>
      <c r="I304" t="s">
        <v>355</v>
      </c>
      <c r="J304" t="s">
        <v>356</v>
      </c>
      <c r="K304">
        <v>650218</v>
      </c>
      <c r="L304" t="s">
        <v>357</v>
      </c>
      <c r="M304" t="s">
        <v>358</v>
      </c>
      <c r="N304" t="s">
        <v>57</v>
      </c>
      <c r="O304" s="1">
        <v>45536</v>
      </c>
      <c r="Q304" s="1">
        <v>45992</v>
      </c>
      <c r="R304" s="2">
        <v>38.11</v>
      </c>
      <c r="S304">
        <v>1</v>
      </c>
      <c r="T304" t="s">
        <v>58</v>
      </c>
      <c r="U304" t="s">
        <v>59</v>
      </c>
      <c r="V304" s="3">
        <v>0.1</v>
      </c>
      <c r="W304" s="2">
        <v>0</v>
      </c>
      <c r="X304">
        <v>0</v>
      </c>
      <c r="Y304" t="s">
        <v>264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3.81</v>
      </c>
      <c r="AN304" s="2">
        <v>3.81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45957</v>
      </c>
      <c r="B305" t="s">
        <v>48</v>
      </c>
      <c r="C305">
        <v>649163</v>
      </c>
      <c r="D305">
        <v>2024591189</v>
      </c>
      <c r="E305" t="s">
        <v>656</v>
      </c>
      <c r="F305" t="s">
        <v>657</v>
      </c>
      <c r="G305" t="s">
        <v>51</v>
      </c>
      <c r="H305" t="s">
        <v>195</v>
      </c>
      <c r="I305" t="s">
        <v>355</v>
      </c>
      <c r="J305" t="s">
        <v>356</v>
      </c>
      <c r="K305">
        <v>650218</v>
      </c>
      <c r="L305" t="s">
        <v>357</v>
      </c>
      <c r="M305" t="s">
        <v>358</v>
      </c>
      <c r="N305" t="s">
        <v>57</v>
      </c>
      <c r="O305" s="1">
        <v>45536</v>
      </c>
      <c r="Q305" s="1">
        <v>45992</v>
      </c>
      <c r="R305" s="2">
        <v>53.16</v>
      </c>
      <c r="S305">
        <v>1</v>
      </c>
      <c r="T305" t="s">
        <v>58</v>
      </c>
      <c r="U305" t="s">
        <v>59</v>
      </c>
      <c r="V305" s="3">
        <v>0.1</v>
      </c>
      <c r="W305" s="2">
        <v>0</v>
      </c>
      <c r="X305">
        <v>0</v>
      </c>
      <c r="Y305" t="s">
        <v>264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5.32</v>
      </c>
      <c r="AN305" s="2">
        <v>5.32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45957</v>
      </c>
      <c r="B306" t="s">
        <v>48</v>
      </c>
      <c r="C306">
        <v>649163</v>
      </c>
      <c r="D306">
        <v>2024600969</v>
      </c>
      <c r="E306" t="s">
        <v>658</v>
      </c>
      <c r="F306" t="s">
        <v>62</v>
      </c>
      <c r="G306" t="s">
        <v>51</v>
      </c>
      <c r="H306" t="s">
        <v>195</v>
      </c>
      <c r="I306" t="s">
        <v>355</v>
      </c>
      <c r="J306" t="s">
        <v>356</v>
      </c>
      <c r="K306">
        <v>650218</v>
      </c>
      <c r="L306" t="s">
        <v>357</v>
      </c>
      <c r="M306" t="s">
        <v>358</v>
      </c>
      <c r="N306" t="s">
        <v>57</v>
      </c>
      <c r="O306" s="1">
        <v>45536</v>
      </c>
      <c r="Q306" s="1">
        <v>45992</v>
      </c>
      <c r="R306" s="2">
        <v>61.39</v>
      </c>
      <c r="S306">
        <v>1</v>
      </c>
      <c r="T306" t="s">
        <v>58</v>
      </c>
      <c r="U306" t="s">
        <v>59</v>
      </c>
      <c r="V306" s="3">
        <v>0.1</v>
      </c>
      <c r="W306" s="2">
        <v>0</v>
      </c>
      <c r="X306">
        <v>0</v>
      </c>
      <c r="Y306" t="s">
        <v>264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6.14</v>
      </c>
      <c r="AN306" s="2">
        <v>6.14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45957</v>
      </c>
      <c r="B307" t="s">
        <v>48</v>
      </c>
      <c r="C307">
        <v>649163</v>
      </c>
      <c r="D307">
        <v>2024619101</v>
      </c>
      <c r="E307" t="s">
        <v>659</v>
      </c>
      <c r="F307" t="s">
        <v>577</v>
      </c>
      <c r="G307" t="s">
        <v>51</v>
      </c>
      <c r="H307" t="s">
        <v>195</v>
      </c>
      <c r="I307" t="s">
        <v>355</v>
      </c>
      <c r="J307" t="s">
        <v>356</v>
      </c>
      <c r="K307">
        <v>650218</v>
      </c>
      <c r="L307" t="s">
        <v>357</v>
      </c>
      <c r="M307" t="s">
        <v>358</v>
      </c>
      <c r="N307" t="s">
        <v>57</v>
      </c>
      <c r="O307" s="1">
        <v>45536</v>
      </c>
      <c r="Q307" s="1">
        <v>45992</v>
      </c>
      <c r="R307" s="2">
        <v>53.16</v>
      </c>
      <c r="S307">
        <v>1</v>
      </c>
      <c r="T307" t="s">
        <v>58</v>
      </c>
      <c r="U307" t="s">
        <v>59</v>
      </c>
      <c r="V307" s="3">
        <v>0.1</v>
      </c>
      <c r="W307" s="2">
        <v>0</v>
      </c>
      <c r="X307">
        <v>0</v>
      </c>
      <c r="Y307" t="s">
        <v>264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5.32</v>
      </c>
      <c r="AN307" s="2">
        <v>5.32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45957</v>
      </c>
      <c r="B308" t="s">
        <v>48</v>
      </c>
      <c r="C308">
        <v>649163</v>
      </c>
      <c r="D308">
        <v>2024645160</v>
      </c>
      <c r="E308" t="s">
        <v>660</v>
      </c>
      <c r="F308" t="s">
        <v>661</v>
      </c>
      <c r="G308" t="s">
        <v>51</v>
      </c>
      <c r="H308" t="s">
        <v>195</v>
      </c>
      <c r="I308" t="s">
        <v>355</v>
      </c>
      <c r="J308" t="s">
        <v>356</v>
      </c>
      <c r="K308">
        <v>650218</v>
      </c>
      <c r="L308" t="s">
        <v>357</v>
      </c>
      <c r="M308" t="s">
        <v>358</v>
      </c>
      <c r="N308" t="s">
        <v>57</v>
      </c>
      <c r="O308" s="1">
        <v>45536</v>
      </c>
      <c r="Q308" s="1">
        <v>45992</v>
      </c>
      <c r="R308" s="2">
        <v>13.43</v>
      </c>
      <c r="S308">
        <v>1</v>
      </c>
      <c r="T308" t="s">
        <v>58</v>
      </c>
      <c r="U308" t="s">
        <v>59</v>
      </c>
      <c r="V308" s="3">
        <v>0.1</v>
      </c>
      <c r="W308" s="2">
        <v>0</v>
      </c>
      <c r="X308">
        <v>0</v>
      </c>
      <c r="Y308" t="s">
        <v>264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1.34</v>
      </c>
      <c r="AN308" s="2">
        <v>1.34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45957</v>
      </c>
      <c r="B309" t="s">
        <v>48</v>
      </c>
      <c r="C309">
        <v>649163</v>
      </c>
      <c r="D309">
        <v>2025246360</v>
      </c>
      <c r="E309" t="s">
        <v>662</v>
      </c>
      <c r="F309" t="s">
        <v>663</v>
      </c>
      <c r="G309" t="s">
        <v>51</v>
      </c>
      <c r="H309" t="s">
        <v>195</v>
      </c>
      <c r="I309" t="s">
        <v>355</v>
      </c>
      <c r="J309" t="s">
        <v>356</v>
      </c>
      <c r="K309">
        <v>650218</v>
      </c>
      <c r="L309" t="s">
        <v>357</v>
      </c>
      <c r="M309" t="s">
        <v>358</v>
      </c>
      <c r="N309" t="s">
        <v>57</v>
      </c>
      <c r="O309" s="1">
        <v>45597</v>
      </c>
      <c r="Q309" s="1">
        <v>45992</v>
      </c>
      <c r="R309" s="2">
        <v>69.63</v>
      </c>
      <c r="S309">
        <v>1</v>
      </c>
      <c r="T309" t="s">
        <v>58</v>
      </c>
      <c r="U309" t="s">
        <v>59</v>
      </c>
      <c r="V309" s="3">
        <v>0.1</v>
      </c>
      <c r="W309" s="2">
        <v>0</v>
      </c>
      <c r="X309">
        <v>0</v>
      </c>
      <c r="Y309" t="s">
        <v>264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6.96</v>
      </c>
      <c r="AN309" s="2">
        <v>6.96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45957</v>
      </c>
      <c r="B310" t="s">
        <v>48</v>
      </c>
      <c r="C310">
        <v>649163</v>
      </c>
      <c r="D310">
        <v>2025280496</v>
      </c>
      <c r="E310" t="s">
        <v>664</v>
      </c>
      <c r="F310" t="s">
        <v>665</v>
      </c>
      <c r="G310" t="s">
        <v>51</v>
      </c>
      <c r="H310" t="s">
        <v>195</v>
      </c>
      <c r="I310" t="s">
        <v>355</v>
      </c>
      <c r="J310" t="s">
        <v>356</v>
      </c>
      <c r="K310">
        <v>650218</v>
      </c>
      <c r="L310" t="s">
        <v>357</v>
      </c>
      <c r="M310" t="s">
        <v>358</v>
      </c>
      <c r="N310" t="s">
        <v>57</v>
      </c>
      <c r="O310" s="1">
        <v>45597</v>
      </c>
      <c r="Q310" s="1">
        <v>45992</v>
      </c>
      <c r="R310" s="2">
        <v>19.309999999999999</v>
      </c>
      <c r="S310">
        <v>1</v>
      </c>
      <c r="T310" t="s">
        <v>58</v>
      </c>
      <c r="U310" t="s">
        <v>59</v>
      </c>
      <c r="V310" s="3">
        <v>0.1</v>
      </c>
      <c r="W310" s="2">
        <v>0</v>
      </c>
      <c r="X310">
        <v>0</v>
      </c>
      <c r="Y310" t="s">
        <v>264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1.93</v>
      </c>
      <c r="AN310" s="2">
        <v>1.93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45957</v>
      </c>
      <c r="B311" t="s">
        <v>48</v>
      </c>
      <c r="C311">
        <v>649163</v>
      </c>
      <c r="D311">
        <v>2025303843</v>
      </c>
      <c r="E311" t="s">
        <v>503</v>
      </c>
      <c r="F311" t="s">
        <v>504</v>
      </c>
      <c r="G311" t="s">
        <v>51</v>
      </c>
      <c r="H311" t="s">
        <v>195</v>
      </c>
      <c r="I311" t="s">
        <v>355</v>
      </c>
      <c r="J311" t="s">
        <v>356</v>
      </c>
      <c r="K311">
        <v>650218</v>
      </c>
      <c r="L311" t="s">
        <v>357</v>
      </c>
      <c r="M311" t="s">
        <v>358</v>
      </c>
      <c r="N311" t="s">
        <v>57</v>
      </c>
      <c r="O311" s="1">
        <v>45597</v>
      </c>
      <c r="Q311" s="1">
        <v>45992</v>
      </c>
      <c r="R311" s="2">
        <v>61.39</v>
      </c>
      <c r="S311">
        <v>1</v>
      </c>
      <c r="T311" t="s">
        <v>58</v>
      </c>
      <c r="U311" t="s">
        <v>59</v>
      </c>
      <c r="V311" s="3">
        <v>0.1</v>
      </c>
      <c r="W311" s="2">
        <v>0</v>
      </c>
      <c r="X311">
        <v>0</v>
      </c>
      <c r="Y311" t="s">
        <v>264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6.14</v>
      </c>
      <c r="AN311" s="2">
        <v>6.14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45957</v>
      </c>
      <c r="B312" t="s">
        <v>48</v>
      </c>
      <c r="C312">
        <v>649163</v>
      </c>
      <c r="D312">
        <v>2025320099</v>
      </c>
      <c r="E312" t="s">
        <v>666</v>
      </c>
      <c r="F312" t="s">
        <v>651</v>
      </c>
      <c r="G312" t="s">
        <v>51</v>
      </c>
      <c r="H312" t="s">
        <v>195</v>
      </c>
      <c r="I312" t="s">
        <v>355</v>
      </c>
      <c r="J312" t="s">
        <v>356</v>
      </c>
      <c r="K312">
        <v>650218</v>
      </c>
      <c r="L312" t="s">
        <v>357</v>
      </c>
      <c r="M312" t="s">
        <v>358</v>
      </c>
      <c r="N312" t="s">
        <v>57</v>
      </c>
      <c r="O312" s="1">
        <v>45597</v>
      </c>
      <c r="Q312" s="1">
        <v>45992</v>
      </c>
      <c r="R312" s="2">
        <v>61.39</v>
      </c>
      <c r="S312">
        <v>1</v>
      </c>
      <c r="T312" t="s">
        <v>58</v>
      </c>
      <c r="U312" t="s">
        <v>59</v>
      </c>
      <c r="V312" s="3">
        <v>0.1</v>
      </c>
      <c r="W312" s="2">
        <v>0</v>
      </c>
      <c r="X312">
        <v>0</v>
      </c>
      <c r="Y312" t="s">
        <v>264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6.14</v>
      </c>
      <c r="AN312" s="2">
        <v>6.14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45957</v>
      </c>
      <c r="B313" t="s">
        <v>48</v>
      </c>
      <c r="C313">
        <v>649163</v>
      </c>
      <c r="D313">
        <v>2025366542</v>
      </c>
      <c r="E313" t="s">
        <v>667</v>
      </c>
      <c r="F313" t="s">
        <v>668</v>
      </c>
      <c r="G313" t="s">
        <v>51</v>
      </c>
      <c r="H313" t="s">
        <v>234</v>
      </c>
      <c r="I313" t="s">
        <v>355</v>
      </c>
      <c r="J313" t="s">
        <v>356</v>
      </c>
      <c r="K313">
        <v>756418</v>
      </c>
      <c r="L313" t="s">
        <v>191</v>
      </c>
      <c r="M313" t="s">
        <v>192</v>
      </c>
      <c r="N313" t="s">
        <v>57</v>
      </c>
      <c r="O313" s="1">
        <v>45597</v>
      </c>
      <c r="Q313" s="1">
        <v>45992</v>
      </c>
      <c r="R313" s="2">
        <v>55.07</v>
      </c>
      <c r="S313">
        <v>1</v>
      </c>
      <c r="T313" t="s">
        <v>58</v>
      </c>
      <c r="U313" t="s">
        <v>59</v>
      </c>
      <c r="V313" s="3">
        <v>0.1</v>
      </c>
      <c r="W313" s="2">
        <v>0</v>
      </c>
      <c r="X313">
        <v>0</v>
      </c>
      <c r="Y313" t="s">
        <v>264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5.51</v>
      </c>
      <c r="AN313" s="2">
        <v>5.51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45957</v>
      </c>
      <c r="B314" t="s">
        <v>48</v>
      </c>
      <c r="C314">
        <v>649163</v>
      </c>
      <c r="D314">
        <v>2025378907</v>
      </c>
      <c r="E314" t="s">
        <v>505</v>
      </c>
      <c r="F314" t="s">
        <v>506</v>
      </c>
      <c r="G314" t="s">
        <v>51</v>
      </c>
      <c r="H314" t="s">
        <v>195</v>
      </c>
      <c r="I314" t="s">
        <v>355</v>
      </c>
      <c r="J314" t="s">
        <v>356</v>
      </c>
      <c r="K314">
        <v>650218</v>
      </c>
      <c r="L314" t="s">
        <v>357</v>
      </c>
      <c r="M314" t="s">
        <v>358</v>
      </c>
      <c r="N314" t="s">
        <v>57</v>
      </c>
      <c r="O314" s="1">
        <v>45597</v>
      </c>
      <c r="Q314" s="1">
        <v>45992</v>
      </c>
      <c r="R314" s="2">
        <v>47.17</v>
      </c>
      <c r="S314">
        <v>1</v>
      </c>
      <c r="T314" t="s">
        <v>58</v>
      </c>
      <c r="U314" t="s">
        <v>59</v>
      </c>
      <c r="V314" s="3">
        <v>0.1</v>
      </c>
      <c r="W314" s="2">
        <v>0</v>
      </c>
      <c r="X314">
        <v>0</v>
      </c>
      <c r="Y314" t="s">
        <v>264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4.72</v>
      </c>
      <c r="AN314" s="2">
        <v>4.72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45957</v>
      </c>
      <c r="B315" t="s">
        <v>48</v>
      </c>
      <c r="C315">
        <v>649163</v>
      </c>
      <c r="D315">
        <v>2025422150</v>
      </c>
      <c r="E315" t="s">
        <v>669</v>
      </c>
      <c r="F315" t="s">
        <v>404</v>
      </c>
      <c r="G315" t="s">
        <v>51</v>
      </c>
      <c r="H315" t="s">
        <v>195</v>
      </c>
      <c r="I315" t="s">
        <v>355</v>
      </c>
      <c r="J315" t="s">
        <v>356</v>
      </c>
      <c r="K315">
        <v>650218</v>
      </c>
      <c r="L315" t="s">
        <v>357</v>
      </c>
      <c r="M315" t="s">
        <v>358</v>
      </c>
      <c r="N315" t="s">
        <v>57</v>
      </c>
      <c r="O315" s="1">
        <v>45597</v>
      </c>
      <c r="Q315" s="1">
        <v>45992</v>
      </c>
      <c r="R315" s="2">
        <v>47.17</v>
      </c>
      <c r="S315">
        <v>1</v>
      </c>
      <c r="T315" t="s">
        <v>58</v>
      </c>
      <c r="U315" t="s">
        <v>59</v>
      </c>
      <c r="V315" s="3">
        <v>0.1</v>
      </c>
      <c r="W315" s="2">
        <v>0</v>
      </c>
      <c r="X315">
        <v>0</v>
      </c>
      <c r="Y315" t="s">
        <v>264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4.72</v>
      </c>
      <c r="AN315" s="2">
        <v>4.72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45957</v>
      </c>
      <c r="B316" t="s">
        <v>48</v>
      </c>
      <c r="C316">
        <v>649163</v>
      </c>
      <c r="D316">
        <v>2025466191</v>
      </c>
      <c r="E316" t="s">
        <v>670</v>
      </c>
      <c r="F316" t="s">
        <v>671</v>
      </c>
      <c r="G316" t="s">
        <v>51</v>
      </c>
      <c r="H316" t="s">
        <v>195</v>
      </c>
      <c r="I316" t="s">
        <v>355</v>
      </c>
      <c r="J316" t="s">
        <v>356</v>
      </c>
      <c r="K316">
        <v>650218</v>
      </c>
      <c r="L316" t="s">
        <v>357</v>
      </c>
      <c r="M316" t="s">
        <v>358</v>
      </c>
      <c r="N316" t="s">
        <v>57</v>
      </c>
      <c r="O316" s="1">
        <v>45597</v>
      </c>
      <c r="Q316" s="1">
        <v>45992</v>
      </c>
      <c r="R316" s="2">
        <v>19.309999999999999</v>
      </c>
      <c r="S316">
        <v>1</v>
      </c>
      <c r="T316" t="s">
        <v>58</v>
      </c>
      <c r="U316" t="s">
        <v>59</v>
      </c>
      <c r="V316" s="3">
        <v>0.1</v>
      </c>
      <c r="W316" s="2">
        <v>0</v>
      </c>
      <c r="X316">
        <v>0</v>
      </c>
      <c r="Y316" t="s">
        <v>264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1.93</v>
      </c>
      <c r="AN316" s="2">
        <v>1.93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45957</v>
      </c>
      <c r="B317" t="s">
        <v>48</v>
      </c>
      <c r="C317">
        <v>649163</v>
      </c>
      <c r="D317">
        <v>2025486440</v>
      </c>
      <c r="E317" t="s">
        <v>507</v>
      </c>
      <c r="F317" t="s">
        <v>374</v>
      </c>
      <c r="G317" t="s">
        <v>51</v>
      </c>
      <c r="H317" t="s">
        <v>129</v>
      </c>
      <c r="I317" t="s">
        <v>355</v>
      </c>
      <c r="J317" t="s">
        <v>356</v>
      </c>
      <c r="K317">
        <v>650218</v>
      </c>
      <c r="L317" t="s">
        <v>357</v>
      </c>
      <c r="M317" t="s">
        <v>358</v>
      </c>
      <c r="N317" t="s">
        <v>57</v>
      </c>
      <c r="O317" s="1">
        <v>45597</v>
      </c>
      <c r="Q317" s="1">
        <v>45992</v>
      </c>
      <c r="R317" s="2">
        <v>75.069999999999993</v>
      </c>
      <c r="S317">
        <v>1</v>
      </c>
      <c r="T317" t="s">
        <v>58</v>
      </c>
      <c r="U317" t="s">
        <v>59</v>
      </c>
      <c r="V317" s="3">
        <v>0.1</v>
      </c>
      <c r="W317" s="2">
        <v>0</v>
      </c>
      <c r="X317">
        <v>0</v>
      </c>
      <c r="Y317" t="s">
        <v>264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7.51</v>
      </c>
      <c r="AN317" s="2">
        <v>7.51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45957</v>
      </c>
      <c r="B318" t="s">
        <v>48</v>
      </c>
      <c r="C318">
        <v>649163</v>
      </c>
      <c r="D318">
        <v>2025541353</v>
      </c>
      <c r="E318" t="s">
        <v>672</v>
      </c>
      <c r="F318" t="s">
        <v>673</v>
      </c>
      <c r="G318" t="s">
        <v>51</v>
      </c>
      <c r="H318" t="s">
        <v>208</v>
      </c>
      <c r="I318" t="s">
        <v>355</v>
      </c>
      <c r="J318" t="s">
        <v>356</v>
      </c>
      <c r="K318">
        <v>650218</v>
      </c>
      <c r="L318" t="s">
        <v>357</v>
      </c>
      <c r="M318" t="s">
        <v>358</v>
      </c>
      <c r="N318" t="s">
        <v>57</v>
      </c>
      <c r="O318" s="1">
        <v>45597</v>
      </c>
      <c r="Q318" s="1">
        <v>45992</v>
      </c>
      <c r="R318" s="2">
        <v>18.61</v>
      </c>
      <c r="S318">
        <v>1</v>
      </c>
      <c r="T318" t="s">
        <v>58</v>
      </c>
      <c r="U318" t="s">
        <v>59</v>
      </c>
      <c r="V318" s="3">
        <v>0.1</v>
      </c>
      <c r="W318" s="2">
        <v>0</v>
      </c>
      <c r="X318">
        <v>0</v>
      </c>
      <c r="Y318" t="s">
        <v>264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1.86</v>
      </c>
      <c r="AN318" s="2">
        <v>1.86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45957</v>
      </c>
      <c r="B319" t="s">
        <v>48</v>
      </c>
      <c r="C319">
        <v>649163</v>
      </c>
      <c r="D319">
        <v>2025563319</v>
      </c>
      <c r="E319" t="s">
        <v>674</v>
      </c>
      <c r="F319" t="s">
        <v>675</v>
      </c>
      <c r="G319" t="s">
        <v>51</v>
      </c>
      <c r="H319" t="s">
        <v>78</v>
      </c>
      <c r="I319" t="s">
        <v>355</v>
      </c>
      <c r="J319" t="s">
        <v>356</v>
      </c>
      <c r="K319">
        <v>650218</v>
      </c>
      <c r="L319" t="s">
        <v>357</v>
      </c>
      <c r="M319" t="s">
        <v>358</v>
      </c>
      <c r="N319" t="s">
        <v>57</v>
      </c>
      <c r="O319" s="1">
        <v>45597</v>
      </c>
      <c r="Q319" s="1">
        <v>45992</v>
      </c>
      <c r="R319" s="2">
        <v>33.630000000000003</v>
      </c>
      <c r="S319">
        <v>1</v>
      </c>
      <c r="T319" t="s">
        <v>58</v>
      </c>
      <c r="U319" t="s">
        <v>59</v>
      </c>
      <c r="V319" s="3">
        <v>0.1</v>
      </c>
      <c r="W319" s="2">
        <v>0</v>
      </c>
      <c r="X319">
        <v>0</v>
      </c>
      <c r="Y319" t="s">
        <v>264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3.36</v>
      </c>
      <c r="AN319" s="2">
        <v>3.36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45957</v>
      </c>
      <c r="B320" t="s">
        <v>48</v>
      </c>
      <c r="C320">
        <v>649163</v>
      </c>
      <c r="D320">
        <v>2025934063</v>
      </c>
      <c r="E320" t="s">
        <v>508</v>
      </c>
      <c r="F320" t="s">
        <v>509</v>
      </c>
      <c r="G320" t="s">
        <v>51</v>
      </c>
      <c r="H320" t="s">
        <v>195</v>
      </c>
      <c r="I320" t="s">
        <v>355</v>
      </c>
      <c r="J320" t="s">
        <v>356</v>
      </c>
      <c r="K320">
        <v>751867</v>
      </c>
      <c r="L320" t="s">
        <v>349</v>
      </c>
      <c r="M320" t="s">
        <v>312</v>
      </c>
      <c r="N320" t="s">
        <v>57</v>
      </c>
      <c r="O320" s="1">
        <v>45627</v>
      </c>
      <c r="Q320" s="1">
        <v>45962</v>
      </c>
      <c r="R320" s="2">
        <v>27.15</v>
      </c>
      <c r="S320">
        <v>1</v>
      </c>
      <c r="T320" t="s">
        <v>58</v>
      </c>
      <c r="U320" t="s">
        <v>59</v>
      </c>
      <c r="V320" s="3">
        <v>0.38</v>
      </c>
      <c r="W320" s="2">
        <v>0</v>
      </c>
      <c r="X320">
        <v>0</v>
      </c>
      <c r="Y320" t="s">
        <v>60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10.32</v>
      </c>
      <c r="AN320" s="2">
        <v>10.32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45957</v>
      </c>
      <c r="B321" t="s">
        <v>48</v>
      </c>
      <c r="C321">
        <v>649163</v>
      </c>
      <c r="D321">
        <v>2025967188</v>
      </c>
      <c r="E321" t="s">
        <v>547</v>
      </c>
      <c r="F321" t="s">
        <v>676</v>
      </c>
      <c r="G321" t="s">
        <v>51</v>
      </c>
      <c r="H321" t="s">
        <v>234</v>
      </c>
      <c r="I321" t="s">
        <v>355</v>
      </c>
      <c r="J321" t="s">
        <v>356</v>
      </c>
      <c r="K321">
        <v>756418</v>
      </c>
      <c r="L321" t="s">
        <v>191</v>
      </c>
      <c r="M321" t="s">
        <v>192</v>
      </c>
      <c r="N321" t="s">
        <v>57</v>
      </c>
      <c r="O321" s="1">
        <v>45626</v>
      </c>
      <c r="Q321" s="1">
        <v>45991</v>
      </c>
      <c r="R321" s="2">
        <v>20.97</v>
      </c>
      <c r="S321">
        <v>1</v>
      </c>
      <c r="T321" t="s">
        <v>58</v>
      </c>
      <c r="U321" t="s">
        <v>59</v>
      </c>
      <c r="V321" s="3">
        <v>0.38</v>
      </c>
      <c r="W321" s="2">
        <v>0</v>
      </c>
      <c r="X321">
        <v>0</v>
      </c>
      <c r="Y321" t="s">
        <v>60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7.97</v>
      </c>
      <c r="AN321" s="2">
        <v>7.97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45957</v>
      </c>
      <c r="B322" t="s">
        <v>48</v>
      </c>
      <c r="C322">
        <v>649163</v>
      </c>
      <c r="D322">
        <v>2026262564</v>
      </c>
      <c r="E322" t="s">
        <v>580</v>
      </c>
      <c r="F322" t="s">
        <v>581</v>
      </c>
      <c r="G322" t="s">
        <v>51</v>
      </c>
      <c r="H322" t="s">
        <v>92</v>
      </c>
      <c r="I322" t="s">
        <v>355</v>
      </c>
      <c r="J322" t="s">
        <v>356</v>
      </c>
      <c r="K322">
        <v>816021</v>
      </c>
      <c r="L322" t="s">
        <v>93</v>
      </c>
      <c r="M322" t="s">
        <v>94</v>
      </c>
      <c r="N322" t="s">
        <v>57</v>
      </c>
      <c r="O322" s="1">
        <v>45647</v>
      </c>
      <c r="Q322" s="1">
        <v>45982</v>
      </c>
      <c r="R322" s="2">
        <v>16.91</v>
      </c>
      <c r="S322">
        <v>1</v>
      </c>
      <c r="T322" t="s">
        <v>58</v>
      </c>
      <c r="U322" t="s">
        <v>59</v>
      </c>
      <c r="V322" s="3">
        <v>0.38</v>
      </c>
      <c r="W322" s="2">
        <v>0</v>
      </c>
      <c r="X322">
        <v>0</v>
      </c>
      <c r="Y322" t="s">
        <v>60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6.43</v>
      </c>
      <c r="AN322" s="2">
        <v>6.43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45957</v>
      </c>
      <c r="B323" t="s">
        <v>48</v>
      </c>
      <c r="C323">
        <v>649163</v>
      </c>
      <c r="D323">
        <v>2026510506</v>
      </c>
      <c r="E323" t="s">
        <v>677</v>
      </c>
      <c r="F323" t="s">
        <v>56</v>
      </c>
      <c r="G323" t="s">
        <v>51</v>
      </c>
      <c r="H323" t="s">
        <v>195</v>
      </c>
      <c r="I323" t="s">
        <v>355</v>
      </c>
      <c r="J323" t="s">
        <v>356</v>
      </c>
      <c r="K323">
        <v>650218</v>
      </c>
      <c r="L323" t="s">
        <v>357</v>
      </c>
      <c r="M323" t="s">
        <v>358</v>
      </c>
      <c r="N323" t="s">
        <v>57</v>
      </c>
      <c r="O323" s="1">
        <v>45689</v>
      </c>
      <c r="Q323" s="1">
        <v>45992</v>
      </c>
      <c r="R323" s="2">
        <v>57.53</v>
      </c>
      <c r="S323">
        <v>1</v>
      </c>
      <c r="T323" t="s">
        <v>58</v>
      </c>
      <c r="U323" t="s">
        <v>59</v>
      </c>
      <c r="V323" s="3">
        <v>0.38</v>
      </c>
      <c r="W323" s="2">
        <v>0</v>
      </c>
      <c r="X323">
        <v>0</v>
      </c>
      <c r="Y323" t="s">
        <v>60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21.86</v>
      </c>
      <c r="AN323" s="2">
        <v>21.86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45957</v>
      </c>
      <c r="B324" t="s">
        <v>48</v>
      </c>
      <c r="C324">
        <v>649163</v>
      </c>
      <c r="D324">
        <v>2026541089</v>
      </c>
      <c r="E324" t="s">
        <v>678</v>
      </c>
      <c r="F324" t="s">
        <v>679</v>
      </c>
      <c r="G324" t="s">
        <v>51</v>
      </c>
      <c r="H324" t="s">
        <v>195</v>
      </c>
      <c r="I324" t="s">
        <v>355</v>
      </c>
      <c r="J324" t="s">
        <v>356</v>
      </c>
      <c r="K324">
        <v>650218</v>
      </c>
      <c r="L324" t="s">
        <v>357</v>
      </c>
      <c r="M324" t="s">
        <v>358</v>
      </c>
      <c r="N324" t="s">
        <v>57</v>
      </c>
      <c r="O324" s="1">
        <v>45689</v>
      </c>
      <c r="Q324" s="1">
        <v>45992</v>
      </c>
      <c r="R324" s="2">
        <v>55.16</v>
      </c>
      <c r="S324">
        <v>1</v>
      </c>
      <c r="T324" t="s">
        <v>58</v>
      </c>
      <c r="U324" t="s">
        <v>59</v>
      </c>
      <c r="V324" s="3">
        <v>0.38</v>
      </c>
      <c r="W324" s="2">
        <v>0</v>
      </c>
      <c r="X324">
        <v>0</v>
      </c>
      <c r="Y324" t="s">
        <v>60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20.96</v>
      </c>
      <c r="AN324" s="2">
        <v>20.96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45957</v>
      </c>
      <c r="B325" t="s">
        <v>48</v>
      </c>
      <c r="C325">
        <v>649163</v>
      </c>
      <c r="D325">
        <v>2026610947</v>
      </c>
      <c r="E325" t="s">
        <v>512</v>
      </c>
      <c r="F325" t="s">
        <v>513</v>
      </c>
      <c r="G325" t="s">
        <v>51</v>
      </c>
      <c r="H325" t="s">
        <v>195</v>
      </c>
      <c r="I325" t="s">
        <v>355</v>
      </c>
      <c r="J325" t="s">
        <v>356</v>
      </c>
      <c r="K325">
        <v>751867</v>
      </c>
      <c r="L325" t="s">
        <v>349</v>
      </c>
      <c r="M325" t="s">
        <v>312</v>
      </c>
      <c r="N325" t="s">
        <v>57</v>
      </c>
      <c r="O325" s="1">
        <v>45689</v>
      </c>
      <c r="Q325" s="1">
        <v>45992</v>
      </c>
      <c r="R325" s="2">
        <v>46.13</v>
      </c>
      <c r="S325">
        <v>1</v>
      </c>
      <c r="T325" t="s">
        <v>58</v>
      </c>
      <c r="U325" t="s">
        <v>59</v>
      </c>
      <c r="V325" s="3">
        <v>0.38</v>
      </c>
      <c r="W325" s="2">
        <v>0</v>
      </c>
      <c r="X325">
        <v>0</v>
      </c>
      <c r="Y325" t="s">
        <v>60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17.53</v>
      </c>
      <c r="AN325" s="2">
        <v>17.53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45957</v>
      </c>
      <c r="B326" t="s">
        <v>48</v>
      </c>
      <c r="C326">
        <v>649163</v>
      </c>
      <c r="D326">
        <v>2026615270</v>
      </c>
      <c r="E326" t="s">
        <v>584</v>
      </c>
      <c r="F326" t="s">
        <v>585</v>
      </c>
      <c r="G326" t="s">
        <v>51</v>
      </c>
      <c r="H326" t="s">
        <v>92</v>
      </c>
      <c r="I326" t="s">
        <v>355</v>
      </c>
      <c r="J326" t="s">
        <v>356</v>
      </c>
      <c r="K326">
        <v>816021</v>
      </c>
      <c r="L326" t="s">
        <v>93</v>
      </c>
      <c r="M326" t="s">
        <v>94</v>
      </c>
      <c r="N326" t="s">
        <v>57</v>
      </c>
      <c r="O326" s="1">
        <v>45689</v>
      </c>
      <c r="Q326" s="1">
        <v>45992</v>
      </c>
      <c r="R326" s="2">
        <v>29.31</v>
      </c>
      <c r="S326">
        <v>1</v>
      </c>
      <c r="T326" t="s">
        <v>58</v>
      </c>
      <c r="U326" t="s">
        <v>59</v>
      </c>
      <c r="V326" s="3">
        <v>0.38</v>
      </c>
      <c r="W326" s="2">
        <v>0</v>
      </c>
      <c r="X326">
        <v>0</v>
      </c>
      <c r="Y326" t="s">
        <v>60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11.14</v>
      </c>
      <c r="AN326" s="2">
        <v>11.14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45957</v>
      </c>
      <c r="B327" t="s">
        <v>48</v>
      </c>
      <c r="C327">
        <v>649163</v>
      </c>
      <c r="D327">
        <v>2026649886</v>
      </c>
      <c r="E327" t="s">
        <v>514</v>
      </c>
      <c r="F327" t="s">
        <v>515</v>
      </c>
      <c r="G327" t="s">
        <v>51</v>
      </c>
      <c r="H327" t="s">
        <v>78</v>
      </c>
      <c r="I327" t="s">
        <v>355</v>
      </c>
      <c r="J327" t="s">
        <v>356</v>
      </c>
      <c r="K327">
        <v>650218</v>
      </c>
      <c r="L327" t="s">
        <v>357</v>
      </c>
      <c r="M327" t="s">
        <v>358</v>
      </c>
      <c r="N327" t="s">
        <v>57</v>
      </c>
      <c r="O327" s="1">
        <v>45689</v>
      </c>
      <c r="Q327" s="1">
        <v>45992</v>
      </c>
      <c r="R327" s="2">
        <v>26.12</v>
      </c>
      <c r="S327">
        <v>1</v>
      </c>
      <c r="T327" t="s">
        <v>58</v>
      </c>
      <c r="U327" t="s">
        <v>59</v>
      </c>
      <c r="V327" s="3">
        <v>0.38</v>
      </c>
      <c r="W327" s="2">
        <v>0</v>
      </c>
      <c r="X327">
        <v>0</v>
      </c>
      <c r="Y327" t="s">
        <v>60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9.93</v>
      </c>
      <c r="AN327" s="2">
        <v>9.93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45957</v>
      </c>
      <c r="B328" t="s">
        <v>48</v>
      </c>
      <c r="C328">
        <v>649163</v>
      </c>
      <c r="D328">
        <v>2026740150</v>
      </c>
      <c r="E328" t="s">
        <v>516</v>
      </c>
      <c r="F328" t="s">
        <v>517</v>
      </c>
      <c r="G328" t="s">
        <v>51</v>
      </c>
      <c r="H328" t="s">
        <v>195</v>
      </c>
      <c r="I328" t="s">
        <v>355</v>
      </c>
      <c r="J328" t="s">
        <v>356</v>
      </c>
      <c r="K328">
        <v>650218</v>
      </c>
      <c r="L328" t="s">
        <v>357</v>
      </c>
      <c r="M328" t="s">
        <v>358</v>
      </c>
      <c r="N328" t="s">
        <v>57</v>
      </c>
      <c r="O328" s="1">
        <v>45681</v>
      </c>
      <c r="Q328" s="1">
        <v>45985</v>
      </c>
      <c r="R328" s="2">
        <v>53.16</v>
      </c>
      <c r="S328">
        <v>1</v>
      </c>
      <c r="T328" t="s">
        <v>58</v>
      </c>
      <c r="U328" t="s">
        <v>59</v>
      </c>
      <c r="V328" s="3">
        <v>0.38</v>
      </c>
      <c r="W328" s="2">
        <v>0</v>
      </c>
      <c r="X328">
        <v>0</v>
      </c>
      <c r="Y328" t="s">
        <v>60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20.2</v>
      </c>
      <c r="AN328" s="2">
        <v>20.2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45957</v>
      </c>
      <c r="B329" t="s">
        <v>48</v>
      </c>
      <c r="C329">
        <v>649163</v>
      </c>
      <c r="D329">
        <v>2026805533</v>
      </c>
      <c r="E329" t="s">
        <v>680</v>
      </c>
      <c r="F329" t="s">
        <v>681</v>
      </c>
      <c r="G329" t="s">
        <v>51</v>
      </c>
      <c r="H329" t="s">
        <v>165</v>
      </c>
      <c r="I329" t="s">
        <v>355</v>
      </c>
      <c r="J329" t="s">
        <v>356</v>
      </c>
      <c r="K329">
        <v>650218</v>
      </c>
      <c r="L329" t="s">
        <v>357</v>
      </c>
      <c r="M329" t="s">
        <v>358</v>
      </c>
      <c r="N329" t="s">
        <v>57</v>
      </c>
      <c r="O329" s="1">
        <v>45689</v>
      </c>
      <c r="Q329" s="1">
        <v>45992</v>
      </c>
      <c r="R329" s="2">
        <v>26.12</v>
      </c>
      <c r="S329">
        <v>1</v>
      </c>
      <c r="T329" t="s">
        <v>58</v>
      </c>
      <c r="U329" t="s">
        <v>59</v>
      </c>
      <c r="V329" s="3">
        <v>0.38</v>
      </c>
      <c r="W329" s="2">
        <v>0</v>
      </c>
      <c r="X329">
        <v>0</v>
      </c>
      <c r="Y329" t="s">
        <v>60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9.93</v>
      </c>
      <c r="AN329" s="2">
        <v>9.93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45957</v>
      </c>
      <c r="B330" t="s">
        <v>48</v>
      </c>
      <c r="C330">
        <v>649163</v>
      </c>
      <c r="D330">
        <v>2026812262</v>
      </c>
      <c r="E330" t="s">
        <v>682</v>
      </c>
      <c r="F330" t="s">
        <v>177</v>
      </c>
      <c r="G330" t="s">
        <v>51</v>
      </c>
      <c r="H330" t="s">
        <v>559</v>
      </c>
      <c r="I330" t="s">
        <v>355</v>
      </c>
      <c r="J330" t="s">
        <v>356</v>
      </c>
      <c r="K330">
        <v>650218</v>
      </c>
      <c r="L330" t="s">
        <v>357</v>
      </c>
      <c r="M330" t="s">
        <v>358</v>
      </c>
      <c r="N330" t="s">
        <v>57</v>
      </c>
      <c r="O330" s="1">
        <v>45689</v>
      </c>
      <c r="Q330" s="1">
        <v>45992</v>
      </c>
      <c r="R330" s="2">
        <v>35.94</v>
      </c>
      <c r="S330">
        <v>1</v>
      </c>
      <c r="T330" t="s">
        <v>58</v>
      </c>
      <c r="U330" t="s">
        <v>59</v>
      </c>
      <c r="V330" s="3">
        <v>0.38</v>
      </c>
      <c r="W330" s="2">
        <v>0</v>
      </c>
      <c r="X330">
        <v>0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13.66</v>
      </c>
      <c r="AN330" s="2">
        <v>13.66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45957</v>
      </c>
      <c r="B331" t="s">
        <v>48</v>
      </c>
      <c r="C331">
        <v>649163</v>
      </c>
      <c r="D331">
        <v>2026812434</v>
      </c>
      <c r="E331" t="s">
        <v>600</v>
      </c>
      <c r="F331" t="s">
        <v>601</v>
      </c>
      <c r="G331" t="s">
        <v>51</v>
      </c>
      <c r="H331" t="s">
        <v>92</v>
      </c>
      <c r="I331" t="s">
        <v>355</v>
      </c>
      <c r="J331" t="s">
        <v>356</v>
      </c>
      <c r="K331">
        <v>816021</v>
      </c>
      <c r="L331" t="s">
        <v>93</v>
      </c>
      <c r="M331" t="s">
        <v>94</v>
      </c>
      <c r="N331" t="s">
        <v>57</v>
      </c>
      <c r="O331" s="1">
        <v>45690</v>
      </c>
      <c r="Q331" s="1">
        <v>45993</v>
      </c>
      <c r="R331" s="2">
        <v>50.18</v>
      </c>
      <c r="S331">
        <v>1</v>
      </c>
      <c r="T331" t="s">
        <v>58</v>
      </c>
      <c r="U331" t="s">
        <v>59</v>
      </c>
      <c r="V331" s="3">
        <v>0.38</v>
      </c>
      <c r="W331" s="2">
        <v>0</v>
      </c>
      <c r="X331">
        <v>0</v>
      </c>
      <c r="Y331" t="s">
        <v>60</v>
      </c>
      <c r="Z331" t="s">
        <v>61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19.07</v>
      </c>
      <c r="AN331" s="2">
        <v>19.07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45957</v>
      </c>
      <c r="B332" t="s">
        <v>48</v>
      </c>
      <c r="C332">
        <v>649163</v>
      </c>
      <c r="D332">
        <v>2026874969</v>
      </c>
      <c r="E332" t="s">
        <v>522</v>
      </c>
      <c r="F332" t="s">
        <v>66</v>
      </c>
      <c r="G332" t="s">
        <v>51</v>
      </c>
      <c r="H332" t="s">
        <v>64</v>
      </c>
      <c r="I332" t="s">
        <v>355</v>
      </c>
      <c r="J332" t="s">
        <v>356</v>
      </c>
      <c r="K332">
        <v>751867</v>
      </c>
      <c r="L332" t="s">
        <v>349</v>
      </c>
      <c r="M332" t="s">
        <v>312</v>
      </c>
      <c r="N332" t="s">
        <v>57</v>
      </c>
      <c r="O332" s="1">
        <v>45689</v>
      </c>
      <c r="Q332" s="1">
        <v>45992</v>
      </c>
      <c r="R332" s="2">
        <v>65.989999999999995</v>
      </c>
      <c r="S332">
        <v>1</v>
      </c>
      <c r="T332" t="s">
        <v>58</v>
      </c>
      <c r="U332" t="s">
        <v>59</v>
      </c>
      <c r="V332" s="3">
        <v>0.38</v>
      </c>
      <c r="W332" s="2">
        <v>0</v>
      </c>
      <c r="X332">
        <v>0</v>
      </c>
      <c r="Y332" t="s">
        <v>60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25.08</v>
      </c>
      <c r="AN332" s="2">
        <v>25.08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45957</v>
      </c>
      <c r="B333" t="s">
        <v>48</v>
      </c>
      <c r="C333">
        <v>649163</v>
      </c>
      <c r="D333">
        <v>2027348179</v>
      </c>
      <c r="E333" t="s">
        <v>605</v>
      </c>
      <c r="F333" t="s">
        <v>543</v>
      </c>
      <c r="G333" t="s">
        <v>51</v>
      </c>
      <c r="H333" t="s">
        <v>69</v>
      </c>
      <c r="I333" t="s">
        <v>355</v>
      </c>
      <c r="J333" t="s">
        <v>443</v>
      </c>
      <c r="K333">
        <v>673059</v>
      </c>
      <c r="L333" t="s">
        <v>55</v>
      </c>
      <c r="M333" t="s">
        <v>56</v>
      </c>
      <c r="N333" t="s">
        <v>57</v>
      </c>
      <c r="O333" s="1">
        <v>45716</v>
      </c>
      <c r="Q333" s="1">
        <v>45989</v>
      </c>
      <c r="R333" s="2">
        <v>139</v>
      </c>
      <c r="S333">
        <v>1</v>
      </c>
      <c r="T333" t="s">
        <v>58</v>
      </c>
      <c r="U333" t="s">
        <v>59</v>
      </c>
      <c r="V333" s="3">
        <v>0.38</v>
      </c>
      <c r="W333" s="2">
        <v>0</v>
      </c>
      <c r="X333">
        <v>0</v>
      </c>
      <c r="Y333" t="s">
        <v>60</v>
      </c>
      <c r="Z333" t="s">
        <v>61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52.82</v>
      </c>
      <c r="AN333" s="2">
        <v>52.82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45957</v>
      </c>
      <c r="B334" t="s">
        <v>48</v>
      </c>
      <c r="C334">
        <v>649163</v>
      </c>
      <c r="D334">
        <v>2027665173</v>
      </c>
      <c r="E334" t="s">
        <v>523</v>
      </c>
      <c r="F334" t="s">
        <v>524</v>
      </c>
      <c r="G334" t="s">
        <v>51</v>
      </c>
      <c r="H334" t="s">
        <v>52</v>
      </c>
      <c r="I334" t="s">
        <v>355</v>
      </c>
      <c r="J334" t="s">
        <v>356</v>
      </c>
      <c r="K334">
        <v>751867</v>
      </c>
      <c r="L334" t="s">
        <v>349</v>
      </c>
      <c r="M334" t="s">
        <v>312</v>
      </c>
      <c r="N334" t="s">
        <v>57</v>
      </c>
      <c r="O334" s="1">
        <v>45748</v>
      </c>
      <c r="Q334" s="1">
        <v>45992</v>
      </c>
      <c r="R334" s="2">
        <v>13.24</v>
      </c>
      <c r="S334">
        <v>1</v>
      </c>
      <c r="T334" t="s">
        <v>58</v>
      </c>
      <c r="U334" t="s">
        <v>59</v>
      </c>
      <c r="V334" s="3">
        <v>0.38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5.03</v>
      </c>
      <c r="AN334" s="2">
        <v>5.03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45957</v>
      </c>
      <c r="B335" t="s">
        <v>48</v>
      </c>
      <c r="C335">
        <v>649163</v>
      </c>
      <c r="D335">
        <v>2027667427</v>
      </c>
      <c r="E335" t="s">
        <v>683</v>
      </c>
      <c r="F335" t="s">
        <v>684</v>
      </c>
      <c r="G335" t="s">
        <v>51</v>
      </c>
      <c r="H335" t="s">
        <v>195</v>
      </c>
      <c r="I335" t="s">
        <v>355</v>
      </c>
      <c r="J335" t="s">
        <v>356</v>
      </c>
      <c r="K335">
        <v>650218</v>
      </c>
      <c r="L335" t="s">
        <v>357</v>
      </c>
      <c r="M335" t="s">
        <v>358</v>
      </c>
      <c r="N335" t="s">
        <v>57</v>
      </c>
      <c r="O335" s="1">
        <v>45748</v>
      </c>
      <c r="Q335" s="1">
        <v>45992</v>
      </c>
      <c r="R335" s="2">
        <v>46.13</v>
      </c>
      <c r="S335">
        <v>1</v>
      </c>
      <c r="T335" t="s">
        <v>58</v>
      </c>
      <c r="U335" t="s">
        <v>59</v>
      </c>
      <c r="V335" s="3">
        <v>0.38</v>
      </c>
      <c r="W335" s="2">
        <v>0</v>
      </c>
      <c r="X335">
        <v>0</v>
      </c>
      <c r="Y335" t="s">
        <v>60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17.53</v>
      </c>
      <c r="AN335" s="2">
        <v>17.53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45957</v>
      </c>
      <c r="B336" t="s">
        <v>48</v>
      </c>
      <c r="C336">
        <v>649163</v>
      </c>
      <c r="D336">
        <v>2027762074</v>
      </c>
      <c r="E336" t="s">
        <v>528</v>
      </c>
      <c r="F336" t="s">
        <v>529</v>
      </c>
      <c r="G336" t="s">
        <v>51</v>
      </c>
      <c r="H336" t="s">
        <v>195</v>
      </c>
      <c r="I336" t="s">
        <v>355</v>
      </c>
      <c r="J336" t="s">
        <v>356</v>
      </c>
      <c r="K336">
        <v>751867</v>
      </c>
      <c r="L336" t="s">
        <v>349</v>
      </c>
      <c r="M336" t="s">
        <v>312</v>
      </c>
      <c r="N336" t="s">
        <v>57</v>
      </c>
      <c r="O336" s="1">
        <v>45748</v>
      </c>
      <c r="Q336" s="1">
        <v>45992</v>
      </c>
      <c r="R336" s="2">
        <v>63.67</v>
      </c>
      <c r="S336">
        <v>1</v>
      </c>
      <c r="T336" t="s">
        <v>58</v>
      </c>
      <c r="U336" t="s">
        <v>59</v>
      </c>
      <c r="V336" s="3">
        <v>0.38</v>
      </c>
      <c r="W336" s="2">
        <v>0</v>
      </c>
      <c r="X336">
        <v>0</v>
      </c>
      <c r="Y336" t="s">
        <v>60</v>
      </c>
      <c r="Z336" t="s">
        <v>61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24.19</v>
      </c>
      <c r="AN336" s="2">
        <v>24.19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45957</v>
      </c>
      <c r="B337" t="s">
        <v>48</v>
      </c>
      <c r="C337">
        <v>649163</v>
      </c>
      <c r="D337">
        <v>2027765154</v>
      </c>
      <c r="E337" t="s">
        <v>685</v>
      </c>
      <c r="F337" t="s">
        <v>686</v>
      </c>
      <c r="G337" t="s">
        <v>51</v>
      </c>
      <c r="H337" t="s">
        <v>195</v>
      </c>
      <c r="I337" t="s">
        <v>355</v>
      </c>
      <c r="J337" t="s">
        <v>356</v>
      </c>
      <c r="K337">
        <v>751867</v>
      </c>
      <c r="L337" t="s">
        <v>349</v>
      </c>
      <c r="M337" t="s">
        <v>312</v>
      </c>
      <c r="N337" t="s">
        <v>57</v>
      </c>
      <c r="O337" s="1">
        <v>45748</v>
      </c>
      <c r="Q337" s="1">
        <v>45992</v>
      </c>
      <c r="R337" s="2">
        <v>30.27</v>
      </c>
      <c r="S337">
        <v>1</v>
      </c>
      <c r="T337" t="s">
        <v>58</v>
      </c>
      <c r="U337" t="s">
        <v>59</v>
      </c>
      <c r="V337" s="3">
        <v>0.38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11.5</v>
      </c>
      <c r="AN337" s="2">
        <v>11.5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45957</v>
      </c>
      <c r="B338" t="s">
        <v>48</v>
      </c>
      <c r="C338">
        <v>649163</v>
      </c>
      <c r="D338">
        <v>2028048850</v>
      </c>
      <c r="E338" t="s">
        <v>533</v>
      </c>
      <c r="F338" t="s">
        <v>110</v>
      </c>
      <c r="G338" t="s">
        <v>51</v>
      </c>
      <c r="H338" t="s">
        <v>247</v>
      </c>
      <c r="I338" t="s">
        <v>355</v>
      </c>
      <c r="J338" t="s">
        <v>356</v>
      </c>
      <c r="K338">
        <v>751867</v>
      </c>
      <c r="L338" t="s">
        <v>349</v>
      </c>
      <c r="M338" t="s">
        <v>312</v>
      </c>
      <c r="N338" t="s">
        <v>57</v>
      </c>
      <c r="O338" s="1">
        <v>45748</v>
      </c>
      <c r="Q338" s="1">
        <v>45992</v>
      </c>
      <c r="R338" s="2">
        <v>37.83</v>
      </c>
      <c r="S338">
        <v>1</v>
      </c>
      <c r="T338" t="s">
        <v>58</v>
      </c>
      <c r="U338" t="s">
        <v>59</v>
      </c>
      <c r="V338" s="3">
        <v>0.38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14.38</v>
      </c>
      <c r="AN338" s="2">
        <v>14.38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45957</v>
      </c>
      <c r="B339" t="s">
        <v>48</v>
      </c>
      <c r="C339">
        <v>649163</v>
      </c>
      <c r="D339">
        <v>2028098327</v>
      </c>
      <c r="E339" t="s">
        <v>687</v>
      </c>
      <c r="F339" t="s">
        <v>688</v>
      </c>
      <c r="G339" t="s">
        <v>51</v>
      </c>
      <c r="H339" t="s">
        <v>195</v>
      </c>
      <c r="I339" t="s">
        <v>355</v>
      </c>
      <c r="J339" t="s">
        <v>356</v>
      </c>
      <c r="K339">
        <v>650218</v>
      </c>
      <c r="L339" t="s">
        <v>357</v>
      </c>
      <c r="M339" t="s">
        <v>358</v>
      </c>
      <c r="N339" t="s">
        <v>57</v>
      </c>
      <c r="O339" s="1">
        <v>45748</v>
      </c>
      <c r="Q339" s="1">
        <v>45992</v>
      </c>
      <c r="R339" s="2">
        <v>47.17</v>
      </c>
      <c r="S339">
        <v>1</v>
      </c>
      <c r="T339" t="s">
        <v>58</v>
      </c>
      <c r="U339" t="s">
        <v>59</v>
      </c>
      <c r="V339" s="3">
        <v>0.38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17.920000000000002</v>
      </c>
      <c r="AN339" s="2">
        <v>17.920000000000002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45957</v>
      </c>
      <c r="B340" t="s">
        <v>48</v>
      </c>
      <c r="C340">
        <v>649163</v>
      </c>
      <c r="D340">
        <v>2028215885</v>
      </c>
      <c r="E340" t="s">
        <v>391</v>
      </c>
      <c r="F340" t="s">
        <v>336</v>
      </c>
      <c r="G340" t="s">
        <v>51</v>
      </c>
      <c r="H340" t="s">
        <v>195</v>
      </c>
      <c r="I340" t="s">
        <v>355</v>
      </c>
      <c r="J340" t="s">
        <v>356</v>
      </c>
      <c r="K340">
        <v>751867</v>
      </c>
      <c r="L340" t="s">
        <v>349</v>
      </c>
      <c r="M340" t="s">
        <v>312</v>
      </c>
      <c r="N340" t="s">
        <v>359</v>
      </c>
      <c r="O340" s="1">
        <v>45751</v>
      </c>
      <c r="P340" s="1">
        <v>45957</v>
      </c>
      <c r="Q340" s="1">
        <v>45965</v>
      </c>
      <c r="R340" s="2">
        <v>-55.16</v>
      </c>
      <c r="S340">
        <v>1</v>
      </c>
      <c r="T340" t="s">
        <v>58</v>
      </c>
      <c r="U340" t="s">
        <v>59</v>
      </c>
      <c r="V340" s="3">
        <v>0.38</v>
      </c>
      <c r="W340" s="2">
        <v>0</v>
      </c>
      <c r="X340">
        <v>-1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-20.96</v>
      </c>
      <c r="AN340" s="2">
        <v>-20.96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45957</v>
      </c>
      <c r="B341" t="s">
        <v>48</v>
      </c>
      <c r="C341">
        <v>649163</v>
      </c>
      <c r="D341">
        <v>2028627542</v>
      </c>
      <c r="E341" t="s">
        <v>689</v>
      </c>
      <c r="F341" t="s">
        <v>690</v>
      </c>
      <c r="G341" t="s">
        <v>51</v>
      </c>
      <c r="H341" t="s">
        <v>145</v>
      </c>
      <c r="I341" t="s">
        <v>355</v>
      </c>
      <c r="J341" t="s">
        <v>444</v>
      </c>
      <c r="K341">
        <v>820873</v>
      </c>
      <c r="L341" t="s">
        <v>447</v>
      </c>
      <c r="M341" t="s">
        <v>448</v>
      </c>
      <c r="N341" t="s">
        <v>57</v>
      </c>
      <c r="O341" s="1">
        <v>45774</v>
      </c>
      <c r="Q341" s="1">
        <v>45988</v>
      </c>
      <c r="R341" s="2">
        <v>7.09</v>
      </c>
      <c r="S341">
        <v>1</v>
      </c>
      <c r="T341" t="s">
        <v>58</v>
      </c>
      <c r="U341" t="s">
        <v>59</v>
      </c>
      <c r="V341" s="3">
        <v>0.38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2.69</v>
      </c>
      <c r="AN341" s="2">
        <v>2.69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45957</v>
      </c>
      <c r="B342" t="s">
        <v>48</v>
      </c>
      <c r="C342">
        <v>649163</v>
      </c>
      <c r="D342">
        <v>2028649902</v>
      </c>
      <c r="E342" t="s">
        <v>689</v>
      </c>
      <c r="F342" t="s">
        <v>690</v>
      </c>
      <c r="G342" t="s">
        <v>51</v>
      </c>
      <c r="H342" t="s">
        <v>145</v>
      </c>
      <c r="I342" t="s">
        <v>355</v>
      </c>
      <c r="J342" t="s">
        <v>443</v>
      </c>
      <c r="K342">
        <v>820873</v>
      </c>
      <c r="L342" t="s">
        <v>447</v>
      </c>
      <c r="M342" t="s">
        <v>448</v>
      </c>
      <c r="N342" t="s">
        <v>57</v>
      </c>
      <c r="O342" s="1">
        <v>45776</v>
      </c>
      <c r="Q342" s="1">
        <v>45990</v>
      </c>
      <c r="R342" s="2">
        <v>131.32</v>
      </c>
      <c r="S342">
        <v>1</v>
      </c>
      <c r="T342" t="s">
        <v>58</v>
      </c>
      <c r="U342" t="s">
        <v>59</v>
      </c>
      <c r="V342" s="3">
        <v>0.38</v>
      </c>
      <c r="W342" s="2">
        <v>0</v>
      </c>
      <c r="X342">
        <v>0</v>
      </c>
      <c r="Y342" t="s">
        <v>60</v>
      </c>
      <c r="Z342" t="s">
        <v>61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49.9</v>
      </c>
      <c r="AN342" s="2">
        <v>49.9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45957</v>
      </c>
      <c r="B343" t="s">
        <v>48</v>
      </c>
      <c r="C343">
        <v>649163</v>
      </c>
      <c r="D343">
        <v>2028837567</v>
      </c>
      <c r="E343" t="s">
        <v>485</v>
      </c>
      <c r="F343" t="s">
        <v>544</v>
      </c>
      <c r="G343" t="s">
        <v>51</v>
      </c>
      <c r="H343" t="s">
        <v>78</v>
      </c>
      <c r="I343" t="s">
        <v>355</v>
      </c>
      <c r="J343" t="s">
        <v>356</v>
      </c>
      <c r="K343">
        <v>751867</v>
      </c>
      <c r="L343" t="s">
        <v>349</v>
      </c>
      <c r="M343" t="s">
        <v>312</v>
      </c>
      <c r="N343" t="s">
        <v>57</v>
      </c>
      <c r="O343" s="1">
        <v>45809</v>
      </c>
      <c r="Q343" s="1">
        <v>45992</v>
      </c>
      <c r="R343" s="2">
        <v>36.450000000000003</v>
      </c>
      <c r="S343">
        <v>1</v>
      </c>
      <c r="T343" t="s">
        <v>58</v>
      </c>
      <c r="U343" t="s">
        <v>59</v>
      </c>
      <c r="V343" s="3">
        <v>0.38</v>
      </c>
      <c r="W343" s="2">
        <v>0</v>
      </c>
      <c r="X343">
        <v>0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13.85</v>
      </c>
      <c r="AN343" s="2">
        <v>13.85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45957</v>
      </c>
      <c r="B344" t="s">
        <v>48</v>
      </c>
      <c r="C344">
        <v>649163</v>
      </c>
      <c r="D344">
        <v>2028899052</v>
      </c>
      <c r="E344" t="s">
        <v>691</v>
      </c>
      <c r="F344" t="s">
        <v>692</v>
      </c>
      <c r="G344" t="s">
        <v>51</v>
      </c>
      <c r="H344" t="s">
        <v>69</v>
      </c>
      <c r="I344" t="s">
        <v>355</v>
      </c>
      <c r="J344" t="s">
        <v>356</v>
      </c>
      <c r="K344">
        <v>820873</v>
      </c>
      <c r="L344" t="s">
        <v>447</v>
      </c>
      <c r="M344" t="s">
        <v>448</v>
      </c>
      <c r="N344" t="s">
        <v>57</v>
      </c>
      <c r="O344" s="1">
        <v>45809</v>
      </c>
      <c r="Q344" s="1">
        <v>45992</v>
      </c>
      <c r="R344" s="2">
        <v>5.68</v>
      </c>
      <c r="S344">
        <v>1</v>
      </c>
      <c r="T344" t="s">
        <v>58</v>
      </c>
      <c r="U344" t="s">
        <v>59</v>
      </c>
      <c r="V344" s="3">
        <v>0.38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2.16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45957</v>
      </c>
      <c r="B345" t="s">
        <v>48</v>
      </c>
      <c r="C345">
        <v>649163</v>
      </c>
      <c r="D345">
        <v>2028901562</v>
      </c>
      <c r="E345" t="s">
        <v>693</v>
      </c>
      <c r="F345" t="s">
        <v>694</v>
      </c>
      <c r="G345" t="s">
        <v>51</v>
      </c>
      <c r="H345" t="s">
        <v>195</v>
      </c>
      <c r="I345" t="s">
        <v>355</v>
      </c>
      <c r="J345" t="s">
        <v>356</v>
      </c>
      <c r="K345">
        <v>751867</v>
      </c>
      <c r="L345" t="s">
        <v>349</v>
      </c>
      <c r="M345" t="s">
        <v>312</v>
      </c>
      <c r="N345" t="s">
        <v>57</v>
      </c>
      <c r="O345" s="1">
        <v>45809</v>
      </c>
      <c r="Q345" s="1">
        <v>45992</v>
      </c>
      <c r="R345" s="2">
        <v>55.16</v>
      </c>
      <c r="S345">
        <v>1</v>
      </c>
      <c r="T345" t="s">
        <v>58</v>
      </c>
      <c r="U345" t="s">
        <v>59</v>
      </c>
      <c r="V345" s="3">
        <v>0.38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20.96</v>
      </c>
      <c r="AN345" s="2">
        <v>20.96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45957</v>
      </c>
      <c r="B346" t="s">
        <v>48</v>
      </c>
      <c r="C346">
        <v>649163</v>
      </c>
      <c r="D346">
        <v>2029037968</v>
      </c>
      <c r="E346" t="s">
        <v>695</v>
      </c>
      <c r="F346" t="s">
        <v>99</v>
      </c>
      <c r="G346" t="s">
        <v>51</v>
      </c>
      <c r="H346" t="s">
        <v>696</v>
      </c>
      <c r="I346" t="s">
        <v>355</v>
      </c>
      <c r="J346" t="s">
        <v>356</v>
      </c>
      <c r="K346">
        <v>862109</v>
      </c>
      <c r="L346" t="s">
        <v>697</v>
      </c>
      <c r="M346" t="s">
        <v>698</v>
      </c>
      <c r="N346" t="s">
        <v>57</v>
      </c>
      <c r="O346" s="1">
        <v>45809</v>
      </c>
      <c r="Q346" s="1">
        <v>45992</v>
      </c>
      <c r="R346" s="2">
        <v>24.22</v>
      </c>
      <c r="S346">
        <v>1</v>
      </c>
      <c r="T346" t="s">
        <v>58</v>
      </c>
      <c r="U346" t="s">
        <v>59</v>
      </c>
      <c r="V346" s="3">
        <v>0.38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9.1999999999999993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45957</v>
      </c>
      <c r="B347" t="s">
        <v>48</v>
      </c>
      <c r="C347">
        <v>649163</v>
      </c>
      <c r="D347">
        <v>2029056520</v>
      </c>
      <c r="E347" t="s">
        <v>699</v>
      </c>
      <c r="F347" t="s">
        <v>700</v>
      </c>
      <c r="G347" t="s">
        <v>51</v>
      </c>
      <c r="H347" t="s">
        <v>69</v>
      </c>
      <c r="I347" t="s">
        <v>355</v>
      </c>
      <c r="J347" t="s">
        <v>443</v>
      </c>
      <c r="K347">
        <v>820873</v>
      </c>
      <c r="L347" t="s">
        <v>447</v>
      </c>
      <c r="M347" t="s">
        <v>448</v>
      </c>
      <c r="N347" t="s">
        <v>57</v>
      </c>
      <c r="O347" s="1">
        <v>45809</v>
      </c>
      <c r="Q347" s="1">
        <v>45992</v>
      </c>
      <c r="R347" s="2">
        <v>139</v>
      </c>
      <c r="S347">
        <v>1</v>
      </c>
      <c r="T347" t="s">
        <v>58</v>
      </c>
      <c r="U347" t="s">
        <v>59</v>
      </c>
      <c r="V347" s="3">
        <v>0.38</v>
      </c>
      <c r="W347" s="2">
        <v>0</v>
      </c>
      <c r="X347">
        <v>0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52.82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45957</v>
      </c>
      <c r="B348" t="s">
        <v>48</v>
      </c>
      <c r="C348">
        <v>649163</v>
      </c>
      <c r="D348">
        <v>2029138757</v>
      </c>
      <c r="E348" t="s">
        <v>701</v>
      </c>
      <c r="F348" t="s">
        <v>702</v>
      </c>
      <c r="G348" t="s">
        <v>51</v>
      </c>
      <c r="H348" t="s">
        <v>287</v>
      </c>
      <c r="I348" t="s">
        <v>355</v>
      </c>
      <c r="J348" t="s">
        <v>356</v>
      </c>
      <c r="K348">
        <v>650218</v>
      </c>
      <c r="L348" t="s">
        <v>357</v>
      </c>
      <c r="M348" t="s">
        <v>358</v>
      </c>
      <c r="N348" t="s">
        <v>57</v>
      </c>
      <c r="O348" s="1">
        <v>45809</v>
      </c>
      <c r="Q348" s="1">
        <v>45992</v>
      </c>
      <c r="R348" s="2">
        <v>88.87</v>
      </c>
      <c r="S348">
        <v>1</v>
      </c>
      <c r="T348" t="s">
        <v>58</v>
      </c>
      <c r="U348" t="s">
        <v>59</v>
      </c>
      <c r="V348" s="3">
        <v>0.38</v>
      </c>
      <c r="W348" s="2">
        <v>0</v>
      </c>
      <c r="X348">
        <v>0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33.770000000000003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45957</v>
      </c>
      <c r="B349" t="s">
        <v>48</v>
      </c>
      <c r="C349">
        <v>649163</v>
      </c>
      <c r="D349">
        <v>2029145086</v>
      </c>
      <c r="E349" t="s">
        <v>703</v>
      </c>
      <c r="F349" t="s">
        <v>704</v>
      </c>
      <c r="G349" t="s">
        <v>51</v>
      </c>
      <c r="H349" t="s">
        <v>69</v>
      </c>
      <c r="I349" t="s">
        <v>355</v>
      </c>
      <c r="J349" t="s">
        <v>356</v>
      </c>
      <c r="K349">
        <v>766422</v>
      </c>
      <c r="L349" t="s">
        <v>335</v>
      </c>
      <c r="M349" t="s">
        <v>336</v>
      </c>
      <c r="N349" t="s">
        <v>57</v>
      </c>
      <c r="O349" s="1">
        <v>45805</v>
      </c>
      <c r="Q349" s="1">
        <v>45989</v>
      </c>
      <c r="R349" s="2">
        <v>25.15</v>
      </c>
      <c r="S349">
        <v>1</v>
      </c>
      <c r="T349" t="s">
        <v>58</v>
      </c>
      <c r="U349" t="s">
        <v>59</v>
      </c>
      <c r="V349" s="3">
        <v>0.38</v>
      </c>
      <c r="W349" s="2">
        <v>0</v>
      </c>
      <c r="X349">
        <v>0</v>
      </c>
      <c r="Y349" t="s">
        <v>60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9.5500000000000007</v>
      </c>
      <c r="AM349" s="2">
        <v>0.01</v>
      </c>
      <c r="AN349" s="2">
        <v>0.01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45957</v>
      </c>
      <c r="B350" t="s">
        <v>48</v>
      </c>
      <c r="C350">
        <v>649163</v>
      </c>
      <c r="D350">
        <v>2029620627</v>
      </c>
      <c r="E350" t="s">
        <v>284</v>
      </c>
      <c r="F350" t="s">
        <v>705</v>
      </c>
      <c r="G350" t="s">
        <v>51</v>
      </c>
      <c r="H350" t="s">
        <v>69</v>
      </c>
      <c r="I350" t="s">
        <v>355</v>
      </c>
      <c r="J350" t="s">
        <v>443</v>
      </c>
      <c r="K350">
        <v>824062</v>
      </c>
      <c r="L350" t="s">
        <v>74</v>
      </c>
      <c r="M350" t="s">
        <v>75</v>
      </c>
      <c r="N350" t="s">
        <v>57</v>
      </c>
      <c r="O350" s="1">
        <v>45833</v>
      </c>
      <c r="Q350" s="1">
        <v>45986</v>
      </c>
      <c r="R350" s="2">
        <v>226.98</v>
      </c>
      <c r="S350">
        <v>1</v>
      </c>
      <c r="T350" t="s">
        <v>58</v>
      </c>
      <c r="U350" t="s">
        <v>59</v>
      </c>
      <c r="V350" s="3">
        <v>0.38</v>
      </c>
      <c r="W350" s="2">
        <v>0</v>
      </c>
      <c r="X350">
        <v>0</v>
      </c>
      <c r="Y350" t="s">
        <v>60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86.25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45957</v>
      </c>
      <c r="B351" t="s">
        <v>48</v>
      </c>
      <c r="C351">
        <v>649163</v>
      </c>
      <c r="D351">
        <v>2029620628</v>
      </c>
      <c r="E351" t="s">
        <v>284</v>
      </c>
      <c r="F351" t="s">
        <v>705</v>
      </c>
      <c r="G351" t="s">
        <v>51</v>
      </c>
      <c r="H351" t="s">
        <v>69</v>
      </c>
      <c r="I351" t="s">
        <v>355</v>
      </c>
      <c r="J351" t="s">
        <v>444</v>
      </c>
      <c r="K351">
        <v>824062</v>
      </c>
      <c r="L351" t="s">
        <v>74</v>
      </c>
      <c r="M351" t="s">
        <v>75</v>
      </c>
      <c r="N351" t="s">
        <v>57</v>
      </c>
      <c r="O351" s="1">
        <v>45833</v>
      </c>
      <c r="Q351" s="1">
        <v>45986</v>
      </c>
      <c r="R351" s="2">
        <v>7.09</v>
      </c>
      <c r="S351">
        <v>1</v>
      </c>
      <c r="T351" t="s">
        <v>58</v>
      </c>
      <c r="U351" t="s">
        <v>59</v>
      </c>
      <c r="V351" s="3">
        <v>0.38</v>
      </c>
      <c r="W351" s="2">
        <v>0</v>
      </c>
      <c r="X351">
        <v>0</v>
      </c>
      <c r="Y351" t="s">
        <v>60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2.69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45957</v>
      </c>
      <c r="B352" t="s">
        <v>48</v>
      </c>
      <c r="C352">
        <v>649163</v>
      </c>
      <c r="D352">
        <v>2029623274</v>
      </c>
      <c r="E352" t="s">
        <v>106</v>
      </c>
      <c r="F352" t="s">
        <v>706</v>
      </c>
      <c r="G352" t="s">
        <v>51</v>
      </c>
      <c r="H352" t="s">
        <v>69</v>
      </c>
      <c r="I352" t="s">
        <v>355</v>
      </c>
      <c r="J352" t="s">
        <v>443</v>
      </c>
      <c r="K352">
        <v>840313</v>
      </c>
      <c r="L352" t="s">
        <v>159</v>
      </c>
      <c r="M352" t="s">
        <v>160</v>
      </c>
      <c r="N352" t="s">
        <v>57</v>
      </c>
      <c r="O352" s="1">
        <v>45833</v>
      </c>
      <c r="Q352" s="1">
        <v>45986</v>
      </c>
      <c r="R352" s="2">
        <v>172.55</v>
      </c>
      <c r="S352">
        <v>1</v>
      </c>
      <c r="T352" t="s">
        <v>58</v>
      </c>
      <c r="U352" t="s">
        <v>59</v>
      </c>
      <c r="V352" s="3">
        <v>0.38</v>
      </c>
      <c r="W352" s="2">
        <v>0</v>
      </c>
      <c r="X352">
        <v>0</v>
      </c>
      <c r="Y352" t="s">
        <v>60</v>
      </c>
      <c r="Z352" t="s">
        <v>61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65.569999999999993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45957</v>
      </c>
      <c r="B353" t="s">
        <v>48</v>
      </c>
      <c r="C353">
        <v>649163</v>
      </c>
      <c r="D353">
        <v>2029623275</v>
      </c>
      <c r="E353" t="s">
        <v>106</v>
      </c>
      <c r="F353" t="s">
        <v>706</v>
      </c>
      <c r="G353" t="s">
        <v>51</v>
      </c>
      <c r="H353" t="s">
        <v>69</v>
      </c>
      <c r="I353" t="s">
        <v>355</v>
      </c>
      <c r="J353" t="s">
        <v>444</v>
      </c>
      <c r="K353">
        <v>840313</v>
      </c>
      <c r="L353" t="s">
        <v>159</v>
      </c>
      <c r="M353" t="s">
        <v>160</v>
      </c>
      <c r="N353" t="s">
        <v>57</v>
      </c>
      <c r="O353" s="1">
        <v>45833</v>
      </c>
      <c r="Q353" s="1">
        <v>45986</v>
      </c>
      <c r="R353" s="2">
        <v>7.09</v>
      </c>
      <c r="S353">
        <v>1</v>
      </c>
      <c r="T353" t="s">
        <v>58</v>
      </c>
      <c r="U353" t="s">
        <v>59</v>
      </c>
      <c r="V353" s="3">
        <v>0.38</v>
      </c>
      <c r="W353" s="2">
        <v>0</v>
      </c>
      <c r="X353">
        <v>0</v>
      </c>
      <c r="Y353" t="s">
        <v>60</v>
      </c>
      <c r="Z353" t="s">
        <v>61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2.69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45957</v>
      </c>
      <c r="B354" t="s">
        <v>48</v>
      </c>
      <c r="C354">
        <v>649163</v>
      </c>
      <c r="D354">
        <v>2029623276</v>
      </c>
      <c r="E354" t="s">
        <v>106</v>
      </c>
      <c r="F354" t="s">
        <v>706</v>
      </c>
      <c r="G354" t="s">
        <v>51</v>
      </c>
      <c r="H354" t="s">
        <v>69</v>
      </c>
      <c r="I354" t="s">
        <v>355</v>
      </c>
      <c r="J354" t="s">
        <v>356</v>
      </c>
      <c r="K354">
        <v>840313</v>
      </c>
      <c r="L354" t="s">
        <v>159</v>
      </c>
      <c r="M354" t="s">
        <v>160</v>
      </c>
      <c r="N354" t="s">
        <v>57</v>
      </c>
      <c r="O354" s="1">
        <v>45833</v>
      </c>
      <c r="Q354" s="1">
        <v>45986</v>
      </c>
      <c r="R354" s="2">
        <v>11.71</v>
      </c>
      <c r="S354">
        <v>1</v>
      </c>
      <c r="T354" t="s">
        <v>58</v>
      </c>
      <c r="U354" t="s">
        <v>59</v>
      </c>
      <c r="V354" s="3">
        <v>0.38</v>
      </c>
      <c r="W354" s="2">
        <v>0</v>
      </c>
      <c r="X354">
        <v>0</v>
      </c>
      <c r="Y354" t="s">
        <v>60</v>
      </c>
      <c r="Z354" t="s">
        <v>61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4.45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45957</v>
      </c>
      <c r="B355" t="s">
        <v>48</v>
      </c>
      <c r="C355">
        <v>649163</v>
      </c>
      <c r="D355">
        <v>2030269154</v>
      </c>
      <c r="E355" t="s">
        <v>385</v>
      </c>
      <c r="F355" t="s">
        <v>386</v>
      </c>
      <c r="G355" t="s">
        <v>51</v>
      </c>
      <c r="H355" t="s">
        <v>78</v>
      </c>
      <c r="I355" t="s">
        <v>355</v>
      </c>
      <c r="J355" t="s">
        <v>356</v>
      </c>
      <c r="K355">
        <v>751867</v>
      </c>
      <c r="L355" t="s">
        <v>349</v>
      </c>
      <c r="M355" t="s">
        <v>312</v>
      </c>
      <c r="N355" t="s">
        <v>359</v>
      </c>
      <c r="O355" s="1">
        <v>45871</v>
      </c>
      <c r="P355" s="1">
        <v>45957</v>
      </c>
      <c r="Q355" s="1">
        <v>45963</v>
      </c>
      <c r="R355" s="2">
        <v>-14.64</v>
      </c>
      <c r="S355">
        <v>1</v>
      </c>
      <c r="T355" t="s">
        <v>58</v>
      </c>
      <c r="U355" t="s">
        <v>59</v>
      </c>
      <c r="V355" s="3">
        <v>0.38</v>
      </c>
      <c r="W355" s="2">
        <v>0</v>
      </c>
      <c r="X355">
        <v>-1</v>
      </c>
      <c r="Y355" t="s">
        <v>60</v>
      </c>
      <c r="Z355" t="s">
        <v>61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-5.56</v>
      </c>
      <c r="AN355" s="2">
        <v>-5.56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45957</v>
      </c>
      <c r="B356" t="s">
        <v>48</v>
      </c>
      <c r="C356">
        <v>649163</v>
      </c>
      <c r="D356">
        <v>2030439491</v>
      </c>
      <c r="E356" t="s">
        <v>84</v>
      </c>
      <c r="F356" t="s">
        <v>85</v>
      </c>
      <c r="G356" t="s">
        <v>51</v>
      </c>
      <c r="H356" t="s">
        <v>69</v>
      </c>
      <c r="I356" t="s">
        <v>355</v>
      </c>
      <c r="J356" t="s">
        <v>356</v>
      </c>
      <c r="K356">
        <v>673059</v>
      </c>
      <c r="L356" t="s">
        <v>55</v>
      </c>
      <c r="M356" t="s">
        <v>56</v>
      </c>
      <c r="N356" t="s">
        <v>57</v>
      </c>
      <c r="O356" s="1">
        <v>45901</v>
      </c>
      <c r="Q356" s="1">
        <v>45992</v>
      </c>
      <c r="R356" s="2">
        <v>13.24</v>
      </c>
      <c r="S356">
        <v>1</v>
      </c>
      <c r="T356" t="s">
        <v>58</v>
      </c>
      <c r="U356" t="s">
        <v>59</v>
      </c>
      <c r="V356" s="3">
        <v>0.38</v>
      </c>
      <c r="W356" s="2">
        <v>0</v>
      </c>
      <c r="X356">
        <v>0</v>
      </c>
      <c r="Y356" t="s">
        <v>60</v>
      </c>
      <c r="Z356" t="s">
        <v>61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5.03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45957</v>
      </c>
      <c r="B357" t="s">
        <v>48</v>
      </c>
      <c r="C357">
        <v>649163</v>
      </c>
      <c r="D357">
        <v>2030625302</v>
      </c>
      <c r="E357" t="s">
        <v>161</v>
      </c>
      <c r="F357" t="s">
        <v>162</v>
      </c>
      <c r="G357" t="s">
        <v>51</v>
      </c>
      <c r="H357" t="s">
        <v>69</v>
      </c>
      <c r="I357" t="s">
        <v>355</v>
      </c>
      <c r="J357" t="s">
        <v>443</v>
      </c>
      <c r="K357">
        <v>882035</v>
      </c>
      <c r="L357" t="s">
        <v>141</v>
      </c>
      <c r="M357" t="s">
        <v>142</v>
      </c>
      <c r="N357" t="s">
        <v>57</v>
      </c>
      <c r="O357" s="1">
        <v>45901</v>
      </c>
      <c r="Q357" s="1">
        <v>45992</v>
      </c>
      <c r="R357" s="2">
        <v>131.32</v>
      </c>
      <c r="S357">
        <v>1</v>
      </c>
      <c r="T357" t="s">
        <v>58</v>
      </c>
      <c r="U357" t="s">
        <v>59</v>
      </c>
      <c r="V357" s="3">
        <v>0.38</v>
      </c>
      <c r="W357" s="2">
        <v>0</v>
      </c>
      <c r="X357">
        <v>0</v>
      </c>
      <c r="Y357" t="s">
        <v>60</v>
      </c>
      <c r="Z357" t="s">
        <v>61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49.9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45957</v>
      </c>
      <c r="B358" t="s">
        <v>48</v>
      </c>
      <c r="C358">
        <v>649163</v>
      </c>
      <c r="D358">
        <v>2030625303</v>
      </c>
      <c r="E358" t="s">
        <v>161</v>
      </c>
      <c r="F358" t="s">
        <v>162</v>
      </c>
      <c r="G358" t="s">
        <v>51</v>
      </c>
      <c r="H358" t="s">
        <v>69</v>
      </c>
      <c r="I358" t="s">
        <v>355</v>
      </c>
      <c r="J358" t="s">
        <v>444</v>
      </c>
      <c r="K358">
        <v>882035</v>
      </c>
      <c r="L358" t="s">
        <v>141</v>
      </c>
      <c r="M358" t="s">
        <v>142</v>
      </c>
      <c r="N358" t="s">
        <v>57</v>
      </c>
      <c r="O358" s="1">
        <v>45901</v>
      </c>
      <c r="Q358" s="1">
        <v>45992</v>
      </c>
      <c r="R358" s="2">
        <v>7.09</v>
      </c>
      <c r="S358">
        <v>1</v>
      </c>
      <c r="T358" t="s">
        <v>58</v>
      </c>
      <c r="U358" t="s">
        <v>59</v>
      </c>
      <c r="V358" s="3">
        <v>0.38</v>
      </c>
      <c r="W358" s="2">
        <v>0</v>
      </c>
      <c r="X358">
        <v>0</v>
      </c>
      <c r="Y358" t="s">
        <v>60</v>
      </c>
      <c r="Z358" t="s">
        <v>61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2.69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45957</v>
      </c>
      <c r="B359" t="s">
        <v>48</v>
      </c>
      <c r="C359">
        <v>649163</v>
      </c>
      <c r="D359">
        <v>2030627972</v>
      </c>
      <c r="E359" t="s">
        <v>707</v>
      </c>
      <c r="F359" t="s">
        <v>708</v>
      </c>
      <c r="G359" t="s">
        <v>51</v>
      </c>
      <c r="H359" t="s">
        <v>195</v>
      </c>
      <c r="I359" t="s">
        <v>355</v>
      </c>
      <c r="J359" t="s">
        <v>356</v>
      </c>
      <c r="K359">
        <v>885445</v>
      </c>
      <c r="L359" t="s">
        <v>196</v>
      </c>
      <c r="M359" t="s">
        <v>197</v>
      </c>
      <c r="N359" t="s">
        <v>57</v>
      </c>
      <c r="O359" s="1">
        <v>45901</v>
      </c>
      <c r="Q359" s="1">
        <v>45992</v>
      </c>
      <c r="R359" s="2">
        <v>104.81</v>
      </c>
      <c r="S359">
        <v>1</v>
      </c>
      <c r="T359" t="s">
        <v>58</v>
      </c>
      <c r="U359" t="s">
        <v>59</v>
      </c>
      <c r="V359" s="3">
        <v>0.38</v>
      </c>
      <c r="W359" s="2">
        <v>0</v>
      </c>
      <c r="X359">
        <v>0</v>
      </c>
      <c r="Y359" t="s">
        <v>60</v>
      </c>
      <c r="Z359" t="s">
        <v>61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39.83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45957</v>
      </c>
      <c r="B360" t="s">
        <v>48</v>
      </c>
      <c r="C360">
        <v>649163</v>
      </c>
      <c r="D360">
        <v>2030670141</v>
      </c>
      <c r="E360" t="s">
        <v>709</v>
      </c>
      <c r="F360" t="s">
        <v>710</v>
      </c>
      <c r="G360" t="s">
        <v>51</v>
      </c>
      <c r="H360" t="s">
        <v>195</v>
      </c>
      <c r="I360" t="s">
        <v>355</v>
      </c>
      <c r="J360" t="s">
        <v>356</v>
      </c>
      <c r="K360">
        <v>650218</v>
      </c>
      <c r="L360" t="s">
        <v>357</v>
      </c>
      <c r="M360" t="s">
        <v>358</v>
      </c>
      <c r="N360" t="s">
        <v>57</v>
      </c>
      <c r="O360" s="1">
        <v>45895</v>
      </c>
      <c r="Q360" s="1">
        <v>45987</v>
      </c>
      <c r="R360" s="2">
        <v>21.97</v>
      </c>
      <c r="S360">
        <v>1</v>
      </c>
      <c r="T360" t="s">
        <v>58</v>
      </c>
      <c r="U360" t="s">
        <v>59</v>
      </c>
      <c r="V360" s="3">
        <v>0.38</v>
      </c>
      <c r="W360" s="2">
        <v>0</v>
      </c>
      <c r="X360">
        <v>0</v>
      </c>
      <c r="Y360" t="s">
        <v>60</v>
      </c>
      <c r="Z360" t="s">
        <v>61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8.35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45957</v>
      </c>
      <c r="B361" t="s">
        <v>48</v>
      </c>
      <c r="C361">
        <v>649163</v>
      </c>
      <c r="D361">
        <v>2030686023</v>
      </c>
      <c r="E361" t="s">
        <v>184</v>
      </c>
      <c r="F361" t="s">
        <v>185</v>
      </c>
      <c r="G361" t="s">
        <v>51</v>
      </c>
      <c r="H361" t="s">
        <v>92</v>
      </c>
      <c r="I361" t="s">
        <v>355</v>
      </c>
      <c r="J361" t="s">
        <v>356</v>
      </c>
      <c r="K361">
        <v>816021</v>
      </c>
      <c r="L361" t="s">
        <v>93</v>
      </c>
      <c r="M361" t="s">
        <v>94</v>
      </c>
      <c r="N361" t="s">
        <v>57</v>
      </c>
      <c r="O361" s="1">
        <v>45901</v>
      </c>
      <c r="Q361" s="1">
        <v>45992</v>
      </c>
      <c r="R361" s="2">
        <v>17.079999999999998</v>
      </c>
      <c r="S361">
        <v>1</v>
      </c>
      <c r="T361" t="s">
        <v>58</v>
      </c>
      <c r="U361" t="s">
        <v>59</v>
      </c>
      <c r="V361" s="3">
        <v>0.38</v>
      </c>
      <c r="W361" s="2">
        <v>0</v>
      </c>
      <c r="X361">
        <v>0</v>
      </c>
      <c r="Y361" t="s">
        <v>60</v>
      </c>
      <c r="Z361" t="s">
        <v>61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6.49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45957</v>
      </c>
      <c r="B362" t="s">
        <v>48</v>
      </c>
      <c r="C362">
        <v>649163</v>
      </c>
      <c r="D362">
        <v>2030693609</v>
      </c>
      <c r="E362" t="s">
        <v>314</v>
      </c>
      <c r="F362" t="s">
        <v>556</v>
      </c>
      <c r="G362" t="s">
        <v>51</v>
      </c>
      <c r="H362" t="s">
        <v>195</v>
      </c>
      <c r="I362" t="s">
        <v>355</v>
      </c>
      <c r="J362" t="s">
        <v>443</v>
      </c>
      <c r="K362">
        <v>885445</v>
      </c>
      <c r="L362" t="s">
        <v>196</v>
      </c>
      <c r="M362" t="s">
        <v>197</v>
      </c>
      <c r="N362" t="s">
        <v>57</v>
      </c>
      <c r="O362" s="1">
        <v>45901</v>
      </c>
      <c r="Q362" s="1">
        <v>45992</v>
      </c>
      <c r="R362" s="2">
        <v>91.37</v>
      </c>
      <c r="S362">
        <v>1</v>
      </c>
      <c r="T362" t="s">
        <v>58</v>
      </c>
      <c r="U362" t="s">
        <v>59</v>
      </c>
      <c r="V362" s="3">
        <v>0.38</v>
      </c>
      <c r="W362" s="2">
        <v>0</v>
      </c>
      <c r="X362">
        <v>0</v>
      </c>
      <c r="Y362" t="s">
        <v>60</v>
      </c>
      <c r="Z362" t="s">
        <v>61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34.72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45957</v>
      </c>
      <c r="B363" t="s">
        <v>48</v>
      </c>
      <c r="C363">
        <v>649163</v>
      </c>
      <c r="D363">
        <v>2030697179</v>
      </c>
      <c r="E363" t="s">
        <v>193</v>
      </c>
      <c r="F363" t="s">
        <v>194</v>
      </c>
      <c r="G363" t="s">
        <v>51</v>
      </c>
      <c r="H363" t="s">
        <v>195</v>
      </c>
      <c r="I363" t="s">
        <v>355</v>
      </c>
      <c r="J363" t="s">
        <v>356</v>
      </c>
      <c r="K363">
        <v>885445</v>
      </c>
      <c r="L363" t="s">
        <v>196</v>
      </c>
      <c r="M363" t="s">
        <v>197</v>
      </c>
      <c r="N363" t="s">
        <v>57</v>
      </c>
      <c r="O363" s="1">
        <v>45901</v>
      </c>
      <c r="Q363" s="1">
        <v>45992</v>
      </c>
      <c r="R363" s="2">
        <v>51.58</v>
      </c>
      <c r="S363">
        <v>1</v>
      </c>
      <c r="T363" t="s">
        <v>58</v>
      </c>
      <c r="U363" t="s">
        <v>59</v>
      </c>
      <c r="V363" s="3">
        <v>0.38</v>
      </c>
      <c r="W363" s="2">
        <v>0</v>
      </c>
      <c r="X363">
        <v>0</v>
      </c>
      <c r="Y363" t="s">
        <v>60</v>
      </c>
      <c r="Z363" t="s">
        <v>61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19.600000000000001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45957</v>
      </c>
      <c r="B364" t="s">
        <v>48</v>
      </c>
      <c r="C364">
        <v>649163</v>
      </c>
      <c r="D364">
        <v>2030699751</v>
      </c>
      <c r="E364" t="s">
        <v>711</v>
      </c>
      <c r="F364" t="s">
        <v>357</v>
      </c>
      <c r="G364" t="s">
        <v>51</v>
      </c>
      <c r="H364" t="s">
        <v>195</v>
      </c>
      <c r="I364" t="s">
        <v>355</v>
      </c>
      <c r="J364" t="s">
        <v>356</v>
      </c>
      <c r="K364">
        <v>650218</v>
      </c>
      <c r="L364" t="s">
        <v>357</v>
      </c>
      <c r="M364" t="s">
        <v>358</v>
      </c>
      <c r="N364" t="s">
        <v>57</v>
      </c>
      <c r="O364" s="1">
        <v>45901</v>
      </c>
      <c r="Q364" s="1">
        <v>45992</v>
      </c>
      <c r="R364" s="2">
        <v>55.16</v>
      </c>
      <c r="S364">
        <v>1</v>
      </c>
      <c r="T364" t="s">
        <v>58</v>
      </c>
      <c r="U364" t="s">
        <v>59</v>
      </c>
      <c r="V364" s="3">
        <v>0.38</v>
      </c>
      <c r="W364" s="2">
        <v>0</v>
      </c>
      <c r="X364">
        <v>0</v>
      </c>
      <c r="Y364" t="s">
        <v>60</v>
      </c>
      <c r="Z364" t="s">
        <v>61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20.96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45957</v>
      </c>
      <c r="B365" t="s">
        <v>48</v>
      </c>
      <c r="C365">
        <v>649163</v>
      </c>
      <c r="D365">
        <v>2030707329</v>
      </c>
      <c r="E365" t="s">
        <v>198</v>
      </c>
      <c r="F365" t="s">
        <v>199</v>
      </c>
      <c r="G365" t="s">
        <v>51</v>
      </c>
      <c r="H365" t="s">
        <v>92</v>
      </c>
      <c r="I365" t="s">
        <v>355</v>
      </c>
      <c r="J365" t="s">
        <v>356</v>
      </c>
      <c r="K365">
        <v>756418</v>
      </c>
      <c r="L365" t="s">
        <v>191</v>
      </c>
      <c r="M365" t="s">
        <v>192</v>
      </c>
      <c r="N365" t="s">
        <v>57</v>
      </c>
      <c r="O365" s="1">
        <v>45896</v>
      </c>
      <c r="Q365" s="1">
        <v>45988</v>
      </c>
      <c r="R365" s="2">
        <v>31.07</v>
      </c>
      <c r="S365">
        <v>1</v>
      </c>
      <c r="T365" t="s">
        <v>58</v>
      </c>
      <c r="U365" t="s">
        <v>59</v>
      </c>
      <c r="V365" s="3">
        <v>0.38</v>
      </c>
      <c r="W365" s="2">
        <v>0</v>
      </c>
      <c r="X365">
        <v>0</v>
      </c>
      <c r="Y365" t="s">
        <v>60</v>
      </c>
      <c r="Z365" t="s">
        <v>61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11.81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45957</v>
      </c>
      <c r="B366" t="s">
        <v>48</v>
      </c>
      <c r="C366">
        <v>649163</v>
      </c>
      <c r="D366">
        <v>2030791104</v>
      </c>
      <c r="E366" t="s">
        <v>192</v>
      </c>
      <c r="F366" t="s">
        <v>557</v>
      </c>
      <c r="G366" t="s">
        <v>51</v>
      </c>
      <c r="H366" t="s">
        <v>195</v>
      </c>
      <c r="I366" t="s">
        <v>355</v>
      </c>
      <c r="J366" t="s">
        <v>443</v>
      </c>
      <c r="K366">
        <v>885445</v>
      </c>
      <c r="L366" t="s">
        <v>196</v>
      </c>
      <c r="M366" t="s">
        <v>197</v>
      </c>
      <c r="N366" t="s">
        <v>57</v>
      </c>
      <c r="O366" s="1">
        <v>45901</v>
      </c>
      <c r="Q366" s="1">
        <v>45992</v>
      </c>
      <c r="R366" s="2">
        <v>91.37</v>
      </c>
      <c r="S366">
        <v>1</v>
      </c>
      <c r="T366" t="s">
        <v>58</v>
      </c>
      <c r="U366" t="s">
        <v>59</v>
      </c>
      <c r="V366" s="3">
        <v>0.38</v>
      </c>
      <c r="W366" s="2">
        <v>0</v>
      </c>
      <c r="X366">
        <v>0</v>
      </c>
      <c r="Y366" t="s">
        <v>60</v>
      </c>
      <c r="Z366" t="s">
        <v>61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34.72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45957</v>
      </c>
      <c r="B367" t="s">
        <v>48</v>
      </c>
      <c r="C367">
        <v>649163</v>
      </c>
      <c r="D367">
        <v>2031255008</v>
      </c>
      <c r="E367" t="s">
        <v>253</v>
      </c>
      <c r="F367" t="s">
        <v>254</v>
      </c>
      <c r="G367" t="s">
        <v>51</v>
      </c>
      <c r="H367" t="s">
        <v>69</v>
      </c>
      <c r="I367" t="s">
        <v>355</v>
      </c>
      <c r="J367" t="s">
        <v>443</v>
      </c>
      <c r="K367">
        <v>812994</v>
      </c>
      <c r="L367" t="s">
        <v>228</v>
      </c>
      <c r="M367" t="s">
        <v>229</v>
      </c>
      <c r="N367" t="s">
        <v>57</v>
      </c>
      <c r="O367" s="1">
        <v>45925</v>
      </c>
      <c r="Q367" s="1">
        <v>45986</v>
      </c>
      <c r="R367" s="2">
        <v>328.85</v>
      </c>
      <c r="S367">
        <v>1</v>
      </c>
      <c r="T367" t="s">
        <v>58</v>
      </c>
      <c r="U367" t="s">
        <v>238</v>
      </c>
      <c r="V367" s="3">
        <v>0.38</v>
      </c>
      <c r="W367" s="2">
        <v>0</v>
      </c>
      <c r="X367">
        <v>0</v>
      </c>
      <c r="Y367" t="s">
        <v>60</v>
      </c>
      <c r="Z367" t="s">
        <v>61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124.96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45957</v>
      </c>
      <c r="B368" t="s">
        <v>48</v>
      </c>
      <c r="C368">
        <v>649163</v>
      </c>
      <c r="D368">
        <v>2031255009</v>
      </c>
      <c r="E368" t="s">
        <v>253</v>
      </c>
      <c r="F368" t="s">
        <v>254</v>
      </c>
      <c r="G368" t="s">
        <v>51</v>
      </c>
      <c r="H368" t="s">
        <v>69</v>
      </c>
      <c r="I368" t="s">
        <v>355</v>
      </c>
      <c r="J368" t="s">
        <v>444</v>
      </c>
      <c r="K368">
        <v>812994</v>
      </c>
      <c r="L368" t="s">
        <v>228</v>
      </c>
      <c r="M368" t="s">
        <v>229</v>
      </c>
      <c r="N368" t="s">
        <v>57</v>
      </c>
      <c r="O368" s="1">
        <v>45925</v>
      </c>
      <c r="Q368" s="1">
        <v>45986</v>
      </c>
      <c r="R368" s="2">
        <v>7.09</v>
      </c>
      <c r="S368">
        <v>1</v>
      </c>
      <c r="T368" t="s">
        <v>58</v>
      </c>
      <c r="U368" t="s">
        <v>238</v>
      </c>
      <c r="V368" s="3">
        <v>0.38</v>
      </c>
      <c r="W368" s="2">
        <v>0</v>
      </c>
      <c r="X368">
        <v>0</v>
      </c>
      <c r="Y368" t="s">
        <v>60</v>
      </c>
      <c r="Z368" t="s">
        <v>61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2.69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45957</v>
      </c>
      <c r="B369" t="s">
        <v>48</v>
      </c>
      <c r="C369">
        <v>649163</v>
      </c>
      <c r="D369">
        <v>2024464933</v>
      </c>
      <c r="E369" t="s">
        <v>333</v>
      </c>
      <c r="F369" t="s">
        <v>334</v>
      </c>
      <c r="G369" t="s">
        <v>51</v>
      </c>
      <c r="H369" t="s">
        <v>69</v>
      </c>
      <c r="I369" t="s">
        <v>712</v>
      </c>
      <c r="J369" t="s">
        <v>713</v>
      </c>
      <c r="K369">
        <v>766422</v>
      </c>
      <c r="L369" t="s">
        <v>335</v>
      </c>
      <c r="M369" t="s">
        <v>336</v>
      </c>
      <c r="N369" t="s">
        <v>57</v>
      </c>
      <c r="O369" s="1">
        <v>45527</v>
      </c>
      <c r="Q369" s="1">
        <v>45984</v>
      </c>
      <c r="R369" s="2">
        <v>114.17</v>
      </c>
      <c r="S369">
        <v>1</v>
      </c>
      <c r="T369" t="s">
        <v>58</v>
      </c>
      <c r="U369" t="s">
        <v>59</v>
      </c>
      <c r="V369" s="3">
        <v>0.26</v>
      </c>
      <c r="W369" s="2">
        <v>0</v>
      </c>
      <c r="X369">
        <v>0</v>
      </c>
      <c r="Y369" t="s">
        <v>264</v>
      </c>
      <c r="Z369" t="s">
        <v>61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29.68</v>
      </c>
      <c r="AN369" s="2">
        <v>29.68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45957</v>
      </c>
      <c r="B370" t="s">
        <v>48</v>
      </c>
      <c r="C370">
        <v>649163</v>
      </c>
      <c r="D370">
        <v>2016328596</v>
      </c>
      <c r="E370" t="s">
        <v>558</v>
      </c>
      <c r="F370" t="s">
        <v>342</v>
      </c>
      <c r="G370" t="s">
        <v>51</v>
      </c>
      <c r="H370" t="s">
        <v>559</v>
      </c>
      <c r="I370" t="s">
        <v>53</v>
      </c>
      <c r="J370" t="s">
        <v>132</v>
      </c>
      <c r="K370">
        <v>651818</v>
      </c>
      <c r="L370" t="s">
        <v>560</v>
      </c>
      <c r="M370" t="s">
        <v>336</v>
      </c>
      <c r="N370" t="s">
        <v>57</v>
      </c>
      <c r="O370" s="1">
        <v>44829</v>
      </c>
      <c r="Q370" s="1">
        <v>45986</v>
      </c>
      <c r="R370" s="2">
        <v>32.42</v>
      </c>
      <c r="S370">
        <v>1</v>
      </c>
      <c r="T370" t="s">
        <v>58</v>
      </c>
      <c r="U370" t="s">
        <v>59</v>
      </c>
      <c r="V370" s="3">
        <v>0.1</v>
      </c>
      <c r="W370" s="2">
        <v>0</v>
      </c>
      <c r="X370">
        <v>0</v>
      </c>
      <c r="Y370" t="s">
        <v>264</v>
      </c>
      <c r="Z370" t="s">
        <v>61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3.24</v>
      </c>
      <c r="AN370" s="2">
        <v>3.24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45957</v>
      </c>
      <c r="B371" t="s">
        <v>48</v>
      </c>
      <c r="C371">
        <v>649163</v>
      </c>
      <c r="D371">
        <v>2016502598</v>
      </c>
      <c r="E371" t="s">
        <v>714</v>
      </c>
      <c r="F371" t="s">
        <v>577</v>
      </c>
      <c r="G371" t="s">
        <v>51</v>
      </c>
      <c r="H371" t="s">
        <v>52</v>
      </c>
      <c r="I371" t="s">
        <v>53</v>
      </c>
      <c r="J371" t="s">
        <v>54</v>
      </c>
      <c r="K371">
        <v>649793</v>
      </c>
      <c r="L371" t="s">
        <v>55</v>
      </c>
      <c r="M371" t="s">
        <v>566</v>
      </c>
      <c r="N371" t="s">
        <v>57</v>
      </c>
      <c r="O371" s="1">
        <v>44866</v>
      </c>
      <c r="Q371" s="1">
        <v>45992</v>
      </c>
      <c r="R371" s="2">
        <v>54.43</v>
      </c>
      <c r="S371">
        <v>1</v>
      </c>
      <c r="T371" t="s">
        <v>58</v>
      </c>
      <c r="U371" t="s">
        <v>59</v>
      </c>
      <c r="V371" s="3">
        <v>0.15</v>
      </c>
      <c r="W371" s="2">
        <v>0</v>
      </c>
      <c r="X371">
        <v>0</v>
      </c>
      <c r="Y371" t="s">
        <v>264</v>
      </c>
      <c r="Z371" t="s">
        <v>61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8.16</v>
      </c>
      <c r="AN371" s="2">
        <v>8.16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45957</v>
      </c>
      <c r="B372" t="s">
        <v>48</v>
      </c>
      <c r="C372">
        <v>649163</v>
      </c>
      <c r="D372">
        <v>2016502599</v>
      </c>
      <c r="E372" t="s">
        <v>714</v>
      </c>
      <c r="F372" t="s">
        <v>577</v>
      </c>
      <c r="G372" t="s">
        <v>51</v>
      </c>
      <c r="H372" t="s">
        <v>52</v>
      </c>
      <c r="I372" t="s">
        <v>53</v>
      </c>
      <c r="J372" t="s">
        <v>119</v>
      </c>
      <c r="K372">
        <v>649793</v>
      </c>
      <c r="L372" t="s">
        <v>55</v>
      </c>
      <c r="M372" t="s">
        <v>566</v>
      </c>
      <c r="N372" t="s">
        <v>57</v>
      </c>
      <c r="O372" s="1">
        <v>44866</v>
      </c>
      <c r="Q372" s="1">
        <v>45992</v>
      </c>
      <c r="R372" s="2">
        <v>25.73</v>
      </c>
      <c r="S372">
        <v>1</v>
      </c>
      <c r="T372" t="s">
        <v>58</v>
      </c>
      <c r="U372" t="s">
        <v>59</v>
      </c>
      <c r="V372" s="3">
        <v>0.15</v>
      </c>
      <c r="W372" s="2">
        <v>0</v>
      </c>
      <c r="X372">
        <v>0</v>
      </c>
      <c r="Y372" t="s">
        <v>264</v>
      </c>
      <c r="Z372" t="s">
        <v>61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3.86</v>
      </c>
      <c r="AN372" s="2">
        <v>3.86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45957</v>
      </c>
      <c r="B373" t="s">
        <v>48</v>
      </c>
      <c r="C373">
        <v>649163</v>
      </c>
      <c r="D373">
        <v>2016589854</v>
      </c>
      <c r="E373" t="s">
        <v>561</v>
      </c>
      <c r="F373" t="s">
        <v>562</v>
      </c>
      <c r="G373" t="s">
        <v>51</v>
      </c>
      <c r="H373" t="s">
        <v>563</v>
      </c>
      <c r="I373" t="s">
        <v>53</v>
      </c>
      <c r="J373" t="s">
        <v>119</v>
      </c>
      <c r="K373">
        <v>651818</v>
      </c>
      <c r="L373" t="s">
        <v>560</v>
      </c>
      <c r="M373" t="s">
        <v>336</v>
      </c>
      <c r="N373" t="s">
        <v>57</v>
      </c>
      <c r="O373" s="1">
        <v>44866</v>
      </c>
      <c r="Q373" s="1">
        <v>45992</v>
      </c>
      <c r="R373" s="2">
        <v>25.73</v>
      </c>
      <c r="S373">
        <v>1</v>
      </c>
      <c r="T373" t="s">
        <v>58</v>
      </c>
      <c r="U373" t="s">
        <v>59</v>
      </c>
      <c r="V373" s="3">
        <v>0.15</v>
      </c>
      <c r="W373" s="2">
        <v>0</v>
      </c>
      <c r="X373">
        <v>0</v>
      </c>
      <c r="Y373" t="s">
        <v>264</v>
      </c>
      <c r="Z373" t="s">
        <v>61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3.86</v>
      </c>
      <c r="AN373" s="2">
        <v>3.86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45957</v>
      </c>
      <c r="B374" t="s">
        <v>48</v>
      </c>
      <c r="C374">
        <v>649163</v>
      </c>
      <c r="D374">
        <v>2016589855</v>
      </c>
      <c r="E374" t="s">
        <v>561</v>
      </c>
      <c r="F374" t="s">
        <v>562</v>
      </c>
      <c r="G374" t="s">
        <v>51</v>
      </c>
      <c r="H374" t="s">
        <v>563</v>
      </c>
      <c r="I374" t="s">
        <v>53</v>
      </c>
      <c r="J374" t="s">
        <v>132</v>
      </c>
      <c r="K374">
        <v>651818</v>
      </c>
      <c r="L374" t="s">
        <v>560</v>
      </c>
      <c r="M374" t="s">
        <v>336</v>
      </c>
      <c r="N374" t="s">
        <v>57</v>
      </c>
      <c r="O374" s="1">
        <v>44866</v>
      </c>
      <c r="Q374" s="1">
        <v>45992</v>
      </c>
      <c r="R374" s="2">
        <v>16.63</v>
      </c>
      <c r="S374">
        <v>1</v>
      </c>
      <c r="T374" t="s">
        <v>58</v>
      </c>
      <c r="U374" t="s">
        <v>59</v>
      </c>
      <c r="V374" s="3">
        <v>0.1</v>
      </c>
      <c r="W374" s="2">
        <v>0</v>
      </c>
      <c r="X374">
        <v>0</v>
      </c>
      <c r="Y374" t="s">
        <v>264</v>
      </c>
      <c r="Z374" t="s">
        <v>61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1.66</v>
      </c>
      <c r="AN374" s="2">
        <v>1.66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45957</v>
      </c>
      <c r="B375" t="s">
        <v>48</v>
      </c>
      <c r="C375">
        <v>649163</v>
      </c>
      <c r="D375">
        <v>2016611650</v>
      </c>
      <c r="E375" t="s">
        <v>564</v>
      </c>
      <c r="F375" t="s">
        <v>565</v>
      </c>
      <c r="G375" t="s">
        <v>51</v>
      </c>
      <c r="H375" t="s">
        <v>69</v>
      </c>
      <c r="I375" t="s">
        <v>53</v>
      </c>
      <c r="J375" t="s">
        <v>54</v>
      </c>
      <c r="K375">
        <v>649793</v>
      </c>
      <c r="L375" t="s">
        <v>55</v>
      </c>
      <c r="M375" t="s">
        <v>566</v>
      </c>
      <c r="N375" t="s">
        <v>57</v>
      </c>
      <c r="O375" s="1">
        <v>44866</v>
      </c>
      <c r="Q375" s="1">
        <v>45992</v>
      </c>
      <c r="R375" s="2">
        <v>66.42</v>
      </c>
      <c r="S375">
        <v>1</v>
      </c>
      <c r="T375" t="s">
        <v>58</v>
      </c>
      <c r="U375" t="s">
        <v>59</v>
      </c>
      <c r="V375" s="3">
        <v>0.15</v>
      </c>
      <c r="W375" s="2">
        <v>0</v>
      </c>
      <c r="X375">
        <v>0</v>
      </c>
      <c r="Y375" t="s">
        <v>264</v>
      </c>
      <c r="Z375" t="s">
        <v>61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9.9600000000000009</v>
      </c>
      <c r="AN375" s="2">
        <v>9.9600000000000009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45957</v>
      </c>
      <c r="B376" t="s">
        <v>48</v>
      </c>
      <c r="C376">
        <v>649163</v>
      </c>
      <c r="D376">
        <v>2016956443</v>
      </c>
      <c r="E376" t="s">
        <v>715</v>
      </c>
      <c r="F376" t="s">
        <v>98</v>
      </c>
      <c r="G376" t="s">
        <v>51</v>
      </c>
      <c r="H376" t="s">
        <v>52</v>
      </c>
      <c r="I376" t="s">
        <v>53</v>
      </c>
      <c r="J376" t="s">
        <v>54</v>
      </c>
      <c r="K376">
        <v>649793</v>
      </c>
      <c r="L376" t="s">
        <v>55</v>
      </c>
      <c r="M376" t="s">
        <v>566</v>
      </c>
      <c r="N376" t="s">
        <v>57</v>
      </c>
      <c r="O376" s="1">
        <v>44958</v>
      </c>
      <c r="Q376" s="1">
        <v>45992</v>
      </c>
      <c r="R376" s="2">
        <v>67.31</v>
      </c>
      <c r="S376">
        <v>1</v>
      </c>
      <c r="T376" t="s">
        <v>58</v>
      </c>
      <c r="U376" t="s">
        <v>59</v>
      </c>
      <c r="V376" s="3">
        <v>0.15</v>
      </c>
      <c r="W376" s="2">
        <v>0</v>
      </c>
      <c r="X376">
        <v>0</v>
      </c>
      <c r="Y376" t="s">
        <v>264</v>
      </c>
      <c r="Z376" t="s">
        <v>61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10.1</v>
      </c>
      <c r="AN376" s="2">
        <v>10.1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45957</v>
      </c>
      <c r="B377" t="s">
        <v>48</v>
      </c>
      <c r="C377">
        <v>649163</v>
      </c>
      <c r="D377">
        <v>2017327782</v>
      </c>
      <c r="E377" t="s">
        <v>716</v>
      </c>
      <c r="F377" t="s">
        <v>374</v>
      </c>
      <c r="G377" t="s">
        <v>51</v>
      </c>
      <c r="H377" t="s">
        <v>129</v>
      </c>
      <c r="I377" t="s">
        <v>53</v>
      </c>
      <c r="J377" t="s">
        <v>119</v>
      </c>
      <c r="K377">
        <v>649793</v>
      </c>
      <c r="L377" t="s">
        <v>55</v>
      </c>
      <c r="M377" t="s">
        <v>566</v>
      </c>
      <c r="N377" t="s">
        <v>57</v>
      </c>
      <c r="O377" s="1">
        <v>44958</v>
      </c>
      <c r="Q377" s="1">
        <v>45992</v>
      </c>
      <c r="R377" s="2">
        <v>42.88</v>
      </c>
      <c r="S377">
        <v>1</v>
      </c>
      <c r="T377" t="s">
        <v>58</v>
      </c>
      <c r="U377" t="s">
        <v>59</v>
      </c>
      <c r="V377" s="3">
        <v>0.15</v>
      </c>
      <c r="W377" s="2">
        <v>0</v>
      </c>
      <c r="X377">
        <v>0</v>
      </c>
      <c r="Y377" t="s">
        <v>264</v>
      </c>
      <c r="Z377" t="s">
        <v>61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6.43</v>
      </c>
      <c r="AN377" s="2">
        <v>6.43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45957</v>
      </c>
      <c r="B378" t="s">
        <v>48</v>
      </c>
      <c r="C378">
        <v>649163</v>
      </c>
      <c r="D378">
        <v>2017333574</v>
      </c>
      <c r="E378" t="s">
        <v>569</v>
      </c>
      <c r="F378" t="s">
        <v>570</v>
      </c>
      <c r="G378" t="s">
        <v>51</v>
      </c>
      <c r="H378" t="s">
        <v>261</v>
      </c>
      <c r="I378" t="s">
        <v>53</v>
      </c>
      <c r="J378" t="s">
        <v>54</v>
      </c>
      <c r="K378">
        <v>649793</v>
      </c>
      <c r="L378" t="s">
        <v>55</v>
      </c>
      <c r="M378" t="s">
        <v>566</v>
      </c>
      <c r="N378" t="s">
        <v>57</v>
      </c>
      <c r="O378" s="1">
        <v>44958</v>
      </c>
      <c r="Q378" s="1">
        <v>45992</v>
      </c>
      <c r="R378" s="2">
        <v>96.96</v>
      </c>
      <c r="S378">
        <v>1</v>
      </c>
      <c r="T378" t="s">
        <v>58</v>
      </c>
      <c r="U378" t="s">
        <v>59</v>
      </c>
      <c r="V378" s="3">
        <v>0.15</v>
      </c>
      <c r="W378" s="2">
        <v>0</v>
      </c>
      <c r="X378">
        <v>0</v>
      </c>
      <c r="Y378" t="s">
        <v>264</v>
      </c>
      <c r="Z378" t="s">
        <v>61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14.54</v>
      </c>
      <c r="AN378" s="2">
        <v>14.54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45957</v>
      </c>
      <c r="B379" t="s">
        <v>48</v>
      </c>
      <c r="C379">
        <v>649163</v>
      </c>
      <c r="D379">
        <v>2017340028</v>
      </c>
      <c r="E379" t="s">
        <v>484</v>
      </c>
      <c r="F379" t="s">
        <v>415</v>
      </c>
      <c r="G379" t="s">
        <v>51</v>
      </c>
      <c r="H379" t="s">
        <v>195</v>
      </c>
      <c r="I379" t="s">
        <v>53</v>
      </c>
      <c r="J379" t="s">
        <v>119</v>
      </c>
      <c r="K379">
        <v>652037</v>
      </c>
      <c r="L379" t="s">
        <v>155</v>
      </c>
      <c r="M379" t="s">
        <v>156</v>
      </c>
      <c r="N379" t="s">
        <v>57</v>
      </c>
      <c r="O379" s="1">
        <v>44958</v>
      </c>
      <c r="Q379" s="1">
        <v>45992</v>
      </c>
      <c r="R379" s="2">
        <v>51.46</v>
      </c>
      <c r="S379">
        <v>1</v>
      </c>
      <c r="T379" t="s">
        <v>58</v>
      </c>
      <c r="U379" t="s">
        <v>59</v>
      </c>
      <c r="V379" s="3">
        <v>0.15</v>
      </c>
      <c r="W379" s="2">
        <v>0</v>
      </c>
      <c r="X379">
        <v>0</v>
      </c>
      <c r="Y379" t="s">
        <v>264</v>
      </c>
      <c r="Z379" t="s">
        <v>61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7.72</v>
      </c>
      <c r="AN379" s="2">
        <v>7.72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45957</v>
      </c>
      <c r="B380" t="s">
        <v>48</v>
      </c>
      <c r="C380">
        <v>649163</v>
      </c>
      <c r="D380">
        <v>2017351926</v>
      </c>
      <c r="E380" t="s">
        <v>571</v>
      </c>
      <c r="F380" t="s">
        <v>490</v>
      </c>
      <c r="G380" t="s">
        <v>51</v>
      </c>
      <c r="H380" t="s">
        <v>118</v>
      </c>
      <c r="I380" t="s">
        <v>53</v>
      </c>
      <c r="J380" t="s">
        <v>119</v>
      </c>
      <c r="K380">
        <v>652037</v>
      </c>
      <c r="L380" t="s">
        <v>155</v>
      </c>
      <c r="M380" t="s">
        <v>156</v>
      </c>
      <c r="N380" t="s">
        <v>57</v>
      </c>
      <c r="O380" s="1">
        <v>44958</v>
      </c>
      <c r="Q380" s="1">
        <v>45992</v>
      </c>
      <c r="R380" s="2">
        <v>24.61</v>
      </c>
      <c r="S380">
        <v>1</v>
      </c>
      <c r="T380" t="s">
        <v>58</v>
      </c>
      <c r="U380" t="s">
        <v>59</v>
      </c>
      <c r="V380" s="3">
        <v>0.15</v>
      </c>
      <c r="W380" s="2">
        <v>0</v>
      </c>
      <c r="X380">
        <v>0</v>
      </c>
      <c r="Y380" t="s">
        <v>264</v>
      </c>
      <c r="Z380" t="s">
        <v>61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3.69</v>
      </c>
      <c r="AN380" s="2">
        <v>3.69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45957</v>
      </c>
      <c r="B381" t="s">
        <v>48</v>
      </c>
      <c r="C381">
        <v>649163</v>
      </c>
      <c r="D381">
        <v>2017355242</v>
      </c>
      <c r="E381" t="s">
        <v>717</v>
      </c>
      <c r="F381" t="s">
        <v>718</v>
      </c>
      <c r="G381" t="s">
        <v>51</v>
      </c>
      <c r="H381" t="s">
        <v>719</v>
      </c>
      <c r="I381" t="s">
        <v>53</v>
      </c>
      <c r="J381" t="s">
        <v>54</v>
      </c>
      <c r="K381">
        <v>649164</v>
      </c>
      <c r="L381" t="s">
        <v>313</v>
      </c>
      <c r="M381" t="s">
        <v>314</v>
      </c>
      <c r="N381" t="s">
        <v>57</v>
      </c>
      <c r="O381" s="1">
        <v>44958</v>
      </c>
      <c r="Q381" s="1">
        <v>45992</v>
      </c>
      <c r="R381" s="2">
        <v>166.17</v>
      </c>
      <c r="S381">
        <v>1</v>
      </c>
      <c r="T381" t="s">
        <v>58</v>
      </c>
      <c r="U381" t="s">
        <v>59</v>
      </c>
      <c r="V381" s="3">
        <v>0.15</v>
      </c>
      <c r="W381" s="2">
        <v>0</v>
      </c>
      <c r="X381">
        <v>0</v>
      </c>
      <c r="Y381" t="s">
        <v>264</v>
      </c>
      <c r="Z381" t="s">
        <v>61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24.93</v>
      </c>
      <c r="AN381" s="2">
        <v>24.93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45957</v>
      </c>
      <c r="B382" t="s">
        <v>48</v>
      </c>
      <c r="C382">
        <v>649163</v>
      </c>
      <c r="D382">
        <v>2017383051</v>
      </c>
      <c r="E382" t="s">
        <v>720</v>
      </c>
      <c r="F382" t="s">
        <v>721</v>
      </c>
      <c r="G382" t="s">
        <v>51</v>
      </c>
      <c r="H382" t="s">
        <v>78</v>
      </c>
      <c r="I382" t="s">
        <v>53</v>
      </c>
      <c r="J382" t="s">
        <v>132</v>
      </c>
      <c r="K382">
        <v>651818</v>
      </c>
      <c r="L382" t="s">
        <v>560</v>
      </c>
      <c r="M382" t="s">
        <v>336</v>
      </c>
      <c r="N382" t="s">
        <v>57</v>
      </c>
      <c r="O382" s="1">
        <v>44959</v>
      </c>
      <c r="Q382" s="1">
        <v>45993</v>
      </c>
      <c r="R382" s="2">
        <v>211.08</v>
      </c>
      <c r="S382">
        <v>1</v>
      </c>
      <c r="T382" t="s">
        <v>58</v>
      </c>
      <c r="U382" t="s">
        <v>59</v>
      </c>
      <c r="V382" s="3">
        <v>0.1</v>
      </c>
      <c r="W382" s="2">
        <v>0</v>
      </c>
      <c r="X382">
        <v>0</v>
      </c>
      <c r="Y382" t="s">
        <v>264</v>
      </c>
      <c r="Z382" t="s">
        <v>61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21.11</v>
      </c>
      <c r="AN382" s="2">
        <v>21.11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45957</v>
      </c>
      <c r="B383" t="s">
        <v>48</v>
      </c>
      <c r="C383">
        <v>649163</v>
      </c>
      <c r="D383">
        <v>2017416710</v>
      </c>
      <c r="E383" t="s">
        <v>722</v>
      </c>
      <c r="F383" t="s">
        <v>723</v>
      </c>
      <c r="G383" t="s">
        <v>51</v>
      </c>
      <c r="H383" t="s">
        <v>261</v>
      </c>
      <c r="I383" t="s">
        <v>53</v>
      </c>
      <c r="J383" t="s">
        <v>54</v>
      </c>
      <c r="K383">
        <v>649793</v>
      </c>
      <c r="L383" t="s">
        <v>55</v>
      </c>
      <c r="M383" t="s">
        <v>566</v>
      </c>
      <c r="N383" t="s">
        <v>57</v>
      </c>
      <c r="O383" s="1">
        <v>44958</v>
      </c>
      <c r="Q383" s="1">
        <v>45992</v>
      </c>
      <c r="R383" s="2">
        <v>86.35</v>
      </c>
      <c r="S383">
        <v>1</v>
      </c>
      <c r="T383" t="s">
        <v>58</v>
      </c>
      <c r="U383" t="s">
        <v>59</v>
      </c>
      <c r="V383" s="3">
        <v>0.15</v>
      </c>
      <c r="W383" s="2">
        <v>0</v>
      </c>
      <c r="X383">
        <v>0</v>
      </c>
      <c r="Y383" t="s">
        <v>264</v>
      </c>
      <c r="Z383" t="s">
        <v>61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12.95</v>
      </c>
      <c r="AN383" s="2">
        <v>12.95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45957</v>
      </c>
      <c r="B384" t="s">
        <v>48</v>
      </c>
      <c r="C384">
        <v>649163</v>
      </c>
      <c r="D384">
        <v>2017416712</v>
      </c>
      <c r="E384" t="s">
        <v>722</v>
      </c>
      <c r="F384" t="s">
        <v>723</v>
      </c>
      <c r="G384" t="s">
        <v>51</v>
      </c>
      <c r="H384" t="s">
        <v>261</v>
      </c>
      <c r="I384" t="s">
        <v>53</v>
      </c>
      <c r="J384" t="s">
        <v>119</v>
      </c>
      <c r="K384">
        <v>649793</v>
      </c>
      <c r="L384" t="s">
        <v>55</v>
      </c>
      <c r="M384" t="s">
        <v>566</v>
      </c>
      <c r="N384" t="s">
        <v>57</v>
      </c>
      <c r="O384" s="1">
        <v>44958</v>
      </c>
      <c r="Q384" s="1">
        <v>45992</v>
      </c>
      <c r="R384" s="2">
        <v>25.73</v>
      </c>
      <c r="S384">
        <v>1</v>
      </c>
      <c r="T384" t="s">
        <v>58</v>
      </c>
      <c r="U384" t="s">
        <v>59</v>
      </c>
      <c r="V384" s="3">
        <v>0.15</v>
      </c>
      <c r="W384" s="2">
        <v>0</v>
      </c>
      <c r="X384">
        <v>0</v>
      </c>
      <c r="Y384" t="s">
        <v>264</v>
      </c>
      <c r="Z384" t="s">
        <v>61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3.86</v>
      </c>
      <c r="AN384" s="2">
        <v>3.86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45957</v>
      </c>
      <c r="B385" t="s">
        <v>48</v>
      </c>
      <c r="C385">
        <v>649163</v>
      </c>
      <c r="D385">
        <v>2017420303</v>
      </c>
      <c r="E385" t="s">
        <v>724</v>
      </c>
      <c r="F385" t="s">
        <v>537</v>
      </c>
      <c r="G385" t="s">
        <v>51</v>
      </c>
      <c r="H385" t="s">
        <v>52</v>
      </c>
      <c r="I385" t="s">
        <v>53</v>
      </c>
      <c r="J385" t="s">
        <v>54</v>
      </c>
      <c r="K385">
        <v>649793</v>
      </c>
      <c r="L385" t="s">
        <v>55</v>
      </c>
      <c r="M385" t="s">
        <v>566</v>
      </c>
      <c r="N385" t="s">
        <v>57</v>
      </c>
      <c r="O385" s="1">
        <v>44958</v>
      </c>
      <c r="Q385" s="1">
        <v>45992</v>
      </c>
      <c r="R385" s="2">
        <v>37.880000000000003</v>
      </c>
      <c r="S385">
        <v>1</v>
      </c>
      <c r="T385" t="s">
        <v>58</v>
      </c>
      <c r="U385" t="s">
        <v>59</v>
      </c>
      <c r="V385" s="3">
        <v>0.15</v>
      </c>
      <c r="W385" s="2">
        <v>0</v>
      </c>
      <c r="X385">
        <v>0</v>
      </c>
      <c r="Y385" t="s">
        <v>264</v>
      </c>
      <c r="Z385" t="s">
        <v>61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5.68</v>
      </c>
      <c r="AN385" s="2">
        <v>5.68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45957</v>
      </c>
      <c r="B386" t="s">
        <v>48</v>
      </c>
      <c r="C386">
        <v>649163</v>
      </c>
      <c r="D386">
        <v>2017420304</v>
      </c>
      <c r="E386" t="s">
        <v>724</v>
      </c>
      <c r="F386" t="s">
        <v>537</v>
      </c>
      <c r="G386" t="s">
        <v>51</v>
      </c>
      <c r="H386" t="s">
        <v>52</v>
      </c>
      <c r="I386" t="s">
        <v>53</v>
      </c>
      <c r="J386" t="s">
        <v>119</v>
      </c>
      <c r="K386">
        <v>649793</v>
      </c>
      <c r="L386" t="s">
        <v>55</v>
      </c>
      <c r="M386" t="s">
        <v>566</v>
      </c>
      <c r="N386" t="s">
        <v>57</v>
      </c>
      <c r="O386" s="1">
        <v>44958</v>
      </c>
      <c r="Q386" s="1">
        <v>45992</v>
      </c>
      <c r="R386" s="2">
        <v>25.73</v>
      </c>
      <c r="S386">
        <v>1</v>
      </c>
      <c r="T386" t="s">
        <v>58</v>
      </c>
      <c r="U386" t="s">
        <v>59</v>
      </c>
      <c r="V386" s="3">
        <v>0.15</v>
      </c>
      <c r="W386" s="2">
        <v>0</v>
      </c>
      <c r="X386">
        <v>0</v>
      </c>
      <c r="Y386" t="s">
        <v>264</v>
      </c>
      <c r="Z386" t="s">
        <v>61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3.86</v>
      </c>
      <c r="AN386" s="2">
        <v>3.86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45957</v>
      </c>
      <c r="B387" t="s">
        <v>48</v>
      </c>
      <c r="C387">
        <v>649163</v>
      </c>
      <c r="D387">
        <v>2017521114</v>
      </c>
      <c r="E387" t="s">
        <v>725</v>
      </c>
      <c r="F387" t="s">
        <v>726</v>
      </c>
      <c r="G387" t="s">
        <v>51</v>
      </c>
      <c r="H387" t="s">
        <v>182</v>
      </c>
      <c r="I387" t="s">
        <v>53</v>
      </c>
      <c r="J387" t="s">
        <v>54</v>
      </c>
      <c r="K387">
        <v>649793</v>
      </c>
      <c r="L387" t="s">
        <v>55</v>
      </c>
      <c r="M387" t="s">
        <v>566</v>
      </c>
      <c r="N387" t="s">
        <v>57</v>
      </c>
      <c r="O387" s="1">
        <v>44958</v>
      </c>
      <c r="Q387" s="1">
        <v>45992</v>
      </c>
      <c r="R387" s="2">
        <v>35.04</v>
      </c>
      <c r="S387">
        <v>1</v>
      </c>
      <c r="T387" t="s">
        <v>58</v>
      </c>
      <c r="U387" t="s">
        <v>59</v>
      </c>
      <c r="V387" s="3">
        <v>0.15</v>
      </c>
      <c r="W387" s="2">
        <v>0</v>
      </c>
      <c r="X387">
        <v>0</v>
      </c>
      <c r="Y387" t="s">
        <v>264</v>
      </c>
      <c r="Z387" t="s">
        <v>61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5.26</v>
      </c>
      <c r="AN387" s="2">
        <v>5.26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45957</v>
      </c>
      <c r="B388" t="s">
        <v>48</v>
      </c>
      <c r="C388">
        <v>649163</v>
      </c>
      <c r="D388">
        <v>2017608417</v>
      </c>
      <c r="E388" t="s">
        <v>576</v>
      </c>
      <c r="F388" t="s">
        <v>374</v>
      </c>
      <c r="G388" t="s">
        <v>51</v>
      </c>
      <c r="H388" t="s">
        <v>696</v>
      </c>
      <c r="I388" t="s">
        <v>53</v>
      </c>
      <c r="J388" t="s">
        <v>132</v>
      </c>
      <c r="K388">
        <v>651818</v>
      </c>
      <c r="L388" t="s">
        <v>560</v>
      </c>
      <c r="M388" t="s">
        <v>336</v>
      </c>
      <c r="N388" t="s">
        <v>57</v>
      </c>
      <c r="O388" s="1">
        <v>44983</v>
      </c>
      <c r="Q388" s="1">
        <v>45987</v>
      </c>
      <c r="R388" s="2">
        <v>163.25</v>
      </c>
      <c r="S388">
        <v>1</v>
      </c>
      <c r="T388" t="s">
        <v>58</v>
      </c>
      <c r="U388" t="s">
        <v>59</v>
      </c>
      <c r="V388" s="3">
        <v>0.1</v>
      </c>
      <c r="W388" s="2">
        <v>0</v>
      </c>
      <c r="X388">
        <v>0</v>
      </c>
      <c r="Y388" t="s">
        <v>264</v>
      </c>
      <c r="Z388" t="s">
        <v>61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16.32</v>
      </c>
      <c r="AN388" s="2">
        <v>16.32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45957</v>
      </c>
      <c r="B389" t="s">
        <v>48</v>
      </c>
      <c r="C389">
        <v>649163</v>
      </c>
      <c r="D389">
        <v>2018036451</v>
      </c>
      <c r="E389" t="s">
        <v>695</v>
      </c>
      <c r="F389" t="s">
        <v>727</v>
      </c>
      <c r="G389" t="s">
        <v>51</v>
      </c>
      <c r="H389" t="s">
        <v>118</v>
      </c>
      <c r="I389" t="s">
        <v>53</v>
      </c>
      <c r="J389" t="s">
        <v>119</v>
      </c>
      <c r="K389">
        <v>652037</v>
      </c>
      <c r="L389" t="s">
        <v>155</v>
      </c>
      <c r="M389" t="s">
        <v>156</v>
      </c>
      <c r="N389" t="s">
        <v>57</v>
      </c>
      <c r="O389" s="1">
        <v>45017</v>
      </c>
      <c r="Q389" s="1">
        <v>45992</v>
      </c>
      <c r="R389" s="2">
        <v>24.61</v>
      </c>
      <c r="S389">
        <v>1</v>
      </c>
      <c r="T389" t="s">
        <v>58</v>
      </c>
      <c r="U389" t="s">
        <v>59</v>
      </c>
      <c r="V389" s="3">
        <v>0.15</v>
      </c>
      <c r="W389" s="2">
        <v>0</v>
      </c>
      <c r="X389">
        <v>0</v>
      </c>
      <c r="Y389" t="s">
        <v>264</v>
      </c>
      <c r="Z389" t="s">
        <v>61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3.69</v>
      </c>
      <c r="AN389" s="2">
        <v>3.69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45957</v>
      </c>
      <c r="B390" t="s">
        <v>48</v>
      </c>
      <c r="C390">
        <v>649163</v>
      </c>
      <c r="D390">
        <v>2018077138</v>
      </c>
      <c r="E390" t="s">
        <v>572</v>
      </c>
      <c r="F390" t="s">
        <v>312</v>
      </c>
      <c r="G390" t="s">
        <v>51</v>
      </c>
      <c r="H390" t="s">
        <v>118</v>
      </c>
      <c r="I390" t="s">
        <v>53</v>
      </c>
      <c r="J390" t="s">
        <v>132</v>
      </c>
      <c r="K390">
        <v>652037</v>
      </c>
      <c r="L390" t="s">
        <v>155</v>
      </c>
      <c r="M390" t="s">
        <v>156</v>
      </c>
      <c r="N390" t="s">
        <v>57</v>
      </c>
      <c r="O390" s="1">
        <v>45017</v>
      </c>
      <c r="Q390" s="1">
        <v>45992</v>
      </c>
      <c r="R390" s="2">
        <v>56.75</v>
      </c>
      <c r="S390">
        <v>1</v>
      </c>
      <c r="T390" t="s">
        <v>58</v>
      </c>
      <c r="U390" t="s">
        <v>59</v>
      </c>
      <c r="V390" s="3">
        <v>0.1</v>
      </c>
      <c r="W390" s="2">
        <v>0</v>
      </c>
      <c r="X390">
        <v>0</v>
      </c>
      <c r="Y390" t="s">
        <v>264</v>
      </c>
      <c r="Z390" t="s">
        <v>61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5.68</v>
      </c>
      <c r="AN390" s="2">
        <v>5.68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45957</v>
      </c>
      <c r="B391" t="s">
        <v>48</v>
      </c>
      <c r="C391">
        <v>649163</v>
      </c>
      <c r="D391">
        <v>2018107017</v>
      </c>
      <c r="E391" t="s">
        <v>728</v>
      </c>
      <c r="F391" t="s">
        <v>729</v>
      </c>
      <c r="G391" t="s">
        <v>51</v>
      </c>
      <c r="H391" t="s">
        <v>81</v>
      </c>
      <c r="I391" t="s">
        <v>53</v>
      </c>
      <c r="J391" t="s">
        <v>54</v>
      </c>
      <c r="K391">
        <v>673059</v>
      </c>
      <c r="L391" t="s">
        <v>55</v>
      </c>
      <c r="M391" t="s">
        <v>56</v>
      </c>
      <c r="N391" t="s">
        <v>57</v>
      </c>
      <c r="O391" s="1">
        <v>45012</v>
      </c>
      <c r="Q391" s="1">
        <v>45988</v>
      </c>
      <c r="R391" s="2">
        <v>35.369999999999997</v>
      </c>
      <c r="S391">
        <v>1</v>
      </c>
      <c r="T391" t="s">
        <v>58</v>
      </c>
      <c r="U391" t="s">
        <v>59</v>
      </c>
      <c r="V391" s="3">
        <v>0.15</v>
      </c>
      <c r="W391" s="2">
        <v>0</v>
      </c>
      <c r="X391">
        <v>0</v>
      </c>
      <c r="Y391" t="s">
        <v>264</v>
      </c>
      <c r="Z391" t="s">
        <v>61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5.31</v>
      </c>
      <c r="AN391" s="2">
        <v>5.31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45957</v>
      </c>
      <c r="B392" t="s">
        <v>48</v>
      </c>
      <c r="C392">
        <v>649163</v>
      </c>
      <c r="D392">
        <v>2018192803</v>
      </c>
      <c r="E392" t="s">
        <v>573</v>
      </c>
      <c r="F392" t="s">
        <v>574</v>
      </c>
      <c r="G392" t="s">
        <v>51</v>
      </c>
      <c r="H392" t="s">
        <v>165</v>
      </c>
      <c r="I392" t="s">
        <v>53</v>
      </c>
      <c r="J392" t="s">
        <v>132</v>
      </c>
      <c r="K392">
        <v>651818</v>
      </c>
      <c r="L392" t="s">
        <v>560</v>
      </c>
      <c r="M392" t="s">
        <v>336</v>
      </c>
      <c r="N392" t="s">
        <v>57</v>
      </c>
      <c r="O392" s="1">
        <v>45015</v>
      </c>
      <c r="Q392" s="1">
        <v>45991</v>
      </c>
      <c r="R392" s="2">
        <v>75.44</v>
      </c>
      <c r="S392">
        <v>1</v>
      </c>
      <c r="T392" t="s">
        <v>58</v>
      </c>
      <c r="U392" t="s">
        <v>59</v>
      </c>
      <c r="V392" s="3">
        <v>0.1</v>
      </c>
      <c r="W392" s="2">
        <v>0</v>
      </c>
      <c r="X392">
        <v>0</v>
      </c>
      <c r="Y392" t="s">
        <v>264</v>
      </c>
      <c r="Z392" t="s">
        <v>61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7.54</v>
      </c>
      <c r="AN392" s="2">
        <v>7.54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45957</v>
      </c>
      <c r="B393" t="s">
        <v>48</v>
      </c>
      <c r="C393">
        <v>649163</v>
      </c>
      <c r="D393">
        <v>2018214085</v>
      </c>
      <c r="E393" t="s">
        <v>730</v>
      </c>
      <c r="F393" t="s">
        <v>731</v>
      </c>
      <c r="G393" t="s">
        <v>51</v>
      </c>
      <c r="H393" t="s">
        <v>118</v>
      </c>
      <c r="I393" t="s">
        <v>53</v>
      </c>
      <c r="J393" t="s">
        <v>119</v>
      </c>
      <c r="K393">
        <v>652037</v>
      </c>
      <c r="L393" t="s">
        <v>155</v>
      </c>
      <c r="M393" t="s">
        <v>156</v>
      </c>
      <c r="N393" t="s">
        <v>57</v>
      </c>
      <c r="O393" s="1">
        <v>45017</v>
      </c>
      <c r="Q393" s="1">
        <v>45992</v>
      </c>
      <c r="R393" s="2">
        <v>24.61</v>
      </c>
      <c r="S393">
        <v>1</v>
      </c>
      <c r="T393" t="s">
        <v>58</v>
      </c>
      <c r="U393" t="s">
        <v>59</v>
      </c>
      <c r="V393" s="3">
        <v>0.15</v>
      </c>
      <c r="W393" s="2">
        <v>0</v>
      </c>
      <c r="X393">
        <v>0</v>
      </c>
      <c r="Y393" t="s">
        <v>264</v>
      </c>
      <c r="Z393" t="s">
        <v>61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3.69</v>
      </c>
      <c r="AN393" s="2">
        <v>3.69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45957</v>
      </c>
      <c r="B394" t="s">
        <v>48</v>
      </c>
      <c r="C394">
        <v>649163</v>
      </c>
      <c r="D394">
        <v>2018617831</v>
      </c>
      <c r="E394" t="s">
        <v>56</v>
      </c>
      <c r="F394" t="s">
        <v>732</v>
      </c>
      <c r="G394" t="s">
        <v>51</v>
      </c>
      <c r="I394" t="s">
        <v>53</v>
      </c>
      <c r="J394" t="s">
        <v>119</v>
      </c>
      <c r="K394">
        <v>652037</v>
      </c>
      <c r="L394" t="s">
        <v>155</v>
      </c>
      <c r="M394" t="s">
        <v>156</v>
      </c>
      <c r="N394" t="s">
        <v>57</v>
      </c>
      <c r="O394" s="1">
        <v>45078</v>
      </c>
      <c r="Q394" s="1">
        <v>45992</v>
      </c>
      <c r="R394" s="2">
        <v>24.61</v>
      </c>
      <c r="S394">
        <v>1</v>
      </c>
      <c r="T394" t="s">
        <v>58</v>
      </c>
      <c r="U394" t="s">
        <v>59</v>
      </c>
      <c r="V394" s="3">
        <v>0.15</v>
      </c>
      <c r="W394" s="2">
        <v>0</v>
      </c>
      <c r="X394">
        <v>0</v>
      </c>
      <c r="Y394" t="s">
        <v>264</v>
      </c>
      <c r="Z394" t="s">
        <v>61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3.69</v>
      </c>
      <c r="AN394" s="2">
        <v>3.69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45957</v>
      </c>
      <c r="B395" t="s">
        <v>48</v>
      </c>
      <c r="C395">
        <v>649163</v>
      </c>
      <c r="D395">
        <v>2018621162</v>
      </c>
      <c r="E395" t="s">
        <v>267</v>
      </c>
      <c r="F395" t="s">
        <v>268</v>
      </c>
      <c r="G395" t="s">
        <v>51</v>
      </c>
      <c r="H395" t="s">
        <v>129</v>
      </c>
      <c r="I395" t="s">
        <v>53</v>
      </c>
      <c r="J395" t="s">
        <v>54</v>
      </c>
      <c r="K395">
        <v>673059</v>
      </c>
      <c r="L395" t="s">
        <v>55</v>
      </c>
      <c r="M395" t="s">
        <v>56</v>
      </c>
      <c r="N395" t="s">
        <v>57</v>
      </c>
      <c r="O395" s="1">
        <v>45078</v>
      </c>
      <c r="Q395" s="1">
        <v>45992</v>
      </c>
      <c r="R395" s="2">
        <v>44</v>
      </c>
      <c r="S395">
        <v>1</v>
      </c>
      <c r="T395" t="s">
        <v>58</v>
      </c>
      <c r="U395" t="s">
        <v>59</v>
      </c>
      <c r="V395" s="3">
        <v>0.15</v>
      </c>
      <c r="W395" s="2">
        <v>0</v>
      </c>
      <c r="X395">
        <v>0</v>
      </c>
      <c r="Y395" t="s">
        <v>264</v>
      </c>
      <c r="Z395" t="s">
        <v>61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6.6</v>
      </c>
      <c r="AN395" s="2">
        <v>6.6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45957</v>
      </c>
      <c r="B396" t="s">
        <v>48</v>
      </c>
      <c r="C396">
        <v>649163</v>
      </c>
      <c r="D396">
        <v>2018717243</v>
      </c>
      <c r="E396" t="s">
        <v>733</v>
      </c>
      <c r="F396" t="s">
        <v>167</v>
      </c>
      <c r="G396" t="s">
        <v>51</v>
      </c>
      <c r="I396" t="s">
        <v>53</v>
      </c>
      <c r="J396" t="s">
        <v>119</v>
      </c>
      <c r="K396">
        <v>652037</v>
      </c>
      <c r="L396" t="s">
        <v>155</v>
      </c>
      <c r="M396" t="s">
        <v>156</v>
      </c>
      <c r="N396" t="s">
        <v>57</v>
      </c>
      <c r="O396" s="1">
        <v>45078</v>
      </c>
      <c r="Q396" s="1">
        <v>45992</v>
      </c>
      <c r="R396" s="2">
        <v>24.61</v>
      </c>
      <c r="S396">
        <v>1</v>
      </c>
      <c r="T396" t="s">
        <v>58</v>
      </c>
      <c r="U396" t="s">
        <v>59</v>
      </c>
      <c r="V396" s="3">
        <v>0.15</v>
      </c>
      <c r="W396" s="2">
        <v>0</v>
      </c>
      <c r="X396">
        <v>0</v>
      </c>
      <c r="Y396" t="s">
        <v>264</v>
      </c>
      <c r="Z396" t="s">
        <v>61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3.69</v>
      </c>
      <c r="AN396" s="2">
        <v>3.69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45957</v>
      </c>
      <c r="B397" t="s">
        <v>48</v>
      </c>
      <c r="C397">
        <v>649163</v>
      </c>
      <c r="D397">
        <v>2019414593</v>
      </c>
      <c r="E397" t="s">
        <v>734</v>
      </c>
      <c r="F397" t="s">
        <v>735</v>
      </c>
      <c r="G397" t="s">
        <v>51</v>
      </c>
      <c r="H397" t="s">
        <v>182</v>
      </c>
      <c r="I397" t="s">
        <v>53</v>
      </c>
      <c r="J397" t="s">
        <v>132</v>
      </c>
      <c r="K397">
        <v>673059</v>
      </c>
      <c r="L397" t="s">
        <v>55</v>
      </c>
      <c r="M397" t="s">
        <v>56</v>
      </c>
      <c r="N397" t="s">
        <v>57</v>
      </c>
      <c r="O397" s="1">
        <v>45170</v>
      </c>
      <c r="Q397" s="1">
        <v>45992</v>
      </c>
      <c r="R397" s="2">
        <v>23.05</v>
      </c>
      <c r="S397">
        <v>1</v>
      </c>
      <c r="T397" t="s">
        <v>58</v>
      </c>
      <c r="U397" t="s">
        <v>59</v>
      </c>
      <c r="V397" s="3">
        <v>0.1</v>
      </c>
      <c r="W397" s="2">
        <v>0</v>
      </c>
      <c r="X397">
        <v>0</v>
      </c>
      <c r="Y397" t="s">
        <v>264</v>
      </c>
      <c r="Z397" t="s">
        <v>61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2.2999999999999998</v>
      </c>
      <c r="AN397" s="2">
        <v>2.2999999999999998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45957</v>
      </c>
      <c r="B398" t="s">
        <v>48</v>
      </c>
      <c r="C398">
        <v>649163</v>
      </c>
      <c r="D398">
        <v>2019527580</v>
      </c>
      <c r="E398" t="s">
        <v>736</v>
      </c>
      <c r="F398" t="s">
        <v>62</v>
      </c>
      <c r="G398" t="s">
        <v>51</v>
      </c>
      <c r="H398" t="s">
        <v>276</v>
      </c>
      <c r="I398" t="s">
        <v>53</v>
      </c>
      <c r="J398" t="s">
        <v>132</v>
      </c>
      <c r="K398">
        <v>673059</v>
      </c>
      <c r="L398" t="s">
        <v>55</v>
      </c>
      <c r="M398" t="s">
        <v>56</v>
      </c>
      <c r="N398" t="s">
        <v>57</v>
      </c>
      <c r="O398" s="1">
        <v>45161</v>
      </c>
      <c r="Q398" s="1">
        <v>45984</v>
      </c>
      <c r="R398" s="2">
        <v>99.25</v>
      </c>
      <c r="S398">
        <v>1</v>
      </c>
      <c r="T398" t="s">
        <v>58</v>
      </c>
      <c r="U398" t="s">
        <v>59</v>
      </c>
      <c r="V398" s="3">
        <v>0.1</v>
      </c>
      <c r="W398" s="2">
        <v>0</v>
      </c>
      <c r="X398">
        <v>0</v>
      </c>
      <c r="Y398" t="s">
        <v>264</v>
      </c>
      <c r="Z398" t="s">
        <v>61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9.92</v>
      </c>
      <c r="AN398" s="2">
        <v>9.92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45957</v>
      </c>
      <c r="B399" t="s">
        <v>48</v>
      </c>
      <c r="C399">
        <v>649163</v>
      </c>
      <c r="D399">
        <v>2019662568</v>
      </c>
      <c r="E399" t="s">
        <v>737</v>
      </c>
      <c r="F399" t="s">
        <v>738</v>
      </c>
      <c r="G399" t="s">
        <v>51</v>
      </c>
      <c r="H399" t="s">
        <v>190</v>
      </c>
      <c r="I399" t="s">
        <v>53</v>
      </c>
      <c r="J399" t="s">
        <v>54</v>
      </c>
      <c r="K399">
        <v>673059</v>
      </c>
      <c r="L399" t="s">
        <v>55</v>
      </c>
      <c r="M399" t="s">
        <v>56</v>
      </c>
      <c r="N399" t="s">
        <v>57</v>
      </c>
      <c r="O399" s="1">
        <v>45170</v>
      </c>
      <c r="Q399" s="1">
        <v>45992</v>
      </c>
      <c r="R399" s="2">
        <v>82.76</v>
      </c>
      <c r="S399">
        <v>1</v>
      </c>
      <c r="T399" t="s">
        <v>58</v>
      </c>
      <c r="U399" t="s">
        <v>59</v>
      </c>
      <c r="V399" s="3">
        <v>0.15</v>
      </c>
      <c r="W399" s="2">
        <v>0</v>
      </c>
      <c r="X399">
        <v>0</v>
      </c>
      <c r="Y399" t="s">
        <v>264</v>
      </c>
      <c r="Z399" t="s">
        <v>61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12.41</v>
      </c>
      <c r="AN399" s="2">
        <v>12.41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45957</v>
      </c>
      <c r="B400" t="s">
        <v>48</v>
      </c>
      <c r="C400">
        <v>649163</v>
      </c>
      <c r="D400">
        <v>2019690812</v>
      </c>
      <c r="E400" t="s">
        <v>658</v>
      </c>
      <c r="F400" t="s">
        <v>366</v>
      </c>
      <c r="G400" t="s">
        <v>51</v>
      </c>
      <c r="H400" t="s">
        <v>118</v>
      </c>
      <c r="I400" t="s">
        <v>53</v>
      </c>
      <c r="J400" t="s">
        <v>119</v>
      </c>
      <c r="K400">
        <v>652037</v>
      </c>
      <c r="L400" t="s">
        <v>155</v>
      </c>
      <c r="M400" t="s">
        <v>156</v>
      </c>
      <c r="N400" t="s">
        <v>57</v>
      </c>
      <c r="O400" s="1">
        <v>45170</v>
      </c>
      <c r="Q400" s="1">
        <v>45992</v>
      </c>
      <c r="R400" s="2">
        <v>24.61</v>
      </c>
      <c r="S400">
        <v>1</v>
      </c>
      <c r="T400" t="s">
        <v>58</v>
      </c>
      <c r="U400" t="s">
        <v>59</v>
      </c>
      <c r="V400" s="3">
        <v>0.15</v>
      </c>
      <c r="W400" s="2">
        <v>0</v>
      </c>
      <c r="X400">
        <v>0</v>
      </c>
      <c r="Y400" t="s">
        <v>264</v>
      </c>
      <c r="Z400" t="s">
        <v>61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3.69</v>
      </c>
      <c r="AN400" s="2">
        <v>3.69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45957</v>
      </c>
      <c r="B401" t="s">
        <v>48</v>
      </c>
      <c r="C401">
        <v>649163</v>
      </c>
      <c r="D401">
        <v>2020160887</v>
      </c>
      <c r="E401" t="s">
        <v>739</v>
      </c>
      <c r="F401" t="s">
        <v>740</v>
      </c>
      <c r="G401" t="s">
        <v>51</v>
      </c>
      <c r="H401" t="s">
        <v>129</v>
      </c>
      <c r="I401" t="s">
        <v>53</v>
      </c>
      <c r="J401" t="s">
        <v>54</v>
      </c>
      <c r="K401">
        <v>673059</v>
      </c>
      <c r="L401" t="s">
        <v>55</v>
      </c>
      <c r="M401" t="s">
        <v>56</v>
      </c>
      <c r="N401" t="s">
        <v>57</v>
      </c>
      <c r="O401" s="1">
        <v>45231</v>
      </c>
      <c r="Q401" s="1">
        <v>45992</v>
      </c>
      <c r="R401" s="2">
        <v>122.88</v>
      </c>
      <c r="S401">
        <v>1</v>
      </c>
      <c r="T401" t="s">
        <v>58</v>
      </c>
      <c r="U401" t="s">
        <v>59</v>
      </c>
      <c r="V401" s="3">
        <v>0.15</v>
      </c>
      <c r="W401" s="2">
        <v>0</v>
      </c>
      <c r="X401">
        <v>0</v>
      </c>
      <c r="Y401" t="s">
        <v>264</v>
      </c>
      <c r="Z401" t="s">
        <v>61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18.43</v>
      </c>
      <c r="AN401" s="2">
        <v>18.43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45957</v>
      </c>
      <c r="B402" t="s">
        <v>48</v>
      </c>
      <c r="C402">
        <v>649163</v>
      </c>
      <c r="D402">
        <v>2020393564</v>
      </c>
      <c r="E402" t="s">
        <v>486</v>
      </c>
      <c r="F402" t="s">
        <v>487</v>
      </c>
      <c r="G402" t="s">
        <v>51</v>
      </c>
      <c r="H402" t="s">
        <v>276</v>
      </c>
      <c r="I402" t="s">
        <v>53</v>
      </c>
      <c r="J402" t="s">
        <v>119</v>
      </c>
      <c r="K402">
        <v>673059</v>
      </c>
      <c r="L402" t="s">
        <v>55</v>
      </c>
      <c r="M402" t="s">
        <v>56</v>
      </c>
      <c r="N402" t="s">
        <v>57</v>
      </c>
      <c r="O402" s="1">
        <v>45231</v>
      </c>
      <c r="Q402" s="1">
        <v>45992</v>
      </c>
      <c r="R402" s="2">
        <v>42.88</v>
      </c>
      <c r="S402">
        <v>1</v>
      </c>
      <c r="T402" t="s">
        <v>58</v>
      </c>
      <c r="U402" t="s">
        <v>59</v>
      </c>
      <c r="V402" s="3">
        <v>0.15</v>
      </c>
      <c r="W402" s="2">
        <v>0</v>
      </c>
      <c r="X402">
        <v>0</v>
      </c>
      <c r="Y402" t="s">
        <v>264</v>
      </c>
      <c r="Z402" t="s">
        <v>61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6.43</v>
      </c>
      <c r="AN402" s="2">
        <v>6.43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45957</v>
      </c>
      <c r="B403" t="s">
        <v>48</v>
      </c>
      <c r="C403">
        <v>649163</v>
      </c>
      <c r="D403">
        <v>2020428894</v>
      </c>
      <c r="E403" t="s">
        <v>741</v>
      </c>
      <c r="F403" t="s">
        <v>99</v>
      </c>
      <c r="G403" t="s">
        <v>51</v>
      </c>
      <c r="H403" t="s">
        <v>742</v>
      </c>
      <c r="I403" t="s">
        <v>53</v>
      </c>
      <c r="J403" t="s">
        <v>132</v>
      </c>
      <c r="K403">
        <v>651818</v>
      </c>
      <c r="L403" t="s">
        <v>560</v>
      </c>
      <c r="M403" t="s">
        <v>336</v>
      </c>
      <c r="N403" t="s">
        <v>57</v>
      </c>
      <c r="O403" s="1">
        <v>45231</v>
      </c>
      <c r="Q403" s="1">
        <v>45992</v>
      </c>
      <c r="R403" s="2">
        <v>99.25</v>
      </c>
      <c r="S403">
        <v>1</v>
      </c>
      <c r="T403" t="s">
        <v>58</v>
      </c>
      <c r="U403" t="s">
        <v>59</v>
      </c>
      <c r="V403" s="3">
        <v>0.1</v>
      </c>
      <c r="W403" s="2">
        <v>0</v>
      </c>
      <c r="X403">
        <v>0</v>
      </c>
      <c r="Y403" t="s">
        <v>264</v>
      </c>
      <c r="Z403" t="s">
        <v>61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9.92</v>
      </c>
      <c r="AN403" s="2">
        <v>9.92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45957</v>
      </c>
      <c r="B404" t="s">
        <v>48</v>
      </c>
      <c r="C404">
        <v>649163</v>
      </c>
      <c r="D404">
        <v>2020617793</v>
      </c>
      <c r="E404" t="s">
        <v>743</v>
      </c>
      <c r="F404" t="s">
        <v>744</v>
      </c>
      <c r="G404" t="s">
        <v>51</v>
      </c>
      <c r="H404" t="s">
        <v>555</v>
      </c>
      <c r="I404" t="s">
        <v>53</v>
      </c>
      <c r="J404" t="s">
        <v>132</v>
      </c>
      <c r="K404">
        <v>652037</v>
      </c>
      <c r="L404" t="s">
        <v>155</v>
      </c>
      <c r="M404" t="s">
        <v>156</v>
      </c>
      <c r="N404" t="s">
        <v>57</v>
      </c>
      <c r="O404" s="1">
        <v>45231</v>
      </c>
      <c r="Q404" s="1">
        <v>45992</v>
      </c>
      <c r="R404" s="2">
        <v>76.17</v>
      </c>
      <c r="S404">
        <v>1</v>
      </c>
      <c r="T404" t="s">
        <v>58</v>
      </c>
      <c r="U404" t="s">
        <v>59</v>
      </c>
      <c r="V404" s="3">
        <v>0.1</v>
      </c>
      <c r="W404" s="2">
        <v>0</v>
      </c>
      <c r="X404">
        <v>0</v>
      </c>
      <c r="Y404" t="s">
        <v>264</v>
      </c>
      <c r="Z404" t="s">
        <v>61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7.62</v>
      </c>
      <c r="AN404" s="2">
        <v>7.62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45957</v>
      </c>
      <c r="B405" t="s">
        <v>48</v>
      </c>
      <c r="C405">
        <v>649163</v>
      </c>
      <c r="D405">
        <v>2021137941</v>
      </c>
      <c r="E405" t="s">
        <v>745</v>
      </c>
      <c r="F405" t="s">
        <v>746</v>
      </c>
      <c r="G405" t="s">
        <v>51</v>
      </c>
      <c r="H405" t="s">
        <v>195</v>
      </c>
      <c r="I405" t="s">
        <v>53</v>
      </c>
      <c r="J405" t="s">
        <v>119</v>
      </c>
      <c r="K405">
        <v>649164</v>
      </c>
      <c r="L405" t="s">
        <v>313</v>
      </c>
      <c r="M405" t="s">
        <v>314</v>
      </c>
      <c r="N405" t="s">
        <v>57</v>
      </c>
      <c r="O405" s="1">
        <v>45323</v>
      </c>
      <c r="Q405" s="1">
        <v>45992</v>
      </c>
      <c r="R405" s="2">
        <v>25.73</v>
      </c>
      <c r="S405">
        <v>1</v>
      </c>
      <c r="T405" t="s">
        <v>58</v>
      </c>
      <c r="U405" t="s">
        <v>59</v>
      </c>
      <c r="V405" s="3">
        <v>0.15</v>
      </c>
      <c r="W405" s="2">
        <v>0</v>
      </c>
      <c r="X405">
        <v>0</v>
      </c>
      <c r="Y405" t="s">
        <v>264</v>
      </c>
      <c r="Z405" t="s">
        <v>61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3.86</v>
      </c>
      <c r="AN405" s="2">
        <v>3.86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45957</v>
      </c>
      <c r="B406" t="s">
        <v>48</v>
      </c>
      <c r="C406">
        <v>649163</v>
      </c>
      <c r="D406">
        <v>2021234695</v>
      </c>
      <c r="E406" t="s">
        <v>747</v>
      </c>
      <c r="F406" t="s">
        <v>748</v>
      </c>
      <c r="G406" t="s">
        <v>51</v>
      </c>
      <c r="H406" t="s">
        <v>563</v>
      </c>
      <c r="I406" t="s">
        <v>53</v>
      </c>
      <c r="J406" t="s">
        <v>54</v>
      </c>
      <c r="K406">
        <v>651818</v>
      </c>
      <c r="L406" t="s">
        <v>560</v>
      </c>
      <c r="M406" t="s">
        <v>336</v>
      </c>
      <c r="N406" t="s">
        <v>57</v>
      </c>
      <c r="O406" s="1">
        <v>45290</v>
      </c>
      <c r="Q406" s="1">
        <v>45991</v>
      </c>
      <c r="R406" s="2">
        <v>46.72</v>
      </c>
      <c r="S406">
        <v>1</v>
      </c>
      <c r="T406" t="s">
        <v>58</v>
      </c>
      <c r="U406" t="s">
        <v>59</v>
      </c>
      <c r="V406" s="3">
        <v>0.15</v>
      </c>
      <c r="W406" s="2">
        <v>0</v>
      </c>
      <c r="X406">
        <v>0</v>
      </c>
      <c r="Y406" t="s">
        <v>264</v>
      </c>
      <c r="Z406" t="s">
        <v>61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7.01</v>
      </c>
      <c r="AN406" s="2">
        <v>7.01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45957</v>
      </c>
      <c r="B407" t="s">
        <v>48</v>
      </c>
      <c r="C407">
        <v>649163</v>
      </c>
      <c r="D407">
        <v>2021427319</v>
      </c>
      <c r="E407" t="s">
        <v>575</v>
      </c>
      <c r="F407" t="s">
        <v>103</v>
      </c>
      <c r="G407" t="s">
        <v>51</v>
      </c>
      <c r="H407" t="s">
        <v>261</v>
      </c>
      <c r="I407" t="s">
        <v>53</v>
      </c>
      <c r="J407" t="s">
        <v>54</v>
      </c>
      <c r="K407">
        <v>673059</v>
      </c>
      <c r="L407" t="s">
        <v>55</v>
      </c>
      <c r="M407" t="s">
        <v>56</v>
      </c>
      <c r="N407" t="s">
        <v>57</v>
      </c>
      <c r="O407" s="1">
        <v>45351</v>
      </c>
      <c r="Q407" s="1">
        <v>45990</v>
      </c>
      <c r="R407" s="2">
        <v>53.13</v>
      </c>
      <c r="S407">
        <v>1</v>
      </c>
      <c r="T407" t="s">
        <v>58</v>
      </c>
      <c r="U407" t="s">
        <v>59</v>
      </c>
      <c r="V407" s="3">
        <v>0.15</v>
      </c>
      <c r="W407" s="2">
        <v>0</v>
      </c>
      <c r="X407">
        <v>0</v>
      </c>
      <c r="Y407" t="s">
        <v>264</v>
      </c>
      <c r="Z407" t="s">
        <v>61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7.97</v>
      </c>
      <c r="AN407" s="2">
        <v>7.97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45957</v>
      </c>
      <c r="B408" t="s">
        <v>48</v>
      </c>
      <c r="C408">
        <v>649163</v>
      </c>
      <c r="D408">
        <v>2021537049</v>
      </c>
      <c r="E408" t="s">
        <v>749</v>
      </c>
      <c r="F408" t="s">
        <v>415</v>
      </c>
      <c r="G408" t="s">
        <v>51</v>
      </c>
      <c r="H408" t="s">
        <v>247</v>
      </c>
      <c r="I408" t="s">
        <v>53</v>
      </c>
      <c r="J408" t="s">
        <v>119</v>
      </c>
      <c r="K408">
        <v>673059</v>
      </c>
      <c r="L408" t="s">
        <v>55</v>
      </c>
      <c r="M408" t="s">
        <v>56</v>
      </c>
      <c r="N408" t="s">
        <v>57</v>
      </c>
      <c r="O408" s="1">
        <v>45323</v>
      </c>
      <c r="Q408" s="1">
        <v>45992</v>
      </c>
      <c r="R408" s="2">
        <v>46.78</v>
      </c>
      <c r="S408">
        <v>1</v>
      </c>
      <c r="T408" t="s">
        <v>58</v>
      </c>
      <c r="U408" t="s">
        <v>59</v>
      </c>
      <c r="V408" s="3">
        <v>0.15</v>
      </c>
      <c r="W408" s="2">
        <v>0</v>
      </c>
      <c r="X408">
        <v>0</v>
      </c>
      <c r="Y408" t="s">
        <v>264</v>
      </c>
      <c r="Z408" t="s">
        <v>61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7.02</v>
      </c>
      <c r="AN408" s="2">
        <v>7.02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45957</v>
      </c>
      <c r="B409" t="s">
        <v>48</v>
      </c>
      <c r="C409">
        <v>649163</v>
      </c>
      <c r="D409">
        <v>2022148752</v>
      </c>
      <c r="E409" t="s">
        <v>750</v>
      </c>
      <c r="F409" t="s">
        <v>751</v>
      </c>
      <c r="G409" t="s">
        <v>51</v>
      </c>
      <c r="H409" t="s">
        <v>742</v>
      </c>
      <c r="I409" t="s">
        <v>53</v>
      </c>
      <c r="J409" t="s">
        <v>132</v>
      </c>
      <c r="K409">
        <v>651818</v>
      </c>
      <c r="L409" t="s">
        <v>560</v>
      </c>
      <c r="M409" t="s">
        <v>336</v>
      </c>
      <c r="N409" t="s">
        <v>57</v>
      </c>
      <c r="O409" s="1">
        <v>45377</v>
      </c>
      <c r="Q409" s="1">
        <v>45987</v>
      </c>
      <c r="R409" s="2">
        <v>51.31</v>
      </c>
      <c r="S409">
        <v>1</v>
      </c>
      <c r="T409" t="s">
        <v>58</v>
      </c>
      <c r="U409" t="s">
        <v>59</v>
      </c>
      <c r="V409" s="3">
        <v>0.1</v>
      </c>
      <c r="W409" s="2">
        <v>0</v>
      </c>
      <c r="X409">
        <v>0</v>
      </c>
      <c r="Y409" t="s">
        <v>264</v>
      </c>
      <c r="Z409" t="s">
        <v>61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5.13</v>
      </c>
      <c r="AN409" s="2">
        <v>5.13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45957</v>
      </c>
      <c r="B410" t="s">
        <v>48</v>
      </c>
      <c r="C410">
        <v>649163</v>
      </c>
      <c r="D410">
        <v>2022351916</v>
      </c>
      <c r="E410" t="s">
        <v>752</v>
      </c>
      <c r="F410" t="s">
        <v>106</v>
      </c>
      <c r="G410" t="s">
        <v>51</v>
      </c>
      <c r="H410" t="s">
        <v>69</v>
      </c>
      <c r="I410" t="s">
        <v>53</v>
      </c>
      <c r="J410" t="s">
        <v>119</v>
      </c>
      <c r="K410">
        <v>673059</v>
      </c>
      <c r="L410" t="s">
        <v>55</v>
      </c>
      <c r="M410" t="s">
        <v>56</v>
      </c>
      <c r="N410" t="s">
        <v>57</v>
      </c>
      <c r="O410" s="1">
        <v>45383</v>
      </c>
      <c r="Q410" s="1">
        <v>45992</v>
      </c>
      <c r="R410" s="2">
        <v>25.73</v>
      </c>
      <c r="S410">
        <v>1</v>
      </c>
      <c r="T410" t="s">
        <v>58</v>
      </c>
      <c r="U410" t="s">
        <v>59</v>
      </c>
      <c r="V410" s="3">
        <v>0.15</v>
      </c>
      <c r="W410" s="2">
        <v>0</v>
      </c>
      <c r="X410">
        <v>0</v>
      </c>
      <c r="Y410" t="s">
        <v>264</v>
      </c>
      <c r="Z410" t="s">
        <v>61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3.86</v>
      </c>
      <c r="AN410" s="2">
        <v>3.86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45957</v>
      </c>
      <c r="B411" t="s">
        <v>48</v>
      </c>
      <c r="C411">
        <v>649163</v>
      </c>
      <c r="D411">
        <v>2022351917</v>
      </c>
      <c r="E411" t="s">
        <v>752</v>
      </c>
      <c r="F411" t="s">
        <v>106</v>
      </c>
      <c r="G411" t="s">
        <v>51</v>
      </c>
      <c r="H411" t="s">
        <v>69</v>
      </c>
      <c r="I411" t="s">
        <v>53</v>
      </c>
      <c r="J411" t="s">
        <v>54</v>
      </c>
      <c r="K411">
        <v>673059</v>
      </c>
      <c r="L411" t="s">
        <v>55</v>
      </c>
      <c r="M411" t="s">
        <v>56</v>
      </c>
      <c r="N411" t="s">
        <v>57</v>
      </c>
      <c r="O411" s="1">
        <v>45383</v>
      </c>
      <c r="Q411" s="1">
        <v>45992</v>
      </c>
      <c r="R411" s="2">
        <v>81.150000000000006</v>
      </c>
      <c r="S411">
        <v>1</v>
      </c>
      <c r="T411" t="s">
        <v>58</v>
      </c>
      <c r="U411" t="s">
        <v>59</v>
      </c>
      <c r="V411" s="3">
        <v>0.15</v>
      </c>
      <c r="W411" s="2">
        <v>0</v>
      </c>
      <c r="X411">
        <v>0</v>
      </c>
      <c r="Y411" t="s">
        <v>264</v>
      </c>
      <c r="Z411" t="s">
        <v>61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12.17</v>
      </c>
      <c r="AN411" s="2">
        <v>12.17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45957</v>
      </c>
      <c r="B412" t="s">
        <v>48</v>
      </c>
      <c r="C412">
        <v>649163</v>
      </c>
      <c r="D412">
        <v>2022371779</v>
      </c>
      <c r="E412" t="s">
        <v>672</v>
      </c>
      <c r="F412" t="s">
        <v>524</v>
      </c>
      <c r="G412" t="s">
        <v>51</v>
      </c>
      <c r="H412" t="s">
        <v>52</v>
      </c>
      <c r="I412" t="s">
        <v>53</v>
      </c>
      <c r="J412" t="s">
        <v>54</v>
      </c>
      <c r="K412">
        <v>673059</v>
      </c>
      <c r="L412" t="s">
        <v>55</v>
      </c>
      <c r="M412" t="s">
        <v>56</v>
      </c>
      <c r="N412" t="s">
        <v>57</v>
      </c>
      <c r="O412" s="1">
        <v>45383</v>
      </c>
      <c r="Q412" s="1">
        <v>45992</v>
      </c>
      <c r="R412" s="2">
        <v>187.41</v>
      </c>
      <c r="S412">
        <v>1</v>
      </c>
      <c r="T412" t="s">
        <v>58</v>
      </c>
      <c r="U412" t="s">
        <v>59</v>
      </c>
      <c r="V412" s="3">
        <v>0.15</v>
      </c>
      <c r="W412" s="2">
        <v>0</v>
      </c>
      <c r="X412">
        <v>0</v>
      </c>
      <c r="Y412" t="s">
        <v>264</v>
      </c>
      <c r="Z412" t="s">
        <v>61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28.11</v>
      </c>
      <c r="AN412" s="2">
        <v>28.11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45957</v>
      </c>
      <c r="B413" t="s">
        <v>48</v>
      </c>
      <c r="C413">
        <v>649163</v>
      </c>
      <c r="D413">
        <v>2022371781</v>
      </c>
      <c r="E413" t="s">
        <v>672</v>
      </c>
      <c r="F413" t="s">
        <v>524</v>
      </c>
      <c r="G413" t="s">
        <v>51</v>
      </c>
      <c r="H413" t="s">
        <v>52</v>
      </c>
      <c r="I413" t="s">
        <v>53</v>
      </c>
      <c r="J413" t="s">
        <v>119</v>
      </c>
      <c r="K413">
        <v>673059</v>
      </c>
      <c r="L413" t="s">
        <v>55</v>
      </c>
      <c r="M413" t="s">
        <v>56</v>
      </c>
      <c r="N413" t="s">
        <v>57</v>
      </c>
      <c r="O413" s="1">
        <v>45383</v>
      </c>
      <c r="Q413" s="1">
        <v>45992</v>
      </c>
      <c r="R413" s="2">
        <v>51.46</v>
      </c>
      <c r="S413">
        <v>1</v>
      </c>
      <c r="T413" t="s">
        <v>58</v>
      </c>
      <c r="U413" t="s">
        <v>59</v>
      </c>
      <c r="V413" s="3">
        <v>0.15</v>
      </c>
      <c r="W413" s="2">
        <v>0</v>
      </c>
      <c r="X413">
        <v>0</v>
      </c>
      <c r="Y413" t="s">
        <v>264</v>
      </c>
      <c r="Z413" t="s">
        <v>61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7.72</v>
      </c>
      <c r="AN413" s="2">
        <v>7.72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45957</v>
      </c>
      <c r="B414" t="s">
        <v>48</v>
      </c>
      <c r="C414">
        <v>649163</v>
      </c>
      <c r="D414">
        <v>2022463458</v>
      </c>
      <c r="E414" t="s">
        <v>753</v>
      </c>
      <c r="F414" t="s">
        <v>754</v>
      </c>
      <c r="G414" t="s">
        <v>51</v>
      </c>
      <c r="H414" t="s">
        <v>52</v>
      </c>
      <c r="I414" t="s">
        <v>53</v>
      </c>
      <c r="J414" t="s">
        <v>54</v>
      </c>
      <c r="K414">
        <v>649164</v>
      </c>
      <c r="L414" t="s">
        <v>313</v>
      </c>
      <c r="M414" t="s">
        <v>314</v>
      </c>
      <c r="N414" t="s">
        <v>57</v>
      </c>
      <c r="O414" s="1">
        <v>45383</v>
      </c>
      <c r="Q414" s="1">
        <v>45992</v>
      </c>
      <c r="R414" s="2">
        <v>79.819999999999993</v>
      </c>
      <c r="S414">
        <v>1</v>
      </c>
      <c r="T414" t="s">
        <v>58</v>
      </c>
      <c r="U414" t="s">
        <v>59</v>
      </c>
      <c r="V414" s="3">
        <v>0.15</v>
      </c>
      <c r="W414" s="2">
        <v>0</v>
      </c>
      <c r="X414">
        <v>0</v>
      </c>
      <c r="Y414" t="s">
        <v>264</v>
      </c>
      <c r="Z414" t="s">
        <v>61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11.97</v>
      </c>
      <c r="AN414" s="2">
        <v>11.97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45957</v>
      </c>
      <c r="B415" t="s">
        <v>48</v>
      </c>
      <c r="C415">
        <v>649163</v>
      </c>
      <c r="D415">
        <v>2023153966</v>
      </c>
      <c r="E415" t="s">
        <v>755</v>
      </c>
      <c r="F415" t="s">
        <v>98</v>
      </c>
      <c r="G415" t="s">
        <v>51</v>
      </c>
      <c r="H415" t="s">
        <v>247</v>
      </c>
      <c r="I415" t="s">
        <v>53</v>
      </c>
      <c r="J415" t="s">
        <v>54</v>
      </c>
      <c r="K415">
        <v>649793</v>
      </c>
      <c r="L415" t="s">
        <v>55</v>
      </c>
      <c r="M415" t="s">
        <v>566</v>
      </c>
      <c r="N415" t="s">
        <v>57</v>
      </c>
      <c r="O415" s="1">
        <v>45444</v>
      </c>
      <c r="Q415" s="1">
        <v>45992</v>
      </c>
      <c r="R415" s="2">
        <v>78.760000000000005</v>
      </c>
      <c r="S415">
        <v>1</v>
      </c>
      <c r="T415" t="s">
        <v>58</v>
      </c>
      <c r="U415" t="s">
        <v>59</v>
      </c>
      <c r="V415" s="3">
        <v>0.15</v>
      </c>
      <c r="W415" s="2">
        <v>0</v>
      </c>
      <c r="X415">
        <v>0</v>
      </c>
      <c r="Y415" t="s">
        <v>264</v>
      </c>
      <c r="Z415" t="s">
        <v>61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11.81</v>
      </c>
      <c r="AN415" s="2">
        <v>11.81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45957</v>
      </c>
      <c r="B416" t="s">
        <v>48</v>
      </c>
      <c r="C416">
        <v>649163</v>
      </c>
      <c r="D416">
        <v>2024136817</v>
      </c>
      <c r="E416" t="s">
        <v>283</v>
      </c>
      <c r="F416" t="s">
        <v>284</v>
      </c>
      <c r="G416" t="s">
        <v>51</v>
      </c>
      <c r="H416" t="s">
        <v>52</v>
      </c>
      <c r="I416" t="s">
        <v>53</v>
      </c>
      <c r="J416" t="s">
        <v>54</v>
      </c>
      <c r="K416">
        <v>673059</v>
      </c>
      <c r="L416" t="s">
        <v>55</v>
      </c>
      <c r="M416" t="s">
        <v>56</v>
      </c>
      <c r="N416" t="s">
        <v>57</v>
      </c>
      <c r="O416" s="1">
        <v>45536</v>
      </c>
      <c r="Q416" s="1">
        <v>45992</v>
      </c>
      <c r="R416" s="2">
        <v>78.44</v>
      </c>
      <c r="S416">
        <v>1</v>
      </c>
      <c r="T416" t="s">
        <v>58</v>
      </c>
      <c r="U416" t="s">
        <v>59</v>
      </c>
      <c r="V416" s="3">
        <v>0.15</v>
      </c>
      <c r="W416" s="2">
        <v>0</v>
      </c>
      <c r="X416">
        <v>0</v>
      </c>
      <c r="Y416" t="s">
        <v>264</v>
      </c>
      <c r="Z416" t="s">
        <v>61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11.77</v>
      </c>
      <c r="AN416" s="2">
        <v>11.77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45957</v>
      </c>
      <c r="B417" t="s">
        <v>48</v>
      </c>
      <c r="C417">
        <v>649163</v>
      </c>
      <c r="D417">
        <v>2024384775</v>
      </c>
      <c r="E417" t="s">
        <v>578</v>
      </c>
      <c r="F417" t="s">
        <v>413</v>
      </c>
      <c r="G417" t="s">
        <v>51</v>
      </c>
      <c r="H417" t="s">
        <v>182</v>
      </c>
      <c r="I417" t="s">
        <v>53</v>
      </c>
      <c r="J417" t="s">
        <v>54</v>
      </c>
      <c r="K417">
        <v>673059</v>
      </c>
      <c r="L417" t="s">
        <v>55</v>
      </c>
      <c r="M417" t="s">
        <v>56</v>
      </c>
      <c r="N417" t="s">
        <v>57</v>
      </c>
      <c r="O417" s="1">
        <v>45536</v>
      </c>
      <c r="Q417" s="1">
        <v>45992</v>
      </c>
      <c r="R417" s="2">
        <v>26.82</v>
      </c>
      <c r="S417">
        <v>1</v>
      </c>
      <c r="T417" t="s">
        <v>58</v>
      </c>
      <c r="U417" t="s">
        <v>59</v>
      </c>
      <c r="V417" s="3">
        <v>0.15</v>
      </c>
      <c r="W417" s="2">
        <v>0</v>
      </c>
      <c r="X417">
        <v>0</v>
      </c>
      <c r="Y417" t="s">
        <v>264</v>
      </c>
      <c r="Z417" t="s">
        <v>61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4.0199999999999996</v>
      </c>
      <c r="AN417" s="2">
        <v>4.0199999999999996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45957</v>
      </c>
      <c r="B418" t="s">
        <v>48</v>
      </c>
      <c r="C418">
        <v>649163</v>
      </c>
      <c r="D418">
        <v>2024384776</v>
      </c>
      <c r="E418" t="s">
        <v>578</v>
      </c>
      <c r="F418" t="s">
        <v>413</v>
      </c>
      <c r="G418" t="s">
        <v>51</v>
      </c>
      <c r="H418" t="s">
        <v>182</v>
      </c>
      <c r="I418" t="s">
        <v>53</v>
      </c>
      <c r="J418" t="s">
        <v>119</v>
      </c>
      <c r="K418">
        <v>673059</v>
      </c>
      <c r="L418" t="s">
        <v>55</v>
      </c>
      <c r="M418" t="s">
        <v>56</v>
      </c>
      <c r="N418" t="s">
        <v>57</v>
      </c>
      <c r="O418" s="1">
        <v>45536</v>
      </c>
      <c r="Q418" s="1">
        <v>45992</v>
      </c>
      <c r="R418" s="2">
        <v>25.73</v>
      </c>
      <c r="S418">
        <v>1</v>
      </c>
      <c r="T418" t="s">
        <v>58</v>
      </c>
      <c r="U418" t="s">
        <v>59</v>
      </c>
      <c r="V418" s="3">
        <v>0.15</v>
      </c>
      <c r="W418" s="2">
        <v>0</v>
      </c>
      <c r="X418">
        <v>0</v>
      </c>
      <c r="Y418" t="s">
        <v>264</v>
      </c>
      <c r="Z418" t="s">
        <v>61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3.86</v>
      </c>
      <c r="AN418" s="2">
        <v>3.86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45957</v>
      </c>
      <c r="B419" t="s">
        <v>48</v>
      </c>
      <c r="C419">
        <v>649163</v>
      </c>
      <c r="D419">
        <v>2024417986</v>
      </c>
      <c r="E419" t="s">
        <v>498</v>
      </c>
      <c r="F419" t="s">
        <v>56</v>
      </c>
      <c r="G419" t="s">
        <v>51</v>
      </c>
      <c r="H419" t="s">
        <v>195</v>
      </c>
      <c r="I419" t="s">
        <v>53</v>
      </c>
      <c r="J419" t="s">
        <v>119</v>
      </c>
      <c r="K419">
        <v>780434</v>
      </c>
      <c r="L419" t="s">
        <v>499</v>
      </c>
      <c r="M419" t="s">
        <v>110</v>
      </c>
      <c r="N419" t="s">
        <v>57</v>
      </c>
      <c r="O419" s="1">
        <v>45536</v>
      </c>
      <c r="Q419" s="1">
        <v>45992</v>
      </c>
      <c r="R419" s="2">
        <v>25.73</v>
      </c>
      <c r="S419">
        <v>1</v>
      </c>
      <c r="T419" t="s">
        <v>58</v>
      </c>
      <c r="U419" t="s">
        <v>59</v>
      </c>
      <c r="V419" s="3">
        <v>0.15</v>
      </c>
      <c r="W419" s="2">
        <v>0</v>
      </c>
      <c r="X419">
        <v>0</v>
      </c>
      <c r="Y419" t="s">
        <v>264</v>
      </c>
      <c r="Z419" t="s">
        <v>61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3.86</v>
      </c>
      <c r="AN419" s="2">
        <v>3.86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45957</v>
      </c>
      <c r="B420" t="s">
        <v>48</v>
      </c>
      <c r="C420">
        <v>649163</v>
      </c>
      <c r="D420">
        <v>2024460935</v>
      </c>
      <c r="E420" t="s">
        <v>756</v>
      </c>
      <c r="F420" t="s">
        <v>757</v>
      </c>
      <c r="G420" t="s">
        <v>51</v>
      </c>
      <c r="H420" t="s">
        <v>636</v>
      </c>
      <c r="I420" t="s">
        <v>53</v>
      </c>
      <c r="J420" t="s">
        <v>54</v>
      </c>
      <c r="K420">
        <v>673059</v>
      </c>
      <c r="L420" t="s">
        <v>55</v>
      </c>
      <c r="M420" t="s">
        <v>56</v>
      </c>
      <c r="N420" t="s">
        <v>57</v>
      </c>
      <c r="O420" s="1">
        <v>45536</v>
      </c>
      <c r="Q420" s="1">
        <v>45992</v>
      </c>
      <c r="R420" s="2">
        <v>194.67</v>
      </c>
      <c r="S420">
        <v>1</v>
      </c>
      <c r="T420" t="s">
        <v>58</v>
      </c>
      <c r="U420" t="s">
        <v>59</v>
      </c>
      <c r="V420" s="3">
        <v>0.15</v>
      </c>
      <c r="W420" s="2">
        <v>0</v>
      </c>
      <c r="X420">
        <v>0</v>
      </c>
      <c r="Y420" t="s">
        <v>264</v>
      </c>
      <c r="Z420" t="s">
        <v>61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29.2</v>
      </c>
      <c r="AN420" s="2">
        <v>29.2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45957</v>
      </c>
      <c r="B421" t="s">
        <v>48</v>
      </c>
      <c r="C421">
        <v>649163</v>
      </c>
      <c r="D421">
        <v>2024460936</v>
      </c>
      <c r="E421" t="s">
        <v>756</v>
      </c>
      <c r="F421" t="s">
        <v>757</v>
      </c>
      <c r="G421" t="s">
        <v>51</v>
      </c>
      <c r="H421" t="s">
        <v>636</v>
      </c>
      <c r="I421" t="s">
        <v>53</v>
      </c>
      <c r="J421" t="s">
        <v>119</v>
      </c>
      <c r="K421">
        <v>673059</v>
      </c>
      <c r="L421" t="s">
        <v>55</v>
      </c>
      <c r="M421" t="s">
        <v>56</v>
      </c>
      <c r="N421" t="s">
        <v>57</v>
      </c>
      <c r="O421" s="1">
        <v>45536</v>
      </c>
      <c r="Q421" s="1">
        <v>45992</v>
      </c>
      <c r="R421" s="2">
        <v>59.8</v>
      </c>
      <c r="S421">
        <v>1</v>
      </c>
      <c r="T421" t="s">
        <v>58</v>
      </c>
      <c r="U421" t="s">
        <v>59</v>
      </c>
      <c r="V421" s="3">
        <v>0.15</v>
      </c>
      <c r="W421" s="2">
        <v>0</v>
      </c>
      <c r="X421">
        <v>0</v>
      </c>
      <c r="Y421" t="s">
        <v>264</v>
      </c>
      <c r="Z421" t="s">
        <v>61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8.9700000000000006</v>
      </c>
      <c r="AN421" s="2">
        <v>8.9700000000000006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45957</v>
      </c>
      <c r="B422" t="s">
        <v>48</v>
      </c>
      <c r="C422">
        <v>649163</v>
      </c>
      <c r="D422">
        <v>2024569206</v>
      </c>
      <c r="E422" t="s">
        <v>758</v>
      </c>
      <c r="F422" t="s">
        <v>759</v>
      </c>
      <c r="G422" t="s">
        <v>51</v>
      </c>
      <c r="H422" t="s">
        <v>719</v>
      </c>
      <c r="I422" t="s">
        <v>53</v>
      </c>
      <c r="J422" t="s">
        <v>54</v>
      </c>
      <c r="K422">
        <v>649247</v>
      </c>
      <c r="L422" t="s">
        <v>321</v>
      </c>
      <c r="M422" t="s">
        <v>322</v>
      </c>
      <c r="N422" t="s">
        <v>57</v>
      </c>
      <c r="O422" s="1">
        <v>45531</v>
      </c>
      <c r="Q422" s="1">
        <v>45988</v>
      </c>
      <c r="R422" s="2">
        <v>10.82</v>
      </c>
      <c r="S422">
        <v>1</v>
      </c>
      <c r="T422" t="s">
        <v>58</v>
      </c>
      <c r="U422" t="s">
        <v>59</v>
      </c>
      <c r="V422" s="3">
        <v>0.15</v>
      </c>
      <c r="W422" s="2">
        <v>0</v>
      </c>
      <c r="X422">
        <v>0</v>
      </c>
      <c r="Y422" t="s">
        <v>264</v>
      </c>
      <c r="Z422" t="s">
        <v>61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1.62</v>
      </c>
      <c r="AN422" s="2">
        <v>1.62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45957</v>
      </c>
      <c r="B423" t="s">
        <v>48</v>
      </c>
      <c r="C423">
        <v>649163</v>
      </c>
      <c r="D423">
        <v>2024586357</v>
      </c>
      <c r="E423" t="s">
        <v>655</v>
      </c>
      <c r="F423" t="s">
        <v>387</v>
      </c>
      <c r="G423" t="s">
        <v>51</v>
      </c>
      <c r="H423" t="s">
        <v>195</v>
      </c>
      <c r="I423" t="s">
        <v>53</v>
      </c>
      <c r="J423" t="s">
        <v>122</v>
      </c>
      <c r="K423">
        <v>650218</v>
      </c>
      <c r="L423" t="s">
        <v>357</v>
      </c>
      <c r="M423" t="s">
        <v>358</v>
      </c>
      <c r="N423" t="s">
        <v>57</v>
      </c>
      <c r="O423" s="1">
        <v>45536</v>
      </c>
      <c r="Q423" s="1">
        <v>45992</v>
      </c>
      <c r="R423" s="2">
        <v>25.08</v>
      </c>
      <c r="S423">
        <v>1</v>
      </c>
      <c r="T423" t="s">
        <v>58</v>
      </c>
      <c r="U423" t="s">
        <v>59</v>
      </c>
      <c r="V423" s="3">
        <v>0.09</v>
      </c>
      <c r="W423" s="2">
        <v>0</v>
      </c>
      <c r="X423">
        <v>0</v>
      </c>
      <c r="Y423" t="s">
        <v>264</v>
      </c>
      <c r="Z423" t="s">
        <v>61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2.2599999999999998</v>
      </c>
      <c r="AN423" s="2">
        <v>2.2599999999999998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45957</v>
      </c>
      <c r="B424" t="s">
        <v>48</v>
      </c>
      <c r="C424">
        <v>649163</v>
      </c>
      <c r="D424">
        <v>2024621873</v>
      </c>
      <c r="E424" t="s">
        <v>760</v>
      </c>
      <c r="F424" t="s">
        <v>312</v>
      </c>
      <c r="G424" t="s">
        <v>51</v>
      </c>
      <c r="H424" t="s">
        <v>145</v>
      </c>
      <c r="I424" t="s">
        <v>53</v>
      </c>
      <c r="J424" t="s">
        <v>54</v>
      </c>
      <c r="K424">
        <v>673059</v>
      </c>
      <c r="L424" t="s">
        <v>55</v>
      </c>
      <c r="M424" t="s">
        <v>56</v>
      </c>
      <c r="N424" t="s">
        <v>57</v>
      </c>
      <c r="O424" s="1">
        <v>45536</v>
      </c>
      <c r="Q424" s="1">
        <v>45992</v>
      </c>
      <c r="R424" s="2">
        <v>126.1</v>
      </c>
      <c r="S424">
        <v>1</v>
      </c>
      <c r="T424" t="s">
        <v>58</v>
      </c>
      <c r="U424" t="s">
        <v>59</v>
      </c>
      <c r="V424" s="3">
        <v>0.15</v>
      </c>
      <c r="W424" s="2">
        <v>0</v>
      </c>
      <c r="X424">
        <v>0</v>
      </c>
      <c r="Y424" t="s">
        <v>264</v>
      </c>
      <c r="Z424" t="s">
        <v>61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18.920000000000002</v>
      </c>
      <c r="AN424" s="2">
        <v>18.920000000000002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45957</v>
      </c>
      <c r="B425" t="s">
        <v>48</v>
      </c>
      <c r="C425">
        <v>649163</v>
      </c>
      <c r="D425">
        <v>2024635791</v>
      </c>
      <c r="E425" t="s">
        <v>761</v>
      </c>
      <c r="F425" t="s">
        <v>621</v>
      </c>
      <c r="G425" t="s">
        <v>51</v>
      </c>
      <c r="H425" t="s">
        <v>69</v>
      </c>
      <c r="I425" t="s">
        <v>53</v>
      </c>
      <c r="J425" t="s">
        <v>54</v>
      </c>
      <c r="K425">
        <v>766422</v>
      </c>
      <c r="L425" t="s">
        <v>335</v>
      </c>
      <c r="M425" t="s">
        <v>336</v>
      </c>
      <c r="N425" t="s">
        <v>57</v>
      </c>
      <c r="O425" s="1">
        <v>45536</v>
      </c>
      <c r="Q425" s="1">
        <v>45992</v>
      </c>
      <c r="R425" s="2">
        <v>102.7</v>
      </c>
      <c r="S425">
        <v>1</v>
      </c>
      <c r="T425" t="s">
        <v>58</v>
      </c>
      <c r="U425" t="s">
        <v>59</v>
      </c>
      <c r="V425" s="3">
        <v>0.15</v>
      </c>
      <c r="W425" s="2">
        <v>0</v>
      </c>
      <c r="X425">
        <v>0</v>
      </c>
      <c r="Y425" t="s">
        <v>264</v>
      </c>
      <c r="Z425" t="s">
        <v>61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15.4</v>
      </c>
      <c r="AN425" s="2">
        <v>15.4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45957</v>
      </c>
      <c r="B426" t="s">
        <v>48</v>
      </c>
      <c r="C426">
        <v>649163</v>
      </c>
      <c r="D426">
        <v>2025022512</v>
      </c>
      <c r="E426" t="s">
        <v>289</v>
      </c>
      <c r="F426" t="s">
        <v>290</v>
      </c>
      <c r="G426" t="s">
        <v>51</v>
      </c>
      <c r="H426" t="s">
        <v>69</v>
      </c>
      <c r="I426" t="s">
        <v>53</v>
      </c>
      <c r="J426" t="s">
        <v>54</v>
      </c>
      <c r="K426">
        <v>768887</v>
      </c>
      <c r="L426" t="s">
        <v>289</v>
      </c>
      <c r="M426" t="s">
        <v>290</v>
      </c>
      <c r="N426" t="s">
        <v>57</v>
      </c>
      <c r="O426" s="1">
        <v>45561</v>
      </c>
      <c r="Q426" s="1">
        <v>45987</v>
      </c>
      <c r="R426" s="2">
        <v>122.22</v>
      </c>
      <c r="S426">
        <v>1</v>
      </c>
      <c r="T426" t="s">
        <v>58</v>
      </c>
      <c r="U426" t="s">
        <v>59</v>
      </c>
      <c r="V426" s="3">
        <v>0.15</v>
      </c>
      <c r="W426" s="2">
        <v>0</v>
      </c>
      <c r="X426">
        <v>0</v>
      </c>
      <c r="Y426" t="s">
        <v>264</v>
      </c>
      <c r="Z426" t="s">
        <v>61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18.329999999999998</v>
      </c>
      <c r="AN426" s="2">
        <v>18.329999999999998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45957</v>
      </c>
      <c r="B427" t="s">
        <v>48</v>
      </c>
      <c r="C427">
        <v>649163</v>
      </c>
      <c r="D427">
        <v>2025082288</v>
      </c>
      <c r="E427" t="s">
        <v>557</v>
      </c>
      <c r="F427" t="s">
        <v>153</v>
      </c>
      <c r="G427" t="s">
        <v>51</v>
      </c>
      <c r="H427" t="s">
        <v>52</v>
      </c>
      <c r="I427" t="s">
        <v>53</v>
      </c>
      <c r="J427" t="s">
        <v>54</v>
      </c>
      <c r="K427">
        <v>756418</v>
      </c>
      <c r="L427" t="s">
        <v>191</v>
      </c>
      <c r="M427" t="s">
        <v>192</v>
      </c>
      <c r="N427" t="s">
        <v>57</v>
      </c>
      <c r="O427" s="1">
        <v>45564</v>
      </c>
      <c r="Q427" s="1">
        <v>45990</v>
      </c>
      <c r="R427" s="2">
        <v>34.159999999999997</v>
      </c>
      <c r="S427">
        <v>1</v>
      </c>
      <c r="T427" t="s">
        <v>58</v>
      </c>
      <c r="U427" t="s">
        <v>59</v>
      </c>
      <c r="V427" s="3">
        <v>0.15</v>
      </c>
      <c r="W427" s="2">
        <v>0</v>
      </c>
      <c r="X427">
        <v>0</v>
      </c>
      <c r="Y427" t="s">
        <v>264</v>
      </c>
      <c r="Z427" t="s">
        <v>61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5.12</v>
      </c>
      <c r="AN427" s="2">
        <v>5.12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45957</v>
      </c>
      <c r="B428" t="s">
        <v>48</v>
      </c>
      <c r="C428">
        <v>649163</v>
      </c>
      <c r="D428">
        <v>2025256824</v>
      </c>
      <c r="E428" t="s">
        <v>762</v>
      </c>
      <c r="F428" t="s">
        <v>763</v>
      </c>
      <c r="G428" t="s">
        <v>51</v>
      </c>
      <c r="H428" t="s">
        <v>69</v>
      </c>
      <c r="I428" t="s">
        <v>53</v>
      </c>
      <c r="J428" t="s">
        <v>54</v>
      </c>
      <c r="K428">
        <v>766747</v>
      </c>
      <c r="L428" t="s">
        <v>97</v>
      </c>
      <c r="M428" t="s">
        <v>98</v>
      </c>
      <c r="N428" t="s">
        <v>57</v>
      </c>
      <c r="O428" s="1">
        <v>45597</v>
      </c>
      <c r="Q428" s="1">
        <v>45992</v>
      </c>
      <c r="R428" s="2">
        <v>129.79</v>
      </c>
      <c r="S428">
        <v>1</v>
      </c>
      <c r="T428" t="s">
        <v>58</v>
      </c>
      <c r="U428" t="s">
        <v>59</v>
      </c>
      <c r="V428" s="3">
        <v>0.15</v>
      </c>
      <c r="W428" s="2">
        <v>0</v>
      </c>
      <c r="X428">
        <v>0</v>
      </c>
      <c r="Y428" t="s">
        <v>264</v>
      </c>
      <c r="Z428" t="s">
        <v>61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19.47</v>
      </c>
      <c r="AN428" s="2">
        <v>19.47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45957</v>
      </c>
      <c r="B429" t="s">
        <v>48</v>
      </c>
      <c r="C429">
        <v>649163</v>
      </c>
      <c r="D429">
        <v>2025303845</v>
      </c>
      <c r="E429" t="s">
        <v>503</v>
      </c>
      <c r="F429" t="s">
        <v>504</v>
      </c>
      <c r="G429" t="s">
        <v>51</v>
      </c>
      <c r="H429" t="s">
        <v>195</v>
      </c>
      <c r="I429" t="s">
        <v>53</v>
      </c>
      <c r="J429" t="s">
        <v>119</v>
      </c>
      <c r="K429">
        <v>650218</v>
      </c>
      <c r="L429" t="s">
        <v>357</v>
      </c>
      <c r="M429" t="s">
        <v>358</v>
      </c>
      <c r="N429" t="s">
        <v>57</v>
      </c>
      <c r="O429" s="1">
        <v>45597</v>
      </c>
      <c r="Q429" s="1">
        <v>45992</v>
      </c>
      <c r="R429" s="2">
        <v>25.73</v>
      </c>
      <c r="S429">
        <v>1</v>
      </c>
      <c r="T429" t="s">
        <v>58</v>
      </c>
      <c r="U429" t="s">
        <v>59</v>
      </c>
      <c r="V429" s="3">
        <v>0.15</v>
      </c>
      <c r="W429" s="2">
        <v>0</v>
      </c>
      <c r="X429">
        <v>0</v>
      </c>
      <c r="Y429" t="s">
        <v>264</v>
      </c>
      <c r="Z429" t="s">
        <v>61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3.86</v>
      </c>
      <c r="AN429" s="2">
        <v>3.86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45957</v>
      </c>
      <c r="B430" t="s">
        <v>48</v>
      </c>
      <c r="C430">
        <v>649163</v>
      </c>
      <c r="D430">
        <v>2025366541</v>
      </c>
      <c r="E430" t="s">
        <v>667</v>
      </c>
      <c r="F430" t="s">
        <v>668</v>
      </c>
      <c r="G430" t="s">
        <v>51</v>
      </c>
      <c r="H430" t="s">
        <v>234</v>
      </c>
      <c r="I430" t="s">
        <v>53</v>
      </c>
      <c r="J430" t="s">
        <v>54</v>
      </c>
      <c r="K430">
        <v>756418</v>
      </c>
      <c r="L430" t="s">
        <v>191</v>
      </c>
      <c r="M430" t="s">
        <v>192</v>
      </c>
      <c r="N430" t="s">
        <v>57</v>
      </c>
      <c r="O430" s="1">
        <v>45597</v>
      </c>
      <c r="Q430" s="1">
        <v>45992</v>
      </c>
      <c r="R430" s="2">
        <v>46.17</v>
      </c>
      <c r="S430">
        <v>1</v>
      </c>
      <c r="T430" t="s">
        <v>58</v>
      </c>
      <c r="U430" t="s">
        <v>59</v>
      </c>
      <c r="V430" s="3">
        <v>0.15</v>
      </c>
      <c r="W430" s="2">
        <v>0</v>
      </c>
      <c r="X430">
        <v>0</v>
      </c>
      <c r="Y430" t="s">
        <v>264</v>
      </c>
      <c r="Z430" t="s">
        <v>61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6.93</v>
      </c>
      <c r="AN430" s="2">
        <v>6.93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45957</v>
      </c>
      <c r="B431" t="s">
        <v>48</v>
      </c>
      <c r="C431">
        <v>649163</v>
      </c>
      <c r="D431">
        <v>2025410372</v>
      </c>
      <c r="E431" t="s">
        <v>516</v>
      </c>
      <c r="F431" t="s">
        <v>515</v>
      </c>
      <c r="G431" t="s">
        <v>51</v>
      </c>
      <c r="H431" t="s">
        <v>261</v>
      </c>
      <c r="I431" t="s">
        <v>53</v>
      </c>
      <c r="J431" t="s">
        <v>54</v>
      </c>
      <c r="K431">
        <v>651818</v>
      </c>
      <c r="L431" t="s">
        <v>560</v>
      </c>
      <c r="M431" t="s">
        <v>336</v>
      </c>
      <c r="N431" t="s">
        <v>57</v>
      </c>
      <c r="O431" s="1">
        <v>45597</v>
      </c>
      <c r="Q431" s="1">
        <v>45992</v>
      </c>
      <c r="R431" s="2">
        <v>66.12</v>
      </c>
      <c r="S431">
        <v>1</v>
      </c>
      <c r="T431" t="s">
        <v>58</v>
      </c>
      <c r="U431" t="s">
        <v>59</v>
      </c>
      <c r="V431" s="3">
        <v>0.15</v>
      </c>
      <c r="W431" s="2">
        <v>0</v>
      </c>
      <c r="X431">
        <v>0</v>
      </c>
      <c r="Y431" t="s">
        <v>264</v>
      </c>
      <c r="Z431" t="s">
        <v>61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9.92</v>
      </c>
      <c r="AN431" s="2">
        <v>9.92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45957</v>
      </c>
      <c r="B432" t="s">
        <v>48</v>
      </c>
      <c r="C432">
        <v>649163</v>
      </c>
      <c r="D432">
        <v>2025466192</v>
      </c>
      <c r="E432" t="s">
        <v>670</v>
      </c>
      <c r="F432" t="s">
        <v>671</v>
      </c>
      <c r="G432" t="s">
        <v>51</v>
      </c>
      <c r="H432" t="s">
        <v>195</v>
      </c>
      <c r="I432" t="s">
        <v>53</v>
      </c>
      <c r="J432" t="s">
        <v>119</v>
      </c>
      <c r="K432">
        <v>650218</v>
      </c>
      <c r="L432" t="s">
        <v>357</v>
      </c>
      <c r="M432" t="s">
        <v>358</v>
      </c>
      <c r="N432" t="s">
        <v>57</v>
      </c>
      <c r="O432" s="1">
        <v>45597</v>
      </c>
      <c r="Q432" s="1">
        <v>45992</v>
      </c>
      <c r="R432" s="2">
        <v>25.73</v>
      </c>
      <c r="S432">
        <v>1</v>
      </c>
      <c r="T432" t="s">
        <v>58</v>
      </c>
      <c r="U432" t="s">
        <v>59</v>
      </c>
      <c r="V432" s="3">
        <v>0.15</v>
      </c>
      <c r="W432" s="2">
        <v>0</v>
      </c>
      <c r="X432">
        <v>0</v>
      </c>
      <c r="Y432" t="s">
        <v>264</v>
      </c>
      <c r="Z432" t="s">
        <v>61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3.86</v>
      </c>
      <c r="AN432" s="2">
        <v>3.86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45957</v>
      </c>
      <c r="B433" t="s">
        <v>48</v>
      </c>
      <c r="C433">
        <v>649163</v>
      </c>
      <c r="D433">
        <v>2025535693</v>
      </c>
      <c r="E433" t="s">
        <v>764</v>
      </c>
      <c r="F433" t="s">
        <v>765</v>
      </c>
      <c r="G433" t="s">
        <v>51</v>
      </c>
      <c r="H433" t="s">
        <v>52</v>
      </c>
      <c r="I433" t="s">
        <v>53</v>
      </c>
      <c r="J433" t="s">
        <v>54</v>
      </c>
      <c r="K433">
        <v>756418</v>
      </c>
      <c r="L433" t="s">
        <v>191</v>
      </c>
      <c r="M433" t="s">
        <v>192</v>
      </c>
      <c r="N433" t="s">
        <v>57</v>
      </c>
      <c r="O433" s="1">
        <v>45595</v>
      </c>
      <c r="Q433" s="1">
        <v>45991</v>
      </c>
      <c r="R433" s="2">
        <v>31.1</v>
      </c>
      <c r="S433">
        <v>1</v>
      </c>
      <c r="T433" t="s">
        <v>58</v>
      </c>
      <c r="U433" t="s">
        <v>59</v>
      </c>
      <c r="V433" s="3">
        <v>0.15</v>
      </c>
      <c r="W433" s="2">
        <v>0</v>
      </c>
      <c r="X433">
        <v>0</v>
      </c>
      <c r="Y433" t="s">
        <v>264</v>
      </c>
      <c r="Z433" t="s">
        <v>61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4.66</v>
      </c>
      <c r="AN433" s="2">
        <v>4.66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45957</v>
      </c>
      <c r="B434" t="s">
        <v>48</v>
      </c>
      <c r="C434">
        <v>649163</v>
      </c>
      <c r="D434">
        <v>2025550300</v>
      </c>
      <c r="E434" t="s">
        <v>766</v>
      </c>
      <c r="F434" t="s">
        <v>240</v>
      </c>
      <c r="G434" t="s">
        <v>51</v>
      </c>
      <c r="H434" t="s">
        <v>52</v>
      </c>
      <c r="I434" t="s">
        <v>53</v>
      </c>
      <c r="J434" t="s">
        <v>54</v>
      </c>
      <c r="K434">
        <v>649164</v>
      </c>
      <c r="L434" t="s">
        <v>313</v>
      </c>
      <c r="M434" t="s">
        <v>314</v>
      </c>
      <c r="N434" t="s">
        <v>57</v>
      </c>
      <c r="O434" s="1">
        <v>45597</v>
      </c>
      <c r="Q434" s="1">
        <v>45992</v>
      </c>
      <c r="R434" s="2">
        <v>45.51</v>
      </c>
      <c r="S434">
        <v>1</v>
      </c>
      <c r="T434" t="s">
        <v>58</v>
      </c>
      <c r="U434" t="s">
        <v>59</v>
      </c>
      <c r="V434" s="3">
        <v>0.15</v>
      </c>
      <c r="W434" s="2">
        <v>0</v>
      </c>
      <c r="X434">
        <v>0</v>
      </c>
      <c r="Y434" t="s">
        <v>264</v>
      </c>
      <c r="Z434" t="s">
        <v>61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6.83</v>
      </c>
      <c r="AN434" s="2">
        <v>6.83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45957</v>
      </c>
      <c r="B435" t="s">
        <v>48</v>
      </c>
      <c r="C435">
        <v>649163</v>
      </c>
      <c r="D435">
        <v>2025563317</v>
      </c>
      <c r="E435" t="s">
        <v>674</v>
      </c>
      <c r="F435" t="s">
        <v>675</v>
      </c>
      <c r="G435" t="s">
        <v>51</v>
      </c>
      <c r="H435" t="s">
        <v>78</v>
      </c>
      <c r="I435" t="s">
        <v>53</v>
      </c>
      <c r="J435" t="s">
        <v>54</v>
      </c>
      <c r="K435">
        <v>650218</v>
      </c>
      <c r="L435" t="s">
        <v>357</v>
      </c>
      <c r="M435" t="s">
        <v>358</v>
      </c>
      <c r="N435" t="s">
        <v>57</v>
      </c>
      <c r="O435" s="1">
        <v>45597</v>
      </c>
      <c r="Q435" s="1">
        <v>45992</v>
      </c>
      <c r="R435" s="2">
        <v>11.5</v>
      </c>
      <c r="S435">
        <v>1</v>
      </c>
      <c r="T435" t="s">
        <v>58</v>
      </c>
      <c r="U435" t="s">
        <v>59</v>
      </c>
      <c r="V435" s="3">
        <v>0.15</v>
      </c>
      <c r="W435" s="2">
        <v>0</v>
      </c>
      <c r="X435">
        <v>0</v>
      </c>
      <c r="Y435" t="s">
        <v>264</v>
      </c>
      <c r="Z435" t="s">
        <v>61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1.72</v>
      </c>
      <c r="AN435" s="2">
        <v>1.72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45957</v>
      </c>
      <c r="B436" t="s">
        <v>48</v>
      </c>
      <c r="C436">
        <v>649163</v>
      </c>
      <c r="D436">
        <v>2025934065</v>
      </c>
      <c r="E436" t="s">
        <v>508</v>
      </c>
      <c r="F436" t="s">
        <v>509</v>
      </c>
      <c r="G436" t="s">
        <v>51</v>
      </c>
      <c r="H436" t="s">
        <v>195</v>
      </c>
      <c r="I436" t="s">
        <v>53</v>
      </c>
      <c r="J436" t="s">
        <v>119</v>
      </c>
      <c r="K436">
        <v>751867</v>
      </c>
      <c r="L436" t="s">
        <v>349</v>
      </c>
      <c r="M436" t="s">
        <v>312</v>
      </c>
      <c r="N436" t="s">
        <v>57</v>
      </c>
      <c r="O436" s="1">
        <v>45627</v>
      </c>
      <c r="Q436" s="1">
        <v>45962</v>
      </c>
      <c r="R436" s="2">
        <v>25.73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61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18.010000000000002</v>
      </c>
      <c r="AN436" s="2">
        <v>18.010000000000002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45957</v>
      </c>
      <c r="B437" t="s">
        <v>48</v>
      </c>
      <c r="C437">
        <v>649163</v>
      </c>
      <c r="D437">
        <v>2025961561</v>
      </c>
      <c r="E437" t="s">
        <v>767</v>
      </c>
      <c r="F437" t="s">
        <v>768</v>
      </c>
      <c r="G437" t="s">
        <v>51</v>
      </c>
      <c r="H437" t="s">
        <v>69</v>
      </c>
      <c r="I437" t="s">
        <v>53</v>
      </c>
      <c r="J437" t="s">
        <v>54</v>
      </c>
      <c r="K437">
        <v>807212</v>
      </c>
      <c r="L437" t="s">
        <v>769</v>
      </c>
      <c r="M437" t="s">
        <v>770</v>
      </c>
      <c r="N437" t="s">
        <v>57</v>
      </c>
      <c r="O437" s="1">
        <v>45624</v>
      </c>
      <c r="Q437" s="1">
        <v>45989</v>
      </c>
      <c r="R437" s="2">
        <v>102.7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61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71.89</v>
      </c>
      <c r="AN437" s="2">
        <v>71.89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45957</v>
      </c>
      <c r="B438" t="s">
        <v>48</v>
      </c>
      <c r="C438">
        <v>649163</v>
      </c>
      <c r="D438">
        <v>2025997430</v>
      </c>
      <c r="E438" t="s">
        <v>579</v>
      </c>
      <c r="F438" t="s">
        <v>490</v>
      </c>
      <c r="G438" t="s">
        <v>51</v>
      </c>
      <c r="H438" t="s">
        <v>81</v>
      </c>
      <c r="I438" t="s">
        <v>53</v>
      </c>
      <c r="J438" t="s">
        <v>54</v>
      </c>
      <c r="K438">
        <v>673059</v>
      </c>
      <c r="L438" t="s">
        <v>55</v>
      </c>
      <c r="M438" t="s">
        <v>56</v>
      </c>
      <c r="N438" t="s">
        <v>57</v>
      </c>
      <c r="O438" s="1">
        <v>45689</v>
      </c>
      <c r="Q438" s="1">
        <v>45992</v>
      </c>
      <c r="R438" s="2">
        <v>120.5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61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84.35</v>
      </c>
      <c r="AN438" s="2">
        <v>84.35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45957</v>
      </c>
      <c r="B439" t="s">
        <v>48</v>
      </c>
      <c r="C439">
        <v>649163</v>
      </c>
      <c r="D439">
        <v>2026006726</v>
      </c>
      <c r="E439" t="s">
        <v>771</v>
      </c>
      <c r="F439" t="s">
        <v>772</v>
      </c>
      <c r="G439" t="s">
        <v>51</v>
      </c>
      <c r="H439" t="s">
        <v>129</v>
      </c>
      <c r="I439" t="s">
        <v>53</v>
      </c>
      <c r="J439" t="s">
        <v>54</v>
      </c>
      <c r="K439">
        <v>673059</v>
      </c>
      <c r="L439" t="s">
        <v>55</v>
      </c>
      <c r="M439" t="s">
        <v>56</v>
      </c>
      <c r="N439" t="s">
        <v>57</v>
      </c>
      <c r="O439" s="1">
        <v>45655</v>
      </c>
      <c r="Q439" s="1">
        <v>45990</v>
      </c>
      <c r="R439" s="2">
        <v>140.80000000000001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61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98.56</v>
      </c>
      <c r="AN439" s="2">
        <v>98.56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45957</v>
      </c>
      <c r="B440" t="s">
        <v>48</v>
      </c>
      <c r="C440">
        <v>649163</v>
      </c>
      <c r="D440">
        <v>2026262565</v>
      </c>
      <c r="E440" t="s">
        <v>580</v>
      </c>
      <c r="F440" t="s">
        <v>581</v>
      </c>
      <c r="G440" t="s">
        <v>51</v>
      </c>
      <c r="H440" t="s">
        <v>92</v>
      </c>
      <c r="I440" t="s">
        <v>53</v>
      </c>
      <c r="J440" t="s">
        <v>54</v>
      </c>
      <c r="K440">
        <v>816021</v>
      </c>
      <c r="L440" t="s">
        <v>93</v>
      </c>
      <c r="M440" t="s">
        <v>94</v>
      </c>
      <c r="N440" t="s">
        <v>57</v>
      </c>
      <c r="O440" s="1">
        <v>45647</v>
      </c>
      <c r="Q440" s="1">
        <v>45982</v>
      </c>
      <c r="R440" s="2">
        <v>9.1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61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6.37</v>
      </c>
      <c r="AN440" s="2">
        <v>6.37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45957</v>
      </c>
      <c r="B441" t="s">
        <v>48</v>
      </c>
      <c r="C441">
        <v>649163</v>
      </c>
      <c r="D441">
        <v>2026262567</v>
      </c>
      <c r="E441" t="s">
        <v>580</v>
      </c>
      <c r="F441" t="s">
        <v>581</v>
      </c>
      <c r="G441" t="s">
        <v>51</v>
      </c>
      <c r="H441" t="s">
        <v>92</v>
      </c>
      <c r="I441" t="s">
        <v>53</v>
      </c>
      <c r="J441" t="s">
        <v>119</v>
      </c>
      <c r="K441">
        <v>816021</v>
      </c>
      <c r="L441" t="s">
        <v>93</v>
      </c>
      <c r="M441" t="s">
        <v>94</v>
      </c>
      <c r="N441" t="s">
        <v>57</v>
      </c>
      <c r="O441" s="1">
        <v>45647</v>
      </c>
      <c r="Q441" s="1">
        <v>45982</v>
      </c>
      <c r="R441" s="2">
        <v>6.3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61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4.41</v>
      </c>
      <c r="AN441" s="2">
        <v>4.41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45957</v>
      </c>
      <c r="B442" t="s">
        <v>48</v>
      </c>
      <c r="C442">
        <v>649163</v>
      </c>
      <c r="D442">
        <v>2026328947</v>
      </c>
      <c r="E442" t="s">
        <v>371</v>
      </c>
      <c r="F442" t="s">
        <v>372</v>
      </c>
      <c r="G442" t="s">
        <v>51</v>
      </c>
      <c r="H442" t="s">
        <v>69</v>
      </c>
      <c r="I442" t="s">
        <v>53</v>
      </c>
      <c r="J442" t="s">
        <v>132</v>
      </c>
      <c r="K442">
        <v>792847</v>
      </c>
      <c r="L442" t="s">
        <v>371</v>
      </c>
      <c r="M442" t="s">
        <v>372</v>
      </c>
      <c r="N442" t="s">
        <v>57</v>
      </c>
      <c r="O442" s="1">
        <v>45689</v>
      </c>
      <c r="Q442" s="1">
        <v>45992</v>
      </c>
      <c r="R442" s="2">
        <v>35.5</v>
      </c>
      <c r="S442">
        <v>1</v>
      </c>
      <c r="T442" t="s">
        <v>58</v>
      </c>
      <c r="U442" t="s">
        <v>59</v>
      </c>
      <c r="V442" s="3">
        <v>0.9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31.95</v>
      </c>
      <c r="AN442" s="2">
        <v>31.95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45957</v>
      </c>
      <c r="B443" t="s">
        <v>48</v>
      </c>
      <c r="C443">
        <v>649163</v>
      </c>
      <c r="D443">
        <v>2026341991</v>
      </c>
      <c r="E443" t="s">
        <v>773</v>
      </c>
      <c r="F443" t="s">
        <v>774</v>
      </c>
      <c r="G443" t="s">
        <v>51</v>
      </c>
      <c r="H443" t="s">
        <v>69</v>
      </c>
      <c r="I443" t="s">
        <v>53</v>
      </c>
      <c r="J443" t="s">
        <v>54</v>
      </c>
      <c r="K443">
        <v>807212</v>
      </c>
      <c r="L443" t="s">
        <v>769</v>
      </c>
      <c r="M443" t="s">
        <v>770</v>
      </c>
      <c r="N443" t="s">
        <v>57</v>
      </c>
      <c r="O443" s="1">
        <v>45654</v>
      </c>
      <c r="Q443" s="1">
        <v>45989</v>
      </c>
      <c r="R443" s="2">
        <v>58.24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40.770000000000003</v>
      </c>
      <c r="AN443" s="2">
        <v>40.770000000000003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45957</v>
      </c>
      <c r="B444" t="s">
        <v>48</v>
      </c>
      <c r="C444">
        <v>649163</v>
      </c>
      <c r="D444">
        <v>2026421012</v>
      </c>
      <c r="E444" t="s">
        <v>775</v>
      </c>
      <c r="F444" t="s">
        <v>230</v>
      </c>
      <c r="G444" t="s">
        <v>51</v>
      </c>
      <c r="H444" t="s">
        <v>69</v>
      </c>
      <c r="I444" t="s">
        <v>53</v>
      </c>
      <c r="J444" t="s">
        <v>54</v>
      </c>
      <c r="K444">
        <v>766747</v>
      </c>
      <c r="L444" t="s">
        <v>97</v>
      </c>
      <c r="M444" t="s">
        <v>98</v>
      </c>
      <c r="N444" t="s">
        <v>57</v>
      </c>
      <c r="O444" s="1">
        <v>45689</v>
      </c>
      <c r="Q444" s="1">
        <v>45992</v>
      </c>
      <c r="R444" s="2">
        <v>11.5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8.0500000000000007</v>
      </c>
      <c r="AN444" s="2">
        <v>8.0500000000000007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45957</v>
      </c>
      <c r="B445" t="s">
        <v>48</v>
      </c>
      <c r="C445">
        <v>649163</v>
      </c>
      <c r="D445">
        <v>2026471870</v>
      </c>
      <c r="E445" t="s">
        <v>510</v>
      </c>
      <c r="F445" t="s">
        <v>511</v>
      </c>
      <c r="G445" t="s">
        <v>51</v>
      </c>
      <c r="H445" t="s">
        <v>182</v>
      </c>
      <c r="I445" t="s">
        <v>53</v>
      </c>
      <c r="J445" t="s">
        <v>54</v>
      </c>
      <c r="K445">
        <v>673059</v>
      </c>
      <c r="L445" t="s">
        <v>55</v>
      </c>
      <c r="M445" t="s">
        <v>56</v>
      </c>
      <c r="N445" t="s">
        <v>57</v>
      </c>
      <c r="O445" s="1">
        <v>45689</v>
      </c>
      <c r="Q445" s="1">
        <v>45992</v>
      </c>
      <c r="R445" s="2">
        <v>26.82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61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18.77</v>
      </c>
      <c r="AN445" s="2">
        <v>18.77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45957</v>
      </c>
      <c r="B446" t="s">
        <v>48</v>
      </c>
      <c r="C446">
        <v>649163</v>
      </c>
      <c r="D446">
        <v>2026471871</v>
      </c>
      <c r="E446" t="s">
        <v>510</v>
      </c>
      <c r="F446" t="s">
        <v>511</v>
      </c>
      <c r="G446" t="s">
        <v>51</v>
      </c>
      <c r="H446" t="s">
        <v>182</v>
      </c>
      <c r="I446" t="s">
        <v>53</v>
      </c>
      <c r="J446" t="s">
        <v>119</v>
      </c>
      <c r="K446">
        <v>673059</v>
      </c>
      <c r="L446" t="s">
        <v>55</v>
      </c>
      <c r="M446" t="s">
        <v>56</v>
      </c>
      <c r="N446" t="s">
        <v>57</v>
      </c>
      <c r="O446" s="1">
        <v>45689</v>
      </c>
      <c r="Q446" s="1">
        <v>45992</v>
      </c>
      <c r="R446" s="2">
        <v>25.73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61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18.010000000000002</v>
      </c>
      <c r="AN446" s="2">
        <v>18.010000000000002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45957</v>
      </c>
      <c r="B447" t="s">
        <v>48</v>
      </c>
      <c r="C447">
        <v>649163</v>
      </c>
      <c r="D447">
        <v>2026477625</v>
      </c>
      <c r="E447" t="s">
        <v>776</v>
      </c>
      <c r="F447" t="s">
        <v>777</v>
      </c>
      <c r="G447" t="s">
        <v>51</v>
      </c>
      <c r="H447" t="s">
        <v>165</v>
      </c>
      <c r="I447" t="s">
        <v>53</v>
      </c>
      <c r="J447" t="s">
        <v>119</v>
      </c>
      <c r="K447">
        <v>673059</v>
      </c>
      <c r="L447" t="s">
        <v>55</v>
      </c>
      <c r="M447" t="s">
        <v>56</v>
      </c>
      <c r="N447" t="s">
        <v>57</v>
      </c>
      <c r="O447" s="1">
        <v>45689</v>
      </c>
      <c r="Q447" s="1">
        <v>45992</v>
      </c>
      <c r="R447" s="2">
        <v>25.73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61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18.010000000000002</v>
      </c>
      <c r="AN447" s="2">
        <v>18.010000000000002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45957</v>
      </c>
      <c r="B448" t="s">
        <v>48</v>
      </c>
      <c r="C448">
        <v>649163</v>
      </c>
      <c r="D448">
        <v>2026477626</v>
      </c>
      <c r="E448" t="s">
        <v>776</v>
      </c>
      <c r="F448" t="s">
        <v>777</v>
      </c>
      <c r="G448" t="s">
        <v>51</v>
      </c>
      <c r="H448" t="s">
        <v>165</v>
      </c>
      <c r="I448" t="s">
        <v>53</v>
      </c>
      <c r="J448" t="s">
        <v>54</v>
      </c>
      <c r="K448">
        <v>673059</v>
      </c>
      <c r="L448" t="s">
        <v>55</v>
      </c>
      <c r="M448" t="s">
        <v>56</v>
      </c>
      <c r="N448" t="s">
        <v>57</v>
      </c>
      <c r="O448" s="1">
        <v>45689</v>
      </c>
      <c r="Q448" s="1">
        <v>45992</v>
      </c>
      <c r="R448" s="2">
        <v>132.82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61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92.97</v>
      </c>
      <c r="AN448" s="2">
        <v>92.97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45957</v>
      </c>
      <c r="B449" t="s">
        <v>48</v>
      </c>
      <c r="C449">
        <v>649163</v>
      </c>
      <c r="D449">
        <v>2028897605</v>
      </c>
      <c r="E449" t="s">
        <v>778</v>
      </c>
      <c r="F449" t="s">
        <v>779</v>
      </c>
      <c r="G449" t="s">
        <v>51</v>
      </c>
      <c r="H449" t="s">
        <v>165</v>
      </c>
      <c r="I449" t="s">
        <v>369</v>
      </c>
      <c r="J449" t="s">
        <v>421</v>
      </c>
      <c r="K449">
        <v>856163</v>
      </c>
      <c r="L449" t="s">
        <v>70</v>
      </c>
      <c r="M449" t="s">
        <v>71</v>
      </c>
      <c r="N449" t="s">
        <v>57</v>
      </c>
      <c r="O449" s="1">
        <v>45809</v>
      </c>
      <c r="Q449" s="1">
        <v>45992</v>
      </c>
      <c r="R449" s="2">
        <v>16.7</v>
      </c>
      <c r="S449">
        <v>1</v>
      </c>
      <c r="T449" t="s">
        <v>58</v>
      </c>
      <c r="U449" t="s">
        <v>59</v>
      </c>
      <c r="V449" s="3">
        <v>0.75</v>
      </c>
      <c r="W449" s="2">
        <v>0</v>
      </c>
      <c r="X449">
        <v>0</v>
      </c>
      <c r="Y449" t="s">
        <v>60</v>
      </c>
      <c r="Z449" t="s">
        <v>61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12.52</v>
      </c>
      <c r="AN449" s="2">
        <v>12.52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45957</v>
      </c>
      <c r="B450" t="s">
        <v>48</v>
      </c>
      <c r="C450">
        <v>649163</v>
      </c>
      <c r="D450">
        <v>2028898559</v>
      </c>
      <c r="E450" t="s">
        <v>780</v>
      </c>
      <c r="F450" t="s">
        <v>781</v>
      </c>
      <c r="G450" t="s">
        <v>51</v>
      </c>
      <c r="H450" t="s">
        <v>69</v>
      </c>
      <c r="I450" t="s">
        <v>369</v>
      </c>
      <c r="J450" t="s">
        <v>375</v>
      </c>
      <c r="K450">
        <v>824062</v>
      </c>
      <c r="L450" t="s">
        <v>74</v>
      </c>
      <c r="M450" t="s">
        <v>75</v>
      </c>
      <c r="N450" t="s">
        <v>57</v>
      </c>
      <c r="O450" s="1">
        <v>45809</v>
      </c>
      <c r="Q450" s="1">
        <v>45992</v>
      </c>
      <c r="R450" s="2">
        <v>56.08</v>
      </c>
      <c r="S450">
        <v>1</v>
      </c>
      <c r="T450" t="s">
        <v>58</v>
      </c>
      <c r="U450" t="s">
        <v>59</v>
      </c>
      <c r="V450" s="3">
        <v>0.9</v>
      </c>
      <c r="W450" s="2">
        <v>0</v>
      </c>
      <c r="X450">
        <v>0</v>
      </c>
      <c r="Y450" t="s">
        <v>60</v>
      </c>
      <c r="Z450" t="s">
        <v>61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50.47</v>
      </c>
      <c r="AN450" s="2">
        <v>50.47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45957</v>
      </c>
      <c r="B451" t="s">
        <v>48</v>
      </c>
      <c r="C451">
        <v>649163</v>
      </c>
      <c r="D451">
        <v>2028899053</v>
      </c>
      <c r="E451" t="s">
        <v>691</v>
      </c>
      <c r="F451" t="s">
        <v>692</v>
      </c>
      <c r="G451" t="s">
        <v>51</v>
      </c>
      <c r="H451" t="s">
        <v>69</v>
      </c>
      <c r="I451" t="s">
        <v>369</v>
      </c>
      <c r="J451" t="s">
        <v>421</v>
      </c>
      <c r="K451">
        <v>820873</v>
      </c>
      <c r="L451" t="s">
        <v>447</v>
      </c>
      <c r="M451" t="s">
        <v>448</v>
      </c>
      <c r="N451" t="s">
        <v>57</v>
      </c>
      <c r="O451" s="1">
        <v>45809</v>
      </c>
      <c r="Q451" s="1">
        <v>45992</v>
      </c>
      <c r="R451" s="2">
        <v>13.75</v>
      </c>
      <c r="S451">
        <v>1</v>
      </c>
      <c r="T451" t="s">
        <v>58</v>
      </c>
      <c r="U451" t="s">
        <v>59</v>
      </c>
      <c r="V451" s="3">
        <v>0.75</v>
      </c>
      <c r="W451" s="2">
        <v>0</v>
      </c>
      <c r="X451">
        <v>0</v>
      </c>
      <c r="Y451" t="s">
        <v>60</v>
      </c>
      <c r="Z451" t="s">
        <v>61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10.31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45957</v>
      </c>
      <c r="B452" t="s">
        <v>48</v>
      </c>
      <c r="C452">
        <v>649163</v>
      </c>
      <c r="D452">
        <v>2028905067</v>
      </c>
      <c r="E452" t="s">
        <v>782</v>
      </c>
      <c r="F452" t="s">
        <v>783</v>
      </c>
      <c r="G452" t="s">
        <v>51</v>
      </c>
      <c r="H452" t="s">
        <v>165</v>
      </c>
      <c r="I452" t="s">
        <v>369</v>
      </c>
      <c r="J452" t="s">
        <v>375</v>
      </c>
      <c r="K452">
        <v>753748</v>
      </c>
      <c r="L452" t="s">
        <v>65</v>
      </c>
      <c r="M452" t="s">
        <v>66</v>
      </c>
      <c r="N452" t="s">
        <v>57</v>
      </c>
      <c r="O452" s="1">
        <v>45809</v>
      </c>
      <c r="Q452" s="1">
        <v>45992</v>
      </c>
      <c r="R452" s="2">
        <v>140.58000000000001</v>
      </c>
      <c r="S452">
        <v>1</v>
      </c>
      <c r="T452" t="s">
        <v>58</v>
      </c>
      <c r="U452" t="s">
        <v>59</v>
      </c>
      <c r="V452" s="3">
        <v>0.9</v>
      </c>
      <c r="W452" s="2">
        <v>0</v>
      </c>
      <c r="X452">
        <v>0</v>
      </c>
      <c r="Y452" t="s">
        <v>60</v>
      </c>
      <c r="Z452" t="s">
        <v>61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126.52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45957</v>
      </c>
      <c r="B453" t="s">
        <v>48</v>
      </c>
      <c r="C453">
        <v>649163</v>
      </c>
      <c r="D453">
        <v>2028905613</v>
      </c>
      <c r="E453" t="s">
        <v>784</v>
      </c>
      <c r="F453" t="s">
        <v>354</v>
      </c>
      <c r="G453" t="s">
        <v>51</v>
      </c>
      <c r="H453" t="s">
        <v>165</v>
      </c>
      <c r="I453" t="s">
        <v>369</v>
      </c>
      <c r="J453" t="s">
        <v>375</v>
      </c>
      <c r="K453">
        <v>753748</v>
      </c>
      <c r="L453" t="s">
        <v>65</v>
      </c>
      <c r="M453" t="s">
        <v>66</v>
      </c>
      <c r="N453" t="s">
        <v>57</v>
      </c>
      <c r="O453" s="1">
        <v>45809</v>
      </c>
      <c r="Q453" s="1">
        <v>45992</v>
      </c>
      <c r="R453" s="2">
        <v>108.16</v>
      </c>
      <c r="S453">
        <v>1</v>
      </c>
      <c r="T453" t="s">
        <v>58</v>
      </c>
      <c r="U453" t="s">
        <v>59</v>
      </c>
      <c r="V453" s="3">
        <v>0.9</v>
      </c>
      <c r="W453" s="2">
        <v>0</v>
      </c>
      <c r="X453">
        <v>0</v>
      </c>
      <c r="Y453" t="s">
        <v>60</v>
      </c>
      <c r="Z453" t="s">
        <v>61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97.34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45957</v>
      </c>
      <c r="B454" t="s">
        <v>48</v>
      </c>
      <c r="C454">
        <v>649163</v>
      </c>
      <c r="D454">
        <v>2028938953</v>
      </c>
      <c r="E454" t="s">
        <v>785</v>
      </c>
      <c r="F454" t="s">
        <v>506</v>
      </c>
      <c r="G454" t="s">
        <v>51</v>
      </c>
      <c r="H454" t="s">
        <v>69</v>
      </c>
      <c r="I454" t="s">
        <v>369</v>
      </c>
      <c r="J454" t="s">
        <v>370</v>
      </c>
      <c r="K454">
        <v>673059</v>
      </c>
      <c r="L454" t="s">
        <v>55</v>
      </c>
      <c r="M454" t="s">
        <v>56</v>
      </c>
      <c r="N454" t="s">
        <v>57</v>
      </c>
      <c r="O454" s="1">
        <v>45836</v>
      </c>
      <c r="Q454" s="1">
        <v>45989</v>
      </c>
      <c r="R454" s="2">
        <v>34.65</v>
      </c>
      <c r="S454">
        <v>1</v>
      </c>
      <c r="T454" t="s">
        <v>58</v>
      </c>
      <c r="U454" t="s">
        <v>59</v>
      </c>
      <c r="V454" s="3">
        <v>0.75</v>
      </c>
      <c r="W454" s="2">
        <v>0</v>
      </c>
      <c r="X454">
        <v>0</v>
      </c>
      <c r="Y454" t="s">
        <v>60</v>
      </c>
      <c r="Z454" t="s">
        <v>61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25.99</v>
      </c>
      <c r="AN454" s="2">
        <v>25.99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45957</v>
      </c>
      <c r="B455" t="s">
        <v>48</v>
      </c>
      <c r="C455">
        <v>649163</v>
      </c>
      <c r="D455">
        <v>2028938954</v>
      </c>
      <c r="E455" t="s">
        <v>785</v>
      </c>
      <c r="F455" t="s">
        <v>506</v>
      </c>
      <c r="G455" t="s">
        <v>51</v>
      </c>
      <c r="H455" t="s">
        <v>69</v>
      </c>
      <c r="I455" t="s">
        <v>369</v>
      </c>
      <c r="J455" t="s">
        <v>375</v>
      </c>
      <c r="K455">
        <v>673059</v>
      </c>
      <c r="L455" t="s">
        <v>55</v>
      </c>
      <c r="M455" t="s">
        <v>56</v>
      </c>
      <c r="N455" t="s">
        <v>57</v>
      </c>
      <c r="O455" s="1">
        <v>45836</v>
      </c>
      <c r="Q455" s="1">
        <v>45989</v>
      </c>
      <c r="R455" s="2">
        <v>61.13</v>
      </c>
      <c r="S455">
        <v>1</v>
      </c>
      <c r="T455" t="s">
        <v>58</v>
      </c>
      <c r="U455" t="s">
        <v>59</v>
      </c>
      <c r="V455" s="3">
        <v>0.9</v>
      </c>
      <c r="W455" s="2">
        <v>0</v>
      </c>
      <c r="X455">
        <v>0</v>
      </c>
      <c r="Y455" t="s">
        <v>60</v>
      </c>
      <c r="Z455" t="s">
        <v>61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55.02</v>
      </c>
      <c r="AN455" s="2">
        <v>55.02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45957</v>
      </c>
      <c r="B456" t="s">
        <v>48</v>
      </c>
      <c r="C456">
        <v>649163</v>
      </c>
      <c r="D456">
        <v>2028949435</v>
      </c>
      <c r="E456" t="s">
        <v>786</v>
      </c>
      <c r="F456" t="s">
        <v>787</v>
      </c>
      <c r="G456" t="s">
        <v>51</v>
      </c>
      <c r="H456" t="s">
        <v>69</v>
      </c>
      <c r="I456" t="s">
        <v>369</v>
      </c>
      <c r="J456" t="s">
        <v>375</v>
      </c>
      <c r="K456">
        <v>824062</v>
      </c>
      <c r="L456" t="s">
        <v>74</v>
      </c>
      <c r="M456" t="s">
        <v>75</v>
      </c>
      <c r="N456" t="s">
        <v>57</v>
      </c>
      <c r="O456" s="1">
        <v>45809</v>
      </c>
      <c r="Q456" s="1">
        <v>45992</v>
      </c>
      <c r="R456" s="2">
        <v>44.33</v>
      </c>
      <c r="S456">
        <v>1</v>
      </c>
      <c r="T456" t="s">
        <v>58</v>
      </c>
      <c r="U456" t="s">
        <v>59</v>
      </c>
      <c r="V456" s="3">
        <v>0.9</v>
      </c>
      <c r="W456" s="2">
        <v>0</v>
      </c>
      <c r="X456">
        <v>0</v>
      </c>
      <c r="Y456" t="s">
        <v>60</v>
      </c>
      <c r="Z456" t="s">
        <v>61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39.9</v>
      </c>
      <c r="AN456" s="2">
        <v>39.9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45957</v>
      </c>
      <c r="B457" t="s">
        <v>48</v>
      </c>
      <c r="C457">
        <v>649163</v>
      </c>
      <c r="D457">
        <v>2028959283</v>
      </c>
      <c r="E457" t="s">
        <v>788</v>
      </c>
      <c r="F457" t="s">
        <v>153</v>
      </c>
      <c r="G457" t="s">
        <v>51</v>
      </c>
      <c r="H457" t="s">
        <v>69</v>
      </c>
      <c r="I457" t="s">
        <v>369</v>
      </c>
      <c r="J457" t="s">
        <v>421</v>
      </c>
      <c r="K457">
        <v>766747</v>
      </c>
      <c r="L457" t="s">
        <v>97</v>
      </c>
      <c r="M457" t="s">
        <v>98</v>
      </c>
      <c r="N457" t="s">
        <v>57</v>
      </c>
      <c r="O457" s="1">
        <v>45809</v>
      </c>
      <c r="Q457" s="1">
        <v>45992</v>
      </c>
      <c r="R457" s="2">
        <v>141.43</v>
      </c>
      <c r="S457">
        <v>1</v>
      </c>
      <c r="T457" t="s">
        <v>58</v>
      </c>
      <c r="U457" t="s">
        <v>59</v>
      </c>
      <c r="V457" s="3">
        <v>0.75</v>
      </c>
      <c r="W457" s="2">
        <v>0</v>
      </c>
      <c r="X457">
        <v>0</v>
      </c>
      <c r="Y457" t="s">
        <v>60</v>
      </c>
      <c r="Z457" t="s">
        <v>61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106.07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45957</v>
      </c>
      <c r="B458" t="s">
        <v>48</v>
      </c>
      <c r="C458">
        <v>649163</v>
      </c>
      <c r="D458">
        <v>2028960906</v>
      </c>
      <c r="E458" t="s">
        <v>789</v>
      </c>
      <c r="F458" t="s">
        <v>790</v>
      </c>
      <c r="G458" t="s">
        <v>51</v>
      </c>
      <c r="H458" t="s">
        <v>69</v>
      </c>
      <c r="I458" t="s">
        <v>369</v>
      </c>
      <c r="J458" t="s">
        <v>421</v>
      </c>
      <c r="K458">
        <v>856163</v>
      </c>
      <c r="L458" t="s">
        <v>70</v>
      </c>
      <c r="M458" t="s">
        <v>71</v>
      </c>
      <c r="N458" t="s">
        <v>57</v>
      </c>
      <c r="O458" s="1">
        <v>45809</v>
      </c>
      <c r="Q458" s="1">
        <v>45992</v>
      </c>
      <c r="R458" s="2">
        <v>13.57</v>
      </c>
      <c r="S458">
        <v>1</v>
      </c>
      <c r="T458" t="s">
        <v>58</v>
      </c>
      <c r="U458" t="s">
        <v>59</v>
      </c>
      <c r="V458" s="3">
        <v>0.75</v>
      </c>
      <c r="W458" s="2">
        <v>0</v>
      </c>
      <c r="X458">
        <v>0</v>
      </c>
      <c r="Y458" t="s">
        <v>60</v>
      </c>
      <c r="Z458" t="s">
        <v>61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10.18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45957</v>
      </c>
      <c r="B459" t="s">
        <v>48</v>
      </c>
      <c r="C459">
        <v>649163</v>
      </c>
      <c r="D459">
        <v>2028992070</v>
      </c>
      <c r="E459" t="s">
        <v>791</v>
      </c>
      <c r="F459" t="s">
        <v>490</v>
      </c>
      <c r="G459" t="s">
        <v>51</v>
      </c>
      <c r="H459" t="s">
        <v>179</v>
      </c>
      <c r="I459" t="s">
        <v>369</v>
      </c>
      <c r="J459" t="s">
        <v>375</v>
      </c>
      <c r="K459">
        <v>753748</v>
      </c>
      <c r="L459" t="s">
        <v>65</v>
      </c>
      <c r="M459" t="s">
        <v>66</v>
      </c>
      <c r="N459" t="s">
        <v>57</v>
      </c>
      <c r="O459" s="1">
        <v>45799</v>
      </c>
      <c r="Q459" s="1">
        <v>45983</v>
      </c>
      <c r="R459" s="2">
        <v>-78.150000000000006</v>
      </c>
      <c r="S459">
        <v>1</v>
      </c>
      <c r="T459" t="s">
        <v>58</v>
      </c>
      <c r="U459" t="s">
        <v>59</v>
      </c>
      <c r="V459" s="3">
        <v>0.9</v>
      </c>
      <c r="W459" s="2">
        <v>0</v>
      </c>
      <c r="X459">
        <v>-1</v>
      </c>
      <c r="Y459" t="s">
        <v>60</v>
      </c>
      <c r="Z459" t="s">
        <v>61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-70.34</v>
      </c>
      <c r="AN459" s="2">
        <v>-70.34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45957</v>
      </c>
      <c r="B460" t="s">
        <v>48</v>
      </c>
      <c r="C460">
        <v>649163</v>
      </c>
      <c r="D460">
        <v>2029011565</v>
      </c>
      <c r="E460" t="s">
        <v>265</v>
      </c>
      <c r="F460" t="s">
        <v>792</v>
      </c>
      <c r="G460" t="s">
        <v>51</v>
      </c>
      <c r="H460" t="s">
        <v>69</v>
      </c>
      <c r="I460" t="s">
        <v>369</v>
      </c>
      <c r="J460" t="s">
        <v>421</v>
      </c>
      <c r="K460">
        <v>673059</v>
      </c>
      <c r="L460" t="s">
        <v>55</v>
      </c>
      <c r="M460" t="s">
        <v>56</v>
      </c>
      <c r="N460" t="s">
        <v>57</v>
      </c>
      <c r="O460" s="1">
        <v>45809</v>
      </c>
      <c r="Q460" s="1">
        <v>45992</v>
      </c>
      <c r="R460" s="2">
        <v>90.49</v>
      </c>
      <c r="S460">
        <v>1</v>
      </c>
      <c r="T460" t="s">
        <v>58</v>
      </c>
      <c r="U460" t="s">
        <v>59</v>
      </c>
      <c r="V460" s="3">
        <v>0.75</v>
      </c>
      <c r="W460" s="2">
        <v>0</v>
      </c>
      <c r="X460">
        <v>0</v>
      </c>
      <c r="Y460" t="s">
        <v>60</v>
      </c>
      <c r="Z460" t="s">
        <v>61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67.87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45957</v>
      </c>
      <c r="B461" t="s">
        <v>48</v>
      </c>
      <c r="C461">
        <v>649163</v>
      </c>
      <c r="D461">
        <v>2029014823</v>
      </c>
      <c r="E461" t="s">
        <v>793</v>
      </c>
      <c r="F461" t="s">
        <v>794</v>
      </c>
      <c r="G461" t="s">
        <v>51</v>
      </c>
      <c r="H461" t="s">
        <v>69</v>
      </c>
      <c r="I461" t="s">
        <v>369</v>
      </c>
      <c r="J461" t="s">
        <v>370</v>
      </c>
      <c r="K461">
        <v>673059</v>
      </c>
      <c r="L461" t="s">
        <v>55</v>
      </c>
      <c r="M461" t="s">
        <v>56</v>
      </c>
      <c r="N461" t="s">
        <v>57</v>
      </c>
      <c r="O461" s="1">
        <v>45809</v>
      </c>
      <c r="Q461" s="1">
        <v>45992</v>
      </c>
      <c r="R461" s="2">
        <v>31.6</v>
      </c>
      <c r="S461">
        <v>1</v>
      </c>
      <c r="T461" t="s">
        <v>58</v>
      </c>
      <c r="U461" t="s">
        <v>59</v>
      </c>
      <c r="V461" s="3">
        <v>0.75</v>
      </c>
      <c r="W461" s="2">
        <v>0</v>
      </c>
      <c r="X461">
        <v>0</v>
      </c>
      <c r="Y461" t="s">
        <v>60</v>
      </c>
      <c r="Z461" t="s">
        <v>61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23.7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45957</v>
      </c>
      <c r="B462" t="s">
        <v>48</v>
      </c>
      <c r="C462">
        <v>649163</v>
      </c>
      <c r="D462">
        <v>2029029116</v>
      </c>
      <c r="E462" t="s">
        <v>795</v>
      </c>
      <c r="F462" t="s">
        <v>301</v>
      </c>
      <c r="G462" t="s">
        <v>51</v>
      </c>
      <c r="H462" t="s">
        <v>92</v>
      </c>
      <c r="I462" t="s">
        <v>369</v>
      </c>
      <c r="J462" t="s">
        <v>418</v>
      </c>
      <c r="K462">
        <v>816021</v>
      </c>
      <c r="L462" t="s">
        <v>93</v>
      </c>
      <c r="M462" t="s">
        <v>94</v>
      </c>
      <c r="N462" t="s">
        <v>57</v>
      </c>
      <c r="O462" s="1">
        <v>45809</v>
      </c>
      <c r="Q462" s="1">
        <v>45992</v>
      </c>
      <c r="R462" s="2">
        <v>40.26</v>
      </c>
      <c r="S462">
        <v>1</v>
      </c>
      <c r="T462" t="s">
        <v>58</v>
      </c>
      <c r="U462" t="s">
        <v>59</v>
      </c>
      <c r="V462" s="3">
        <v>0.65</v>
      </c>
      <c r="W462" s="2">
        <v>0</v>
      </c>
      <c r="X462">
        <v>0</v>
      </c>
      <c r="Y462" t="s">
        <v>60</v>
      </c>
      <c r="Z462" t="s">
        <v>61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26.16</v>
      </c>
      <c r="AM462" s="2">
        <v>0.01</v>
      </c>
      <c r="AN462" s="2">
        <v>0.01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45957</v>
      </c>
      <c r="B463" t="s">
        <v>48</v>
      </c>
      <c r="C463">
        <v>649163</v>
      </c>
      <c r="D463">
        <v>2029031324</v>
      </c>
      <c r="E463" t="s">
        <v>796</v>
      </c>
      <c r="F463" t="s">
        <v>308</v>
      </c>
      <c r="G463" t="s">
        <v>51</v>
      </c>
      <c r="H463" t="s">
        <v>92</v>
      </c>
      <c r="I463" t="s">
        <v>369</v>
      </c>
      <c r="J463" t="s">
        <v>421</v>
      </c>
      <c r="K463">
        <v>816021</v>
      </c>
      <c r="L463" t="s">
        <v>93</v>
      </c>
      <c r="M463" t="s">
        <v>94</v>
      </c>
      <c r="N463" t="s">
        <v>57</v>
      </c>
      <c r="O463" s="1">
        <v>45809</v>
      </c>
      <c r="Q463" s="1">
        <v>45992</v>
      </c>
      <c r="R463" s="2">
        <v>13.21</v>
      </c>
      <c r="S463">
        <v>1</v>
      </c>
      <c r="T463" t="s">
        <v>58</v>
      </c>
      <c r="U463" t="s">
        <v>59</v>
      </c>
      <c r="V463" s="3">
        <v>0.75</v>
      </c>
      <c r="W463" s="2">
        <v>0</v>
      </c>
      <c r="X463">
        <v>0</v>
      </c>
      <c r="Y463" t="s">
        <v>60</v>
      </c>
      <c r="Z463" t="s">
        <v>61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9.91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45957</v>
      </c>
      <c r="B464" t="s">
        <v>48</v>
      </c>
      <c r="C464">
        <v>649163</v>
      </c>
      <c r="D464">
        <v>2029034661</v>
      </c>
      <c r="E464" t="s">
        <v>265</v>
      </c>
      <c r="F464" t="s">
        <v>797</v>
      </c>
      <c r="G464" t="s">
        <v>51</v>
      </c>
      <c r="H464" t="s">
        <v>69</v>
      </c>
      <c r="I464" t="s">
        <v>369</v>
      </c>
      <c r="J464" t="s">
        <v>375</v>
      </c>
      <c r="K464">
        <v>673059</v>
      </c>
      <c r="L464" t="s">
        <v>55</v>
      </c>
      <c r="M464" t="s">
        <v>56</v>
      </c>
      <c r="N464" t="s">
        <v>57</v>
      </c>
      <c r="O464" s="1">
        <v>45809</v>
      </c>
      <c r="Q464" s="1">
        <v>45992</v>
      </c>
      <c r="R464" s="2">
        <v>18.79</v>
      </c>
      <c r="S464">
        <v>1</v>
      </c>
      <c r="T464" t="s">
        <v>58</v>
      </c>
      <c r="U464" t="s">
        <v>59</v>
      </c>
      <c r="V464" s="3">
        <v>0.9</v>
      </c>
      <c r="W464" s="2">
        <v>0</v>
      </c>
      <c r="X464">
        <v>0</v>
      </c>
      <c r="Y464" t="s">
        <v>60</v>
      </c>
      <c r="Z464" t="s">
        <v>61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16.91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45957</v>
      </c>
      <c r="B465" t="s">
        <v>48</v>
      </c>
      <c r="C465">
        <v>649163</v>
      </c>
      <c r="D465">
        <v>2029037969</v>
      </c>
      <c r="E465" t="s">
        <v>695</v>
      </c>
      <c r="F465" t="s">
        <v>99</v>
      </c>
      <c r="G465" t="s">
        <v>51</v>
      </c>
      <c r="H465" t="s">
        <v>696</v>
      </c>
      <c r="I465" t="s">
        <v>369</v>
      </c>
      <c r="J465" t="s">
        <v>375</v>
      </c>
      <c r="K465">
        <v>862109</v>
      </c>
      <c r="L465" t="s">
        <v>697</v>
      </c>
      <c r="M465" t="s">
        <v>698</v>
      </c>
      <c r="N465" t="s">
        <v>57</v>
      </c>
      <c r="O465" s="1">
        <v>45809</v>
      </c>
      <c r="Q465" s="1">
        <v>45992</v>
      </c>
      <c r="R465" s="2">
        <v>104.44</v>
      </c>
      <c r="S465">
        <v>1</v>
      </c>
      <c r="T465" t="s">
        <v>58</v>
      </c>
      <c r="U465" t="s">
        <v>59</v>
      </c>
      <c r="V465" s="3">
        <v>0.9</v>
      </c>
      <c r="W465" s="2">
        <v>0</v>
      </c>
      <c r="X465">
        <v>0</v>
      </c>
      <c r="Y465" t="s">
        <v>60</v>
      </c>
      <c r="Z465" t="s">
        <v>61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94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45957</v>
      </c>
      <c r="B466" t="s">
        <v>48</v>
      </c>
      <c r="C466">
        <v>649163</v>
      </c>
      <c r="D466">
        <v>2029169957</v>
      </c>
      <c r="E466" t="s">
        <v>798</v>
      </c>
      <c r="F466" t="s">
        <v>62</v>
      </c>
      <c r="G466" t="s">
        <v>51</v>
      </c>
      <c r="H466" t="s">
        <v>261</v>
      </c>
      <c r="I466" t="s">
        <v>369</v>
      </c>
      <c r="J466" t="s">
        <v>375</v>
      </c>
      <c r="K466">
        <v>753748</v>
      </c>
      <c r="L466" t="s">
        <v>65</v>
      </c>
      <c r="M466" t="s">
        <v>66</v>
      </c>
      <c r="N466" t="s">
        <v>57</v>
      </c>
      <c r="O466" s="1">
        <v>45809</v>
      </c>
      <c r="Q466" s="1">
        <v>45992</v>
      </c>
      <c r="R466" s="2">
        <v>128.61000000000001</v>
      </c>
      <c r="S466">
        <v>1</v>
      </c>
      <c r="T466" t="s">
        <v>58</v>
      </c>
      <c r="U466" t="s">
        <v>59</v>
      </c>
      <c r="V466" s="3">
        <v>0.9</v>
      </c>
      <c r="W466" s="2">
        <v>0</v>
      </c>
      <c r="X466">
        <v>0</v>
      </c>
      <c r="Y466" t="s">
        <v>60</v>
      </c>
      <c r="Z466" t="s">
        <v>61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115.74</v>
      </c>
      <c r="AM466" s="2">
        <v>0.01</v>
      </c>
      <c r="AN466" s="2">
        <v>0.01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45957</v>
      </c>
      <c r="B467" t="s">
        <v>48</v>
      </c>
      <c r="C467">
        <v>649163</v>
      </c>
      <c r="D467">
        <v>2029189480</v>
      </c>
      <c r="E467" t="s">
        <v>799</v>
      </c>
      <c r="F467" t="s">
        <v>296</v>
      </c>
      <c r="G467" t="s">
        <v>51</v>
      </c>
      <c r="H467" t="s">
        <v>69</v>
      </c>
      <c r="I467" t="s">
        <v>369</v>
      </c>
      <c r="J467" t="s">
        <v>370</v>
      </c>
      <c r="K467">
        <v>824081</v>
      </c>
      <c r="L467" t="s">
        <v>800</v>
      </c>
      <c r="M467" t="s">
        <v>801</v>
      </c>
      <c r="N467" t="s">
        <v>57</v>
      </c>
      <c r="O467" s="1">
        <v>45809</v>
      </c>
      <c r="Q467" s="1">
        <v>45992</v>
      </c>
      <c r="R467" s="2">
        <v>83.55</v>
      </c>
      <c r="S467">
        <v>1</v>
      </c>
      <c r="T467" t="s">
        <v>58</v>
      </c>
      <c r="U467" t="s">
        <v>59</v>
      </c>
      <c r="V467" s="3">
        <v>0.75</v>
      </c>
      <c r="W467" s="2">
        <v>0</v>
      </c>
      <c r="X467">
        <v>0</v>
      </c>
      <c r="Y467" t="s">
        <v>60</v>
      </c>
      <c r="Z467" t="s">
        <v>61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62.66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45957</v>
      </c>
      <c r="B468" t="s">
        <v>48</v>
      </c>
      <c r="C468">
        <v>649163</v>
      </c>
      <c r="D468">
        <v>2029620629</v>
      </c>
      <c r="E468" t="s">
        <v>284</v>
      </c>
      <c r="F468" t="s">
        <v>705</v>
      </c>
      <c r="G468" t="s">
        <v>51</v>
      </c>
      <c r="H468" t="s">
        <v>69</v>
      </c>
      <c r="I468" t="s">
        <v>369</v>
      </c>
      <c r="J468" t="s">
        <v>375</v>
      </c>
      <c r="K468">
        <v>824062</v>
      </c>
      <c r="L468" t="s">
        <v>74</v>
      </c>
      <c r="M468" t="s">
        <v>75</v>
      </c>
      <c r="N468" t="s">
        <v>57</v>
      </c>
      <c r="O468" s="1">
        <v>45833</v>
      </c>
      <c r="Q468" s="1">
        <v>45986</v>
      </c>
      <c r="R468" s="2">
        <v>145.06</v>
      </c>
      <c r="S468">
        <v>1</v>
      </c>
      <c r="T468" t="s">
        <v>58</v>
      </c>
      <c r="U468" t="s">
        <v>59</v>
      </c>
      <c r="V468" s="3">
        <v>0.9</v>
      </c>
      <c r="W468" s="2">
        <v>0</v>
      </c>
      <c r="X468">
        <v>0</v>
      </c>
      <c r="Y468" t="s">
        <v>60</v>
      </c>
      <c r="Z468" t="s">
        <v>61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130.55000000000001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45957</v>
      </c>
      <c r="B469" t="s">
        <v>48</v>
      </c>
      <c r="C469">
        <v>649163</v>
      </c>
      <c r="D469">
        <v>2030145092</v>
      </c>
      <c r="E469" t="s">
        <v>802</v>
      </c>
      <c r="F469" t="s">
        <v>803</v>
      </c>
      <c r="G469" t="s">
        <v>51</v>
      </c>
      <c r="H469" t="s">
        <v>69</v>
      </c>
      <c r="I469" t="s">
        <v>369</v>
      </c>
      <c r="J469" t="s">
        <v>375</v>
      </c>
      <c r="K469">
        <v>824062</v>
      </c>
      <c r="L469" t="s">
        <v>74</v>
      </c>
      <c r="M469" t="s">
        <v>75</v>
      </c>
      <c r="N469" t="s">
        <v>57</v>
      </c>
      <c r="O469" s="1">
        <v>45864</v>
      </c>
      <c r="Q469" s="1">
        <v>45987</v>
      </c>
      <c r="R469" s="2">
        <v>62.71</v>
      </c>
      <c r="S469">
        <v>1</v>
      </c>
      <c r="T469" t="s">
        <v>58</v>
      </c>
      <c r="U469" t="s">
        <v>59</v>
      </c>
      <c r="V469" s="3">
        <v>0.9</v>
      </c>
      <c r="W469" s="2">
        <v>0</v>
      </c>
      <c r="X469">
        <v>0</v>
      </c>
      <c r="Y469" t="s">
        <v>60</v>
      </c>
      <c r="Z469" t="s">
        <v>61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56.44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45957</v>
      </c>
      <c r="B470" t="s">
        <v>48</v>
      </c>
      <c r="C470">
        <v>649163</v>
      </c>
      <c r="D470">
        <v>2030199536</v>
      </c>
      <c r="E470" t="s">
        <v>153</v>
      </c>
      <c r="F470" t="s">
        <v>804</v>
      </c>
      <c r="G470" t="s">
        <v>51</v>
      </c>
      <c r="H470" t="s">
        <v>201</v>
      </c>
      <c r="I470" t="s">
        <v>369</v>
      </c>
      <c r="J470" t="s">
        <v>421</v>
      </c>
      <c r="K470">
        <v>756418</v>
      </c>
      <c r="L470" t="s">
        <v>191</v>
      </c>
      <c r="M470" t="s">
        <v>192</v>
      </c>
      <c r="N470" t="s">
        <v>57</v>
      </c>
      <c r="O470" s="1">
        <v>45868</v>
      </c>
      <c r="Q470" s="1">
        <v>45991</v>
      </c>
      <c r="R470" s="2">
        <v>152.33000000000001</v>
      </c>
      <c r="S470">
        <v>1</v>
      </c>
      <c r="T470" t="s">
        <v>58</v>
      </c>
      <c r="U470" t="s">
        <v>59</v>
      </c>
      <c r="V470" s="3">
        <v>0.75</v>
      </c>
      <c r="W470" s="2">
        <v>0</v>
      </c>
      <c r="X470">
        <v>0</v>
      </c>
      <c r="Y470" t="s">
        <v>60</v>
      </c>
      <c r="Z470" t="s">
        <v>61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114.25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45957</v>
      </c>
      <c r="B471" t="s">
        <v>48</v>
      </c>
      <c r="C471">
        <v>649163</v>
      </c>
      <c r="D471">
        <v>2030297552</v>
      </c>
      <c r="E471" t="s">
        <v>236</v>
      </c>
      <c r="F471" t="s">
        <v>56</v>
      </c>
      <c r="G471" t="s">
        <v>51</v>
      </c>
      <c r="H471" t="s">
        <v>165</v>
      </c>
      <c r="I471" t="s">
        <v>369</v>
      </c>
      <c r="J471" t="s">
        <v>421</v>
      </c>
      <c r="K471">
        <v>856163</v>
      </c>
      <c r="L471" t="s">
        <v>70</v>
      </c>
      <c r="M471" t="s">
        <v>71</v>
      </c>
      <c r="N471" t="s">
        <v>57</v>
      </c>
      <c r="O471" s="1">
        <v>45901</v>
      </c>
      <c r="Q471" s="1">
        <v>45962</v>
      </c>
      <c r="R471" s="2">
        <v>17.170000000000002</v>
      </c>
      <c r="S471">
        <v>1</v>
      </c>
      <c r="T471" t="s">
        <v>58</v>
      </c>
      <c r="U471" t="s">
        <v>59</v>
      </c>
      <c r="V471" s="3">
        <v>0.75</v>
      </c>
      <c r="W471" s="2">
        <v>0</v>
      </c>
      <c r="X471">
        <v>0</v>
      </c>
      <c r="Y471" t="s">
        <v>60</v>
      </c>
      <c r="Z471" t="s">
        <v>61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12.88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45957</v>
      </c>
      <c r="B472" t="s">
        <v>48</v>
      </c>
      <c r="C472">
        <v>649163</v>
      </c>
      <c r="D472">
        <v>2030297552</v>
      </c>
      <c r="E472" t="s">
        <v>236</v>
      </c>
      <c r="F472" t="s">
        <v>56</v>
      </c>
      <c r="G472" t="s">
        <v>51</v>
      </c>
      <c r="H472" t="s">
        <v>165</v>
      </c>
      <c r="I472" t="s">
        <v>369</v>
      </c>
      <c r="J472" t="s">
        <v>421</v>
      </c>
      <c r="K472">
        <v>856163</v>
      </c>
      <c r="L472" t="s">
        <v>70</v>
      </c>
      <c r="M472" t="s">
        <v>71</v>
      </c>
      <c r="N472" t="s">
        <v>57</v>
      </c>
      <c r="O472" s="1">
        <v>45901</v>
      </c>
      <c r="Q472" s="1">
        <v>45992</v>
      </c>
      <c r="R472" s="2">
        <v>17.170000000000002</v>
      </c>
      <c r="S472">
        <v>1</v>
      </c>
      <c r="T472" t="s">
        <v>58</v>
      </c>
      <c r="U472" t="s">
        <v>59</v>
      </c>
      <c r="V472" s="3">
        <v>0.75</v>
      </c>
      <c r="W472" s="2">
        <v>0</v>
      </c>
      <c r="X472">
        <v>0</v>
      </c>
      <c r="Y472" t="s">
        <v>60</v>
      </c>
      <c r="Z472" t="s">
        <v>61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12.88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45957</v>
      </c>
      <c r="B473" t="s">
        <v>48</v>
      </c>
      <c r="C473">
        <v>649163</v>
      </c>
      <c r="D473">
        <v>2030372675</v>
      </c>
      <c r="E473" t="s">
        <v>72</v>
      </c>
      <c r="F473" t="s">
        <v>73</v>
      </c>
      <c r="G473" t="s">
        <v>51</v>
      </c>
      <c r="H473" t="s">
        <v>69</v>
      </c>
      <c r="I473" t="s">
        <v>369</v>
      </c>
      <c r="J473" t="s">
        <v>375</v>
      </c>
      <c r="K473">
        <v>824062</v>
      </c>
      <c r="L473" t="s">
        <v>74</v>
      </c>
      <c r="M473" t="s">
        <v>75</v>
      </c>
      <c r="N473" t="s">
        <v>57</v>
      </c>
      <c r="O473" s="1">
        <v>45901</v>
      </c>
      <c r="Q473" s="1">
        <v>45992</v>
      </c>
      <c r="R473" s="2">
        <v>156.38</v>
      </c>
      <c r="S473">
        <v>1</v>
      </c>
      <c r="T473" t="s">
        <v>58</v>
      </c>
      <c r="U473" t="s">
        <v>59</v>
      </c>
      <c r="V473" s="3">
        <v>0.9</v>
      </c>
      <c r="W473" s="2">
        <v>0</v>
      </c>
      <c r="X473">
        <v>0</v>
      </c>
      <c r="Y473" t="s">
        <v>60</v>
      </c>
      <c r="Z473" t="s">
        <v>61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140.74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45957</v>
      </c>
      <c r="B474" t="s">
        <v>48</v>
      </c>
      <c r="C474">
        <v>649163</v>
      </c>
      <c r="D474">
        <v>2030383550</v>
      </c>
      <c r="E474" t="s">
        <v>76</v>
      </c>
      <c r="F474" t="s">
        <v>77</v>
      </c>
      <c r="G474" t="s">
        <v>51</v>
      </c>
      <c r="H474" t="s">
        <v>78</v>
      </c>
      <c r="I474" t="s">
        <v>369</v>
      </c>
      <c r="J474" t="s">
        <v>421</v>
      </c>
      <c r="K474">
        <v>753748</v>
      </c>
      <c r="L474" t="s">
        <v>65</v>
      </c>
      <c r="M474" t="s">
        <v>66</v>
      </c>
      <c r="N474" t="s">
        <v>57</v>
      </c>
      <c r="O474" s="1">
        <v>45901</v>
      </c>
      <c r="Q474" s="1">
        <v>45992</v>
      </c>
      <c r="R474" s="2">
        <v>75.13</v>
      </c>
      <c r="S474">
        <v>1</v>
      </c>
      <c r="T474" t="s">
        <v>58</v>
      </c>
      <c r="U474" t="s">
        <v>59</v>
      </c>
      <c r="V474" s="3">
        <v>0.75</v>
      </c>
      <c r="W474" s="2">
        <v>0</v>
      </c>
      <c r="X474">
        <v>0</v>
      </c>
      <c r="Y474" t="s">
        <v>60</v>
      </c>
      <c r="Z474" t="s">
        <v>61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56.35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45957</v>
      </c>
      <c r="B475" t="s">
        <v>48</v>
      </c>
      <c r="C475">
        <v>649163</v>
      </c>
      <c r="D475">
        <v>2030397202</v>
      </c>
      <c r="E475" t="s">
        <v>336</v>
      </c>
      <c r="F475" t="s">
        <v>107</v>
      </c>
      <c r="G475" t="s">
        <v>51</v>
      </c>
      <c r="H475" t="s">
        <v>118</v>
      </c>
      <c r="I475" t="s">
        <v>369</v>
      </c>
      <c r="J475" t="s">
        <v>375</v>
      </c>
      <c r="K475">
        <v>652037</v>
      </c>
      <c r="L475" t="s">
        <v>155</v>
      </c>
      <c r="M475" t="s">
        <v>156</v>
      </c>
      <c r="N475" t="s">
        <v>57</v>
      </c>
      <c r="O475" s="1">
        <v>45901</v>
      </c>
      <c r="Q475" s="1">
        <v>45992</v>
      </c>
      <c r="R475" s="2">
        <v>138.61000000000001</v>
      </c>
      <c r="S475">
        <v>1</v>
      </c>
      <c r="T475" t="s">
        <v>58</v>
      </c>
      <c r="U475" t="s">
        <v>59</v>
      </c>
      <c r="V475" s="3">
        <v>0.9</v>
      </c>
      <c r="W475" s="2">
        <v>0</v>
      </c>
      <c r="X475">
        <v>0</v>
      </c>
      <c r="Y475" t="s">
        <v>60</v>
      </c>
      <c r="Z475" t="s">
        <v>61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124.75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45957</v>
      </c>
      <c r="B476" t="s">
        <v>48</v>
      </c>
      <c r="C476">
        <v>649163</v>
      </c>
      <c r="D476">
        <v>2030468292</v>
      </c>
      <c r="E476" t="s">
        <v>99</v>
      </c>
      <c r="F476" t="s">
        <v>100</v>
      </c>
      <c r="G476" t="s">
        <v>51</v>
      </c>
      <c r="H476" t="s">
        <v>101</v>
      </c>
      <c r="I476" t="s">
        <v>369</v>
      </c>
      <c r="J476" t="s">
        <v>421</v>
      </c>
      <c r="K476">
        <v>753748</v>
      </c>
      <c r="L476" t="s">
        <v>65</v>
      </c>
      <c r="M476" t="s">
        <v>66</v>
      </c>
      <c r="N476" t="s">
        <v>57</v>
      </c>
      <c r="O476" s="1">
        <v>45901</v>
      </c>
      <c r="Q476" s="1">
        <v>45992</v>
      </c>
      <c r="R476" s="2">
        <v>69.91</v>
      </c>
      <c r="S476">
        <v>1</v>
      </c>
      <c r="T476" t="s">
        <v>58</v>
      </c>
      <c r="U476" t="s">
        <v>59</v>
      </c>
      <c r="V476" s="3">
        <v>0.75</v>
      </c>
      <c r="W476" s="2">
        <v>0</v>
      </c>
      <c r="X476">
        <v>0</v>
      </c>
      <c r="Y476" t="s">
        <v>60</v>
      </c>
      <c r="Z476" t="s">
        <v>61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52.43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45957</v>
      </c>
      <c r="B477" t="s">
        <v>48</v>
      </c>
      <c r="C477">
        <v>649163</v>
      </c>
      <c r="D477">
        <v>2030469387</v>
      </c>
      <c r="E477" t="s">
        <v>805</v>
      </c>
      <c r="F477" t="s">
        <v>806</v>
      </c>
      <c r="G477" t="s">
        <v>51</v>
      </c>
      <c r="H477" t="s">
        <v>118</v>
      </c>
      <c r="I477" t="s">
        <v>369</v>
      </c>
      <c r="J477" t="s">
        <v>375</v>
      </c>
      <c r="K477">
        <v>823068</v>
      </c>
      <c r="L477" t="s">
        <v>120</v>
      </c>
      <c r="M477" t="s">
        <v>121</v>
      </c>
      <c r="N477" t="s">
        <v>57</v>
      </c>
      <c r="O477" s="1">
        <v>45901</v>
      </c>
      <c r="Q477" s="1">
        <v>45992</v>
      </c>
      <c r="R477" s="2">
        <v>35.17</v>
      </c>
      <c r="S477">
        <v>1</v>
      </c>
      <c r="T477" t="s">
        <v>58</v>
      </c>
      <c r="U477" t="s">
        <v>59</v>
      </c>
      <c r="V477" s="3">
        <v>0.9</v>
      </c>
      <c r="W477" s="2">
        <v>0</v>
      </c>
      <c r="X477">
        <v>0</v>
      </c>
      <c r="Y477" t="s">
        <v>60</v>
      </c>
      <c r="Z477" t="s">
        <v>61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31.65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45957</v>
      </c>
      <c r="B478" t="s">
        <v>48</v>
      </c>
      <c r="C478">
        <v>649163</v>
      </c>
      <c r="D478">
        <v>2030493935</v>
      </c>
      <c r="E478" t="s">
        <v>110</v>
      </c>
      <c r="F478" t="s">
        <v>111</v>
      </c>
      <c r="G478" t="s">
        <v>51</v>
      </c>
      <c r="H478" t="s">
        <v>52</v>
      </c>
      <c r="I478" t="s">
        <v>369</v>
      </c>
      <c r="J478" t="s">
        <v>421</v>
      </c>
      <c r="K478">
        <v>673059</v>
      </c>
      <c r="L478" t="s">
        <v>55</v>
      </c>
      <c r="M478" t="s">
        <v>56</v>
      </c>
      <c r="N478" t="s">
        <v>57</v>
      </c>
      <c r="O478" s="1">
        <v>45901</v>
      </c>
      <c r="Q478" s="1">
        <v>45992</v>
      </c>
      <c r="R478" s="2">
        <v>88.54</v>
      </c>
      <c r="S478">
        <v>1</v>
      </c>
      <c r="T478" t="s">
        <v>58</v>
      </c>
      <c r="U478" t="s">
        <v>59</v>
      </c>
      <c r="V478" s="3">
        <v>0.75</v>
      </c>
      <c r="W478" s="2">
        <v>0</v>
      </c>
      <c r="X478">
        <v>0</v>
      </c>
      <c r="Y478" t="s">
        <v>60</v>
      </c>
      <c r="Z478" t="s">
        <v>61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66.400000000000006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45957</v>
      </c>
      <c r="B479" t="s">
        <v>48</v>
      </c>
      <c r="C479">
        <v>649163</v>
      </c>
      <c r="D479">
        <v>2030500326</v>
      </c>
      <c r="E479" t="s">
        <v>116</v>
      </c>
      <c r="F479" t="s">
        <v>117</v>
      </c>
      <c r="G479" t="s">
        <v>51</v>
      </c>
      <c r="H479" t="s">
        <v>118</v>
      </c>
      <c r="I479" t="s">
        <v>369</v>
      </c>
      <c r="J479" t="s">
        <v>375</v>
      </c>
      <c r="K479">
        <v>823068</v>
      </c>
      <c r="L479" t="s">
        <v>120</v>
      </c>
      <c r="M479" t="s">
        <v>121</v>
      </c>
      <c r="N479" t="s">
        <v>57</v>
      </c>
      <c r="O479" s="1">
        <v>45901</v>
      </c>
      <c r="Q479" s="1">
        <v>45992</v>
      </c>
      <c r="R479" s="2">
        <v>52.06</v>
      </c>
      <c r="S479">
        <v>1</v>
      </c>
      <c r="T479" t="s">
        <v>58</v>
      </c>
      <c r="U479" t="s">
        <v>59</v>
      </c>
      <c r="V479" s="3">
        <v>0.9</v>
      </c>
      <c r="W479" s="2">
        <v>0</v>
      </c>
      <c r="X479">
        <v>0</v>
      </c>
      <c r="Y479" t="s">
        <v>60</v>
      </c>
      <c r="Z479" t="s">
        <v>61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46.85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45957</v>
      </c>
      <c r="B480" t="s">
        <v>48</v>
      </c>
      <c r="C480">
        <v>649163</v>
      </c>
      <c r="D480">
        <v>2030500797</v>
      </c>
      <c r="E480" t="s">
        <v>123</v>
      </c>
      <c r="F480" t="s">
        <v>124</v>
      </c>
      <c r="G480" t="s">
        <v>51</v>
      </c>
      <c r="H480" t="s">
        <v>69</v>
      </c>
      <c r="I480" t="s">
        <v>369</v>
      </c>
      <c r="J480" t="s">
        <v>375</v>
      </c>
      <c r="K480">
        <v>673059</v>
      </c>
      <c r="L480" t="s">
        <v>55</v>
      </c>
      <c r="M480" t="s">
        <v>56</v>
      </c>
      <c r="N480" t="s">
        <v>57</v>
      </c>
      <c r="O480" s="1">
        <v>45901</v>
      </c>
      <c r="Q480" s="1">
        <v>45992</v>
      </c>
      <c r="R480" s="2">
        <v>68.08</v>
      </c>
      <c r="S480">
        <v>1</v>
      </c>
      <c r="T480" t="s">
        <v>58</v>
      </c>
      <c r="U480" t="s">
        <v>59</v>
      </c>
      <c r="V480" s="3">
        <v>0.9</v>
      </c>
      <c r="W480" s="2">
        <v>0</v>
      </c>
      <c r="X480">
        <v>0</v>
      </c>
      <c r="Y480" t="s">
        <v>60</v>
      </c>
      <c r="Z480" t="s">
        <v>61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61.27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45957</v>
      </c>
      <c r="B481" t="s">
        <v>48</v>
      </c>
      <c r="C481">
        <v>649163</v>
      </c>
      <c r="D481">
        <v>2030552094</v>
      </c>
      <c r="E481" t="s">
        <v>125</v>
      </c>
      <c r="F481" t="s">
        <v>126</v>
      </c>
      <c r="G481" t="s">
        <v>51</v>
      </c>
      <c r="H481" t="s">
        <v>101</v>
      </c>
      <c r="I481" t="s">
        <v>369</v>
      </c>
      <c r="J481" t="s">
        <v>370</v>
      </c>
      <c r="K481">
        <v>753748</v>
      </c>
      <c r="L481" t="s">
        <v>65</v>
      </c>
      <c r="M481" t="s">
        <v>66</v>
      </c>
      <c r="N481" t="s">
        <v>57</v>
      </c>
      <c r="O481" s="1">
        <v>45901</v>
      </c>
      <c r="Q481" s="1">
        <v>45992</v>
      </c>
      <c r="R481" s="2">
        <v>196.75</v>
      </c>
      <c r="S481">
        <v>1</v>
      </c>
      <c r="T481" t="s">
        <v>58</v>
      </c>
      <c r="U481" t="s">
        <v>59</v>
      </c>
      <c r="V481" s="3">
        <v>0.75</v>
      </c>
      <c r="W481" s="2">
        <v>0</v>
      </c>
      <c r="X481">
        <v>0</v>
      </c>
      <c r="Y481" t="s">
        <v>60</v>
      </c>
      <c r="Z481" t="s">
        <v>61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147.56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45957</v>
      </c>
      <c r="B482" t="s">
        <v>48</v>
      </c>
      <c r="C482">
        <v>649163</v>
      </c>
      <c r="D482">
        <v>2030552138</v>
      </c>
      <c r="E482" t="s">
        <v>127</v>
      </c>
      <c r="F482" t="s">
        <v>128</v>
      </c>
      <c r="G482" t="s">
        <v>51</v>
      </c>
      <c r="H482" t="s">
        <v>129</v>
      </c>
      <c r="I482" t="s">
        <v>369</v>
      </c>
      <c r="J482" t="s">
        <v>370</v>
      </c>
      <c r="K482">
        <v>874230</v>
      </c>
      <c r="L482" t="s">
        <v>130</v>
      </c>
      <c r="M482" t="s">
        <v>131</v>
      </c>
      <c r="N482" t="s">
        <v>57</v>
      </c>
      <c r="O482" s="1">
        <v>45901</v>
      </c>
      <c r="Q482" s="1">
        <v>45992</v>
      </c>
      <c r="R482" s="2">
        <v>20.6</v>
      </c>
      <c r="S482">
        <v>1</v>
      </c>
      <c r="T482" t="s">
        <v>58</v>
      </c>
      <c r="U482" t="s">
        <v>59</v>
      </c>
      <c r="V482" s="3">
        <v>0.75</v>
      </c>
      <c r="W482" s="2">
        <v>0</v>
      </c>
      <c r="X482">
        <v>0</v>
      </c>
      <c r="Y482" t="s">
        <v>60</v>
      </c>
      <c r="Z482" t="s">
        <v>61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15.45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45957</v>
      </c>
      <c r="B483" t="s">
        <v>48</v>
      </c>
      <c r="C483">
        <v>649163</v>
      </c>
      <c r="D483">
        <v>2030570951</v>
      </c>
      <c r="E483" t="s">
        <v>137</v>
      </c>
      <c r="F483" t="s">
        <v>138</v>
      </c>
      <c r="G483" t="s">
        <v>51</v>
      </c>
      <c r="H483" t="s">
        <v>69</v>
      </c>
      <c r="I483" t="s">
        <v>369</v>
      </c>
      <c r="J483" t="s">
        <v>421</v>
      </c>
      <c r="K483">
        <v>856163</v>
      </c>
      <c r="L483" t="s">
        <v>70</v>
      </c>
      <c r="M483" t="s">
        <v>71</v>
      </c>
      <c r="N483" t="s">
        <v>57</v>
      </c>
      <c r="O483" s="1">
        <v>45901</v>
      </c>
      <c r="Q483" s="1">
        <v>45992</v>
      </c>
      <c r="R483" s="2">
        <v>90.76</v>
      </c>
      <c r="S483">
        <v>1</v>
      </c>
      <c r="T483" t="s">
        <v>58</v>
      </c>
      <c r="U483" t="s">
        <v>59</v>
      </c>
      <c r="V483" s="3">
        <v>0.75</v>
      </c>
      <c r="W483" s="2">
        <v>0</v>
      </c>
      <c r="X483">
        <v>0</v>
      </c>
      <c r="Y483" t="s">
        <v>60</v>
      </c>
      <c r="Z483" t="s">
        <v>61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68.069999999999993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45957</v>
      </c>
      <c r="B484" t="s">
        <v>48</v>
      </c>
      <c r="C484">
        <v>649163</v>
      </c>
      <c r="D484">
        <v>2030597036</v>
      </c>
      <c r="E484" t="s">
        <v>153</v>
      </c>
      <c r="F484" t="s">
        <v>154</v>
      </c>
      <c r="G484" t="s">
        <v>51</v>
      </c>
      <c r="H484" t="s">
        <v>118</v>
      </c>
      <c r="I484" t="s">
        <v>369</v>
      </c>
      <c r="J484" t="s">
        <v>375</v>
      </c>
      <c r="K484">
        <v>652037</v>
      </c>
      <c r="L484" t="s">
        <v>155</v>
      </c>
      <c r="M484" t="s">
        <v>156</v>
      </c>
      <c r="N484" t="s">
        <v>57</v>
      </c>
      <c r="O484" s="1">
        <v>45901</v>
      </c>
      <c r="Q484" s="1">
        <v>45992</v>
      </c>
      <c r="R484" s="2">
        <v>89.88</v>
      </c>
      <c r="S484">
        <v>1</v>
      </c>
      <c r="T484" t="s">
        <v>58</v>
      </c>
      <c r="U484" t="s">
        <v>59</v>
      </c>
      <c r="V484" s="3">
        <v>0.9</v>
      </c>
      <c r="W484" s="2">
        <v>0</v>
      </c>
      <c r="X484">
        <v>0</v>
      </c>
      <c r="Y484" t="s">
        <v>60</v>
      </c>
      <c r="Z484" t="s">
        <v>61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80.89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45957</v>
      </c>
      <c r="B485" t="s">
        <v>48</v>
      </c>
      <c r="C485">
        <v>649163</v>
      </c>
      <c r="D485">
        <v>2030638849</v>
      </c>
      <c r="E485" t="s">
        <v>163</v>
      </c>
      <c r="F485" t="s">
        <v>164</v>
      </c>
      <c r="G485" t="s">
        <v>51</v>
      </c>
      <c r="H485" t="s">
        <v>165</v>
      </c>
      <c r="I485" t="s">
        <v>369</v>
      </c>
      <c r="J485" t="s">
        <v>421</v>
      </c>
      <c r="K485">
        <v>673059</v>
      </c>
      <c r="L485" t="s">
        <v>55</v>
      </c>
      <c r="M485" t="s">
        <v>56</v>
      </c>
      <c r="N485" t="s">
        <v>57</v>
      </c>
      <c r="O485" s="1">
        <v>45901</v>
      </c>
      <c r="Q485" s="1">
        <v>45992</v>
      </c>
      <c r="R485" s="2">
        <v>33.58</v>
      </c>
      <c r="S485">
        <v>1</v>
      </c>
      <c r="T485" t="s">
        <v>58</v>
      </c>
      <c r="U485" t="s">
        <v>59</v>
      </c>
      <c r="V485" s="3">
        <v>0.75</v>
      </c>
      <c r="W485" s="2">
        <v>0</v>
      </c>
      <c r="X485">
        <v>0</v>
      </c>
      <c r="Y485" t="s">
        <v>60</v>
      </c>
      <c r="Z485" t="s">
        <v>61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25.18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45957</v>
      </c>
      <c r="B486" t="s">
        <v>48</v>
      </c>
      <c r="C486">
        <v>649163</v>
      </c>
      <c r="D486">
        <v>2030642688</v>
      </c>
      <c r="E486" t="s">
        <v>103</v>
      </c>
      <c r="F486" t="s">
        <v>166</v>
      </c>
      <c r="G486" t="s">
        <v>51</v>
      </c>
      <c r="H486" t="s">
        <v>52</v>
      </c>
      <c r="I486" t="s">
        <v>369</v>
      </c>
      <c r="J486" t="s">
        <v>807</v>
      </c>
      <c r="K486">
        <v>673059</v>
      </c>
      <c r="L486" t="s">
        <v>55</v>
      </c>
      <c r="M486" t="s">
        <v>56</v>
      </c>
      <c r="N486" t="s">
        <v>57</v>
      </c>
      <c r="O486" s="1">
        <v>45901</v>
      </c>
      <c r="Q486" s="1">
        <v>45992</v>
      </c>
      <c r="R486" s="2">
        <v>52.3</v>
      </c>
      <c r="S486">
        <v>1</v>
      </c>
      <c r="T486" t="s">
        <v>58</v>
      </c>
      <c r="U486" t="s">
        <v>59</v>
      </c>
      <c r="V486" s="3">
        <v>0.75</v>
      </c>
      <c r="W486" s="2">
        <v>0</v>
      </c>
      <c r="X486">
        <v>0</v>
      </c>
      <c r="Y486" t="s">
        <v>60</v>
      </c>
      <c r="Z486" t="s">
        <v>61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39.22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45957</v>
      </c>
      <c r="B487" t="s">
        <v>48</v>
      </c>
      <c r="C487">
        <v>649163</v>
      </c>
      <c r="D487">
        <v>2030659852</v>
      </c>
      <c r="E487" t="s">
        <v>167</v>
      </c>
      <c r="F487" t="s">
        <v>168</v>
      </c>
      <c r="G487" t="s">
        <v>51</v>
      </c>
      <c r="H487" t="s">
        <v>69</v>
      </c>
      <c r="I487" t="s">
        <v>369</v>
      </c>
      <c r="J487" t="s">
        <v>421</v>
      </c>
      <c r="K487">
        <v>669316</v>
      </c>
      <c r="L487" t="s">
        <v>169</v>
      </c>
      <c r="M487" t="s">
        <v>170</v>
      </c>
      <c r="N487" t="s">
        <v>57</v>
      </c>
      <c r="O487" s="1">
        <v>45901</v>
      </c>
      <c r="Q487" s="1">
        <v>45992</v>
      </c>
      <c r="R487" s="2">
        <v>136.51</v>
      </c>
      <c r="S487">
        <v>1</v>
      </c>
      <c r="T487" t="s">
        <v>58</v>
      </c>
      <c r="U487" t="s">
        <v>59</v>
      </c>
      <c r="V487" s="3">
        <v>0.75</v>
      </c>
      <c r="W487" s="2">
        <v>0</v>
      </c>
      <c r="X487">
        <v>0</v>
      </c>
      <c r="Y487" t="s">
        <v>60</v>
      </c>
      <c r="Z487" t="s">
        <v>61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102.38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45957</v>
      </c>
      <c r="B488" t="s">
        <v>48</v>
      </c>
      <c r="C488">
        <v>649163</v>
      </c>
      <c r="D488">
        <v>2030673649</v>
      </c>
      <c r="E488" t="s">
        <v>177</v>
      </c>
      <c r="F488" t="s">
        <v>178</v>
      </c>
      <c r="G488" t="s">
        <v>51</v>
      </c>
      <c r="H488" t="s">
        <v>179</v>
      </c>
      <c r="I488" t="s">
        <v>369</v>
      </c>
      <c r="J488" t="s">
        <v>421</v>
      </c>
      <c r="K488">
        <v>673059</v>
      </c>
      <c r="L488" t="s">
        <v>55</v>
      </c>
      <c r="M488" t="s">
        <v>56</v>
      </c>
      <c r="N488" t="s">
        <v>57</v>
      </c>
      <c r="O488" s="1">
        <v>45901</v>
      </c>
      <c r="Q488" s="1">
        <v>45992</v>
      </c>
      <c r="R488" s="2">
        <v>49.37</v>
      </c>
      <c r="S488">
        <v>1</v>
      </c>
      <c r="T488" t="s">
        <v>58</v>
      </c>
      <c r="U488" t="s">
        <v>59</v>
      </c>
      <c r="V488" s="3">
        <v>0.75</v>
      </c>
      <c r="W488" s="2">
        <v>0</v>
      </c>
      <c r="X488">
        <v>0</v>
      </c>
      <c r="Y488" t="s">
        <v>60</v>
      </c>
      <c r="Z488" t="s">
        <v>61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37.03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45957</v>
      </c>
      <c r="B489" t="s">
        <v>48</v>
      </c>
      <c r="C489">
        <v>649163</v>
      </c>
      <c r="D489">
        <v>2030675167</v>
      </c>
      <c r="E489" t="s">
        <v>180</v>
      </c>
      <c r="F489" t="s">
        <v>181</v>
      </c>
      <c r="G489" t="s">
        <v>51</v>
      </c>
      <c r="H489" t="s">
        <v>182</v>
      </c>
      <c r="I489" t="s">
        <v>369</v>
      </c>
      <c r="J489" t="s">
        <v>807</v>
      </c>
      <c r="K489">
        <v>823350</v>
      </c>
      <c r="L489" t="s">
        <v>70</v>
      </c>
      <c r="M489" t="s">
        <v>183</v>
      </c>
      <c r="N489" t="s">
        <v>57</v>
      </c>
      <c r="O489" s="1">
        <v>45901</v>
      </c>
      <c r="Q489" s="1">
        <v>45992</v>
      </c>
      <c r="R489" s="2">
        <v>25.65</v>
      </c>
      <c r="S489">
        <v>1</v>
      </c>
      <c r="T489" t="s">
        <v>58</v>
      </c>
      <c r="U489" t="s">
        <v>59</v>
      </c>
      <c r="V489" s="3">
        <v>0.75</v>
      </c>
      <c r="W489" s="2">
        <v>0</v>
      </c>
      <c r="X489">
        <v>0</v>
      </c>
      <c r="Y489" t="s">
        <v>60</v>
      </c>
      <c r="Z489" t="s">
        <v>61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19.239999999999998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45957</v>
      </c>
      <c r="B490" t="s">
        <v>48</v>
      </c>
      <c r="C490">
        <v>649163</v>
      </c>
      <c r="D490">
        <v>2030684987</v>
      </c>
      <c r="E490" t="s">
        <v>808</v>
      </c>
      <c r="F490" t="s">
        <v>809</v>
      </c>
      <c r="G490" t="s">
        <v>51</v>
      </c>
      <c r="H490" t="s">
        <v>563</v>
      </c>
      <c r="I490" t="s">
        <v>369</v>
      </c>
      <c r="J490" t="s">
        <v>375</v>
      </c>
      <c r="K490">
        <v>753748</v>
      </c>
      <c r="L490" t="s">
        <v>65</v>
      </c>
      <c r="M490" t="s">
        <v>66</v>
      </c>
      <c r="N490" t="s">
        <v>57</v>
      </c>
      <c r="O490" s="1">
        <v>45901</v>
      </c>
      <c r="Q490" s="1">
        <v>45992</v>
      </c>
      <c r="R490" s="2">
        <v>122.75</v>
      </c>
      <c r="S490">
        <v>1</v>
      </c>
      <c r="T490" t="s">
        <v>58</v>
      </c>
      <c r="U490" t="s">
        <v>59</v>
      </c>
      <c r="V490" s="3">
        <v>0.9</v>
      </c>
      <c r="W490" s="2">
        <v>0</v>
      </c>
      <c r="X490">
        <v>0</v>
      </c>
      <c r="Y490" t="s">
        <v>60</v>
      </c>
      <c r="Z490" t="s">
        <v>61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110.48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45957</v>
      </c>
      <c r="B491" t="s">
        <v>48</v>
      </c>
      <c r="C491">
        <v>649163</v>
      </c>
      <c r="D491">
        <v>2030686026</v>
      </c>
      <c r="E491" t="s">
        <v>184</v>
      </c>
      <c r="F491" t="s">
        <v>185</v>
      </c>
      <c r="G491" t="s">
        <v>51</v>
      </c>
      <c r="H491" t="s">
        <v>92</v>
      </c>
      <c r="I491" t="s">
        <v>369</v>
      </c>
      <c r="J491" t="s">
        <v>375</v>
      </c>
      <c r="K491">
        <v>816021</v>
      </c>
      <c r="L491" t="s">
        <v>93</v>
      </c>
      <c r="M491" t="s">
        <v>94</v>
      </c>
      <c r="N491" t="s">
        <v>57</v>
      </c>
      <c r="O491" s="1">
        <v>45901</v>
      </c>
      <c r="Q491" s="1">
        <v>45992</v>
      </c>
      <c r="R491" s="2">
        <v>39.17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0</v>
      </c>
      <c r="Y491" t="s">
        <v>60</v>
      </c>
      <c r="Z491" t="s">
        <v>61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35.25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45957</v>
      </c>
      <c r="B492" t="s">
        <v>48</v>
      </c>
      <c r="C492">
        <v>649163</v>
      </c>
      <c r="D492">
        <v>2030694348</v>
      </c>
      <c r="E492" t="s">
        <v>186</v>
      </c>
      <c r="F492" t="s">
        <v>187</v>
      </c>
      <c r="G492" t="s">
        <v>51</v>
      </c>
      <c r="H492" t="s">
        <v>129</v>
      </c>
      <c r="I492" t="s">
        <v>369</v>
      </c>
      <c r="J492" t="s">
        <v>421</v>
      </c>
      <c r="K492">
        <v>874230</v>
      </c>
      <c r="L492" t="s">
        <v>130</v>
      </c>
      <c r="M492" t="s">
        <v>131</v>
      </c>
      <c r="N492" t="s">
        <v>57</v>
      </c>
      <c r="O492" s="1">
        <v>45901</v>
      </c>
      <c r="Q492" s="1">
        <v>45992</v>
      </c>
      <c r="R492" s="2">
        <v>42.28</v>
      </c>
      <c r="S492">
        <v>1</v>
      </c>
      <c r="T492" t="s">
        <v>58</v>
      </c>
      <c r="U492" t="s">
        <v>59</v>
      </c>
      <c r="V492" s="3">
        <v>0.75</v>
      </c>
      <c r="W492" s="2">
        <v>0</v>
      </c>
      <c r="X492">
        <v>0</v>
      </c>
      <c r="Y492" t="s">
        <v>60</v>
      </c>
      <c r="Z492" t="s">
        <v>61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31.71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45957</v>
      </c>
      <c r="B493" t="s">
        <v>48</v>
      </c>
      <c r="C493">
        <v>649163</v>
      </c>
      <c r="D493">
        <v>2030701199</v>
      </c>
      <c r="E493" t="s">
        <v>779</v>
      </c>
      <c r="F493" t="s">
        <v>810</v>
      </c>
      <c r="G493" t="s">
        <v>51</v>
      </c>
      <c r="H493" t="s">
        <v>118</v>
      </c>
      <c r="I493" t="s">
        <v>369</v>
      </c>
      <c r="J493" t="s">
        <v>375</v>
      </c>
      <c r="K493">
        <v>652037</v>
      </c>
      <c r="L493" t="s">
        <v>155</v>
      </c>
      <c r="M493" t="s">
        <v>156</v>
      </c>
      <c r="N493" t="s">
        <v>57</v>
      </c>
      <c r="O493" s="1">
        <v>45901</v>
      </c>
      <c r="Q493" s="1">
        <v>45992</v>
      </c>
      <c r="R493" s="2">
        <v>84.26</v>
      </c>
      <c r="S493">
        <v>1</v>
      </c>
      <c r="T493" t="s">
        <v>58</v>
      </c>
      <c r="U493" t="s">
        <v>59</v>
      </c>
      <c r="V493" s="3">
        <v>0.9</v>
      </c>
      <c r="W493" s="2">
        <v>0</v>
      </c>
      <c r="X493">
        <v>0</v>
      </c>
      <c r="Y493" t="s">
        <v>60</v>
      </c>
      <c r="Z493" t="s">
        <v>61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75.83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45957</v>
      </c>
      <c r="B494" t="s">
        <v>48</v>
      </c>
      <c r="C494">
        <v>649163</v>
      </c>
      <c r="D494">
        <v>2030707327</v>
      </c>
      <c r="E494" t="s">
        <v>198</v>
      </c>
      <c r="F494" t="s">
        <v>199</v>
      </c>
      <c r="G494" t="s">
        <v>51</v>
      </c>
      <c r="H494" t="s">
        <v>92</v>
      </c>
      <c r="I494" t="s">
        <v>369</v>
      </c>
      <c r="J494" t="s">
        <v>375</v>
      </c>
      <c r="K494">
        <v>756418</v>
      </c>
      <c r="L494" t="s">
        <v>191</v>
      </c>
      <c r="M494" t="s">
        <v>192</v>
      </c>
      <c r="N494" t="s">
        <v>57</v>
      </c>
      <c r="O494" s="1">
        <v>45896</v>
      </c>
      <c r="Q494" s="1">
        <v>45988</v>
      </c>
      <c r="R494" s="2">
        <v>54.21</v>
      </c>
      <c r="S494">
        <v>1</v>
      </c>
      <c r="T494" t="s">
        <v>58</v>
      </c>
      <c r="U494" t="s">
        <v>59</v>
      </c>
      <c r="V494" s="3">
        <v>0.9</v>
      </c>
      <c r="W494" s="2">
        <v>0</v>
      </c>
      <c r="X494">
        <v>0</v>
      </c>
      <c r="Y494" t="s">
        <v>60</v>
      </c>
      <c r="Z494" t="s">
        <v>61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48.79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45957</v>
      </c>
      <c r="B495" t="s">
        <v>48</v>
      </c>
      <c r="C495">
        <v>649163</v>
      </c>
      <c r="D495">
        <v>2030714656</v>
      </c>
      <c r="E495" t="s">
        <v>86</v>
      </c>
      <c r="F495" t="s">
        <v>200</v>
      </c>
      <c r="G495" t="s">
        <v>51</v>
      </c>
      <c r="H495" t="s">
        <v>201</v>
      </c>
      <c r="I495" t="s">
        <v>369</v>
      </c>
      <c r="J495" t="s">
        <v>421</v>
      </c>
      <c r="K495">
        <v>856824</v>
      </c>
      <c r="L495" t="s">
        <v>175</v>
      </c>
      <c r="M495" t="s">
        <v>176</v>
      </c>
      <c r="N495" t="s">
        <v>57</v>
      </c>
      <c r="O495" s="1">
        <v>45901</v>
      </c>
      <c r="Q495" s="1">
        <v>45992</v>
      </c>
      <c r="R495" s="2">
        <v>195.58</v>
      </c>
      <c r="S495">
        <v>1</v>
      </c>
      <c r="T495" t="s">
        <v>58</v>
      </c>
      <c r="U495" t="s">
        <v>59</v>
      </c>
      <c r="V495" s="3">
        <v>0.75</v>
      </c>
      <c r="W495" s="2">
        <v>0</v>
      </c>
      <c r="X495">
        <v>0</v>
      </c>
      <c r="Y495" t="s">
        <v>60</v>
      </c>
      <c r="Z495" t="s">
        <v>61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146.68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45957</v>
      </c>
      <c r="B496" t="s">
        <v>48</v>
      </c>
      <c r="C496">
        <v>649163</v>
      </c>
      <c r="D496">
        <v>2030720376</v>
      </c>
      <c r="E496" t="s">
        <v>202</v>
      </c>
      <c r="F496" t="s">
        <v>203</v>
      </c>
      <c r="G496" t="s">
        <v>51</v>
      </c>
      <c r="H496" t="s">
        <v>92</v>
      </c>
      <c r="I496" t="s">
        <v>369</v>
      </c>
      <c r="J496" t="s">
        <v>418</v>
      </c>
      <c r="K496">
        <v>816021</v>
      </c>
      <c r="L496" t="s">
        <v>93</v>
      </c>
      <c r="M496" t="s">
        <v>94</v>
      </c>
      <c r="N496" t="s">
        <v>57</v>
      </c>
      <c r="O496" s="1">
        <v>45901</v>
      </c>
      <c r="Q496" s="1">
        <v>45992</v>
      </c>
      <c r="R496" s="2">
        <v>59.03</v>
      </c>
      <c r="S496">
        <v>1</v>
      </c>
      <c r="T496" t="s">
        <v>58</v>
      </c>
      <c r="U496" t="s">
        <v>59</v>
      </c>
      <c r="V496" s="3">
        <v>0.65</v>
      </c>
      <c r="W496" s="2">
        <v>0</v>
      </c>
      <c r="X496">
        <v>0</v>
      </c>
      <c r="Y496" t="s">
        <v>60</v>
      </c>
      <c r="Z496" t="s">
        <v>61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38.369999999999997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45957</v>
      </c>
      <c r="B497" t="s">
        <v>48</v>
      </c>
      <c r="C497">
        <v>649163</v>
      </c>
      <c r="D497">
        <v>2030770954</v>
      </c>
      <c r="E497" t="s">
        <v>202</v>
      </c>
      <c r="F497" t="s">
        <v>213</v>
      </c>
      <c r="G497" t="s">
        <v>51</v>
      </c>
      <c r="H497" t="s">
        <v>118</v>
      </c>
      <c r="I497" t="s">
        <v>369</v>
      </c>
      <c r="J497" t="s">
        <v>375</v>
      </c>
      <c r="K497">
        <v>652037</v>
      </c>
      <c r="L497" t="s">
        <v>155</v>
      </c>
      <c r="M497" t="s">
        <v>156</v>
      </c>
      <c r="N497" t="s">
        <v>57</v>
      </c>
      <c r="O497" s="1">
        <v>45901</v>
      </c>
      <c r="Q497" s="1">
        <v>45992</v>
      </c>
      <c r="R497" s="2">
        <v>192</v>
      </c>
      <c r="S497">
        <v>1</v>
      </c>
      <c r="T497" t="s">
        <v>58</v>
      </c>
      <c r="U497" t="s">
        <v>59</v>
      </c>
      <c r="V497" s="3">
        <v>0.9</v>
      </c>
      <c r="W497" s="2">
        <v>0</v>
      </c>
      <c r="X497">
        <v>0</v>
      </c>
      <c r="Y497" t="s">
        <v>60</v>
      </c>
      <c r="Z497" t="s">
        <v>61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172.8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45957</v>
      </c>
      <c r="B498" t="s">
        <v>48</v>
      </c>
      <c r="C498">
        <v>649163</v>
      </c>
      <c r="D498">
        <v>2030779110</v>
      </c>
      <c r="E498" t="s">
        <v>230</v>
      </c>
      <c r="F498" t="s">
        <v>811</v>
      </c>
      <c r="G498" t="s">
        <v>51</v>
      </c>
      <c r="H498" t="s">
        <v>563</v>
      </c>
      <c r="I498" t="s">
        <v>369</v>
      </c>
      <c r="J498" t="s">
        <v>375</v>
      </c>
      <c r="K498">
        <v>753748</v>
      </c>
      <c r="L498" t="s">
        <v>65</v>
      </c>
      <c r="M498" t="s">
        <v>66</v>
      </c>
      <c r="N498" t="s">
        <v>57</v>
      </c>
      <c r="O498" s="1">
        <v>45901</v>
      </c>
      <c r="Q498" s="1">
        <v>45992</v>
      </c>
      <c r="R498" s="2">
        <v>122.57</v>
      </c>
      <c r="S498">
        <v>1</v>
      </c>
      <c r="T498" t="s">
        <v>58</v>
      </c>
      <c r="U498" t="s">
        <v>59</v>
      </c>
      <c r="V498" s="3">
        <v>0.9</v>
      </c>
      <c r="W498" s="2">
        <v>0</v>
      </c>
      <c r="X498">
        <v>0</v>
      </c>
      <c r="Y498" t="s">
        <v>60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110.31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45957</v>
      </c>
      <c r="B499" t="s">
        <v>48</v>
      </c>
      <c r="C499">
        <v>649163</v>
      </c>
      <c r="D499">
        <v>2030779466</v>
      </c>
      <c r="E499" t="s">
        <v>220</v>
      </c>
      <c r="F499" t="s">
        <v>221</v>
      </c>
      <c r="G499" t="s">
        <v>51</v>
      </c>
      <c r="H499" t="s">
        <v>92</v>
      </c>
      <c r="I499" t="s">
        <v>369</v>
      </c>
      <c r="J499" t="s">
        <v>421</v>
      </c>
      <c r="K499">
        <v>816021</v>
      </c>
      <c r="L499" t="s">
        <v>93</v>
      </c>
      <c r="M499" t="s">
        <v>94</v>
      </c>
      <c r="N499" t="s">
        <v>57</v>
      </c>
      <c r="O499" s="1">
        <v>45901</v>
      </c>
      <c r="Q499" s="1">
        <v>45992</v>
      </c>
      <c r="R499" s="2">
        <v>33.01</v>
      </c>
      <c r="S499">
        <v>1</v>
      </c>
      <c r="T499" t="s">
        <v>58</v>
      </c>
      <c r="U499" t="s">
        <v>59</v>
      </c>
      <c r="V499" s="3">
        <v>0.75</v>
      </c>
      <c r="W499" s="2">
        <v>0</v>
      </c>
      <c r="X499">
        <v>0</v>
      </c>
      <c r="Y499" t="s">
        <v>60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24.76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45957</v>
      </c>
      <c r="B500" t="s">
        <v>48</v>
      </c>
      <c r="C500">
        <v>649163</v>
      </c>
      <c r="D500">
        <v>2030788953</v>
      </c>
      <c r="E500" t="s">
        <v>224</v>
      </c>
      <c r="F500" t="s">
        <v>225</v>
      </c>
      <c r="G500" t="s">
        <v>51</v>
      </c>
      <c r="H500" t="s">
        <v>92</v>
      </c>
      <c r="I500" t="s">
        <v>369</v>
      </c>
      <c r="J500" t="s">
        <v>418</v>
      </c>
      <c r="K500">
        <v>816021</v>
      </c>
      <c r="L500" t="s">
        <v>93</v>
      </c>
      <c r="M500" t="s">
        <v>94</v>
      </c>
      <c r="N500" t="s">
        <v>57</v>
      </c>
      <c r="O500" s="1">
        <v>45901</v>
      </c>
      <c r="Q500" s="1">
        <v>45992</v>
      </c>
      <c r="R500" s="2">
        <v>9.3800000000000008</v>
      </c>
      <c r="S500">
        <v>1</v>
      </c>
      <c r="T500" t="s">
        <v>58</v>
      </c>
      <c r="U500" t="s">
        <v>59</v>
      </c>
      <c r="V500" s="3">
        <v>0.65</v>
      </c>
      <c r="W500" s="2">
        <v>0</v>
      </c>
      <c r="X500">
        <v>0</v>
      </c>
      <c r="Y500" t="s">
        <v>60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6.1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45957</v>
      </c>
      <c r="B501" t="s">
        <v>48</v>
      </c>
      <c r="C501">
        <v>649163</v>
      </c>
      <c r="D501">
        <v>2030801742</v>
      </c>
      <c r="E501" t="s">
        <v>812</v>
      </c>
      <c r="F501" t="s">
        <v>813</v>
      </c>
      <c r="G501" t="s">
        <v>51</v>
      </c>
      <c r="H501" t="s">
        <v>129</v>
      </c>
      <c r="I501" t="s">
        <v>369</v>
      </c>
      <c r="J501" t="s">
        <v>421</v>
      </c>
      <c r="K501">
        <v>874230</v>
      </c>
      <c r="L501" t="s">
        <v>130</v>
      </c>
      <c r="M501" t="s">
        <v>131</v>
      </c>
      <c r="N501" t="s">
        <v>57</v>
      </c>
      <c r="O501" s="1">
        <v>45901</v>
      </c>
      <c r="Q501" s="1">
        <v>45992</v>
      </c>
      <c r="R501" s="2">
        <v>12.64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0</v>
      </c>
      <c r="Y501" t="s">
        <v>60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9.48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45957</v>
      </c>
      <c r="B502" t="s">
        <v>48</v>
      </c>
      <c r="C502">
        <v>649163</v>
      </c>
      <c r="D502">
        <v>2031190209</v>
      </c>
      <c r="E502" t="s">
        <v>245</v>
      </c>
      <c r="F502" t="s">
        <v>246</v>
      </c>
      <c r="G502" t="s">
        <v>51</v>
      </c>
      <c r="H502" t="s">
        <v>247</v>
      </c>
      <c r="I502" t="s">
        <v>369</v>
      </c>
      <c r="J502" t="s">
        <v>421</v>
      </c>
      <c r="K502">
        <v>823350</v>
      </c>
      <c r="L502" t="s">
        <v>70</v>
      </c>
      <c r="M502" t="s">
        <v>183</v>
      </c>
      <c r="N502" t="s">
        <v>57</v>
      </c>
      <c r="O502" s="1">
        <v>45925</v>
      </c>
      <c r="Q502" s="1">
        <v>45986</v>
      </c>
      <c r="R502" s="2">
        <v>80.8</v>
      </c>
      <c r="S502">
        <v>1</v>
      </c>
      <c r="T502" t="s">
        <v>58</v>
      </c>
      <c r="U502" t="s">
        <v>238</v>
      </c>
      <c r="V502" s="3">
        <v>0.75</v>
      </c>
      <c r="W502" s="2">
        <v>0</v>
      </c>
      <c r="X502">
        <v>0</v>
      </c>
      <c r="Y502" t="s">
        <v>60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60.6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45957</v>
      </c>
      <c r="B503" t="s">
        <v>48</v>
      </c>
      <c r="C503">
        <v>649163</v>
      </c>
      <c r="D503">
        <v>2031242401</v>
      </c>
      <c r="E503" t="s">
        <v>248</v>
      </c>
      <c r="F503" t="s">
        <v>249</v>
      </c>
      <c r="G503" t="s">
        <v>51</v>
      </c>
      <c r="H503" t="s">
        <v>92</v>
      </c>
      <c r="I503" t="s">
        <v>369</v>
      </c>
      <c r="J503" t="s">
        <v>421</v>
      </c>
      <c r="K503">
        <v>816021</v>
      </c>
      <c r="L503" t="s">
        <v>93</v>
      </c>
      <c r="M503" t="s">
        <v>94</v>
      </c>
      <c r="N503" t="s">
        <v>57</v>
      </c>
      <c r="O503" s="1">
        <v>45925</v>
      </c>
      <c r="Q503" s="1">
        <v>45986</v>
      </c>
      <c r="R503" s="2">
        <v>40.06</v>
      </c>
      <c r="S503">
        <v>1</v>
      </c>
      <c r="T503" t="s">
        <v>58</v>
      </c>
      <c r="U503" t="s">
        <v>238</v>
      </c>
      <c r="V503" s="3">
        <v>0.75</v>
      </c>
      <c r="W503" s="2">
        <v>0</v>
      </c>
      <c r="X503">
        <v>0</v>
      </c>
      <c r="Y503" t="s">
        <v>60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30.04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45957</v>
      </c>
      <c r="B504" t="s">
        <v>48</v>
      </c>
      <c r="C504">
        <v>649163</v>
      </c>
      <c r="D504">
        <v>2017472584</v>
      </c>
      <c r="E504" t="s">
        <v>814</v>
      </c>
      <c r="F504" t="s">
        <v>815</v>
      </c>
      <c r="G504" t="s">
        <v>51</v>
      </c>
      <c r="H504" t="s">
        <v>69</v>
      </c>
      <c r="I504" t="s">
        <v>361</v>
      </c>
      <c r="J504" t="s">
        <v>816</v>
      </c>
      <c r="K504">
        <v>649793</v>
      </c>
      <c r="L504" t="s">
        <v>55</v>
      </c>
      <c r="M504" t="s">
        <v>566</v>
      </c>
      <c r="N504" t="s">
        <v>57</v>
      </c>
      <c r="O504" s="1">
        <v>44954</v>
      </c>
      <c r="Q504" s="1">
        <v>45989</v>
      </c>
      <c r="R504" s="2">
        <v>15</v>
      </c>
      <c r="S504">
        <v>1</v>
      </c>
      <c r="T504" t="s">
        <v>58</v>
      </c>
      <c r="U504" t="s">
        <v>59</v>
      </c>
      <c r="V504" s="3">
        <v>0.28999999999999998</v>
      </c>
      <c r="W504" s="2">
        <v>0</v>
      </c>
      <c r="X504">
        <v>0</v>
      </c>
      <c r="Y504" t="s">
        <v>264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4.3499999999999996</v>
      </c>
      <c r="AN504" s="2">
        <v>4.3499999999999996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45957</v>
      </c>
      <c r="B505" t="s">
        <v>48</v>
      </c>
      <c r="C505">
        <v>649163</v>
      </c>
      <c r="D505">
        <v>2020392187</v>
      </c>
      <c r="E505" t="s">
        <v>259</v>
      </c>
      <c r="F505" t="s">
        <v>260</v>
      </c>
      <c r="G505" t="s">
        <v>51</v>
      </c>
      <c r="H505" t="s">
        <v>261</v>
      </c>
      <c r="I505" t="s">
        <v>361</v>
      </c>
      <c r="J505" t="s">
        <v>402</v>
      </c>
      <c r="K505">
        <v>673059</v>
      </c>
      <c r="L505" t="s">
        <v>55</v>
      </c>
      <c r="M505" t="s">
        <v>56</v>
      </c>
      <c r="N505" t="s">
        <v>57</v>
      </c>
      <c r="O505" s="1">
        <v>45288</v>
      </c>
      <c r="Q505" s="1">
        <v>45989</v>
      </c>
      <c r="R505" s="2">
        <v>15</v>
      </c>
      <c r="S505">
        <v>1</v>
      </c>
      <c r="T505" t="s">
        <v>58</v>
      </c>
      <c r="U505" t="s">
        <v>59</v>
      </c>
      <c r="V505" s="3">
        <v>0.28999999999999998</v>
      </c>
      <c r="W505" s="2">
        <v>0</v>
      </c>
      <c r="X505">
        <v>0</v>
      </c>
      <c r="Y505" t="s">
        <v>264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4.3499999999999996</v>
      </c>
      <c r="AN505" s="2">
        <v>4.3499999999999996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45957</v>
      </c>
      <c r="B506" t="s">
        <v>48</v>
      </c>
      <c r="C506">
        <v>649163</v>
      </c>
      <c r="D506">
        <v>2023809266</v>
      </c>
      <c r="E506" t="s">
        <v>265</v>
      </c>
      <c r="F506" t="s">
        <v>266</v>
      </c>
      <c r="G506" t="s">
        <v>51</v>
      </c>
      <c r="H506" t="s">
        <v>261</v>
      </c>
      <c r="I506" t="s">
        <v>361</v>
      </c>
      <c r="J506" t="s">
        <v>402</v>
      </c>
      <c r="K506">
        <v>673059</v>
      </c>
      <c r="L506" t="s">
        <v>55</v>
      </c>
      <c r="M506" t="s">
        <v>56</v>
      </c>
      <c r="N506" t="s">
        <v>57</v>
      </c>
      <c r="O506" s="1">
        <v>45653</v>
      </c>
      <c r="Q506" s="1">
        <v>45988</v>
      </c>
      <c r="R506" s="2">
        <v>15</v>
      </c>
      <c r="S506">
        <v>1</v>
      </c>
      <c r="T506" t="s">
        <v>58</v>
      </c>
      <c r="U506" t="s">
        <v>59</v>
      </c>
      <c r="V506" s="3">
        <v>0.28999999999999998</v>
      </c>
      <c r="W506" s="2">
        <v>0</v>
      </c>
      <c r="X506">
        <v>0</v>
      </c>
      <c r="Y506" t="s">
        <v>60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4.3499999999999996</v>
      </c>
      <c r="AN506" s="2">
        <v>4.3499999999999996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45957</v>
      </c>
      <c r="B507" t="s">
        <v>48</v>
      </c>
      <c r="C507">
        <v>649163</v>
      </c>
      <c r="D507">
        <v>2023882013</v>
      </c>
      <c r="E507" t="s">
        <v>267</v>
      </c>
      <c r="F507" t="s">
        <v>268</v>
      </c>
      <c r="G507" t="s">
        <v>51</v>
      </c>
      <c r="H507" t="s">
        <v>129</v>
      </c>
      <c r="I507" t="s">
        <v>361</v>
      </c>
      <c r="J507" t="s">
        <v>817</v>
      </c>
      <c r="K507">
        <v>673059</v>
      </c>
      <c r="L507" t="s">
        <v>55</v>
      </c>
      <c r="M507" t="s">
        <v>56</v>
      </c>
      <c r="N507" t="s">
        <v>57</v>
      </c>
      <c r="O507" s="1">
        <v>45657</v>
      </c>
      <c r="Q507" s="1">
        <v>45991</v>
      </c>
      <c r="R507" s="2">
        <v>15</v>
      </c>
      <c r="S507">
        <v>1</v>
      </c>
      <c r="T507" t="s">
        <v>58</v>
      </c>
      <c r="U507" t="s">
        <v>59</v>
      </c>
      <c r="V507" s="3">
        <v>0.19</v>
      </c>
      <c r="W507" s="2">
        <v>0</v>
      </c>
      <c r="X507">
        <v>0</v>
      </c>
      <c r="Y507" t="s">
        <v>60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2.85</v>
      </c>
      <c r="AN507" s="2">
        <v>2.85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45957</v>
      </c>
      <c r="B508" t="s">
        <v>48</v>
      </c>
      <c r="C508">
        <v>649163</v>
      </c>
      <c r="D508">
        <v>2023957696</v>
      </c>
      <c r="E508" t="s">
        <v>270</v>
      </c>
      <c r="F508" t="s">
        <v>271</v>
      </c>
      <c r="G508" t="s">
        <v>51</v>
      </c>
      <c r="H508" t="s">
        <v>52</v>
      </c>
      <c r="I508" t="s">
        <v>361</v>
      </c>
      <c r="J508" t="s">
        <v>402</v>
      </c>
      <c r="K508">
        <v>673059</v>
      </c>
      <c r="L508" t="s">
        <v>55</v>
      </c>
      <c r="M508" t="s">
        <v>56</v>
      </c>
      <c r="N508" t="s">
        <v>57</v>
      </c>
      <c r="O508" s="1">
        <v>45656</v>
      </c>
      <c r="Q508" s="1">
        <v>45991</v>
      </c>
      <c r="R508" s="2">
        <v>15</v>
      </c>
      <c r="S508">
        <v>1</v>
      </c>
      <c r="T508" t="s">
        <v>58</v>
      </c>
      <c r="U508" t="s">
        <v>59</v>
      </c>
      <c r="V508" s="3">
        <v>0.28999999999999998</v>
      </c>
      <c r="W508" s="2">
        <v>0</v>
      </c>
      <c r="X508">
        <v>0</v>
      </c>
      <c r="Y508" t="s">
        <v>60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4.3499999999999996</v>
      </c>
      <c r="AN508" s="2">
        <v>4.3499999999999996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45957</v>
      </c>
      <c r="B509" t="s">
        <v>48</v>
      </c>
      <c r="C509">
        <v>649163</v>
      </c>
      <c r="D509">
        <v>2023963352</v>
      </c>
      <c r="E509" t="s">
        <v>272</v>
      </c>
      <c r="F509" t="s">
        <v>273</v>
      </c>
      <c r="G509" t="s">
        <v>51</v>
      </c>
      <c r="H509" t="s">
        <v>52</v>
      </c>
      <c r="I509" t="s">
        <v>361</v>
      </c>
      <c r="J509" t="s">
        <v>402</v>
      </c>
      <c r="K509">
        <v>673059</v>
      </c>
      <c r="L509" t="s">
        <v>55</v>
      </c>
      <c r="M509" t="s">
        <v>56</v>
      </c>
      <c r="N509" t="s">
        <v>57</v>
      </c>
      <c r="O509" s="1">
        <v>45656</v>
      </c>
      <c r="Q509" s="1">
        <v>45991</v>
      </c>
      <c r="R509" s="2">
        <v>15</v>
      </c>
      <c r="S509">
        <v>1</v>
      </c>
      <c r="T509" t="s">
        <v>58</v>
      </c>
      <c r="U509" t="s">
        <v>59</v>
      </c>
      <c r="V509" s="3">
        <v>0.28999999999999998</v>
      </c>
      <c r="W509" s="2">
        <v>0</v>
      </c>
      <c r="X509">
        <v>0</v>
      </c>
      <c r="Y509" t="s">
        <v>60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4.3499999999999996</v>
      </c>
      <c r="AN509" s="2">
        <v>4.3499999999999996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45957</v>
      </c>
      <c r="B510" t="s">
        <v>48</v>
      </c>
      <c r="C510">
        <v>649163</v>
      </c>
      <c r="D510">
        <v>2023964242</v>
      </c>
      <c r="E510" t="s">
        <v>274</v>
      </c>
      <c r="F510" t="s">
        <v>275</v>
      </c>
      <c r="G510" t="s">
        <v>51</v>
      </c>
      <c r="H510" t="s">
        <v>276</v>
      </c>
      <c r="I510" t="s">
        <v>361</v>
      </c>
      <c r="J510" t="s">
        <v>402</v>
      </c>
      <c r="K510">
        <v>673059</v>
      </c>
      <c r="L510" t="s">
        <v>55</v>
      </c>
      <c r="M510" t="s">
        <v>56</v>
      </c>
      <c r="N510" t="s">
        <v>57</v>
      </c>
      <c r="O510" s="1">
        <v>45656</v>
      </c>
      <c r="Q510" s="1">
        <v>45991</v>
      </c>
      <c r="R510" s="2">
        <v>15</v>
      </c>
      <c r="S510">
        <v>1</v>
      </c>
      <c r="T510" t="s">
        <v>58</v>
      </c>
      <c r="U510" t="s">
        <v>59</v>
      </c>
      <c r="V510" s="3">
        <v>0.28999999999999998</v>
      </c>
      <c r="W510" s="2">
        <v>0</v>
      </c>
      <c r="X510">
        <v>0</v>
      </c>
      <c r="Y510" t="s">
        <v>60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4.3499999999999996</v>
      </c>
      <c r="AN510" s="2">
        <v>4.3499999999999996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45957</v>
      </c>
      <c r="B511" t="s">
        <v>48</v>
      </c>
      <c r="C511">
        <v>649163</v>
      </c>
      <c r="D511">
        <v>2023980079</v>
      </c>
      <c r="E511" t="s">
        <v>277</v>
      </c>
      <c r="F511" t="s">
        <v>278</v>
      </c>
      <c r="G511" t="s">
        <v>51</v>
      </c>
      <c r="H511" t="s">
        <v>129</v>
      </c>
      <c r="I511" t="s">
        <v>361</v>
      </c>
      <c r="J511" t="s">
        <v>817</v>
      </c>
      <c r="K511">
        <v>673059</v>
      </c>
      <c r="L511" t="s">
        <v>55</v>
      </c>
      <c r="M511" t="s">
        <v>56</v>
      </c>
      <c r="N511" t="s">
        <v>57</v>
      </c>
      <c r="O511" s="1">
        <v>45657</v>
      </c>
      <c r="Q511" s="1">
        <v>45991</v>
      </c>
      <c r="R511" s="2">
        <v>15</v>
      </c>
      <c r="S511">
        <v>1</v>
      </c>
      <c r="T511" t="s">
        <v>58</v>
      </c>
      <c r="U511" t="s">
        <v>59</v>
      </c>
      <c r="V511" s="3">
        <v>0.19</v>
      </c>
      <c r="W511" s="2">
        <v>0</v>
      </c>
      <c r="X511">
        <v>0</v>
      </c>
      <c r="Y511" t="s">
        <v>60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2.85</v>
      </c>
      <c r="AN511" s="2">
        <v>2.85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45957</v>
      </c>
      <c r="B512" t="s">
        <v>48</v>
      </c>
      <c r="C512">
        <v>649163</v>
      </c>
      <c r="D512">
        <v>2024035178</v>
      </c>
      <c r="E512" t="s">
        <v>279</v>
      </c>
      <c r="F512" t="s">
        <v>280</v>
      </c>
      <c r="G512" t="s">
        <v>51</v>
      </c>
      <c r="H512" t="s">
        <v>261</v>
      </c>
      <c r="I512" t="s">
        <v>361</v>
      </c>
      <c r="J512" t="s">
        <v>402</v>
      </c>
      <c r="K512">
        <v>673059</v>
      </c>
      <c r="L512" t="s">
        <v>55</v>
      </c>
      <c r="M512" t="s">
        <v>56</v>
      </c>
      <c r="N512" t="s">
        <v>57</v>
      </c>
      <c r="O512" s="1">
        <v>45656</v>
      </c>
      <c r="Q512" s="1">
        <v>45991</v>
      </c>
      <c r="R512" s="2">
        <v>15</v>
      </c>
      <c r="S512">
        <v>1</v>
      </c>
      <c r="T512" t="s">
        <v>58</v>
      </c>
      <c r="U512" t="s">
        <v>59</v>
      </c>
      <c r="V512" s="3">
        <v>0.28999999999999998</v>
      </c>
      <c r="W512" s="2">
        <v>0</v>
      </c>
      <c r="X512">
        <v>0</v>
      </c>
      <c r="Y512" t="s">
        <v>60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4.3499999999999996</v>
      </c>
      <c r="AN512" s="2">
        <v>4.3499999999999996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45957</v>
      </c>
      <c r="B513" t="s">
        <v>48</v>
      </c>
      <c r="C513">
        <v>649163</v>
      </c>
      <c r="D513">
        <v>2024112404</v>
      </c>
      <c r="E513" t="s">
        <v>281</v>
      </c>
      <c r="F513" t="s">
        <v>282</v>
      </c>
      <c r="G513" t="s">
        <v>51</v>
      </c>
      <c r="H513" t="s">
        <v>52</v>
      </c>
      <c r="I513" t="s">
        <v>361</v>
      </c>
      <c r="J513" t="s">
        <v>402</v>
      </c>
      <c r="K513">
        <v>673059</v>
      </c>
      <c r="L513" t="s">
        <v>55</v>
      </c>
      <c r="M513" t="s">
        <v>56</v>
      </c>
      <c r="N513" t="s">
        <v>57</v>
      </c>
      <c r="O513" s="1">
        <v>45656</v>
      </c>
      <c r="Q513" s="1">
        <v>45991</v>
      </c>
      <c r="R513" s="2">
        <v>15</v>
      </c>
      <c r="S513">
        <v>1</v>
      </c>
      <c r="T513" t="s">
        <v>58</v>
      </c>
      <c r="U513" t="s">
        <v>59</v>
      </c>
      <c r="V513" s="3">
        <v>0.28999999999999998</v>
      </c>
      <c r="W513" s="2">
        <v>0</v>
      </c>
      <c r="X513">
        <v>0</v>
      </c>
      <c r="Y513" t="s">
        <v>60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4.3499999999999996</v>
      </c>
      <c r="AN513" s="2">
        <v>4.3499999999999996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45957</v>
      </c>
      <c r="B514" t="s">
        <v>48</v>
      </c>
      <c r="C514">
        <v>649163</v>
      </c>
      <c r="D514">
        <v>2024136820</v>
      </c>
      <c r="E514" t="s">
        <v>283</v>
      </c>
      <c r="F514" t="s">
        <v>284</v>
      </c>
      <c r="G514" t="s">
        <v>51</v>
      </c>
      <c r="H514" t="s">
        <v>52</v>
      </c>
      <c r="I514" t="s">
        <v>361</v>
      </c>
      <c r="J514" t="s">
        <v>402</v>
      </c>
      <c r="K514">
        <v>673059</v>
      </c>
      <c r="L514" t="s">
        <v>55</v>
      </c>
      <c r="M514" t="s">
        <v>56</v>
      </c>
      <c r="N514" t="s">
        <v>57</v>
      </c>
      <c r="O514" s="1">
        <v>45536</v>
      </c>
      <c r="Q514" s="1">
        <v>45992</v>
      </c>
      <c r="R514" s="2">
        <v>15</v>
      </c>
      <c r="S514">
        <v>1</v>
      </c>
      <c r="T514" t="s">
        <v>58</v>
      </c>
      <c r="U514" t="s">
        <v>59</v>
      </c>
      <c r="V514" s="3">
        <v>0.28999999999999998</v>
      </c>
      <c r="W514" s="2">
        <v>0</v>
      </c>
      <c r="X514">
        <v>0</v>
      </c>
      <c r="Y514" t="s">
        <v>264</v>
      </c>
      <c r="Z514" t="s">
        <v>61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4.3499999999999996</v>
      </c>
      <c r="AN514" s="2">
        <v>4.3499999999999996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45957</v>
      </c>
      <c r="B515" t="s">
        <v>48</v>
      </c>
      <c r="C515">
        <v>649163</v>
      </c>
      <c r="D515">
        <v>2024225542</v>
      </c>
      <c r="E515" t="s">
        <v>285</v>
      </c>
      <c r="F515" t="s">
        <v>286</v>
      </c>
      <c r="G515" t="s">
        <v>51</v>
      </c>
      <c r="H515" t="s">
        <v>287</v>
      </c>
      <c r="I515" t="s">
        <v>361</v>
      </c>
      <c r="J515" t="s">
        <v>402</v>
      </c>
      <c r="K515">
        <v>673059</v>
      </c>
      <c r="L515" t="s">
        <v>55</v>
      </c>
      <c r="M515" t="s">
        <v>56</v>
      </c>
      <c r="N515" t="s">
        <v>57</v>
      </c>
      <c r="O515" s="1">
        <v>45656</v>
      </c>
      <c r="Q515" s="1">
        <v>45991</v>
      </c>
      <c r="R515" s="2">
        <v>15</v>
      </c>
      <c r="S515">
        <v>1</v>
      </c>
      <c r="T515" t="s">
        <v>58</v>
      </c>
      <c r="U515" t="s">
        <v>59</v>
      </c>
      <c r="V515" s="3">
        <v>0.28999999999999998</v>
      </c>
      <c r="W515" s="2">
        <v>0</v>
      </c>
      <c r="X515">
        <v>0</v>
      </c>
      <c r="Y515" t="s">
        <v>60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4.3499999999999996</v>
      </c>
      <c r="AN515" s="2">
        <v>4.3499999999999996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45957</v>
      </c>
      <c r="B516" t="s">
        <v>48</v>
      </c>
      <c r="C516">
        <v>649163</v>
      </c>
      <c r="D516">
        <v>2024267554</v>
      </c>
      <c r="E516" t="s">
        <v>288</v>
      </c>
      <c r="F516" t="s">
        <v>66</v>
      </c>
      <c r="G516" t="s">
        <v>51</v>
      </c>
      <c r="H516" t="s">
        <v>52</v>
      </c>
      <c r="I516" t="s">
        <v>361</v>
      </c>
      <c r="J516" t="s">
        <v>402</v>
      </c>
      <c r="K516">
        <v>768887</v>
      </c>
      <c r="L516" t="s">
        <v>289</v>
      </c>
      <c r="M516" t="s">
        <v>290</v>
      </c>
      <c r="N516" t="s">
        <v>57</v>
      </c>
      <c r="O516" s="1">
        <v>45536</v>
      </c>
      <c r="Q516" s="1">
        <v>45992</v>
      </c>
      <c r="R516" s="2">
        <v>15</v>
      </c>
      <c r="S516">
        <v>1</v>
      </c>
      <c r="T516" t="s">
        <v>58</v>
      </c>
      <c r="U516" t="s">
        <v>59</v>
      </c>
      <c r="V516" s="3">
        <v>0.28999999999999998</v>
      </c>
      <c r="W516" s="2">
        <v>0</v>
      </c>
      <c r="X516">
        <v>0</v>
      </c>
      <c r="Y516" t="s">
        <v>264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4.3499999999999996</v>
      </c>
      <c r="AN516" s="2">
        <v>4.3499999999999996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45957</v>
      </c>
      <c r="B517" t="s">
        <v>48</v>
      </c>
      <c r="C517">
        <v>649163</v>
      </c>
      <c r="D517">
        <v>2024433919</v>
      </c>
      <c r="E517" t="s">
        <v>291</v>
      </c>
      <c r="F517" t="s">
        <v>292</v>
      </c>
      <c r="G517" t="s">
        <v>51</v>
      </c>
      <c r="H517" t="s">
        <v>293</v>
      </c>
      <c r="I517" t="s">
        <v>361</v>
      </c>
      <c r="J517" t="s">
        <v>402</v>
      </c>
      <c r="K517">
        <v>753748</v>
      </c>
      <c r="L517" t="s">
        <v>65</v>
      </c>
      <c r="M517" t="s">
        <v>66</v>
      </c>
      <c r="N517" t="s">
        <v>57</v>
      </c>
      <c r="O517" s="1">
        <v>45536</v>
      </c>
      <c r="Q517" s="1">
        <v>45992</v>
      </c>
      <c r="R517" s="2">
        <v>15</v>
      </c>
      <c r="S517">
        <v>1</v>
      </c>
      <c r="T517" t="s">
        <v>58</v>
      </c>
      <c r="U517" t="s">
        <v>59</v>
      </c>
      <c r="V517" s="3">
        <v>0.28999999999999998</v>
      </c>
      <c r="W517" s="2">
        <v>0</v>
      </c>
      <c r="X517">
        <v>0</v>
      </c>
      <c r="Y517" t="s">
        <v>264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4.3499999999999996</v>
      </c>
      <c r="AN517" s="2">
        <v>4.3499999999999996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45957</v>
      </c>
      <c r="B518" t="s">
        <v>48</v>
      </c>
      <c r="C518">
        <v>649163</v>
      </c>
      <c r="D518">
        <v>2024536863</v>
      </c>
      <c r="E518" t="s">
        <v>294</v>
      </c>
      <c r="F518" t="s">
        <v>295</v>
      </c>
      <c r="G518" t="s">
        <v>51</v>
      </c>
      <c r="H518" t="s">
        <v>52</v>
      </c>
      <c r="I518" t="s">
        <v>361</v>
      </c>
      <c r="J518" t="s">
        <v>402</v>
      </c>
      <c r="K518">
        <v>673059</v>
      </c>
      <c r="L518" t="s">
        <v>55</v>
      </c>
      <c r="M518" t="s">
        <v>56</v>
      </c>
      <c r="N518" t="s">
        <v>57</v>
      </c>
      <c r="O518" s="1">
        <v>45656</v>
      </c>
      <c r="Q518" s="1">
        <v>45991</v>
      </c>
      <c r="R518" s="2">
        <v>15</v>
      </c>
      <c r="S518">
        <v>1</v>
      </c>
      <c r="T518" t="s">
        <v>58</v>
      </c>
      <c r="U518" t="s">
        <v>59</v>
      </c>
      <c r="V518" s="3">
        <v>0.28999999999999998</v>
      </c>
      <c r="W518" s="2">
        <v>0</v>
      </c>
      <c r="X518">
        <v>0</v>
      </c>
      <c r="Y518" t="s">
        <v>60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4.3499999999999996</v>
      </c>
      <c r="AN518" s="2">
        <v>4.3499999999999996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45957</v>
      </c>
      <c r="B519" t="s">
        <v>48</v>
      </c>
      <c r="C519">
        <v>649163</v>
      </c>
      <c r="D519">
        <v>2024626405</v>
      </c>
      <c r="E519" t="s">
        <v>297</v>
      </c>
      <c r="F519" t="s">
        <v>296</v>
      </c>
      <c r="G519" t="s">
        <v>51</v>
      </c>
      <c r="H519" t="s">
        <v>293</v>
      </c>
      <c r="I519" t="s">
        <v>361</v>
      </c>
      <c r="J519" t="s">
        <v>402</v>
      </c>
      <c r="K519">
        <v>669316</v>
      </c>
      <c r="L519" t="s">
        <v>169</v>
      </c>
      <c r="M519" t="s">
        <v>170</v>
      </c>
      <c r="N519" t="s">
        <v>57</v>
      </c>
      <c r="O519" s="1">
        <v>45534</v>
      </c>
      <c r="Q519" s="1">
        <v>45991</v>
      </c>
      <c r="R519" s="2">
        <v>15</v>
      </c>
      <c r="S519">
        <v>1</v>
      </c>
      <c r="T519" t="s">
        <v>58</v>
      </c>
      <c r="U519" t="s">
        <v>59</v>
      </c>
      <c r="V519" s="3">
        <v>0.28999999999999998</v>
      </c>
      <c r="W519" s="2">
        <v>0</v>
      </c>
      <c r="X519">
        <v>0</v>
      </c>
      <c r="Y519" t="s">
        <v>264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4.3499999999999996</v>
      </c>
      <c r="AN519" s="2">
        <v>4.3499999999999996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45957</v>
      </c>
      <c r="B520" t="s">
        <v>48</v>
      </c>
      <c r="C520">
        <v>649163</v>
      </c>
      <c r="D520">
        <v>2024635212</v>
      </c>
      <c r="E520" t="s">
        <v>299</v>
      </c>
      <c r="F520" t="s">
        <v>300</v>
      </c>
      <c r="G520" t="s">
        <v>51</v>
      </c>
      <c r="H520" t="s">
        <v>52</v>
      </c>
      <c r="I520" t="s">
        <v>361</v>
      </c>
      <c r="J520" t="s">
        <v>402</v>
      </c>
      <c r="K520">
        <v>753748</v>
      </c>
      <c r="L520" t="s">
        <v>65</v>
      </c>
      <c r="M520" t="s">
        <v>66</v>
      </c>
      <c r="N520" t="s">
        <v>57</v>
      </c>
      <c r="O520" s="1">
        <v>45536</v>
      </c>
      <c r="Q520" s="1">
        <v>45992</v>
      </c>
      <c r="R520" s="2">
        <v>15</v>
      </c>
      <c r="S520">
        <v>1</v>
      </c>
      <c r="T520" t="s">
        <v>58</v>
      </c>
      <c r="U520" t="s">
        <v>59</v>
      </c>
      <c r="V520" s="3">
        <v>0.28999999999999998</v>
      </c>
      <c r="W520" s="2">
        <v>0</v>
      </c>
      <c r="X520">
        <v>0</v>
      </c>
      <c r="Y520" t="s">
        <v>264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4.3499999999999996</v>
      </c>
      <c r="AN520" s="2">
        <v>4.3499999999999996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45957</v>
      </c>
      <c r="B521" t="s">
        <v>48</v>
      </c>
      <c r="C521">
        <v>649163</v>
      </c>
      <c r="D521">
        <v>2025246361</v>
      </c>
      <c r="E521" t="s">
        <v>662</v>
      </c>
      <c r="F521" t="s">
        <v>663</v>
      </c>
      <c r="G521" t="s">
        <v>51</v>
      </c>
      <c r="H521" t="s">
        <v>195</v>
      </c>
      <c r="I521" t="s">
        <v>361</v>
      </c>
      <c r="J521" t="s">
        <v>362</v>
      </c>
      <c r="K521">
        <v>650218</v>
      </c>
      <c r="L521" t="s">
        <v>357</v>
      </c>
      <c r="M521" t="s">
        <v>358</v>
      </c>
      <c r="N521" t="s">
        <v>57</v>
      </c>
      <c r="O521" s="1">
        <v>45597</v>
      </c>
      <c r="Q521" s="1">
        <v>45992</v>
      </c>
      <c r="R521" s="2">
        <v>15</v>
      </c>
      <c r="S521">
        <v>1</v>
      </c>
      <c r="T521" t="s">
        <v>58</v>
      </c>
      <c r="U521" t="s">
        <v>59</v>
      </c>
      <c r="V521" s="3">
        <v>0.1</v>
      </c>
      <c r="W521" s="2">
        <v>0</v>
      </c>
      <c r="X521">
        <v>0</v>
      </c>
      <c r="Y521" t="s">
        <v>264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1.5</v>
      </c>
      <c r="AN521" s="2">
        <v>1.5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45957</v>
      </c>
      <c r="B522" t="s">
        <v>48</v>
      </c>
      <c r="C522">
        <v>649163</v>
      </c>
      <c r="D522">
        <v>2025320100</v>
      </c>
      <c r="E522" t="s">
        <v>666</v>
      </c>
      <c r="F522" t="s">
        <v>651</v>
      </c>
      <c r="G522" t="s">
        <v>51</v>
      </c>
      <c r="H522" t="s">
        <v>195</v>
      </c>
      <c r="I522" t="s">
        <v>361</v>
      </c>
      <c r="J522" t="s">
        <v>362</v>
      </c>
      <c r="K522">
        <v>650218</v>
      </c>
      <c r="L522" t="s">
        <v>357</v>
      </c>
      <c r="M522" t="s">
        <v>358</v>
      </c>
      <c r="N522" t="s">
        <v>57</v>
      </c>
      <c r="O522" s="1">
        <v>45597</v>
      </c>
      <c r="Q522" s="1">
        <v>45992</v>
      </c>
      <c r="R522" s="2">
        <v>15</v>
      </c>
      <c r="S522">
        <v>1</v>
      </c>
      <c r="T522" t="s">
        <v>58</v>
      </c>
      <c r="U522" t="s">
        <v>59</v>
      </c>
      <c r="V522" s="3">
        <v>0.1</v>
      </c>
      <c r="W522" s="2">
        <v>0</v>
      </c>
      <c r="X522">
        <v>0</v>
      </c>
      <c r="Y522" t="s">
        <v>264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1.5</v>
      </c>
      <c r="AN522" s="2">
        <v>1.5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45957</v>
      </c>
      <c r="B523" t="s">
        <v>48</v>
      </c>
      <c r="C523">
        <v>649163</v>
      </c>
      <c r="D523">
        <v>2025366543</v>
      </c>
      <c r="E523" t="s">
        <v>667</v>
      </c>
      <c r="F523" t="s">
        <v>668</v>
      </c>
      <c r="G523" t="s">
        <v>51</v>
      </c>
      <c r="H523" t="s">
        <v>234</v>
      </c>
      <c r="I523" t="s">
        <v>361</v>
      </c>
      <c r="J523" t="s">
        <v>362</v>
      </c>
      <c r="K523">
        <v>756418</v>
      </c>
      <c r="L523" t="s">
        <v>191</v>
      </c>
      <c r="M523" t="s">
        <v>192</v>
      </c>
      <c r="N523" t="s">
        <v>57</v>
      </c>
      <c r="O523" s="1">
        <v>45597</v>
      </c>
      <c r="Q523" s="1">
        <v>45992</v>
      </c>
      <c r="R523" s="2">
        <v>15</v>
      </c>
      <c r="S523">
        <v>1</v>
      </c>
      <c r="T523" t="s">
        <v>58</v>
      </c>
      <c r="U523" t="s">
        <v>59</v>
      </c>
      <c r="V523" s="3">
        <v>0.1</v>
      </c>
      <c r="W523" s="2">
        <v>0</v>
      </c>
      <c r="X523">
        <v>0</v>
      </c>
      <c r="Y523" t="s">
        <v>264</v>
      </c>
      <c r="Z523" t="s">
        <v>61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1.5</v>
      </c>
      <c r="AN523" s="2">
        <v>1.5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45957</v>
      </c>
      <c r="B524" t="s">
        <v>48</v>
      </c>
      <c r="C524">
        <v>649163</v>
      </c>
      <c r="D524">
        <v>2025541354</v>
      </c>
      <c r="E524" t="s">
        <v>672</v>
      </c>
      <c r="F524" t="s">
        <v>673</v>
      </c>
      <c r="G524" t="s">
        <v>51</v>
      </c>
      <c r="H524" t="s">
        <v>208</v>
      </c>
      <c r="I524" t="s">
        <v>361</v>
      </c>
      <c r="J524" t="s">
        <v>362</v>
      </c>
      <c r="K524">
        <v>650218</v>
      </c>
      <c r="L524" t="s">
        <v>357</v>
      </c>
      <c r="M524" t="s">
        <v>358</v>
      </c>
      <c r="N524" t="s">
        <v>57</v>
      </c>
      <c r="O524" s="1">
        <v>45597</v>
      </c>
      <c r="Q524" s="1">
        <v>45992</v>
      </c>
      <c r="R524" s="2">
        <v>15</v>
      </c>
      <c r="S524">
        <v>1</v>
      </c>
      <c r="T524" t="s">
        <v>58</v>
      </c>
      <c r="U524" t="s">
        <v>59</v>
      </c>
      <c r="V524" s="3">
        <v>0.1</v>
      </c>
      <c r="W524" s="2">
        <v>0</v>
      </c>
      <c r="X524">
        <v>0</v>
      </c>
      <c r="Y524" t="s">
        <v>264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1.5</v>
      </c>
      <c r="AN524" s="2">
        <v>1.5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45957</v>
      </c>
      <c r="B525" t="s">
        <v>48</v>
      </c>
      <c r="C525">
        <v>649163</v>
      </c>
      <c r="D525">
        <v>2025563320</v>
      </c>
      <c r="E525" t="s">
        <v>674</v>
      </c>
      <c r="F525" t="s">
        <v>675</v>
      </c>
      <c r="G525" t="s">
        <v>51</v>
      </c>
      <c r="H525" t="s">
        <v>78</v>
      </c>
      <c r="I525" t="s">
        <v>361</v>
      </c>
      <c r="J525" t="s">
        <v>362</v>
      </c>
      <c r="K525">
        <v>650218</v>
      </c>
      <c r="L525" t="s">
        <v>357</v>
      </c>
      <c r="M525" t="s">
        <v>358</v>
      </c>
      <c r="N525" t="s">
        <v>57</v>
      </c>
      <c r="O525" s="1">
        <v>45597</v>
      </c>
      <c r="Q525" s="1">
        <v>45992</v>
      </c>
      <c r="R525" s="2">
        <v>15</v>
      </c>
      <c r="S525">
        <v>1</v>
      </c>
      <c r="T525" t="s">
        <v>58</v>
      </c>
      <c r="U525" t="s">
        <v>59</v>
      </c>
      <c r="V525" s="3">
        <v>0.1</v>
      </c>
      <c r="W525" s="2">
        <v>0</v>
      </c>
      <c r="X525">
        <v>0</v>
      </c>
      <c r="Y525" t="s">
        <v>264</v>
      </c>
      <c r="Z525" t="s">
        <v>61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1.5</v>
      </c>
      <c r="AN525" s="2">
        <v>1.5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45957</v>
      </c>
      <c r="B526" t="s">
        <v>48</v>
      </c>
      <c r="C526">
        <v>649163</v>
      </c>
      <c r="D526">
        <v>2025967189</v>
      </c>
      <c r="E526" t="s">
        <v>547</v>
      </c>
      <c r="F526" t="s">
        <v>676</v>
      </c>
      <c r="G526" t="s">
        <v>51</v>
      </c>
      <c r="H526" t="s">
        <v>234</v>
      </c>
      <c r="I526" t="s">
        <v>361</v>
      </c>
      <c r="J526" t="s">
        <v>362</v>
      </c>
      <c r="K526">
        <v>756418</v>
      </c>
      <c r="L526" t="s">
        <v>191</v>
      </c>
      <c r="M526" t="s">
        <v>192</v>
      </c>
      <c r="N526" t="s">
        <v>57</v>
      </c>
      <c r="O526" s="1">
        <v>45626</v>
      </c>
      <c r="Q526" s="1">
        <v>45991</v>
      </c>
      <c r="R526" s="2">
        <v>15</v>
      </c>
      <c r="S526">
        <v>1</v>
      </c>
      <c r="T526" t="s">
        <v>58</v>
      </c>
      <c r="U526" t="s">
        <v>59</v>
      </c>
      <c r="V526" s="3">
        <v>0.38</v>
      </c>
      <c r="W526" s="2">
        <v>0</v>
      </c>
      <c r="X526">
        <v>0</v>
      </c>
      <c r="Y526" t="s">
        <v>60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5.7</v>
      </c>
      <c r="AN526" s="2">
        <v>5.7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45957</v>
      </c>
      <c r="B527" t="s">
        <v>48</v>
      </c>
      <c r="C527">
        <v>649163</v>
      </c>
      <c r="D527">
        <v>2026805534</v>
      </c>
      <c r="E527" t="s">
        <v>680</v>
      </c>
      <c r="F527" t="s">
        <v>681</v>
      </c>
      <c r="G527" t="s">
        <v>51</v>
      </c>
      <c r="H527" t="s">
        <v>165</v>
      </c>
      <c r="I527" t="s">
        <v>361</v>
      </c>
      <c r="J527" t="s">
        <v>362</v>
      </c>
      <c r="K527">
        <v>650218</v>
      </c>
      <c r="L527" t="s">
        <v>357</v>
      </c>
      <c r="M527" t="s">
        <v>358</v>
      </c>
      <c r="N527" t="s">
        <v>57</v>
      </c>
      <c r="O527" s="1">
        <v>45689</v>
      </c>
      <c r="Q527" s="1">
        <v>45992</v>
      </c>
      <c r="R527" s="2">
        <v>15</v>
      </c>
      <c r="S527">
        <v>1</v>
      </c>
      <c r="T527" t="s">
        <v>58</v>
      </c>
      <c r="U527" t="s">
        <v>59</v>
      </c>
      <c r="V527" s="3">
        <v>0.38</v>
      </c>
      <c r="W527" s="2">
        <v>0</v>
      </c>
      <c r="X527">
        <v>0</v>
      </c>
      <c r="Y527" t="s">
        <v>60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5.7</v>
      </c>
      <c r="AN527" s="2">
        <v>5.7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45957</v>
      </c>
      <c r="B528" t="s">
        <v>48</v>
      </c>
      <c r="C528">
        <v>649163</v>
      </c>
      <c r="D528">
        <v>2026812263</v>
      </c>
      <c r="E528" t="s">
        <v>682</v>
      </c>
      <c r="F528" t="s">
        <v>177</v>
      </c>
      <c r="G528" t="s">
        <v>51</v>
      </c>
      <c r="H528" t="s">
        <v>559</v>
      </c>
      <c r="I528" t="s">
        <v>361</v>
      </c>
      <c r="J528" t="s">
        <v>362</v>
      </c>
      <c r="K528">
        <v>650218</v>
      </c>
      <c r="L528" t="s">
        <v>357</v>
      </c>
      <c r="M528" t="s">
        <v>358</v>
      </c>
      <c r="N528" t="s">
        <v>57</v>
      </c>
      <c r="O528" s="1">
        <v>45689</v>
      </c>
      <c r="Q528" s="1">
        <v>45992</v>
      </c>
      <c r="R528" s="2">
        <v>15</v>
      </c>
      <c r="S528">
        <v>1</v>
      </c>
      <c r="T528" t="s">
        <v>58</v>
      </c>
      <c r="U528" t="s">
        <v>59</v>
      </c>
      <c r="V528" s="3">
        <v>0.38</v>
      </c>
      <c r="W528" s="2">
        <v>0</v>
      </c>
      <c r="X528">
        <v>0</v>
      </c>
      <c r="Y528" t="s">
        <v>60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5.7</v>
      </c>
      <c r="AN528" s="2">
        <v>5.7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45957</v>
      </c>
      <c r="B529" t="s">
        <v>48</v>
      </c>
      <c r="C529">
        <v>649163</v>
      </c>
      <c r="D529">
        <v>2027348182</v>
      </c>
      <c r="E529" t="s">
        <v>605</v>
      </c>
      <c r="F529" t="s">
        <v>543</v>
      </c>
      <c r="G529" t="s">
        <v>51</v>
      </c>
      <c r="H529" t="s">
        <v>69</v>
      </c>
      <c r="I529" t="s">
        <v>361</v>
      </c>
      <c r="J529" t="s">
        <v>430</v>
      </c>
      <c r="K529">
        <v>673059</v>
      </c>
      <c r="L529" t="s">
        <v>55</v>
      </c>
      <c r="M529" t="s">
        <v>56</v>
      </c>
      <c r="N529" t="s">
        <v>57</v>
      </c>
      <c r="O529" s="1">
        <v>45716</v>
      </c>
      <c r="Q529" s="1">
        <v>45989</v>
      </c>
      <c r="R529" s="2">
        <v>15</v>
      </c>
      <c r="S529">
        <v>1</v>
      </c>
      <c r="T529" t="s">
        <v>58</v>
      </c>
      <c r="U529" t="s">
        <v>59</v>
      </c>
      <c r="V529" s="3">
        <v>0.38</v>
      </c>
      <c r="W529" s="2">
        <v>0</v>
      </c>
      <c r="X529">
        <v>0</v>
      </c>
      <c r="Y529" t="s">
        <v>60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5.7</v>
      </c>
      <c r="AN529" s="2">
        <v>5.7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45957</v>
      </c>
      <c r="B530" t="s">
        <v>48</v>
      </c>
      <c r="C530">
        <v>649163</v>
      </c>
      <c r="D530">
        <v>2028899054</v>
      </c>
      <c r="E530" t="s">
        <v>691</v>
      </c>
      <c r="F530" t="s">
        <v>692</v>
      </c>
      <c r="G530" t="s">
        <v>51</v>
      </c>
      <c r="H530" t="s">
        <v>69</v>
      </c>
      <c r="I530" t="s">
        <v>361</v>
      </c>
      <c r="J530" t="s">
        <v>362</v>
      </c>
      <c r="K530">
        <v>820873</v>
      </c>
      <c r="L530" t="s">
        <v>447</v>
      </c>
      <c r="M530" t="s">
        <v>448</v>
      </c>
      <c r="N530" t="s">
        <v>57</v>
      </c>
      <c r="O530" s="1">
        <v>45809</v>
      </c>
      <c r="Q530" s="1">
        <v>45992</v>
      </c>
      <c r="R530" s="2">
        <v>15</v>
      </c>
      <c r="S530">
        <v>1</v>
      </c>
      <c r="T530" t="s">
        <v>58</v>
      </c>
      <c r="U530" t="s">
        <v>59</v>
      </c>
      <c r="V530" s="3">
        <v>0.38</v>
      </c>
      <c r="W530" s="2">
        <v>0</v>
      </c>
      <c r="X530">
        <v>0</v>
      </c>
      <c r="Y530" t="s">
        <v>60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5.7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45957</v>
      </c>
      <c r="B531" t="s">
        <v>48</v>
      </c>
      <c r="C531">
        <v>649163</v>
      </c>
      <c r="D531">
        <v>2029037970</v>
      </c>
      <c r="E531" t="s">
        <v>695</v>
      </c>
      <c r="F531" t="s">
        <v>99</v>
      </c>
      <c r="G531" t="s">
        <v>51</v>
      </c>
      <c r="H531" t="s">
        <v>696</v>
      </c>
      <c r="I531" t="s">
        <v>361</v>
      </c>
      <c r="J531" t="s">
        <v>362</v>
      </c>
      <c r="K531">
        <v>862109</v>
      </c>
      <c r="L531" t="s">
        <v>697</v>
      </c>
      <c r="M531" t="s">
        <v>698</v>
      </c>
      <c r="N531" t="s">
        <v>57</v>
      </c>
      <c r="O531" s="1">
        <v>45809</v>
      </c>
      <c r="Q531" s="1">
        <v>45992</v>
      </c>
      <c r="R531" s="2">
        <v>15</v>
      </c>
      <c r="S531">
        <v>1</v>
      </c>
      <c r="T531" t="s">
        <v>58</v>
      </c>
      <c r="U531" t="s">
        <v>59</v>
      </c>
      <c r="V531" s="3">
        <v>0.38</v>
      </c>
      <c r="W531" s="2">
        <v>0</v>
      </c>
      <c r="X531">
        <v>0</v>
      </c>
      <c r="Y531" t="s">
        <v>60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5.7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45957</v>
      </c>
      <c r="B532" t="s">
        <v>48</v>
      </c>
      <c r="C532">
        <v>649163</v>
      </c>
      <c r="D532">
        <v>2029056521</v>
      </c>
      <c r="E532" t="s">
        <v>699</v>
      </c>
      <c r="F532" t="s">
        <v>700</v>
      </c>
      <c r="G532" t="s">
        <v>51</v>
      </c>
      <c r="H532" t="s">
        <v>69</v>
      </c>
      <c r="I532" t="s">
        <v>361</v>
      </c>
      <c r="J532" t="s">
        <v>430</v>
      </c>
      <c r="K532">
        <v>820873</v>
      </c>
      <c r="L532" t="s">
        <v>447</v>
      </c>
      <c r="M532" t="s">
        <v>448</v>
      </c>
      <c r="N532" t="s">
        <v>57</v>
      </c>
      <c r="O532" s="1">
        <v>45809</v>
      </c>
      <c r="Q532" s="1">
        <v>45992</v>
      </c>
      <c r="R532" s="2">
        <v>15</v>
      </c>
      <c r="S532">
        <v>1</v>
      </c>
      <c r="T532" t="s">
        <v>58</v>
      </c>
      <c r="U532" t="s">
        <v>59</v>
      </c>
      <c r="V532" s="3">
        <v>0.38</v>
      </c>
      <c r="W532" s="2">
        <v>0</v>
      </c>
      <c r="X532">
        <v>0</v>
      </c>
      <c r="Y532" t="s">
        <v>60</v>
      </c>
      <c r="Z532" t="s">
        <v>61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5.7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45957</v>
      </c>
      <c r="B533" t="s">
        <v>48</v>
      </c>
      <c r="C533">
        <v>649163</v>
      </c>
      <c r="D533">
        <v>2029138758</v>
      </c>
      <c r="E533" t="s">
        <v>701</v>
      </c>
      <c r="F533" t="s">
        <v>702</v>
      </c>
      <c r="G533" t="s">
        <v>51</v>
      </c>
      <c r="H533" t="s">
        <v>287</v>
      </c>
      <c r="I533" t="s">
        <v>361</v>
      </c>
      <c r="J533" t="s">
        <v>362</v>
      </c>
      <c r="K533">
        <v>650218</v>
      </c>
      <c r="L533" t="s">
        <v>357</v>
      </c>
      <c r="M533" t="s">
        <v>358</v>
      </c>
      <c r="N533" t="s">
        <v>57</v>
      </c>
      <c r="O533" s="1">
        <v>45809</v>
      </c>
      <c r="Q533" s="1">
        <v>45992</v>
      </c>
      <c r="R533" s="2">
        <v>15</v>
      </c>
      <c r="S533">
        <v>1</v>
      </c>
      <c r="T533" t="s">
        <v>58</v>
      </c>
      <c r="U533" t="s">
        <v>59</v>
      </c>
      <c r="V533" s="3">
        <v>0.38</v>
      </c>
      <c r="W533" s="2">
        <v>0</v>
      </c>
      <c r="X533">
        <v>0</v>
      </c>
      <c r="Y533" t="s">
        <v>60</v>
      </c>
      <c r="Z533" t="s">
        <v>61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5.7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45957</v>
      </c>
      <c r="B534" t="s">
        <v>48</v>
      </c>
      <c r="C534">
        <v>649163</v>
      </c>
      <c r="D534">
        <v>2029145087</v>
      </c>
      <c r="E534" t="s">
        <v>703</v>
      </c>
      <c r="F534" t="s">
        <v>704</v>
      </c>
      <c r="G534" t="s">
        <v>51</v>
      </c>
      <c r="H534" t="s">
        <v>69</v>
      </c>
      <c r="I534" t="s">
        <v>361</v>
      </c>
      <c r="J534" t="s">
        <v>362</v>
      </c>
      <c r="K534">
        <v>766422</v>
      </c>
      <c r="L534" t="s">
        <v>335</v>
      </c>
      <c r="M534" t="s">
        <v>336</v>
      </c>
      <c r="N534" t="s">
        <v>57</v>
      </c>
      <c r="O534" s="1">
        <v>45805</v>
      </c>
      <c r="Q534" s="1">
        <v>45989</v>
      </c>
      <c r="R534" s="2">
        <v>15</v>
      </c>
      <c r="S534">
        <v>1</v>
      </c>
      <c r="T534" t="s">
        <v>58</v>
      </c>
      <c r="U534" t="s">
        <v>59</v>
      </c>
      <c r="V534" s="3">
        <v>0.38</v>
      </c>
      <c r="W534" s="2">
        <v>0</v>
      </c>
      <c r="X534">
        <v>0</v>
      </c>
      <c r="Y534" t="s">
        <v>60</v>
      </c>
      <c r="Z534" t="s">
        <v>61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5.7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45957</v>
      </c>
      <c r="B535" t="s">
        <v>48</v>
      </c>
      <c r="C535">
        <v>649163</v>
      </c>
      <c r="D535">
        <v>2029620631</v>
      </c>
      <c r="E535" t="s">
        <v>284</v>
      </c>
      <c r="F535" t="s">
        <v>705</v>
      </c>
      <c r="G535" t="s">
        <v>51</v>
      </c>
      <c r="H535" t="s">
        <v>69</v>
      </c>
      <c r="I535" t="s">
        <v>361</v>
      </c>
      <c r="J535" t="s">
        <v>430</v>
      </c>
      <c r="K535">
        <v>824062</v>
      </c>
      <c r="L535" t="s">
        <v>74</v>
      </c>
      <c r="M535" t="s">
        <v>75</v>
      </c>
      <c r="N535" t="s">
        <v>57</v>
      </c>
      <c r="O535" s="1">
        <v>45833</v>
      </c>
      <c r="Q535" s="1">
        <v>45986</v>
      </c>
      <c r="R535" s="2">
        <v>15</v>
      </c>
      <c r="S535">
        <v>1</v>
      </c>
      <c r="T535" t="s">
        <v>58</v>
      </c>
      <c r="U535" t="s">
        <v>59</v>
      </c>
      <c r="V535" s="3">
        <v>0.38</v>
      </c>
      <c r="W535" s="2">
        <v>0</v>
      </c>
      <c r="X535">
        <v>0</v>
      </c>
      <c r="Y535" t="s">
        <v>60</v>
      </c>
      <c r="Z535" t="s">
        <v>61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5.7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45957</v>
      </c>
      <c r="B536" t="s">
        <v>48</v>
      </c>
      <c r="C536">
        <v>649163</v>
      </c>
      <c r="D536">
        <v>2029623278</v>
      </c>
      <c r="E536" t="s">
        <v>106</v>
      </c>
      <c r="F536" t="s">
        <v>706</v>
      </c>
      <c r="G536" t="s">
        <v>51</v>
      </c>
      <c r="H536" t="s">
        <v>69</v>
      </c>
      <c r="I536" t="s">
        <v>361</v>
      </c>
      <c r="J536" t="s">
        <v>430</v>
      </c>
      <c r="K536">
        <v>840313</v>
      </c>
      <c r="L536" t="s">
        <v>159</v>
      </c>
      <c r="M536" t="s">
        <v>160</v>
      </c>
      <c r="N536" t="s">
        <v>57</v>
      </c>
      <c r="O536" s="1">
        <v>45833</v>
      </c>
      <c r="Q536" s="1">
        <v>45986</v>
      </c>
      <c r="R536" s="2">
        <v>15</v>
      </c>
      <c r="S536">
        <v>1</v>
      </c>
      <c r="T536" t="s">
        <v>58</v>
      </c>
      <c r="U536" t="s">
        <v>59</v>
      </c>
      <c r="V536" s="3">
        <v>0.38</v>
      </c>
      <c r="W536" s="2">
        <v>0</v>
      </c>
      <c r="X536">
        <v>0</v>
      </c>
      <c r="Y536" t="s">
        <v>60</v>
      </c>
      <c r="Z536" t="s">
        <v>61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5.7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45957</v>
      </c>
      <c r="B537" t="s">
        <v>48</v>
      </c>
      <c r="C537">
        <v>649163</v>
      </c>
      <c r="D537">
        <v>2030269156</v>
      </c>
      <c r="E537" t="s">
        <v>385</v>
      </c>
      <c r="F537" t="s">
        <v>386</v>
      </c>
      <c r="G537" t="s">
        <v>51</v>
      </c>
      <c r="H537" t="s">
        <v>78</v>
      </c>
      <c r="I537" t="s">
        <v>361</v>
      </c>
      <c r="J537" t="s">
        <v>362</v>
      </c>
      <c r="K537">
        <v>751867</v>
      </c>
      <c r="L537" t="s">
        <v>349</v>
      </c>
      <c r="M537" t="s">
        <v>312</v>
      </c>
      <c r="N537" t="s">
        <v>359</v>
      </c>
      <c r="O537" s="1">
        <v>45871</v>
      </c>
      <c r="P537" s="1">
        <v>45957</v>
      </c>
      <c r="Q537" s="1">
        <v>45963</v>
      </c>
      <c r="R537" s="2">
        <v>-5.81</v>
      </c>
      <c r="S537">
        <v>1</v>
      </c>
      <c r="T537" t="s">
        <v>58</v>
      </c>
      <c r="U537" t="s">
        <v>59</v>
      </c>
      <c r="V537" s="3">
        <v>0.38</v>
      </c>
      <c r="W537" s="2">
        <v>0</v>
      </c>
      <c r="X537">
        <v>-1</v>
      </c>
      <c r="Y537" t="s">
        <v>60</v>
      </c>
      <c r="Z537" t="s">
        <v>61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-2.21</v>
      </c>
      <c r="AN537" s="2">
        <v>-2.21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45957</v>
      </c>
      <c r="B538" t="s">
        <v>48</v>
      </c>
      <c r="C538">
        <v>649163</v>
      </c>
      <c r="D538">
        <v>2030439492</v>
      </c>
      <c r="E538" t="s">
        <v>84</v>
      </c>
      <c r="F538" t="s">
        <v>85</v>
      </c>
      <c r="G538" t="s">
        <v>51</v>
      </c>
      <c r="H538" t="s">
        <v>69</v>
      </c>
      <c r="I538" t="s">
        <v>361</v>
      </c>
      <c r="J538" t="s">
        <v>362</v>
      </c>
      <c r="K538">
        <v>673059</v>
      </c>
      <c r="L538" t="s">
        <v>55</v>
      </c>
      <c r="M538" t="s">
        <v>56</v>
      </c>
      <c r="N538" t="s">
        <v>57</v>
      </c>
      <c r="O538" s="1">
        <v>45901</v>
      </c>
      <c r="Q538" s="1">
        <v>45992</v>
      </c>
      <c r="R538" s="2">
        <v>15</v>
      </c>
      <c r="S538">
        <v>1</v>
      </c>
      <c r="T538" t="s">
        <v>58</v>
      </c>
      <c r="U538" t="s">
        <v>59</v>
      </c>
      <c r="V538" s="3">
        <v>0.38</v>
      </c>
      <c r="W538" s="2">
        <v>0</v>
      </c>
      <c r="X538">
        <v>0</v>
      </c>
      <c r="Y538" t="s">
        <v>60</v>
      </c>
      <c r="Z538" t="s">
        <v>61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5.7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45957</v>
      </c>
      <c r="B539" t="s">
        <v>48</v>
      </c>
      <c r="C539">
        <v>649163</v>
      </c>
      <c r="D539">
        <v>2030625306</v>
      </c>
      <c r="E539" t="s">
        <v>161</v>
      </c>
      <c r="F539" t="s">
        <v>162</v>
      </c>
      <c r="G539" t="s">
        <v>51</v>
      </c>
      <c r="H539" t="s">
        <v>69</v>
      </c>
      <c r="I539" t="s">
        <v>361</v>
      </c>
      <c r="J539" t="s">
        <v>430</v>
      </c>
      <c r="K539">
        <v>882035</v>
      </c>
      <c r="L539" t="s">
        <v>141</v>
      </c>
      <c r="M539" t="s">
        <v>142</v>
      </c>
      <c r="N539" t="s">
        <v>57</v>
      </c>
      <c r="O539" s="1">
        <v>45901</v>
      </c>
      <c r="Q539" s="1">
        <v>45992</v>
      </c>
      <c r="R539" s="2">
        <v>15</v>
      </c>
      <c r="S539">
        <v>1</v>
      </c>
      <c r="T539" t="s">
        <v>58</v>
      </c>
      <c r="U539" t="s">
        <v>59</v>
      </c>
      <c r="V539" s="3">
        <v>0.38</v>
      </c>
      <c r="W539" s="2">
        <v>0</v>
      </c>
      <c r="X539">
        <v>0</v>
      </c>
      <c r="Y539" t="s">
        <v>60</v>
      </c>
      <c r="Z539" t="s">
        <v>61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5.7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45957</v>
      </c>
      <c r="B540" t="s">
        <v>48</v>
      </c>
      <c r="C540">
        <v>649163</v>
      </c>
      <c r="D540">
        <v>2030627973</v>
      </c>
      <c r="E540" t="s">
        <v>707</v>
      </c>
      <c r="F540" t="s">
        <v>708</v>
      </c>
      <c r="G540" t="s">
        <v>51</v>
      </c>
      <c r="H540" t="s">
        <v>195</v>
      </c>
      <c r="I540" t="s">
        <v>361</v>
      </c>
      <c r="J540" t="s">
        <v>362</v>
      </c>
      <c r="K540">
        <v>885445</v>
      </c>
      <c r="L540" t="s">
        <v>196</v>
      </c>
      <c r="M540" t="s">
        <v>197</v>
      </c>
      <c r="N540" t="s">
        <v>57</v>
      </c>
      <c r="O540" s="1">
        <v>45901</v>
      </c>
      <c r="Q540" s="1">
        <v>45992</v>
      </c>
      <c r="R540" s="2">
        <v>15</v>
      </c>
      <c r="S540">
        <v>1</v>
      </c>
      <c r="T540" t="s">
        <v>58</v>
      </c>
      <c r="U540" t="s">
        <v>59</v>
      </c>
      <c r="V540" s="3">
        <v>0.38</v>
      </c>
      <c r="W540" s="2">
        <v>0</v>
      </c>
      <c r="X540">
        <v>0</v>
      </c>
      <c r="Y540" t="s">
        <v>60</v>
      </c>
      <c r="Z540" t="s">
        <v>61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5.7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45957</v>
      </c>
      <c r="B541" t="s">
        <v>48</v>
      </c>
      <c r="C541">
        <v>649163</v>
      </c>
      <c r="D541">
        <v>2030674188</v>
      </c>
      <c r="E541" t="s">
        <v>301</v>
      </c>
      <c r="F541" t="s">
        <v>302</v>
      </c>
      <c r="G541" t="s">
        <v>51</v>
      </c>
      <c r="H541" t="s">
        <v>129</v>
      </c>
      <c r="I541" t="s">
        <v>361</v>
      </c>
      <c r="J541" t="s">
        <v>817</v>
      </c>
      <c r="K541">
        <v>874230</v>
      </c>
      <c r="L541" t="s">
        <v>130</v>
      </c>
      <c r="M541" t="s">
        <v>131</v>
      </c>
      <c r="N541" t="s">
        <v>57</v>
      </c>
      <c r="O541" s="1">
        <v>45901</v>
      </c>
      <c r="Q541" s="1">
        <v>45992</v>
      </c>
      <c r="R541" s="2">
        <v>15</v>
      </c>
      <c r="S541">
        <v>1</v>
      </c>
      <c r="T541" t="s">
        <v>58</v>
      </c>
      <c r="U541" t="s">
        <v>59</v>
      </c>
      <c r="V541" s="3">
        <v>0.19</v>
      </c>
      <c r="W541" s="2">
        <v>0</v>
      </c>
      <c r="X541">
        <v>0</v>
      </c>
      <c r="Y541" t="s">
        <v>60</v>
      </c>
      <c r="Z541" t="s">
        <v>61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2.85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45957</v>
      </c>
      <c r="B542" t="s">
        <v>48</v>
      </c>
      <c r="C542">
        <v>649163</v>
      </c>
      <c r="D542">
        <v>2030691612</v>
      </c>
      <c r="E542" t="s">
        <v>303</v>
      </c>
      <c r="F542" t="s">
        <v>304</v>
      </c>
      <c r="G542" t="s">
        <v>51</v>
      </c>
      <c r="H542" t="s">
        <v>52</v>
      </c>
      <c r="I542" t="s">
        <v>361</v>
      </c>
      <c r="J542" t="s">
        <v>402</v>
      </c>
      <c r="K542">
        <v>673059</v>
      </c>
      <c r="L542" t="s">
        <v>55</v>
      </c>
      <c r="M542" t="s">
        <v>56</v>
      </c>
      <c r="N542" t="s">
        <v>57</v>
      </c>
      <c r="O542" s="1">
        <v>45901</v>
      </c>
      <c r="Q542" s="1">
        <v>45992</v>
      </c>
      <c r="R542" s="2">
        <v>15</v>
      </c>
      <c r="S542">
        <v>1</v>
      </c>
      <c r="T542" t="s">
        <v>58</v>
      </c>
      <c r="U542" t="s">
        <v>59</v>
      </c>
      <c r="V542" s="3">
        <v>0.28999999999999998</v>
      </c>
      <c r="W542" s="2">
        <v>0</v>
      </c>
      <c r="X542">
        <v>0</v>
      </c>
      <c r="Y542" t="s">
        <v>60</v>
      </c>
      <c r="Z542" t="s">
        <v>61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4.3499999999999996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45957</v>
      </c>
      <c r="B543" t="s">
        <v>48</v>
      </c>
      <c r="C543">
        <v>649163</v>
      </c>
      <c r="D543">
        <v>2030694349</v>
      </c>
      <c r="E543" t="s">
        <v>186</v>
      </c>
      <c r="F543" t="s">
        <v>187</v>
      </c>
      <c r="G543" t="s">
        <v>51</v>
      </c>
      <c r="H543" t="s">
        <v>129</v>
      </c>
      <c r="I543" t="s">
        <v>361</v>
      </c>
      <c r="J543" t="s">
        <v>817</v>
      </c>
      <c r="K543">
        <v>874230</v>
      </c>
      <c r="L543" t="s">
        <v>130</v>
      </c>
      <c r="M543" t="s">
        <v>131</v>
      </c>
      <c r="N543" t="s">
        <v>57</v>
      </c>
      <c r="O543" s="1">
        <v>45901</v>
      </c>
      <c r="Q543" s="1">
        <v>45992</v>
      </c>
      <c r="R543" s="2">
        <v>15</v>
      </c>
      <c r="S543">
        <v>1</v>
      </c>
      <c r="T543" t="s">
        <v>58</v>
      </c>
      <c r="U543" t="s">
        <v>59</v>
      </c>
      <c r="V543" s="3">
        <v>0.19</v>
      </c>
      <c r="W543" s="2">
        <v>0</v>
      </c>
      <c r="X543">
        <v>0</v>
      </c>
      <c r="Y543" t="s">
        <v>60</v>
      </c>
      <c r="Z543" t="s">
        <v>61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2.85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45957</v>
      </c>
      <c r="B544" t="s">
        <v>48</v>
      </c>
      <c r="C544">
        <v>649163</v>
      </c>
      <c r="D544">
        <v>2030711963</v>
      </c>
      <c r="E544" t="s">
        <v>818</v>
      </c>
      <c r="F544" t="s">
        <v>819</v>
      </c>
      <c r="G544" t="s">
        <v>51</v>
      </c>
      <c r="H544" t="s">
        <v>52</v>
      </c>
      <c r="I544" t="s">
        <v>361</v>
      </c>
      <c r="J544" t="s">
        <v>402</v>
      </c>
      <c r="K544">
        <v>856824</v>
      </c>
      <c r="L544" t="s">
        <v>175</v>
      </c>
      <c r="M544" t="s">
        <v>176</v>
      </c>
      <c r="N544" t="s">
        <v>57</v>
      </c>
      <c r="O544" s="1">
        <v>45901</v>
      </c>
      <c r="Q544" s="1">
        <v>45992</v>
      </c>
      <c r="R544" s="2">
        <v>15</v>
      </c>
      <c r="S544">
        <v>1</v>
      </c>
      <c r="T544" t="s">
        <v>58</v>
      </c>
      <c r="U544" t="s">
        <v>59</v>
      </c>
      <c r="V544" s="3">
        <v>0.28999999999999998</v>
      </c>
      <c r="W544" s="2">
        <v>0</v>
      </c>
      <c r="X544">
        <v>0</v>
      </c>
      <c r="Y544" t="s">
        <v>60</v>
      </c>
      <c r="Z544" t="s">
        <v>61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4.3499999999999996</v>
      </c>
      <c r="AN544" s="2">
        <v>4.3499999999999996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45957</v>
      </c>
      <c r="B545" t="s">
        <v>48</v>
      </c>
      <c r="C545">
        <v>649163</v>
      </c>
      <c r="D545">
        <v>2030722442</v>
      </c>
      <c r="E545" t="s">
        <v>305</v>
      </c>
      <c r="F545" t="s">
        <v>306</v>
      </c>
      <c r="G545" t="s">
        <v>51</v>
      </c>
      <c r="H545" t="s">
        <v>261</v>
      </c>
      <c r="I545" t="s">
        <v>361</v>
      </c>
      <c r="J545" t="s">
        <v>402</v>
      </c>
      <c r="K545">
        <v>812994</v>
      </c>
      <c r="L545" t="s">
        <v>228</v>
      </c>
      <c r="M545" t="s">
        <v>229</v>
      </c>
      <c r="N545" t="s">
        <v>57</v>
      </c>
      <c r="O545" s="1">
        <v>45897</v>
      </c>
      <c r="Q545" s="1">
        <v>45989</v>
      </c>
      <c r="R545" s="2">
        <v>15</v>
      </c>
      <c r="S545">
        <v>1</v>
      </c>
      <c r="T545" t="s">
        <v>58</v>
      </c>
      <c r="U545" t="s">
        <v>59</v>
      </c>
      <c r="V545" s="3">
        <v>0.28999999999999998</v>
      </c>
      <c r="W545" s="2">
        <v>0</v>
      </c>
      <c r="X545">
        <v>0</v>
      </c>
      <c r="Y545" t="s">
        <v>60</v>
      </c>
      <c r="Z545" t="s">
        <v>61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4.3499999999999996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45957</v>
      </c>
      <c r="B546" t="s">
        <v>48</v>
      </c>
      <c r="C546">
        <v>649163</v>
      </c>
      <c r="D546">
        <v>2030762532</v>
      </c>
      <c r="E546" t="s">
        <v>209</v>
      </c>
      <c r="F546" t="s">
        <v>210</v>
      </c>
      <c r="G546" t="s">
        <v>51</v>
      </c>
      <c r="H546" t="s">
        <v>129</v>
      </c>
      <c r="I546" t="s">
        <v>361</v>
      </c>
      <c r="J546" t="s">
        <v>817</v>
      </c>
      <c r="K546">
        <v>888536</v>
      </c>
      <c r="L546" t="s">
        <v>211</v>
      </c>
      <c r="M546" t="s">
        <v>212</v>
      </c>
      <c r="N546" t="s">
        <v>57</v>
      </c>
      <c r="O546" s="1">
        <v>45899</v>
      </c>
      <c r="Q546" s="1">
        <v>45991</v>
      </c>
      <c r="R546" s="2">
        <v>15</v>
      </c>
      <c r="S546">
        <v>1</v>
      </c>
      <c r="T546" t="s">
        <v>58</v>
      </c>
      <c r="U546" t="s">
        <v>59</v>
      </c>
      <c r="V546" s="3">
        <v>0.19</v>
      </c>
      <c r="W546" s="2">
        <v>0</v>
      </c>
      <c r="X546">
        <v>0</v>
      </c>
      <c r="Y546" t="s">
        <v>60</v>
      </c>
      <c r="Z546" t="s">
        <v>61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2.85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45957</v>
      </c>
      <c r="B547" t="s">
        <v>48</v>
      </c>
      <c r="C547">
        <v>649163</v>
      </c>
      <c r="D547">
        <v>2030801812</v>
      </c>
      <c r="E547" t="s">
        <v>232</v>
      </c>
      <c r="F547" t="s">
        <v>233</v>
      </c>
      <c r="G547" t="s">
        <v>51</v>
      </c>
      <c r="H547" t="s">
        <v>234</v>
      </c>
      <c r="I547" t="s">
        <v>361</v>
      </c>
      <c r="J547" t="s">
        <v>820</v>
      </c>
      <c r="K547">
        <v>652037</v>
      </c>
      <c r="L547" t="s">
        <v>155</v>
      </c>
      <c r="M547" t="s">
        <v>156</v>
      </c>
      <c r="N547" t="s">
        <v>57</v>
      </c>
      <c r="O547" s="1">
        <v>45901</v>
      </c>
      <c r="Q547" s="1">
        <v>45992</v>
      </c>
      <c r="R547" s="2">
        <v>23.05</v>
      </c>
      <c r="S547">
        <v>1</v>
      </c>
      <c r="T547" t="s">
        <v>58</v>
      </c>
      <c r="U547" t="s">
        <v>59</v>
      </c>
      <c r="V547" s="3">
        <v>0.6</v>
      </c>
      <c r="W547" s="2">
        <v>0</v>
      </c>
      <c r="X547">
        <v>0</v>
      </c>
      <c r="Y547" t="s">
        <v>60</v>
      </c>
      <c r="Z547" t="s">
        <v>61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13.83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45957</v>
      </c>
      <c r="B548" t="s">
        <v>48</v>
      </c>
      <c r="C548">
        <v>649163</v>
      </c>
      <c r="D548">
        <v>2031255011</v>
      </c>
      <c r="E548" t="s">
        <v>253</v>
      </c>
      <c r="F548" t="s">
        <v>254</v>
      </c>
      <c r="G548" t="s">
        <v>51</v>
      </c>
      <c r="H548" t="s">
        <v>69</v>
      </c>
      <c r="I548" t="s">
        <v>361</v>
      </c>
      <c r="J548" t="s">
        <v>430</v>
      </c>
      <c r="K548">
        <v>812994</v>
      </c>
      <c r="L548" t="s">
        <v>228</v>
      </c>
      <c r="M548" t="s">
        <v>229</v>
      </c>
      <c r="N548" t="s">
        <v>57</v>
      </c>
      <c r="O548" s="1">
        <v>45925</v>
      </c>
      <c r="Q548" s="1">
        <v>45986</v>
      </c>
      <c r="R548" s="2">
        <v>15</v>
      </c>
      <c r="S548">
        <v>1</v>
      </c>
      <c r="T548" t="s">
        <v>58</v>
      </c>
      <c r="U548" t="s">
        <v>431</v>
      </c>
      <c r="V548" s="3">
        <v>0.38</v>
      </c>
      <c r="W548" s="2">
        <v>0</v>
      </c>
      <c r="X548">
        <v>0</v>
      </c>
      <c r="Y548" t="s">
        <v>60</v>
      </c>
      <c r="Z548" t="s">
        <v>61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5.7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45957</v>
      </c>
      <c r="B549" t="s">
        <v>48</v>
      </c>
      <c r="C549">
        <v>649163</v>
      </c>
      <c r="D549">
        <v>2031693394</v>
      </c>
      <c r="E549" t="s">
        <v>400</v>
      </c>
      <c r="F549" t="s">
        <v>401</v>
      </c>
      <c r="G549" t="s">
        <v>51</v>
      </c>
      <c r="H549" t="s">
        <v>165</v>
      </c>
      <c r="I549" t="s">
        <v>361</v>
      </c>
      <c r="J549" t="s">
        <v>402</v>
      </c>
      <c r="K549">
        <v>823350</v>
      </c>
      <c r="L549" t="s">
        <v>70</v>
      </c>
      <c r="M549" t="s">
        <v>183</v>
      </c>
      <c r="N549" t="s">
        <v>359</v>
      </c>
      <c r="O549" s="1">
        <v>45948</v>
      </c>
      <c r="P549" s="1">
        <v>45957</v>
      </c>
      <c r="Q549" s="1">
        <v>45979</v>
      </c>
      <c r="R549" s="2">
        <v>-15</v>
      </c>
      <c r="S549">
        <v>1</v>
      </c>
      <c r="T549" t="s">
        <v>58</v>
      </c>
      <c r="U549" t="s">
        <v>476</v>
      </c>
      <c r="V549" s="3">
        <v>0.28999999999999998</v>
      </c>
      <c r="W549" s="2">
        <v>0</v>
      </c>
      <c r="X549">
        <v>-1</v>
      </c>
      <c r="Y549" t="s">
        <v>60</v>
      </c>
      <c r="Z549" t="s">
        <v>61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-4.3499999999999996</v>
      </c>
      <c r="AN549" s="2">
        <v>-4.3499999999999996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45957</v>
      </c>
      <c r="B550" t="s">
        <v>48</v>
      </c>
      <c r="C550">
        <v>649163</v>
      </c>
      <c r="D550">
        <v>2016328595</v>
      </c>
      <c r="E550" t="s">
        <v>558</v>
      </c>
      <c r="F550" t="s">
        <v>342</v>
      </c>
      <c r="G550" t="s">
        <v>51</v>
      </c>
      <c r="H550" t="s">
        <v>559</v>
      </c>
      <c r="I550" t="s">
        <v>378</v>
      </c>
      <c r="J550" t="s">
        <v>379</v>
      </c>
      <c r="K550">
        <v>651818</v>
      </c>
      <c r="L550" t="s">
        <v>560</v>
      </c>
      <c r="M550" t="s">
        <v>336</v>
      </c>
      <c r="N550" t="s">
        <v>57</v>
      </c>
      <c r="O550" s="1">
        <v>44829</v>
      </c>
      <c r="Q550" s="1">
        <v>45986</v>
      </c>
      <c r="R550" s="2">
        <v>42.47</v>
      </c>
      <c r="S550">
        <v>1</v>
      </c>
      <c r="T550" t="s">
        <v>58</v>
      </c>
      <c r="U550" t="s">
        <v>59</v>
      </c>
      <c r="V550" s="3">
        <v>0.06</v>
      </c>
      <c r="W550" s="2">
        <v>0</v>
      </c>
      <c r="X550">
        <v>0</v>
      </c>
      <c r="Y550" t="s">
        <v>264</v>
      </c>
      <c r="Z550" t="s">
        <v>61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2.5499999999999998</v>
      </c>
      <c r="AN550" s="2">
        <v>2.5499999999999998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45957</v>
      </c>
      <c r="B551" t="s">
        <v>48</v>
      </c>
      <c r="C551">
        <v>649163</v>
      </c>
      <c r="D551">
        <v>2016956446</v>
      </c>
      <c r="E551" t="s">
        <v>715</v>
      </c>
      <c r="F551" t="s">
        <v>98</v>
      </c>
      <c r="G551" t="s">
        <v>51</v>
      </c>
      <c r="H551" t="s">
        <v>52</v>
      </c>
      <c r="I551" t="s">
        <v>378</v>
      </c>
      <c r="J551" t="s">
        <v>379</v>
      </c>
      <c r="K551">
        <v>649793</v>
      </c>
      <c r="L551" t="s">
        <v>55</v>
      </c>
      <c r="M551" t="s">
        <v>566</v>
      </c>
      <c r="N551" t="s">
        <v>57</v>
      </c>
      <c r="O551" s="1">
        <v>44958</v>
      </c>
      <c r="Q551" s="1">
        <v>45992</v>
      </c>
      <c r="R551" s="2">
        <v>136.49</v>
      </c>
      <c r="S551">
        <v>1</v>
      </c>
      <c r="T551" t="s">
        <v>58</v>
      </c>
      <c r="U551" t="s">
        <v>59</v>
      </c>
      <c r="V551" s="3">
        <v>0.06</v>
      </c>
      <c r="W551" s="2">
        <v>0</v>
      </c>
      <c r="X551">
        <v>0</v>
      </c>
      <c r="Y551" t="s">
        <v>264</v>
      </c>
      <c r="Z551" t="s">
        <v>61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8.19</v>
      </c>
      <c r="AN551" s="2">
        <v>8.19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45957</v>
      </c>
      <c r="B552" t="s">
        <v>48</v>
      </c>
      <c r="C552">
        <v>649163</v>
      </c>
      <c r="D552">
        <v>2017340031</v>
      </c>
      <c r="E552" t="s">
        <v>484</v>
      </c>
      <c r="F552" t="s">
        <v>415</v>
      </c>
      <c r="G552" t="s">
        <v>51</v>
      </c>
      <c r="H552" t="s">
        <v>195</v>
      </c>
      <c r="I552" t="s">
        <v>378</v>
      </c>
      <c r="J552" t="s">
        <v>379</v>
      </c>
      <c r="K552">
        <v>652037</v>
      </c>
      <c r="L552" t="s">
        <v>155</v>
      </c>
      <c r="M552" t="s">
        <v>156</v>
      </c>
      <c r="N552" t="s">
        <v>57</v>
      </c>
      <c r="O552" s="1">
        <v>44958</v>
      </c>
      <c r="Q552" s="1">
        <v>45992</v>
      </c>
      <c r="R552" s="2">
        <v>89</v>
      </c>
      <c r="S552">
        <v>1</v>
      </c>
      <c r="T552" t="s">
        <v>58</v>
      </c>
      <c r="U552" t="s">
        <v>59</v>
      </c>
      <c r="V552" s="3">
        <v>0.06</v>
      </c>
      <c r="W552" s="2">
        <v>0</v>
      </c>
      <c r="X552">
        <v>0</v>
      </c>
      <c r="Y552" t="s">
        <v>264</v>
      </c>
      <c r="Z552" t="s">
        <v>61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5.34</v>
      </c>
      <c r="AN552" s="2">
        <v>5.34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45957</v>
      </c>
      <c r="B553" t="s">
        <v>48</v>
      </c>
      <c r="C553">
        <v>649163</v>
      </c>
      <c r="D553">
        <v>2017377178</v>
      </c>
      <c r="E553" t="s">
        <v>331</v>
      </c>
      <c r="F553" t="s">
        <v>821</v>
      </c>
      <c r="G553" t="s">
        <v>51</v>
      </c>
      <c r="H553" t="s">
        <v>69</v>
      </c>
      <c r="I553" t="s">
        <v>378</v>
      </c>
      <c r="J553" t="s">
        <v>379</v>
      </c>
      <c r="K553">
        <v>651818</v>
      </c>
      <c r="L553" t="s">
        <v>560</v>
      </c>
      <c r="M553" t="s">
        <v>336</v>
      </c>
      <c r="N553" t="s">
        <v>57</v>
      </c>
      <c r="O553" s="1">
        <v>44958</v>
      </c>
      <c r="Q553" s="1">
        <v>45992</v>
      </c>
      <c r="R553" s="2">
        <v>45.2</v>
      </c>
      <c r="S553">
        <v>1</v>
      </c>
      <c r="T553" t="s">
        <v>58</v>
      </c>
      <c r="U553" t="s">
        <v>59</v>
      </c>
      <c r="V553" s="3">
        <v>0.06</v>
      </c>
      <c r="W553" s="2">
        <v>0</v>
      </c>
      <c r="X553">
        <v>0</v>
      </c>
      <c r="Y553" t="s">
        <v>264</v>
      </c>
      <c r="Z553" t="s">
        <v>61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2.71</v>
      </c>
      <c r="AN553" s="2">
        <v>2.71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45957</v>
      </c>
      <c r="B554" t="s">
        <v>48</v>
      </c>
      <c r="C554">
        <v>649163</v>
      </c>
      <c r="D554">
        <v>2017416713</v>
      </c>
      <c r="E554" t="s">
        <v>722</v>
      </c>
      <c r="F554" t="s">
        <v>723</v>
      </c>
      <c r="G554" t="s">
        <v>51</v>
      </c>
      <c r="H554" t="s">
        <v>261</v>
      </c>
      <c r="I554" t="s">
        <v>378</v>
      </c>
      <c r="J554" t="s">
        <v>379</v>
      </c>
      <c r="K554">
        <v>649793</v>
      </c>
      <c r="L554" t="s">
        <v>55</v>
      </c>
      <c r="M554" t="s">
        <v>566</v>
      </c>
      <c r="N554" t="s">
        <v>57</v>
      </c>
      <c r="O554" s="1">
        <v>44958</v>
      </c>
      <c r="Q554" s="1">
        <v>45992</v>
      </c>
      <c r="R554" s="2">
        <v>17.21</v>
      </c>
      <c r="S554">
        <v>1</v>
      </c>
      <c r="T554" t="s">
        <v>58</v>
      </c>
      <c r="U554" t="s">
        <v>59</v>
      </c>
      <c r="V554" s="3">
        <v>0.06</v>
      </c>
      <c r="W554" s="2">
        <v>0</v>
      </c>
      <c r="X554">
        <v>0</v>
      </c>
      <c r="Y554" t="s">
        <v>264</v>
      </c>
      <c r="Z554" t="s">
        <v>61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1.03</v>
      </c>
      <c r="AN554" s="2">
        <v>1.03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45957</v>
      </c>
      <c r="B555" t="s">
        <v>48</v>
      </c>
      <c r="C555">
        <v>649163</v>
      </c>
      <c r="D555">
        <v>2017420306</v>
      </c>
      <c r="E555" t="s">
        <v>724</v>
      </c>
      <c r="F555" t="s">
        <v>537</v>
      </c>
      <c r="G555" t="s">
        <v>51</v>
      </c>
      <c r="H555" t="s">
        <v>52</v>
      </c>
      <c r="I555" t="s">
        <v>378</v>
      </c>
      <c r="J555" t="s">
        <v>379</v>
      </c>
      <c r="K555">
        <v>649793</v>
      </c>
      <c r="L555" t="s">
        <v>55</v>
      </c>
      <c r="M555" t="s">
        <v>566</v>
      </c>
      <c r="N555" t="s">
        <v>57</v>
      </c>
      <c r="O555" s="1">
        <v>44958</v>
      </c>
      <c r="Q555" s="1">
        <v>45992</v>
      </c>
      <c r="R555" s="2">
        <v>52.62</v>
      </c>
      <c r="S555">
        <v>1</v>
      </c>
      <c r="T555" t="s">
        <v>58</v>
      </c>
      <c r="U555" t="s">
        <v>59</v>
      </c>
      <c r="V555" s="3">
        <v>0.06</v>
      </c>
      <c r="W555" s="2">
        <v>0</v>
      </c>
      <c r="X555">
        <v>0</v>
      </c>
      <c r="Y555" t="s">
        <v>264</v>
      </c>
      <c r="Z555" t="s">
        <v>61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3.16</v>
      </c>
      <c r="AN555" s="2">
        <v>3.16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45957</v>
      </c>
      <c r="B556" t="s">
        <v>48</v>
      </c>
      <c r="C556">
        <v>649163</v>
      </c>
      <c r="D556">
        <v>2017521116</v>
      </c>
      <c r="E556" t="s">
        <v>725</v>
      </c>
      <c r="F556" t="s">
        <v>726</v>
      </c>
      <c r="G556" t="s">
        <v>51</v>
      </c>
      <c r="H556" t="s">
        <v>182</v>
      </c>
      <c r="I556" t="s">
        <v>378</v>
      </c>
      <c r="J556" t="s">
        <v>379</v>
      </c>
      <c r="K556">
        <v>649793</v>
      </c>
      <c r="L556" t="s">
        <v>55</v>
      </c>
      <c r="M556" t="s">
        <v>566</v>
      </c>
      <c r="N556" t="s">
        <v>57</v>
      </c>
      <c r="O556" s="1">
        <v>44958</v>
      </c>
      <c r="Q556" s="1">
        <v>45992</v>
      </c>
      <c r="R556" s="2">
        <v>40.65</v>
      </c>
      <c r="S556">
        <v>1</v>
      </c>
      <c r="T556" t="s">
        <v>58</v>
      </c>
      <c r="U556" t="s">
        <v>59</v>
      </c>
      <c r="V556" s="3">
        <v>0.06</v>
      </c>
      <c r="W556" s="2">
        <v>0</v>
      </c>
      <c r="X556">
        <v>0</v>
      </c>
      <c r="Y556" t="s">
        <v>264</v>
      </c>
      <c r="Z556" t="s">
        <v>61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2.44</v>
      </c>
      <c r="AN556" s="2">
        <v>2.44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45957</v>
      </c>
      <c r="B557" t="s">
        <v>48</v>
      </c>
      <c r="C557">
        <v>649163</v>
      </c>
      <c r="D557">
        <v>2018032129</v>
      </c>
      <c r="E557" t="s">
        <v>822</v>
      </c>
      <c r="F557" t="s">
        <v>568</v>
      </c>
      <c r="G557" t="s">
        <v>51</v>
      </c>
      <c r="H557" t="s">
        <v>195</v>
      </c>
      <c r="I557" t="s">
        <v>378</v>
      </c>
      <c r="J557" t="s">
        <v>379</v>
      </c>
      <c r="K557">
        <v>649247</v>
      </c>
      <c r="L557" t="s">
        <v>321</v>
      </c>
      <c r="M557" t="s">
        <v>322</v>
      </c>
      <c r="N557" t="s">
        <v>57</v>
      </c>
      <c r="O557" s="1">
        <v>45017</v>
      </c>
      <c r="Q557" s="1">
        <v>45992</v>
      </c>
      <c r="R557" s="2">
        <v>49.98</v>
      </c>
      <c r="S557">
        <v>1</v>
      </c>
      <c r="T557" t="s">
        <v>58</v>
      </c>
      <c r="U557" t="s">
        <v>59</v>
      </c>
      <c r="V557" s="3">
        <v>0.06</v>
      </c>
      <c r="W557" s="2">
        <v>0</v>
      </c>
      <c r="X557">
        <v>0</v>
      </c>
      <c r="Y557" t="s">
        <v>264</v>
      </c>
      <c r="Z557" t="s">
        <v>61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3</v>
      </c>
      <c r="AN557" s="2">
        <v>3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45957</v>
      </c>
      <c r="B558" t="s">
        <v>48</v>
      </c>
      <c r="C558">
        <v>649163</v>
      </c>
      <c r="D558">
        <v>2018114568</v>
      </c>
      <c r="E558" t="s">
        <v>823</v>
      </c>
      <c r="F558" t="s">
        <v>792</v>
      </c>
      <c r="G558" t="s">
        <v>51</v>
      </c>
      <c r="H558" t="s">
        <v>195</v>
      </c>
      <c r="I558" t="s">
        <v>378</v>
      </c>
      <c r="J558" t="s">
        <v>379</v>
      </c>
      <c r="K558">
        <v>649247</v>
      </c>
      <c r="L558" t="s">
        <v>321</v>
      </c>
      <c r="M558" t="s">
        <v>322</v>
      </c>
      <c r="N558" t="s">
        <v>57</v>
      </c>
      <c r="O558" s="1">
        <v>45017</v>
      </c>
      <c r="Q558" s="1">
        <v>45992</v>
      </c>
      <c r="R558" s="2">
        <v>15.88</v>
      </c>
      <c r="S558">
        <v>1</v>
      </c>
      <c r="T558" t="s">
        <v>58</v>
      </c>
      <c r="U558" t="s">
        <v>59</v>
      </c>
      <c r="V558" s="3">
        <v>0.06</v>
      </c>
      <c r="W558" s="2">
        <v>0</v>
      </c>
      <c r="X558">
        <v>0</v>
      </c>
      <c r="Y558" t="s">
        <v>264</v>
      </c>
      <c r="Z558" t="s">
        <v>61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0.95</v>
      </c>
      <c r="AN558" s="2">
        <v>0.95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45957</v>
      </c>
      <c r="B559" t="s">
        <v>48</v>
      </c>
      <c r="C559">
        <v>649163</v>
      </c>
      <c r="D559">
        <v>2018491279</v>
      </c>
      <c r="E559" t="s">
        <v>824</v>
      </c>
      <c r="F559" t="s">
        <v>232</v>
      </c>
      <c r="G559" t="s">
        <v>51</v>
      </c>
      <c r="H559" t="s">
        <v>195</v>
      </c>
      <c r="I559" t="s">
        <v>378</v>
      </c>
      <c r="J559" t="s">
        <v>379</v>
      </c>
      <c r="K559">
        <v>678320</v>
      </c>
      <c r="L559" t="s">
        <v>317</v>
      </c>
      <c r="M559" t="s">
        <v>318</v>
      </c>
      <c r="N559" t="s">
        <v>57</v>
      </c>
      <c r="O559" s="1">
        <v>45046</v>
      </c>
      <c r="Q559" s="1">
        <v>45991</v>
      </c>
      <c r="R559" s="2">
        <v>101.58</v>
      </c>
      <c r="S559">
        <v>1</v>
      </c>
      <c r="T559" t="s">
        <v>58</v>
      </c>
      <c r="U559" t="s">
        <v>59</v>
      </c>
      <c r="V559" s="3">
        <v>0.06</v>
      </c>
      <c r="W559" s="2">
        <v>0</v>
      </c>
      <c r="X559">
        <v>0</v>
      </c>
      <c r="Y559" t="s">
        <v>264</v>
      </c>
      <c r="Z559" t="s">
        <v>61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6.09</v>
      </c>
      <c r="AN559" s="2">
        <v>6.09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45957</v>
      </c>
      <c r="B560" t="s">
        <v>48</v>
      </c>
      <c r="C560">
        <v>649163</v>
      </c>
      <c r="D560">
        <v>2018749140</v>
      </c>
      <c r="E560" t="s">
        <v>825</v>
      </c>
      <c r="F560" t="s">
        <v>826</v>
      </c>
      <c r="G560" t="s">
        <v>51</v>
      </c>
      <c r="H560" t="s">
        <v>195</v>
      </c>
      <c r="I560" t="s">
        <v>378</v>
      </c>
      <c r="J560" t="s">
        <v>379</v>
      </c>
      <c r="K560">
        <v>649164</v>
      </c>
      <c r="L560" t="s">
        <v>313</v>
      </c>
      <c r="M560" t="s">
        <v>314</v>
      </c>
      <c r="N560" t="s">
        <v>57</v>
      </c>
      <c r="O560" s="1">
        <v>45078</v>
      </c>
      <c r="Q560" s="1">
        <v>45992</v>
      </c>
      <c r="R560" s="2">
        <v>35.979999999999997</v>
      </c>
      <c r="S560">
        <v>1</v>
      </c>
      <c r="T560" t="s">
        <v>58</v>
      </c>
      <c r="U560" t="s">
        <v>59</v>
      </c>
      <c r="V560" s="3">
        <v>0.06</v>
      </c>
      <c r="W560" s="2">
        <v>0</v>
      </c>
      <c r="X560">
        <v>0</v>
      </c>
      <c r="Y560" t="s">
        <v>264</v>
      </c>
      <c r="Z560" t="s">
        <v>61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2.16</v>
      </c>
      <c r="AN560" s="2">
        <v>2.16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45957</v>
      </c>
      <c r="B561" t="s">
        <v>48</v>
      </c>
      <c r="C561">
        <v>649163</v>
      </c>
      <c r="D561">
        <v>2019882011</v>
      </c>
      <c r="E561" t="s">
        <v>641</v>
      </c>
      <c r="F561" t="s">
        <v>827</v>
      </c>
      <c r="G561" t="s">
        <v>51</v>
      </c>
      <c r="H561" t="s">
        <v>195</v>
      </c>
      <c r="I561" t="s">
        <v>378</v>
      </c>
      <c r="J561" t="s">
        <v>379</v>
      </c>
      <c r="K561">
        <v>678320</v>
      </c>
      <c r="L561" t="s">
        <v>317</v>
      </c>
      <c r="M561" t="s">
        <v>318</v>
      </c>
      <c r="N561" t="s">
        <v>57</v>
      </c>
      <c r="O561" s="1">
        <v>45170</v>
      </c>
      <c r="Q561" s="1">
        <v>45992</v>
      </c>
      <c r="R561" s="2">
        <v>30.12</v>
      </c>
      <c r="S561">
        <v>1</v>
      </c>
      <c r="T561" t="s">
        <v>58</v>
      </c>
      <c r="U561" t="s">
        <v>59</v>
      </c>
      <c r="V561" s="3">
        <v>0.06</v>
      </c>
      <c r="W561" s="2">
        <v>0</v>
      </c>
      <c r="X561">
        <v>0</v>
      </c>
      <c r="Y561" t="s">
        <v>264</v>
      </c>
      <c r="Z561" t="s">
        <v>61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1.81</v>
      </c>
      <c r="AN561" s="2">
        <v>1.81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45957</v>
      </c>
      <c r="B562" t="s">
        <v>48</v>
      </c>
      <c r="C562">
        <v>649163</v>
      </c>
      <c r="D562">
        <v>2019896234</v>
      </c>
      <c r="E562" t="s">
        <v>828</v>
      </c>
      <c r="F562" t="s">
        <v>788</v>
      </c>
      <c r="G562" t="s">
        <v>51</v>
      </c>
      <c r="H562" t="s">
        <v>195</v>
      </c>
      <c r="I562" t="s">
        <v>378</v>
      </c>
      <c r="J562" t="s">
        <v>379</v>
      </c>
      <c r="K562">
        <v>702406</v>
      </c>
      <c r="L562" t="s">
        <v>489</v>
      </c>
      <c r="M562" t="s">
        <v>490</v>
      </c>
      <c r="N562" t="s">
        <v>57</v>
      </c>
      <c r="O562" s="1">
        <v>45169</v>
      </c>
      <c r="Q562" s="1">
        <v>45991</v>
      </c>
      <c r="R562" s="2">
        <v>30.12</v>
      </c>
      <c r="S562">
        <v>1</v>
      </c>
      <c r="T562" t="s">
        <v>58</v>
      </c>
      <c r="U562" t="s">
        <v>59</v>
      </c>
      <c r="V562" s="3">
        <v>0.06</v>
      </c>
      <c r="W562" s="2">
        <v>0</v>
      </c>
      <c r="X562">
        <v>0</v>
      </c>
      <c r="Y562" t="s">
        <v>264</v>
      </c>
      <c r="Z562" t="s">
        <v>61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1.81</v>
      </c>
      <c r="AN562" s="2">
        <v>1.81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45957</v>
      </c>
      <c r="B563" t="s">
        <v>48</v>
      </c>
      <c r="C563">
        <v>649163</v>
      </c>
      <c r="D563">
        <v>2019916726</v>
      </c>
      <c r="E563" t="s">
        <v>554</v>
      </c>
      <c r="F563" t="s">
        <v>829</v>
      </c>
      <c r="G563" t="s">
        <v>51</v>
      </c>
      <c r="H563" t="s">
        <v>195</v>
      </c>
      <c r="I563" t="s">
        <v>378</v>
      </c>
      <c r="J563" t="s">
        <v>379</v>
      </c>
      <c r="K563">
        <v>702406</v>
      </c>
      <c r="L563" t="s">
        <v>489</v>
      </c>
      <c r="M563" t="s">
        <v>490</v>
      </c>
      <c r="N563" t="s">
        <v>57</v>
      </c>
      <c r="O563" s="1">
        <v>45170</v>
      </c>
      <c r="Q563" s="1">
        <v>45992</v>
      </c>
      <c r="R563" s="2">
        <v>30.12</v>
      </c>
      <c r="S563">
        <v>1</v>
      </c>
      <c r="T563" t="s">
        <v>58</v>
      </c>
      <c r="U563" t="s">
        <v>59</v>
      </c>
      <c r="V563" s="3">
        <v>0.06</v>
      </c>
      <c r="W563" s="2">
        <v>0</v>
      </c>
      <c r="X563">
        <v>0</v>
      </c>
      <c r="Y563" t="s">
        <v>264</v>
      </c>
      <c r="Z563" t="s">
        <v>61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1.81</v>
      </c>
      <c r="AN563" s="2">
        <v>1.81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45957</v>
      </c>
      <c r="B564" t="s">
        <v>48</v>
      </c>
      <c r="C564">
        <v>649163</v>
      </c>
      <c r="D564">
        <v>2019934799</v>
      </c>
      <c r="E564" t="s">
        <v>576</v>
      </c>
      <c r="F564" t="s">
        <v>385</v>
      </c>
      <c r="G564" t="s">
        <v>51</v>
      </c>
      <c r="H564" t="s">
        <v>742</v>
      </c>
      <c r="I564" t="s">
        <v>378</v>
      </c>
      <c r="J564" t="s">
        <v>379</v>
      </c>
      <c r="K564">
        <v>651818</v>
      </c>
      <c r="L564" t="s">
        <v>560</v>
      </c>
      <c r="M564" t="s">
        <v>336</v>
      </c>
      <c r="N564" t="s">
        <v>57</v>
      </c>
      <c r="O564" s="1">
        <v>45170</v>
      </c>
      <c r="Q564" s="1">
        <v>45992</v>
      </c>
      <c r="R564" s="2">
        <v>40.090000000000003</v>
      </c>
      <c r="S564">
        <v>1</v>
      </c>
      <c r="T564" t="s">
        <v>58</v>
      </c>
      <c r="U564" t="s">
        <v>59</v>
      </c>
      <c r="V564" s="3">
        <v>0.06</v>
      </c>
      <c r="W564" s="2">
        <v>0</v>
      </c>
      <c r="X564">
        <v>0</v>
      </c>
      <c r="Y564" t="s">
        <v>264</v>
      </c>
      <c r="Z564" t="s">
        <v>61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2.41</v>
      </c>
      <c r="AN564" s="2">
        <v>2.41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45957</v>
      </c>
      <c r="B565" t="s">
        <v>48</v>
      </c>
      <c r="C565">
        <v>649163</v>
      </c>
      <c r="D565">
        <v>2019971559</v>
      </c>
      <c r="E565" t="s">
        <v>830</v>
      </c>
      <c r="F565" t="s">
        <v>831</v>
      </c>
      <c r="G565" t="s">
        <v>51</v>
      </c>
      <c r="H565" t="s">
        <v>195</v>
      </c>
      <c r="I565" t="s">
        <v>378</v>
      </c>
      <c r="J565" t="s">
        <v>379</v>
      </c>
      <c r="K565">
        <v>678320</v>
      </c>
      <c r="L565" t="s">
        <v>317</v>
      </c>
      <c r="M565" t="s">
        <v>318</v>
      </c>
      <c r="N565" t="s">
        <v>57</v>
      </c>
      <c r="O565" s="1">
        <v>45163</v>
      </c>
      <c r="Q565" s="1">
        <v>45986</v>
      </c>
      <c r="R565" s="2">
        <v>49.12</v>
      </c>
      <c r="S565">
        <v>1</v>
      </c>
      <c r="T565" t="s">
        <v>58</v>
      </c>
      <c r="U565" t="s">
        <v>59</v>
      </c>
      <c r="V565" s="3">
        <v>0.06</v>
      </c>
      <c r="W565" s="2">
        <v>0</v>
      </c>
      <c r="X565">
        <v>0</v>
      </c>
      <c r="Y565" t="s">
        <v>264</v>
      </c>
      <c r="Z565" t="s">
        <v>61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2.95</v>
      </c>
      <c r="AN565" s="2">
        <v>2.95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45957</v>
      </c>
      <c r="B566" t="s">
        <v>48</v>
      </c>
      <c r="C566">
        <v>649163</v>
      </c>
      <c r="D566">
        <v>2020534056</v>
      </c>
      <c r="E566" t="s">
        <v>488</v>
      </c>
      <c r="F566" t="s">
        <v>98</v>
      </c>
      <c r="G566" t="s">
        <v>51</v>
      </c>
      <c r="H566" t="s">
        <v>195</v>
      </c>
      <c r="I566" t="s">
        <v>378</v>
      </c>
      <c r="J566" t="s">
        <v>379</v>
      </c>
      <c r="K566">
        <v>702406</v>
      </c>
      <c r="L566" t="s">
        <v>489</v>
      </c>
      <c r="M566" t="s">
        <v>490</v>
      </c>
      <c r="N566" t="s">
        <v>57</v>
      </c>
      <c r="O566" s="1">
        <v>45224</v>
      </c>
      <c r="Q566" s="1">
        <v>45986</v>
      </c>
      <c r="R566" s="2">
        <v>32.979999999999997</v>
      </c>
      <c r="S566">
        <v>1</v>
      </c>
      <c r="T566" t="s">
        <v>58</v>
      </c>
      <c r="U566" t="s">
        <v>59</v>
      </c>
      <c r="V566" s="3">
        <v>0.06</v>
      </c>
      <c r="W566" s="2">
        <v>0</v>
      </c>
      <c r="X566">
        <v>0</v>
      </c>
      <c r="Y566" t="s">
        <v>264</v>
      </c>
      <c r="Z566" t="s">
        <v>61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1.98</v>
      </c>
      <c r="AN566" s="2">
        <v>1.98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45957</v>
      </c>
      <c r="B567" t="s">
        <v>48</v>
      </c>
      <c r="C567">
        <v>649163</v>
      </c>
      <c r="D567">
        <v>2021427320</v>
      </c>
      <c r="E567" t="s">
        <v>575</v>
      </c>
      <c r="F567" t="s">
        <v>103</v>
      </c>
      <c r="G567" t="s">
        <v>51</v>
      </c>
      <c r="H567" t="s">
        <v>261</v>
      </c>
      <c r="I567" t="s">
        <v>378</v>
      </c>
      <c r="J567" t="s">
        <v>379</v>
      </c>
      <c r="K567">
        <v>673059</v>
      </c>
      <c r="L567" t="s">
        <v>55</v>
      </c>
      <c r="M567" t="s">
        <v>56</v>
      </c>
      <c r="N567" t="s">
        <v>57</v>
      </c>
      <c r="O567" s="1">
        <v>45351</v>
      </c>
      <c r="Q567" s="1">
        <v>45990</v>
      </c>
      <c r="R567" s="2">
        <v>99.77</v>
      </c>
      <c r="S567">
        <v>1</v>
      </c>
      <c r="T567" t="s">
        <v>58</v>
      </c>
      <c r="U567" t="s">
        <v>59</v>
      </c>
      <c r="V567" s="3">
        <v>0.06</v>
      </c>
      <c r="W567" s="2">
        <v>0</v>
      </c>
      <c r="X567">
        <v>0</v>
      </c>
      <c r="Y567" t="s">
        <v>264</v>
      </c>
      <c r="Z567" t="s">
        <v>61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5.99</v>
      </c>
      <c r="AN567" s="2">
        <v>5.99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45957</v>
      </c>
      <c r="B568" t="s">
        <v>48</v>
      </c>
      <c r="C568">
        <v>649163</v>
      </c>
      <c r="D568">
        <v>2021544238</v>
      </c>
      <c r="E568" t="s">
        <v>832</v>
      </c>
      <c r="F568" t="s">
        <v>833</v>
      </c>
      <c r="G568" t="s">
        <v>51</v>
      </c>
      <c r="H568" t="s">
        <v>195</v>
      </c>
      <c r="I568" t="s">
        <v>378</v>
      </c>
      <c r="J568" t="s">
        <v>379</v>
      </c>
      <c r="K568">
        <v>649247</v>
      </c>
      <c r="L568" t="s">
        <v>321</v>
      </c>
      <c r="M568" t="s">
        <v>322</v>
      </c>
      <c r="N568" t="s">
        <v>57</v>
      </c>
      <c r="O568" s="1">
        <v>45317</v>
      </c>
      <c r="Q568" s="1">
        <v>45987</v>
      </c>
      <c r="R568" s="2">
        <v>39.979999999999997</v>
      </c>
      <c r="S568">
        <v>1</v>
      </c>
      <c r="T568" t="s">
        <v>58</v>
      </c>
      <c r="U568" t="s">
        <v>59</v>
      </c>
      <c r="V568" s="3">
        <v>0.06</v>
      </c>
      <c r="W568" s="2">
        <v>0</v>
      </c>
      <c r="X568">
        <v>0</v>
      </c>
      <c r="Y568" t="s">
        <v>264</v>
      </c>
      <c r="Z568" t="s">
        <v>61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2.4</v>
      </c>
      <c r="AN568" s="2">
        <v>2.4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45957</v>
      </c>
      <c r="B569" t="s">
        <v>48</v>
      </c>
      <c r="C569">
        <v>649163</v>
      </c>
      <c r="D569">
        <v>2022351918</v>
      </c>
      <c r="E569" t="s">
        <v>752</v>
      </c>
      <c r="F569" t="s">
        <v>106</v>
      </c>
      <c r="G569" t="s">
        <v>51</v>
      </c>
      <c r="H569" t="s">
        <v>69</v>
      </c>
      <c r="I569" t="s">
        <v>378</v>
      </c>
      <c r="J569" t="s">
        <v>379</v>
      </c>
      <c r="K569">
        <v>673059</v>
      </c>
      <c r="L569" t="s">
        <v>55</v>
      </c>
      <c r="M569" t="s">
        <v>56</v>
      </c>
      <c r="N569" t="s">
        <v>57</v>
      </c>
      <c r="O569" s="1">
        <v>45383</v>
      </c>
      <c r="Q569" s="1">
        <v>45992</v>
      </c>
      <c r="R569" s="2">
        <v>18.32</v>
      </c>
      <c r="S569">
        <v>1</v>
      </c>
      <c r="T569" t="s">
        <v>58</v>
      </c>
      <c r="U569" t="s">
        <v>59</v>
      </c>
      <c r="V569" s="3">
        <v>0.06</v>
      </c>
      <c r="W569" s="2">
        <v>0</v>
      </c>
      <c r="X569">
        <v>0</v>
      </c>
      <c r="Y569" t="s">
        <v>264</v>
      </c>
      <c r="Z569" t="s">
        <v>61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1.1000000000000001</v>
      </c>
      <c r="AN569" s="2">
        <v>1.1000000000000001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45957</v>
      </c>
      <c r="B570" t="s">
        <v>48</v>
      </c>
      <c r="C570">
        <v>649163</v>
      </c>
      <c r="D570">
        <v>2022371780</v>
      </c>
      <c r="E570" t="s">
        <v>672</v>
      </c>
      <c r="F570" t="s">
        <v>524</v>
      </c>
      <c r="G570" t="s">
        <v>51</v>
      </c>
      <c r="H570" t="s">
        <v>52</v>
      </c>
      <c r="I570" t="s">
        <v>378</v>
      </c>
      <c r="J570" t="s">
        <v>379</v>
      </c>
      <c r="K570">
        <v>673059</v>
      </c>
      <c r="L570" t="s">
        <v>55</v>
      </c>
      <c r="M570" t="s">
        <v>56</v>
      </c>
      <c r="N570" t="s">
        <v>57</v>
      </c>
      <c r="O570" s="1">
        <v>45383</v>
      </c>
      <c r="Q570" s="1">
        <v>45992</v>
      </c>
      <c r="R570" s="2">
        <v>51.19</v>
      </c>
      <c r="S570">
        <v>1</v>
      </c>
      <c r="T570" t="s">
        <v>58</v>
      </c>
      <c r="U570" t="s">
        <v>59</v>
      </c>
      <c r="V570" s="3">
        <v>0.06</v>
      </c>
      <c r="W570" s="2">
        <v>0</v>
      </c>
      <c r="X570">
        <v>0</v>
      </c>
      <c r="Y570" t="s">
        <v>264</v>
      </c>
      <c r="Z570" t="s">
        <v>61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3.07</v>
      </c>
      <c r="AN570" s="2">
        <v>3.07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45957</v>
      </c>
      <c r="B571" t="s">
        <v>48</v>
      </c>
      <c r="C571">
        <v>649163</v>
      </c>
      <c r="D571">
        <v>2022444747</v>
      </c>
      <c r="E571" t="s">
        <v>834</v>
      </c>
      <c r="F571" t="s">
        <v>835</v>
      </c>
      <c r="G571" t="s">
        <v>51</v>
      </c>
      <c r="H571" t="s">
        <v>195</v>
      </c>
      <c r="I571" t="s">
        <v>378</v>
      </c>
      <c r="J571" t="s">
        <v>379</v>
      </c>
      <c r="K571">
        <v>649247</v>
      </c>
      <c r="L571" t="s">
        <v>321</v>
      </c>
      <c r="M571" t="s">
        <v>322</v>
      </c>
      <c r="N571" t="s">
        <v>57</v>
      </c>
      <c r="O571" s="1">
        <v>45383</v>
      </c>
      <c r="Q571" s="1">
        <v>45992</v>
      </c>
      <c r="R571" s="2">
        <v>35.979999999999997</v>
      </c>
      <c r="S571">
        <v>1</v>
      </c>
      <c r="T571" t="s">
        <v>58</v>
      </c>
      <c r="U571" t="s">
        <v>59</v>
      </c>
      <c r="V571" s="3">
        <v>0.06</v>
      </c>
      <c r="W571" s="2">
        <v>0</v>
      </c>
      <c r="X571">
        <v>0</v>
      </c>
      <c r="Y571" t="s">
        <v>264</v>
      </c>
      <c r="Z571" t="s">
        <v>61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2.16</v>
      </c>
      <c r="AN571" s="2">
        <v>2.16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45957</v>
      </c>
      <c r="B572" t="s">
        <v>48</v>
      </c>
      <c r="C572">
        <v>649163</v>
      </c>
      <c r="D572">
        <v>2022747854</v>
      </c>
      <c r="E572" t="s">
        <v>640</v>
      </c>
      <c r="F572" t="s">
        <v>617</v>
      </c>
      <c r="G572" t="s">
        <v>51</v>
      </c>
      <c r="H572" t="s">
        <v>195</v>
      </c>
      <c r="I572" t="s">
        <v>378</v>
      </c>
      <c r="J572" t="s">
        <v>379</v>
      </c>
      <c r="K572">
        <v>751867</v>
      </c>
      <c r="L572" t="s">
        <v>349</v>
      </c>
      <c r="M572" t="s">
        <v>312</v>
      </c>
      <c r="N572" t="s">
        <v>57</v>
      </c>
      <c r="O572" s="1">
        <v>45413</v>
      </c>
      <c r="Q572" s="1">
        <v>45962</v>
      </c>
      <c r="R572" s="2">
        <v>36.11</v>
      </c>
      <c r="S572">
        <v>1</v>
      </c>
      <c r="T572" t="s">
        <v>58</v>
      </c>
      <c r="U572" t="s">
        <v>59</v>
      </c>
      <c r="V572" s="3">
        <v>0.06</v>
      </c>
      <c r="W572" s="2">
        <v>0</v>
      </c>
      <c r="X572">
        <v>0</v>
      </c>
      <c r="Y572" t="s">
        <v>264</v>
      </c>
      <c r="Z572" t="s">
        <v>61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2.17</v>
      </c>
      <c r="AN572" s="2">
        <v>2.17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45957</v>
      </c>
      <c r="B573" t="s">
        <v>48</v>
      </c>
      <c r="C573">
        <v>649163</v>
      </c>
      <c r="D573">
        <v>2023105851</v>
      </c>
      <c r="E573" t="s">
        <v>493</v>
      </c>
      <c r="F573" t="s">
        <v>494</v>
      </c>
      <c r="G573" t="s">
        <v>51</v>
      </c>
      <c r="H573" t="s">
        <v>78</v>
      </c>
      <c r="I573" t="s">
        <v>378</v>
      </c>
      <c r="J573" t="s">
        <v>379</v>
      </c>
      <c r="K573">
        <v>650218</v>
      </c>
      <c r="L573" t="s">
        <v>357</v>
      </c>
      <c r="M573" t="s">
        <v>358</v>
      </c>
      <c r="N573" t="s">
        <v>57</v>
      </c>
      <c r="O573" s="1">
        <v>45444</v>
      </c>
      <c r="Q573" s="1">
        <v>45992</v>
      </c>
      <c r="R573" s="2">
        <v>41.66</v>
      </c>
      <c r="S573">
        <v>1</v>
      </c>
      <c r="T573" t="s">
        <v>58</v>
      </c>
      <c r="U573" t="s">
        <v>59</v>
      </c>
      <c r="V573" s="3">
        <v>0.06</v>
      </c>
      <c r="W573" s="2">
        <v>0</v>
      </c>
      <c r="X573">
        <v>0</v>
      </c>
      <c r="Y573" t="s">
        <v>264</v>
      </c>
      <c r="Z573" t="s">
        <v>61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2.5</v>
      </c>
      <c r="AN573" s="2">
        <v>2.5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45957</v>
      </c>
      <c r="B574" t="s">
        <v>48</v>
      </c>
      <c r="C574">
        <v>649163</v>
      </c>
      <c r="D574">
        <v>2023157515</v>
      </c>
      <c r="E574" t="s">
        <v>645</v>
      </c>
      <c r="F574" t="s">
        <v>268</v>
      </c>
      <c r="G574" t="s">
        <v>51</v>
      </c>
      <c r="H574" t="s">
        <v>195</v>
      </c>
      <c r="I574" t="s">
        <v>378</v>
      </c>
      <c r="J574" t="s">
        <v>379</v>
      </c>
      <c r="K574">
        <v>649247</v>
      </c>
      <c r="L574" t="s">
        <v>321</v>
      </c>
      <c r="M574" t="s">
        <v>322</v>
      </c>
      <c r="N574" t="s">
        <v>57</v>
      </c>
      <c r="O574" s="1">
        <v>45444</v>
      </c>
      <c r="Q574" s="1">
        <v>45992</v>
      </c>
      <c r="R574" s="2">
        <v>35.979999999999997</v>
      </c>
      <c r="S574">
        <v>1</v>
      </c>
      <c r="T574" t="s">
        <v>58</v>
      </c>
      <c r="U574" t="s">
        <v>59</v>
      </c>
      <c r="V574" s="3">
        <v>0.06</v>
      </c>
      <c r="W574" s="2">
        <v>0</v>
      </c>
      <c r="X574">
        <v>0</v>
      </c>
      <c r="Y574" t="s">
        <v>264</v>
      </c>
      <c r="Z574" t="s">
        <v>61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2.16</v>
      </c>
      <c r="AN574" s="2">
        <v>2.16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45957</v>
      </c>
      <c r="B575" t="s">
        <v>48</v>
      </c>
      <c r="C575">
        <v>649163</v>
      </c>
      <c r="D575">
        <v>2023184836</v>
      </c>
      <c r="E575" t="s">
        <v>646</v>
      </c>
      <c r="F575" t="s">
        <v>647</v>
      </c>
      <c r="G575" t="s">
        <v>51</v>
      </c>
      <c r="H575" t="s">
        <v>195</v>
      </c>
      <c r="I575" t="s">
        <v>378</v>
      </c>
      <c r="J575" t="s">
        <v>379</v>
      </c>
      <c r="K575">
        <v>649247</v>
      </c>
      <c r="L575" t="s">
        <v>321</v>
      </c>
      <c r="M575" t="s">
        <v>322</v>
      </c>
      <c r="N575" t="s">
        <v>57</v>
      </c>
      <c r="O575" s="1">
        <v>45444</v>
      </c>
      <c r="Q575" s="1">
        <v>45992</v>
      </c>
      <c r="R575" s="2">
        <v>35.979999999999997</v>
      </c>
      <c r="S575">
        <v>1</v>
      </c>
      <c r="T575" t="s">
        <v>58</v>
      </c>
      <c r="U575" t="s">
        <v>59</v>
      </c>
      <c r="V575" s="3">
        <v>0.06</v>
      </c>
      <c r="W575" s="2">
        <v>0</v>
      </c>
      <c r="X575">
        <v>0</v>
      </c>
      <c r="Y575" t="s">
        <v>264</v>
      </c>
      <c r="Z575" t="s">
        <v>61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2.16</v>
      </c>
      <c r="AN575" s="2">
        <v>2.16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45957</v>
      </c>
      <c r="B576" t="s">
        <v>48</v>
      </c>
      <c r="C576">
        <v>649163</v>
      </c>
      <c r="D576">
        <v>2023231878</v>
      </c>
      <c r="E576" t="s">
        <v>836</v>
      </c>
      <c r="F576" t="s">
        <v>837</v>
      </c>
      <c r="G576" t="s">
        <v>51</v>
      </c>
      <c r="H576" t="s">
        <v>195</v>
      </c>
      <c r="I576" t="s">
        <v>378</v>
      </c>
      <c r="J576" t="s">
        <v>379</v>
      </c>
      <c r="K576">
        <v>728134</v>
      </c>
      <c r="L576" t="s">
        <v>325</v>
      </c>
      <c r="M576" t="s">
        <v>326</v>
      </c>
      <c r="N576" t="s">
        <v>57</v>
      </c>
      <c r="O576" s="1">
        <v>45444</v>
      </c>
      <c r="Q576" s="1">
        <v>45992</v>
      </c>
      <c r="R576" s="2">
        <v>49.12</v>
      </c>
      <c r="S576">
        <v>1</v>
      </c>
      <c r="T576" t="s">
        <v>58</v>
      </c>
      <c r="U576" t="s">
        <v>59</v>
      </c>
      <c r="V576" s="3">
        <v>0.06</v>
      </c>
      <c r="W576" s="2">
        <v>0</v>
      </c>
      <c r="X576">
        <v>0</v>
      </c>
      <c r="Y576" t="s">
        <v>264</v>
      </c>
      <c r="Z576" t="s">
        <v>61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2.95</v>
      </c>
      <c r="AN576" s="2">
        <v>2.95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45957</v>
      </c>
      <c r="B577" t="s">
        <v>48</v>
      </c>
      <c r="C577">
        <v>649163</v>
      </c>
      <c r="D577">
        <v>2023252074</v>
      </c>
      <c r="E577" t="s">
        <v>495</v>
      </c>
      <c r="F577" t="s">
        <v>496</v>
      </c>
      <c r="G577" t="s">
        <v>51</v>
      </c>
      <c r="H577" t="s">
        <v>195</v>
      </c>
      <c r="I577" t="s">
        <v>378</v>
      </c>
      <c r="J577" t="s">
        <v>379</v>
      </c>
      <c r="K577">
        <v>650218</v>
      </c>
      <c r="L577" t="s">
        <v>357</v>
      </c>
      <c r="M577" t="s">
        <v>358</v>
      </c>
      <c r="N577" t="s">
        <v>57</v>
      </c>
      <c r="O577" s="1">
        <v>45444</v>
      </c>
      <c r="Q577" s="1">
        <v>45992</v>
      </c>
      <c r="R577" s="2">
        <v>82.25</v>
      </c>
      <c r="S577">
        <v>1</v>
      </c>
      <c r="T577" t="s">
        <v>58</v>
      </c>
      <c r="U577" t="s">
        <v>59</v>
      </c>
      <c r="V577" s="3">
        <v>0.06</v>
      </c>
      <c r="W577" s="2">
        <v>0</v>
      </c>
      <c r="X577">
        <v>0</v>
      </c>
      <c r="Y577" t="s">
        <v>264</v>
      </c>
      <c r="Z577" t="s">
        <v>61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4.9400000000000004</v>
      </c>
      <c r="AN577" s="2">
        <v>4.9400000000000004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45957</v>
      </c>
      <c r="B578" t="s">
        <v>48</v>
      </c>
      <c r="C578">
        <v>649163</v>
      </c>
      <c r="D578">
        <v>2023980077</v>
      </c>
      <c r="E578" t="s">
        <v>277</v>
      </c>
      <c r="F578" t="s">
        <v>278</v>
      </c>
      <c r="G578" t="s">
        <v>51</v>
      </c>
      <c r="H578" t="s">
        <v>129</v>
      </c>
      <c r="I578" t="s">
        <v>378</v>
      </c>
      <c r="J578" t="s">
        <v>379</v>
      </c>
      <c r="K578">
        <v>673059</v>
      </c>
      <c r="L578" t="s">
        <v>55</v>
      </c>
      <c r="M578" t="s">
        <v>56</v>
      </c>
      <c r="N578" t="s">
        <v>57</v>
      </c>
      <c r="O578" s="1">
        <v>45657</v>
      </c>
      <c r="Q578" s="1">
        <v>45991</v>
      </c>
      <c r="R578" s="2">
        <v>32.74</v>
      </c>
      <c r="S578">
        <v>1</v>
      </c>
      <c r="T578" t="s">
        <v>58</v>
      </c>
      <c r="U578" t="s">
        <v>59</v>
      </c>
      <c r="V578" s="4">
        <v>0.375</v>
      </c>
      <c r="W578" s="2">
        <v>0</v>
      </c>
      <c r="X578">
        <v>0</v>
      </c>
      <c r="Y578" t="s">
        <v>60</v>
      </c>
      <c r="Z578" t="s">
        <v>61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12.28</v>
      </c>
      <c r="AN578" s="2">
        <v>12.28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45957</v>
      </c>
      <c r="B579" t="s">
        <v>48</v>
      </c>
      <c r="C579">
        <v>649163</v>
      </c>
      <c r="D579">
        <v>2024136819</v>
      </c>
      <c r="E579" t="s">
        <v>283</v>
      </c>
      <c r="F579" t="s">
        <v>284</v>
      </c>
      <c r="G579" t="s">
        <v>51</v>
      </c>
      <c r="H579" t="s">
        <v>52</v>
      </c>
      <c r="I579" t="s">
        <v>378</v>
      </c>
      <c r="J579" t="s">
        <v>379</v>
      </c>
      <c r="K579">
        <v>673059</v>
      </c>
      <c r="L579" t="s">
        <v>55</v>
      </c>
      <c r="M579" t="s">
        <v>56</v>
      </c>
      <c r="N579" t="s">
        <v>57</v>
      </c>
      <c r="O579" s="1">
        <v>45536</v>
      </c>
      <c r="Q579" s="1">
        <v>45992</v>
      </c>
      <c r="R579" s="2">
        <v>105.67</v>
      </c>
      <c r="S579">
        <v>1</v>
      </c>
      <c r="T579" t="s">
        <v>58</v>
      </c>
      <c r="U579" t="s">
        <v>59</v>
      </c>
      <c r="V579" s="3">
        <v>0.06</v>
      </c>
      <c r="W579" s="2">
        <v>0</v>
      </c>
      <c r="X579">
        <v>0</v>
      </c>
      <c r="Y579" t="s">
        <v>264</v>
      </c>
      <c r="Z579" t="s">
        <v>61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6.34</v>
      </c>
      <c r="AN579" s="2">
        <v>6.34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45957</v>
      </c>
      <c r="B580" t="s">
        <v>48</v>
      </c>
      <c r="C580">
        <v>649163</v>
      </c>
      <c r="D580">
        <v>2024307282</v>
      </c>
      <c r="E580" t="s">
        <v>838</v>
      </c>
      <c r="F580" t="s">
        <v>839</v>
      </c>
      <c r="G580" t="s">
        <v>51</v>
      </c>
      <c r="H580" t="s">
        <v>69</v>
      </c>
      <c r="I580" t="s">
        <v>378</v>
      </c>
      <c r="J580" t="s">
        <v>379</v>
      </c>
      <c r="K580">
        <v>669316</v>
      </c>
      <c r="L580" t="s">
        <v>169</v>
      </c>
      <c r="M580" t="s">
        <v>170</v>
      </c>
      <c r="N580" t="s">
        <v>57</v>
      </c>
      <c r="O580" s="1">
        <v>45513</v>
      </c>
      <c r="Q580" s="1">
        <v>45970</v>
      </c>
      <c r="R580" s="2">
        <v>-35.4</v>
      </c>
      <c r="S580">
        <v>1</v>
      </c>
      <c r="T580" t="s">
        <v>58</v>
      </c>
      <c r="U580" t="s">
        <v>59</v>
      </c>
      <c r="V580" s="3">
        <v>0.06</v>
      </c>
      <c r="W580" s="2">
        <v>0</v>
      </c>
      <c r="X580">
        <v>-1</v>
      </c>
      <c r="Y580" t="s">
        <v>264</v>
      </c>
      <c r="Z580" t="s">
        <v>61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-2.12</v>
      </c>
      <c r="AN580" s="2">
        <v>-2.12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45957</v>
      </c>
      <c r="B581" t="s">
        <v>48</v>
      </c>
      <c r="C581">
        <v>649163</v>
      </c>
      <c r="D581">
        <v>2024338044</v>
      </c>
      <c r="E581" t="s">
        <v>840</v>
      </c>
      <c r="F581" t="s">
        <v>115</v>
      </c>
      <c r="G581" t="s">
        <v>51</v>
      </c>
      <c r="H581" t="s">
        <v>195</v>
      </c>
      <c r="I581" t="s">
        <v>378</v>
      </c>
      <c r="J581" t="s">
        <v>379</v>
      </c>
      <c r="K581">
        <v>780434</v>
      </c>
      <c r="L581" t="s">
        <v>499</v>
      </c>
      <c r="M581" t="s">
        <v>110</v>
      </c>
      <c r="N581" t="s">
        <v>57</v>
      </c>
      <c r="O581" s="1">
        <v>45536</v>
      </c>
      <c r="Q581" s="1">
        <v>45992</v>
      </c>
      <c r="R581" s="2">
        <v>57.29</v>
      </c>
      <c r="S581">
        <v>1</v>
      </c>
      <c r="T581" t="s">
        <v>58</v>
      </c>
      <c r="U581" t="s">
        <v>59</v>
      </c>
      <c r="V581" s="3">
        <v>0.06</v>
      </c>
      <c r="W581" s="2">
        <v>0</v>
      </c>
      <c r="X581">
        <v>0</v>
      </c>
      <c r="Y581" t="s">
        <v>264</v>
      </c>
      <c r="Z581" t="s">
        <v>61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3.44</v>
      </c>
      <c r="AN581" s="2">
        <v>3.44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45957</v>
      </c>
      <c r="B582" t="s">
        <v>48</v>
      </c>
      <c r="C582">
        <v>649163</v>
      </c>
      <c r="D582">
        <v>2024361672</v>
      </c>
      <c r="E582" t="s">
        <v>840</v>
      </c>
      <c r="F582" t="s">
        <v>224</v>
      </c>
      <c r="G582" t="s">
        <v>51</v>
      </c>
      <c r="H582" t="s">
        <v>195</v>
      </c>
      <c r="I582" t="s">
        <v>378</v>
      </c>
      <c r="J582" t="s">
        <v>379</v>
      </c>
      <c r="K582">
        <v>780434</v>
      </c>
      <c r="L582" t="s">
        <v>499</v>
      </c>
      <c r="M582" t="s">
        <v>110</v>
      </c>
      <c r="N582" t="s">
        <v>57</v>
      </c>
      <c r="O582" s="1">
        <v>45536</v>
      </c>
      <c r="Q582" s="1">
        <v>45992</v>
      </c>
      <c r="R582" s="2">
        <v>57.29</v>
      </c>
      <c r="S582">
        <v>1</v>
      </c>
      <c r="T582" t="s">
        <v>58</v>
      </c>
      <c r="U582" t="s">
        <v>59</v>
      </c>
      <c r="V582" s="3">
        <v>0.06</v>
      </c>
      <c r="W582" s="2">
        <v>0</v>
      </c>
      <c r="X582">
        <v>0</v>
      </c>
      <c r="Y582" t="s">
        <v>264</v>
      </c>
      <c r="Z582" t="s">
        <v>61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3.44</v>
      </c>
      <c r="AN582" s="2">
        <v>3.44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45957</v>
      </c>
      <c r="B583" t="s">
        <v>48</v>
      </c>
      <c r="C583">
        <v>649163</v>
      </c>
      <c r="D583">
        <v>2024361679</v>
      </c>
      <c r="E583" t="s">
        <v>841</v>
      </c>
      <c r="F583" t="s">
        <v>66</v>
      </c>
      <c r="G583" t="s">
        <v>51</v>
      </c>
      <c r="H583" t="s">
        <v>195</v>
      </c>
      <c r="I583" t="s">
        <v>378</v>
      </c>
      <c r="J583" t="s">
        <v>379</v>
      </c>
      <c r="K583">
        <v>780434</v>
      </c>
      <c r="L583" t="s">
        <v>499</v>
      </c>
      <c r="M583" t="s">
        <v>110</v>
      </c>
      <c r="N583" t="s">
        <v>57</v>
      </c>
      <c r="O583" s="1">
        <v>45536</v>
      </c>
      <c r="Q583" s="1">
        <v>45992</v>
      </c>
      <c r="R583" s="2">
        <v>57.29</v>
      </c>
      <c r="S583">
        <v>1</v>
      </c>
      <c r="T583" t="s">
        <v>58</v>
      </c>
      <c r="U583" t="s">
        <v>59</v>
      </c>
      <c r="V583" s="3">
        <v>0.06</v>
      </c>
      <c r="W583" s="2">
        <v>0</v>
      </c>
      <c r="X583">
        <v>0</v>
      </c>
      <c r="Y583" t="s">
        <v>264</v>
      </c>
      <c r="Z583" t="s">
        <v>61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3.44</v>
      </c>
      <c r="AN583" s="2">
        <v>3.44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45957</v>
      </c>
      <c r="B584" t="s">
        <v>48</v>
      </c>
      <c r="C584">
        <v>649163</v>
      </c>
      <c r="D584">
        <v>2024361682</v>
      </c>
      <c r="E584" t="s">
        <v>842</v>
      </c>
      <c r="F584" t="s">
        <v>843</v>
      </c>
      <c r="G584" t="s">
        <v>51</v>
      </c>
      <c r="H584" t="s">
        <v>195</v>
      </c>
      <c r="I584" t="s">
        <v>378</v>
      </c>
      <c r="J584" t="s">
        <v>379</v>
      </c>
      <c r="K584">
        <v>780434</v>
      </c>
      <c r="L584" t="s">
        <v>499</v>
      </c>
      <c r="M584" t="s">
        <v>110</v>
      </c>
      <c r="N584" t="s">
        <v>57</v>
      </c>
      <c r="O584" s="1">
        <v>45536</v>
      </c>
      <c r="Q584" s="1">
        <v>45992</v>
      </c>
      <c r="R584" s="2">
        <v>57.29</v>
      </c>
      <c r="S584">
        <v>1</v>
      </c>
      <c r="T584" t="s">
        <v>58</v>
      </c>
      <c r="U584" t="s">
        <v>59</v>
      </c>
      <c r="V584" s="3">
        <v>0.06</v>
      </c>
      <c r="W584" s="2">
        <v>0</v>
      </c>
      <c r="X584">
        <v>0</v>
      </c>
      <c r="Y584" t="s">
        <v>264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3.44</v>
      </c>
      <c r="AN584" s="2">
        <v>3.44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45957</v>
      </c>
      <c r="B585" t="s">
        <v>48</v>
      </c>
      <c r="C585">
        <v>649163</v>
      </c>
      <c r="D585">
        <v>2024361690</v>
      </c>
      <c r="E585" t="s">
        <v>840</v>
      </c>
      <c r="F585" t="s">
        <v>66</v>
      </c>
      <c r="G585" t="s">
        <v>51</v>
      </c>
      <c r="H585" t="s">
        <v>195</v>
      </c>
      <c r="I585" t="s">
        <v>378</v>
      </c>
      <c r="J585" t="s">
        <v>379</v>
      </c>
      <c r="K585">
        <v>780434</v>
      </c>
      <c r="L585" t="s">
        <v>499</v>
      </c>
      <c r="M585" t="s">
        <v>110</v>
      </c>
      <c r="N585" t="s">
        <v>57</v>
      </c>
      <c r="O585" s="1">
        <v>45536</v>
      </c>
      <c r="Q585" s="1">
        <v>45992</v>
      </c>
      <c r="R585" s="2">
        <v>100.25</v>
      </c>
      <c r="S585">
        <v>1</v>
      </c>
      <c r="T585" t="s">
        <v>58</v>
      </c>
      <c r="U585" t="s">
        <v>59</v>
      </c>
      <c r="V585" s="3">
        <v>0.06</v>
      </c>
      <c r="W585" s="2">
        <v>0</v>
      </c>
      <c r="X585">
        <v>0</v>
      </c>
      <c r="Y585" t="s">
        <v>264</v>
      </c>
      <c r="Z585" t="s">
        <v>61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6.02</v>
      </c>
      <c r="AN585" s="2">
        <v>6.02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45957</v>
      </c>
      <c r="B586" t="s">
        <v>48</v>
      </c>
      <c r="C586">
        <v>649163</v>
      </c>
      <c r="D586">
        <v>2024382485</v>
      </c>
      <c r="E586" t="s">
        <v>497</v>
      </c>
      <c r="F586" t="s">
        <v>167</v>
      </c>
      <c r="G586" t="s">
        <v>51</v>
      </c>
      <c r="H586" t="s">
        <v>195</v>
      </c>
      <c r="I586" t="s">
        <v>378</v>
      </c>
      <c r="J586" t="s">
        <v>379</v>
      </c>
      <c r="K586">
        <v>649247</v>
      </c>
      <c r="L586" t="s">
        <v>321</v>
      </c>
      <c r="M586" t="s">
        <v>322</v>
      </c>
      <c r="N586" t="s">
        <v>57</v>
      </c>
      <c r="O586" s="1">
        <v>45536</v>
      </c>
      <c r="Q586" s="1">
        <v>45992</v>
      </c>
      <c r="R586" s="2">
        <v>44.98</v>
      </c>
      <c r="S586">
        <v>1</v>
      </c>
      <c r="T586" t="s">
        <v>58</v>
      </c>
      <c r="U586" t="s">
        <v>59</v>
      </c>
      <c r="V586" s="3">
        <v>0.06</v>
      </c>
      <c r="W586" s="2">
        <v>0</v>
      </c>
      <c r="X586">
        <v>0</v>
      </c>
      <c r="Y586" t="s">
        <v>264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2.7</v>
      </c>
      <c r="AN586" s="2">
        <v>2.7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45957</v>
      </c>
      <c r="B587" t="s">
        <v>48</v>
      </c>
      <c r="C587">
        <v>649163</v>
      </c>
      <c r="D587">
        <v>2024460937</v>
      </c>
      <c r="E587" t="s">
        <v>756</v>
      </c>
      <c r="F587" t="s">
        <v>757</v>
      </c>
      <c r="G587" t="s">
        <v>51</v>
      </c>
      <c r="H587" t="s">
        <v>636</v>
      </c>
      <c r="I587" t="s">
        <v>378</v>
      </c>
      <c r="J587" t="s">
        <v>379</v>
      </c>
      <c r="K587">
        <v>673059</v>
      </c>
      <c r="L587" t="s">
        <v>55</v>
      </c>
      <c r="M587" t="s">
        <v>56</v>
      </c>
      <c r="N587" t="s">
        <v>57</v>
      </c>
      <c r="O587" s="1">
        <v>45536</v>
      </c>
      <c r="Q587" s="1">
        <v>45992</v>
      </c>
      <c r="R587" s="2">
        <v>80.41</v>
      </c>
      <c r="S587">
        <v>1</v>
      </c>
      <c r="T587" t="s">
        <v>58</v>
      </c>
      <c r="U587" t="s">
        <v>59</v>
      </c>
      <c r="V587" s="3">
        <v>0.06</v>
      </c>
      <c r="W587" s="2">
        <v>0</v>
      </c>
      <c r="X587">
        <v>0</v>
      </c>
      <c r="Y587" t="s">
        <v>264</v>
      </c>
      <c r="Z587" t="s">
        <v>61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4.82</v>
      </c>
      <c r="AN587" s="2">
        <v>4.82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45957</v>
      </c>
      <c r="B588" t="s">
        <v>48</v>
      </c>
      <c r="C588">
        <v>649163</v>
      </c>
      <c r="D588">
        <v>2024477617</v>
      </c>
      <c r="E588" t="s">
        <v>654</v>
      </c>
      <c r="F588" t="s">
        <v>66</v>
      </c>
      <c r="G588" t="s">
        <v>51</v>
      </c>
      <c r="H588" t="s">
        <v>195</v>
      </c>
      <c r="I588" t="s">
        <v>378</v>
      </c>
      <c r="J588" t="s">
        <v>379</v>
      </c>
      <c r="K588">
        <v>650218</v>
      </c>
      <c r="L588" t="s">
        <v>357</v>
      </c>
      <c r="M588" t="s">
        <v>358</v>
      </c>
      <c r="N588" t="s">
        <v>57</v>
      </c>
      <c r="O588" s="1">
        <v>45536</v>
      </c>
      <c r="Q588" s="1">
        <v>45992</v>
      </c>
      <c r="R588" s="2">
        <v>44.21</v>
      </c>
      <c r="S588">
        <v>1</v>
      </c>
      <c r="T588" t="s">
        <v>58</v>
      </c>
      <c r="U588" t="s">
        <v>59</v>
      </c>
      <c r="V588" s="3">
        <v>0.06</v>
      </c>
      <c r="W588" s="2">
        <v>0</v>
      </c>
      <c r="X588">
        <v>0</v>
      </c>
      <c r="Y588" t="s">
        <v>264</v>
      </c>
      <c r="Z588" t="s">
        <v>61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2.65</v>
      </c>
      <c r="AN588" s="2">
        <v>2.65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45957</v>
      </c>
      <c r="B589" t="s">
        <v>48</v>
      </c>
      <c r="C589">
        <v>649163</v>
      </c>
      <c r="D589">
        <v>2024569205</v>
      </c>
      <c r="E589" t="s">
        <v>758</v>
      </c>
      <c r="F589" t="s">
        <v>759</v>
      </c>
      <c r="G589" t="s">
        <v>51</v>
      </c>
      <c r="H589" t="s">
        <v>719</v>
      </c>
      <c r="I589" t="s">
        <v>378</v>
      </c>
      <c r="J589" t="s">
        <v>379</v>
      </c>
      <c r="K589">
        <v>649247</v>
      </c>
      <c r="L589" t="s">
        <v>321</v>
      </c>
      <c r="M589" t="s">
        <v>322</v>
      </c>
      <c r="N589" t="s">
        <v>57</v>
      </c>
      <c r="O589" s="1">
        <v>45531</v>
      </c>
      <c r="Q589" s="1">
        <v>45988</v>
      </c>
      <c r="R589" s="2">
        <v>60.87</v>
      </c>
      <c r="S589">
        <v>1</v>
      </c>
      <c r="T589" t="s">
        <v>58</v>
      </c>
      <c r="U589" t="s">
        <v>59</v>
      </c>
      <c r="V589" s="3">
        <v>0.06</v>
      </c>
      <c r="W589" s="2">
        <v>0</v>
      </c>
      <c r="X589">
        <v>0</v>
      </c>
      <c r="Y589" t="s">
        <v>264</v>
      </c>
      <c r="Z589" t="s">
        <v>61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3.65</v>
      </c>
      <c r="AN589" s="2">
        <v>3.65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45957</v>
      </c>
      <c r="B590" t="s">
        <v>48</v>
      </c>
      <c r="C590">
        <v>649163</v>
      </c>
      <c r="D590">
        <v>2024591190</v>
      </c>
      <c r="E590" t="s">
        <v>656</v>
      </c>
      <c r="F590" t="s">
        <v>657</v>
      </c>
      <c r="G590" t="s">
        <v>51</v>
      </c>
      <c r="H590" t="s">
        <v>195</v>
      </c>
      <c r="I590" t="s">
        <v>378</v>
      </c>
      <c r="J590" t="s">
        <v>379</v>
      </c>
      <c r="K590">
        <v>650218</v>
      </c>
      <c r="L590" t="s">
        <v>357</v>
      </c>
      <c r="M590" t="s">
        <v>358</v>
      </c>
      <c r="N590" t="s">
        <v>57</v>
      </c>
      <c r="O590" s="1">
        <v>45536</v>
      </c>
      <c r="Q590" s="1">
        <v>45992</v>
      </c>
      <c r="R590" s="2">
        <v>27.11</v>
      </c>
      <c r="S590">
        <v>1</v>
      </c>
      <c r="T590" t="s">
        <v>58</v>
      </c>
      <c r="U590" t="s">
        <v>59</v>
      </c>
      <c r="V590" s="3">
        <v>0.06</v>
      </c>
      <c r="W590" s="2">
        <v>0</v>
      </c>
      <c r="X590">
        <v>0</v>
      </c>
      <c r="Y590" t="s">
        <v>264</v>
      </c>
      <c r="Z590" t="s">
        <v>61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1.63</v>
      </c>
      <c r="AN590" s="2">
        <v>1.63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45957</v>
      </c>
      <c r="B591" t="s">
        <v>48</v>
      </c>
      <c r="C591">
        <v>649163</v>
      </c>
      <c r="D591">
        <v>2024619102</v>
      </c>
      <c r="E591" t="s">
        <v>659</v>
      </c>
      <c r="F591" t="s">
        <v>577</v>
      </c>
      <c r="G591" t="s">
        <v>51</v>
      </c>
      <c r="H591" t="s">
        <v>195</v>
      </c>
      <c r="I591" t="s">
        <v>378</v>
      </c>
      <c r="J591" t="s">
        <v>379</v>
      </c>
      <c r="K591">
        <v>650218</v>
      </c>
      <c r="L591" t="s">
        <v>357</v>
      </c>
      <c r="M591" t="s">
        <v>358</v>
      </c>
      <c r="N591" t="s">
        <v>57</v>
      </c>
      <c r="O591" s="1">
        <v>45536</v>
      </c>
      <c r="Q591" s="1">
        <v>45992</v>
      </c>
      <c r="R591" s="2">
        <v>36.11</v>
      </c>
      <c r="S591">
        <v>1</v>
      </c>
      <c r="T591" t="s">
        <v>58</v>
      </c>
      <c r="U591" t="s">
        <v>59</v>
      </c>
      <c r="V591" s="3">
        <v>0.06</v>
      </c>
      <c r="W591" s="2">
        <v>0</v>
      </c>
      <c r="X591">
        <v>0</v>
      </c>
      <c r="Y591" t="s">
        <v>264</v>
      </c>
      <c r="Z591" t="s">
        <v>61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2.17</v>
      </c>
      <c r="AN591" s="2">
        <v>2.17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45957</v>
      </c>
      <c r="B592" t="s">
        <v>48</v>
      </c>
      <c r="C592">
        <v>649163</v>
      </c>
      <c r="D592">
        <v>2024645159</v>
      </c>
      <c r="E592" t="s">
        <v>660</v>
      </c>
      <c r="F592" t="s">
        <v>661</v>
      </c>
      <c r="G592" t="s">
        <v>51</v>
      </c>
      <c r="H592" t="s">
        <v>195</v>
      </c>
      <c r="I592" t="s">
        <v>378</v>
      </c>
      <c r="J592" t="s">
        <v>379</v>
      </c>
      <c r="K592">
        <v>650218</v>
      </c>
      <c r="L592" t="s">
        <v>357</v>
      </c>
      <c r="M592" t="s">
        <v>358</v>
      </c>
      <c r="N592" t="s">
        <v>57</v>
      </c>
      <c r="O592" s="1">
        <v>45536</v>
      </c>
      <c r="Q592" s="1">
        <v>45992</v>
      </c>
      <c r="R592" s="2">
        <v>44.98</v>
      </c>
      <c r="S592">
        <v>1</v>
      </c>
      <c r="T592" t="s">
        <v>58</v>
      </c>
      <c r="U592" t="s">
        <v>59</v>
      </c>
      <c r="V592" s="3">
        <v>0.06</v>
      </c>
      <c r="W592" s="2">
        <v>0</v>
      </c>
      <c r="X592">
        <v>0</v>
      </c>
      <c r="Y592" t="s">
        <v>264</v>
      </c>
      <c r="Z592" t="s">
        <v>61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2.7</v>
      </c>
      <c r="AN592" s="2">
        <v>2.7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45957</v>
      </c>
      <c r="B593" t="s">
        <v>48</v>
      </c>
      <c r="C593">
        <v>649163</v>
      </c>
      <c r="D593">
        <v>2025028098</v>
      </c>
      <c r="E593" t="s">
        <v>844</v>
      </c>
      <c r="F593" t="s">
        <v>617</v>
      </c>
      <c r="G593" t="s">
        <v>51</v>
      </c>
      <c r="H593" t="s">
        <v>129</v>
      </c>
      <c r="I593" t="s">
        <v>378</v>
      </c>
      <c r="J593" t="s">
        <v>379</v>
      </c>
      <c r="K593">
        <v>673059</v>
      </c>
      <c r="L593" t="s">
        <v>55</v>
      </c>
      <c r="M593" t="s">
        <v>56</v>
      </c>
      <c r="N593" t="s">
        <v>57</v>
      </c>
      <c r="O593" s="1">
        <v>45561</v>
      </c>
      <c r="Q593" s="1">
        <v>45987</v>
      </c>
      <c r="R593" s="2">
        <v>37.840000000000003</v>
      </c>
      <c r="S593">
        <v>1</v>
      </c>
      <c r="T593" t="s">
        <v>58</v>
      </c>
      <c r="U593" t="s">
        <v>59</v>
      </c>
      <c r="V593" s="3">
        <v>0.06</v>
      </c>
      <c r="W593" s="2">
        <v>0</v>
      </c>
      <c r="X593">
        <v>0</v>
      </c>
      <c r="Y593" t="s">
        <v>264</v>
      </c>
      <c r="Z593" t="s">
        <v>61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2.27</v>
      </c>
      <c r="AN593" s="2">
        <v>2.27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45957</v>
      </c>
      <c r="B594" t="s">
        <v>48</v>
      </c>
      <c r="C594">
        <v>649163</v>
      </c>
      <c r="D594">
        <v>2025256823</v>
      </c>
      <c r="E594" t="s">
        <v>762</v>
      </c>
      <c r="F594" t="s">
        <v>763</v>
      </c>
      <c r="G594" t="s">
        <v>51</v>
      </c>
      <c r="H594" t="s">
        <v>69</v>
      </c>
      <c r="I594" t="s">
        <v>378</v>
      </c>
      <c r="J594" t="s">
        <v>379</v>
      </c>
      <c r="K594">
        <v>766747</v>
      </c>
      <c r="L594" t="s">
        <v>97</v>
      </c>
      <c r="M594" t="s">
        <v>98</v>
      </c>
      <c r="N594" t="s">
        <v>57</v>
      </c>
      <c r="O594" s="1">
        <v>45597</v>
      </c>
      <c r="Q594" s="1">
        <v>45992</v>
      </c>
      <c r="R594" s="2">
        <v>47.56</v>
      </c>
      <c r="S594">
        <v>1</v>
      </c>
      <c r="T594" t="s">
        <v>58</v>
      </c>
      <c r="U594" t="s">
        <v>59</v>
      </c>
      <c r="V594" s="3">
        <v>0.06</v>
      </c>
      <c r="W594" s="2">
        <v>0</v>
      </c>
      <c r="X594">
        <v>0</v>
      </c>
      <c r="Y594" t="s">
        <v>264</v>
      </c>
      <c r="Z594" t="s">
        <v>61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2.85</v>
      </c>
      <c r="AN594" s="2">
        <v>2.85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45957</v>
      </c>
      <c r="B595" t="s">
        <v>48</v>
      </c>
      <c r="C595">
        <v>649163</v>
      </c>
      <c r="D595">
        <v>2025280495</v>
      </c>
      <c r="E595" t="s">
        <v>664</v>
      </c>
      <c r="F595" t="s">
        <v>665</v>
      </c>
      <c r="G595" t="s">
        <v>51</v>
      </c>
      <c r="H595" t="s">
        <v>195</v>
      </c>
      <c r="I595" t="s">
        <v>378</v>
      </c>
      <c r="J595" t="s">
        <v>379</v>
      </c>
      <c r="K595">
        <v>650218</v>
      </c>
      <c r="L595" t="s">
        <v>357</v>
      </c>
      <c r="M595" t="s">
        <v>358</v>
      </c>
      <c r="N595" t="s">
        <v>57</v>
      </c>
      <c r="O595" s="1">
        <v>45597</v>
      </c>
      <c r="Q595" s="1">
        <v>45992</v>
      </c>
      <c r="R595" s="2">
        <v>27.11</v>
      </c>
      <c r="S595">
        <v>1</v>
      </c>
      <c r="T595" t="s">
        <v>58</v>
      </c>
      <c r="U595" t="s">
        <v>59</v>
      </c>
      <c r="V595" s="3">
        <v>0.06</v>
      </c>
      <c r="W595" s="2">
        <v>0</v>
      </c>
      <c r="X595">
        <v>0</v>
      </c>
      <c r="Y595" t="s">
        <v>264</v>
      </c>
      <c r="Z595" t="s">
        <v>61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1.63</v>
      </c>
      <c r="AN595" s="2">
        <v>1.63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45957</v>
      </c>
      <c r="B596" t="s">
        <v>48</v>
      </c>
      <c r="C596">
        <v>649163</v>
      </c>
      <c r="D596">
        <v>2025338057</v>
      </c>
      <c r="E596" t="s">
        <v>845</v>
      </c>
      <c r="F596" t="s">
        <v>846</v>
      </c>
      <c r="G596" t="s">
        <v>51</v>
      </c>
      <c r="H596" t="s">
        <v>69</v>
      </c>
      <c r="I596" t="s">
        <v>378</v>
      </c>
      <c r="J596" t="s">
        <v>379</v>
      </c>
      <c r="K596">
        <v>673059</v>
      </c>
      <c r="L596" t="s">
        <v>55</v>
      </c>
      <c r="M596" t="s">
        <v>56</v>
      </c>
      <c r="N596" t="s">
        <v>57</v>
      </c>
      <c r="O596" s="1">
        <v>45597</v>
      </c>
      <c r="Q596" s="1">
        <v>45992</v>
      </c>
      <c r="R596" s="2">
        <v>37.61</v>
      </c>
      <c r="S596">
        <v>1</v>
      </c>
      <c r="T596" t="s">
        <v>58</v>
      </c>
      <c r="U596" t="s">
        <v>59</v>
      </c>
      <c r="V596" s="3">
        <v>0.06</v>
      </c>
      <c r="W596" s="2">
        <v>0</v>
      </c>
      <c r="X596">
        <v>0</v>
      </c>
      <c r="Y596" t="s">
        <v>264</v>
      </c>
      <c r="Z596" t="s">
        <v>61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2.2599999999999998</v>
      </c>
      <c r="AN596" s="2">
        <v>2.2599999999999998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45957</v>
      </c>
      <c r="B597" t="s">
        <v>48</v>
      </c>
      <c r="C597">
        <v>649163</v>
      </c>
      <c r="D597">
        <v>2025422151</v>
      </c>
      <c r="E597" t="s">
        <v>669</v>
      </c>
      <c r="F597" t="s">
        <v>404</v>
      </c>
      <c r="G597" t="s">
        <v>51</v>
      </c>
      <c r="H597" t="s">
        <v>195</v>
      </c>
      <c r="I597" t="s">
        <v>378</v>
      </c>
      <c r="J597" t="s">
        <v>379</v>
      </c>
      <c r="K597">
        <v>650218</v>
      </c>
      <c r="L597" t="s">
        <v>357</v>
      </c>
      <c r="M597" t="s">
        <v>358</v>
      </c>
      <c r="N597" t="s">
        <v>57</v>
      </c>
      <c r="O597" s="1">
        <v>45597</v>
      </c>
      <c r="Q597" s="1">
        <v>45992</v>
      </c>
      <c r="R597" s="2">
        <v>53.08</v>
      </c>
      <c r="S597">
        <v>1</v>
      </c>
      <c r="T597" t="s">
        <v>58</v>
      </c>
      <c r="U597" t="s">
        <v>59</v>
      </c>
      <c r="V597" s="3">
        <v>0.06</v>
      </c>
      <c r="W597" s="2">
        <v>0</v>
      </c>
      <c r="X597">
        <v>0</v>
      </c>
      <c r="Y597" t="s">
        <v>264</v>
      </c>
      <c r="Z597" t="s">
        <v>61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3.18</v>
      </c>
      <c r="AN597" s="2">
        <v>3.18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45957</v>
      </c>
      <c r="B598" t="s">
        <v>48</v>
      </c>
      <c r="C598">
        <v>649163</v>
      </c>
      <c r="D598">
        <v>2025510781</v>
      </c>
      <c r="E598" t="s">
        <v>576</v>
      </c>
      <c r="F598" t="s">
        <v>847</v>
      </c>
      <c r="G598" t="s">
        <v>51</v>
      </c>
      <c r="H598" t="s">
        <v>439</v>
      </c>
      <c r="I598" t="s">
        <v>378</v>
      </c>
      <c r="J598" t="s">
        <v>379</v>
      </c>
      <c r="K598">
        <v>767312</v>
      </c>
      <c r="L598" t="s">
        <v>237</v>
      </c>
      <c r="M598" t="s">
        <v>103</v>
      </c>
      <c r="N598" t="s">
        <v>57</v>
      </c>
      <c r="O598" s="1">
        <v>45597</v>
      </c>
      <c r="Q598" s="1">
        <v>45992</v>
      </c>
      <c r="R598" s="2">
        <v>28.66</v>
      </c>
      <c r="S598">
        <v>1</v>
      </c>
      <c r="T598" t="s">
        <v>58</v>
      </c>
      <c r="U598" t="s">
        <v>59</v>
      </c>
      <c r="V598" s="3">
        <v>0.06</v>
      </c>
      <c r="W598" s="2">
        <v>0</v>
      </c>
      <c r="X598">
        <v>0</v>
      </c>
      <c r="Y598" t="s">
        <v>264</v>
      </c>
      <c r="Z598" t="s">
        <v>61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1.72</v>
      </c>
      <c r="AN598" s="2">
        <v>1.72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45957</v>
      </c>
      <c r="B599" t="s">
        <v>48</v>
      </c>
      <c r="C599">
        <v>649163</v>
      </c>
      <c r="D599">
        <v>2025525731</v>
      </c>
      <c r="E599" t="s">
        <v>848</v>
      </c>
      <c r="F599" t="s">
        <v>849</v>
      </c>
      <c r="G599" t="s">
        <v>51</v>
      </c>
      <c r="H599" t="s">
        <v>293</v>
      </c>
      <c r="I599" t="s">
        <v>378</v>
      </c>
      <c r="J599" t="s">
        <v>379</v>
      </c>
      <c r="K599">
        <v>767312</v>
      </c>
      <c r="L599" t="s">
        <v>237</v>
      </c>
      <c r="M599" t="s">
        <v>103</v>
      </c>
      <c r="N599" t="s">
        <v>57</v>
      </c>
      <c r="O599" s="1">
        <v>45595</v>
      </c>
      <c r="Q599" s="1">
        <v>45991</v>
      </c>
      <c r="R599" s="2">
        <v>27.04</v>
      </c>
      <c r="S599">
        <v>1</v>
      </c>
      <c r="T599" t="s">
        <v>58</v>
      </c>
      <c r="U599" t="s">
        <v>59</v>
      </c>
      <c r="V599" s="3">
        <v>0.06</v>
      </c>
      <c r="W599" s="2">
        <v>0</v>
      </c>
      <c r="X599">
        <v>0</v>
      </c>
      <c r="Y599" t="s">
        <v>264</v>
      </c>
      <c r="Z599" t="s">
        <v>61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1.62</v>
      </c>
      <c r="AN599" s="2">
        <v>1.62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45957</v>
      </c>
      <c r="B600" t="s">
        <v>48</v>
      </c>
      <c r="C600">
        <v>649163</v>
      </c>
      <c r="D600">
        <v>2025535694</v>
      </c>
      <c r="E600" t="s">
        <v>764</v>
      </c>
      <c r="F600" t="s">
        <v>765</v>
      </c>
      <c r="G600" t="s">
        <v>51</v>
      </c>
      <c r="H600" t="s">
        <v>52</v>
      </c>
      <c r="I600" t="s">
        <v>378</v>
      </c>
      <c r="J600" t="s">
        <v>379</v>
      </c>
      <c r="K600">
        <v>756418</v>
      </c>
      <c r="L600" t="s">
        <v>191</v>
      </c>
      <c r="M600" t="s">
        <v>192</v>
      </c>
      <c r="N600" t="s">
        <v>57</v>
      </c>
      <c r="O600" s="1">
        <v>45595</v>
      </c>
      <c r="Q600" s="1">
        <v>45991</v>
      </c>
      <c r="R600" s="2">
        <v>52.6</v>
      </c>
      <c r="S600">
        <v>1</v>
      </c>
      <c r="T600" t="s">
        <v>58</v>
      </c>
      <c r="U600" t="s">
        <v>59</v>
      </c>
      <c r="V600" s="3">
        <v>0.06</v>
      </c>
      <c r="W600" s="2">
        <v>0</v>
      </c>
      <c r="X600">
        <v>0</v>
      </c>
      <c r="Y600" t="s">
        <v>264</v>
      </c>
      <c r="Z600" t="s">
        <v>61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3.16</v>
      </c>
      <c r="AN600" s="2">
        <v>3.16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45957</v>
      </c>
      <c r="B601" t="s">
        <v>48</v>
      </c>
      <c r="C601">
        <v>649163</v>
      </c>
      <c r="D601">
        <v>2025541352</v>
      </c>
      <c r="E601" t="s">
        <v>672</v>
      </c>
      <c r="F601" t="s">
        <v>673</v>
      </c>
      <c r="G601" t="s">
        <v>51</v>
      </c>
      <c r="H601" t="s">
        <v>208</v>
      </c>
      <c r="I601" t="s">
        <v>378</v>
      </c>
      <c r="J601" t="s">
        <v>379</v>
      </c>
      <c r="K601">
        <v>650218</v>
      </c>
      <c r="L601" t="s">
        <v>357</v>
      </c>
      <c r="M601" t="s">
        <v>358</v>
      </c>
      <c r="N601" t="s">
        <v>57</v>
      </c>
      <c r="O601" s="1">
        <v>45597</v>
      </c>
      <c r="Q601" s="1">
        <v>45992</v>
      </c>
      <c r="R601" s="2">
        <v>34.049999999999997</v>
      </c>
      <c r="S601">
        <v>1</v>
      </c>
      <c r="T601" t="s">
        <v>58</v>
      </c>
      <c r="U601" t="s">
        <v>59</v>
      </c>
      <c r="V601" s="3">
        <v>0.06</v>
      </c>
      <c r="W601" s="2">
        <v>0</v>
      </c>
      <c r="X601">
        <v>0</v>
      </c>
      <c r="Y601" t="s">
        <v>264</v>
      </c>
      <c r="Z601" t="s">
        <v>61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2.04</v>
      </c>
      <c r="AN601" s="2">
        <v>2.04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45957</v>
      </c>
      <c r="B602" t="s">
        <v>48</v>
      </c>
      <c r="C602">
        <v>649163</v>
      </c>
      <c r="D602">
        <v>2025550301</v>
      </c>
      <c r="E602" t="s">
        <v>766</v>
      </c>
      <c r="F602" t="s">
        <v>240</v>
      </c>
      <c r="G602" t="s">
        <v>51</v>
      </c>
      <c r="H602" t="s">
        <v>52</v>
      </c>
      <c r="I602" t="s">
        <v>378</v>
      </c>
      <c r="J602" t="s">
        <v>379</v>
      </c>
      <c r="K602">
        <v>649164</v>
      </c>
      <c r="L602" t="s">
        <v>313</v>
      </c>
      <c r="M602" t="s">
        <v>314</v>
      </c>
      <c r="N602" t="s">
        <v>57</v>
      </c>
      <c r="O602" s="1">
        <v>45597</v>
      </c>
      <c r="Q602" s="1">
        <v>45992</v>
      </c>
      <c r="R602" s="2">
        <v>37.130000000000003</v>
      </c>
      <c r="S602">
        <v>1</v>
      </c>
      <c r="T602" t="s">
        <v>58</v>
      </c>
      <c r="U602" t="s">
        <v>59</v>
      </c>
      <c r="V602" s="3">
        <v>0.06</v>
      </c>
      <c r="W602" s="2">
        <v>0</v>
      </c>
      <c r="X602">
        <v>0</v>
      </c>
      <c r="Y602" t="s">
        <v>264</v>
      </c>
      <c r="Z602" t="s">
        <v>61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2.23</v>
      </c>
      <c r="AN602" s="2">
        <v>2.23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45957</v>
      </c>
      <c r="B603" t="s">
        <v>48</v>
      </c>
      <c r="C603">
        <v>649163</v>
      </c>
      <c r="D603">
        <v>2025560708</v>
      </c>
      <c r="E603" t="s">
        <v>850</v>
      </c>
      <c r="F603" t="s">
        <v>110</v>
      </c>
      <c r="G603" t="s">
        <v>51</v>
      </c>
      <c r="H603" t="s">
        <v>195</v>
      </c>
      <c r="I603" t="s">
        <v>378</v>
      </c>
      <c r="J603" t="s">
        <v>379</v>
      </c>
      <c r="K603">
        <v>780434</v>
      </c>
      <c r="L603" t="s">
        <v>499</v>
      </c>
      <c r="M603" t="s">
        <v>110</v>
      </c>
      <c r="N603" t="s">
        <v>57</v>
      </c>
      <c r="O603" s="1">
        <v>45597</v>
      </c>
      <c r="Q603" s="1">
        <v>45992</v>
      </c>
      <c r="R603" s="2">
        <v>200.79</v>
      </c>
      <c r="S603">
        <v>1</v>
      </c>
      <c r="T603" t="s">
        <v>58</v>
      </c>
      <c r="U603" t="s">
        <v>59</v>
      </c>
      <c r="V603" s="3">
        <v>0.06</v>
      </c>
      <c r="W603" s="2">
        <v>0</v>
      </c>
      <c r="X603">
        <v>0</v>
      </c>
      <c r="Y603" t="s">
        <v>264</v>
      </c>
      <c r="Z603" t="s">
        <v>61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12.05</v>
      </c>
      <c r="AN603" s="2">
        <v>12.05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45957</v>
      </c>
      <c r="B604" t="s">
        <v>48</v>
      </c>
      <c r="C604">
        <v>649163</v>
      </c>
      <c r="D604">
        <v>2025563318</v>
      </c>
      <c r="E604" t="s">
        <v>674</v>
      </c>
      <c r="F604" t="s">
        <v>675</v>
      </c>
      <c r="G604" t="s">
        <v>51</v>
      </c>
      <c r="H604" t="s">
        <v>78</v>
      </c>
      <c r="I604" t="s">
        <v>378</v>
      </c>
      <c r="J604" t="s">
        <v>379</v>
      </c>
      <c r="K604">
        <v>650218</v>
      </c>
      <c r="L604" t="s">
        <v>357</v>
      </c>
      <c r="M604" t="s">
        <v>358</v>
      </c>
      <c r="N604" t="s">
        <v>57</v>
      </c>
      <c r="O604" s="1">
        <v>45597</v>
      </c>
      <c r="Q604" s="1">
        <v>45992</v>
      </c>
      <c r="R604" s="2">
        <v>33.880000000000003</v>
      </c>
      <c r="S604">
        <v>1</v>
      </c>
      <c r="T604" t="s">
        <v>58</v>
      </c>
      <c r="U604" t="s">
        <v>59</v>
      </c>
      <c r="V604" s="3">
        <v>0.06</v>
      </c>
      <c r="W604" s="2">
        <v>0</v>
      </c>
      <c r="X604">
        <v>0</v>
      </c>
      <c r="Y604" t="s">
        <v>264</v>
      </c>
      <c r="Z604" t="s">
        <v>61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2.0299999999999998</v>
      </c>
      <c r="AN604" s="2">
        <v>2.0299999999999998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45957</v>
      </c>
      <c r="B605" t="s">
        <v>48</v>
      </c>
      <c r="C605">
        <v>649163</v>
      </c>
      <c r="D605">
        <v>2025639473</v>
      </c>
      <c r="E605" t="s">
        <v>851</v>
      </c>
      <c r="F605" t="s">
        <v>852</v>
      </c>
      <c r="G605" t="s">
        <v>51</v>
      </c>
      <c r="H605" t="s">
        <v>69</v>
      </c>
      <c r="I605" t="s">
        <v>378</v>
      </c>
      <c r="J605" t="s">
        <v>379</v>
      </c>
      <c r="K605">
        <v>789909</v>
      </c>
      <c r="L605" t="s">
        <v>243</v>
      </c>
      <c r="M605" t="s">
        <v>244</v>
      </c>
      <c r="N605" t="s">
        <v>57</v>
      </c>
      <c r="O605" s="1">
        <v>45689</v>
      </c>
      <c r="Q605" s="1">
        <v>45992</v>
      </c>
      <c r="R605" s="2">
        <v>60.94</v>
      </c>
      <c r="S605">
        <v>1</v>
      </c>
      <c r="T605" t="s">
        <v>58</v>
      </c>
      <c r="U605" t="s">
        <v>59</v>
      </c>
      <c r="V605" s="4">
        <v>0.375</v>
      </c>
      <c r="W605" s="2">
        <v>0</v>
      </c>
      <c r="X605">
        <v>0</v>
      </c>
      <c r="Y605" t="s">
        <v>60</v>
      </c>
      <c r="Z605" t="s">
        <v>61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22.85</v>
      </c>
      <c r="AN605" s="2">
        <v>22.85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45957</v>
      </c>
      <c r="B606" t="s">
        <v>48</v>
      </c>
      <c r="C606">
        <v>649163</v>
      </c>
      <c r="D606">
        <v>2025934062</v>
      </c>
      <c r="E606" t="s">
        <v>508</v>
      </c>
      <c r="F606" t="s">
        <v>509</v>
      </c>
      <c r="G606" t="s">
        <v>51</v>
      </c>
      <c r="H606" t="s">
        <v>195</v>
      </c>
      <c r="I606" t="s">
        <v>378</v>
      </c>
      <c r="J606" t="s">
        <v>379</v>
      </c>
      <c r="K606">
        <v>751867</v>
      </c>
      <c r="L606" t="s">
        <v>349</v>
      </c>
      <c r="M606" t="s">
        <v>312</v>
      </c>
      <c r="N606" t="s">
        <v>57</v>
      </c>
      <c r="O606" s="1">
        <v>45627</v>
      </c>
      <c r="Q606" s="1">
        <v>45962</v>
      </c>
      <c r="R606" s="2">
        <v>44.98</v>
      </c>
      <c r="S606">
        <v>1</v>
      </c>
      <c r="T606" t="s">
        <v>58</v>
      </c>
      <c r="U606" t="s">
        <v>59</v>
      </c>
      <c r="V606" s="4">
        <v>0.375</v>
      </c>
      <c r="W606" s="2">
        <v>0</v>
      </c>
      <c r="X606">
        <v>0</v>
      </c>
      <c r="Y606" t="s">
        <v>60</v>
      </c>
      <c r="Z606" t="s">
        <v>61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16.87</v>
      </c>
      <c r="AN606" s="2">
        <v>16.87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45957</v>
      </c>
      <c r="B607" t="s">
        <v>48</v>
      </c>
      <c r="C607">
        <v>649163</v>
      </c>
      <c r="D607">
        <v>2025967187</v>
      </c>
      <c r="E607" t="s">
        <v>547</v>
      </c>
      <c r="F607" t="s">
        <v>676</v>
      </c>
      <c r="G607" t="s">
        <v>51</v>
      </c>
      <c r="H607" t="s">
        <v>234</v>
      </c>
      <c r="I607" t="s">
        <v>378</v>
      </c>
      <c r="J607" t="s">
        <v>379</v>
      </c>
      <c r="K607">
        <v>756418</v>
      </c>
      <c r="L607" t="s">
        <v>191</v>
      </c>
      <c r="M607" t="s">
        <v>192</v>
      </c>
      <c r="N607" t="s">
        <v>57</v>
      </c>
      <c r="O607" s="1">
        <v>45626</v>
      </c>
      <c r="Q607" s="1">
        <v>45991</v>
      </c>
      <c r="R607" s="2">
        <v>30.46</v>
      </c>
      <c r="S607">
        <v>1</v>
      </c>
      <c r="T607" t="s">
        <v>58</v>
      </c>
      <c r="U607" t="s">
        <v>59</v>
      </c>
      <c r="V607" s="4">
        <v>0.375</v>
      </c>
      <c r="W607" s="2">
        <v>0</v>
      </c>
      <c r="X607">
        <v>0</v>
      </c>
      <c r="Y607" t="s">
        <v>60</v>
      </c>
      <c r="Z607" t="s">
        <v>61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11.42</v>
      </c>
      <c r="AN607" s="2">
        <v>11.42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45957</v>
      </c>
      <c r="B608" t="s">
        <v>48</v>
      </c>
      <c r="C608">
        <v>649163</v>
      </c>
      <c r="D608">
        <v>2025997431</v>
      </c>
      <c r="E608" t="s">
        <v>579</v>
      </c>
      <c r="F608" t="s">
        <v>490</v>
      </c>
      <c r="G608" t="s">
        <v>51</v>
      </c>
      <c r="H608" t="s">
        <v>81</v>
      </c>
      <c r="I608" t="s">
        <v>378</v>
      </c>
      <c r="J608" t="s">
        <v>379</v>
      </c>
      <c r="K608">
        <v>673059</v>
      </c>
      <c r="L608" t="s">
        <v>55</v>
      </c>
      <c r="M608" t="s">
        <v>56</v>
      </c>
      <c r="N608" t="s">
        <v>57</v>
      </c>
      <c r="O608" s="1">
        <v>45689</v>
      </c>
      <c r="Q608" s="1">
        <v>45992</v>
      </c>
      <c r="R608" s="2">
        <v>51.57</v>
      </c>
      <c r="S608">
        <v>1</v>
      </c>
      <c r="T608" t="s">
        <v>58</v>
      </c>
      <c r="U608" t="s">
        <v>59</v>
      </c>
      <c r="V608" s="4">
        <v>0.375</v>
      </c>
      <c r="W608" s="2">
        <v>0</v>
      </c>
      <c r="X608">
        <v>0</v>
      </c>
      <c r="Y608" t="s">
        <v>60</v>
      </c>
      <c r="Z608" t="s">
        <v>61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19.34</v>
      </c>
      <c r="AN608" s="2">
        <v>19.34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45957</v>
      </c>
      <c r="B609" t="s">
        <v>48</v>
      </c>
      <c r="C609">
        <v>649163</v>
      </c>
      <c r="D609">
        <v>2026006727</v>
      </c>
      <c r="E609" t="s">
        <v>771</v>
      </c>
      <c r="F609" t="s">
        <v>772</v>
      </c>
      <c r="G609" t="s">
        <v>51</v>
      </c>
      <c r="H609" t="s">
        <v>129</v>
      </c>
      <c r="I609" t="s">
        <v>378</v>
      </c>
      <c r="J609" t="s">
        <v>379</v>
      </c>
      <c r="K609">
        <v>673059</v>
      </c>
      <c r="L609" t="s">
        <v>55</v>
      </c>
      <c r="M609" t="s">
        <v>56</v>
      </c>
      <c r="N609" t="s">
        <v>57</v>
      </c>
      <c r="O609" s="1">
        <v>45655</v>
      </c>
      <c r="Q609" s="1">
        <v>45990</v>
      </c>
      <c r="R609" s="2">
        <v>65.989999999999995</v>
      </c>
      <c r="S609">
        <v>1</v>
      </c>
      <c r="T609" t="s">
        <v>58</v>
      </c>
      <c r="U609" t="s">
        <v>59</v>
      </c>
      <c r="V609" s="4">
        <v>0.375</v>
      </c>
      <c r="W609" s="2">
        <v>0</v>
      </c>
      <c r="X609">
        <v>0</v>
      </c>
      <c r="Y609" t="s">
        <v>60</v>
      </c>
      <c r="Z609" t="s">
        <v>61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24.75</v>
      </c>
      <c r="AN609" s="2">
        <v>24.75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45957</v>
      </c>
      <c r="B610" t="s">
        <v>48</v>
      </c>
      <c r="C610">
        <v>649163</v>
      </c>
      <c r="D610">
        <v>2026388600</v>
      </c>
      <c r="E610" t="s">
        <v>853</v>
      </c>
      <c r="F610" t="s">
        <v>98</v>
      </c>
      <c r="G610" t="s">
        <v>51</v>
      </c>
      <c r="H610" t="s">
        <v>261</v>
      </c>
      <c r="I610" t="s">
        <v>378</v>
      </c>
      <c r="J610" t="s">
        <v>379</v>
      </c>
      <c r="K610">
        <v>673059</v>
      </c>
      <c r="L610" t="s">
        <v>55</v>
      </c>
      <c r="M610" t="s">
        <v>56</v>
      </c>
      <c r="N610" t="s">
        <v>57</v>
      </c>
      <c r="O610" s="1">
        <v>45689</v>
      </c>
      <c r="Q610" s="1">
        <v>45992</v>
      </c>
      <c r="R610" s="2">
        <v>50.67</v>
      </c>
      <c r="S610">
        <v>1</v>
      </c>
      <c r="T610" t="s">
        <v>58</v>
      </c>
      <c r="U610" t="s">
        <v>59</v>
      </c>
      <c r="V610" s="4">
        <v>0.375</v>
      </c>
      <c r="W610" s="2">
        <v>0</v>
      </c>
      <c r="X610">
        <v>0</v>
      </c>
      <c r="Y610" t="s">
        <v>60</v>
      </c>
      <c r="Z610" t="s">
        <v>61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19</v>
      </c>
      <c r="AN610" s="2">
        <v>19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45957</v>
      </c>
      <c r="B611" t="s">
        <v>48</v>
      </c>
      <c r="C611">
        <v>649163</v>
      </c>
      <c r="D611">
        <v>2026421011</v>
      </c>
      <c r="E611" t="s">
        <v>775</v>
      </c>
      <c r="F611" t="s">
        <v>230</v>
      </c>
      <c r="G611" t="s">
        <v>51</v>
      </c>
      <c r="H611" t="s">
        <v>69</v>
      </c>
      <c r="I611" t="s">
        <v>378</v>
      </c>
      <c r="J611" t="s">
        <v>379</v>
      </c>
      <c r="K611">
        <v>766747</v>
      </c>
      <c r="L611" t="s">
        <v>97</v>
      </c>
      <c r="M611" t="s">
        <v>98</v>
      </c>
      <c r="N611" t="s">
        <v>57</v>
      </c>
      <c r="O611" s="1">
        <v>45689</v>
      </c>
      <c r="Q611" s="1">
        <v>45992</v>
      </c>
      <c r="R611" s="2">
        <v>48.61</v>
      </c>
      <c r="S611">
        <v>1</v>
      </c>
      <c r="T611" t="s">
        <v>58</v>
      </c>
      <c r="U611" t="s">
        <v>59</v>
      </c>
      <c r="V611" s="4">
        <v>0.375</v>
      </c>
      <c r="W611" s="2">
        <v>0</v>
      </c>
      <c r="X611">
        <v>0</v>
      </c>
      <c r="Y611" t="s">
        <v>60</v>
      </c>
      <c r="Z611" t="s">
        <v>61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18.23</v>
      </c>
      <c r="AN611" s="2">
        <v>18.23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45957</v>
      </c>
      <c r="B612" t="s">
        <v>48</v>
      </c>
      <c r="C612">
        <v>649163</v>
      </c>
      <c r="D612">
        <v>2026471873</v>
      </c>
      <c r="E612" t="s">
        <v>510</v>
      </c>
      <c r="F612" t="s">
        <v>511</v>
      </c>
      <c r="G612" t="s">
        <v>51</v>
      </c>
      <c r="H612" t="s">
        <v>182</v>
      </c>
      <c r="I612" t="s">
        <v>378</v>
      </c>
      <c r="J612" t="s">
        <v>379</v>
      </c>
      <c r="K612">
        <v>673059</v>
      </c>
      <c r="L612" t="s">
        <v>55</v>
      </c>
      <c r="M612" t="s">
        <v>56</v>
      </c>
      <c r="N612" t="s">
        <v>57</v>
      </c>
      <c r="O612" s="1">
        <v>45689</v>
      </c>
      <c r="Q612" s="1">
        <v>45992</v>
      </c>
      <c r="R612" s="2">
        <v>29.32</v>
      </c>
      <c r="S612">
        <v>1</v>
      </c>
      <c r="T612" t="s">
        <v>58</v>
      </c>
      <c r="U612" t="s">
        <v>59</v>
      </c>
      <c r="V612" s="4">
        <v>0.375</v>
      </c>
      <c r="W612" s="2">
        <v>0</v>
      </c>
      <c r="X612">
        <v>0</v>
      </c>
      <c r="Y612" t="s">
        <v>60</v>
      </c>
      <c r="Z612" t="s">
        <v>61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11</v>
      </c>
      <c r="AN612" s="2">
        <v>11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45957</v>
      </c>
      <c r="B613" t="s">
        <v>48</v>
      </c>
      <c r="C613">
        <v>649163</v>
      </c>
      <c r="D613">
        <v>2026477627</v>
      </c>
      <c r="E613" t="s">
        <v>776</v>
      </c>
      <c r="F613" t="s">
        <v>777</v>
      </c>
      <c r="G613" t="s">
        <v>51</v>
      </c>
      <c r="H613" t="s">
        <v>165</v>
      </c>
      <c r="I613" t="s">
        <v>378</v>
      </c>
      <c r="J613" t="s">
        <v>379</v>
      </c>
      <c r="K613">
        <v>673059</v>
      </c>
      <c r="L613" t="s">
        <v>55</v>
      </c>
      <c r="M613" t="s">
        <v>56</v>
      </c>
      <c r="N613" t="s">
        <v>57</v>
      </c>
      <c r="O613" s="1">
        <v>45689</v>
      </c>
      <c r="Q613" s="1">
        <v>45992</v>
      </c>
      <c r="R613" s="2">
        <v>27.95</v>
      </c>
      <c r="S613">
        <v>1</v>
      </c>
      <c r="T613" t="s">
        <v>58</v>
      </c>
      <c r="U613" t="s">
        <v>59</v>
      </c>
      <c r="V613" s="4">
        <v>0.375</v>
      </c>
      <c r="W613" s="2">
        <v>0</v>
      </c>
      <c r="X613">
        <v>0</v>
      </c>
      <c r="Y613" t="s">
        <v>60</v>
      </c>
      <c r="Z613" t="s">
        <v>61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10.48</v>
      </c>
      <c r="AN613" s="2">
        <v>10.48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45957</v>
      </c>
      <c r="B614" t="s">
        <v>48</v>
      </c>
      <c r="C614">
        <v>649163</v>
      </c>
      <c r="D614">
        <v>2026490244</v>
      </c>
      <c r="E614" t="s">
        <v>854</v>
      </c>
      <c r="F614" t="s">
        <v>855</v>
      </c>
      <c r="G614" t="s">
        <v>51</v>
      </c>
      <c r="H614" t="s">
        <v>69</v>
      </c>
      <c r="I614" t="s">
        <v>378</v>
      </c>
      <c r="J614" t="s">
        <v>379</v>
      </c>
      <c r="K614">
        <v>766747</v>
      </c>
      <c r="L614" t="s">
        <v>97</v>
      </c>
      <c r="M614" t="s">
        <v>98</v>
      </c>
      <c r="N614" t="s">
        <v>57</v>
      </c>
      <c r="O614" s="1">
        <v>45689</v>
      </c>
      <c r="Q614" s="1">
        <v>45992</v>
      </c>
      <c r="R614" s="2">
        <v>22.52</v>
      </c>
      <c r="S614">
        <v>1</v>
      </c>
      <c r="T614" t="s">
        <v>58</v>
      </c>
      <c r="U614" t="s">
        <v>59</v>
      </c>
      <c r="V614" s="4">
        <v>0.375</v>
      </c>
      <c r="W614" s="2">
        <v>0</v>
      </c>
      <c r="X614">
        <v>0</v>
      </c>
      <c r="Y614" t="s">
        <v>60</v>
      </c>
      <c r="Z614" t="s">
        <v>61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8.44</v>
      </c>
      <c r="AN614" s="2">
        <v>8.44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45957</v>
      </c>
      <c r="B615" t="s">
        <v>48</v>
      </c>
      <c r="C615">
        <v>649163</v>
      </c>
      <c r="D615">
        <v>2026541090</v>
      </c>
      <c r="E615" t="s">
        <v>678</v>
      </c>
      <c r="F615" t="s">
        <v>679</v>
      </c>
      <c r="G615" t="s">
        <v>51</v>
      </c>
      <c r="H615" t="s">
        <v>195</v>
      </c>
      <c r="I615" t="s">
        <v>378</v>
      </c>
      <c r="J615" t="s">
        <v>379</v>
      </c>
      <c r="K615">
        <v>650218</v>
      </c>
      <c r="L615" t="s">
        <v>357</v>
      </c>
      <c r="M615" t="s">
        <v>358</v>
      </c>
      <c r="N615" t="s">
        <v>57</v>
      </c>
      <c r="O615" s="1">
        <v>45689</v>
      </c>
      <c r="Q615" s="1">
        <v>45992</v>
      </c>
      <c r="R615" s="2">
        <v>53.08</v>
      </c>
      <c r="S615">
        <v>1</v>
      </c>
      <c r="T615" t="s">
        <v>58</v>
      </c>
      <c r="U615" t="s">
        <v>59</v>
      </c>
      <c r="V615" s="4">
        <v>0.375</v>
      </c>
      <c r="W615" s="2">
        <v>0</v>
      </c>
      <c r="X615">
        <v>0</v>
      </c>
      <c r="Y615" t="s">
        <v>60</v>
      </c>
      <c r="Z615" t="s">
        <v>61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19.899999999999999</v>
      </c>
      <c r="AN615" s="2">
        <v>19.899999999999999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45957</v>
      </c>
      <c r="B616" t="s">
        <v>48</v>
      </c>
      <c r="C616">
        <v>649163</v>
      </c>
      <c r="D616">
        <v>2026605718</v>
      </c>
      <c r="E616" t="s">
        <v>582</v>
      </c>
      <c r="F616" t="s">
        <v>106</v>
      </c>
      <c r="G616" t="s">
        <v>51</v>
      </c>
      <c r="H616" t="s">
        <v>92</v>
      </c>
      <c r="I616" t="s">
        <v>378</v>
      </c>
      <c r="J616" t="s">
        <v>379</v>
      </c>
      <c r="K616">
        <v>816021</v>
      </c>
      <c r="L616" t="s">
        <v>93</v>
      </c>
      <c r="M616" t="s">
        <v>94</v>
      </c>
      <c r="N616" t="s">
        <v>57</v>
      </c>
      <c r="O616" s="1">
        <v>45689</v>
      </c>
      <c r="Q616" s="1">
        <v>45992</v>
      </c>
      <c r="R616" s="2">
        <v>29.18</v>
      </c>
      <c r="S616">
        <v>1</v>
      </c>
      <c r="T616" t="s">
        <v>58</v>
      </c>
      <c r="U616" t="s">
        <v>59</v>
      </c>
      <c r="V616" s="4">
        <v>0.375</v>
      </c>
      <c r="W616" s="2">
        <v>0</v>
      </c>
      <c r="X616">
        <v>0</v>
      </c>
      <c r="Y616" t="s">
        <v>60</v>
      </c>
      <c r="Z616" t="s">
        <v>61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10.94</v>
      </c>
      <c r="AN616" s="2">
        <v>10.94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45957</v>
      </c>
      <c r="B617" t="s">
        <v>48</v>
      </c>
      <c r="C617">
        <v>649163</v>
      </c>
      <c r="D617">
        <v>2026608091</v>
      </c>
      <c r="E617" t="s">
        <v>856</v>
      </c>
      <c r="F617" t="s">
        <v>268</v>
      </c>
      <c r="G617" t="s">
        <v>51</v>
      </c>
      <c r="H617" t="s">
        <v>92</v>
      </c>
      <c r="I617" t="s">
        <v>378</v>
      </c>
      <c r="J617" t="s">
        <v>379</v>
      </c>
      <c r="K617">
        <v>816021</v>
      </c>
      <c r="L617" t="s">
        <v>93</v>
      </c>
      <c r="M617" t="s">
        <v>94</v>
      </c>
      <c r="N617" t="s">
        <v>57</v>
      </c>
      <c r="O617" s="1">
        <v>45689</v>
      </c>
      <c r="Q617" s="1">
        <v>45992</v>
      </c>
      <c r="R617" s="2">
        <v>38.74</v>
      </c>
      <c r="S617">
        <v>1</v>
      </c>
      <c r="T617" t="s">
        <v>58</v>
      </c>
      <c r="U617" t="s">
        <v>59</v>
      </c>
      <c r="V617" s="4">
        <v>0.375</v>
      </c>
      <c r="W617" s="2">
        <v>0</v>
      </c>
      <c r="X617">
        <v>0</v>
      </c>
      <c r="Y617" t="s">
        <v>60</v>
      </c>
      <c r="Z617" t="s">
        <v>61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14.53</v>
      </c>
      <c r="AN617" s="2">
        <v>14.53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45957</v>
      </c>
      <c r="B618" t="s">
        <v>48</v>
      </c>
      <c r="C618">
        <v>649163</v>
      </c>
      <c r="D618">
        <v>2026610949</v>
      </c>
      <c r="E618" t="s">
        <v>512</v>
      </c>
      <c r="F618" t="s">
        <v>513</v>
      </c>
      <c r="G618" t="s">
        <v>51</v>
      </c>
      <c r="H618" t="s">
        <v>195</v>
      </c>
      <c r="I618" t="s">
        <v>378</v>
      </c>
      <c r="J618" t="s">
        <v>379</v>
      </c>
      <c r="K618">
        <v>751867</v>
      </c>
      <c r="L618" t="s">
        <v>349</v>
      </c>
      <c r="M618" t="s">
        <v>312</v>
      </c>
      <c r="N618" t="s">
        <v>57</v>
      </c>
      <c r="O618" s="1">
        <v>45689</v>
      </c>
      <c r="Q618" s="1">
        <v>45992</v>
      </c>
      <c r="R618" s="2">
        <v>44.98</v>
      </c>
      <c r="S618">
        <v>1</v>
      </c>
      <c r="T618" t="s">
        <v>58</v>
      </c>
      <c r="U618" t="s">
        <v>59</v>
      </c>
      <c r="V618" s="4">
        <v>0.375</v>
      </c>
      <c r="W618" s="2">
        <v>0</v>
      </c>
      <c r="X618">
        <v>0</v>
      </c>
      <c r="Y618" t="s">
        <v>60</v>
      </c>
      <c r="Z618" t="s">
        <v>61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16.87</v>
      </c>
      <c r="AN618" s="2">
        <v>16.87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45957</v>
      </c>
      <c r="B619" t="s">
        <v>48</v>
      </c>
      <c r="C619">
        <v>649163</v>
      </c>
      <c r="D619">
        <v>2026613384</v>
      </c>
      <c r="E619" t="s">
        <v>583</v>
      </c>
      <c r="F619" t="s">
        <v>490</v>
      </c>
      <c r="G619" t="s">
        <v>51</v>
      </c>
      <c r="H619" t="s">
        <v>52</v>
      </c>
      <c r="I619" t="s">
        <v>378</v>
      </c>
      <c r="J619" t="s">
        <v>379</v>
      </c>
      <c r="K619">
        <v>673059</v>
      </c>
      <c r="L619" t="s">
        <v>55</v>
      </c>
      <c r="M619" t="s">
        <v>56</v>
      </c>
      <c r="N619" t="s">
        <v>57</v>
      </c>
      <c r="O619" s="1">
        <v>45689</v>
      </c>
      <c r="Q619" s="1">
        <v>45992</v>
      </c>
      <c r="R619" s="2">
        <v>120.34</v>
      </c>
      <c r="S619">
        <v>1</v>
      </c>
      <c r="T619" t="s">
        <v>58</v>
      </c>
      <c r="U619" t="s">
        <v>59</v>
      </c>
      <c r="V619" s="4">
        <v>0.375</v>
      </c>
      <c r="W619" s="2">
        <v>0</v>
      </c>
      <c r="X619">
        <v>0</v>
      </c>
      <c r="Y619" t="s">
        <v>60</v>
      </c>
      <c r="Z619" t="s">
        <v>61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45.13</v>
      </c>
      <c r="AN619" s="2">
        <v>45.13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45957</v>
      </c>
      <c r="B620" t="s">
        <v>48</v>
      </c>
      <c r="C620">
        <v>649163</v>
      </c>
      <c r="D620">
        <v>2026619111</v>
      </c>
      <c r="E620" t="s">
        <v>591</v>
      </c>
      <c r="F620" t="s">
        <v>592</v>
      </c>
      <c r="G620" t="s">
        <v>51</v>
      </c>
      <c r="H620" t="s">
        <v>165</v>
      </c>
      <c r="I620" t="s">
        <v>378</v>
      </c>
      <c r="J620" t="s">
        <v>379</v>
      </c>
      <c r="K620">
        <v>673059</v>
      </c>
      <c r="L620" t="s">
        <v>55</v>
      </c>
      <c r="M620" t="s">
        <v>56</v>
      </c>
      <c r="N620" t="s">
        <v>57</v>
      </c>
      <c r="O620" s="1">
        <v>45689</v>
      </c>
      <c r="Q620" s="1">
        <v>45992</v>
      </c>
      <c r="R620" s="2">
        <v>129.41</v>
      </c>
      <c r="S620">
        <v>1</v>
      </c>
      <c r="T620" t="s">
        <v>58</v>
      </c>
      <c r="U620" t="s">
        <v>59</v>
      </c>
      <c r="V620" s="4">
        <v>0.375</v>
      </c>
      <c r="W620" s="2">
        <v>0</v>
      </c>
      <c r="X620">
        <v>0</v>
      </c>
      <c r="Y620" t="s">
        <v>60</v>
      </c>
      <c r="Z620" t="s">
        <v>61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48.53</v>
      </c>
      <c r="AN620" s="2">
        <v>48.53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45957</v>
      </c>
      <c r="B621" t="s">
        <v>48</v>
      </c>
      <c r="C621">
        <v>649163</v>
      </c>
      <c r="D621">
        <v>2026627934</v>
      </c>
      <c r="E621" t="s">
        <v>857</v>
      </c>
      <c r="F621" t="s">
        <v>858</v>
      </c>
      <c r="G621" t="s">
        <v>51</v>
      </c>
      <c r="H621" t="s">
        <v>92</v>
      </c>
      <c r="I621" t="s">
        <v>378</v>
      </c>
      <c r="J621" t="s">
        <v>379</v>
      </c>
      <c r="K621">
        <v>816021</v>
      </c>
      <c r="L621" t="s">
        <v>93</v>
      </c>
      <c r="M621" t="s">
        <v>94</v>
      </c>
      <c r="N621" t="s">
        <v>57</v>
      </c>
      <c r="O621" s="1">
        <v>45689</v>
      </c>
      <c r="Q621" s="1">
        <v>45992</v>
      </c>
      <c r="R621" s="2">
        <v>79.06</v>
      </c>
      <c r="S621">
        <v>1</v>
      </c>
      <c r="T621" t="s">
        <v>58</v>
      </c>
      <c r="U621" t="s">
        <v>59</v>
      </c>
      <c r="V621" s="4">
        <v>0.375</v>
      </c>
      <c r="W621" s="2">
        <v>0</v>
      </c>
      <c r="X621">
        <v>0</v>
      </c>
      <c r="Y621" t="s">
        <v>60</v>
      </c>
      <c r="Z621" t="s">
        <v>61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29.65</v>
      </c>
      <c r="AN621" s="2">
        <v>29.65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45957</v>
      </c>
      <c r="B622" t="s">
        <v>48</v>
      </c>
      <c r="C622">
        <v>649163</v>
      </c>
      <c r="D622">
        <v>2026637550</v>
      </c>
      <c r="E622" t="s">
        <v>859</v>
      </c>
      <c r="F622" t="s">
        <v>860</v>
      </c>
      <c r="G622" t="s">
        <v>51</v>
      </c>
      <c r="H622" t="s">
        <v>69</v>
      </c>
      <c r="I622" t="s">
        <v>378</v>
      </c>
      <c r="J622" t="s">
        <v>379</v>
      </c>
      <c r="K622">
        <v>812782</v>
      </c>
      <c r="L622" t="s">
        <v>114</v>
      </c>
      <c r="M622" t="s">
        <v>115</v>
      </c>
      <c r="N622" t="s">
        <v>57</v>
      </c>
      <c r="O622" s="1">
        <v>45689</v>
      </c>
      <c r="Q622" s="1">
        <v>45992</v>
      </c>
      <c r="R622" s="2">
        <v>48.61</v>
      </c>
      <c r="S622">
        <v>1</v>
      </c>
      <c r="T622" t="s">
        <v>58</v>
      </c>
      <c r="U622" t="s">
        <v>59</v>
      </c>
      <c r="V622" s="4">
        <v>0.375</v>
      </c>
      <c r="W622" s="2">
        <v>0</v>
      </c>
      <c r="X622">
        <v>0</v>
      </c>
      <c r="Y622" t="s">
        <v>60</v>
      </c>
      <c r="Z622" t="s">
        <v>61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18.23</v>
      </c>
      <c r="AN622" s="2">
        <v>18.23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45957</v>
      </c>
      <c r="B623" t="s">
        <v>48</v>
      </c>
      <c r="C623">
        <v>649163</v>
      </c>
      <c r="D623">
        <v>2026653705</v>
      </c>
      <c r="E623" t="s">
        <v>861</v>
      </c>
      <c r="F623" t="s">
        <v>543</v>
      </c>
      <c r="G623" t="s">
        <v>51</v>
      </c>
      <c r="H623" t="s">
        <v>69</v>
      </c>
      <c r="I623" t="s">
        <v>378</v>
      </c>
      <c r="J623" t="s">
        <v>379</v>
      </c>
      <c r="K623">
        <v>812782</v>
      </c>
      <c r="L623" t="s">
        <v>114</v>
      </c>
      <c r="M623" t="s">
        <v>115</v>
      </c>
      <c r="N623" t="s">
        <v>57</v>
      </c>
      <c r="O623" s="1">
        <v>45689</v>
      </c>
      <c r="Q623" s="1">
        <v>45992</v>
      </c>
      <c r="R623" s="2">
        <v>48.61</v>
      </c>
      <c r="S623">
        <v>1</v>
      </c>
      <c r="T623" t="s">
        <v>58</v>
      </c>
      <c r="U623" t="s">
        <v>59</v>
      </c>
      <c r="V623" s="4">
        <v>0.375</v>
      </c>
      <c r="W623" s="2">
        <v>0</v>
      </c>
      <c r="X623">
        <v>0</v>
      </c>
      <c r="Y623" t="s">
        <v>60</v>
      </c>
      <c r="Z623" t="s">
        <v>61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18.23</v>
      </c>
      <c r="AN623" s="2">
        <v>18.23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45957</v>
      </c>
      <c r="B624" t="s">
        <v>48</v>
      </c>
      <c r="C624">
        <v>649163</v>
      </c>
      <c r="D624">
        <v>2026699527</v>
      </c>
      <c r="E624" t="s">
        <v>862</v>
      </c>
      <c r="F624" t="s">
        <v>863</v>
      </c>
      <c r="G624" t="s">
        <v>51</v>
      </c>
      <c r="H624" t="s">
        <v>69</v>
      </c>
      <c r="I624" t="s">
        <v>378</v>
      </c>
      <c r="J624" t="s">
        <v>379</v>
      </c>
      <c r="K624">
        <v>812782</v>
      </c>
      <c r="L624" t="s">
        <v>114</v>
      </c>
      <c r="M624" t="s">
        <v>115</v>
      </c>
      <c r="N624" t="s">
        <v>57</v>
      </c>
      <c r="O624" s="1">
        <v>45689</v>
      </c>
      <c r="Q624" s="1">
        <v>45992</v>
      </c>
      <c r="R624" s="2">
        <v>124.13</v>
      </c>
      <c r="S624">
        <v>1</v>
      </c>
      <c r="T624" t="s">
        <v>58</v>
      </c>
      <c r="U624" t="s">
        <v>59</v>
      </c>
      <c r="V624" s="4">
        <v>0.375</v>
      </c>
      <c r="W624" s="2">
        <v>0</v>
      </c>
      <c r="X624">
        <v>0</v>
      </c>
      <c r="Y624" t="s">
        <v>60</v>
      </c>
      <c r="Z624" t="s">
        <v>61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46.55</v>
      </c>
      <c r="AN624" s="2">
        <v>46.55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45957</v>
      </c>
      <c r="B625" t="s">
        <v>48</v>
      </c>
      <c r="C625">
        <v>649163</v>
      </c>
      <c r="D625">
        <v>2026728415</v>
      </c>
      <c r="E625" t="s">
        <v>864</v>
      </c>
      <c r="F625" t="s">
        <v>865</v>
      </c>
      <c r="G625" t="s">
        <v>51</v>
      </c>
      <c r="H625" t="s">
        <v>69</v>
      </c>
      <c r="I625" t="s">
        <v>378</v>
      </c>
      <c r="J625" t="s">
        <v>379</v>
      </c>
      <c r="K625">
        <v>822723</v>
      </c>
      <c r="L625" t="s">
        <v>151</v>
      </c>
      <c r="M625" t="s">
        <v>152</v>
      </c>
      <c r="N625" t="s">
        <v>57</v>
      </c>
      <c r="O625" s="1">
        <v>45689</v>
      </c>
      <c r="Q625" s="1">
        <v>45992</v>
      </c>
      <c r="R625" s="2">
        <v>136.09</v>
      </c>
      <c r="S625">
        <v>1</v>
      </c>
      <c r="T625" t="s">
        <v>58</v>
      </c>
      <c r="U625" t="s">
        <v>59</v>
      </c>
      <c r="V625" s="4">
        <v>0.375</v>
      </c>
      <c r="W625" s="2">
        <v>0</v>
      </c>
      <c r="X625">
        <v>0</v>
      </c>
      <c r="Y625" t="s">
        <v>60</v>
      </c>
      <c r="Z625" t="s">
        <v>61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51.03</v>
      </c>
      <c r="AN625" s="2">
        <v>51.03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45957</v>
      </c>
      <c r="B626" t="s">
        <v>48</v>
      </c>
      <c r="C626">
        <v>649163</v>
      </c>
      <c r="D626">
        <v>2026748269</v>
      </c>
      <c r="E626" t="s">
        <v>518</v>
      </c>
      <c r="F626" t="s">
        <v>519</v>
      </c>
      <c r="G626" t="s">
        <v>51</v>
      </c>
      <c r="H626" t="s">
        <v>195</v>
      </c>
      <c r="I626" t="s">
        <v>378</v>
      </c>
      <c r="J626" t="s">
        <v>379</v>
      </c>
      <c r="K626">
        <v>649247</v>
      </c>
      <c r="L626" t="s">
        <v>321</v>
      </c>
      <c r="M626" t="s">
        <v>322</v>
      </c>
      <c r="N626" t="s">
        <v>57</v>
      </c>
      <c r="O626" s="1">
        <v>45689</v>
      </c>
      <c r="Q626" s="1">
        <v>45992</v>
      </c>
      <c r="R626" s="2">
        <v>111.84</v>
      </c>
      <c r="S626">
        <v>1</v>
      </c>
      <c r="T626" t="s">
        <v>58</v>
      </c>
      <c r="U626" t="s">
        <v>59</v>
      </c>
      <c r="V626" s="4">
        <v>0.375</v>
      </c>
      <c r="W626" s="2">
        <v>0</v>
      </c>
      <c r="X626">
        <v>0</v>
      </c>
      <c r="Y626" t="s">
        <v>60</v>
      </c>
      <c r="Z626" t="s">
        <v>61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41.94</v>
      </c>
      <c r="AN626" s="2">
        <v>41.94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45957</v>
      </c>
      <c r="B627" t="s">
        <v>48</v>
      </c>
      <c r="C627">
        <v>649163</v>
      </c>
      <c r="D627">
        <v>2026753813</v>
      </c>
      <c r="E627" t="s">
        <v>866</v>
      </c>
      <c r="F627" t="s">
        <v>236</v>
      </c>
      <c r="G627" t="s">
        <v>51</v>
      </c>
      <c r="H627" t="s">
        <v>719</v>
      </c>
      <c r="I627" t="s">
        <v>378</v>
      </c>
      <c r="J627" t="s">
        <v>379</v>
      </c>
      <c r="K627">
        <v>780434</v>
      </c>
      <c r="L627" t="s">
        <v>499</v>
      </c>
      <c r="M627" t="s">
        <v>110</v>
      </c>
      <c r="N627" t="s">
        <v>57</v>
      </c>
      <c r="O627" s="1">
        <v>45689</v>
      </c>
      <c r="Q627" s="1">
        <v>45992</v>
      </c>
      <c r="R627" s="2">
        <v>229.61</v>
      </c>
      <c r="S627">
        <v>1</v>
      </c>
      <c r="T627" t="s">
        <v>58</v>
      </c>
      <c r="U627" t="s">
        <v>59</v>
      </c>
      <c r="V627" s="4">
        <v>0.375</v>
      </c>
      <c r="W627" s="2">
        <v>0</v>
      </c>
      <c r="X627">
        <v>0</v>
      </c>
      <c r="Y627" t="s">
        <v>60</v>
      </c>
      <c r="Z627" t="s">
        <v>61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86.1</v>
      </c>
      <c r="AN627" s="2">
        <v>86.1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45957</v>
      </c>
      <c r="B628" t="s">
        <v>48</v>
      </c>
      <c r="C628">
        <v>649163</v>
      </c>
      <c r="D628">
        <v>2026755179</v>
      </c>
      <c r="E628" t="s">
        <v>867</v>
      </c>
      <c r="F628" t="s">
        <v>868</v>
      </c>
      <c r="G628" t="s">
        <v>51</v>
      </c>
      <c r="H628" t="s">
        <v>247</v>
      </c>
      <c r="I628" t="s">
        <v>378</v>
      </c>
      <c r="J628" t="s">
        <v>379</v>
      </c>
      <c r="K628">
        <v>673059</v>
      </c>
      <c r="L628" t="s">
        <v>55</v>
      </c>
      <c r="M628" t="s">
        <v>56</v>
      </c>
      <c r="N628" t="s">
        <v>57</v>
      </c>
      <c r="O628" s="1">
        <v>45689</v>
      </c>
      <c r="Q628" s="1">
        <v>45992</v>
      </c>
      <c r="R628" s="2">
        <v>46.53</v>
      </c>
      <c r="S628">
        <v>1</v>
      </c>
      <c r="T628" t="s">
        <v>58</v>
      </c>
      <c r="U628" t="s">
        <v>59</v>
      </c>
      <c r="V628" s="4">
        <v>0.375</v>
      </c>
      <c r="W628" s="2">
        <v>0</v>
      </c>
      <c r="X628">
        <v>0</v>
      </c>
      <c r="Y628" t="s">
        <v>60</v>
      </c>
      <c r="Z628" t="s">
        <v>61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17.45</v>
      </c>
      <c r="AN628" s="2">
        <v>17.45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45957</v>
      </c>
      <c r="B629" t="s">
        <v>48</v>
      </c>
      <c r="C629">
        <v>649163</v>
      </c>
      <c r="D629">
        <v>2026757479</v>
      </c>
      <c r="E629" t="s">
        <v>869</v>
      </c>
      <c r="F629" t="s">
        <v>354</v>
      </c>
      <c r="G629" t="s">
        <v>51</v>
      </c>
      <c r="H629" t="s">
        <v>52</v>
      </c>
      <c r="I629" t="s">
        <v>378</v>
      </c>
      <c r="J629" t="s">
        <v>379</v>
      </c>
      <c r="K629">
        <v>650794</v>
      </c>
      <c r="L629" t="s">
        <v>155</v>
      </c>
      <c r="M629" t="s">
        <v>481</v>
      </c>
      <c r="N629" t="s">
        <v>57</v>
      </c>
      <c r="O629" s="1">
        <v>45682</v>
      </c>
      <c r="Q629" s="1">
        <v>45986</v>
      </c>
      <c r="R629" s="2">
        <v>61.9</v>
      </c>
      <c r="S629">
        <v>1</v>
      </c>
      <c r="T629" t="s">
        <v>58</v>
      </c>
      <c r="U629" t="s">
        <v>59</v>
      </c>
      <c r="V629" s="4">
        <v>0.375</v>
      </c>
      <c r="W629" s="2">
        <v>0</v>
      </c>
      <c r="X629">
        <v>0</v>
      </c>
      <c r="Y629" t="s">
        <v>60</v>
      </c>
      <c r="Z629" t="s">
        <v>61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23.21</v>
      </c>
      <c r="AN629" s="2">
        <v>23.21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45957</v>
      </c>
      <c r="B630" t="s">
        <v>48</v>
      </c>
      <c r="C630">
        <v>649163</v>
      </c>
      <c r="D630">
        <v>2026760029</v>
      </c>
      <c r="E630" t="s">
        <v>870</v>
      </c>
      <c r="F630" t="s">
        <v>871</v>
      </c>
      <c r="G630" t="s">
        <v>51</v>
      </c>
      <c r="H630" t="s">
        <v>872</v>
      </c>
      <c r="I630" t="s">
        <v>378</v>
      </c>
      <c r="J630" t="s">
        <v>379</v>
      </c>
      <c r="K630">
        <v>767312</v>
      </c>
      <c r="L630" t="s">
        <v>237</v>
      </c>
      <c r="M630" t="s">
        <v>103</v>
      </c>
      <c r="N630" t="s">
        <v>57</v>
      </c>
      <c r="O630" s="1">
        <v>45682</v>
      </c>
      <c r="Q630" s="1">
        <v>45986</v>
      </c>
      <c r="R630" s="2">
        <v>22.84</v>
      </c>
      <c r="S630">
        <v>1</v>
      </c>
      <c r="T630" t="s">
        <v>58</v>
      </c>
      <c r="U630" t="s">
        <v>59</v>
      </c>
      <c r="V630" s="4">
        <v>0.375</v>
      </c>
      <c r="W630" s="2">
        <v>0</v>
      </c>
      <c r="X630">
        <v>0</v>
      </c>
      <c r="Y630" t="s">
        <v>60</v>
      </c>
      <c r="Z630" t="s">
        <v>61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8.56</v>
      </c>
      <c r="AN630" s="2">
        <v>8.56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45957</v>
      </c>
      <c r="B631" t="s">
        <v>48</v>
      </c>
      <c r="C631">
        <v>649163</v>
      </c>
      <c r="D631">
        <v>2026766428</v>
      </c>
      <c r="E631" t="s">
        <v>873</v>
      </c>
      <c r="F631" t="s">
        <v>874</v>
      </c>
      <c r="G631" t="s">
        <v>51</v>
      </c>
      <c r="H631" t="s">
        <v>69</v>
      </c>
      <c r="I631" t="s">
        <v>378</v>
      </c>
      <c r="J631" t="s">
        <v>379</v>
      </c>
      <c r="K631">
        <v>792847</v>
      </c>
      <c r="L631" t="s">
        <v>371</v>
      </c>
      <c r="M631" t="s">
        <v>372</v>
      </c>
      <c r="N631" t="s">
        <v>57</v>
      </c>
      <c r="O631" s="1">
        <v>45689</v>
      </c>
      <c r="Q631" s="1">
        <v>45992</v>
      </c>
      <c r="R631" s="2">
        <v>90.76</v>
      </c>
      <c r="S631">
        <v>1</v>
      </c>
      <c r="T631" t="s">
        <v>58</v>
      </c>
      <c r="U631" t="s">
        <v>59</v>
      </c>
      <c r="V631" s="4">
        <v>0.375</v>
      </c>
      <c r="W631" s="2">
        <v>0</v>
      </c>
      <c r="X631">
        <v>0</v>
      </c>
      <c r="Y631" t="s">
        <v>60</v>
      </c>
      <c r="Z631" t="s">
        <v>61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34.04</v>
      </c>
      <c r="AN631" s="2">
        <v>34.04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45957</v>
      </c>
      <c r="B632" t="s">
        <v>48</v>
      </c>
      <c r="C632">
        <v>649163</v>
      </c>
      <c r="D632">
        <v>2026781461</v>
      </c>
      <c r="E632" t="s">
        <v>875</v>
      </c>
      <c r="F632" t="s">
        <v>835</v>
      </c>
      <c r="G632" t="s">
        <v>51</v>
      </c>
      <c r="H632" t="s">
        <v>69</v>
      </c>
      <c r="I632" t="s">
        <v>378</v>
      </c>
      <c r="J632" t="s">
        <v>379</v>
      </c>
      <c r="K632">
        <v>812782</v>
      </c>
      <c r="L632" t="s">
        <v>114</v>
      </c>
      <c r="M632" t="s">
        <v>115</v>
      </c>
      <c r="N632" t="s">
        <v>57</v>
      </c>
      <c r="O632" s="1">
        <v>45689</v>
      </c>
      <c r="Q632" s="1">
        <v>45992</v>
      </c>
      <c r="R632" s="2">
        <v>51.01</v>
      </c>
      <c r="S632">
        <v>1</v>
      </c>
      <c r="T632" t="s">
        <v>58</v>
      </c>
      <c r="U632" t="s">
        <v>59</v>
      </c>
      <c r="V632" s="4">
        <v>0.375</v>
      </c>
      <c r="W632" s="2">
        <v>0</v>
      </c>
      <c r="X632">
        <v>0</v>
      </c>
      <c r="Y632" t="s">
        <v>60</v>
      </c>
      <c r="Z632" t="s">
        <v>61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19.13</v>
      </c>
      <c r="AN632" s="2">
        <v>19.13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45957</v>
      </c>
      <c r="B633" t="s">
        <v>48</v>
      </c>
      <c r="C633">
        <v>649163</v>
      </c>
      <c r="D633">
        <v>2026806628</v>
      </c>
      <c r="E633" t="s">
        <v>876</v>
      </c>
      <c r="F633" t="s">
        <v>647</v>
      </c>
      <c r="G633" t="s">
        <v>51</v>
      </c>
      <c r="H633" t="s">
        <v>190</v>
      </c>
      <c r="I633" t="s">
        <v>378</v>
      </c>
      <c r="J633" t="s">
        <v>379</v>
      </c>
      <c r="K633">
        <v>812994</v>
      </c>
      <c r="L633" t="s">
        <v>228</v>
      </c>
      <c r="M633" t="s">
        <v>229</v>
      </c>
      <c r="N633" t="s">
        <v>57</v>
      </c>
      <c r="O633" s="1">
        <v>45689</v>
      </c>
      <c r="Q633" s="1">
        <v>45992</v>
      </c>
      <c r="R633" s="2">
        <v>56.52</v>
      </c>
      <c r="S633">
        <v>1</v>
      </c>
      <c r="T633" t="s">
        <v>58</v>
      </c>
      <c r="U633" t="s">
        <v>59</v>
      </c>
      <c r="V633" s="4">
        <v>0.375</v>
      </c>
      <c r="W633" s="2">
        <v>0</v>
      </c>
      <c r="X633">
        <v>0</v>
      </c>
      <c r="Y633" t="s">
        <v>60</v>
      </c>
      <c r="Z633" t="s">
        <v>61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21.2</v>
      </c>
      <c r="AN633" s="2">
        <v>21.2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45957</v>
      </c>
      <c r="B634" t="s">
        <v>48</v>
      </c>
      <c r="C634">
        <v>649163</v>
      </c>
      <c r="D634">
        <v>2026807606</v>
      </c>
      <c r="E634" t="s">
        <v>598</v>
      </c>
      <c r="F634" t="s">
        <v>599</v>
      </c>
      <c r="G634" t="s">
        <v>51</v>
      </c>
      <c r="H634" t="s">
        <v>247</v>
      </c>
      <c r="I634" t="s">
        <v>378</v>
      </c>
      <c r="J634" t="s">
        <v>379</v>
      </c>
      <c r="K634">
        <v>673059</v>
      </c>
      <c r="L634" t="s">
        <v>55</v>
      </c>
      <c r="M634" t="s">
        <v>56</v>
      </c>
      <c r="N634" t="s">
        <v>57</v>
      </c>
      <c r="O634" s="1">
        <v>45689</v>
      </c>
      <c r="Q634" s="1">
        <v>45992</v>
      </c>
      <c r="R634" s="2">
        <v>46.53</v>
      </c>
      <c r="S634">
        <v>1</v>
      </c>
      <c r="T634" t="s">
        <v>58</v>
      </c>
      <c r="U634" t="s">
        <v>59</v>
      </c>
      <c r="V634" s="4">
        <v>0.375</v>
      </c>
      <c r="W634" s="2">
        <v>0</v>
      </c>
      <c r="X634">
        <v>0</v>
      </c>
      <c r="Y634" t="s">
        <v>60</v>
      </c>
      <c r="Z634" t="s">
        <v>61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17.45</v>
      </c>
      <c r="AN634" s="2">
        <v>17.45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45957</v>
      </c>
      <c r="B635" t="s">
        <v>48</v>
      </c>
      <c r="C635">
        <v>649163</v>
      </c>
      <c r="D635">
        <v>2026809781</v>
      </c>
      <c r="E635" t="s">
        <v>877</v>
      </c>
      <c r="F635" t="s">
        <v>878</v>
      </c>
      <c r="G635" t="s">
        <v>51</v>
      </c>
      <c r="H635" t="s">
        <v>69</v>
      </c>
      <c r="I635" t="s">
        <v>378</v>
      </c>
      <c r="J635" t="s">
        <v>379</v>
      </c>
      <c r="K635">
        <v>824062</v>
      </c>
      <c r="L635" t="s">
        <v>74</v>
      </c>
      <c r="M635" t="s">
        <v>75</v>
      </c>
      <c r="N635" t="s">
        <v>57</v>
      </c>
      <c r="O635" s="1">
        <v>45689</v>
      </c>
      <c r="Q635" s="1">
        <v>45992</v>
      </c>
      <c r="R635" s="2">
        <v>64.760000000000005</v>
      </c>
      <c r="S635">
        <v>1</v>
      </c>
      <c r="T635" t="s">
        <v>58</v>
      </c>
      <c r="U635" t="s">
        <v>59</v>
      </c>
      <c r="V635" s="4">
        <v>0.375</v>
      </c>
      <c r="W635" s="2">
        <v>0</v>
      </c>
      <c r="X635">
        <v>0</v>
      </c>
      <c r="Y635" t="s">
        <v>60</v>
      </c>
      <c r="Z635" t="s">
        <v>61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24.28</v>
      </c>
      <c r="AN635" s="2">
        <v>24.28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45957</v>
      </c>
      <c r="B636" t="s">
        <v>48</v>
      </c>
      <c r="C636">
        <v>649163</v>
      </c>
      <c r="D636">
        <v>2026812431</v>
      </c>
      <c r="E636" t="s">
        <v>600</v>
      </c>
      <c r="F636" t="s">
        <v>601</v>
      </c>
      <c r="G636" t="s">
        <v>51</v>
      </c>
      <c r="H636" t="s">
        <v>92</v>
      </c>
      <c r="I636" t="s">
        <v>378</v>
      </c>
      <c r="J636" t="s">
        <v>379</v>
      </c>
      <c r="K636">
        <v>816021</v>
      </c>
      <c r="L636" t="s">
        <v>93</v>
      </c>
      <c r="M636" t="s">
        <v>94</v>
      </c>
      <c r="N636" t="s">
        <v>57</v>
      </c>
      <c r="O636" s="1">
        <v>45690</v>
      </c>
      <c r="Q636" s="1">
        <v>45993</v>
      </c>
      <c r="R636" s="2">
        <v>158.06</v>
      </c>
      <c r="S636">
        <v>1</v>
      </c>
      <c r="T636" t="s">
        <v>58</v>
      </c>
      <c r="U636" t="s">
        <v>59</v>
      </c>
      <c r="V636" s="4">
        <v>0.375</v>
      </c>
      <c r="W636" s="2">
        <v>0</v>
      </c>
      <c r="X636">
        <v>0</v>
      </c>
      <c r="Y636" t="s">
        <v>60</v>
      </c>
      <c r="Z636" t="s">
        <v>61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59.27</v>
      </c>
      <c r="AN636" s="2">
        <v>59.27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45957</v>
      </c>
      <c r="B637" t="s">
        <v>48</v>
      </c>
      <c r="C637">
        <v>649163</v>
      </c>
      <c r="D637">
        <v>2026817011</v>
      </c>
      <c r="E637" t="s">
        <v>602</v>
      </c>
      <c r="F637" t="s">
        <v>603</v>
      </c>
      <c r="G637" t="s">
        <v>51</v>
      </c>
      <c r="H637" t="s">
        <v>92</v>
      </c>
      <c r="I637" t="s">
        <v>378</v>
      </c>
      <c r="J637" t="s">
        <v>379</v>
      </c>
      <c r="K637">
        <v>796984</v>
      </c>
      <c r="L637" t="s">
        <v>604</v>
      </c>
      <c r="M637" t="s">
        <v>110</v>
      </c>
      <c r="N637" t="s">
        <v>57</v>
      </c>
      <c r="O637" s="1">
        <v>45689</v>
      </c>
      <c r="Q637" s="1">
        <v>45992</v>
      </c>
      <c r="R637" s="2">
        <v>53.08</v>
      </c>
      <c r="S637">
        <v>1</v>
      </c>
      <c r="T637" t="s">
        <v>58</v>
      </c>
      <c r="U637" t="s">
        <v>59</v>
      </c>
      <c r="V637" s="4">
        <v>0.375</v>
      </c>
      <c r="W637" s="2">
        <v>0</v>
      </c>
      <c r="X637">
        <v>0</v>
      </c>
      <c r="Y637" t="s">
        <v>60</v>
      </c>
      <c r="Z637" t="s">
        <v>61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19.899999999999999</v>
      </c>
      <c r="AN637" s="2">
        <v>19.899999999999999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45957</v>
      </c>
      <c r="B638" t="s">
        <v>48</v>
      </c>
      <c r="C638">
        <v>649163</v>
      </c>
      <c r="D638">
        <v>2026836000</v>
      </c>
      <c r="E638" t="s">
        <v>879</v>
      </c>
      <c r="F638" t="s">
        <v>880</v>
      </c>
      <c r="G638" t="s">
        <v>51</v>
      </c>
      <c r="H638" t="s">
        <v>69</v>
      </c>
      <c r="I638" t="s">
        <v>378</v>
      </c>
      <c r="J638" t="s">
        <v>379</v>
      </c>
      <c r="K638">
        <v>812782</v>
      </c>
      <c r="L638" t="s">
        <v>114</v>
      </c>
      <c r="M638" t="s">
        <v>115</v>
      </c>
      <c r="N638" t="s">
        <v>57</v>
      </c>
      <c r="O638" s="1">
        <v>45689</v>
      </c>
      <c r="Q638" s="1">
        <v>45992</v>
      </c>
      <c r="R638" s="2">
        <v>57.11</v>
      </c>
      <c r="S638">
        <v>1</v>
      </c>
      <c r="T638" t="s">
        <v>58</v>
      </c>
      <c r="U638" t="s">
        <v>59</v>
      </c>
      <c r="V638" s="4">
        <v>0.375</v>
      </c>
      <c r="W638" s="2">
        <v>0</v>
      </c>
      <c r="X638">
        <v>0</v>
      </c>
      <c r="Y638" t="s">
        <v>60</v>
      </c>
      <c r="Z638" t="s">
        <v>61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21.42</v>
      </c>
      <c r="AN638" s="2">
        <v>21.42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45957</v>
      </c>
      <c r="B639" t="s">
        <v>48</v>
      </c>
      <c r="C639">
        <v>649163</v>
      </c>
      <c r="D639">
        <v>2026838332</v>
      </c>
      <c r="E639" t="s">
        <v>881</v>
      </c>
      <c r="F639" t="s">
        <v>216</v>
      </c>
      <c r="G639" t="s">
        <v>51</v>
      </c>
      <c r="H639" t="s">
        <v>69</v>
      </c>
      <c r="I639" t="s">
        <v>378</v>
      </c>
      <c r="J639" t="s">
        <v>379</v>
      </c>
      <c r="K639">
        <v>814033</v>
      </c>
      <c r="L639" t="s">
        <v>147</v>
      </c>
      <c r="M639" t="s">
        <v>148</v>
      </c>
      <c r="N639" t="s">
        <v>57</v>
      </c>
      <c r="O639" s="1">
        <v>45689</v>
      </c>
      <c r="Q639" s="1">
        <v>45992</v>
      </c>
      <c r="R639" s="2">
        <v>83.05</v>
      </c>
      <c r="S639">
        <v>1</v>
      </c>
      <c r="T639" t="s">
        <v>58</v>
      </c>
      <c r="U639" t="s">
        <v>59</v>
      </c>
      <c r="V639" s="4">
        <v>0.375</v>
      </c>
      <c r="W639" s="2">
        <v>0</v>
      </c>
      <c r="X639">
        <v>0</v>
      </c>
      <c r="Y639" t="s">
        <v>60</v>
      </c>
      <c r="Z639" t="s">
        <v>61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31.14</v>
      </c>
      <c r="AN639" s="2">
        <v>31.14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45957</v>
      </c>
      <c r="B640" t="s">
        <v>48</v>
      </c>
      <c r="C640">
        <v>649163</v>
      </c>
      <c r="D640">
        <v>2026839647</v>
      </c>
      <c r="E640" t="s">
        <v>882</v>
      </c>
      <c r="F640" t="s">
        <v>417</v>
      </c>
      <c r="G640" t="s">
        <v>51</v>
      </c>
      <c r="H640" t="s">
        <v>145</v>
      </c>
      <c r="I640" t="s">
        <v>378</v>
      </c>
      <c r="J640" t="s">
        <v>379</v>
      </c>
      <c r="K640">
        <v>822723</v>
      </c>
      <c r="L640" t="s">
        <v>151</v>
      </c>
      <c r="M640" t="s">
        <v>152</v>
      </c>
      <c r="N640" t="s">
        <v>57</v>
      </c>
      <c r="O640" s="1">
        <v>45689</v>
      </c>
      <c r="Q640" s="1">
        <v>45992</v>
      </c>
      <c r="R640" s="2">
        <v>66.650000000000006</v>
      </c>
      <c r="S640">
        <v>1</v>
      </c>
      <c r="T640" t="s">
        <v>58</v>
      </c>
      <c r="U640" t="s">
        <v>59</v>
      </c>
      <c r="V640" s="4">
        <v>0.375</v>
      </c>
      <c r="W640" s="2">
        <v>0</v>
      </c>
      <c r="X640">
        <v>0</v>
      </c>
      <c r="Y640" t="s">
        <v>60</v>
      </c>
      <c r="Z640" t="s">
        <v>61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24.99</v>
      </c>
      <c r="AN640" s="2">
        <v>24.99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45957</v>
      </c>
      <c r="B641" t="s">
        <v>48</v>
      </c>
      <c r="C641">
        <v>649163</v>
      </c>
      <c r="D641">
        <v>2026874971</v>
      </c>
      <c r="E641" t="s">
        <v>522</v>
      </c>
      <c r="F641" t="s">
        <v>66</v>
      </c>
      <c r="G641" t="s">
        <v>51</v>
      </c>
      <c r="H641" t="s">
        <v>64</v>
      </c>
      <c r="I641" t="s">
        <v>378</v>
      </c>
      <c r="J641" t="s">
        <v>379</v>
      </c>
      <c r="K641">
        <v>751867</v>
      </c>
      <c r="L641" t="s">
        <v>349</v>
      </c>
      <c r="M641" t="s">
        <v>312</v>
      </c>
      <c r="N641" t="s">
        <v>57</v>
      </c>
      <c r="O641" s="1">
        <v>45689</v>
      </c>
      <c r="Q641" s="1">
        <v>45992</v>
      </c>
      <c r="R641" s="2">
        <v>140.77000000000001</v>
      </c>
      <c r="S641">
        <v>1</v>
      </c>
      <c r="T641" t="s">
        <v>58</v>
      </c>
      <c r="U641" t="s">
        <v>59</v>
      </c>
      <c r="V641" s="4">
        <v>0.375</v>
      </c>
      <c r="W641" s="2">
        <v>0</v>
      </c>
      <c r="X641">
        <v>0</v>
      </c>
      <c r="Y641" t="s">
        <v>60</v>
      </c>
      <c r="Z641" t="s">
        <v>61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52.79</v>
      </c>
      <c r="AN641" s="2">
        <v>52.79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45957</v>
      </c>
      <c r="B642" t="s">
        <v>48</v>
      </c>
      <c r="C642">
        <v>649163</v>
      </c>
      <c r="D642">
        <v>2027321380</v>
      </c>
      <c r="E642" t="s">
        <v>883</v>
      </c>
      <c r="F642" t="s">
        <v>884</v>
      </c>
      <c r="G642" t="s">
        <v>51</v>
      </c>
      <c r="H642" t="s">
        <v>69</v>
      </c>
      <c r="I642" t="s">
        <v>378</v>
      </c>
      <c r="J642" t="s">
        <v>379</v>
      </c>
      <c r="K642">
        <v>673059</v>
      </c>
      <c r="L642" t="s">
        <v>55</v>
      </c>
      <c r="M642" t="s">
        <v>56</v>
      </c>
      <c r="N642" t="s">
        <v>57</v>
      </c>
      <c r="O642" s="1">
        <v>45713</v>
      </c>
      <c r="Q642" s="1">
        <v>45986</v>
      </c>
      <c r="R642" s="2">
        <v>27.64</v>
      </c>
      <c r="S642">
        <v>1</v>
      </c>
      <c r="T642" t="s">
        <v>58</v>
      </c>
      <c r="U642" t="s">
        <v>59</v>
      </c>
      <c r="V642" s="4">
        <v>0.375</v>
      </c>
      <c r="W642" s="2">
        <v>0</v>
      </c>
      <c r="X642">
        <v>0</v>
      </c>
      <c r="Y642" t="s">
        <v>60</v>
      </c>
      <c r="Z642" t="s">
        <v>61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10.36</v>
      </c>
      <c r="AN642" s="2">
        <v>10.36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45957</v>
      </c>
      <c r="B643" t="s">
        <v>48</v>
      </c>
      <c r="C643">
        <v>649163</v>
      </c>
      <c r="D643">
        <v>2027343741</v>
      </c>
      <c r="E643" t="s">
        <v>885</v>
      </c>
      <c r="F643" t="s">
        <v>886</v>
      </c>
      <c r="G643" t="s">
        <v>51</v>
      </c>
      <c r="H643" t="s">
        <v>261</v>
      </c>
      <c r="I643" t="s">
        <v>378</v>
      </c>
      <c r="J643" t="s">
        <v>379</v>
      </c>
      <c r="K643">
        <v>673059</v>
      </c>
      <c r="L643" t="s">
        <v>55</v>
      </c>
      <c r="M643" t="s">
        <v>56</v>
      </c>
      <c r="N643" t="s">
        <v>57</v>
      </c>
      <c r="O643" s="1">
        <v>45714</v>
      </c>
      <c r="Q643" s="1">
        <v>45987</v>
      </c>
      <c r="R643" s="2">
        <v>59.58</v>
      </c>
      <c r="S643">
        <v>1</v>
      </c>
      <c r="T643" t="s">
        <v>58</v>
      </c>
      <c r="U643" t="s">
        <v>59</v>
      </c>
      <c r="V643" s="4">
        <v>0.375</v>
      </c>
      <c r="W643" s="2">
        <v>0</v>
      </c>
      <c r="X643">
        <v>0</v>
      </c>
      <c r="Y643" t="s">
        <v>60</v>
      </c>
      <c r="Z643" t="s">
        <v>61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22.34</v>
      </c>
      <c r="AN643" s="2">
        <v>22.34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45957</v>
      </c>
      <c r="B644" t="s">
        <v>48</v>
      </c>
      <c r="C644">
        <v>649163</v>
      </c>
      <c r="D644">
        <v>2027398848</v>
      </c>
      <c r="E644" t="s">
        <v>606</v>
      </c>
      <c r="F644" t="s">
        <v>607</v>
      </c>
      <c r="G644" t="s">
        <v>51</v>
      </c>
      <c r="H644" t="s">
        <v>52</v>
      </c>
      <c r="I644" t="s">
        <v>378</v>
      </c>
      <c r="J644" t="s">
        <v>379</v>
      </c>
      <c r="K644">
        <v>673059</v>
      </c>
      <c r="L644" t="s">
        <v>55</v>
      </c>
      <c r="M644" t="s">
        <v>56</v>
      </c>
      <c r="N644" t="s">
        <v>57</v>
      </c>
      <c r="O644" s="1">
        <v>45748</v>
      </c>
      <c r="Q644" s="1">
        <v>45992</v>
      </c>
      <c r="R644" s="2">
        <v>92.08</v>
      </c>
      <c r="S644">
        <v>1</v>
      </c>
      <c r="T644" t="s">
        <v>58</v>
      </c>
      <c r="U644" t="s">
        <v>59</v>
      </c>
      <c r="V644" s="4">
        <v>0.375</v>
      </c>
      <c r="W644" s="2">
        <v>0</v>
      </c>
      <c r="X644">
        <v>0</v>
      </c>
      <c r="Y644" t="s">
        <v>60</v>
      </c>
      <c r="Z644" t="s">
        <v>61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34.53</v>
      </c>
      <c r="AN644" s="2">
        <v>34.53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45957</v>
      </c>
      <c r="B645" t="s">
        <v>48</v>
      </c>
      <c r="C645">
        <v>649163</v>
      </c>
      <c r="D645">
        <v>2027430396</v>
      </c>
      <c r="E645" t="s">
        <v>887</v>
      </c>
      <c r="F645" t="s">
        <v>888</v>
      </c>
      <c r="G645" t="s">
        <v>51</v>
      </c>
      <c r="H645" t="s">
        <v>69</v>
      </c>
      <c r="I645" t="s">
        <v>378</v>
      </c>
      <c r="J645" t="s">
        <v>379</v>
      </c>
      <c r="K645">
        <v>807212</v>
      </c>
      <c r="L645" t="s">
        <v>769</v>
      </c>
      <c r="M645" t="s">
        <v>770</v>
      </c>
      <c r="N645" t="s">
        <v>57</v>
      </c>
      <c r="O645" s="1">
        <v>45716</v>
      </c>
      <c r="Q645" s="1">
        <v>45989</v>
      </c>
      <c r="R645" s="2">
        <v>113.66</v>
      </c>
      <c r="S645">
        <v>1</v>
      </c>
      <c r="T645" t="s">
        <v>58</v>
      </c>
      <c r="U645" t="s">
        <v>59</v>
      </c>
      <c r="V645" s="4">
        <v>0.375</v>
      </c>
      <c r="W645" s="2">
        <v>0</v>
      </c>
      <c r="X645">
        <v>0</v>
      </c>
      <c r="Y645" t="s">
        <v>60</v>
      </c>
      <c r="Z645" t="s">
        <v>61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42.62</v>
      </c>
      <c r="AN645" s="2">
        <v>42.62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45957</v>
      </c>
      <c r="B646" t="s">
        <v>48</v>
      </c>
      <c r="C646">
        <v>649163</v>
      </c>
      <c r="D646">
        <v>2027431059</v>
      </c>
      <c r="E646" t="s">
        <v>889</v>
      </c>
      <c r="F646" t="s">
        <v>890</v>
      </c>
      <c r="G646" t="s">
        <v>51</v>
      </c>
      <c r="H646" t="s">
        <v>190</v>
      </c>
      <c r="I646" t="s">
        <v>378</v>
      </c>
      <c r="J646" t="s">
        <v>379</v>
      </c>
      <c r="K646">
        <v>767312</v>
      </c>
      <c r="L646" t="s">
        <v>237</v>
      </c>
      <c r="M646" t="s">
        <v>103</v>
      </c>
      <c r="N646" t="s">
        <v>57</v>
      </c>
      <c r="O646" s="1">
        <v>45716</v>
      </c>
      <c r="Q646" s="1">
        <v>45989</v>
      </c>
      <c r="R646" s="2">
        <v>29.06</v>
      </c>
      <c r="S646">
        <v>1</v>
      </c>
      <c r="T646" t="s">
        <v>58</v>
      </c>
      <c r="U646" t="s">
        <v>59</v>
      </c>
      <c r="V646" s="4">
        <v>0.375</v>
      </c>
      <c r="W646" s="2">
        <v>0</v>
      </c>
      <c r="X646">
        <v>0</v>
      </c>
      <c r="Y646" t="s">
        <v>60</v>
      </c>
      <c r="Z646" t="s">
        <v>61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10.9</v>
      </c>
      <c r="AN646" s="2">
        <v>10.9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45957</v>
      </c>
      <c r="B647" t="s">
        <v>48</v>
      </c>
      <c r="C647">
        <v>649163</v>
      </c>
      <c r="D647">
        <v>2027741057</v>
      </c>
      <c r="E647" t="s">
        <v>608</v>
      </c>
      <c r="F647" t="s">
        <v>609</v>
      </c>
      <c r="G647" t="s">
        <v>51</v>
      </c>
      <c r="H647" t="s">
        <v>69</v>
      </c>
      <c r="I647" t="s">
        <v>378</v>
      </c>
      <c r="J647" t="s">
        <v>379</v>
      </c>
      <c r="K647">
        <v>766747</v>
      </c>
      <c r="L647" t="s">
        <v>97</v>
      </c>
      <c r="M647" t="s">
        <v>98</v>
      </c>
      <c r="N647" t="s">
        <v>57</v>
      </c>
      <c r="O647" s="1">
        <v>45748</v>
      </c>
      <c r="Q647" s="1">
        <v>45992</v>
      </c>
      <c r="R647" s="2">
        <v>32.67</v>
      </c>
      <c r="S647">
        <v>1</v>
      </c>
      <c r="T647" t="s">
        <v>58</v>
      </c>
      <c r="U647" t="s">
        <v>59</v>
      </c>
      <c r="V647" s="4">
        <v>0.375</v>
      </c>
      <c r="W647" s="2">
        <v>0</v>
      </c>
      <c r="X647">
        <v>0</v>
      </c>
      <c r="Y647" t="s">
        <v>60</v>
      </c>
      <c r="Z647" t="s">
        <v>61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12.25</v>
      </c>
      <c r="AN647" s="2">
        <v>12.25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45957</v>
      </c>
      <c r="B648" t="s">
        <v>48</v>
      </c>
      <c r="C648">
        <v>649163</v>
      </c>
      <c r="D648">
        <v>2027743284</v>
      </c>
      <c r="E648" t="s">
        <v>610</v>
      </c>
      <c r="F648" t="s">
        <v>324</v>
      </c>
      <c r="G648" t="s">
        <v>51</v>
      </c>
      <c r="H648" t="s">
        <v>182</v>
      </c>
      <c r="I648" t="s">
        <v>378</v>
      </c>
      <c r="J648" t="s">
        <v>379</v>
      </c>
      <c r="K648">
        <v>673059</v>
      </c>
      <c r="L648" t="s">
        <v>55</v>
      </c>
      <c r="M648" t="s">
        <v>56</v>
      </c>
      <c r="N648" t="s">
        <v>57</v>
      </c>
      <c r="O648" s="1">
        <v>45748</v>
      </c>
      <c r="Q648" s="1">
        <v>45992</v>
      </c>
      <c r="R648" s="2">
        <v>103.95</v>
      </c>
      <c r="S648">
        <v>1</v>
      </c>
      <c r="T648" t="s">
        <v>58</v>
      </c>
      <c r="U648" t="s">
        <v>59</v>
      </c>
      <c r="V648" s="4">
        <v>0.375</v>
      </c>
      <c r="W648" s="2">
        <v>0</v>
      </c>
      <c r="X648">
        <v>0</v>
      </c>
      <c r="Y648" t="s">
        <v>60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38.979999999999997</v>
      </c>
      <c r="AN648" s="2">
        <v>38.979999999999997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45957</v>
      </c>
      <c r="B649" t="s">
        <v>48</v>
      </c>
      <c r="C649">
        <v>649163</v>
      </c>
      <c r="D649">
        <v>2027745348</v>
      </c>
      <c r="E649" t="s">
        <v>526</v>
      </c>
      <c r="F649" t="s">
        <v>527</v>
      </c>
      <c r="G649" t="s">
        <v>51</v>
      </c>
      <c r="H649" t="s">
        <v>276</v>
      </c>
      <c r="I649" t="s">
        <v>378</v>
      </c>
      <c r="J649" t="s">
        <v>379</v>
      </c>
      <c r="K649">
        <v>673059</v>
      </c>
      <c r="L649" t="s">
        <v>55</v>
      </c>
      <c r="M649" t="s">
        <v>56</v>
      </c>
      <c r="N649" t="s">
        <v>57</v>
      </c>
      <c r="O649" s="1">
        <v>45748</v>
      </c>
      <c r="Q649" s="1">
        <v>45992</v>
      </c>
      <c r="R649" s="2">
        <v>45.77</v>
      </c>
      <c r="S649">
        <v>1</v>
      </c>
      <c r="T649" t="s">
        <v>58</v>
      </c>
      <c r="U649" t="s">
        <v>59</v>
      </c>
      <c r="V649" s="4">
        <v>0.375</v>
      </c>
      <c r="W649" s="2">
        <v>0</v>
      </c>
      <c r="X649">
        <v>0</v>
      </c>
      <c r="Y649" t="s">
        <v>60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17.16</v>
      </c>
      <c r="AN649" s="2">
        <v>17.16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45957</v>
      </c>
      <c r="B650" t="s">
        <v>48</v>
      </c>
      <c r="C650">
        <v>649163</v>
      </c>
      <c r="D650">
        <v>2027857788</v>
      </c>
      <c r="E650" t="s">
        <v>891</v>
      </c>
      <c r="F650" t="s">
        <v>892</v>
      </c>
      <c r="G650" t="s">
        <v>51</v>
      </c>
      <c r="H650" t="s">
        <v>165</v>
      </c>
      <c r="I650" t="s">
        <v>378</v>
      </c>
      <c r="J650" t="s">
        <v>379</v>
      </c>
      <c r="K650">
        <v>822723</v>
      </c>
      <c r="L650" t="s">
        <v>151</v>
      </c>
      <c r="M650" t="s">
        <v>152</v>
      </c>
      <c r="N650" t="s">
        <v>57</v>
      </c>
      <c r="O650" s="1">
        <v>45748</v>
      </c>
      <c r="Q650" s="1">
        <v>45992</v>
      </c>
      <c r="R650" s="2">
        <v>37.869999999999997</v>
      </c>
      <c r="S650">
        <v>1</v>
      </c>
      <c r="T650" t="s">
        <v>58</v>
      </c>
      <c r="U650" t="s">
        <v>59</v>
      </c>
      <c r="V650" s="4">
        <v>0.375</v>
      </c>
      <c r="W650" s="2">
        <v>0</v>
      </c>
      <c r="X650">
        <v>0</v>
      </c>
      <c r="Y650" t="s">
        <v>60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14.2</v>
      </c>
      <c r="AN650" s="2">
        <v>14.2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45957</v>
      </c>
      <c r="B651" t="s">
        <v>48</v>
      </c>
      <c r="C651">
        <v>649163</v>
      </c>
      <c r="D651">
        <v>2027858971</v>
      </c>
      <c r="E651" t="s">
        <v>893</v>
      </c>
      <c r="F651" t="s">
        <v>576</v>
      </c>
      <c r="G651" t="s">
        <v>51</v>
      </c>
      <c r="H651" t="s">
        <v>69</v>
      </c>
      <c r="I651" t="s">
        <v>378</v>
      </c>
      <c r="J651" t="s">
        <v>379</v>
      </c>
      <c r="K651">
        <v>813181</v>
      </c>
      <c r="L651" t="s">
        <v>894</v>
      </c>
      <c r="M651" t="s">
        <v>675</v>
      </c>
      <c r="N651" t="s">
        <v>57</v>
      </c>
      <c r="O651" s="1">
        <v>45748</v>
      </c>
      <c r="Q651" s="1">
        <v>45992</v>
      </c>
      <c r="R651" s="2">
        <v>57.11</v>
      </c>
      <c r="S651">
        <v>1</v>
      </c>
      <c r="T651" t="s">
        <v>58</v>
      </c>
      <c r="U651" t="s">
        <v>59</v>
      </c>
      <c r="V651" s="4">
        <v>0.375</v>
      </c>
      <c r="W651" s="2">
        <v>0</v>
      </c>
      <c r="X651">
        <v>0</v>
      </c>
      <c r="Y651" t="s">
        <v>60</v>
      </c>
      <c r="Z651" t="s">
        <v>61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21.42</v>
      </c>
      <c r="AN651" s="2">
        <v>21.42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45957</v>
      </c>
      <c r="B652" t="s">
        <v>48</v>
      </c>
      <c r="C652">
        <v>649163</v>
      </c>
      <c r="D652">
        <v>2027868981</v>
      </c>
      <c r="E652" t="s">
        <v>895</v>
      </c>
      <c r="F652" t="s">
        <v>896</v>
      </c>
      <c r="G652" t="s">
        <v>51</v>
      </c>
      <c r="H652" t="s">
        <v>69</v>
      </c>
      <c r="I652" t="s">
        <v>378</v>
      </c>
      <c r="J652" t="s">
        <v>379</v>
      </c>
      <c r="K652">
        <v>812782</v>
      </c>
      <c r="L652" t="s">
        <v>114</v>
      </c>
      <c r="M652" t="s">
        <v>115</v>
      </c>
      <c r="N652" t="s">
        <v>57</v>
      </c>
      <c r="O652" s="1">
        <v>45748</v>
      </c>
      <c r="Q652" s="1">
        <v>45992</v>
      </c>
      <c r="R652" s="2">
        <v>150.44999999999999</v>
      </c>
      <c r="S652">
        <v>1</v>
      </c>
      <c r="T652" t="s">
        <v>58</v>
      </c>
      <c r="U652" t="s">
        <v>59</v>
      </c>
      <c r="V652" s="4">
        <v>0.375</v>
      </c>
      <c r="W652" s="2">
        <v>0</v>
      </c>
      <c r="X652">
        <v>0</v>
      </c>
      <c r="Y652" t="s">
        <v>60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56.42</v>
      </c>
      <c r="AN652" s="2">
        <v>56.42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45957</v>
      </c>
      <c r="B653" t="s">
        <v>48</v>
      </c>
      <c r="C653">
        <v>649163</v>
      </c>
      <c r="D653">
        <v>2027883494</v>
      </c>
      <c r="E653" t="s">
        <v>318</v>
      </c>
      <c r="F653" t="s">
        <v>897</v>
      </c>
      <c r="G653" t="s">
        <v>51</v>
      </c>
      <c r="H653" t="s">
        <v>195</v>
      </c>
      <c r="I653" t="s">
        <v>378</v>
      </c>
      <c r="J653" t="s">
        <v>379</v>
      </c>
      <c r="K653">
        <v>728134</v>
      </c>
      <c r="L653" t="s">
        <v>325</v>
      </c>
      <c r="M653" t="s">
        <v>326</v>
      </c>
      <c r="N653" t="s">
        <v>57</v>
      </c>
      <c r="O653" s="1">
        <v>45735</v>
      </c>
      <c r="Q653" s="1">
        <v>45980</v>
      </c>
      <c r="R653" s="2">
        <v>49.98</v>
      </c>
      <c r="S653">
        <v>1</v>
      </c>
      <c r="T653" t="s">
        <v>58</v>
      </c>
      <c r="U653" t="s">
        <v>59</v>
      </c>
      <c r="V653" s="4">
        <v>0.375</v>
      </c>
      <c r="W653" s="2">
        <v>0</v>
      </c>
      <c r="X653">
        <v>0</v>
      </c>
      <c r="Y653" t="s">
        <v>60</v>
      </c>
      <c r="Z653" t="s">
        <v>61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18.739999999999998</v>
      </c>
      <c r="AN653" s="2">
        <v>18.739999999999998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45957</v>
      </c>
      <c r="B654" t="s">
        <v>48</v>
      </c>
      <c r="C654">
        <v>649163</v>
      </c>
      <c r="D654">
        <v>2027916436</v>
      </c>
      <c r="E654" t="s">
        <v>898</v>
      </c>
      <c r="F654" t="s">
        <v>224</v>
      </c>
      <c r="G654" t="s">
        <v>51</v>
      </c>
      <c r="H654" t="s">
        <v>69</v>
      </c>
      <c r="I654" t="s">
        <v>378</v>
      </c>
      <c r="J654" t="s">
        <v>379</v>
      </c>
      <c r="K654">
        <v>856824</v>
      </c>
      <c r="L654" t="s">
        <v>175</v>
      </c>
      <c r="M654" t="s">
        <v>176</v>
      </c>
      <c r="N654" t="s">
        <v>57</v>
      </c>
      <c r="O654" s="1">
        <v>45748</v>
      </c>
      <c r="Q654" s="1">
        <v>45992</v>
      </c>
      <c r="R654" s="2">
        <v>22.52</v>
      </c>
      <c r="S654">
        <v>1</v>
      </c>
      <c r="T654" t="s">
        <v>58</v>
      </c>
      <c r="U654" t="s">
        <v>59</v>
      </c>
      <c r="V654" s="4">
        <v>0.375</v>
      </c>
      <c r="W654" s="2">
        <v>0</v>
      </c>
      <c r="X654">
        <v>0</v>
      </c>
      <c r="Y654" t="s">
        <v>60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8.44</v>
      </c>
      <c r="AN654" s="2">
        <v>8.44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45957</v>
      </c>
      <c r="B655" t="s">
        <v>48</v>
      </c>
      <c r="C655">
        <v>649163</v>
      </c>
      <c r="D655">
        <v>2027920262</v>
      </c>
      <c r="E655" t="s">
        <v>616</v>
      </c>
      <c r="F655" t="s">
        <v>617</v>
      </c>
      <c r="G655" t="s">
        <v>51</v>
      </c>
      <c r="H655" t="s">
        <v>92</v>
      </c>
      <c r="I655" t="s">
        <v>378</v>
      </c>
      <c r="J655" t="s">
        <v>379</v>
      </c>
      <c r="K655">
        <v>816021</v>
      </c>
      <c r="L655" t="s">
        <v>93</v>
      </c>
      <c r="M655" t="s">
        <v>94</v>
      </c>
      <c r="N655" t="s">
        <v>57</v>
      </c>
      <c r="O655" s="1">
        <v>45744</v>
      </c>
      <c r="Q655" s="1">
        <v>45989</v>
      </c>
      <c r="R655" s="2">
        <v>53.08</v>
      </c>
      <c r="S655">
        <v>1</v>
      </c>
      <c r="T655" t="s">
        <v>58</v>
      </c>
      <c r="U655" t="s">
        <v>59</v>
      </c>
      <c r="V655" s="4">
        <v>0.375</v>
      </c>
      <c r="W655" s="2">
        <v>0</v>
      </c>
      <c r="X655">
        <v>0</v>
      </c>
      <c r="Y655" t="s">
        <v>60</v>
      </c>
      <c r="Z655" t="s">
        <v>61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19.899999999999999</v>
      </c>
      <c r="AN655" s="2">
        <v>19.899999999999999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45957</v>
      </c>
      <c r="B656" t="s">
        <v>48</v>
      </c>
      <c r="C656">
        <v>649163</v>
      </c>
      <c r="D656">
        <v>2027937825</v>
      </c>
      <c r="E656" t="s">
        <v>899</v>
      </c>
      <c r="F656" t="s">
        <v>900</v>
      </c>
      <c r="G656" t="s">
        <v>51</v>
      </c>
      <c r="H656" t="s">
        <v>636</v>
      </c>
      <c r="I656" t="s">
        <v>378</v>
      </c>
      <c r="J656" t="s">
        <v>379</v>
      </c>
      <c r="K656">
        <v>673059</v>
      </c>
      <c r="L656" t="s">
        <v>55</v>
      </c>
      <c r="M656" t="s">
        <v>56</v>
      </c>
      <c r="N656" t="s">
        <v>57</v>
      </c>
      <c r="O656" s="1">
        <v>45748</v>
      </c>
      <c r="Q656" s="1">
        <v>45992</v>
      </c>
      <c r="R656" s="2">
        <v>43.03</v>
      </c>
      <c r="S656">
        <v>1</v>
      </c>
      <c r="T656" t="s">
        <v>58</v>
      </c>
      <c r="U656" t="s">
        <v>59</v>
      </c>
      <c r="V656" s="4">
        <v>0.375</v>
      </c>
      <c r="W656" s="2">
        <v>0</v>
      </c>
      <c r="X656">
        <v>0</v>
      </c>
      <c r="Y656" t="s">
        <v>60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16.14</v>
      </c>
      <c r="AN656" s="2">
        <v>16.14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45957</v>
      </c>
      <c r="B657" t="s">
        <v>48</v>
      </c>
      <c r="C657">
        <v>649163</v>
      </c>
      <c r="D657">
        <v>2027943424</v>
      </c>
      <c r="E657" t="s">
        <v>901</v>
      </c>
      <c r="F657" t="s">
        <v>902</v>
      </c>
      <c r="G657" t="s">
        <v>51</v>
      </c>
      <c r="H657" t="s">
        <v>69</v>
      </c>
      <c r="I657" t="s">
        <v>378</v>
      </c>
      <c r="J657" t="s">
        <v>379</v>
      </c>
      <c r="K657">
        <v>812782</v>
      </c>
      <c r="L657" t="s">
        <v>114</v>
      </c>
      <c r="M657" t="s">
        <v>115</v>
      </c>
      <c r="N657" t="s">
        <v>57</v>
      </c>
      <c r="O657" s="1">
        <v>45748</v>
      </c>
      <c r="Q657" s="1">
        <v>45992</v>
      </c>
      <c r="R657" s="2">
        <v>22.52</v>
      </c>
      <c r="S657">
        <v>1</v>
      </c>
      <c r="T657" t="s">
        <v>58</v>
      </c>
      <c r="U657" t="s">
        <v>59</v>
      </c>
      <c r="V657" s="4">
        <v>0.375</v>
      </c>
      <c r="W657" s="2">
        <v>0</v>
      </c>
      <c r="X657">
        <v>0</v>
      </c>
      <c r="Y657" t="s">
        <v>60</v>
      </c>
      <c r="Z657" t="s">
        <v>61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8.44</v>
      </c>
      <c r="AN657" s="2">
        <v>8.44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45957</v>
      </c>
      <c r="B658" t="s">
        <v>48</v>
      </c>
      <c r="C658">
        <v>649163</v>
      </c>
      <c r="D658">
        <v>2027980064</v>
      </c>
      <c r="E658" t="s">
        <v>903</v>
      </c>
      <c r="F658" t="s">
        <v>342</v>
      </c>
      <c r="G658" t="s">
        <v>51</v>
      </c>
      <c r="H658" t="s">
        <v>69</v>
      </c>
      <c r="I658" t="s">
        <v>378</v>
      </c>
      <c r="J658" t="s">
        <v>379</v>
      </c>
      <c r="K658">
        <v>856824</v>
      </c>
      <c r="L658" t="s">
        <v>175</v>
      </c>
      <c r="M658" t="s">
        <v>176</v>
      </c>
      <c r="N658" t="s">
        <v>57</v>
      </c>
      <c r="O658" s="1">
        <v>45748</v>
      </c>
      <c r="Q658" s="1">
        <v>45992</v>
      </c>
      <c r="R658" s="2">
        <v>48.61</v>
      </c>
      <c r="S658">
        <v>1</v>
      </c>
      <c r="T658" t="s">
        <v>58</v>
      </c>
      <c r="U658" t="s">
        <v>59</v>
      </c>
      <c r="V658" s="4">
        <v>0.375</v>
      </c>
      <c r="W658" s="2">
        <v>0</v>
      </c>
      <c r="X658">
        <v>0</v>
      </c>
      <c r="Y658" t="s">
        <v>60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18.23</v>
      </c>
      <c r="AN658" s="2">
        <v>18.23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45957</v>
      </c>
      <c r="B659" t="s">
        <v>48</v>
      </c>
      <c r="C659">
        <v>649163</v>
      </c>
      <c r="D659">
        <v>2028005040</v>
      </c>
      <c r="E659" t="s">
        <v>904</v>
      </c>
      <c r="F659" t="s">
        <v>905</v>
      </c>
      <c r="G659" t="s">
        <v>51</v>
      </c>
      <c r="H659" t="s">
        <v>69</v>
      </c>
      <c r="I659" t="s">
        <v>378</v>
      </c>
      <c r="J659" t="s">
        <v>379</v>
      </c>
      <c r="K659">
        <v>824062</v>
      </c>
      <c r="L659" t="s">
        <v>74</v>
      </c>
      <c r="M659" t="s">
        <v>75</v>
      </c>
      <c r="N659" t="s">
        <v>57</v>
      </c>
      <c r="O659" s="1">
        <v>45741</v>
      </c>
      <c r="Q659" s="1">
        <v>45986</v>
      </c>
      <c r="R659" s="2">
        <v>184.68</v>
      </c>
      <c r="S659">
        <v>1</v>
      </c>
      <c r="T659" t="s">
        <v>58</v>
      </c>
      <c r="U659" t="s">
        <v>59</v>
      </c>
      <c r="V659" s="4">
        <v>0.375</v>
      </c>
      <c r="W659" s="2">
        <v>0</v>
      </c>
      <c r="X659">
        <v>0</v>
      </c>
      <c r="Y659" t="s">
        <v>60</v>
      </c>
      <c r="Z659" t="s">
        <v>61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69.260000000000005</v>
      </c>
      <c r="AN659" s="2">
        <v>69.260000000000005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45957</v>
      </c>
      <c r="B660" t="s">
        <v>48</v>
      </c>
      <c r="C660">
        <v>649163</v>
      </c>
      <c r="D660">
        <v>2028020256</v>
      </c>
      <c r="E660" t="s">
        <v>906</v>
      </c>
      <c r="F660" t="s">
        <v>326</v>
      </c>
      <c r="G660" t="s">
        <v>51</v>
      </c>
      <c r="H660" t="s">
        <v>195</v>
      </c>
      <c r="I660" t="s">
        <v>378</v>
      </c>
      <c r="J660" t="s">
        <v>379</v>
      </c>
      <c r="K660">
        <v>728134</v>
      </c>
      <c r="L660" t="s">
        <v>325</v>
      </c>
      <c r="M660" t="s">
        <v>326</v>
      </c>
      <c r="N660" t="s">
        <v>57</v>
      </c>
      <c r="O660" s="1">
        <v>45748</v>
      </c>
      <c r="Q660" s="1">
        <v>45992</v>
      </c>
      <c r="R660" s="2">
        <v>39.979999999999997</v>
      </c>
      <c r="S660">
        <v>1</v>
      </c>
      <c r="T660" t="s">
        <v>58</v>
      </c>
      <c r="U660" t="s">
        <v>59</v>
      </c>
      <c r="V660" s="4">
        <v>0.375</v>
      </c>
      <c r="W660" s="2">
        <v>0</v>
      </c>
      <c r="X660">
        <v>0</v>
      </c>
      <c r="Y660" t="s">
        <v>60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14.99</v>
      </c>
      <c r="AN660" s="2">
        <v>14.99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45957</v>
      </c>
      <c r="B661" t="s">
        <v>48</v>
      </c>
      <c r="C661">
        <v>649163</v>
      </c>
      <c r="D661">
        <v>2028028176</v>
      </c>
      <c r="E661" t="s">
        <v>531</v>
      </c>
      <c r="F661" t="s">
        <v>532</v>
      </c>
      <c r="G661" t="s">
        <v>51</v>
      </c>
      <c r="H661" t="s">
        <v>195</v>
      </c>
      <c r="I661" t="s">
        <v>378</v>
      </c>
      <c r="J661" t="s">
        <v>379</v>
      </c>
      <c r="K661">
        <v>823068</v>
      </c>
      <c r="L661" t="s">
        <v>120</v>
      </c>
      <c r="M661" t="s">
        <v>121</v>
      </c>
      <c r="N661" t="s">
        <v>57</v>
      </c>
      <c r="O661" s="1">
        <v>45748</v>
      </c>
      <c r="Q661" s="1">
        <v>45992</v>
      </c>
      <c r="R661" s="2">
        <v>27.11</v>
      </c>
      <c r="S661">
        <v>1</v>
      </c>
      <c r="T661" t="s">
        <v>58</v>
      </c>
      <c r="U661" t="s">
        <v>59</v>
      </c>
      <c r="V661" s="4">
        <v>0.375</v>
      </c>
      <c r="W661" s="2">
        <v>0</v>
      </c>
      <c r="X661">
        <v>0</v>
      </c>
      <c r="Y661" t="s">
        <v>60</v>
      </c>
      <c r="Z661" t="s">
        <v>61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10.17</v>
      </c>
      <c r="AN661" s="2">
        <v>10.17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45957</v>
      </c>
      <c r="B662" t="s">
        <v>48</v>
      </c>
      <c r="C662">
        <v>649163</v>
      </c>
      <c r="D662">
        <v>2028043911</v>
      </c>
      <c r="E662" t="s">
        <v>280</v>
      </c>
      <c r="F662" t="s">
        <v>907</v>
      </c>
      <c r="G662" t="s">
        <v>51</v>
      </c>
      <c r="H662" t="s">
        <v>69</v>
      </c>
      <c r="I662" t="s">
        <v>378</v>
      </c>
      <c r="J662" t="s">
        <v>379</v>
      </c>
      <c r="K662">
        <v>806645</v>
      </c>
      <c r="L662" t="s">
        <v>88</v>
      </c>
      <c r="M662" t="s">
        <v>89</v>
      </c>
      <c r="N662" t="s">
        <v>57</v>
      </c>
      <c r="O662" s="1">
        <v>45748</v>
      </c>
      <c r="Q662" s="1">
        <v>45992</v>
      </c>
      <c r="R662" s="2">
        <v>90.76</v>
      </c>
      <c r="S662">
        <v>1</v>
      </c>
      <c r="T662" t="s">
        <v>58</v>
      </c>
      <c r="U662" t="s">
        <v>59</v>
      </c>
      <c r="V662" s="4">
        <v>0.375</v>
      </c>
      <c r="W662" s="2">
        <v>0</v>
      </c>
      <c r="X662">
        <v>0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34.04</v>
      </c>
      <c r="AN662" s="2">
        <v>34.04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45957</v>
      </c>
      <c r="B663" t="s">
        <v>48</v>
      </c>
      <c r="C663">
        <v>649163</v>
      </c>
      <c r="D663">
        <v>2028052820</v>
      </c>
      <c r="E663" t="s">
        <v>624</v>
      </c>
      <c r="F663" t="s">
        <v>625</v>
      </c>
      <c r="G663" t="s">
        <v>51</v>
      </c>
      <c r="H663" t="s">
        <v>165</v>
      </c>
      <c r="I663" t="s">
        <v>378</v>
      </c>
      <c r="J663" t="s">
        <v>379</v>
      </c>
      <c r="K663">
        <v>753748</v>
      </c>
      <c r="L663" t="s">
        <v>65</v>
      </c>
      <c r="M663" t="s">
        <v>66</v>
      </c>
      <c r="N663" t="s">
        <v>57</v>
      </c>
      <c r="O663" s="1">
        <v>45748</v>
      </c>
      <c r="Q663" s="1">
        <v>45992</v>
      </c>
      <c r="R663" s="2">
        <v>132.93</v>
      </c>
      <c r="S663">
        <v>1</v>
      </c>
      <c r="T663" t="s">
        <v>58</v>
      </c>
      <c r="U663" t="s">
        <v>59</v>
      </c>
      <c r="V663" s="4">
        <v>0.375</v>
      </c>
      <c r="W663" s="2">
        <v>0</v>
      </c>
      <c r="X663">
        <v>0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49.85</v>
      </c>
      <c r="AN663" s="2">
        <v>49.85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45957</v>
      </c>
      <c r="B664" t="s">
        <v>48</v>
      </c>
      <c r="C664">
        <v>649163</v>
      </c>
      <c r="D664">
        <v>2028061836</v>
      </c>
      <c r="E664" t="s">
        <v>908</v>
      </c>
      <c r="F664" t="s">
        <v>67</v>
      </c>
      <c r="G664" t="s">
        <v>51</v>
      </c>
      <c r="H664" t="s">
        <v>69</v>
      </c>
      <c r="I664" t="s">
        <v>378</v>
      </c>
      <c r="J664" t="s">
        <v>379</v>
      </c>
      <c r="K664">
        <v>824062</v>
      </c>
      <c r="L664" t="s">
        <v>74</v>
      </c>
      <c r="M664" t="s">
        <v>75</v>
      </c>
      <c r="N664" t="s">
        <v>57</v>
      </c>
      <c r="O664" s="1">
        <v>45748</v>
      </c>
      <c r="Q664" s="1">
        <v>45992</v>
      </c>
      <c r="R664" s="2">
        <v>67.19</v>
      </c>
      <c r="S664">
        <v>1</v>
      </c>
      <c r="T664" t="s">
        <v>58</v>
      </c>
      <c r="U664" t="s">
        <v>59</v>
      </c>
      <c r="V664" s="4">
        <v>0.375</v>
      </c>
      <c r="W664" s="2">
        <v>0</v>
      </c>
      <c r="X664">
        <v>0</v>
      </c>
      <c r="Y664" t="s">
        <v>60</v>
      </c>
      <c r="Z664" t="s">
        <v>61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25.2</v>
      </c>
      <c r="AN664" s="2">
        <v>25.2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45957</v>
      </c>
      <c r="B665" t="s">
        <v>48</v>
      </c>
      <c r="C665">
        <v>649163</v>
      </c>
      <c r="D665">
        <v>2028064455</v>
      </c>
      <c r="E665" t="s">
        <v>909</v>
      </c>
      <c r="F665" t="s">
        <v>312</v>
      </c>
      <c r="G665" t="s">
        <v>51</v>
      </c>
      <c r="H665" t="s">
        <v>81</v>
      </c>
      <c r="I665" t="s">
        <v>378</v>
      </c>
      <c r="J665" t="s">
        <v>379</v>
      </c>
      <c r="K665">
        <v>823350</v>
      </c>
      <c r="L665" t="s">
        <v>70</v>
      </c>
      <c r="M665" t="s">
        <v>183</v>
      </c>
      <c r="N665" t="s">
        <v>57</v>
      </c>
      <c r="O665" s="1">
        <v>45748</v>
      </c>
      <c r="Q665" s="1">
        <v>45992</v>
      </c>
      <c r="R665" s="2">
        <v>69.67</v>
      </c>
      <c r="S665">
        <v>1</v>
      </c>
      <c r="T665" t="s">
        <v>58</v>
      </c>
      <c r="U665" t="s">
        <v>59</v>
      </c>
      <c r="V665" s="4">
        <v>0.375</v>
      </c>
      <c r="W665" s="2">
        <v>0</v>
      </c>
      <c r="X665">
        <v>0</v>
      </c>
      <c r="Y665" t="s">
        <v>60</v>
      </c>
      <c r="Z665" t="s">
        <v>61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26.13</v>
      </c>
      <c r="AN665" s="2">
        <v>26.13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45957</v>
      </c>
      <c r="B666" t="s">
        <v>48</v>
      </c>
      <c r="C666">
        <v>649163</v>
      </c>
      <c r="D666">
        <v>2028076165</v>
      </c>
      <c r="E666" t="s">
        <v>910</v>
      </c>
      <c r="F666" t="s">
        <v>911</v>
      </c>
      <c r="G666" t="s">
        <v>51</v>
      </c>
      <c r="H666" t="s">
        <v>261</v>
      </c>
      <c r="I666" t="s">
        <v>378</v>
      </c>
      <c r="J666" t="s">
        <v>379</v>
      </c>
      <c r="K666">
        <v>821015</v>
      </c>
      <c r="L666" t="s">
        <v>398</v>
      </c>
      <c r="M666" t="s">
        <v>399</v>
      </c>
      <c r="N666" t="s">
        <v>57</v>
      </c>
      <c r="O666" s="1">
        <v>45748</v>
      </c>
      <c r="Q666" s="1">
        <v>45992</v>
      </c>
      <c r="R666" s="2">
        <v>55.04</v>
      </c>
      <c r="S666">
        <v>1</v>
      </c>
      <c r="T666" t="s">
        <v>58</v>
      </c>
      <c r="U666" t="s">
        <v>59</v>
      </c>
      <c r="V666" s="4">
        <v>0.375</v>
      </c>
      <c r="W666" s="2">
        <v>0</v>
      </c>
      <c r="X666">
        <v>0</v>
      </c>
      <c r="Y666" t="s">
        <v>60</v>
      </c>
      <c r="Z666" t="s">
        <v>61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20.64</v>
      </c>
      <c r="AN666" s="2">
        <v>20.64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45957</v>
      </c>
      <c r="B667" t="s">
        <v>48</v>
      </c>
      <c r="C667">
        <v>649163</v>
      </c>
      <c r="D667">
        <v>2028087322</v>
      </c>
      <c r="E667" t="s">
        <v>912</v>
      </c>
      <c r="F667" t="s">
        <v>913</v>
      </c>
      <c r="G667" t="s">
        <v>51</v>
      </c>
      <c r="H667" t="s">
        <v>69</v>
      </c>
      <c r="I667" t="s">
        <v>378</v>
      </c>
      <c r="J667" t="s">
        <v>379</v>
      </c>
      <c r="K667">
        <v>812782</v>
      </c>
      <c r="L667" t="s">
        <v>114</v>
      </c>
      <c r="M667" t="s">
        <v>115</v>
      </c>
      <c r="N667" t="s">
        <v>57</v>
      </c>
      <c r="O667" s="1">
        <v>45745</v>
      </c>
      <c r="Q667" s="1">
        <v>45990</v>
      </c>
      <c r="R667" s="2">
        <v>22.52</v>
      </c>
      <c r="S667">
        <v>1</v>
      </c>
      <c r="T667" t="s">
        <v>58</v>
      </c>
      <c r="U667" t="s">
        <v>59</v>
      </c>
      <c r="V667" s="4">
        <v>0.375</v>
      </c>
      <c r="W667" s="2">
        <v>0</v>
      </c>
      <c r="X667">
        <v>0</v>
      </c>
      <c r="Y667" t="s">
        <v>60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8.44</v>
      </c>
      <c r="AN667" s="2">
        <v>8.44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45957</v>
      </c>
      <c r="B668" t="s">
        <v>48</v>
      </c>
      <c r="C668">
        <v>649163</v>
      </c>
      <c r="D668">
        <v>2028112436</v>
      </c>
      <c r="E668" t="s">
        <v>914</v>
      </c>
      <c r="F668" t="s">
        <v>374</v>
      </c>
      <c r="G668" t="s">
        <v>51</v>
      </c>
      <c r="H668" t="s">
        <v>165</v>
      </c>
      <c r="I668" t="s">
        <v>378</v>
      </c>
      <c r="J668" t="s">
        <v>379</v>
      </c>
      <c r="K668">
        <v>823350</v>
      </c>
      <c r="L668" t="s">
        <v>70</v>
      </c>
      <c r="M668" t="s">
        <v>183</v>
      </c>
      <c r="N668" t="s">
        <v>57</v>
      </c>
      <c r="O668" s="1">
        <v>45748</v>
      </c>
      <c r="Q668" s="1">
        <v>45992</v>
      </c>
      <c r="R668" s="2">
        <v>49.19</v>
      </c>
      <c r="S668">
        <v>1</v>
      </c>
      <c r="T668" t="s">
        <v>58</v>
      </c>
      <c r="U668" t="s">
        <v>59</v>
      </c>
      <c r="V668" s="4">
        <v>0.375</v>
      </c>
      <c r="W668" s="2">
        <v>0</v>
      </c>
      <c r="X668">
        <v>0</v>
      </c>
      <c r="Y668" t="s">
        <v>60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18.45</v>
      </c>
      <c r="AN668" s="2">
        <v>18.45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45957</v>
      </c>
      <c r="B669" t="s">
        <v>48</v>
      </c>
      <c r="C669">
        <v>649163</v>
      </c>
      <c r="D669">
        <v>2028139273</v>
      </c>
      <c r="E669" t="s">
        <v>915</v>
      </c>
      <c r="F669" t="s">
        <v>312</v>
      </c>
      <c r="G669" t="s">
        <v>51</v>
      </c>
      <c r="H669" t="s">
        <v>261</v>
      </c>
      <c r="I669" t="s">
        <v>378</v>
      </c>
      <c r="J669" t="s">
        <v>379</v>
      </c>
      <c r="K669">
        <v>822865</v>
      </c>
      <c r="L669" t="s">
        <v>469</v>
      </c>
      <c r="M669" t="s">
        <v>470</v>
      </c>
      <c r="N669" t="s">
        <v>57</v>
      </c>
      <c r="O669" s="1">
        <v>45748</v>
      </c>
      <c r="Q669" s="1">
        <v>45992</v>
      </c>
      <c r="R669" s="2">
        <v>18.62</v>
      </c>
      <c r="S669">
        <v>1</v>
      </c>
      <c r="T669" t="s">
        <v>58</v>
      </c>
      <c r="U669" t="s">
        <v>59</v>
      </c>
      <c r="V669" s="4">
        <v>0.375</v>
      </c>
      <c r="W669" s="2">
        <v>0</v>
      </c>
      <c r="X669">
        <v>0</v>
      </c>
      <c r="Y669" t="s">
        <v>60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6.98</v>
      </c>
      <c r="AN669" s="2">
        <v>6.98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45957</v>
      </c>
      <c r="B670" t="s">
        <v>48</v>
      </c>
      <c r="C670">
        <v>649163</v>
      </c>
      <c r="D670">
        <v>2028149728</v>
      </c>
      <c r="E670" t="s">
        <v>916</v>
      </c>
      <c r="F670" t="s">
        <v>917</v>
      </c>
      <c r="G670" t="s">
        <v>51</v>
      </c>
      <c r="H670" t="s">
        <v>52</v>
      </c>
      <c r="I670" t="s">
        <v>378</v>
      </c>
      <c r="J670" t="s">
        <v>379</v>
      </c>
      <c r="K670">
        <v>650218</v>
      </c>
      <c r="L670" t="s">
        <v>357</v>
      </c>
      <c r="M670" t="s">
        <v>358</v>
      </c>
      <c r="N670" t="s">
        <v>57</v>
      </c>
      <c r="O670" s="1">
        <v>45748</v>
      </c>
      <c r="Q670" s="1">
        <v>45992</v>
      </c>
      <c r="R670" s="2">
        <v>16.39</v>
      </c>
      <c r="S670">
        <v>1</v>
      </c>
      <c r="T670" t="s">
        <v>58</v>
      </c>
      <c r="U670" t="s">
        <v>59</v>
      </c>
      <c r="V670" s="4">
        <v>0.375</v>
      </c>
      <c r="W670" s="2">
        <v>0</v>
      </c>
      <c r="X670">
        <v>0</v>
      </c>
      <c r="Y670" t="s">
        <v>60</v>
      </c>
      <c r="Z670" t="s">
        <v>61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6.15</v>
      </c>
      <c r="AN670" s="2">
        <v>6.15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45957</v>
      </c>
      <c r="B671" t="s">
        <v>48</v>
      </c>
      <c r="C671">
        <v>649163</v>
      </c>
      <c r="D671">
        <v>2028215886</v>
      </c>
      <c r="E671" t="s">
        <v>391</v>
      </c>
      <c r="F671" t="s">
        <v>336</v>
      </c>
      <c r="G671" t="s">
        <v>51</v>
      </c>
      <c r="H671" t="s">
        <v>195</v>
      </c>
      <c r="I671" t="s">
        <v>378</v>
      </c>
      <c r="J671" t="s">
        <v>379</v>
      </c>
      <c r="K671">
        <v>751867</v>
      </c>
      <c r="L671" t="s">
        <v>349</v>
      </c>
      <c r="M671" t="s">
        <v>312</v>
      </c>
      <c r="N671" t="s">
        <v>359</v>
      </c>
      <c r="O671" s="1">
        <v>45751</v>
      </c>
      <c r="P671" s="1">
        <v>45957</v>
      </c>
      <c r="Q671" s="1">
        <v>45965</v>
      </c>
      <c r="R671" s="2">
        <v>-24.88</v>
      </c>
      <c r="S671">
        <v>1</v>
      </c>
      <c r="T671" t="s">
        <v>58</v>
      </c>
      <c r="U671" t="s">
        <v>59</v>
      </c>
      <c r="V671" s="4">
        <v>0.375</v>
      </c>
      <c r="W671" s="2">
        <v>0</v>
      </c>
      <c r="X671">
        <v>-1</v>
      </c>
      <c r="Y671" t="s">
        <v>60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-9.33</v>
      </c>
      <c r="AN671" s="2">
        <v>-9.33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45957</v>
      </c>
      <c r="B672" t="s">
        <v>48</v>
      </c>
      <c r="C672">
        <v>649163</v>
      </c>
      <c r="D672">
        <v>2028320247</v>
      </c>
      <c r="E672" t="s">
        <v>534</v>
      </c>
      <c r="F672" t="s">
        <v>535</v>
      </c>
      <c r="G672" t="s">
        <v>51</v>
      </c>
      <c r="H672" t="s">
        <v>190</v>
      </c>
      <c r="I672" t="s">
        <v>378</v>
      </c>
      <c r="J672" t="s">
        <v>379</v>
      </c>
      <c r="K672">
        <v>823350</v>
      </c>
      <c r="L672" t="s">
        <v>70</v>
      </c>
      <c r="M672" t="s">
        <v>183</v>
      </c>
      <c r="N672" t="s">
        <v>57</v>
      </c>
      <c r="O672" s="1">
        <v>45772</v>
      </c>
      <c r="Q672" s="1">
        <v>45986</v>
      </c>
      <c r="R672" s="2">
        <v>66.5</v>
      </c>
      <c r="S672">
        <v>1</v>
      </c>
      <c r="T672" t="s">
        <v>58</v>
      </c>
      <c r="U672" t="s">
        <v>59</v>
      </c>
      <c r="V672" s="4">
        <v>0.375</v>
      </c>
      <c r="W672" s="2">
        <v>0</v>
      </c>
      <c r="X672">
        <v>0</v>
      </c>
      <c r="Y672" t="s">
        <v>60</v>
      </c>
      <c r="Z672" t="s">
        <v>61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24.94</v>
      </c>
      <c r="AN672" s="2">
        <v>24.94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45957</v>
      </c>
      <c r="B673" t="s">
        <v>48</v>
      </c>
      <c r="C673">
        <v>649163</v>
      </c>
      <c r="D673">
        <v>2028461881</v>
      </c>
      <c r="E673" t="s">
        <v>627</v>
      </c>
      <c r="F673" t="s">
        <v>628</v>
      </c>
      <c r="G673" t="s">
        <v>51</v>
      </c>
      <c r="H673" t="s">
        <v>145</v>
      </c>
      <c r="I673" t="s">
        <v>378</v>
      </c>
      <c r="J673" t="s">
        <v>379</v>
      </c>
      <c r="K673">
        <v>823350</v>
      </c>
      <c r="L673" t="s">
        <v>70</v>
      </c>
      <c r="M673" t="s">
        <v>183</v>
      </c>
      <c r="N673" t="s">
        <v>57</v>
      </c>
      <c r="O673" s="1">
        <v>45772</v>
      </c>
      <c r="Q673" s="1">
        <v>45986</v>
      </c>
      <c r="R673" s="2">
        <v>78.41</v>
      </c>
      <c r="S673">
        <v>1</v>
      </c>
      <c r="T673" t="s">
        <v>58</v>
      </c>
      <c r="U673" t="s">
        <v>59</v>
      </c>
      <c r="V673" s="4">
        <v>0.375</v>
      </c>
      <c r="W673" s="2">
        <v>0</v>
      </c>
      <c r="X673">
        <v>0</v>
      </c>
      <c r="Y673" t="s">
        <v>60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29.4</v>
      </c>
      <c r="AN673" s="2">
        <v>29.4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45957</v>
      </c>
      <c r="B674" t="s">
        <v>48</v>
      </c>
      <c r="C674">
        <v>649163</v>
      </c>
      <c r="D674">
        <v>2028498798</v>
      </c>
      <c r="E674" t="s">
        <v>629</v>
      </c>
      <c r="F674" t="s">
        <v>232</v>
      </c>
      <c r="G674" t="s">
        <v>51</v>
      </c>
      <c r="H674" t="s">
        <v>179</v>
      </c>
      <c r="I674" t="s">
        <v>378</v>
      </c>
      <c r="J674" t="s">
        <v>379</v>
      </c>
      <c r="K674">
        <v>823350</v>
      </c>
      <c r="L674" t="s">
        <v>70</v>
      </c>
      <c r="M674" t="s">
        <v>183</v>
      </c>
      <c r="N674" t="s">
        <v>57</v>
      </c>
      <c r="O674" s="1">
        <v>45772</v>
      </c>
      <c r="Q674" s="1">
        <v>45986</v>
      </c>
      <c r="R674" s="2">
        <v>58.15</v>
      </c>
      <c r="S674">
        <v>1</v>
      </c>
      <c r="T674" t="s">
        <v>58</v>
      </c>
      <c r="U674" t="s">
        <v>59</v>
      </c>
      <c r="V674" s="4">
        <v>0.375</v>
      </c>
      <c r="W674" s="2">
        <v>0</v>
      </c>
      <c r="X674">
        <v>0</v>
      </c>
      <c r="Y674" t="s">
        <v>60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21.81</v>
      </c>
      <c r="AN674" s="2">
        <v>21.81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45957</v>
      </c>
      <c r="B675" t="s">
        <v>48</v>
      </c>
      <c r="C675">
        <v>649163</v>
      </c>
      <c r="D675">
        <v>2028549719</v>
      </c>
      <c r="E675" t="s">
        <v>363</v>
      </c>
      <c r="F675" t="s">
        <v>364</v>
      </c>
      <c r="G675" t="s">
        <v>51</v>
      </c>
      <c r="H675" t="s">
        <v>69</v>
      </c>
      <c r="I675" t="s">
        <v>378</v>
      </c>
      <c r="J675" t="s">
        <v>379</v>
      </c>
      <c r="K675">
        <v>856824</v>
      </c>
      <c r="L675" t="s">
        <v>175</v>
      </c>
      <c r="M675" t="s">
        <v>176</v>
      </c>
      <c r="N675" t="s">
        <v>359</v>
      </c>
      <c r="O675" s="1">
        <v>45778</v>
      </c>
      <c r="P675" s="1">
        <v>45957</v>
      </c>
      <c r="Q675" s="1">
        <v>45962</v>
      </c>
      <c r="R675" s="2">
        <v>-14.76</v>
      </c>
      <c r="S675">
        <v>1</v>
      </c>
      <c r="T675" t="s">
        <v>58</v>
      </c>
      <c r="U675" t="s">
        <v>59</v>
      </c>
      <c r="V675" s="4">
        <v>0.375</v>
      </c>
      <c r="W675" s="2">
        <v>0</v>
      </c>
      <c r="X675">
        <v>-1</v>
      </c>
      <c r="Y675" t="s">
        <v>60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-5.54</v>
      </c>
      <c r="AN675" s="2">
        <v>-5.54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45957</v>
      </c>
      <c r="B676" t="s">
        <v>48</v>
      </c>
      <c r="C676">
        <v>649163</v>
      </c>
      <c r="D676">
        <v>2028565273</v>
      </c>
      <c r="E676" t="s">
        <v>538</v>
      </c>
      <c r="F676" t="s">
        <v>539</v>
      </c>
      <c r="G676" t="s">
        <v>51</v>
      </c>
      <c r="H676" t="s">
        <v>190</v>
      </c>
      <c r="I676" t="s">
        <v>378</v>
      </c>
      <c r="J676" t="s">
        <v>379</v>
      </c>
      <c r="K676">
        <v>673059</v>
      </c>
      <c r="L676" t="s">
        <v>55</v>
      </c>
      <c r="M676" t="s">
        <v>56</v>
      </c>
      <c r="N676" t="s">
        <v>57</v>
      </c>
      <c r="O676" s="1">
        <v>45809</v>
      </c>
      <c r="Q676" s="1">
        <v>45992</v>
      </c>
      <c r="R676" s="2">
        <v>57.5</v>
      </c>
      <c r="S676">
        <v>1</v>
      </c>
      <c r="T676" t="s">
        <v>58</v>
      </c>
      <c r="U676" t="s">
        <v>59</v>
      </c>
      <c r="V676" s="4">
        <v>0.375</v>
      </c>
      <c r="W676" s="2">
        <v>0</v>
      </c>
      <c r="X676">
        <v>0</v>
      </c>
      <c r="Y676" t="s">
        <v>60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21.56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45957</v>
      </c>
      <c r="B677" t="s">
        <v>48</v>
      </c>
      <c r="C677">
        <v>649163</v>
      </c>
      <c r="D677">
        <v>2028584435</v>
      </c>
      <c r="E677" t="s">
        <v>540</v>
      </c>
      <c r="F677" t="s">
        <v>541</v>
      </c>
      <c r="G677" t="s">
        <v>51</v>
      </c>
      <c r="H677" t="s">
        <v>195</v>
      </c>
      <c r="I677" t="s">
        <v>378</v>
      </c>
      <c r="J677" t="s">
        <v>379</v>
      </c>
      <c r="K677">
        <v>649247</v>
      </c>
      <c r="L677" t="s">
        <v>321</v>
      </c>
      <c r="M677" t="s">
        <v>322</v>
      </c>
      <c r="N677" t="s">
        <v>57</v>
      </c>
      <c r="O677" s="1">
        <v>45778</v>
      </c>
      <c r="Q677" s="1">
        <v>45962</v>
      </c>
      <c r="R677" s="2">
        <v>35.979999999999997</v>
      </c>
      <c r="S677">
        <v>1</v>
      </c>
      <c r="T677" t="s">
        <v>58</v>
      </c>
      <c r="U677" t="s">
        <v>59</v>
      </c>
      <c r="V677" s="4">
        <v>0.375</v>
      </c>
      <c r="W677" s="2">
        <v>0</v>
      </c>
      <c r="X677">
        <v>0</v>
      </c>
      <c r="Y677" t="s">
        <v>60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13.49</v>
      </c>
      <c r="AN677" s="2">
        <v>13.49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45957</v>
      </c>
      <c r="B678" t="s">
        <v>48</v>
      </c>
      <c r="C678">
        <v>649163</v>
      </c>
      <c r="D678">
        <v>2028627544</v>
      </c>
      <c r="E678" t="s">
        <v>689</v>
      </c>
      <c r="F678" t="s">
        <v>690</v>
      </c>
      <c r="G678" t="s">
        <v>51</v>
      </c>
      <c r="H678" t="s">
        <v>145</v>
      </c>
      <c r="I678" t="s">
        <v>378</v>
      </c>
      <c r="J678" t="s">
        <v>379</v>
      </c>
      <c r="K678">
        <v>820873</v>
      </c>
      <c r="L678" t="s">
        <v>447</v>
      </c>
      <c r="M678" t="s">
        <v>448</v>
      </c>
      <c r="N678" t="s">
        <v>57</v>
      </c>
      <c r="O678" s="1">
        <v>45774</v>
      </c>
      <c r="Q678" s="1">
        <v>45988</v>
      </c>
      <c r="R678" s="2">
        <v>18.64</v>
      </c>
      <c r="S678">
        <v>1</v>
      </c>
      <c r="T678" t="s">
        <v>58</v>
      </c>
      <c r="U678" t="s">
        <v>59</v>
      </c>
      <c r="V678" s="4">
        <v>0.375</v>
      </c>
      <c r="W678" s="2">
        <v>0</v>
      </c>
      <c r="X678">
        <v>0</v>
      </c>
      <c r="Y678" t="s">
        <v>60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6.99</v>
      </c>
      <c r="AN678" s="2">
        <v>6.99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45957</v>
      </c>
      <c r="B679" t="s">
        <v>48</v>
      </c>
      <c r="C679">
        <v>649163</v>
      </c>
      <c r="D679">
        <v>2028643492</v>
      </c>
      <c r="E679" t="s">
        <v>63</v>
      </c>
      <c r="F679" t="s">
        <v>918</v>
      </c>
      <c r="G679" t="s">
        <v>51</v>
      </c>
      <c r="H679" t="s">
        <v>261</v>
      </c>
      <c r="I679" t="s">
        <v>378</v>
      </c>
      <c r="J679" t="s">
        <v>379</v>
      </c>
      <c r="K679">
        <v>822865</v>
      </c>
      <c r="L679" t="s">
        <v>469</v>
      </c>
      <c r="M679" t="s">
        <v>470</v>
      </c>
      <c r="N679" t="s">
        <v>57</v>
      </c>
      <c r="O679" s="1">
        <v>45776</v>
      </c>
      <c r="Q679" s="1">
        <v>45990</v>
      </c>
      <c r="R679" s="2">
        <v>31.91</v>
      </c>
      <c r="S679">
        <v>1</v>
      </c>
      <c r="T679" t="s">
        <v>58</v>
      </c>
      <c r="U679" t="s">
        <v>59</v>
      </c>
      <c r="V679" s="4">
        <v>0.375</v>
      </c>
      <c r="W679" s="2">
        <v>0</v>
      </c>
      <c r="X679">
        <v>0</v>
      </c>
      <c r="Y679" t="s">
        <v>60</v>
      </c>
      <c r="Z679" t="s">
        <v>61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11.97</v>
      </c>
      <c r="AN679" s="2">
        <v>11.97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45957</v>
      </c>
      <c r="B680" t="s">
        <v>48</v>
      </c>
      <c r="C680">
        <v>649163</v>
      </c>
      <c r="D680">
        <v>2028645329</v>
      </c>
      <c r="E680" t="s">
        <v>919</v>
      </c>
      <c r="F680" t="s">
        <v>110</v>
      </c>
      <c r="G680" t="s">
        <v>51</v>
      </c>
      <c r="H680" t="s">
        <v>52</v>
      </c>
      <c r="I680" t="s">
        <v>378</v>
      </c>
      <c r="J680" t="s">
        <v>379</v>
      </c>
      <c r="K680">
        <v>822865</v>
      </c>
      <c r="L680" t="s">
        <v>469</v>
      </c>
      <c r="M680" t="s">
        <v>470</v>
      </c>
      <c r="N680" t="s">
        <v>57</v>
      </c>
      <c r="O680" s="1">
        <v>45776</v>
      </c>
      <c r="Q680" s="1">
        <v>45990</v>
      </c>
      <c r="R680" s="2">
        <v>24.54</v>
      </c>
      <c r="S680">
        <v>1</v>
      </c>
      <c r="T680" t="s">
        <v>58</v>
      </c>
      <c r="U680" t="s">
        <v>59</v>
      </c>
      <c r="V680" s="4">
        <v>0.375</v>
      </c>
      <c r="W680" s="2">
        <v>0</v>
      </c>
      <c r="X680">
        <v>0</v>
      </c>
      <c r="Y680" t="s">
        <v>60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9.1999999999999993</v>
      </c>
      <c r="AN680" s="2">
        <v>9.1999999999999993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45957</v>
      </c>
      <c r="B681" t="s">
        <v>48</v>
      </c>
      <c r="C681">
        <v>649163</v>
      </c>
      <c r="D681">
        <v>2028654837</v>
      </c>
      <c r="E681" t="s">
        <v>920</v>
      </c>
      <c r="F681" t="s">
        <v>921</v>
      </c>
      <c r="G681" t="s">
        <v>51</v>
      </c>
      <c r="H681" t="s">
        <v>52</v>
      </c>
      <c r="I681" t="s">
        <v>378</v>
      </c>
      <c r="J681" t="s">
        <v>379</v>
      </c>
      <c r="K681">
        <v>823350</v>
      </c>
      <c r="L681" t="s">
        <v>70</v>
      </c>
      <c r="M681" t="s">
        <v>183</v>
      </c>
      <c r="N681" t="s">
        <v>57</v>
      </c>
      <c r="O681" s="1">
        <v>45776</v>
      </c>
      <c r="Q681" s="1">
        <v>45990</v>
      </c>
      <c r="R681" s="2">
        <v>102.62</v>
      </c>
      <c r="S681">
        <v>1</v>
      </c>
      <c r="T681" t="s">
        <v>58</v>
      </c>
      <c r="U681" t="s">
        <v>59</v>
      </c>
      <c r="V681" s="4">
        <v>0.375</v>
      </c>
      <c r="W681" s="2">
        <v>0</v>
      </c>
      <c r="X681">
        <v>0</v>
      </c>
      <c r="Y681" t="s">
        <v>60</v>
      </c>
      <c r="Z681" t="s">
        <v>61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38.479999999999997</v>
      </c>
      <c r="AN681" s="2">
        <v>38.479999999999997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45957</v>
      </c>
      <c r="B682" t="s">
        <v>48</v>
      </c>
      <c r="C682">
        <v>649163</v>
      </c>
      <c r="D682">
        <v>2028673528</v>
      </c>
      <c r="E682" t="s">
        <v>922</v>
      </c>
      <c r="F682" t="s">
        <v>923</v>
      </c>
      <c r="G682" t="s">
        <v>51</v>
      </c>
      <c r="H682" t="s">
        <v>69</v>
      </c>
      <c r="I682" t="s">
        <v>378</v>
      </c>
      <c r="J682" t="s">
        <v>379</v>
      </c>
      <c r="K682">
        <v>840313</v>
      </c>
      <c r="L682" t="s">
        <v>159</v>
      </c>
      <c r="M682" t="s">
        <v>160</v>
      </c>
      <c r="N682" t="s">
        <v>57</v>
      </c>
      <c r="O682" s="1">
        <v>45809</v>
      </c>
      <c r="Q682" s="1">
        <v>45992</v>
      </c>
      <c r="R682" s="2">
        <v>67.19</v>
      </c>
      <c r="S682">
        <v>1</v>
      </c>
      <c r="T682" t="s">
        <v>58</v>
      </c>
      <c r="U682" t="s">
        <v>59</v>
      </c>
      <c r="V682" s="4">
        <v>0.375</v>
      </c>
      <c r="W682" s="2">
        <v>0</v>
      </c>
      <c r="X682">
        <v>0</v>
      </c>
      <c r="Y682" t="s">
        <v>60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25.19</v>
      </c>
      <c r="AM682" s="2">
        <v>0.01</v>
      </c>
      <c r="AN682" s="2">
        <v>0.01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45957</v>
      </c>
      <c r="B683" t="s">
        <v>48</v>
      </c>
      <c r="C683">
        <v>649163</v>
      </c>
      <c r="D683">
        <v>2028695300</v>
      </c>
      <c r="E683" t="s">
        <v>924</v>
      </c>
      <c r="F683" t="s">
        <v>568</v>
      </c>
      <c r="G683" t="s">
        <v>51</v>
      </c>
      <c r="H683" t="s">
        <v>69</v>
      </c>
      <c r="I683" t="s">
        <v>378</v>
      </c>
      <c r="J683" t="s">
        <v>379</v>
      </c>
      <c r="K683">
        <v>824062</v>
      </c>
      <c r="L683" t="s">
        <v>74</v>
      </c>
      <c r="M683" t="s">
        <v>75</v>
      </c>
      <c r="N683" t="s">
        <v>57</v>
      </c>
      <c r="O683" s="1">
        <v>45809</v>
      </c>
      <c r="Q683" s="1">
        <v>45992</v>
      </c>
      <c r="R683" s="2">
        <v>67.19</v>
      </c>
      <c r="S683">
        <v>1</v>
      </c>
      <c r="T683" t="s">
        <v>58</v>
      </c>
      <c r="U683" t="s">
        <v>59</v>
      </c>
      <c r="V683" s="4">
        <v>0.375</v>
      </c>
      <c r="W683" s="2">
        <v>0</v>
      </c>
      <c r="X683">
        <v>0</v>
      </c>
      <c r="Y683" t="s">
        <v>60</v>
      </c>
      <c r="Z683" t="s">
        <v>61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25.2</v>
      </c>
      <c r="AN683" s="2">
        <v>25.2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45957</v>
      </c>
      <c r="B684" t="s">
        <v>48</v>
      </c>
      <c r="C684">
        <v>649163</v>
      </c>
      <c r="D684">
        <v>2028736517</v>
      </c>
      <c r="E684" t="s">
        <v>925</v>
      </c>
      <c r="F684" t="s">
        <v>926</v>
      </c>
      <c r="G684" t="s">
        <v>51</v>
      </c>
      <c r="H684" t="s">
        <v>69</v>
      </c>
      <c r="I684" t="s">
        <v>378</v>
      </c>
      <c r="J684" t="s">
        <v>379</v>
      </c>
      <c r="K684">
        <v>824062</v>
      </c>
      <c r="L684" t="s">
        <v>74</v>
      </c>
      <c r="M684" t="s">
        <v>75</v>
      </c>
      <c r="N684" t="s">
        <v>57</v>
      </c>
      <c r="O684" s="1">
        <v>45809</v>
      </c>
      <c r="Q684" s="1">
        <v>45992</v>
      </c>
      <c r="R684" s="2">
        <v>67.19</v>
      </c>
      <c r="S684">
        <v>1</v>
      </c>
      <c r="T684" t="s">
        <v>58</v>
      </c>
      <c r="U684" t="s">
        <v>59</v>
      </c>
      <c r="V684" s="4">
        <v>0.375</v>
      </c>
      <c r="W684" s="2">
        <v>0</v>
      </c>
      <c r="X684">
        <v>0</v>
      </c>
      <c r="Y684" t="s">
        <v>60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25.19</v>
      </c>
      <c r="AM684" s="2">
        <v>0.01</v>
      </c>
      <c r="AN684" s="2">
        <v>0.01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45957</v>
      </c>
      <c r="B685" t="s">
        <v>48</v>
      </c>
      <c r="C685">
        <v>649163</v>
      </c>
      <c r="D685">
        <v>2028776891</v>
      </c>
      <c r="E685" t="s">
        <v>635</v>
      </c>
      <c r="F685" t="s">
        <v>354</v>
      </c>
      <c r="G685" t="s">
        <v>51</v>
      </c>
      <c r="H685" t="s">
        <v>636</v>
      </c>
      <c r="I685" t="s">
        <v>378</v>
      </c>
      <c r="J685" t="s">
        <v>379</v>
      </c>
      <c r="K685">
        <v>673059</v>
      </c>
      <c r="L685" t="s">
        <v>55</v>
      </c>
      <c r="M685" t="s">
        <v>56</v>
      </c>
      <c r="N685" t="s">
        <v>57</v>
      </c>
      <c r="O685" s="1">
        <v>45809</v>
      </c>
      <c r="Q685" s="1">
        <v>45992</v>
      </c>
      <c r="R685" s="2">
        <v>34.1</v>
      </c>
      <c r="S685">
        <v>1</v>
      </c>
      <c r="T685" t="s">
        <v>58</v>
      </c>
      <c r="U685" t="s">
        <v>59</v>
      </c>
      <c r="V685" s="4">
        <v>0.375</v>
      </c>
      <c r="W685" s="2">
        <v>0</v>
      </c>
      <c r="X685">
        <v>0</v>
      </c>
      <c r="Y685" t="s">
        <v>60</v>
      </c>
      <c r="Z685" t="s">
        <v>61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12.79</v>
      </c>
      <c r="AN685" s="2">
        <v>12.79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45957</v>
      </c>
      <c r="B686" t="s">
        <v>48</v>
      </c>
      <c r="C686">
        <v>649163</v>
      </c>
      <c r="D686">
        <v>2028847738</v>
      </c>
      <c r="E686" t="s">
        <v>927</v>
      </c>
      <c r="F686" t="s">
        <v>928</v>
      </c>
      <c r="G686" t="s">
        <v>51</v>
      </c>
      <c r="H686" t="s">
        <v>165</v>
      </c>
      <c r="I686" t="s">
        <v>378</v>
      </c>
      <c r="J686" t="s">
        <v>379</v>
      </c>
      <c r="K686">
        <v>856824</v>
      </c>
      <c r="L686" t="s">
        <v>175</v>
      </c>
      <c r="M686" t="s">
        <v>176</v>
      </c>
      <c r="N686" t="s">
        <v>57</v>
      </c>
      <c r="O686" s="1">
        <v>45809</v>
      </c>
      <c r="Q686" s="1">
        <v>45992</v>
      </c>
      <c r="R686" s="2">
        <v>27.95</v>
      </c>
      <c r="S686">
        <v>1</v>
      </c>
      <c r="T686" t="s">
        <v>58</v>
      </c>
      <c r="U686" t="s">
        <v>59</v>
      </c>
      <c r="V686" s="4">
        <v>0.375</v>
      </c>
      <c r="W686" s="2">
        <v>0</v>
      </c>
      <c r="X686">
        <v>0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10.48</v>
      </c>
      <c r="AN686" s="2">
        <v>10.48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45957</v>
      </c>
      <c r="B687" t="s">
        <v>48</v>
      </c>
      <c r="C687">
        <v>649163</v>
      </c>
      <c r="D687">
        <v>2028858329</v>
      </c>
      <c r="E687" t="s">
        <v>929</v>
      </c>
      <c r="F687" t="s">
        <v>103</v>
      </c>
      <c r="G687" t="s">
        <v>51</v>
      </c>
      <c r="H687" t="s">
        <v>69</v>
      </c>
      <c r="I687" t="s">
        <v>378</v>
      </c>
      <c r="J687" t="s">
        <v>379</v>
      </c>
      <c r="K687">
        <v>839554</v>
      </c>
      <c r="L687" t="s">
        <v>930</v>
      </c>
      <c r="M687" t="s">
        <v>931</v>
      </c>
      <c r="N687" t="s">
        <v>57</v>
      </c>
      <c r="O687" s="1">
        <v>45809</v>
      </c>
      <c r="Q687" s="1">
        <v>45992</v>
      </c>
      <c r="R687" s="2">
        <v>217.26</v>
      </c>
      <c r="S687">
        <v>1</v>
      </c>
      <c r="T687" t="s">
        <v>58</v>
      </c>
      <c r="U687" t="s">
        <v>59</v>
      </c>
      <c r="V687" s="4">
        <v>0.375</v>
      </c>
      <c r="W687" s="2">
        <v>0</v>
      </c>
      <c r="X687">
        <v>0</v>
      </c>
      <c r="Y687" t="s">
        <v>60</v>
      </c>
      <c r="Z687" t="s">
        <v>61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81.47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45957</v>
      </c>
      <c r="B688" t="s">
        <v>48</v>
      </c>
      <c r="C688">
        <v>649163</v>
      </c>
      <c r="D688">
        <v>2028899051</v>
      </c>
      <c r="E688" t="s">
        <v>691</v>
      </c>
      <c r="F688" t="s">
        <v>692</v>
      </c>
      <c r="G688" t="s">
        <v>51</v>
      </c>
      <c r="H688" t="s">
        <v>69</v>
      </c>
      <c r="I688" t="s">
        <v>378</v>
      </c>
      <c r="J688" t="s">
        <v>379</v>
      </c>
      <c r="K688">
        <v>820873</v>
      </c>
      <c r="L688" t="s">
        <v>447</v>
      </c>
      <c r="M688" t="s">
        <v>448</v>
      </c>
      <c r="N688" t="s">
        <v>57</v>
      </c>
      <c r="O688" s="1">
        <v>45809</v>
      </c>
      <c r="Q688" s="1">
        <v>45992</v>
      </c>
      <c r="R688" s="2">
        <v>32.67</v>
      </c>
      <c r="S688">
        <v>1</v>
      </c>
      <c r="T688" t="s">
        <v>58</v>
      </c>
      <c r="U688" t="s">
        <v>59</v>
      </c>
      <c r="V688" s="4">
        <v>0.375</v>
      </c>
      <c r="W688" s="2">
        <v>0</v>
      </c>
      <c r="X688">
        <v>0</v>
      </c>
      <c r="Y688" t="s">
        <v>60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12.25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45957</v>
      </c>
      <c r="B689" t="s">
        <v>48</v>
      </c>
      <c r="C689">
        <v>649163</v>
      </c>
      <c r="D689">
        <v>2028901561</v>
      </c>
      <c r="E689" t="s">
        <v>693</v>
      </c>
      <c r="F689" t="s">
        <v>694</v>
      </c>
      <c r="G689" t="s">
        <v>51</v>
      </c>
      <c r="H689" t="s">
        <v>195</v>
      </c>
      <c r="I689" t="s">
        <v>378</v>
      </c>
      <c r="J689" t="s">
        <v>379</v>
      </c>
      <c r="K689">
        <v>751867</v>
      </c>
      <c r="L689" t="s">
        <v>349</v>
      </c>
      <c r="M689" t="s">
        <v>312</v>
      </c>
      <c r="N689" t="s">
        <v>57</v>
      </c>
      <c r="O689" s="1">
        <v>45809</v>
      </c>
      <c r="Q689" s="1">
        <v>45992</v>
      </c>
      <c r="R689" s="2">
        <v>24.88</v>
      </c>
      <c r="S689">
        <v>1</v>
      </c>
      <c r="T689" t="s">
        <v>58</v>
      </c>
      <c r="U689" t="s">
        <v>59</v>
      </c>
      <c r="V689" s="4">
        <v>0.375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9.33</v>
      </c>
      <c r="AN689" s="2">
        <v>9.33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45957</v>
      </c>
      <c r="B690" t="s">
        <v>48</v>
      </c>
      <c r="C690">
        <v>649163</v>
      </c>
      <c r="D690">
        <v>2028910082</v>
      </c>
      <c r="E690" t="s">
        <v>932</v>
      </c>
      <c r="F690" t="s">
        <v>933</v>
      </c>
      <c r="G690" t="s">
        <v>51</v>
      </c>
      <c r="H690" t="s">
        <v>69</v>
      </c>
      <c r="I690" t="s">
        <v>378</v>
      </c>
      <c r="J690" t="s">
        <v>379</v>
      </c>
      <c r="K690">
        <v>822733</v>
      </c>
      <c r="L690" t="s">
        <v>380</v>
      </c>
      <c r="M690" t="s">
        <v>381</v>
      </c>
      <c r="N690" t="s">
        <v>57</v>
      </c>
      <c r="O690" s="1">
        <v>45809</v>
      </c>
      <c r="Q690" s="1">
        <v>45992</v>
      </c>
      <c r="R690" s="2">
        <v>77.7</v>
      </c>
      <c r="S690">
        <v>1</v>
      </c>
      <c r="T690" t="s">
        <v>58</v>
      </c>
      <c r="U690" t="s">
        <v>59</v>
      </c>
      <c r="V690" s="4">
        <v>0.375</v>
      </c>
      <c r="W690" s="2">
        <v>0</v>
      </c>
      <c r="X690">
        <v>0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29.14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45957</v>
      </c>
      <c r="B691" t="s">
        <v>48</v>
      </c>
      <c r="C691">
        <v>649163</v>
      </c>
      <c r="D691">
        <v>2028912170</v>
      </c>
      <c r="E691" t="s">
        <v>934</v>
      </c>
      <c r="F691" t="s">
        <v>935</v>
      </c>
      <c r="G691" t="s">
        <v>51</v>
      </c>
      <c r="H691" t="s">
        <v>52</v>
      </c>
      <c r="I691" t="s">
        <v>378</v>
      </c>
      <c r="J691" t="s">
        <v>379</v>
      </c>
      <c r="K691">
        <v>856824</v>
      </c>
      <c r="L691" t="s">
        <v>175</v>
      </c>
      <c r="M691" t="s">
        <v>176</v>
      </c>
      <c r="N691" t="s">
        <v>57</v>
      </c>
      <c r="O691" s="1">
        <v>45809</v>
      </c>
      <c r="Q691" s="1">
        <v>45992</v>
      </c>
      <c r="R691" s="2">
        <v>65.2</v>
      </c>
      <c r="S691">
        <v>1</v>
      </c>
      <c r="T691" t="s">
        <v>58</v>
      </c>
      <c r="U691" t="s">
        <v>59</v>
      </c>
      <c r="V691" s="4">
        <v>0.375</v>
      </c>
      <c r="W691" s="2">
        <v>0</v>
      </c>
      <c r="X691">
        <v>0</v>
      </c>
      <c r="Y691" t="s">
        <v>60</v>
      </c>
      <c r="Z691" t="s">
        <v>61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24.45</v>
      </c>
      <c r="AN691" s="2">
        <v>24.45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45957</v>
      </c>
      <c r="B692" t="s">
        <v>48</v>
      </c>
      <c r="C692">
        <v>649163</v>
      </c>
      <c r="D692">
        <v>2028914240</v>
      </c>
      <c r="E692" t="s">
        <v>936</v>
      </c>
      <c r="F692" t="s">
        <v>937</v>
      </c>
      <c r="G692" t="s">
        <v>51</v>
      </c>
      <c r="H692" t="s">
        <v>69</v>
      </c>
      <c r="I692" t="s">
        <v>378</v>
      </c>
      <c r="J692" t="s">
        <v>379</v>
      </c>
      <c r="K692">
        <v>843573</v>
      </c>
      <c r="L692" t="s">
        <v>389</v>
      </c>
      <c r="M692" t="s">
        <v>390</v>
      </c>
      <c r="N692" t="s">
        <v>57</v>
      </c>
      <c r="O692" s="1">
        <v>45809</v>
      </c>
      <c r="Q692" s="1">
        <v>45992</v>
      </c>
      <c r="R692" s="2">
        <v>38.44</v>
      </c>
      <c r="S692">
        <v>1</v>
      </c>
      <c r="T692" t="s">
        <v>58</v>
      </c>
      <c r="U692" t="s">
        <v>59</v>
      </c>
      <c r="V692" s="4">
        <v>0.375</v>
      </c>
      <c r="W692" s="2">
        <v>0</v>
      </c>
      <c r="X692">
        <v>0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14.41</v>
      </c>
      <c r="AM692" s="2">
        <v>0.01</v>
      </c>
      <c r="AN692" s="2">
        <v>0.01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45957</v>
      </c>
      <c r="B693" t="s">
        <v>48</v>
      </c>
      <c r="C693">
        <v>649163</v>
      </c>
      <c r="D693">
        <v>2028923135</v>
      </c>
      <c r="E693" t="s">
        <v>938</v>
      </c>
      <c r="F693" t="s">
        <v>385</v>
      </c>
      <c r="G693" t="s">
        <v>51</v>
      </c>
      <c r="H693" t="s">
        <v>69</v>
      </c>
      <c r="I693" t="s">
        <v>378</v>
      </c>
      <c r="J693" t="s">
        <v>379</v>
      </c>
      <c r="K693">
        <v>824076</v>
      </c>
      <c r="L693" t="s">
        <v>135</v>
      </c>
      <c r="M693" t="s">
        <v>136</v>
      </c>
      <c r="N693" t="s">
        <v>57</v>
      </c>
      <c r="O693" s="1">
        <v>45809</v>
      </c>
      <c r="Q693" s="1">
        <v>45992</v>
      </c>
      <c r="R693" s="2">
        <v>156.16</v>
      </c>
      <c r="S693">
        <v>1</v>
      </c>
      <c r="T693" t="s">
        <v>58</v>
      </c>
      <c r="U693" t="s">
        <v>59</v>
      </c>
      <c r="V693" s="4">
        <v>0.375</v>
      </c>
      <c r="W693" s="2">
        <v>0</v>
      </c>
      <c r="X693">
        <v>0</v>
      </c>
      <c r="Y693" t="s">
        <v>60</v>
      </c>
      <c r="Z693" t="s">
        <v>61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58.56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45957</v>
      </c>
      <c r="B694" t="s">
        <v>48</v>
      </c>
      <c r="C694">
        <v>649163</v>
      </c>
      <c r="D694">
        <v>2028949434</v>
      </c>
      <c r="E694" t="s">
        <v>786</v>
      </c>
      <c r="F694" t="s">
        <v>787</v>
      </c>
      <c r="G694" t="s">
        <v>51</v>
      </c>
      <c r="H694" t="s">
        <v>69</v>
      </c>
      <c r="I694" t="s">
        <v>378</v>
      </c>
      <c r="J694" t="s">
        <v>379</v>
      </c>
      <c r="K694">
        <v>824062</v>
      </c>
      <c r="L694" t="s">
        <v>74</v>
      </c>
      <c r="M694" t="s">
        <v>75</v>
      </c>
      <c r="N694" t="s">
        <v>57</v>
      </c>
      <c r="O694" s="1">
        <v>45809</v>
      </c>
      <c r="Q694" s="1">
        <v>45992</v>
      </c>
      <c r="R694" s="2">
        <v>41.17</v>
      </c>
      <c r="S694">
        <v>1</v>
      </c>
      <c r="T694" t="s">
        <v>58</v>
      </c>
      <c r="U694" t="s">
        <v>59</v>
      </c>
      <c r="V694" s="4">
        <v>0.375</v>
      </c>
      <c r="W694" s="2">
        <v>0</v>
      </c>
      <c r="X694">
        <v>0</v>
      </c>
      <c r="Y694" t="s">
        <v>60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15.44</v>
      </c>
      <c r="AN694" s="2">
        <v>15.44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45957</v>
      </c>
      <c r="B695" t="s">
        <v>48</v>
      </c>
      <c r="C695">
        <v>649163</v>
      </c>
      <c r="D695">
        <v>2028960908</v>
      </c>
      <c r="E695" t="s">
        <v>789</v>
      </c>
      <c r="F695" t="s">
        <v>790</v>
      </c>
      <c r="G695" t="s">
        <v>51</v>
      </c>
      <c r="H695" t="s">
        <v>69</v>
      </c>
      <c r="I695" t="s">
        <v>378</v>
      </c>
      <c r="J695" t="s">
        <v>379</v>
      </c>
      <c r="K695">
        <v>856163</v>
      </c>
      <c r="L695" t="s">
        <v>70</v>
      </c>
      <c r="M695" t="s">
        <v>71</v>
      </c>
      <c r="N695" t="s">
        <v>57</v>
      </c>
      <c r="O695" s="1">
        <v>45809</v>
      </c>
      <c r="Q695" s="1">
        <v>45992</v>
      </c>
      <c r="R695" s="2">
        <v>41.17</v>
      </c>
      <c r="S695">
        <v>1</v>
      </c>
      <c r="T695" t="s">
        <v>58</v>
      </c>
      <c r="U695" t="s">
        <v>59</v>
      </c>
      <c r="V695" s="4">
        <v>0.375</v>
      </c>
      <c r="W695" s="2">
        <v>0</v>
      </c>
      <c r="X695">
        <v>0</v>
      </c>
      <c r="Y695" t="s">
        <v>60</v>
      </c>
      <c r="Z695" t="s">
        <v>61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15.43</v>
      </c>
      <c r="AM695" s="2">
        <v>0.01</v>
      </c>
      <c r="AN695" s="2">
        <v>0.01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45957</v>
      </c>
      <c r="B696" t="s">
        <v>48</v>
      </c>
      <c r="C696">
        <v>649163</v>
      </c>
      <c r="D696">
        <v>2028965157</v>
      </c>
      <c r="E696" t="s">
        <v>939</v>
      </c>
      <c r="F696" t="s">
        <v>886</v>
      </c>
      <c r="G696" t="s">
        <v>51</v>
      </c>
      <c r="H696" t="s">
        <v>69</v>
      </c>
      <c r="I696" t="s">
        <v>378</v>
      </c>
      <c r="J696" t="s">
        <v>379</v>
      </c>
      <c r="K696">
        <v>812994</v>
      </c>
      <c r="L696" t="s">
        <v>228</v>
      </c>
      <c r="M696" t="s">
        <v>229</v>
      </c>
      <c r="N696" t="s">
        <v>57</v>
      </c>
      <c r="O696" s="1">
        <v>45809</v>
      </c>
      <c r="Q696" s="1">
        <v>45992</v>
      </c>
      <c r="R696" s="2">
        <v>76.19</v>
      </c>
      <c r="S696">
        <v>1</v>
      </c>
      <c r="T696" t="s">
        <v>58</v>
      </c>
      <c r="U696" t="s">
        <v>59</v>
      </c>
      <c r="V696" s="4">
        <v>0.375</v>
      </c>
      <c r="W696" s="2">
        <v>0</v>
      </c>
      <c r="X696">
        <v>0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28.57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45957</v>
      </c>
      <c r="B697" t="s">
        <v>48</v>
      </c>
      <c r="C697">
        <v>649163</v>
      </c>
      <c r="D697">
        <v>2028965280</v>
      </c>
      <c r="E697" t="s">
        <v>940</v>
      </c>
      <c r="F697" t="s">
        <v>427</v>
      </c>
      <c r="G697" t="s">
        <v>51</v>
      </c>
      <c r="H697" t="s">
        <v>69</v>
      </c>
      <c r="I697" t="s">
        <v>378</v>
      </c>
      <c r="J697" t="s">
        <v>379</v>
      </c>
      <c r="K697">
        <v>824081</v>
      </c>
      <c r="L697" t="s">
        <v>800</v>
      </c>
      <c r="M697" t="s">
        <v>801</v>
      </c>
      <c r="N697" t="s">
        <v>57</v>
      </c>
      <c r="O697" s="1">
        <v>45809</v>
      </c>
      <c r="Q697" s="1">
        <v>45992</v>
      </c>
      <c r="R697" s="2">
        <v>43.36</v>
      </c>
      <c r="S697">
        <v>1</v>
      </c>
      <c r="T697" t="s">
        <v>58</v>
      </c>
      <c r="U697" t="s">
        <v>59</v>
      </c>
      <c r="V697" s="4">
        <v>0.375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16.260000000000002</v>
      </c>
      <c r="AN697" s="2">
        <v>16.260000000000002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45957</v>
      </c>
      <c r="B698" t="s">
        <v>48</v>
      </c>
      <c r="C698">
        <v>649163</v>
      </c>
      <c r="D698">
        <v>2029005832</v>
      </c>
      <c r="E698" t="s">
        <v>941</v>
      </c>
      <c r="F698" t="s">
        <v>942</v>
      </c>
      <c r="G698" t="s">
        <v>51</v>
      </c>
      <c r="H698" t="s">
        <v>563</v>
      </c>
      <c r="I698" t="s">
        <v>378</v>
      </c>
      <c r="J698" t="s">
        <v>379</v>
      </c>
      <c r="K698">
        <v>840313</v>
      </c>
      <c r="L698" t="s">
        <v>159</v>
      </c>
      <c r="M698" t="s">
        <v>160</v>
      </c>
      <c r="N698" t="s">
        <v>57</v>
      </c>
      <c r="O698" s="1">
        <v>45809</v>
      </c>
      <c r="Q698" s="1">
        <v>45992</v>
      </c>
      <c r="R698" s="2">
        <v>114.15</v>
      </c>
      <c r="S698">
        <v>1</v>
      </c>
      <c r="T698" t="s">
        <v>58</v>
      </c>
      <c r="U698" t="s">
        <v>59</v>
      </c>
      <c r="V698" s="4">
        <v>0.375</v>
      </c>
      <c r="W698" s="2">
        <v>0</v>
      </c>
      <c r="X698">
        <v>0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42.8</v>
      </c>
      <c r="AM698" s="2">
        <v>0.01</v>
      </c>
      <c r="AN698" s="2">
        <v>0.01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45957</v>
      </c>
      <c r="B699" t="s">
        <v>48</v>
      </c>
      <c r="C699">
        <v>649163</v>
      </c>
      <c r="D699">
        <v>2029011566</v>
      </c>
      <c r="E699" t="s">
        <v>265</v>
      </c>
      <c r="F699" t="s">
        <v>792</v>
      </c>
      <c r="G699" t="s">
        <v>51</v>
      </c>
      <c r="H699" t="s">
        <v>69</v>
      </c>
      <c r="I699" t="s">
        <v>378</v>
      </c>
      <c r="J699" t="s">
        <v>379</v>
      </c>
      <c r="K699">
        <v>673059</v>
      </c>
      <c r="L699" t="s">
        <v>55</v>
      </c>
      <c r="M699" t="s">
        <v>56</v>
      </c>
      <c r="N699" t="s">
        <v>57</v>
      </c>
      <c r="O699" s="1">
        <v>45809</v>
      </c>
      <c r="Q699" s="1">
        <v>45992</v>
      </c>
      <c r="R699" s="2">
        <v>67.19</v>
      </c>
      <c r="S699">
        <v>1</v>
      </c>
      <c r="T699" t="s">
        <v>58</v>
      </c>
      <c r="U699" t="s">
        <v>59</v>
      </c>
      <c r="V699" s="4">
        <v>0.375</v>
      </c>
      <c r="W699" s="2">
        <v>0</v>
      </c>
      <c r="X699">
        <v>0</v>
      </c>
      <c r="Y699" t="s">
        <v>60</v>
      </c>
      <c r="Z699" t="s">
        <v>61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25.19</v>
      </c>
      <c r="AM699" s="2">
        <v>0.01</v>
      </c>
      <c r="AN699" s="2">
        <v>0.01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45957</v>
      </c>
      <c r="B700" t="s">
        <v>48</v>
      </c>
      <c r="C700">
        <v>649163</v>
      </c>
      <c r="D700">
        <v>2029031322</v>
      </c>
      <c r="E700" t="s">
        <v>796</v>
      </c>
      <c r="F700" t="s">
        <v>308</v>
      </c>
      <c r="G700" t="s">
        <v>51</v>
      </c>
      <c r="H700" t="s">
        <v>92</v>
      </c>
      <c r="I700" t="s">
        <v>378</v>
      </c>
      <c r="J700" t="s">
        <v>379</v>
      </c>
      <c r="K700">
        <v>816021</v>
      </c>
      <c r="L700" t="s">
        <v>93</v>
      </c>
      <c r="M700" t="s">
        <v>94</v>
      </c>
      <c r="N700" t="s">
        <v>57</v>
      </c>
      <c r="O700" s="1">
        <v>45809</v>
      </c>
      <c r="Q700" s="1">
        <v>45992</v>
      </c>
      <c r="R700" s="2">
        <v>62.45</v>
      </c>
      <c r="S700">
        <v>1</v>
      </c>
      <c r="T700" t="s">
        <v>58</v>
      </c>
      <c r="U700" t="s">
        <v>59</v>
      </c>
      <c r="V700" s="4">
        <v>0.375</v>
      </c>
      <c r="W700" s="2">
        <v>0</v>
      </c>
      <c r="X700">
        <v>0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23.41</v>
      </c>
      <c r="AM700" s="2">
        <v>0.01</v>
      </c>
      <c r="AN700" s="2">
        <v>0.01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45957</v>
      </c>
      <c r="B701" t="s">
        <v>48</v>
      </c>
      <c r="C701">
        <v>649163</v>
      </c>
      <c r="D701">
        <v>2029034138</v>
      </c>
      <c r="E701" t="s">
        <v>943</v>
      </c>
      <c r="F701" t="s">
        <v>944</v>
      </c>
      <c r="G701" t="s">
        <v>51</v>
      </c>
      <c r="H701" t="s">
        <v>69</v>
      </c>
      <c r="I701" t="s">
        <v>378</v>
      </c>
      <c r="J701" t="s">
        <v>379</v>
      </c>
      <c r="K701">
        <v>824062</v>
      </c>
      <c r="L701" t="s">
        <v>74</v>
      </c>
      <c r="M701" t="s">
        <v>75</v>
      </c>
      <c r="N701" t="s">
        <v>57</v>
      </c>
      <c r="O701" s="1">
        <v>45809</v>
      </c>
      <c r="Q701" s="1">
        <v>45992</v>
      </c>
      <c r="R701" s="2">
        <v>217.26</v>
      </c>
      <c r="S701">
        <v>1</v>
      </c>
      <c r="T701" t="s">
        <v>58</v>
      </c>
      <c r="U701" t="s">
        <v>59</v>
      </c>
      <c r="V701" s="4">
        <v>0.375</v>
      </c>
      <c r="W701" s="2">
        <v>0</v>
      </c>
      <c r="X701">
        <v>0</v>
      </c>
      <c r="Y701" t="s">
        <v>60</v>
      </c>
      <c r="Z701" t="s">
        <v>61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81.47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45957</v>
      </c>
      <c r="B702" t="s">
        <v>48</v>
      </c>
      <c r="C702">
        <v>649163</v>
      </c>
      <c r="D702">
        <v>2029034662</v>
      </c>
      <c r="E702" t="s">
        <v>265</v>
      </c>
      <c r="F702" t="s">
        <v>797</v>
      </c>
      <c r="G702" t="s">
        <v>51</v>
      </c>
      <c r="H702" t="s">
        <v>69</v>
      </c>
      <c r="I702" t="s">
        <v>378</v>
      </c>
      <c r="J702" t="s">
        <v>379</v>
      </c>
      <c r="K702">
        <v>673059</v>
      </c>
      <c r="L702" t="s">
        <v>55</v>
      </c>
      <c r="M702" t="s">
        <v>56</v>
      </c>
      <c r="N702" t="s">
        <v>57</v>
      </c>
      <c r="O702" s="1">
        <v>45809</v>
      </c>
      <c r="Q702" s="1">
        <v>45992</v>
      </c>
      <c r="R702" s="2">
        <v>27.64</v>
      </c>
      <c r="S702">
        <v>1</v>
      </c>
      <c r="T702" t="s">
        <v>58</v>
      </c>
      <c r="U702" t="s">
        <v>59</v>
      </c>
      <c r="V702" s="4">
        <v>0.375</v>
      </c>
      <c r="W702" s="2">
        <v>0</v>
      </c>
      <c r="X702">
        <v>0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10.36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45957</v>
      </c>
      <c r="B703" t="s">
        <v>48</v>
      </c>
      <c r="C703">
        <v>649163</v>
      </c>
      <c r="D703">
        <v>2029062370</v>
      </c>
      <c r="E703" t="s">
        <v>857</v>
      </c>
      <c r="F703" t="s">
        <v>945</v>
      </c>
      <c r="G703" t="s">
        <v>51</v>
      </c>
      <c r="H703" t="s">
        <v>261</v>
      </c>
      <c r="I703" t="s">
        <v>378</v>
      </c>
      <c r="J703" t="s">
        <v>379</v>
      </c>
      <c r="K703">
        <v>767312</v>
      </c>
      <c r="L703" t="s">
        <v>237</v>
      </c>
      <c r="M703" t="s">
        <v>103</v>
      </c>
      <c r="N703" t="s">
        <v>57</v>
      </c>
      <c r="O703" s="1">
        <v>45800</v>
      </c>
      <c r="Q703" s="1">
        <v>45984</v>
      </c>
      <c r="R703" s="2">
        <v>122.99</v>
      </c>
      <c r="S703">
        <v>1</v>
      </c>
      <c r="T703" t="s">
        <v>58</v>
      </c>
      <c r="U703" t="s">
        <v>59</v>
      </c>
      <c r="V703" s="4">
        <v>0.375</v>
      </c>
      <c r="W703" s="2">
        <v>0</v>
      </c>
      <c r="X703">
        <v>0</v>
      </c>
      <c r="Y703" t="s">
        <v>60</v>
      </c>
      <c r="Z703" t="s">
        <v>61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46.12</v>
      </c>
      <c r="AN703" s="2">
        <v>46.12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45957</v>
      </c>
      <c r="B704" t="s">
        <v>48</v>
      </c>
      <c r="C704">
        <v>649163</v>
      </c>
      <c r="D704">
        <v>2029068610</v>
      </c>
      <c r="E704" t="s">
        <v>946</v>
      </c>
      <c r="F704" t="s">
        <v>947</v>
      </c>
      <c r="G704" t="s">
        <v>51</v>
      </c>
      <c r="H704" t="s">
        <v>69</v>
      </c>
      <c r="I704" t="s">
        <v>378</v>
      </c>
      <c r="J704" t="s">
        <v>379</v>
      </c>
      <c r="K704">
        <v>812656</v>
      </c>
      <c r="L704" t="s">
        <v>82</v>
      </c>
      <c r="M704" t="s">
        <v>83</v>
      </c>
      <c r="N704" t="s">
        <v>57</v>
      </c>
      <c r="O704" s="1">
        <v>45809</v>
      </c>
      <c r="Q704" s="1">
        <v>45992</v>
      </c>
      <c r="R704" s="2">
        <v>57.19</v>
      </c>
      <c r="S704">
        <v>1</v>
      </c>
      <c r="T704" t="s">
        <v>58</v>
      </c>
      <c r="U704" t="s">
        <v>59</v>
      </c>
      <c r="V704" s="4">
        <v>0.375</v>
      </c>
      <c r="W704" s="2">
        <v>0</v>
      </c>
      <c r="X704">
        <v>0</v>
      </c>
      <c r="Y704" t="s">
        <v>60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21.44</v>
      </c>
      <c r="AM704" s="2">
        <v>0.01</v>
      </c>
      <c r="AN704" s="2">
        <v>0.01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45957</v>
      </c>
      <c r="B705" t="s">
        <v>48</v>
      </c>
      <c r="C705">
        <v>649163</v>
      </c>
      <c r="D705">
        <v>2029132494</v>
      </c>
      <c r="E705" t="s">
        <v>948</v>
      </c>
      <c r="F705" t="s">
        <v>66</v>
      </c>
      <c r="G705" t="s">
        <v>51</v>
      </c>
      <c r="H705" t="s">
        <v>439</v>
      </c>
      <c r="I705" t="s">
        <v>378</v>
      </c>
      <c r="J705" t="s">
        <v>379</v>
      </c>
      <c r="K705">
        <v>820140</v>
      </c>
      <c r="L705" t="s">
        <v>440</v>
      </c>
      <c r="M705" t="s">
        <v>407</v>
      </c>
      <c r="N705" t="s">
        <v>57</v>
      </c>
      <c r="O705" s="1">
        <v>45809</v>
      </c>
      <c r="Q705" s="1">
        <v>45992</v>
      </c>
      <c r="R705" s="2">
        <v>43.59</v>
      </c>
      <c r="S705">
        <v>1</v>
      </c>
      <c r="T705" t="s">
        <v>58</v>
      </c>
      <c r="U705" t="s">
        <v>59</v>
      </c>
      <c r="V705" s="4">
        <v>9.5000000000000001E-2</v>
      </c>
      <c r="W705" s="2">
        <v>0</v>
      </c>
      <c r="X705">
        <v>0</v>
      </c>
      <c r="Y705" t="s">
        <v>60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4.1399999999999997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45957</v>
      </c>
      <c r="B706" t="s">
        <v>48</v>
      </c>
      <c r="C706">
        <v>649163</v>
      </c>
      <c r="D706">
        <v>2029140522</v>
      </c>
      <c r="E706" t="s">
        <v>437</v>
      </c>
      <c r="F706" t="s">
        <v>268</v>
      </c>
      <c r="G706" t="s">
        <v>51</v>
      </c>
      <c r="H706" t="s">
        <v>439</v>
      </c>
      <c r="I706" t="s">
        <v>378</v>
      </c>
      <c r="J706" t="s">
        <v>379</v>
      </c>
      <c r="K706">
        <v>820140</v>
      </c>
      <c r="L706" t="s">
        <v>440</v>
      </c>
      <c r="M706" t="s">
        <v>407</v>
      </c>
      <c r="N706" t="s">
        <v>57</v>
      </c>
      <c r="O706" s="1">
        <v>45809</v>
      </c>
      <c r="Q706" s="1">
        <v>45992</v>
      </c>
      <c r="R706" s="2">
        <v>32.43</v>
      </c>
      <c r="S706">
        <v>1</v>
      </c>
      <c r="T706" t="s">
        <v>58</v>
      </c>
      <c r="U706" t="s">
        <v>59</v>
      </c>
      <c r="V706" s="4">
        <v>9.5000000000000001E-2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3.08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45957</v>
      </c>
      <c r="B707" t="s">
        <v>48</v>
      </c>
      <c r="C707">
        <v>649163</v>
      </c>
      <c r="D707">
        <v>2029145084</v>
      </c>
      <c r="E707" t="s">
        <v>703</v>
      </c>
      <c r="F707" t="s">
        <v>704</v>
      </c>
      <c r="G707" t="s">
        <v>51</v>
      </c>
      <c r="H707" t="s">
        <v>69</v>
      </c>
      <c r="I707" t="s">
        <v>378</v>
      </c>
      <c r="J707" t="s">
        <v>379</v>
      </c>
      <c r="K707">
        <v>766422</v>
      </c>
      <c r="L707" t="s">
        <v>335</v>
      </c>
      <c r="M707" t="s">
        <v>336</v>
      </c>
      <c r="N707" t="s">
        <v>57</v>
      </c>
      <c r="O707" s="1">
        <v>45805</v>
      </c>
      <c r="Q707" s="1">
        <v>45989</v>
      </c>
      <c r="R707" s="2">
        <v>27.64</v>
      </c>
      <c r="S707">
        <v>1</v>
      </c>
      <c r="T707" t="s">
        <v>58</v>
      </c>
      <c r="U707" t="s">
        <v>59</v>
      </c>
      <c r="V707" s="4">
        <v>0.375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10.36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45957</v>
      </c>
      <c r="B708" t="s">
        <v>48</v>
      </c>
      <c r="C708">
        <v>649163</v>
      </c>
      <c r="D708">
        <v>2029158439</v>
      </c>
      <c r="E708" t="s">
        <v>949</v>
      </c>
      <c r="F708" t="s">
        <v>433</v>
      </c>
      <c r="G708" t="s">
        <v>51</v>
      </c>
      <c r="H708" t="s">
        <v>165</v>
      </c>
      <c r="I708" t="s">
        <v>378</v>
      </c>
      <c r="J708" t="s">
        <v>379</v>
      </c>
      <c r="K708">
        <v>822733</v>
      </c>
      <c r="L708" t="s">
        <v>380</v>
      </c>
      <c r="M708" t="s">
        <v>381</v>
      </c>
      <c r="N708" t="s">
        <v>57</v>
      </c>
      <c r="O708" s="1">
        <v>45809</v>
      </c>
      <c r="Q708" s="1">
        <v>45992</v>
      </c>
      <c r="R708" s="2">
        <v>22.88</v>
      </c>
      <c r="S708">
        <v>1</v>
      </c>
      <c r="T708" t="s">
        <v>58</v>
      </c>
      <c r="U708" t="s">
        <v>59</v>
      </c>
      <c r="V708" s="4">
        <v>0.375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8.58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45957</v>
      </c>
      <c r="B709" t="s">
        <v>48</v>
      </c>
      <c r="C709">
        <v>649163</v>
      </c>
      <c r="D709">
        <v>2029159005</v>
      </c>
      <c r="E709" t="s">
        <v>950</v>
      </c>
      <c r="F709" t="s">
        <v>951</v>
      </c>
      <c r="G709" t="s">
        <v>51</v>
      </c>
      <c r="H709" t="s">
        <v>165</v>
      </c>
      <c r="I709" t="s">
        <v>378</v>
      </c>
      <c r="J709" t="s">
        <v>379</v>
      </c>
      <c r="K709">
        <v>822865</v>
      </c>
      <c r="L709" t="s">
        <v>469</v>
      </c>
      <c r="M709" t="s">
        <v>470</v>
      </c>
      <c r="N709" t="s">
        <v>57</v>
      </c>
      <c r="O709" s="1">
        <v>45806</v>
      </c>
      <c r="Q709" s="1">
        <v>45990</v>
      </c>
      <c r="R709" s="2">
        <v>22.88</v>
      </c>
      <c r="S709">
        <v>1</v>
      </c>
      <c r="T709" t="s">
        <v>58</v>
      </c>
      <c r="U709" t="s">
        <v>59</v>
      </c>
      <c r="V709" s="4">
        <v>0.375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8.58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45957</v>
      </c>
      <c r="B710" t="s">
        <v>48</v>
      </c>
      <c r="C710">
        <v>649163</v>
      </c>
      <c r="D710">
        <v>2029183289</v>
      </c>
      <c r="E710" t="s">
        <v>796</v>
      </c>
      <c r="F710" t="s">
        <v>89</v>
      </c>
      <c r="G710" t="s">
        <v>51</v>
      </c>
      <c r="H710" t="s">
        <v>165</v>
      </c>
      <c r="I710" t="s">
        <v>378</v>
      </c>
      <c r="J710" t="s">
        <v>379</v>
      </c>
      <c r="K710">
        <v>806645</v>
      </c>
      <c r="L710" t="s">
        <v>88</v>
      </c>
      <c r="M710" t="s">
        <v>89</v>
      </c>
      <c r="N710" t="s">
        <v>57</v>
      </c>
      <c r="O710" s="1">
        <v>45807</v>
      </c>
      <c r="Q710" s="1">
        <v>45991</v>
      </c>
      <c r="R710" s="2">
        <v>49.19</v>
      </c>
      <c r="S710">
        <v>1</v>
      </c>
      <c r="T710" t="s">
        <v>58</v>
      </c>
      <c r="U710" t="s">
        <v>59</v>
      </c>
      <c r="V710" s="4">
        <v>0.375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18.440000000000001</v>
      </c>
      <c r="AM710" s="2">
        <v>0.01</v>
      </c>
      <c r="AN710" s="2">
        <v>0.01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45957</v>
      </c>
      <c r="B711" t="s">
        <v>48</v>
      </c>
      <c r="C711">
        <v>649163</v>
      </c>
      <c r="D711">
        <v>2029196871</v>
      </c>
      <c r="E711" t="s">
        <v>952</v>
      </c>
      <c r="F711" t="s">
        <v>797</v>
      </c>
      <c r="G711" t="s">
        <v>51</v>
      </c>
      <c r="H711" t="s">
        <v>208</v>
      </c>
      <c r="I711" t="s">
        <v>378</v>
      </c>
      <c r="J711" t="s">
        <v>379</v>
      </c>
      <c r="K711">
        <v>650218</v>
      </c>
      <c r="L711" t="s">
        <v>357</v>
      </c>
      <c r="M711" t="s">
        <v>358</v>
      </c>
      <c r="N711" t="s">
        <v>57</v>
      </c>
      <c r="O711" s="1">
        <v>45809</v>
      </c>
      <c r="Q711" s="1">
        <v>45992</v>
      </c>
      <c r="R711" s="2">
        <v>28.07</v>
      </c>
      <c r="S711">
        <v>1</v>
      </c>
      <c r="T711" t="s">
        <v>58</v>
      </c>
      <c r="U711" t="s">
        <v>59</v>
      </c>
      <c r="V711" s="4">
        <v>0.375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10.52</v>
      </c>
      <c r="AM711" s="2">
        <v>0.01</v>
      </c>
      <c r="AN711" s="2">
        <v>0.01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45957</v>
      </c>
      <c r="B712" t="s">
        <v>48</v>
      </c>
      <c r="C712">
        <v>649163</v>
      </c>
      <c r="D712">
        <v>2029202227</v>
      </c>
      <c r="E712" t="s">
        <v>547</v>
      </c>
      <c r="F712" t="s">
        <v>548</v>
      </c>
      <c r="G712" t="s">
        <v>51</v>
      </c>
      <c r="H712" t="s">
        <v>195</v>
      </c>
      <c r="I712" t="s">
        <v>378</v>
      </c>
      <c r="J712" t="s">
        <v>379</v>
      </c>
      <c r="K712">
        <v>649247</v>
      </c>
      <c r="L712" t="s">
        <v>321</v>
      </c>
      <c r="M712" t="s">
        <v>322</v>
      </c>
      <c r="N712" t="s">
        <v>57</v>
      </c>
      <c r="O712" s="1">
        <v>45809</v>
      </c>
      <c r="Q712" s="1">
        <v>45992</v>
      </c>
      <c r="R712" s="2">
        <v>35.979999999999997</v>
      </c>
      <c r="S712">
        <v>1</v>
      </c>
      <c r="T712" t="s">
        <v>58</v>
      </c>
      <c r="U712" t="s">
        <v>59</v>
      </c>
      <c r="V712" s="4">
        <v>0.375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13.49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45957</v>
      </c>
      <c r="B713" t="s">
        <v>48</v>
      </c>
      <c r="C713">
        <v>649163</v>
      </c>
      <c r="D713">
        <v>2029204335</v>
      </c>
      <c r="E713" t="s">
        <v>953</v>
      </c>
      <c r="F713" t="s">
        <v>354</v>
      </c>
      <c r="G713" t="s">
        <v>51</v>
      </c>
      <c r="H713" t="s">
        <v>179</v>
      </c>
      <c r="I713" t="s">
        <v>378</v>
      </c>
      <c r="J713" t="s">
        <v>379</v>
      </c>
      <c r="K713">
        <v>756418</v>
      </c>
      <c r="L713" t="s">
        <v>191</v>
      </c>
      <c r="M713" t="s">
        <v>192</v>
      </c>
      <c r="N713" t="s">
        <v>57</v>
      </c>
      <c r="O713" s="1">
        <v>45808</v>
      </c>
      <c r="Q713" s="1">
        <v>45991</v>
      </c>
      <c r="R713" s="2">
        <v>34.28</v>
      </c>
      <c r="S713">
        <v>1</v>
      </c>
      <c r="T713" t="s">
        <v>58</v>
      </c>
      <c r="U713" t="s">
        <v>59</v>
      </c>
      <c r="V713" s="4">
        <v>0.375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12.85</v>
      </c>
      <c r="AM713" s="2">
        <v>0.01</v>
      </c>
      <c r="AN713" s="2">
        <v>0.01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45957</v>
      </c>
      <c r="B714" t="s">
        <v>48</v>
      </c>
      <c r="C714">
        <v>649163</v>
      </c>
      <c r="D714">
        <v>2029210002</v>
      </c>
      <c r="E714" t="s">
        <v>255</v>
      </c>
      <c r="F714" t="s">
        <v>404</v>
      </c>
      <c r="G714" t="s">
        <v>51</v>
      </c>
      <c r="H714" t="s">
        <v>81</v>
      </c>
      <c r="I714" t="s">
        <v>378</v>
      </c>
      <c r="J714" t="s">
        <v>379</v>
      </c>
      <c r="K714">
        <v>856824</v>
      </c>
      <c r="L714" t="s">
        <v>175</v>
      </c>
      <c r="M714" t="s">
        <v>176</v>
      </c>
      <c r="N714" t="s">
        <v>57</v>
      </c>
      <c r="O714" s="1">
        <v>45809</v>
      </c>
      <c r="Q714" s="1">
        <v>45992</v>
      </c>
      <c r="R714" s="2">
        <v>50.54</v>
      </c>
      <c r="S714">
        <v>1</v>
      </c>
      <c r="T714" t="s">
        <v>58</v>
      </c>
      <c r="U714" t="s">
        <v>59</v>
      </c>
      <c r="V714" s="4">
        <v>0.375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18.95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45957</v>
      </c>
      <c r="B715" t="s">
        <v>48</v>
      </c>
      <c r="C715">
        <v>649163</v>
      </c>
      <c r="D715">
        <v>2029494258</v>
      </c>
      <c r="E715" t="s">
        <v>954</v>
      </c>
      <c r="F715" t="s">
        <v>955</v>
      </c>
      <c r="G715" t="s">
        <v>51</v>
      </c>
      <c r="H715" t="s">
        <v>208</v>
      </c>
      <c r="I715" t="s">
        <v>378</v>
      </c>
      <c r="J715" t="s">
        <v>379</v>
      </c>
      <c r="K715">
        <v>792847</v>
      </c>
      <c r="L715" t="s">
        <v>371</v>
      </c>
      <c r="M715" t="s">
        <v>372</v>
      </c>
      <c r="N715" t="s">
        <v>57</v>
      </c>
      <c r="O715" s="1">
        <v>45839</v>
      </c>
      <c r="Q715" s="1">
        <v>45962</v>
      </c>
      <c r="R715" s="2">
        <v>72.37</v>
      </c>
      <c r="S715">
        <v>1</v>
      </c>
      <c r="T715" t="s">
        <v>58</v>
      </c>
      <c r="U715" t="s">
        <v>59</v>
      </c>
      <c r="V715" s="4">
        <v>0.375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27.14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45957</v>
      </c>
      <c r="B716" t="s">
        <v>48</v>
      </c>
      <c r="C716">
        <v>649163</v>
      </c>
      <c r="D716">
        <v>2029624409</v>
      </c>
      <c r="E716" t="s">
        <v>956</v>
      </c>
      <c r="F716" t="s">
        <v>485</v>
      </c>
      <c r="G716" t="s">
        <v>51</v>
      </c>
      <c r="H716" t="s">
        <v>261</v>
      </c>
      <c r="I716" t="s">
        <v>378</v>
      </c>
      <c r="J716" t="s">
        <v>379</v>
      </c>
      <c r="K716">
        <v>822865</v>
      </c>
      <c r="L716" t="s">
        <v>469</v>
      </c>
      <c r="M716" t="s">
        <v>470</v>
      </c>
      <c r="N716" t="s">
        <v>57</v>
      </c>
      <c r="O716" s="1">
        <v>45838</v>
      </c>
      <c r="Q716" s="1">
        <v>45991</v>
      </c>
      <c r="R716" s="2">
        <v>18.62</v>
      </c>
      <c r="S716">
        <v>1</v>
      </c>
      <c r="T716" t="s">
        <v>58</v>
      </c>
      <c r="U716" t="s">
        <v>59</v>
      </c>
      <c r="V716" s="4">
        <v>0.375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6.98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45957</v>
      </c>
      <c r="B717" t="s">
        <v>48</v>
      </c>
      <c r="C717">
        <v>649163</v>
      </c>
      <c r="D717">
        <v>2029690054</v>
      </c>
      <c r="E717" t="s">
        <v>957</v>
      </c>
      <c r="F717" t="s">
        <v>958</v>
      </c>
      <c r="G717" t="s">
        <v>51</v>
      </c>
      <c r="H717" t="s">
        <v>195</v>
      </c>
      <c r="I717" t="s">
        <v>378</v>
      </c>
      <c r="J717" t="s">
        <v>379</v>
      </c>
      <c r="K717">
        <v>702406</v>
      </c>
      <c r="L717" t="s">
        <v>489</v>
      </c>
      <c r="M717" t="s">
        <v>490</v>
      </c>
      <c r="N717" t="s">
        <v>57</v>
      </c>
      <c r="O717" s="1">
        <v>45836</v>
      </c>
      <c r="Q717" s="1">
        <v>45989</v>
      </c>
      <c r="R717" s="2">
        <v>58.98</v>
      </c>
      <c r="S717">
        <v>1</v>
      </c>
      <c r="T717" t="s">
        <v>58</v>
      </c>
      <c r="U717" t="s">
        <v>59</v>
      </c>
      <c r="V717" s="4">
        <v>0.375</v>
      </c>
      <c r="W717" s="2">
        <v>0</v>
      </c>
      <c r="X717">
        <v>0</v>
      </c>
      <c r="Y717" t="s">
        <v>60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22.12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45957</v>
      </c>
      <c r="B718" t="s">
        <v>48</v>
      </c>
      <c r="C718">
        <v>649163</v>
      </c>
      <c r="D718">
        <v>2029694327</v>
      </c>
      <c r="E718" t="s">
        <v>959</v>
      </c>
      <c r="F718" t="s">
        <v>960</v>
      </c>
      <c r="G718" t="s">
        <v>51</v>
      </c>
      <c r="H718" t="s">
        <v>293</v>
      </c>
      <c r="I718" t="s">
        <v>378</v>
      </c>
      <c r="J718" t="s">
        <v>379</v>
      </c>
      <c r="K718">
        <v>822865</v>
      </c>
      <c r="L718" t="s">
        <v>469</v>
      </c>
      <c r="M718" t="s">
        <v>470</v>
      </c>
      <c r="N718" t="s">
        <v>57</v>
      </c>
      <c r="O718" s="1">
        <v>45837</v>
      </c>
      <c r="Q718" s="1">
        <v>45990</v>
      </c>
      <c r="R718" s="2">
        <v>27.04</v>
      </c>
      <c r="S718">
        <v>1</v>
      </c>
      <c r="T718" t="s">
        <v>58</v>
      </c>
      <c r="U718" t="s">
        <v>59</v>
      </c>
      <c r="V718" s="4">
        <v>0.375</v>
      </c>
      <c r="W718" s="2">
        <v>0</v>
      </c>
      <c r="X718">
        <v>0</v>
      </c>
      <c r="Y718" t="s">
        <v>60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10.14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45957</v>
      </c>
      <c r="B719" t="s">
        <v>48</v>
      </c>
      <c r="C719">
        <v>649163</v>
      </c>
      <c r="D719">
        <v>2029854212</v>
      </c>
      <c r="E719" t="s">
        <v>275</v>
      </c>
      <c r="F719" t="s">
        <v>961</v>
      </c>
      <c r="G719" t="s">
        <v>51</v>
      </c>
      <c r="H719" t="s">
        <v>69</v>
      </c>
      <c r="I719" t="s">
        <v>378</v>
      </c>
      <c r="J719" t="s">
        <v>379</v>
      </c>
      <c r="K719">
        <v>882035</v>
      </c>
      <c r="L719" t="s">
        <v>141</v>
      </c>
      <c r="M719" t="s">
        <v>142</v>
      </c>
      <c r="N719" t="s">
        <v>57</v>
      </c>
      <c r="O719" s="1">
        <v>45901</v>
      </c>
      <c r="Q719" s="1">
        <v>45992</v>
      </c>
      <c r="R719" s="2">
        <v>77.48</v>
      </c>
      <c r="S719">
        <v>1</v>
      </c>
      <c r="T719" t="s">
        <v>58</v>
      </c>
      <c r="U719" t="s">
        <v>59</v>
      </c>
      <c r="V719" s="4">
        <v>0.375</v>
      </c>
      <c r="W719" s="2">
        <v>0</v>
      </c>
      <c r="X719">
        <v>0</v>
      </c>
      <c r="Y719" t="s">
        <v>60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29.06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45957</v>
      </c>
      <c r="B720" t="s">
        <v>48</v>
      </c>
      <c r="C720">
        <v>649163</v>
      </c>
      <c r="D720">
        <v>2029877052</v>
      </c>
      <c r="E720" t="s">
        <v>551</v>
      </c>
      <c r="F720" t="s">
        <v>552</v>
      </c>
      <c r="G720" t="s">
        <v>51</v>
      </c>
      <c r="H720" t="s">
        <v>129</v>
      </c>
      <c r="I720" t="s">
        <v>378</v>
      </c>
      <c r="J720" t="s">
        <v>379</v>
      </c>
      <c r="K720">
        <v>673059</v>
      </c>
      <c r="L720" t="s">
        <v>55</v>
      </c>
      <c r="M720" t="s">
        <v>56</v>
      </c>
      <c r="N720" t="s">
        <v>57</v>
      </c>
      <c r="O720" s="1">
        <v>45901</v>
      </c>
      <c r="Q720" s="1">
        <v>45992</v>
      </c>
      <c r="R720" s="2">
        <v>57.07</v>
      </c>
      <c r="S720">
        <v>1</v>
      </c>
      <c r="T720" t="s">
        <v>58</v>
      </c>
      <c r="U720" t="s">
        <v>59</v>
      </c>
      <c r="V720" s="4">
        <v>0.375</v>
      </c>
      <c r="W720" s="2">
        <v>0</v>
      </c>
      <c r="X720">
        <v>0</v>
      </c>
      <c r="Y720" t="s">
        <v>60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21.4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45957</v>
      </c>
      <c r="B721" t="s">
        <v>48</v>
      </c>
      <c r="C721">
        <v>649163</v>
      </c>
      <c r="D721">
        <v>2030125458</v>
      </c>
      <c r="E721" t="s">
        <v>962</v>
      </c>
      <c r="F721" t="s">
        <v>963</v>
      </c>
      <c r="G721" t="s">
        <v>51</v>
      </c>
      <c r="H721" t="s">
        <v>165</v>
      </c>
      <c r="I721" t="s">
        <v>378</v>
      </c>
      <c r="J721" t="s">
        <v>379</v>
      </c>
      <c r="K721">
        <v>856163</v>
      </c>
      <c r="L721" t="s">
        <v>70</v>
      </c>
      <c r="M721" t="s">
        <v>71</v>
      </c>
      <c r="N721" t="s">
        <v>57</v>
      </c>
      <c r="O721" s="1">
        <v>45863</v>
      </c>
      <c r="Q721" s="1">
        <v>45986</v>
      </c>
      <c r="R721" s="2">
        <v>50.3</v>
      </c>
      <c r="S721">
        <v>1</v>
      </c>
      <c r="T721" t="s">
        <v>58</v>
      </c>
      <c r="U721" t="s">
        <v>59</v>
      </c>
      <c r="V721" s="4">
        <v>0.375</v>
      </c>
      <c r="W721" s="2">
        <v>0</v>
      </c>
      <c r="X721">
        <v>0</v>
      </c>
      <c r="Y721" t="s">
        <v>60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18.86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45957</v>
      </c>
      <c r="B722" t="s">
        <v>48</v>
      </c>
      <c r="C722">
        <v>649163</v>
      </c>
      <c r="D722">
        <v>2030176830</v>
      </c>
      <c r="E722" t="s">
        <v>376</v>
      </c>
      <c r="F722" t="s">
        <v>377</v>
      </c>
      <c r="G722" t="s">
        <v>51</v>
      </c>
      <c r="H722" t="s">
        <v>165</v>
      </c>
      <c r="I722" t="s">
        <v>378</v>
      </c>
      <c r="J722" t="s">
        <v>379</v>
      </c>
      <c r="K722">
        <v>822733</v>
      </c>
      <c r="L722" t="s">
        <v>380</v>
      </c>
      <c r="M722" t="s">
        <v>381</v>
      </c>
      <c r="N722" t="s">
        <v>359</v>
      </c>
      <c r="O722" s="1">
        <v>45868</v>
      </c>
      <c r="P722" s="1">
        <v>45957</v>
      </c>
      <c r="Q722" s="1">
        <v>45960</v>
      </c>
      <c r="R722" s="2">
        <v>-20.79</v>
      </c>
      <c r="S722">
        <v>1</v>
      </c>
      <c r="T722" t="s">
        <v>58</v>
      </c>
      <c r="U722" t="s">
        <v>59</v>
      </c>
      <c r="V722" s="4">
        <v>0.375</v>
      </c>
      <c r="W722" s="2">
        <v>0</v>
      </c>
      <c r="X722">
        <v>-1</v>
      </c>
      <c r="Y722" t="s">
        <v>60</v>
      </c>
      <c r="Z722" t="s">
        <v>61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-7.8</v>
      </c>
      <c r="AN722" s="2">
        <v>-7.8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45957</v>
      </c>
      <c r="B723" t="s">
        <v>48</v>
      </c>
      <c r="C723">
        <v>649163</v>
      </c>
      <c r="D723">
        <v>2030178516</v>
      </c>
      <c r="E723" t="s">
        <v>964</v>
      </c>
      <c r="F723" t="s">
        <v>965</v>
      </c>
      <c r="G723" t="s">
        <v>51</v>
      </c>
      <c r="H723" t="s">
        <v>247</v>
      </c>
      <c r="I723" t="s">
        <v>378</v>
      </c>
      <c r="J723" t="s">
        <v>379</v>
      </c>
      <c r="K723">
        <v>822865</v>
      </c>
      <c r="L723" t="s">
        <v>469</v>
      </c>
      <c r="M723" t="s">
        <v>470</v>
      </c>
      <c r="N723" t="s">
        <v>57</v>
      </c>
      <c r="O723" s="1">
        <v>45867</v>
      </c>
      <c r="Q723" s="1">
        <v>45990</v>
      </c>
      <c r="R723" s="2">
        <v>23.34</v>
      </c>
      <c r="S723">
        <v>1</v>
      </c>
      <c r="T723" t="s">
        <v>58</v>
      </c>
      <c r="U723" t="s">
        <v>59</v>
      </c>
      <c r="V723" s="4">
        <v>0.375</v>
      </c>
      <c r="W723" s="2">
        <v>0</v>
      </c>
      <c r="X723">
        <v>0</v>
      </c>
      <c r="Y723" t="s">
        <v>60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8.75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45957</v>
      </c>
      <c r="B724" t="s">
        <v>48</v>
      </c>
      <c r="C724">
        <v>649163</v>
      </c>
      <c r="D724">
        <v>2030269155</v>
      </c>
      <c r="E724" t="s">
        <v>385</v>
      </c>
      <c r="F724" t="s">
        <v>386</v>
      </c>
      <c r="G724" t="s">
        <v>51</v>
      </c>
      <c r="H724" t="s">
        <v>78</v>
      </c>
      <c r="I724" t="s">
        <v>378</v>
      </c>
      <c r="J724" t="s">
        <v>379</v>
      </c>
      <c r="K724">
        <v>751867</v>
      </c>
      <c r="L724" t="s">
        <v>349</v>
      </c>
      <c r="M724" t="s">
        <v>312</v>
      </c>
      <c r="N724" t="s">
        <v>359</v>
      </c>
      <c r="O724" s="1">
        <v>45871</v>
      </c>
      <c r="P724" s="1">
        <v>45957</v>
      </c>
      <c r="Q724" s="1">
        <v>45963</v>
      </c>
      <c r="R724" s="2">
        <v>-17</v>
      </c>
      <c r="S724">
        <v>1</v>
      </c>
      <c r="T724" t="s">
        <v>58</v>
      </c>
      <c r="U724" t="s">
        <v>59</v>
      </c>
      <c r="V724" s="4">
        <v>0.375</v>
      </c>
      <c r="W724" s="2">
        <v>0</v>
      </c>
      <c r="X724">
        <v>-1</v>
      </c>
      <c r="Y724" t="s">
        <v>60</v>
      </c>
      <c r="Z724" t="s">
        <v>61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-6.38</v>
      </c>
      <c r="AN724" s="2">
        <v>-6.38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45957</v>
      </c>
      <c r="B725" t="s">
        <v>48</v>
      </c>
      <c r="C725">
        <v>649163</v>
      </c>
      <c r="D725">
        <v>2030372673</v>
      </c>
      <c r="E725" t="s">
        <v>72</v>
      </c>
      <c r="F725" t="s">
        <v>73</v>
      </c>
      <c r="G725" t="s">
        <v>51</v>
      </c>
      <c r="H725" t="s">
        <v>69</v>
      </c>
      <c r="I725" t="s">
        <v>378</v>
      </c>
      <c r="J725" t="s">
        <v>379</v>
      </c>
      <c r="K725">
        <v>824062</v>
      </c>
      <c r="L725" t="s">
        <v>74</v>
      </c>
      <c r="M725" t="s">
        <v>75</v>
      </c>
      <c r="N725" t="s">
        <v>57</v>
      </c>
      <c r="O725" s="1">
        <v>45901</v>
      </c>
      <c r="Q725" s="1">
        <v>45992</v>
      </c>
      <c r="R725" s="2">
        <v>61.64</v>
      </c>
      <c r="S725">
        <v>1</v>
      </c>
      <c r="T725" t="s">
        <v>58</v>
      </c>
      <c r="U725" t="s">
        <v>59</v>
      </c>
      <c r="V725" s="4">
        <v>0.375</v>
      </c>
      <c r="W725" s="2">
        <v>0</v>
      </c>
      <c r="X725">
        <v>0</v>
      </c>
      <c r="Y725" t="s">
        <v>60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23.12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45957</v>
      </c>
      <c r="B726" t="s">
        <v>48</v>
      </c>
      <c r="C726">
        <v>649163</v>
      </c>
      <c r="D726">
        <v>2030400632</v>
      </c>
      <c r="E726" t="s">
        <v>553</v>
      </c>
      <c r="F726" t="s">
        <v>554</v>
      </c>
      <c r="G726" t="s">
        <v>51</v>
      </c>
      <c r="H726" t="s">
        <v>555</v>
      </c>
      <c r="I726" t="s">
        <v>378</v>
      </c>
      <c r="J726" t="s">
        <v>379</v>
      </c>
      <c r="K726">
        <v>650218</v>
      </c>
      <c r="L726" t="s">
        <v>357</v>
      </c>
      <c r="M726" t="s">
        <v>358</v>
      </c>
      <c r="N726" t="s">
        <v>57</v>
      </c>
      <c r="O726" s="1">
        <v>45901</v>
      </c>
      <c r="Q726" s="1">
        <v>45992</v>
      </c>
      <c r="R726" s="2">
        <v>77.47</v>
      </c>
      <c r="S726">
        <v>1</v>
      </c>
      <c r="T726" t="s">
        <v>58</v>
      </c>
      <c r="U726" t="s">
        <v>59</v>
      </c>
      <c r="V726" s="4">
        <v>0.375</v>
      </c>
      <c r="W726" s="2">
        <v>0</v>
      </c>
      <c r="X726">
        <v>0</v>
      </c>
      <c r="Y726" t="s">
        <v>60</v>
      </c>
      <c r="Z726" t="s">
        <v>61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29.05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45957</v>
      </c>
      <c r="B727" t="s">
        <v>48</v>
      </c>
      <c r="C727">
        <v>649163</v>
      </c>
      <c r="D727">
        <v>2030453867</v>
      </c>
      <c r="E727" t="s">
        <v>90</v>
      </c>
      <c r="F727" t="s">
        <v>91</v>
      </c>
      <c r="G727" t="s">
        <v>51</v>
      </c>
      <c r="H727" t="s">
        <v>92</v>
      </c>
      <c r="I727" t="s">
        <v>378</v>
      </c>
      <c r="J727" t="s">
        <v>379</v>
      </c>
      <c r="K727">
        <v>816021</v>
      </c>
      <c r="L727" t="s">
        <v>93</v>
      </c>
      <c r="M727" t="s">
        <v>94</v>
      </c>
      <c r="N727" t="s">
        <v>57</v>
      </c>
      <c r="O727" s="1">
        <v>45901</v>
      </c>
      <c r="Q727" s="1">
        <v>45992</v>
      </c>
      <c r="R727" s="2">
        <v>63.62</v>
      </c>
      <c r="S727">
        <v>1</v>
      </c>
      <c r="T727" t="s">
        <v>58</v>
      </c>
      <c r="U727" t="s">
        <v>59</v>
      </c>
      <c r="V727" s="4">
        <v>0.375</v>
      </c>
      <c r="W727" s="2">
        <v>0</v>
      </c>
      <c r="X727">
        <v>0</v>
      </c>
      <c r="Y727" t="s">
        <v>60</v>
      </c>
      <c r="Z727" t="s">
        <v>61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23.86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45957</v>
      </c>
      <c r="B728" t="s">
        <v>48</v>
      </c>
      <c r="C728">
        <v>649163</v>
      </c>
      <c r="D728">
        <v>2030488469</v>
      </c>
      <c r="E728" t="s">
        <v>102</v>
      </c>
      <c r="F728" t="s">
        <v>103</v>
      </c>
      <c r="G728" t="s">
        <v>51</v>
      </c>
      <c r="H728" t="s">
        <v>69</v>
      </c>
      <c r="I728" t="s">
        <v>378</v>
      </c>
      <c r="J728" t="s">
        <v>379</v>
      </c>
      <c r="K728">
        <v>867497</v>
      </c>
      <c r="L728" t="s">
        <v>104</v>
      </c>
      <c r="M728" t="s">
        <v>105</v>
      </c>
      <c r="N728" t="s">
        <v>57</v>
      </c>
      <c r="O728" s="1">
        <v>45901</v>
      </c>
      <c r="Q728" s="1">
        <v>45992</v>
      </c>
      <c r="R728" s="2">
        <v>53.87</v>
      </c>
      <c r="S728">
        <v>1</v>
      </c>
      <c r="T728" t="s">
        <v>58</v>
      </c>
      <c r="U728" t="s">
        <v>59</v>
      </c>
      <c r="V728" s="4">
        <v>0.375</v>
      </c>
      <c r="W728" s="2">
        <v>0</v>
      </c>
      <c r="X728">
        <v>0</v>
      </c>
      <c r="Y728" t="s">
        <v>60</v>
      </c>
      <c r="Z728" t="s">
        <v>61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20.2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45957</v>
      </c>
      <c r="B729" t="s">
        <v>48</v>
      </c>
      <c r="C729">
        <v>649163</v>
      </c>
      <c r="D729">
        <v>2030491854</v>
      </c>
      <c r="E729" t="s">
        <v>106</v>
      </c>
      <c r="F729" t="s">
        <v>107</v>
      </c>
      <c r="G729" t="s">
        <v>51</v>
      </c>
      <c r="H729" t="s">
        <v>69</v>
      </c>
      <c r="I729" t="s">
        <v>378</v>
      </c>
      <c r="J729" t="s">
        <v>379</v>
      </c>
      <c r="K729">
        <v>856574</v>
      </c>
      <c r="L729" t="s">
        <v>108</v>
      </c>
      <c r="M729" t="s">
        <v>109</v>
      </c>
      <c r="N729" t="s">
        <v>57</v>
      </c>
      <c r="O729" s="1">
        <v>45901</v>
      </c>
      <c r="Q729" s="1">
        <v>45992</v>
      </c>
      <c r="R729" s="2">
        <v>77.48</v>
      </c>
      <c r="S729">
        <v>1</v>
      </c>
      <c r="T729" t="s">
        <v>58</v>
      </c>
      <c r="U729" t="s">
        <v>59</v>
      </c>
      <c r="V729" s="4">
        <v>0.375</v>
      </c>
      <c r="W729" s="2">
        <v>0</v>
      </c>
      <c r="X729">
        <v>0</v>
      </c>
      <c r="Y729" t="s">
        <v>60</v>
      </c>
      <c r="Z729" t="s">
        <v>61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29.06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45957</v>
      </c>
      <c r="B730" t="s">
        <v>48</v>
      </c>
      <c r="C730">
        <v>649163</v>
      </c>
      <c r="D730">
        <v>2030499771</v>
      </c>
      <c r="E730" t="s">
        <v>112</v>
      </c>
      <c r="F730" t="s">
        <v>113</v>
      </c>
      <c r="G730" t="s">
        <v>51</v>
      </c>
      <c r="H730" t="s">
        <v>52</v>
      </c>
      <c r="I730" t="s">
        <v>378</v>
      </c>
      <c r="J730" t="s">
        <v>379</v>
      </c>
      <c r="K730">
        <v>812782</v>
      </c>
      <c r="L730" t="s">
        <v>114</v>
      </c>
      <c r="M730" t="s">
        <v>115</v>
      </c>
      <c r="N730" t="s">
        <v>57</v>
      </c>
      <c r="O730" s="1">
        <v>45901</v>
      </c>
      <c r="Q730" s="1">
        <v>45992</v>
      </c>
      <c r="R730" s="2">
        <v>52.62</v>
      </c>
      <c r="S730">
        <v>1</v>
      </c>
      <c r="T730" t="s">
        <v>58</v>
      </c>
      <c r="U730" t="s">
        <v>59</v>
      </c>
      <c r="V730" s="4">
        <v>0.375</v>
      </c>
      <c r="W730" s="2">
        <v>0</v>
      </c>
      <c r="X730">
        <v>0</v>
      </c>
      <c r="Y730" t="s">
        <v>60</v>
      </c>
      <c r="Z730" t="s">
        <v>61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19.73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45957</v>
      </c>
      <c r="B731" t="s">
        <v>48</v>
      </c>
      <c r="C731">
        <v>649163</v>
      </c>
      <c r="D731">
        <v>2030552139</v>
      </c>
      <c r="E731" t="s">
        <v>127</v>
      </c>
      <c r="F731" t="s">
        <v>128</v>
      </c>
      <c r="G731" t="s">
        <v>51</v>
      </c>
      <c r="H731" t="s">
        <v>129</v>
      </c>
      <c r="I731" t="s">
        <v>378</v>
      </c>
      <c r="J731" t="s">
        <v>379</v>
      </c>
      <c r="K731">
        <v>874230</v>
      </c>
      <c r="L731" t="s">
        <v>130</v>
      </c>
      <c r="M731" t="s">
        <v>131</v>
      </c>
      <c r="N731" t="s">
        <v>57</v>
      </c>
      <c r="O731" s="1">
        <v>45901</v>
      </c>
      <c r="Q731" s="1">
        <v>45992</v>
      </c>
      <c r="R731" s="2">
        <v>54.54</v>
      </c>
      <c r="S731">
        <v>1</v>
      </c>
      <c r="T731" t="s">
        <v>58</v>
      </c>
      <c r="U731" t="s">
        <v>59</v>
      </c>
      <c r="V731" s="4">
        <v>0.375</v>
      </c>
      <c r="W731" s="2">
        <v>0</v>
      </c>
      <c r="X731">
        <v>0</v>
      </c>
      <c r="Y731" t="s">
        <v>60</v>
      </c>
      <c r="Z731" t="s">
        <v>61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20.45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45957</v>
      </c>
      <c r="B732" t="s">
        <v>48</v>
      </c>
      <c r="C732">
        <v>649163</v>
      </c>
      <c r="D732">
        <v>2030560229</v>
      </c>
      <c r="E732" t="s">
        <v>230</v>
      </c>
      <c r="F732" t="s">
        <v>561</v>
      </c>
      <c r="G732" t="s">
        <v>51</v>
      </c>
      <c r="H732" t="s">
        <v>247</v>
      </c>
      <c r="I732" t="s">
        <v>378</v>
      </c>
      <c r="J732" t="s">
        <v>379</v>
      </c>
      <c r="K732">
        <v>669316</v>
      </c>
      <c r="L732" t="s">
        <v>169</v>
      </c>
      <c r="M732" t="s">
        <v>170</v>
      </c>
      <c r="N732" t="s">
        <v>57</v>
      </c>
      <c r="O732" s="1">
        <v>45901</v>
      </c>
      <c r="Q732" s="1">
        <v>45992</v>
      </c>
      <c r="R732" s="2">
        <v>118.71</v>
      </c>
      <c r="S732">
        <v>1</v>
      </c>
      <c r="T732" t="s">
        <v>58</v>
      </c>
      <c r="U732" t="s">
        <v>59</v>
      </c>
      <c r="V732" s="4">
        <v>0.375</v>
      </c>
      <c r="W732" s="2">
        <v>0</v>
      </c>
      <c r="X732">
        <v>0</v>
      </c>
      <c r="Y732" t="s">
        <v>60</v>
      </c>
      <c r="Z732" t="s">
        <v>61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44.52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45957</v>
      </c>
      <c r="B733" t="s">
        <v>48</v>
      </c>
      <c r="C733">
        <v>649163</v>
      </c>
      <c r="D733">
        <v>2030569258</v>
      </c>
      <c r="E733" t="s">
        <v>133</v>
      </c>
      <c r="F733" t="s">
        <v>134</v>
      </c>
      <c r="G733" t="s">
        <v>51</v>
      </c>
      <c r="H733" t="s">
        <v>69</v>
      </c>
      <c r="I733" t="s">
        <v>378</v>
      </c>
      <c r="J733" t="s">
        <v>379</v>
      </c>
      <c r="K733">
        <v>824076</v>
      </c>
      <c r="L733" t="s">
        <v>135</v>
      </c>
      <c r="M733" t="s">
        <v>136</v>
      </c>
      <c r="N733" t="s">
        <v>57</v>
      </c>
      <c r="O733" s="1">
        <v>45901</v>
      </c>
      <c r="Q733" s="1">
        <v>45992</v>
      </c>
      <c r="R733" s="2">
        <v>77.48</v>
      </c>
      <c r="S733">
        <v>1</v>
      </c>
      <c r="T733" t="s">
        <v>58</v>
      </c>
      <c r="U733" t="s">
        <v>59</v>
      </c>
      <c r="V733" s="4">
        <v>0.375</v>
      </c>
      <c r="W733" s="2">
        <v>0</v>
      </c>
      <c r="X733">
        <v>0</v>
      </c>
      <c r="Y733" t="s">
        <v>60</v>
      </c>
      <c r="Z733" t="s">
        <v>61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29.06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45957</v>
      </c>
      <c r="B734" t="s">
        <v>48</v>
      </c>
      <c r="C734">
        <v>649163</v>
      </c>
      <c r="D734">
        <v>2030578218</v>
      </c>
      <c r="E734" t="s">
        <v>139</v>
      </c>
      <c r="F734" t="s">
        <v>140</v>
      </c>
      <c r="G734" t="s">
        <v>51</v>
      </c>
      <c r="H734" t="s">
        <v>69</v>
      </c>
      <c r="I734" t="s">
        <v>378</v>
      </c>
      <c r="J734" t="s">
        <v>379</v>
      </c>
      <c r="K734">
        <v>882035</v>
      </c>
      <c r="L734" t="s">
        <v>141</v>
      </c>
      <c r="M734" t="s">
        <v>142</v>
      </c>
      <c r="N734" t="s">
        <v>57</v>
      </c>
      <c r="O734" s="1">
        <v>45901</v>
      </c>
      <c r="Q734" s="1">
        <v>45992</v>
      </c>
      <c r="R734" s="2">
        <v>77.48</v>
      </c>
      <c r="S734">
        <v>1</v>
      </c>
      <c r="T734" t="s">
        <v>58</v>
      </c>
      <c r="U734" t="s">
        <v>59</v>
      </c>
      <c r="V734" s="4">
        <v>0.375</v>
      </c>
      <c r="W734" s="2">
        <v>0</v>
      </c>
      <c r="X734">
        <v>0</v>
      </c>
      <c r="Y734" t="s">
        <v>60</v>
      </c>
      <c r="Z734" t="s">
        <v>61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29.06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45957</v>
      </c>
      <c r="B735" t="s">
        <v>48</v>
      </c>
      <c r="C735">
        <v>649163</v>
      </c>
      <c r="D735">
        <v>2030594429</v>
      </c>
      <c r="E735" t="s">
        <v>149</v>
      </c>
      <c r="F735" t="s">
        <v>150</v>
      </c>
      <c r="G735" t="s">
        <v>51</v>
      </c>
      <c r="H735" t="s">
        <v>145</v>
      </c>
      <c r="I735" t="s">
        <v>378</v>
      </c>
      <c r="J735" t="s">
        <v>379</v>
      </c>
      <c r="K735">
        <v>822723</v>
      </c>
      <c r="L735" t="s">
        <v>151</v>
      </c>
      <c r="M735" t="s">
        <v>152</v>
      </c>
      <c r="N735" t="s">
        <v>57</v>
      </c>
      <c r="O735" s="1">
        <v>45898</v>
      </c>
      <c r="Q735" s="1">
        <v>45990</v>
      </c>
      <c r="R735" s="2">
        <v>60.74</v>
      </c>
      <c r="S735">
        <v>1</v>
      </c>
      <c r="T735" t="s">
        <v>58</v>
      </c>
      <c r="U735" t="s">
        <v>59</v>
      </c>
      <c r="V735" s="4">
        <v>0.375</v>
      </c>
      <c r="W735" s="2">
        <v>0</v>
      </c>
      <c r="X735">
        <v>0</v>
      </c>
      <c r="Y735" t="s">
        <v>60</v>
      </c>
      <c r="Z735" t="s">
        <v>61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22.78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45957</v>
      </c>
      <c r="B736" t="s">
        <v>48</v>
      </c>
      <c r="C736">
        <v>649163</v>
      </c>
      <c r="D736">
        <v>2030625304</v>
      </c>
      <c r="E736" t="s">
        <v>161</v>
      </c>
      <c r="F736" t="s">
        <v>162</v>
      </c>
      <c r="G736" t="s">
        <v>51</v>
      </c>
      <c r="H736" t="s">
        <v>69</v>
      </c>
      <c r="I736" t="s">
        <v>378</v>
      </c>
      <c r="J736" t="s">
        <v>379</v>
      </c>
      <c r="K736">
        <v>882035</v>
      </c>
      <c r="L736" t="s">
        <v>141</v>
      </c>
      <c r="M736" t="s">
        <v>142</v>
      </c>
      <c r="N736" t="s">
        <v>57</v>
      </c>
      <c r="O736" s="1">
        <v>45901</v>
      </c>
      <c r="Q736" s="1">
        <v>45992</v>
      </c>
      <c r="R736" s="2">
        <v>77.48</v>
      </c>
      <c r="S736">
        <v>1</v>
      </c>
      <c r="T736" t="s">
        <v>58</v>
      </c>
      <c r="U736" t="s">
        <v>59</v>
      </c>
      <c r="V736" s="4">
        <v>0.375</v>
      </c>
      <c r="W736" s="2">
        <v>0</v>
      </c>
      <c r="X736">
        <v>0</v>
      </c>
      <c r="Y736" t="s">
        <v>60</v>
      </c>
      <c r="Z736" t="s">
        <v>61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29.06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45957</v>
      </c>
      <c r="B737" t="s">
        <v>48</v>
      </c>
      <c r="C737">
        <v>649163</v>
      </c>
      <c r="D737">
        <v>2030670142</v>
      </c>
      <c r="E737" t="s">
        <v>709</v>
      </c>
      <c r="F737" t="s">
        <v>710</v>
      </c>
      <c r="G737" t="s">
        <v>51</v>
      </c>
      <c r="H737" t="s">
        <v>195</v>
      </c>
      <c r="I737" t="s">
        <v>378</v>
      </c>
      <c r="J737" t="s">
        <v>379</v>
      </c>
      <c r="K737">
        <v>650218</v>
      </c>
      <c r="L737" t="s">
        <v>357</v>
      </c>
      <c r="M737" t="s">
        <v>358</v>
      </c>
      <c r="N737" t="s">
        <v>57</v>
      </c>
      <c r="O737" s="1">
        <v>45895</v>
      </c>
      <c r="Q737" s="1">
        <v>45987</v>
      </c>
      <c r="R737" s="2">
        <v>36.11</v>
      </c>
      <c r="S737">
        <v>1</v>
      </c>
      <c r="T737" t="s">
        <v>58</v>
      </c>
      <c r="U737" t="s">
        <v>59</v>
      </c>
      <c r="V737" s="4">
        <v>0.375</v>
      </c>
      <c r="W737" s="2">
        <v>0</v>
      </c>
      <c r="X737">
        <v>0</v>
      </c>
      <c r="Y737" t="s">
        <v>60</v>
      </c>
      <c r="Z737" t="s">
        <v>61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13.54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45957</v>
      </c>
      <c r="B738" t="s">
        <v>48</v>
      </c>
      <c r="C738">
        <v>649163</v>
      </c>
      <c r="D738">
        <v>2030670299</v>
      </c>
      <c r="E738" t="s">
        <v>171</v>
      </c>
      <c r="F738" t="s">
        <v>172</v>
      </c>
      <c r="G738" t="s">
        <v>51</v>
      </c>
      <c r="H738" t="s">
        <v>52</v>
      </c>
      <c r="I738" t="s">
        <v>378</v>
      </c>
      <c r="J738" t="s">
        <v>379</v>
      </c>
      <c r="K738">
        <v>814033</v>
      </c>
      <c r="L738" t="s">
        <v>147</v>
      </c>
      <c r="M738" t="s">
        <v>148</v>
      </c>
      <c r="N738" t="s">
        <v>57</v>
      </c>
      <c r="O738" s="1">
        <v>45901</v>
      </c>
      <c r="Q738" s="1">
        <v>45992</v>
      </c>
      <c r="R738" s="2">
        <v>36.119999999999997</v>
      </c>
      <c r="S738">
        <v>1</v>
      </c>
      <c r="T738" t="s">
        <v>58</v>
      </c>
      <c r="U738" t="s">
        <v>59</v>
      </c>
      <c r="V738" s="4">
        <v>0.375</v>
      </c>
      <c r="W738" s="2">
        <v>0</v>
      </c>
      <c r="X738">
        <v>0</v>
      </c>
      <c r="Y738" t="s">
        <v>60</v>
      </c>
      <c r="Z738" t="s">
        <v>61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13.54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45957</v>
      </c>
      <c r="B739" t="s">
        <v>48</v>
      </c>
      <c r="C739">
        <v>649163</v>
      </c>
      <c r="D739">
        <v>2030673652</v>
      </c>
      <c r="E739" t="s">
        <v>177</v>
      </c>
      <c r="F739" t="s">
        <v>178</v>
      </c>
      <c r="G739" t="s">
        <v>51</v>
      </c>
      <c r="H739" t="s">
        <v>179</v>
      </c>
      <c r="I739" t="s">
        <v>378</v>
      </c>
      <c r="J739" t="s">
        <v>379</v>
      </c>
      <c r="K739">
        <v>673059</v>
      </c>
      <c r="L739" t="s">
        <v>55</v>
      </c>
      <c r="M739" t="s">
        <v>56</v>
      </c>
      <c r="N739" t="s">
        <v>57</v>
      </c>
      <c r="O739" s="1">
        <v>45901</v>
      </c>
      <c r="Q739" s="1">
        <v>45992</v>
      </c>
      <c r="R739" s="2">
        <v>48.15</v>
      </c>
      <c r="S739">
        <v>1</v>
      </c>
      <c r="T739" t="s">
        <v>58</v>
      </c>
      <c r="U739" t="s">
        <v>59</v>
      </c>
      <c r="V739" s="4">
        <v>0.375</v>
      </c>
      <c r="W739" s="2">
        <v>0</v>
      </c>
      <c r="X739">
        <v>0</v>
      </c>
      <c r="Y739" t="s">
        <v>60</v>
      </c>
      <c r="Z739" t="s">
        <v>61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18.059999999999999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45957</v>
      </c>
      <c r="B740" t="s">
        <v>48</v>
      </c>
      <c r="C740">
        <v>649163</v>
      </c>
      <c r="D740">
        <v>2030675166</v>
      </c>
      <c r="E740" t="s">
        <v>180</v>
      </c>
      <c r="F740" t="s">
        <v>181</v>
      </c>
      <c r="G740" t="s">
        <v>51</v>
      </c>
      <c r="H740" t="s">
        <v>182</v>
      </c>
      <c r="I740" t="s">
        <v>378</v>
      </c>
      <c r="J740" t="s">
        <v>379</v>
      </c>
      <c r="K740">
        <v>823350</v>
      </c>
      <c r="L740" t="s">
        <v>70</v>
      </c>
      <c r="M740" t="s">
        <v>183</v>
      </c>
      <c r="N740" t="s">
        <v>57</v>
      </c>
      <c r="O740" s="1">
        <v>45901</v>
      </c>
      <c r="Q740" s="1">
        <v>45992</v>
      </c>
      <c r="R740" s="2">
        <v>64.16</v>
      </c>
      <c r="S740">
        <v>1</v>
      </c>
      <c r="T740" t="s">
        <v>58</v>
      </c>
      <c r="U740" t="s">
        <v>59</v>
      </c>
      <c r="V740" s="4">
        <v>0.375</v>
      </c>
      <c r="W740" s="2">
        <v>0</v>
      </c>
      <c r="X740">
        <v>0</v>
      </c>
      <c r="Y740" t="s">
        <v>60</v>
      </c>
      <c r="Z740" t="s">
        <v>61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24.06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45957</v>
      </c>
      <c r="B741" t="s">
        <v>48</v>
      </c>
      <c r="C741">
        <v>649163</v>
      </c>
      <c r="D741">
        <v>2030686024</v>
      </c>
      <c r="E741" t="s">
        <v>184</v>
      </c>
      <c r="F741" t="s">
        <v>185</v>
      </c>
      <c r="G741" t="s">
        <v>51</v>
      </c>
      <c r="H741" t="s">
        <v>92</v>
      </c>
      <c r="I741" t="s">
        <v>378</v>
      </c>
      <c r="J741" t="s">
        <v>379</v>
      </c>
      <c r="K741">
        <v>816021</v>
      </c>
      <c r="L741" t="s">
        <v>93</v>
      </c>
      <c r="M741" t="s">
        <v>94</v>
      </c>
      <c r="N741" t="s">
        <v>57</v>
      </c>
      <c r="O741" s="1">
        <v>45901</v>
      </c>
      <c r="Q741" s="1">
        <v>45992</v>
      </c>
      <c r="R741" s="2">
        <v>39.590000000000003</v>
      </c>
      <c r="S741">
        <v>1</v>
      </c>
      <c r="T741" t="s">
        <v>58</v>
      </c>
      <c r="U741" t="s">
        <v>59</v>
      </c>
      <c r="V741" s="4">
        <v>0.375</v>
      </c>
      <c r="W741" s="2">
        <v>0</v>
      </c>
      <c r="X741">
        <v>0</v>
      </c>
      <c r="Y741" t="s">
        <v>60</v>
      </c>
      <c r="Z741" t="s">
        <v>61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14.85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45957</v>
      </c>
      <c r="B742" t="s">
        <v>48</v>
      </c>
      <c r="C742">
        <v>649163</v>
      </c>
      <c r="D742">
        <v>2030694665</v>
      </c>
      <c r="E742" t="s">
        <v>188</v>
      </c>
      <c r="F742" t="s">
        <v>189</v>
      </c>
      <c r="G742" t="s">
        <v>51</v>
      </c>
      <c r="H742" t="s">
        <v>190</v>
      </c>
      <c r="I742" t="s">
        <v>378</v>
      </c>
      <c r="J742" t="s">
        <v>379</v>
      </c>
      <c r="K742">
        <v>756418</v>
      </c>
      <c r="L742" t="s">
        <v>191</v>
      </c>
      <c r="M742" t="s">
        <v>192</v>
      </c>
      <c r="N742" t="s">
        <v>57</v>
      </c>
      <c r="O742" s="1">
        <v>45896</v>
      </c>
      <c r="Q742" s="1">
        <v>45988</v>
      </c>
      <c r="R742" s="2">
        <v>67.56</v>
      </c>
      <c r="S742">
        <v>1</v>
      </c>
      <c r="T742" t="s">
        <v>58</v>
      </c>
      <c r="U742" t="s">
        <v>59</v>
      </c>
      <c r="V742" s="4">
        <v>0.375</v>
      </c>
      <c r="W742" s="2">
        <v>0</v>
      </c>
      <c r="X742">
        <v>0</v>
      </c>
      <c r="Y742" t="s">
        <v>60</v>
      </c>
      <c r="Z742" t="s">
        <v>61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25.34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45957</v>
      </c>
      <c r="B743" t="s">
        <v>48</v>
      </c>
      <c r="C743">
        <v>649163</v>
      </c>
      <c r="D743">
        <v>2030697180</v>
      </c>
      <c r="E743" t="s">
        <v>193</v>
      </c>
      <c r="F743" t="s">
        <v>194</v>
      </c>
      <c r="G743" t="s">
        <v>51</v>
      </c>
      <c r="H743" t="s">
        <v>195</v>
      </c>
      <c r="I743" t="s">
        <v>378</v>
      </c>
      <c r="J743" t="s">
        <v>379</v>
      </c>
      <c r="K743">
        <v>885445</v>
      </c>
      <c r="L743" t="s">
        <v>196</v>
      </c>
      <c r="M743" t="s">
        <v>197</v>
      </c>
      <c r="N743" t="s">
        <v>57</v>
      </c>
      <c r="O743" s="1">
        <v>45901</v>
      </c>
      <c r="Q743" s="1">
        <v>45992</v>
      </c>
      <c r="R743" s="2">
        <v>89</v>
      </c>
      <c r="S743">
        <v>1</v>
      </c>
      <c r="T743" t="s">
        <v>58</v>
      </c>
      <c r="U743" t="s">
        <v>59</v>
      </c>
      <c r="V743" s="4">
        <v>0.375</v>
      </c>
      <c r="W743" s="2">
        <v>0</v>
      </c>
      <c r="X743">
        <v>0</v>
      </c>
      <c r="Y743" t="s">
        <v>60</v>
      </c>
      <c r="Z743" t="s">
        <v>61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33.380000000000003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45957</v>
      </c>
      <c r="B744" t="s">
        <v>48</v>
      </c>
      <c r="C744">
        <v>649163</v>
      </c>
      <c r="D744">
        <v>2030717366</v>
      </c>
      <c r="E744" t="s">
        <v>617</v>
      </c>
      <c r="F744" t="s">
        <v>966</v>
      </c>
      <c r="G744" t="s">
        <v>51</v>
      </c>
      <c r="H744" t="s">
        <v>64</v>
      </c>
      <c r="I744" t="s">
        <v>378</v>
      </c>
      <c r="J744" t="s">
        <v>379</v>
      </c>
      <c r="K744">
        <v>856163</v>
      </c>
      <c r="L744" t="s">
        <v>70</v>
      </c>
      <c r="M744" t="s">
        <v>71</v>
      </c>
      <c r="N744" t="s">
        <v>57</v>
      </c>
      <c r="O744" s="1">
        <v>45901</v>
      </c>
      <c r="Q744" s="1">
        <v>45992</v>
      </c>
      <c r="R744" s="2">
        <v>55.85</v>
      </c>
      <c r="S744">
        <v>1</v>
      </c>
      <c r="T744" t="s">
        <v>58</v>
      </c>
      <c r="U744" t="s">
        <v>59</v>
      </c>
      <c r="V744" s="4">
        <v>0.375</v>
      </c>
      <c r="W744" s="2">
        <v>0</v>
      </c>
      <c r="X744">
        <v>0</v>
      </c>
      <c r="Y744" t="s">
        <v>60</v>
      </c>
      <c r="Z744" t="s">
        <v>61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20.94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45957</v>
      </c>
      <c r="B745" t="s">
        <v>48</v>
      </c>
      <c r="C745">
        <v>649163</v>
      </c>
      <c r="D745">
        <v>2030720374</v>
      </c>
      <c r="E745" t="s">
        <v>202</v>
      </c>
      <c r="F745" t="s">
        <v>203</v>
      </c>
      <c r="G745" t="s">
        <v>51</v>
      </c>
      <c r="H745" t="s">
        <v>92</v>
      </c>
      <c r="I745" t="s">
        <v>378</v>
      </c>
      <c r="J745" t="s">
        <v>379</v>
      </c>
      <c r="K745">
        <v>816021</v>
      </c>
      <c r="L745" t="s">
        <v>93</v>
      </c>
      <c r="M745" t="s">
        <v>94</v>
      </c>
      <c r="N745" t="s">
        <v>57</v>
      </c>
      <c r="O745" s="1">
        <v>45901</v>
      </c>
      <c r="Q745" s="1">
        <v>45992</v>
      </c>
      <c r="R745" s="2">
        <v>54.2</v>
      </c>
      <c r="S745">
        <v>1</v>
      </c>
      <c r="T745" t="s">
        <v>58</v>
      </c>
      <c r="U745" t="s">
        <v>59</v>
      </c>
      <c r="V745" s="4">
        <v>0.375</v>
      </c>
      <c r="W745" s="2">
        <v>0</v>
      </c>
      <c r="X745">
        <v>0</v>
      </c>
      <c r="Y745" t="s">
        <v>60</v>
      </c>
      <c r="Z745" t="s">
        <v>61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20.32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45957</v>
      </c>
      <c r="B746" t="s">
        <v>48</v>
      </c>
      <c r="C746">
        <v>649163</v>
      </c>
      <c r="D746">
        <v>2030751664</v>
      </c>
      <c r="E746" t="s">
        <v>967</v>
      </c>
      <c r="F746" t="s">
        <v>968</v>
      </c>
      <c r="G746" t="s">
        <v>51</v>
      </c>
      <c r="H746" t="s">
        <v>261</v>
      </c>
      <c r="I746" t="s">
        <v>378</v>
      </c>
      <c r="J746" t="s">
        <v>379</v>
      </c>
      <c r="K746">
        <v>673059</v>
      </c>
      <c r="L746" t="s">
        <v>55</v>
      </c>
      <c r="M746" t="s">
        <v>56</v>
      </c>
      <c r="N746" t="s">
        <v>57</v>
      </c>
      <c r="O746" s="1">
        <v>45898</v>
      </c>
      <c r="Q746" s="1">
        <v>45990</v>
      </c>
      <c r="R746" s="2">
        <v>22.34</v>
      </c>
      <c r="S746">
        <v>1</v>
      </c>
      <c r="T746" t="s">
        <v>58</v>
      </c>
      <c r="U746" t="s">
        <v>59</v>
      </c>
      <c r="V746" s="4">
        <v>0.375</v>
      </c>
      <c r="W746" s="2">
        <v>0</v>
      </c>
      <c r="X746">
        <v>0</v>
      </c>
      <c r="Y746" t="s">
        <v>60</v>
      </c>
      <c r="Z746" t="s">
        <v>61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8.3800000000000008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45957</v>
      </c>
      <c r="B747" t="s">
        <v>48</v>
      </c>
      <c r="C747">
        <v>649163</v>
      </c>
      <c r="D747">
        <v>2030779467</v>
      </c>
      <c r="E747" t="s">
        <v>220</v>
      </c>
      <c r="F747" t="s">
        <v>221</v>
      </c>
      <c r="G747" t="s">
        <v>51</v>
      </c>
      <c r="H747" t="s">
        <v>92</v>
      </c>
      <c r="I747" t="s">
        <v>378</v>
      </c>
      <c r="J747" t="s">
        <v>379</v>
      </c>
      <c r="K747">
        <v>816021</v>
      </c>
      <c r="L747" t="s">
        <v>93</v>
      </c>
      <c r="M747" t="s">
        <v>94</v>
      </c>
      <c r="N747" t="s">
        <v>57</v>
      </c>
      <c r="O747" s="1">
        <v>45901</v>
      </c>
      <c r="Q747" s="1">
        <v>45992</v>
      </c>
      <c r="R747" s="2">
        <v>54.57</v>
      </c>
      <c r="S747">
        <v>1</v>
      </c>
      <c r="T747" t="s">
        <v>58</v>
      </c>
      <c r="U747" t="s">
        <v>59</v>
      </c>
      <c r="V747" s="4">
        <v>0.375</v>
      </c>
      <c r="W747" s="2">
        <v>0</v>
      </c>
      <c r="X747">
        <v>0</v>
      </c>
      <c r="Y747" t="s">
        <v>60</v>
      </c>
      <c r="Z747" t="s">
        <v>61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20.46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45957</v>
      </c>
      <c r="B748" t="s">
        <v>48</v>
      </c>
      <c r="C748">
        <v>649163</v>
      </c>
      <c r="D748">
        <v>2030784685</v>
      </c>
      <c r="E748" t="s">
        <v>222</v>
      </c>
      <c r="F748" t="s">
        <v>223</v>
      </c>
      <c r="G748" t="s">
        <v>51</v>
      </c>
      <c r="H748" t="s">
        <v>101</v>
      </c>
      <c r="I748" t="s">
        <v>378</v>
      </c>
      <c r="J748" t="s">
        <v>379</v>
      </c>
      <c r="K748">
        <v>823350</v>
      </c>
      <c r="L748" t="s">
        <v>70</v>
      </c>
      <c r="M748" t="s">
        <v>183</v>
      </c>
      <c r="N748" t="s">
        <v>57</v>
      </c>
      <c r="O748" s="1">
        <v>45901</v>
      </c>
      <c r="Q748" s="1">
        <v>45992</v>
      </c>
      <c r="R748" s="2">
        <v>171.32</v>
      </c>
      <c r="S748">
        <v>1</v>
      </c>
      <c r="T748" t="s">
        <v>58</v>
      </c>
      <c r="U748" t="s">
        <v>59</v>
      </c>
      <c r="V748" s="4">
        <v>0.375</v>
      </c>
      <c r="W748" s="2">
        <v>0</v>
      </c>
      <c r="X748">
        <v>0</v>
      </c>
      <c r="Y748" t="s">
        <v>60</v>
      </c>
      <c r="Z748" t="s">
        <v>61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64.239999999999995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45957</v>
      </c>
      <c r="B749" t="s">
        <v>48</v>
      </c>
      <c r="C749">
        <v>649163</v>
      </c>
      <c r="D749">
        <v>2030788954</v>
      </c>
      <c r="E749" t="s">
        <v>224</v>
      </c>
      <c r="F749" t="s">
        <v>225</v>
      </c>
      <c r="G749" t="s">
        <v>51</v>
      </c>
      <c r="H749" t="s">
        <v>92</v>
      </c>
      <c r="I749" t="s">
        <v>378</v>
      </c>
      <c r="J749" t="s">
        <v>379</v>
      </c>
      <c r="K749">
        <v>816021</v>
      </c>
      <c r="L749" t="s">
        <v>93</v>
      </c>
      <c r="M749" t="s">
        <v>94</v>
      </c>
      <c r="N749" t="s">
        <v>57</v>
      </c>
      <c r="O749" s="1">
        <v>45901</v>
      </c>
      <c r="Q749" s="1">
        <v>45992</v>
      </c>
      <c r="R749" s="2">
        <v>29.82</v>
      </c>
      <c r="S749">
        <v>1</v>
      </c>
      <c r="T749" t="s">
        <v>58</v>
      </c>
      <c r="U749" t="s">
        <v>59</v>
      </c>
      <c r="V749" s="4">
        <v>0.375</v>
      </c>
      <c r="W749" s="2">
        <v>0</v>
      </c>
      <c r="X749">
        <v>0</v>
      </c>
      <c r="Y749" t="s">
        <v>60</v>
      </c>
      <c r="Z749" t="s">
        <v>61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11.18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45957</v>
      </c>
      <c r="B750" t="s">
        <v>48</v>
      </c>
      <c r="C750">
        <v>649163</v>
      </c>
      <c r="D750">
        <v>2030790525</v>
      </c>
      <c r="E750" t="s">
        <v>226</v>
      </c>
      <c r="F750" t="s">
        <v>227</v>
      </c>
      <c r="G750" t="s">
        <v>51</v>
      </c>
      <c r="H750" t="s">
        <v>69</v>
      </c>
      <c r="I750" t="s">
        <v>378</v>
      </c>
      <c r="J750" t="s">
        <v>379</v>
      </c>
      <c r="K750">
        <v>812994</v>
      </c>
      <c r="L750" t="s">
        <v>228</v>
      </c>
      <c r="M750" t="s">
        <v>229</v>
      </c>
      <c r="N750" t="s">
        <v>57</v>
      </c>
      <c r="O750" s="1">
        <v>45901</v>
      </c>
      <c r="Q750" s="1">
        <v>45992</v>
      </c>
      <c r="R750" s="2">
        <v>77.48</v>
      </c>
      <c r="S750">
        <v>1</v>
      </c>
      <c r="T750" t="s">
        <v>58</v>
      </c>
      <c r="U750" t="s">
        <v>59</v>
      </c>
      <c r="V750" s="4">
        <v>0.375</v>
      </c>
      <c r="W750" s="2">
        <v>0</v>
      </c>
      <c r="X750">
        <v>0</v>
      </c>
      <c r="Y750" t="s">
        <v>60</v>
      </c>
      <c r="Z750" t="s">
        <v>61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29.06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45957</v>
      </c>
      <c r="B751" t="s">
        <v>48</v>
      </c>
      <c r="C751">
        <v>649163</v>
      </c>
      <c r="D751">
        <v>2030791103</v>
      </c>
      <c r="E751" t="s">
        <v>192</v>
      </c>
      <c r="F751" t="s">
        <v>557</v>
      </c>
      <c r="G751" t="s">
        <v>51</v>
      </c>
      <c r="H751" t="s">
        <v>195</v>
      </c>
      <c r="I751" t="s">
        <v>378</v>
      </c>
      <c r="J751" t="s">
        <v>379</v>
      </c>
      <c r="K751">
        <v>885445</v>
      </c>
      <c r="L751" t="s">
        <v>196</v>
      </c>
      <c r="M751" t="s">
        <v>197</v>
      </c>
      <c r="N751" t="s">
        <v>57</v>
      </c>
      <c r="O751" s="1">
        <v>45901</v>
      </c>
      <c r="Q751" s="1">
        <v>45992</v>
      </c>
      <c r="R751" s="2">
        <v>36.11</v>
      </c>
      <c r="S751">
        <v>1</v>
      </c>
      <c r="T751" t="s">
        <v>58</v>
      </c>
      <c r="U751" t="s">
        <v>59</v>
      </c>
      <c r="V751" s="4">
        <v>0.375</v>
      </c>
      <c r="W751" s="2">
        <v>0</v>
      </c>
      <c r="X751">
        <v>0</v>
      </c>
      <c r="Y751" t="s">
        <v>60</v>
      </c>
      <c r="Z751" t="s">
        <v>61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13.54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45957</v>
      </c>
      <c r="B752" t="s">
        <v>48</v>
      </c>
      <c r="C752">
        <v>649163</v>
      </c>
      <c r="D752">
        <v>2030801743</v>
      </c>
      <c r="E752" t="s">
        <v>812</v>
      </c>
      <c r="F752" t="s">
        <v>813</v>
      </c>
      <c r="G752" t="s">
        <v>51</v>
      </c>
      <c r="H752" t="s">
        <v>129</v>
      </c>
      <c r="I752" t="s">
        <v>378</v>
      </c>
      <c r="J752" t="s">
        <v>379</v>
      </c>
      <c r="K752">
        <v>874230</v>
      </c>
      <c r="L752" t="s">
        <v>130</v>
      </c>
      <c r="M752" t="s">
        <v>131</v>
      </c>
      <c r="N752" t="s">
        <v>57</v>
      </c>
      <c r="O752" s="1">
        <v>45901</v>
      </c>
      <c r="Q752" s="1">
        <v>45992</v>
      </c>
      <c r="R752" s="2">
        <v>38.39</v>
      </c>
      <c r="S752">
        <v>1</v>
      </c>
      <c r="T752" t="s">
        <v>58</v>
      </c>
      <c r="U752" t="s">
        <v>59</v>
      </c>
      <c r="V752" s="4">
        <v>0.375</v>
      </c>
      <c r="W752" s="2">
        <v>0</v>
      </c>
      <c r="X752">
        <v>0</v>
      </c>
      <c r="Y752" t="s">
        <v>60</v>
      </c>
      <c r="Z752" t="s">
        <v>61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14.4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45957</v>
      </c>
      <c r="B753" t="s">
        <v>48</v>
      </c>
      <c r="C753">
        <v>649163</v>
      </c>
      <c r="D753">
        <v>2030801811</v>
      </c>
      <c r="E753" t="s">
        <v>232</v>
      </c>
      <c r="F753" t="s">
        <v>233</v>
      </c>
      <c r="G753" t="s">
        <v>51</v>
      </c>
      <c r="H753" t="s">
        <v>234</v>
      </c>
      <c r="I753" t="s">
        <v>378</v>
      </c>
      <c r="J753" t="s">
        <v>379</v>
      </c>
      <c r="K753">
        <v>652037</v>
      </c>
      <c r="L753" t="s">
        <v>155</v>
      </c>
      <c r="M753" t="s">
        <v>156</v>
      </c>
      <c r="N753" t="s">
        <v>57</v>
      </c>
      <c r="O753" s="1">
        <v>45901</v>
      </c>
      <c r="Q753" s="1">
        <v>45992</v>
      </c>
      <c r="R753" s="2">
        <v>14.76</v>
      </c>
      <c r="S753">
        <v>1</v>
      </c>
      <c r="T753" t="s">
        <v>58</v>
      </c>
      <c r="U753" t="s">
        <v>59</v>
      </c>
      <c r="V753" s="4">
        <v>0.375</v>
      </c>
      <c r="W753" s="2">
        <v>0</v>
      </c>
      <c r="X753">
        <v>0</v>
      </c>
      <c r="Y753" t="s">
        <v>60</v>
      </c>
      <c r="Z753" t="s">
        <v>61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5.54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45957</v>
      </c>
      <c r="B754" t="s">
        <v>48</v>
      </c>
      <c r="C754">
        <v>649163</v>
      </c>
      <c r="D754">
        <v>2030823303</v>
      </c>
      <c r="E754" t="s">
        <v>235</v>
      </c>
      <c r="F754" t="s">
        <v>236</v>
      </c>
      <c r="G754" t="s">
        <v>51</v>
      </c>
      <c r="H754" t="s">
        <v>52</v>
      </c>
      <c r="I754" t="s">
        <v>378</v>
      </c>
      <c r="J754" t="s">
        <v>379</v>
      </c>
      <c r="K754">
        <v>767312</v>
      </c>
      <c r="L754" t="s">
        <v>237</v>
      </c>
      <c r="M754" t="s">
        <v>103</v>
      </c>
      <c r="N754" t="s">
        <v>57</v>
      </c>
      <c r="O754" s="1">
        <v>45927</v>
      </c>
      <c r="Q754" s="1">
        <v>45988</v>
      </c>
      <c r="R754" s="2">
        <v>65.2</v>
      </c>
      <c r="S754">
        <v>1</v>
      </c>
      <c r="T754" t="s">
        <v>58</v>
      </c>
      <c r="U754" t="s">
        <v>238</v>
      </c>
      <c r="V754" s="4">
        <v>0.375</v>
      </c>
      <c r="W754" s="2">
        <v>0</v>
      </c>
      <c r="X754">
        <v>0</v>
      </c>
      <c r="Y754" t="s">
        <v>60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24.45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45957</v>
      </c>
      <c r="B755" t="s">
        <v>48</v>
      </c>
      <c r="C755">
        <v>649163</v>
      </c>
      <c r="D755">
        <v>2030857318</v>
      </c>
      <c r="E755" t="s">
        <v>239</v>
      </c>
      <c r="F755" t="s">
        <v>240</v>
      </c>
      <c r="G755" t="s">
        <v>51</v>
      </c>
      <c r="H755" t="s">
        <v>234</v>
      </c>
      <c r="I755" t="s">
        <v>378</v>
      </c>
      <c r="J755" t="s">
        <v>379</v>
      </c>
      <c r="K755">
        <v>756418</v>
      </c>
      <c r="L755" t="s">
        <v>191</v>
      </c>
      <c r="M755" t="s">
        <v>192</v>
      </c>
      <c r="N755" t="s">
        <v>57</v>
      </c>
      <c r="O755" s="1">
        <v>45904</v>
      </c>
      <c r="Q755" s="1">
        <v>45965</v>
      </c>
      <c r="R755" s="2">
        <v>53.29</v>
      </c>
      <c r="S755">
        <v>1</v>
      </c>
      <c r="T755" t="s">
        <v>58</v>
      </c>
      <c r="U755" t="s">
        <v>59</v>
      </c>
      <c r="V755" s="4">
        <v>0.375</v>
      </c>
      <c r="W755" s="2">
        <v>0</v>
      </c>
      <c r="X755">
        <v>0</v>
      </c>
      <c r="Y755" t="s">
        <v>60</v>
      </c>
      <c r="Z755" t="s">
        <v>61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19.98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45957</v>
      </c>
      <c r="B756" t="s">
        <v>48</v>
      </c>
      <c r="C756">
        <v>649163</v>
      </c>
      <c r="D756">
        <v>2031190207</v>
      </c>
      <c r="E756" t="s">
        <v>245</v>
      </c>
      <c r="F756" t="s">
        <v>246</v>
      </c>
      <c r="G756" t="s">
        <v>51</v>
      </c>
      <c r="H756" t="s">
        <v>247</v>
      </c>
      <c r="I756" t="s">
        <v>378</v>
      </c>
      <c r="J756" t="s">
        <v>379</v>
      </c>
      <c r="K756">
        <v>823350</v>
      </c>
      <c r="L756" t="s">
        <v>70</v>
      </c>
      <c r="M756" t="s">
        <v>183</v>
      </c>
      <c r="N756" t="s">
        <v>57</v>
      </c>
      <c r="O756" s="1">
        <v>45925</v>
      </c>
      <c r="Q756" s="1">
        <v>45986</v>
      </c>
      <c r="R756" s="2">
        <v>63.74</v>
      </c>
      <c r="S756">
        <v>1</v>
      </c>
      <c r="T756" t="s">
        <v>58</v>
      </c>
      <c r="U756" t="s">
        <v>238</v>
      </c>
      <c r="V756" s="4">
        <v>0.375</v>
      </c>
      <c r="W756" s="2">
        <v>0</v>
      </c>
      <c r="X756">
        <v>0</v>
      </c>
      <c r="Y756" t="s">
        <v>60</v>
      </c>
      <c r="Z756" t="s">
        <v>61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23.9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45957</v>
      </c>
      <c r="B757" t="s">
        <v>48</v>
      </c>
      <c r="C757">
        <v>649163</v>
      </c>
      <c r="D757">
        <v>2031249950</v>
      </c>
      <c r="E757" t="s">
        <v>250</v>
      </c>
      <c r="F757" t="s">
        <v>98</v>
      </c>
      <c r="G757" t="s">
        <v>51</v>
      </c>
      <c r="H757" t="s">
        <v>69</v>
      </c>
      <c r="I757" t="s">
        <v>378</v>
      </c>
      <c r="J757" t="s">
        <v>379</v>
      </c>
      <c r="K757">
        <v>756803</v>
      </c>
      <c r="L757" t="s">
        <v>251</v>
      </c>
      <c r="M757" t="s">
        <v>252</v>
      </c>
      <c r="N757" t="s">
        <v>57</v>
      </c>
      <c r="O757" s="1">
        <v>45925</v>
      </c>
      <c r="Q757" s="1">
        <v>45986</v>
      </c>
      <c r="R757" s="2">
        <v>53.87</v>
      </c>
      <c r="S757">
        <v>1</v>
      </c>
      <c r="T757" t="s">
        <v>58</v>
      </c>
      <c r="U757" t="s">
        <v>238</v>
      </c>
      <c r="V757" s="4">
        <v>0.375</v>
      </c>
      <c r="W757" s="2">
        <v>0</v>
      </c>
      <c r="X757">
        <v>0</v>
      </c>
      <c r="Y757" t="s">
        <v>60</v>
      </c>
      <c r="Z757" t="s">
        <v>61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20.2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45957</v>
      </c>
      <c r="B758" t="s">
        <v>48</v>
      </c>
      <c r="C758">
        <v>649163</v>
      </c>
      <c r="D758">
        <v>2031255007</v>
      </c>
      <c r="E758" t="s">
        <v>253</v>
      </c>
      <c r="F758" t="s">
        <v>254</v>
      </c>
      <c r="G758" t="s">
        <v>51</v>
      </c>
      <c r="H758" t="s">
        <v>69</v>
      </c>
      <c r="I758" t="s">
        <v>378</v>
      </c>
      <c r="J758" t="s">
        <v>379</v>
      </c>
      <c r="K758">
        <v>812994</v>
      </c>
      <c r="L758" t="s">
        <v>228</v>
      </c>
      <c r="M758" t="s">
        <v>229</v>
      </c>
      <c r="N758" t="s">
        <v>57</v>
      </c>
      <c r="O758" s="1">
        <v>45925</v>
      </c>
      <c r="Q758" s="1">
        <v>45986</v>
      </c>
      <c r="R758" s="2">
        <v>257.49</v>
      </c>
      <c r="S758">
        <v>1</v>
      </c>
      <c r="T758" t="s">
        <v>58</v>
      </c>
      <c r="U758" t="s">
        <v>238</v>
      </c>
      <c r="V758" s="4">
        <v>0.375</v>
      </c>
      <c r="W758" s="2">
        <v>0</v>
      </c>
      <c r="X758">
        <v>0</v>
      </c>
      <c r="Y758" t="s">
        <v>60</v>
      </c>
      <c r="Z758" t="s">
        <v>61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96.56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45957</v>
      </c>
      <c r="B759" t="s">
        <v>48</v>
      </c>
      <c r="C759">
        <v>649163</v>
      </c>
      <c r="D759">
        <v>2031606026</v>
      </c>
      <c r="E759" t="s">
        <v>397</v>
      </c>
      <c r="F759" t="s">
        <v>312</v>
      </c>
      <c r="G759" t="s">
        <v>51</v>
      </c>
      <c r="H759" t="s">
        <v>261</v>
      </c>
      <c r="I759" t="s">
        <v>378</v>
      </c>
      <c r="J759" t="s">
        <v>379</v>
      </c>
      <c r="K759">
        <v>821015</v>
      </c>
      <c r="L759" t="s">
        <v>398</v>
      </c>
      <c r="M759" t="s">
        <v>399</v>
      </c>
      <c r="N759" t="s">
        <v>359</v>
      </c>
      <c r="O759" s="1">
        <v>45945</v>
      </c>
      <c r="P759" s="1">
        <v>45957</v>
      </c>
      <c r="Q759" s="1">
        <v>45976</v>
      </c>
      <c r="R759" s="2">
        <v>-53.11</v>
      </c>
      <c r="S759">
        <v>1</v>
      </c>
      <c r="T759" t="s">
        <v>58</v>
      </c>
      <c r="U759" t="s">
        <v>238</v>
      </c>
      <c r="V759" s="4">
        <v>0.375</v>
      </c>
      <c r="W759" s="2">
        <v>0</v>
      </c>
      <c r="X759">
        <v>-1</v>
      </c>
      <c r="Y759" t="s">
        <v>60</v>
      </c>
      <c r="Z759" t="s">
        <v>61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-19.920000000000002</v>
      </c>
      <c r="AN759" s="2">
        <v>-19.920000000000002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45957</v>
      </c>
      <c r="B760" t="s">
        <v>48</v>
      </c>
      <c r="C760">
        <v>649163</v>
      </c>
      <c r="D760">
        <v>2017517074</v>
      </c>
      <c r="E760" t="s">
        <v>969</v>
      </c>
      <c r="F760" t="s">
        <v>153</v>
      </c>
      <c r="G760" t="s">
        <v>51</v>
      </c>
      <c r="H760" t="s">
        <v>195</v>
      </c>
      <c r="I760" t="s">
        <v>355</v>
      </c>
      <c r="J760" t="s">
        <v>356</v>
      </c>
      <c r="K760">
        <v>649247</v>
      </c>
      <c r="L760" t="s">
        <v>321</v>
      </c>
      <c r="M760" t="s">
        <v>322</v>
      </c>
      <c r="N760" t="s">
        <v>57</v>
      </c>
      <c r="O760" s="1">
        <v>44958</v>
      </c>
      <c r="Q760" s="1">
        <v>45992</v>
      </c>
      <c r="R760" s="2">
        <v>38.11</v>
      </c>
      <c r="S760">
        <v>1</v>
      </c>
      <c r="T760" t="s">
        <v>58</v>
      </c>
      <c r="U760" t="s">
        <v>59</v>
      </c>
      <c r="V760" s="3">
        <v>0.1</v>
      </c>
      <c r="W760" s="2">
        <v>0</v>
      </c>
      <c r="X760">
        <v>0</v>
      </c>
      <c r="Y760" t="s">
        <v>264</v>
      </c>
      <c r="Z760" t="s">
        <v>61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3.81</v>
      </c>
      <c r="AN760" s="2">
        <v>3.81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45957</v>
      </c>
      <c r="B761" t="s">
        <v>48</v>
      </c>
      <c r="C761">
        <v>649163</v>
      </c>
      <c r="D761">
        <v>2018114567</v>
      </c>
      <c r="E761" t="s">
        <v>823</v>
      </c>
      <c r="F761" t="s">
        <v>792</v>
      </c>
      <c r="G761" t="s">
        <v>51</v>
      </c>
      <c r="H761" t="s">
        <v>195</v>
      </c>
      <c r="I761" t="s">
        <v>355</v>
      </c>
      <c r="J761" t="s">
        <v>356</v>
      </c>
      <c r="K761">
        <v>649247</v>
      </c>
      <c r="L761" t="s">
        <v>321</v>
      </c>
      <c r="M761" t="s">
        <v>322</v>
      </c>
      <c r="N761" t="s">
        <v>57</v>
      </c>
      <c r="O761" s="1">
        <v>45017</v>
      </c>
      <c r="Q761" s="1">
        <v>45992</v>
      </c>
      <c r="R761" s="2">
        <v>21.97</v>
      </c>
      <c r="S761">
        <v>1</v>
      </c>
      <c r="T761" t="s">
        <v>58</v>
      </c>
      <c r="U761" t="s">
        <v>59</v>
      </c>
      <c r="V761" s="3">
        <v>0.1</v>
      </c>
      <c r="W761" s="2">
        <v>0</v>
      </c>
      <c r="X761">
        <v>0</v>
      </c>
      <c r="Y761" t="s">
        <v>264</v>
      </c>
      <c r="Z761" t="s">
        <v>61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2.2000000000000002</v>
      </c>
      <c r="AN761" s="2">
        <v>2.2000000000000002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45957</v>
      </c>
      <c r="B762" t="s">
        <v>48</v>
      </c>
      <c r="C762">
        <v>649163</v>
      </c>
      <c r="D762">
        <v>2022444748</v>
      </c>
      <c r="E762" t="s">
        <v>834</v>
      </c>
      <c r="F762" t="s">
        <v>835</v>
      </c>
      <c r="G762" t="s">
        <v>51</v>
      </c>
      <c r="H762" t="s">
        <v>195</v>
      </c>
      <c r="I762" t="s">
        <v>355</v>
      </c>
      <c r="J762" t="s">
        <v>356</v>
      </c>
      <c r="K762">
        <v>649247</v>
      </c>
      <c r="L762" t="s">
        <v>321</v>
      </c>
      <c r="M762" t="s">
        <v>322</v>
      </c>
      <c r="N762" t="s">
        <v>57</v>
      </c>
      <c r="O762" s="1">
        <v>45383</v>
      </c>
      <c r="Q762" s="1">
        <v>45992</v>
      </c>
      <c r="R762" s="2">
        <v>21.97</v>
      </c>
      <c r="S762">
        <v>1</v>
      </c>
      <c r="T762" t="s">
        <v>58</v>
      </c>
      <c r="U762" t="s">
        <v>59</v>
      </c>
      <c r="V762" s="3">
        <v>0.1</v>
      </c>
      <c r="W762" s="2">
        <v>0</v>
      </c>
      <c r="X762">
        <v>0</v>
      </c>
      <c r="Y762" t="s">
        <v>264</v>
      </c>
      <c r="Z762" t="s">
        <v>61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2.2000000000000002</v>
      </c>
      <c r="AN762" s="2">
        <v>2.2000000000000002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45957</v>
      </c>
      <c r="B763" t="s">
        <v>48</v>
      </c>
      <c r="C763">
        <v>649163</v>
      </c>
      <c r="D763">
        <v>2022453568</v>
      </c>
      <c r="E763" t="s">
        <v>970</v>
      </c>
      <c r="F763" t="s">
        <v>103</v>
      </c>
      <c r="G763" t="s">
        <v>51</v>
      </c>
      <c r="H763" t="s">
        <v>195</v>
      </c>
      <c r="I763" t="s">
        <v>355</v>
      </c>
      <c r="J763" t="s">
        <v>356</v>
      </c>
      <c r="K763">
        <v>649247</v>
      </c>
      <c r="L763" t="s">
        <v>321</v>
      </c>
      <c r="M763" t="s">
        <v>322</v>
      </c>
      <c r="N763" t="s">
        <v>57</v>
      </c>
      <c r="O763" s="1">
        <v>45383</v>
      </c>
      <c r="Q763" s="1">
        <v>45992</v>
      </c>
      <c r="R763" s="2">
        <v>21.97</v>
      </c>
      <c r="S763">
        <v>1</v>
      </c>
      <c r="T763" t="s">
        <v>58</v>
      </c>
      <c r="U763" t="s">
        <v>59</v>
      </c>
      <c r="V763" s="3">
        <v>0.1</v>
      </c>
      <c r="W763" s="2">
        <v>0</v>
      </c>
      <c r="X763">
        <v>0</v>
      </c>
      <c r="Y763" t="s">
        <v>264</v>
      </c>
      <c r="Z763" t="s">
        <v>61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2.2000000000000002</v>
      </c>
      <c r="AN763" s="2">
        <v>2.2000000000000002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45957</v>
      </c>
      <c r="B764" t="s">
        <v>48</v>
      </c>
      <c r="C764">
        <v>649163</v>
      </c>
      <c r="D764">
        <v>2026528984</v>
      </c>
      <c r="E764" t="s">
        <v>971</v>
      </c>
      <c r="F764" t="s">
        <v>972</v>
      </c>
      <c r="G764" t="s">
        <v>51</v>
      </c>
      <c r="H764" t="s">
        <v>69</v>
      </c>
      <c r="I764" t="s">
        <v>53</v>
      </c>
      <c r="J764" t="s">
        <v>54</v>
      </c>
      <c r="K764">
        <v>768271</v>
      </c>
      <c r="L764" t="s">
        <v>973</v>
      </c>
      <c r="M764" t="s">
        <v>413</v>
      </c>
      <c r="N764" t="s">
        <v>57</v>
      </c>
      <c r="O764" s="1">
        <v>45689</v>
      </c>
      <c r="Q764" s="1">
        <v>45992</v>
      </c>
      <c r="R764" s="2">
        <v>124.72</v>
      </c>
      <c r="S764">
        <v>1</v>
      </c>
      <c r="T764" t="s">
        <v>58</v>
      </c>
      <c r="U764" t="s">
        <v>59</v>
      </c>
      <c r="V764" s="3">
        <v>0.7</v>
      </c>
      <c r="W764" s="2">
        <v>0</v>
      </c>
      <c r="X764">
        <v>0</v>
      </c>
      <c r="Y764" t="s">
        <v>60</v>
      </c>
      <c r="Z764" t="s">
        <v>61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87.3</v>
      </c>
      <c r="AN764" s="2">
        <v>87.3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45957</v>
      </c>
      <c r="B765" t="s">
        <v>48</v>
      </c>
      <c r="C765">
        <v>649163</v>
      </c>
      <c r="D765">
        <v>2026548461</v>
      </c>
      <c r="E765" t="s">
        <v>974</v>
      </c>
      <c r="F765" t="s">
        <v>173</v>
      </c>
      <c r="G765" t="s">
        <v>51</v>
      </c>
      <c r="H765" t="s">
        <v>69</v>
      </c>
      <c r="I765" t="s">
        <v>53</v>
      </c>
      <c r="J765" t="s">
        <v>54</v>
      </c>
      <c r="K765">
        <v>812782</v>
      </c>
      <c r="L765" t="s">
        <v>114</v>
      </c>
      <c r="M765" t="s">
        <v>115</v>
      </c>
      <c r="N765" t="s">
        <v>57</v>
      </c>
      <c r="O765" s="1">
        <v>45689</v>
      </c>
      <c r="Q765" s="1">
        <v>45992</v>
      </c>
      <c r="R765" s="2">
        <v>198.36</v>
      </c>
      <c r="S765">
        <v>1</v>
      </c>
      <c r="T765" t="s">
        <v>58</v>
      </c>
      <c r="U765" t="s">
        <v>59</v>
      </c>
      <c r="V765" s="3">
        <v>0.7</v>
      </c>
      <c r="W765" s="2">
        <v>0</v>
      </c>
      <c r="X765">
        <v>0</v>
      </c>
      <c r="Y765" t="s">
        <v>60</v>
      </c>
      <c r="Z765" t="s">
        <v>61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138.85</v>
      </c>
      <c r="AN765" s="2">
        <v>138.85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45957</v>
      </c>
      <c r="B766" t="s">
        <v>48</v>
      </c>
      <c r="C766">
        <v>649163</v>
      </c>
      <c r="D766">
        <v>2026549078</v>
      </c>
      <c r="E766" t="s">
        <v>974</v>
      </c>
      <c r="F766" t="s">
        <v>975</v>
      </c>
      <c r="G766" t="s">
        <v>51</v>
      </c>
      <c r="H766" t="s">
        <v>69</v>
      </c>
      <c r="I766" t="s">
        <v>53</v>
      </c>
      <c r="J766" t="s">
        <v>54</v>
      </c>
      <c r="K766">
        <v>812782</v>
      </c>
      <c r="L766" t="s">
        <v>114</v>
      </c>
      <c r="M766" t="s">
        <v>115</v>
      </c>
      <c r="N766" t="s">
        <v>57</v>
      </c>
      <c r="O766" s="1">
        <v>45689</v>
      </c>
      <c r="Q766" s="1">
        <v>45992</v>
      </c>
      <c r="R766" s="2">
        <v>28.9</v>
      </c>
      <c r="S766">
        <v>1</v>
      </c>
      <c r="T766" t="s">
        <v>58</v>
      </c>
      <c r="U766" t="s">
        <v>59</v>
      </c>
      <c r="V766" s="3">
        <v>0.7</v>
      </c>
      <c r="W766" s="2">
        <v>0</v>
      </c>
      <c r="X766">
        <v>0</v>
      </c>
      <c r="Y766" t="s">
        <v>60</v>
      </c>
      <c r="Z766" t="s">
        <v>61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20.23</v>
      </c>
      <c r="AN766" s="2">
        <v>20.23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45957</v>
      </c>
      <c r="B767" t="s">
        <v>48</v>
      </c>
      <c r="C767">
        <v>649163</v>
      </c>
      <c r="D767">
        <v>2026568843</v>
      </c>
      <c r="E767" t="s">
        <v>976</v>
      </c>
      <c r="F767" t="s">
        <v>535</v>
      </c>
      <c r="G767" t="s">
        <v>51</v>
      </c>
      <c r="H767" t="s">
        <v>129</v>
      </c>
      <c r="I767" t="s">
        <v>53</v>
      </c>
      <c r="J767" t="s">
        <v>119</v>
      </c>
      <c r="K767">
        <v>673059</v>
      </c>
      <c r="L767" t="s">
        <v>55</v>
      </c>
      <c r="M767" t="s">
        <v>56</v>
      </c>
      <c r="N767" t="s">
        <v>57</v>
      </c>
      <c r="O767" s="1">
        <v>45689</v>
      </c>
      <c r="Q767" s="1">
        <v>45992</v>
      </c>
      <c r="R767" s="2">
        <v>21.44</v>
      </c>
      <c r="S767">
        <v>1</v>
      </c>
      <c r="T767" t="s">
        <v>58</v>
      </c>
      <c r="U767" t="s">
        <v>59</v>
      </c>
      <c r="V767" s="3">
        <v>0.7</v>
      </c>
      <c r="W767" s="2">
        <v>0</v>
      </c>
      <c r="X767">
        <v>0</v>
      </c>
      <c r="Y767" t="s">
        <v>60</v>
      </c>
      <c r="Z767" t="s">
        <v>61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15.01</v>
      </c>
      <c r="AN767" s="2">
        <v>15.01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45957</v>
      </c>
      <c r="B768" t="s">
        <v>48</v>
      </c>
      <c r="C768">
        <v>649163</v>
      </c>
      <c r="D768">
        <v>2026568844</v>
      </c>
      <c r="E768" t="s">
        <v>976</v>
      </c>
      <c r="F768" t="s">
        <v>535</v>
      </c>
      <c r="G768" t="s">
        <v>51</v>
      </c>
      <c r="H768" t="s">
        <v>129</v>
      </c>
      <c r="I768" t="s">
        <v>53</v>
      </c>
      <c r="J768" t="s">
        <v>54</v>
      </c>
      <c r="K768">
        <v>673059</v>
      </c>
      <c r="L768" t="s">
        <v>55</v>
      </c>
      <c r="M768" t="s">
        <v>56</v>
      </c>
      <c r="N768" t="s">
        <v>57</v>
      </c>
      <c r="O768" s="1">
        <v>45689</v>
      </c>
      <c r="Q768" s="1">
        <v>45992</v>
      </c>
      <c r="R768" s="2">
        <v>34</v>
      </c>
      <c r="S768">
        <v>1</v>
      </c>
      <c r="T768" t="s">
        <v>58</v>
      </c>
      <c r="U768" t="s">
        <v>59</v>
      </c>
      <c r="V768" s="3">
        <v>0.7</v>
      </c>
      <c r="W768" s="2">
        <v>0</v>
      </c>
      <c r="X768">
        <v>0</v>
      </c>
      <c r="Y768" t="s">
        <v>60</v>
      </c>
      <c r="Z768" t="s">
        <v>61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23.8</v>
      </c>
      <c r="AN768" s="2">
        <v>23.8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45957</v>
      </c>
      <c r="B769" t="s">
        <v>48</v>
      </c>
      <c r="C769">
        <v>649163</v>
      </c>
      <c r="D769">
        <v>2026593656</v>
      </c>
      <c r="E769" t="s">
        <v>977</v>
      </c>
      <c r="F769" t="s">
        <v>978</v>
      </c>
      <c r="G769" t="s">
        <v>51</v>
      </c>
      <c r="H769" t="s">
        <v>52</v>
      </c>
      <c r="I769" t="s">
        <v>53</v>
      </c>
      <c r="J769" t="s">
        <v>54</v>
      </c>
      <c r="K769">
        <v>812782</v>
      </c>
      <c r="L769" t="s">
        <v>114</v>
      </c>
      <c r="M769" t="s">
        <v>115</v>
      </c>
      <c r="N769" t="s">
        <v>57</v>
      </c>
      <c r="O769" s="1">
        <v>45689</v>
      </c>
      <c r="Q769" s="1">
        <v>45992</v>
      </c>
      <c r="R769" s="2">
        <v>8.59</v>
      </c>
      <c r="S769">
        <v>1</v>
      </c>
      <c r="T769" t="s">
        <v>58</v>
      </c>
      <c r="U769" t="s">
        <v>59</v>
      </c>
      <c r="V769" s="3">
        <v>0.7</v>
      </c>
      <c r="W769" s="2">
        <v>0</v>
      </c>
      <c r="X769">
        <v>0</v>
      </c>
      <c r="Y769" t="s">
        <v>60</v>
      </c>
      <c r="Z769" t="s">
        <v>61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6.01</v>
      </c>
      <c r="AN769" s="2">
        <v>6.01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45957</v>
      </c>
      <c r="B770" t="s">
        <v>48</v>
      </c>
      <c r="C770">
        <v>649163</v>
      </c>
      <c r="D770">
        <v>2026605719</v>
      </c>
      <c r="E770" t="s">
        <v>582</v>
      </c>
      <c r="F770" t="s">
        <v>106</v>
      </c>
      <c r="G770" t="s">
        <v>51</v>
      </c>
      <c r="H770" t="s">
        <v>92</v>
      </c>
      <c r="I770" t="s">
        <v>53</v>
      </c>
      <c r="J770" t="s">
        <v>54</v>
      </c>
      <c r="K770">
        <v>816021</v>
      </c>
      <c r="L770" t="s">
        <v>93</v>
      </c>
      <c r="M770" t="s">
        <v>94</v>
      </c>
      <c r="N770" t="s">
        <v>57</v>
      </c>
      <c r="O770" s="1">
        <v>45689</v>
      </c>
      <c r="Q770" s="1">
        <v>45992</v>
      </c>
      <c r="R770" s="2">
        <v>9.1</v>
      </c>
      <c r="S770">
        <v>1</v>
      </c>
      <c r="T770" t="s">
        <v>58</v>
      </c>
      <c r="U770" t="s">
        <v>59</v>
      </c>
      <c r="V770" s="3">
        <v>0.7</v>
      </c>
      <c r="W770" s="2">
        <v>0</v>
      </c>
      <c r="X770">
        <v>0</v>
      </c>
      <c r="Y770" t="s">
        <v>60</v>
      </c>
      <c r="Z770" t="s">
        <v>61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6.37</v>
      </c>
      <c r="AN770" s="2">
        <v>6.37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45957</v>
      </c>
      <c r="B771" t="s">
        <v>48</v>
      </c>
      <c r="C771">
        <v>649163</v>
      </c>
      <c r="D771">
        <v>2026606538</v>
      </c>
      <c r="E771" t="s">
        <v>979</v>
      </c>
      <c r="F771" t="s">
        <v>980</v>
      </c>
      <c r="G771" t="s">
        <v>51</v>
      </c>
      <c r="H771" t="s">
        <v>165</v>
      </c>
      <c r="I771" t="s">
        <v>53</v>
      </c>
      <c r="J771" t="s">
        <v>54</v>
      </c>
      <c r="K771">
        <v>753748</v>
      </c>
      <c r="L771" t="s">
        <v>65</v>
      </c>
      <c r="M771" t="s">
        <v>66</v>
      </c>
      <c r="N771" t="s">
        <v>57</v>
      </c>
      <c r="O771" s="1">
        <v>45689</v>
      </c>
      <c r="Q771" s="1">
        <v>45992</v>
      </c>
      <c r="R771" s="2">
        <v>237.05</v>
      </c>
      <c r="S771">
        <v>1</v>
      </c>
      <c r="T771" t="s">
        <v>58</v>
      </c>
      <c r="U771" t="s">
        <v>59</v>
      </c>
      <c r="V771" s="3">
        <v>0.7</v>
      </c>
      <c r="W771" s="2">
        <v>0</v>
      </c>
      <c r="X771">
        <v>0</v>
      </c>
      <c r="Y771" t="s">
        <v>60</v>
      </c>
      <c r="Z771" t="s">
        <v>61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165.94</v>
      </c>
      <c r="AN771" s="2">
        <v>165.94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45957</v>
      </c>
      <c r="B772" t="s">
        <v>48</v>
      </c>
      <c r="C772">
        <v>649163</v>
      </c>
      <c r="D772">
        <v>2026608092</v>
      </c>
      <c r="E772" t="s">
        <v>856</v>
      </c>
      <c r="F772" t="s">
        <v>268</v>
      </c>
      <c r="G772" t="s">
        <v>51</v>
      </c>
      <c r="H772" t="s">
        <v>92</v>
      </c>
      <c r="I772" t="s">
        <v>53</v>
      </c>
      <c r="J772" t="s">
        <v>54</v>
      </c>
      <c r="K772">
        <v>816021</v>
      </c>
      <c r="L772" t="s">
        <v>93</v>
      </c>
      <c r="M772" t="s">
        <v>94</v>
      </c>
      <c r="N772" t="s">
        <v>57</v>
      </c>
      <c r="O772" s="1">
        <v>45689</v>
      </c>
      <c r="Q772" s="1">
        <v>45992</v>
      </c>
      <c r="R772" s="2">
        <v>9.1</v>
      </c>
      <c r="S772">
        <v>1</v>
      </c>
      <c r="T772" t="s">
        <v>58</v>
      </c>
      <c r="U772" t="s">
        <v>59</v>
      </c>
      <c r="V772" s="3">
        <v>0.7</v>
      </c>
      <c r="W772" s="2">
        <v>0</v>
      </c>
      <c r="X772">
        <v>0</v>
      </c>
      <c r="Y772" t="s">
        <v>60</v>
      </c>
      <c r="Z772" t="s">
        <v>61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6.37</v>
      </c>
      <c r="AN772" s="2">
        <v>6.37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45957</v>
      </c>
      <c r="B773" t="s">
        <v>48</v>
      </c>
      <c r="C773">
        <v>649163</v>
      </c>
      <c r="D773">
        <v>2026613381</v>
      </c>
      <c r="E773" t="s">
        <v>583</v>
      </c>
      <c r="F773" t="s">
        <v>490</v>
      </c>
      <c r="G773" t="s">
        <v>51</v>
      </c>
      <c r="H773" t="s">
        <v>52</v>
      </c>
      <c r="I773" t="s">
        <v>53</v>
      </c>
      <c r="J773" t="s">
        <v>54</v>
      </c>
      <c r="K773">
        <v>673059</v>
      </c>
      <c r="L773" t="s">
        <v>55</v>
      </c>
      <c r="M773" t="s">
        <v>56</v>
      </c>
      <c r="N773" t="s">
        <v>57</v>
      </c>
      <c r="O773" s="1">
        <v>45689</v>
      </c>
      <c r="Q773" s="1">
        <v>45992</v>
      </c>
      <c r="R773" s="2">
        <v>98.21</v>
      </c>
      <c r="S773">
        <v>1</v>
      </c>
      <c r="T773" t="s">
        <v>58</v>
      </c>
      <c r="U773" t="s">
        <v>59</v>
      </c>
      <c r="V773" s="3">
        <v>0.7</v>
      </c>
      <c r="W773" s="2">
        <v>0</v>
      </c>
      <c r="X773">
        <v>0</v>
      </c>
      <c r="Y773" t="s">
        <v>60</v>
      </c>
      <c r="Z773" t="s">
        <v>61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68.75</v>
      </c>
      <c r="AN773" s="2">
        <v>68.75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45957</v>
      </c>
      <c r="B774" t="s">
        <v>48</v>
      </c>
      <c r="C774">
        <v>649163</v>
      </c>
      <c r="D774">
        <v>2026613382</v>
      </c>
      <c r="E774" t="s">
        <v>583</v>
      </c>
      <c r="F774" t="s">
        <v>490</v>
      </c>
      <c r="G774" t="s">
        <v>51</v>
      </c>
      <c r="H774" t="s">
        <v>52</v>
      </c>
      <c r="I774" t="s">
        <v>53</v>
      </c>
      <c r="J774" t="s">
        <v>119</v>
      </c>
      <c r="K774">
        <v>673059</v>
      </c>
      <c r="L774" t="s">
        <v>55</v>
      </c>
      <c r="M774" t="s">
        <v>56</v>
      </c>
      <c r="N774" t="s">
        <v>57</v>
      </c>
      <c r="O774" s="1">
        <v>45689</v>
      </c>
      <c r="Q774" s="1">
        <v>45992</v>
      </c>
      <c r="R774" s="2">
        <v>51.46</v>
      </c>
      <c r="S774">
        <v>1</v>
      </c>
      <c r="T774" t="s">
        <v>58</v>
      </c>
      <c r="U774" t="s">
        <v>59</v>
      </c>
      <c r="V774" s="3">
        <v>0.7</v>
      </c>
      <c r="W774" s="2">
        <v>0</v>
      </c>
      <c r="X774">
        <v>0</v>
      </c>
      <c r="Y774" t="s">
        <v>60</v>
      </c>
      <c r="Z774" t="s">
        <v>61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36.020000000000003</v>
      </c>
      <c r="AN774" s="2">
        <v>36.020000000000003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45957</v>
      </c>
      <c r="B775" t="s">
        <v>48</v>
      </c>
      <c r="C775">
        <v>649163</v>
      </c>
      <c r="D775">
        <v>2026615269</v>
      </c>
      <c r="E775" t="s">
        <v>584</v>
      </c>
      <c r="F775" t="s">
        <v>585</v>
      </c>
      <c r="G775" t="s">
        <v>51</v>
      </c>
      <c r="H775" t="s">
        <v>92</v>
      </c>
      <c r="I775" t="s">
        <v>53</v>
      </c>
      <c r="J775" t="s">
        <v>54</v>
      </c>
      <c r="K775">
        <v>816021</v>
      </c>
      <c r="L775" t="s">
        <v>93</v>
      </c>
      <c r="M775" t="s">
        <v>94</v>
      </c>
      <c r="N775" t="s">
        <v>57</v>
      </c>
      <c r="O775" s="1">
        <v>45689</v>
      </c>
      <c r="Q775" s="1">
        <v>45992</v>
      </c>
      <c r="R775" s="2">
        <v>9.1</v>
      </c>
      <c r="S775">
        <v>1</v>
      </c>
      <c r="T775" t="s">
        <v>58</v>
      </c>
      <c r="U775" t="s">
        <v>59</v>
      </c>
      <c r="V775" s="3">
        <v>0.7</v>
      </c>
      <c r="W775" s="2">
        <v>0</v>
      </c>
      <c r="X775">
        <v>0</v>
      </c>
      <c r="Y775" t="s">
        <v>60</v>
      </c>
      <c r="Z775" t="s">
        <v>61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6.37</v>
      </c>
      <c r="AN775" s="2">
        <v>6.37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45957</v>
      </c>
      <c r="B776" t="s">
        <v>48</v>
      </c>
      <c r="C776">
        <v>649163</v>
      </c>
      <c r="D776">
        <v>2026616496</v>
      </c>
      <c r="E776" t="s">
        <v>586</v>
      </c>
      <c r="F776" t="s">
        <v>354</v>
      </c>
      <c r="G776" t="s">
        <v>51</v>
      </c>
      <c r="H776" t="s">
        <v>182</v>
      </c>
      <c r="I776" t="s">
        <v>53</v>
      </c>
      <c r="J776" t="s">
        <v>54</v>
      </c>
      <c r="K776">
        <v>673059</v>
      </c>
      <c r="L776" t="s">
        <v>55</v>
      </c>
      <c r="M776" t="s">
        <v>56</v>
      </c>
      <c r="N776" t="s">
        <v>57</v>
      </c>
      <c r="O776" s="1">
        <v>45689</v>
      </c>
      <c r="Q776" s="1">
        <v>45992</v>
      </c>
      <c r="R776" s="2">
        <v>35.04</v>
      </c>
      <c r="S776">
        <v>1</v>
      </c>
      <c r="T776" t="s">
        <v>58</v>
      </c>
      <c r="U776" t="s">
        <v>59</v>
      </c>
      <c r="V776" s="3">
        <v>0.7</v>
      </c>
      <c r="W776" s="2">
        <v>0</v>
      </c>
      <c r="X776">
        <v>0</v>
      </c>
      <c r="Y776" t="s">
        <v>60</v>
      </c>
      <c r="Z776" t="s">
        <v>61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24.53</v>
      </c>
      <c r="AN776" s="2">
        <v>24.53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45957</v>
      </c>
      <c r="B777" t="s">
        <v>48</v>
      </c>
      <c r="C777">
        <v>649163</v>
      </c>
      <c r="D777">
        <v>2026616497</v>
      </c>
      <c r="E777" t="s">
        <v>586</v>
      </c>
      <c r="F777" t="s">
        <v>354</v>
      </c>
      <c r="G777" t="s">
        <v>51</v>
      </c>
      <c r="H777" t="s">
        <v>182</v>
      </c>
      <c r="I777" t="s">
        <v>53</v>
      </c>
      <c r="J777" t="s">
        <v>119</v>
      </c>
      <c r="K777">
        <v>673059</v>
      </c>
      <c r="L777" t="s">
        <v>55</v>
      </c>
      <c r="M777" t="s">
        <v>56</v>
      </c>
      <c r="N777" t="s">
        <v>57</v>
      </c>
      <c r="O777" s="1">
        <v>45689</v>
      </c>
      <c r="Q777" s="1">
        <v>45992</v>
      </c>
      <c r="R777" s="2">
        <v>25.73</v>
      </c>
      <c r="S777">
        <v>1</v>
      </c>
      <c r="T777" t="s">
        <v>58</v>
      </c>
      <c r="U777" t="s">
        <v>59</v>
      </c>
      <c r="V777" s="3">
        <v>0.7</v>
      </c>
      <c r="W777" s="2">
        <v>0</v>
      </c>
      <c r="X777">
        <v>0</v>
      </c>
      <c r="Y777" t="s">
        <v>60</v>
      </c>
      <c r="Z777" t="s">
        <v>61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18.010000000000002</v>
      </c>
      <c r="AN777" s="2">
        <v>18.010000000000002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45957</v>
      </c>
      <c r="B778" t="s">
        <v>48</v>
      </c>
      <c r="C778">
        <v>649163</v>
      </c>
      <c r="D778">
        <v>2026618581</v>
      </c>
      <c r="E778" t="s">
        <v>589</v>
      </c>
      <c r="F778" t="s">
        <v>590</v>
      </c>
      <c r="G778" t="s">
        <v>51</v>
      </c>
      <c r="H778" t="s">
        <v>64</v>
      </c>
      <c r="I778" t="s">
        <v>53</v>
      </c>
      <c r="J778" t="s">
        <v>54</v>
      </c>
      <c r="K778">
        <v>753748</v>
      </c>
      <c r="L778" t="s">
        <v>65</v>
      </c>
      <c r="M778" t="s">
        <v>66</v>
      </c>
      <c r="N778" t="s">
        <v>57</v>
      </c>
      <c r="O778" s="1">
        <v>45689</v>
      </c>
      <c r="Q778" s="1">
        <v>45992</v>
      </c>
      <c r="R778" s="2">
        <v>59.89</v>
      </c>
      <c r="S778">
        <v>1</v>
      </c>
      <c r="T778" t="s">
        <v>58</v>
      </c>
      <c r="U778" t="s">
        <v>59</v>
      </c>
      <c r="V778" s="3">
        <v>0.7</v>
      </c>
      <c r="W778" s="2">
        <v>0</v>
      </c>
      <c r="X778">
        <v>0</v>
      </c>
      <c r="Y778" t="s">
        <v>60</v>
      </c>
      <c r="Z778" t="s">
        <v>61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41.92</v>
      </c>
      <c r="AN778" s="2">
        <v>41.92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45957</v>
      </c>
      <c r="B779" t="s">
        <v>48</v>
      </c>
      <c r="C779">
        <v>649163</v>
      </c>
      <c r="D779">
        <v>2026619108</v>
      </c>
      <c r="E779" t="s">
        <v>591</v>
      </c>
      <c r="F779" t="s">
        <v>592</v>
      </c>
      <c r="G779" t="s">
        <v>51</v>
      </c>
      <c r="H779" t="s">
        <v>165</v>
      </c>
      <c r="I779" t="s">
        <v>53</v>
      </c>
      <c r="J779" t="s">
        <v>54</v>
      </c>
      <c r="K779">
        <v>673059</v>
      </c>
      <c r="L779" t="s">
        <v>55</v>
      </c>
      <c r="M779" t="s">
        <v>56</v>
      </c>
      <c r="N779" t="s">
        <v>57</v>
      </c>
      <c r="O779" s="1">
        <v>45689</v>
      </c>
      <c r="Q779" s="1">
        <v>45992</v>
      </c>
      <c r="R779" s="2">
        <v>109.36</v>
      </c>
      <c r="S779">
        <v>1</v>
      </c>
      <c r="T779" t="s">
        <v>58</v>
      </c>
      <c r="U779" t="s">
        <v>59</v>
      </c>
      <c r="V779" s="3">
        <v>0.7</v>
      </c>
      <c r="W779" s="2">
        <v>0</v>
      </c>
      <c r="X779">
        <v>0</v>
      </c>
      <c r="Y779" t="s">
        <v>60</v>
      </c>
      <c r="Z779" t="s">
        <v>61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76.55</v>
      </c>
      <c r="AN779" s="2">
        <v>76.55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45957</v>
      </c>
      <c r="B780" t="s">
        <v>48</v>
      </c>
      <c r="C780">
        <v>649163</v>
      </c>
      <c r="D780">
        <v>2026619109</v>
      </c>
      <c r="E780" t="s">
        <v>591</v>
      </c>
      <c r="F780" t="s">
        <v>592</v>
      </c>
      <c r="G780" t="s">
        <v>51</v>
      </c>
      <c r="H780" t="s">
        <v>165</v>
      </c>
      <c r="I780" t="s">
        <v>53</v>
      </c>
      <c r="J780" t="s">
        <v>119</v>
      </c>
      <c r="K780">
        <v>673059</v>
      </c>
      <c r="L780" t="s">
        <v>55</v>
      </c>
      <c r="M780" t="s">
        <v>56</v>
      </c>
      <c r="N780" t="s">
        <v>57</v>
      </c>
      <c r="O780" s="1">
        <v>45689</v>
      </c>
      <c r="Q780" s="1">
        <v>45992</v>
      </c>
      <c r="R780" s="2">
        <v>85.53</v>
      </c>
      <c r="S780">
        <v>1</v>
      </c>
      <c r="T780" t="s">
        <v>58</v>
      </c>
      <c r="U780" t="s">
        <v>59</v>
      </c>
      <c r="V780" s="3">
        <v>0.7</v>
      </c>
      <c r="W780" s="2">
        <v>0</v>
      </c>
      <c r="X780">
        <v>0</v>
      </c>
      <c r="Y780" t="s">
        <v>60</v>
      </c>
      <c r="Z780" t="s">
        <v>61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59.87</v>
      </c>
      <c r="AN780" s="2">
        <v>59.87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45957</v>
      </c>
      <c r="B781" t="s">
        <v>48</v>
      </c>
      <c r="C781">
        <v>649163</v>
      </c>
      <c r="D781">
        <v>2026624654</v>
      </c>
      <c r="E781" t="s">
        <v>981</v>
      </c>
      <c r="F781" t="s">
        <v>982</v>
      </c>
      <c r="G781" t="s">
        <v>51</v>
      </c>
      <c r="H781" t="s">
        <v>69</v>
      </c>
      <c r="I781" t="s">
        <v>53</v>
      </c>
      <c r="J781" t="s">
        <v>54</v>
      </c>
      <c r="K781">
        <v>651818</v>
      </c>
      <c r="L781" t="s">
        <v>560</v>
      </c>
      <c r="M781" t="s">
        <v>336</v>
      </c>
      <c r="N781" t="s">
        <v>57</v>
      </c>
      <c r="O781" s="1">
        <v>45689</v>
      </c>
      <c r="Q781" s="1">
        <v>45992</v>
      </c>
      <c r="R781" s="2">
        <v>145.41999999999999</v>
      </c>
      <c r="S781">
        <v>1</v>
      </c>
      <c r="T781" t="s">
        <v>58</v>
      </c>
      <c r="U781" t="s">
        <v>59</v>
      </c>
      <c r="V781" s="3">
        <v>0.7</v>
      </c>
      <c r="W781" s="2">
        <v>0</v>
      </c>
      <c r="X781">
        <v>0</v>
      </c>
      <c r="Y781" t="s">
        <v>60</v>
      </c>
      <c r="Z781" t="s">
        <v>61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101.79</v>
      </c>
      <c r="AN781" s="2">
        <v>101.79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45957</v>
      </c>
      <c r="B782" t="s">
        <v>48</v>
      </c>
      <c r="C782">
        <v>649163</v>
      </c>
      <c r="D782">
        <v>2026627935</v>
      </c>
      <c r="E782" t="s">
        <v>857</v>
      </c>
      <c r="F782" t="s">
        <v>858</v>
      </c>
      <c r="G782" t="s">
        <v>51</v>
      </c>
      <c r="H782" t="s">
        <v>92</v>
      </c>
      <c r="I782" t="s">
        <v>53</v>
      </c>
      <c r="J782" t="s">
        <v>54</v>
      </c>
      <c r="K782">
        <v>816021</v>
      </c>
      <c r="L782" t="s">
        <v>93</v>
      </c>
      <c r="M782" t="s">
        <v>94</v>
      </c>
      <c r="N782" t="s">
        <v>57</v>
      </c>
      <c r="O782" s="1">
        <v>45689</v>
      </c>
      <c r="Q782" s="1">
        <v>45992</v>
      </c>
      <c r="R782" s="2">
        <v>18.2</v>
      </c>
      <c r="S782">
        <v>1</v>
      </c>
      <c r="T782" t="s">
        <v>58</v>
      </c>
      <c r="U782" t="s">
        <v>59</v>
      </c>
      <c r="V782" s="3">
        <v>0.7</v>
      </c>
      <c r="W782" s="2">
        <v>0</v>
      </c>
      <c r="X782">
        <v>0</v>
      </c>
      <c r="Y782" t="s">
        <v>60</v>
      </c>
      <c r="Z782" t="s">
        <v>61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12.74</v>
      </c>
      <c r="AN782" s="2">
        <v>12.74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45957</v>
      </c>
      <c r="B783" t="s">
        <v>48</v>
      </c>
      <c r="C783">
        <v>649163</v>
      </c>
      <c r="D783">
        <v>2026637549</v>
      </c>
      <c r="E783" t="s">
        <v>859</v>
      </c>
      <c r="F783" t="s">
        <v>860</v>
      </c>
      <c r="G783" t="s">
        <v>51</v>
      </c>
      <c r="H783" t="s">
        <v>69</v>
      </c>
      <c r="I783" t="s">
        <v>53</v>
      </c>
      <c r="J783" t="s">
        <v>54</v>
      </c>
      <c r="K783">
        <v>812782</v>
      </c>
      <c r="L783" t="s">
        <v>114</v>
      </c>
      <c r="M783" t="s">
        <v>115</v>
      </c>
      <c r="N783" t="s">
        <v>57</v>
      </c>
      <c r="O783" s="1">
        <v>45689</v>
      </c>
      <c r="Q783" s="1">
        <v>45992</v>
      </c>
      <c r="R783" s="2">
        <v>11.5</v>
      </c>
      <c r="S783">
        <v>1</v>
      </c>
      <c r="T783" t="s">
        <v>58</v>
      </c>
      <c r="U783" t="s">
        <v>59</v>
      </c>
      <c r="V783" s="3">
        <v>0.7</v>
      </c>
      <c r="W783" s="2">
        <v>0</v>
      </c>
      <c r="X783">
        <v>0</v>
      </c>
      <c r="Y783" t="s">
        <v>60</v>
      </c>
      <c r="Z783" t="s">
        <v>61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8.0500000000000007</v>
      </c>
      <c r="AN783" s="2">
        <v>8.0500000000000007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45957</v>
      </c>
      <c r="B784" t="s">
        <v>48</v>
      </c>
      <c r="C784">
        <v>649163</v>
      </c>
      <c r="D784">
        <v>2026653706</v>
      </c>
      <c r="E784" t="s">
        <v>861</v>
      </c>
      <c r="F784" t="s">
        <v>543</v>
      </c>
      <c r="G784" t="s">
        <v>51</v>
      </c>
      <c r="H784" t="s">
        <v>69</v>
      </c>
      <c r="I784" t="s">
        <v>53</v>
      </c>
      <c r="J784" t="s">
        <v>54</v>
      </c>
      <c r="K784">
        <v>812782</v>
      </c>
      <c r="L784" t="s">
        <v>114</v>
      </c>
      <c r="M784" t="s">
        <v>115</v>
      </c>
      <c r="N784" t="s">
        <v>57</v>
      </c>
      <c r="O784" s="1">
        <v>45689</v>
      </c>
      <c r="Q784" s="1">
        <v>45992</v>
      </c>
      <c r="R784" s="2">
        <v>11.5</v>
      </c>
      <c r="S784">
        <v>1</v>
      </c>
      <c r="T784" t="s">
        <v>58</v>
      </c>
      <c r="U784" t="s">
        <v>59</v>
      </c>
      <c r="V784" s="3">
        <v>0.7</v>
      </c>
      <c r="W784" s="2">
        <v>0</v>
      </c>
      <c r="X784">
        <v>0</v>
      </c>
      <c r="Y784" t="s">
        <v>60</v>
      </c>
      <c r="Z784" t="s">
        <v>61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8.0500000000000007</v>
      </c>
      <c r="AN784" s="2">
        <v>8.0500000000000007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45957</v>
      </c>
      <c r="B785" t="s">
        <v>48</v>
      </c>
      <c r="C785">
        <v>649163</v>
      </c>
      <c r="D785">
        <v>2026701618</v>
      </c>
      <c r="E785" t="s">
        <v>593</v>
      </c>
      <c r="F785" t="s">
        <v>90</v>
      </c>
      <c r="G785" t="s">
        <v>51</v>
      </c>
      <c r="H785" t="s">
        <v>69</v>
      </c>
      <c r="I785" t="s">
        <v>53</v>
      </c>
      <c r="J785" t="s">
        <v>54</v>
      </c>
      <c r="K785">
        <v>753748</v>
      </c>
      <c r="L785" t="s">
        <v>65</v>
      </c>
      <c r="M785" t="s">
        <v>66</v>
      </c>
      <c r="N785" t="s">
        <v>57</v>
      </c>
      <c r="O785" s="1">
        <v>45689</v>
      </c>
      <c r="Q785" s="1">
        <v>45992</v>
      </c>
      <c r="R785" s="2">
        <v>212.26</v>
      </c>
      <c r="S785">
        <v>1</v>
      </c>
      <c r="T785" t="s">
        <v>58</v>
      </c>
      <c r="U785" t="s">
        <v>59</v>
      </c>
      <c r="V785" s="3">
        <v>0.7</v>
      </c>
      <c r="W785" s="2">
        <v>0</v>
      </c>
      <c r="X785">
        <v>0</v>
      </c>
      <c r="Y785" t="s">
        <v>60</v>
      </c>
      <c r="Z785" t="s">
        <v>61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148.58000000000001</v>
      </c>
      <c r="AN785" s="2">
        <v>148.58000000000001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45957</v>
      </c>
      <c r="B786" t="s">
        <v>48</v>
      </c>
      <c r="C786">
        <v>649163</v>
      </c>
      <c r="D786">
        <v>2026703544</v>
      </c>
      <c r="E786" t="s">
        <v>140</v>
      </c>
      <c r="F786" t="s">
        <v>485</v>
      </c>
      <c r="G786" t="s">
        <v>51</v>
      </c>
      <c r="H786" t="s">
        <v>69</v>
      </c>
      <c r="I786" t="s">
        <v>53</v>
      </c>
      <c r="J786" t="s">
        <v>54</v>
      </c>
      <c r="K786">
        <v>766747</v>
      </c>
      <c r="L786" t="s">
        <v>97</v>
      </c>
      <c r="M786" t="s">
        <v>98</v>
      </c>
      <c r="N786" t="s">
        <v>57</v>
      </c>
      <c r="O786" s="1">
        <v>45689</v>
      </c>
      <c r="Q786" s="1">
        <v>45992</v>
      </c>
      <c r="R786" s="2">
        <v>169.06</v>
      </c>
      <c r="S786">
        <v>1</v>
      </c>
      <c r="T786" t="s">
        <v>58</v>
      </c>
      <c r="U786" t="s">
        <v>59</v>
      </c>
      <c r="V786" s="3">
        <v>0.7</v>
      </c>
      <c r="W786" s="2">
        <v>0</v>
      </c>
      <c r="X786">
        <v>0</v>
      </c>
      <c r="Y786" t="s">
        <v>60</v>
      </c>
      <c r="Z786" t="s">
        <v>61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118.34</v>
      </c>
      <c r="AN786" s="2">
        <v>118.34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45957</v>
      </c>
      <c r="B787" t="s">
        <v>48</v>
      </c>
      <c r="C787">
        <v>649163</v>
      </c>
      <c r="D787">
        <v>2026718142</v>
      </c>
      <c r="E787" t="s">
        <v>231</v>
      </c>
      <c r="F787" t="s">
        <v>485</v>
      </c>
      <c r="G787" t="s">
        <v>51</v>
      </c>
      <c r="H787" t="s">
        <v>69</v>
      </c>
      <c r="I787" t="s">
        <v>53</v>
      </c>
      <c r="J787" t="s">
        <v>54</v>
      </c>
      <c r="K787">
        <v>768271</v>
      </c>
      <c r="L787" t="s">
        <v>973</v>
      </c>
      <c r="M787" t="s">
        <v>413</v>
      </c>
      <c r="N787" t="s">
        <v>57</v>
      </c>
      <c r="O787" s="1">
        <v>45689</v>
      </c>
      <c r="Q787" s="1">
        <v>45992</v>
      </c>
      <c r="R787" s="2">
        <v>284.54000000000002</v>
      </c>
      <c r="S787">
        <v>1</v>
      </c>
      <c r="T787" t="s">
        <v>58</v>
      </c>
      <c r="U787" t="s">
        <v>59</v>
      </c>
      <c r="V787" s="3">
        <v>0.7</v>
      </c>
      <c r="W787" s="2">
        <v>0</v>
      </c>
      <c r="X787">
        <v>0</v>
      </c>
      <c r="Y787" t="s">
        <v>60</v>
      </c>
      <c r="Z787" t="s">
        <v>61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199.18</v>
      </c>
      <c r="AN787" s="2">
        <v>199.18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45957</v>
      </c>
      <c r="B788" t="s">
        <v>48</v>
      </c>
      <c r="C788">
        <v>649163</v>
      </c>
      <c r="D788">
        <v>2026728416</v>
      </c>
      <c r="E788" t="s">
        <v>864</v>
      </c>
      <c r="F788" t="s">
        <v>865</v>
      </c>
      <c r="G788" t="s">
        <v>51</v>
      </c>
      <c r="H788" t="s">
        <v>69</v>
      </c>
      <c r="I788" t="s">
        <v>53</v>
      </c>
      <c r="J788" t="s">
        <v>54</v>
      </c>
      <c r="K788">
        <v>822723</v>
      </c>
      <c r="L788" t="s">
        <v>151</v>
      </c>
      <c r="M788" t="s">
        <v>152</v>
      </c>
      <c r="N788" t="s">
        <v>57</v>
      </c>
      <c r="O788" s="1">
        <v>45689</v>
      </c>
      <c r="Q788" s="1">
        <v>45992</v>
      </c>
      <c r="R788" s="2">
        <v>126.92</v>
      </c>
      <c r="S788">
        <v>1</v>
      </c>
      <c r="T788" t="s">
        <v>58</v>
      </c>
      <c r="U788" t="s">
        <v>59</v>
      </c>
      <c r="V788" s="3">
        <v>0.7</v>
      </c>
      <c r="W788" s="2">
        <v>0</v>
      </c>
      <c r="X788">
        <v>0</v>
      </c>
      <c r="Y788" t="s">
        <v>60</v>
      </c>
      <c r="Z788" t="s">
        <v>61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88.84</v>
      </c>
      <c r="AN788" s="2">
        <v>88.84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45957</v>
      </c>
      <c r="B789" t="s">
        <v>48</v>
      </c>
      <c r="C789">
        <v>649163</v>
      </c>
      <c r="D789">
        <v>2026730179</v>
      </c>
      <c r="E789" t="s">
        <v>983</v>
      </c>
      <c r="F789" t="s">
        <v>485</v>
      </c>
      <c r="G789" t="s">
        <v>51</v>
      </c>
      <c r="H789" t="s">
        <v>261</v>
      </c>
      <c r="I789" t="s">
        <v>53</v>
      </c>
      <c r="J789" t="s">
        <v>54</v>
      </c>
      <c r="K789">
        <v>673059</v>
      </c>
      <c r="L789" t="s">
        <v>55</v>
      </c>
      <c r="M789" t="s">
        <v>56</v>
      </c>
      <c r="N789" t="s">
        <v>57</v>
      </c>
      <c r="O789" s="1">
        <v>45689</v>
      </c>
      <c r="Q789" s="1">
        <v>45992</v>
      </c>
      <c r="R789" s="2">
        <v>158.44999999999999</v>
      </c>
      <c r="S789">
        <v>1</v>
      </c>
      <c r="T789" t="s">
        <v>58</v>
      </c>
      <c r="U789" t="s">
        <v>59</v>
      </c>
      <c r="V789" s="3">
        <v>0.7</v>
      </c>
      <c r="W789" s="2">
        <v>0</v>
      </c>
      <c r="X789">
        <v>0</v>
      </c>
      <c r="Y789" t="s">
        <v>60</v>
      </c>
      <c r="Z789" t="s">
        <v>61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110.92</v>
      </c>
      <c r="AN789" s="2">
        <v>110.92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45957</v>
      </c>
      <c r="B790" t="s">
        <v>48</v>
      </c>
      <c r="C790">
        <v>649163</v>
      </c>
      <c r="D790">
        <v>2026734342</v>
      </c>
      <c r="E790" t="s">
        <v>594</v>
      </c>
      <c r="F790" t="s">
        <v>595</v>
      </c>
      <c r="G790" t="s">
        <v>51</v>
      </c>
      <c r="H790" t="s">
        <v>52</v>
      </c>
      <c r="I790" t="s">
        <v>53</v>
      </c>
      <c r="J790" t="s">
        <v>54</v>
      </c>
      <c r="K790">
        <v>768887</v>
      </c>
      <c r="L790" t="s">
        <v>289</v>
      </c>
      <c r="M790" t="s">
        <v>290</v>
      </c>
      <c r="N790" t="s">
        <v>57</v>
      </c>
      <c r="O790" s="1">
        <v>45689</v>
      </c>
      <c r="Q790" s="1">
        <v>45992</v>
      </c>
      <c r="R790" s="2">
        <v>57.27</v>
      </c>
      <c r="S790">
        <v>1</v>
      </c>
      <c r="T790" t="s">
        <v>58</v>
      </c>
      <c r="U790" t="s">
        <v>59</v>
      </c>
      <c r="V790" s="3">
        <v>0.7</v>
      </c>
      <c r="W790" s="2">
        <v>0</v>
      </c>
      <c r="X790">
        <v>0</v>
      </c>
      <c r="Y790" t="s">
        <v>60</v>
      </c>
      <c r="Z790" t="s">
        <v>61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40.090000000000003</v>
      </c>
      <c r="AN790" s="2">
        <v>40.090000000000003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45957</v>
      </c>
      <c r="B791" t="s">
        <v>48</v>
      </c>
      <c r="C791">
        <v>649163</v>
      </c>
      <c r="D791">
        <v>2026735220</v>
      </c>
      <c r="E791" t="s">
        <v>596</v>
      </c>
      <c r="F791" t="s">
        <v>597</v>
      </c>
      <c r="G791" t="s">
        <v>51</v>
      </c>
      <c r="H791" t="s">
        <v>92</v>
      </c>
      <c r="I791" t="s">
        <v>53</v>
      </c>
      <c r="J791" t="s">
        <v>54</v>
      </c>
      <c r="K791">
        <v>816021</v>
      </c>
      <c r="L791" t="s">
        <v>93</v>
      </c>
      <c r="M791" t="s">
        <v>94</v>
      </c>
      <c r="N791" t="s">
        <v>57</v>
      </c>
      <c r="O791" s="1">
        <v>45689</v>
      </c>
      <c r="Q791" s="1">
        <v>45992</v>
      </c>
      <c r="R791" s="2">
        <v>9.1</v>
      </c>
      <c r="S791">
        <v>1</v>
      </c>
      <c r="T791" t="s">
        <v>58</v>
      </c>
      <c r="U791" t="s">
        <v>59</v>
      </c>
      <c r="V791" s="3">
        <v>0.7</v>
      </c>
      <c r="W791" s="2">
        <v>0</v>
      </c>
      <c r="X791">
        <v>0</v>
      </c>
      <c r="Y791" t="s">
        <v>60</v>
      </c>
      <c r="Z791" t="s">
        <v>61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6.37</v>
      </c>
      <c r="AN791" s="2">
        <v>6.37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45957</v>
      </c>
      <c r="B792" t="s">
        <v>48</v>
      </c>
      <c r="C792">
        <v>649163</v>
      </c>
      <c r="D792">
        <v>2026755178</v>
      </c>
      <c r="E792" t="s">
        <v>867</v>
      </c>
      <c r="F792" t="s">
        <v>868</v>
      </c>
      <c r="G792" t="s">
        <v>51</v>
      </c>
      <c r="H792" t="s">
        <v>247</v>
      </c>
      <c r="I792" t="s">
        <v>53</v>
      </c>
      <c r="J792" t="s">
        <v>54</v>
      </c>
      <c r="K792">
        <v>673059</v>
      </c>
      <c r="L792" t="s">
        <v>55</v>
      </c>
      <c r="M792" t="s">
        <v>56</v>
      </c>
      <c r="N792" t="s">
        <v>57</v>
      </c>
      <c r="O792" s="1">
        <v>45689</v>
      </c>
      <c r="Q792" s="1">
        <v>45992</v>
      </c>
      <c r="R792" s="2">
        <v>142.85</v>
      </c>
      <c r="S792">
        <v>1</v>
      </c>
      <c r="T792" t="s">
        <v>58</v>
      </c>
      <c r="U792" t="s">
        <v>59</v>
      </c>
      <c r="V792" s="3">
        <v>0.7</v>
      </c>
      <c r="W792" s="2">
        <v>0</v>
      </c>
      <c r="X792">
        <v>0</v>
      </c>
      <c r="Y792" t="s">
        <v>60</v>
      </c>
      <c r="Z792" t="s">
        <v>61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100</v>
      </c>
      <c r="AN792" s="2">
        <v>100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45957</v>
      </c>
      <c r="B793" t="s">
        <v>48</v>
      </c>
      <c r="C793">
        <v>649163</v>
      </c>
      <c r="D793">
        <v>2026756190</v>
      </c>
      <c r="E793" t="s">
        <v>984</v>
      </c>
      <c r="F793" t="s">
        <v>312</v>
      </c>
      <c r="G793" t="s">
        <v>51</v>
      </c>
      <c r="H793" t="s">
        <v>145</v>
      </c>
      <c r="I793" t="s">
        <v>53</v>
      </c>
      <c r="J793" t="s">
        <v>54</v>
      </c>
      <c r="K793">
        <v>823350</v>
      </c>
      <c r="L793" t="s">
        <v>70</v>
      </c>
      <c r="M793" t="s">
        <v>183</v>
      </c>
      <c r="N793" t="s">
        <v>57</v>
      </c>
      <c r="O793" s="1">
        <v>45689</v>
      </c>
      <c r="Q793" s="1">
        <v>45992</v>
      </c>
      <c r="R793" s="2">
        <v>67.17</v>
      </c>
      <c r="S793">
        <v>1</v>
      </c>
      <c r="T793" t="s">
        <v>58</v>
      </c>
      <c r="U793" t="s">
        <v>59</v>
      </c>
      <c r="V793" s="3">
        <v>0.7</v>
      </c>
      <c r="W793" s="2">
        <v>0</v>
      </c>
      <c r="X793">
        <v>0</v>
      </c>
      <c r="Y793" t="s">
        <v>60</v>
      </c>
      <c r="Z793" t="s">
        <v>61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47.02</v>
      </c>
      <c r="AN793" s="2">
        <v>47.02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45957</v>
      </c>
      <c r="B794" t="s">
        <v>48</v>
      </c>
      <c r="C794">
        <v>649163</v>
      </c>
      <c r="D794">
        <v>2026766427</v>
      </c>
      <c r="E794" t="s">
        <v>873</v>
      </c>
      <c r="F794" t="s">
        <v>874</v>
      </c>
      <c r="G794" t="s">
        <v>51</v>
      </c>
      <c r="H794" t="s">
        <v>69</v>
      </c>
      <c r="I794" t="s">
        <v>53</v>
      </c>
      <c r="J794" t="s">
        <v>54</v>
      </c>
      <c r="K794">
        <v>792847</v>
      </c>
      <c r="L794" t="s">
        <v>371</v>
      </c>
      <c r="M794" t="s">
        <v>372</v>
      </c>
      <c r="N794" t="s">
        <v>57</v>
      </c>
      <c r="O794" s="1">
        <v>45689</v>
      </c>
      <c r="Q794" s="1">
        <v>45992</v>
      </c>
      <c r="R794" s="2">
        <v>145.41999999999999</v>
      </c>
      <c r="S794">
        <v>1</v>
      </c>
      <c r="T794" t="s">
        <v>58</v>
      </c>
      <c r="U794" t="s">
        <v>59</v>
      </c>
      <c r="V794" s="3">
        <v>0.7</v>
      </c>
      <c r="W794" s="2">
        <v>0</v>
      </c>
      <c r="X794">
        <v>0</v>
      </c>
      <c r="Y794" t="s">
        <v>60</v>
      </c>
      <c r="Z794" t="s">
        <v>61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101.79</v>
      </c>
      <c r="AN794" s="2">
        <v>101.79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45957</v>
      </c>
      <c r="B795" t="s">
        <v>48</v>
      </c>
      <c r="C795">
        <v>649163</v>
      </c>
      <c r="D795">
        <v>2026800264</v>
      </c>
      <c r="E795" t="s">
        <v>985</v>
      </c>
      <c r="F795" t="s">
        <v>986</v>
      </c>
      <c r="G795" t="s">
        <v>51</v>
      </c>
      <c r="H795" t="s">
        <v>69</v>
      </c>
      <c r="I795" t="s">
        <v>53</v>
      </c>
      <c r="J795" t="s">
        <v>54</v>
      </c>
      <c r="K795">
        <v>823350</v>
      </c>
      <c r="L795" t="s">
        <v>70</v>
      </c>
      <c r="M795" t="s">
        <v>183</v>
      </c>
      <c r="N795" t="s">
        <v>57</v>
      </c>
      <c r="O795" s="1">
        <v>45689</v>
      </c>
      <c r="Q795" s="1">
        <v>45992</v>
      </c>
      <c r="R795" s="2">
        <v>67.900000000000006</v>
      </c>
      <c r="S795">
        <v>1</v>
      </c>
      <c r="T795" t="s">
        <v>58</v>
      </c>
      <c r="U795" t="s">
        <v>59</v>
      </c>
      <c r="V795" s="3">
        <v>0.7</v>
      </c>
      <c r="W795" s="2">
        <v>0</v>
      </c>
      <c r="X795">
        <v>0</v>
      </c>
      <c r="Y795" t="s">
        <v>60</v>
      </c>
      <c r="Z795" t="s">
        <v>61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47.53</v>
      </c>
      <c r="AN795" s="2">
        <v>47.53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45957</v>
      </c>
      <c r="B796" t="s">
        <v>48</v>
      </c>
      <c r="C796">
        <v>649163</v>
      </c>
      <c r="D796">
        <v>2026805532</v>
      </c>
      <c r="E796" t="s">
        <v>680</v>
      </c>
      <c r="F796" t="s">
        <v>681</v>
      </c>
      <c r="G796" t="s">
        <v>51</v>
      </c>
      <c r="H796" t="s">
        <v>165</v>
      </c>
      <c r="I796" t="s">
        <v>53</v>
      </c>
      <c r="J796" t="s">
        <v>54</v>
      </c>
      <c r="K796">
        <v>650218</v>
      </c>
      <c r="L796" t="s">
        <v>357</v>
      </c>
      <c r="M796" t="s">
        <v>358</v>
      </c>
      <c r="N796" t="s">
        <v>57</v>
      </c>
      <c r="O796" s="1">
        <v>45689</v>
      </c>
      <c r="Q796" s="1">
        <v>45992</v>
      </c>
      <c r="R796" s="2">
        <v>22</v>
      </c>
      <c r="S796">
        <v>1</v>
      </c>
      <c r="T796" t="s">
        <v>58</v>
      </c>
      <c r="U796" t="s">
        <v>59</v>
      </c>
      <c r="V796" s="3">
        <v>0.7</v>
      </c>
      <c r="W796" s="2">
        <v>0</v>
      </c>
      <c r="X796">
        <v>0</v>
      </c>
      <c r="Y796" t="s">
        <v>60</v>
      </c>
      <c r="Z796" t="s">
        <v>61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15.4</v>
      </c>
      <c r="AN796" s="2">
        <v>15.4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45957</v>
      </c>
      <c r="B797" t="s">
        <v>48</v>
      </c>
      <c r="C797">
        <v>649163</v>
      </c>
      <c r="D797">
        <v>2026806627</v>
      </c>
      <c r="E797" t="s">
        <v>876</v>
      </c>
      <c r="F797" t="s">
        <v>647</v>
      </c>
      <c r="G797" t="s">
        <v>51</v>
      </c>
      <c r="H797" t="s">
        <v>190</v>
      </c>
      <c r="I797" t="s">
        <v>53</v>
      </c>
      <c r="J797" t="s">
        <v>54</v>
      </c>
      <c r="K797">
        <v>812994</v>
      </c>
      <c r="L797" t="s">
        <v>228</v>
      </c>
      <c r="M797" t="s">
        <v>229</v>
      </c>
      <c r="N797" t="s">
        <v>57</v>
      </c>
      <c r="O797" s="1">
        <v>45689</v>
      </c>
      <c r="Q797" s="1">
        <v>45992</v>
      </c>
      <c r="R797" s="2">
        <v>26.32</v>
      </c>
      <c r="S797">
        <v>1</v>
      </c>
      <c r="T797" t="s">
        <v>58</v>
      </c>
      <c r="U797" t="s">
        <v>59</v>
      </c>
      <c r="V797" s="3">
        <v>0.7</v>
      </c>
      <c r="W797" s="2">
        <v>0</v>
      </c>
      <c r="X797">
        <v>0</v>
      </c>
      <c r="Y797" t="s">
        <v>60</v>
      </c>
      <c r="Z797" t="s">
        <v>61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18.420000000000002</v>
      </c>
      <c r="AN797" s="2">
        <v>18.420000000000002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45957</v>
      </c>
      <c r="B798" t="s">
        <v>48</v>
      </c>
      <c r="C798">
        <v>649163</v>
      </c>
      <c r="D798">
        <v>2026806868</v>
      </c>
      <c r="E798" t="s">
        <v>987</v>
      </c>
      <c r="F798" t="s">
        <v>918</v>
      </c>
      <c r="G798" t="s">
        <v>51</v>
      </c>
      <c r="H798" t="s">
        <v>69</v>
      </c>
      <c r="I798" t="s">
        <v>53</v>
      </c>
      <c r="J798" t="s">
        <v>54</v>
      </c>
      <c r="K798">
        <v>823350</v>
      </c>
      <c r="L798" t="s">
        <v>70</v>
      </c>
      <c r="M798" t="s">
        <v>183</v>
      </c>
      <c r="N798" t="s">
        <v>57</v>
      </c>
      <c r="O798" s="1">
        <v>45689</v>
      </c>
      <c r="Q798" s="1">
        <v>45992</v>
      </c>
      <c r="R798" s="2">
        <v>67.900000000000006</v>
      </c>
      <c r="S798">
        <v>1</v>
      </c>
      <c r="T798" t="s">
        <v>58</v>
      </c>
      <c r="U798" t="s">
        <v>59</v>
      </c>
      <c r="V798" s="3">
        <v>0.7</v>
      </c>
      <c r="W798" s="2">
        <v>0</v>
      </c>
      <c r="X798">
        <v>0</v>
      </c>
      <c r="Y798" t="s">
        <v>60</v>
      </c>
      <c r="Z798" t="s">
        <v>61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47.53</v>
      </c>
      <c r="AN798" s="2">
        <v>47.53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45957</v>
      </c>
      <c r="B799" t="s">
        <v>48</v>
      </c>
      <c r="C799">
        <v>649163</v>
      </c>
      <c r="D799">
        <v>2026807604</v>
      </c>
      <c r="E799" t="s">
        <v>598</v>
      </c>
      <c r="F799" t="s">
        <v>599</v>
      </c>
      <c r="G799" t="s">
        <v>51</v>
      </c>
      <c r="H799" t="s">
        <v>247</v>
      </c>
      <c r="I799" t="s">
        <v>53</v>
      </c>
      <c r="J799" t="s">
        <v>119</v>
      </c>
      <c r="K799">
        <v>673059</v>
      </c>
      <c r="L799" t="s">
        <v>55</v>
      </c>
      <c r="M799" t="s">
        <v>56</v>
      </c>
      <c r="N799" t="s">
        <v>57</v>
      </c>
      <c r="O799" s="1">
        <v>45689</v>
      </c>
      <c r="Q799" s="1">
        <v>45992</v>
      </c>
      <c r="R799" s="2">
        <v>23.39</v>
      </c>
      <c r="S799">
        <v>1</v>
      </c>
      <c r="T799" t="s">
        <v>58</v>
      </c>
      <c r="U799" t="s">
        <v>59</v>
      </c>
      <c r="V799" s="3">
        <v>0.7</v>
      </c>
      <c r="W799" s="2">
        <v>0</v>
      </c>
      <c r="X799">
        <v>0</v>
      </c>
      <c r="Y799" t="s">
        <v>60</v>
      </c>
      <c r="Z799" t="s">
        <v>61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16.37</v>
      </c>
      <c r="AN799" s="2">
        <v>16.37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45957</v>
      </c>
      <c r="B800" t="s">
        <v>48</v>
      </c>
      <c r="C800">
        <v>649163</v>
      </c>
      <c r="D800">
        <v>2026807605</v>
      </c>
      <c r="E800" t="s">
        <v>598</v>
      </c>
      <c r="F800" t="s">
        <v>599</v>
      </c>
      <c r="G800" t="s">
        <v>51</v>
      </c>
      <c r="H800" t="s">
        <v>247</v>
      </c>
      <c r="I800" t="s">
        <v>53</v>
      </c>
      <c r="J800" t="s">
        <v>54</v>
      </c>
      <c r="K800">
        <v>673059</v>
      </c>
      <c r="L800" t="s">
        <v>55</v>
      </c>
      <c r="M800" t="s">
        <v>56</v>
      </c>
      <c r="N800" t="s">
        <v>57</v>
      </c>
      <c r="O800" s="1">
        <v>45689</v>
      </c>
      <c r="Q800" s="1">
        <v>45992</v>
      </c>
      <c r="R800" s="2">
        <v>77.930000000000007</v>
      </c>
      <c r="S800">
        <v>1</v>
      </c>
      <c r="T800" t="s">
        <v>58</v>
      </c>
      <c r="U800" t="s">
        <v>59</v>
      </c>
      <c r="V800" s="3">
        <v>0.7</v>
      </c>
      <c r="W800" s="2">
        <v>0</v>
      </c>
      <c r="X800">
        <v>0</v>
      </c>
      <c r="Y800" t="s">
        <v>60</v>
      </c>
      <c r="Z800" t="s">
        <v>61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54.55</v>
      </c>
      <c r="AN800" s="2">
        <v>54.55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45957</v>
      </c>
      <c r="B801" t="s">
        <v>48</v>
      </c>
      <c r="C801">
        <v>649163</v>
      </c>
      <c r="D801">
        <v>2026809780</v>
      </c>
      <c r="E801" t="s">
        <v>877</v>
      </c>
      <c r="F801" t="s">
        <v>878</v>
      </c>
      <c r="G801" t="s">
        <v>51</v>
      </c>
      <c r="H801" t="s">
        <v>69</v>
      </c>
      <c r="I801" t="s">
        <v>53</v>
      </c>
      <c r="J801" t="s">
        <v>54</v>
      </c>
      <c r="K801">
        <v>824062</v>
      </c>
      <c r="L801" t="s">
        <v>74</v>
      </c>
      <c r="M801" t="s">
        <v>75</v>
      </c>
      <c r="N801" t="s">
        <v>57</v>
      </c>
      <c r="O801" s="1">
        <v>45689</v>
      </c>
      <c r="Q801" s="1">
        <v>45992</v>
      </c>
      <c r="R801" s="2">
        <v>257.39999999999998</v>
      </c>
      <c r="S801">
        <v>1</v>
      </c>
      <c r="T801" t="s">
        <v>58</v>
      </c>
      <c r="U801" t="s">
        <v>59</v>
      </c>
      <c r="V801" s="3">
        <v>0.7</v>
      </c>
      <c r="W801" s="2">
        <v>0</v>
      </c>
      <c r="X801">
        <v>0</v>
      </c>
      <c r="Y801" t="s">
        <v>60</v>
      </c>
      <c r="Z801" t="s">
        <v>61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180.18</v>
      </c>
      <c r="AN801" s="2">
        <v>180.18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45957</v>
      </c>
      <c r="B802" t="s">
        <v>48</v>
      </c>
      <c r="C802">
        <v>649163</v>
      </c>
      <c r="D802">
        <v>2026811301</v>
      </c>
      <c r="E802" t="s">
        <v>988</v>
      </c>
      <c r="F802" t="s">
        <v>66</v>
      </c>
      <c r="G802" t="s">
        <v>51</v>
      </c>
      <c r="H802" t="s">
        <v>69</v>
      </c>
      <c r="I802" t="s">
        <v>53</v>
      </c>
      <c r="J802" t="s">
        <v>54</v>
      </c>
      <c r="K802">
        <v>823350</v>
      </c>
      <c r="L802" t="s">
        <v>70</v>
      </c>
      <c r="M802" t="s">
        <v>183</v>
      </c>
      <c r="N802" t="s">
        <v>57</v>
      </c>
      <c r="O802" s="1">
        <v>45689</v>
      </c>
      <c r="Q802" s="1">
        <v>45992</v>
      </c>
      <c r="R802" s="2">
        <v>190.44</v>
      </c>
      <c r="S802">
        <v>1</v>
      </c>
      <c r="T802" t="s">
        <v>58</v>
      </c>
      <c r="U802" t="s">
        <v>59</v>
      </c>
      <c r="V802" s="3">
        <v>0.7</v>
      </c>
      <c r="W802" s="2">
        <v>0</v>
      </c>
      <c r="X802">
        <v>0</v>
      </c>
      <c r="Y802" t="s">
        <v>60</v>
      </c>
      <c r="Z802" t="s">
        <v>61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133.31</v>
      </c>
      <c r="AN802" s="2">
        <v>133.31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45957</v>
      </c>
      <c r="B803" t="s">
        <v>48</v>
      </c>
      <c r="C803">
        <v>649163</v>
      </c>
      <c r="D803">
        <v>2026812432</v>
      </c>
      <c r="E803" t="s">
        <v>600</v>
      </c>
      <c r="F803" t="s">
        <v>601</v>
      </c>
      <c r="G803" t="s">
        <v>51</v>
      </c>
      <c r="H803" t="s">
        <v>92</v>
      </c>
      <c r="I803" t="s">
        <v>53</v>
      </c>
      <c r="J803" t="s">
        <v>54</v>
      </c>
      <c r="K803">
        <v>816021</v>
      </c>
      <c r="L803" t="s">
        <v>93</v>
      </c>
      <c r="M803" t="s">
        <v>94</v>
      </c>
      <c r="N803" t="s">
        <v>57</v>
      </c>
      <c r="O803" s="1">
        <v>45690</v>
      </c>
      <c r="Q803" s="1">
        <v>45993</v>
      </c>
      <c r="R803" s="2">
        <v>29.2</v>
      </c>
      <c r="S803">
        <v>1</v>
      </c>
      <c r="T803" t="s">
        <v>58</v>
      </c>
      <c r="U803" t="s">
        <v>59</v>
      </c>
      <c r="V803" s="3">
        <v>0.7</v>
      </c>
      <c r="W803" s="2">
        <v>0</v>
      </c>
      <c r="X803">
        <v>0</v>
      </c>
      <c r="Y803" t="s">
        <v>60</v>
      </c>
      <c r="Z803" t="s">
        <v>61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20.440000000000001</v>
      </c>
      <c r="AN803" s="2">
        <v>20.440000000000001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45957</v>
      </c>
      <c r="B804" t="s">
        <v>48</v>
      </c>
      <c r="C804">
        <v>649163</v>
      </c>
      <c r="D804">
        <v>2026817012</v>
      </c>
      <c r="E804" t="s">
        <v>602</v>
      </c>
      <c r="F804" t="s">
        <v>603</v>
      </c>
      <c r="G804" t="s">
        <v>51</v>
      </c>
      <c r="H804" t="s">
        <v>92</v>
      </c>
      <c r="I804" t="s">
        <v>53</v>
      </c>
      <c r="J804" t="s">
        <v>54</v>
      </c>
      <c r="K804">
        <v>796984</v>
      </c>
      <c r="L804" t="s">
        <v>604</v>
      </c>
      <c r="M804" t="s">
        <v>110</v>
      </c>
      <c r="N804" t="s">
        <v>57</v>
      </c>
      <c r="O804" s="1">
        <v>45689</v>
      </c>
      <c r="Q804" s="1">
        <v>45992</v>
      </c>
      <c r="R804" s="2">
        <v>9.1</v>
      </c>
      <c r="S804">
        <v>1</v>
      </c>
      <c r="T804" t="s">
        <v>58</v>
      </c>
      <c r="U804" t="s">
        <v>59</v>
      </c>
      <c r="V804" s="3">
        <v>0.7</v>
      </c>
      <c r="W804" s="2">
        <v>0</v>
      </c>
      <c r="X804">
        <v>0</v>
      </c>
      <c r="Y804" t="s">
        <v>60</v>
      </c>
      <c r="Z804" t="s">
        <v>61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6.37</v>
      </c>
      <c r="AN804" s="2">
        <v>6.37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45957</v>
      </c>
      <c r="B805" t="s">
        <v>48</v>
      </c>
      <c r="C805">
        <v>649163</v>
      </c>
      <c r="D805">
        <v>2026828234</v>
      </c>
      <c r="E805" t="s">
        <v>989</v>
      </c>
      <c r="F805" t="s">
        <v>990</v>
      </c>
      <c r="G805" t="s">
        <v>51</v>
      </c>
      <c r="H805" t="s">
        <v>69</v>
      </c>
      <c r="I805" t="s">
        <v>53</v>
      </c>
      <c r="J805" t="s">
        <v>54</v>
      </c>
      <c r="K805">
        <v>824062</v>
      </c>
      <c r="L805" t="s">
        <v>74</v>
      </c>
      <c r="M805" t="s">
        <v>75</v>
      </c>
      <c r="N805" t="s">
        <v>57</v>
      </c>
      <c r="O805" s="1">
        <v>45689</v>
      </c>
      <c r="Q805" s="1">
        <v>45992</v>
      </c>
      <c r="R805" s="2">
        <v>62.8</v>
      </c>
      <c r="S805">
        <v>1</v>
      </c>
      <c r="T805" t="s">
        <v>58</v>
      </c>
      <c r="U805" t="s">
        <v>59</v>
      </c>
      <c r="V805" s="3">
        <v>0.7</v>
      </c>
      <c r="W805" s="2">
        <v>0</v>
      </c>
      <c r="X805">
        <v>0</v>
      </c>
      <c r="Y805" t="s">
        <v>60</v>
      </c>
      <c r="Z805" t="s">
        <v>61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43.96</v>
      </c>
      <c r="AN805" s="2">
        <v>43.96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45957</v>
      </c>
      <c r="B806" t="s">
        <v>48</v>
      </c>
      <c r="C806">
        <v>649163</v>
      </c>
      <c r="D806">
        <v>2026836001</v>
      </c>
      <c r="E806" t="s">
        <v>879</v>
      </c>
      <c r="F806" t="s">
        <v>880</v>
      </c>
      <c r="G806" t="s">
        <v>51</v>
      </c>
      <c r="H806" t="s">
        <v>69</v>
      </c>
      <c r="I806" t="s">
        <v>53</v>
      </c>
      <c r="J806" t="s">
        <v>54</v>
      </c>
      <c r="K806">
        <v>812782</v>
      </c>
      <c r="L806" t="s">
        <v>114</v>
      </c>
      <c r="M806" t="s">
        <v>115</v>
      </c>
      <c r="N806" t="s">
        <v>57</v>
      </c>
      <c r="O806" s="1">
        <v>45689</v>
      </c>
      <c r="Q806" s="1">
        <v>45992</v>
      </c>
      <c r="R806" s="2">
        <v>58.24</v>
      </c>
      <c r="S806">
        <v>1</v>
      </c>
      <c r="T806" t="s">
        <v>58</v>
      </c>
      <c r="U806" t="s">
        <v>59</v>
      </c>
      <c r="V806" s="3">
        <v>0.7</v>
      </c>
      <c r="W806" s="2">
        <v>0</v>
      </c>
      <c r="X806">
        <v>0</v>
      </c>
      <c r="Y806" t="s">
        <v>60</v>
      </c>
      <c r="Z806" t="s">
        <v>61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40.770000000000003</v>
      </c>
      <c r="AN806" s="2">
        <v>40.770000000000003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45957</v>
      </c>
      <c r="B807" t="s">
        <v>48</v>
      </c>
      <c r="C807">
        <v>649163</v>
      </c>
      <c r="D807">
        <v>2026836407</v>
      </c>
      <c r="E807" t="s">
        <v>991</v>
      </c>
      <c r="F807" t="s">
        <v>992</v>
      </c>
      <c r="G807" t="s">
        <v>51</v>
      </c>
      <c r="H807" t="s">
        <v>555</v>
      </c>
      <c r="I807" t="s">
        <v>53</v>
      </c>
      <c r="J807" t="s">
        <v>54</v>
      </c>
      <c r="K807">
        <v>816021</v>
      </c>
      <c r="L807" t="s">
        <v>93</v>
      </c>
      <c r="M807" t="s">
        <v>94</v>
      </c>
      <c r="N807" t="s">
        <v>57</v>
      </c>
      <c r="O807" s="1">
        <v>45691</v>
      </c>
      <c r="Q807" s="1">
        <v>45994</v>
      </c>
      <c r="R807" s="2">
        <v>15.29</v>
      </c>
      <c r="S807">
        <v>1</v>
      </c>
      <c r="T807" t="s">
        <v>58</v>
      </c>
      <c r="U807" t="s">
        <v>59</v>
      </c>
      <c r="V807" s="3">
        <v>0.7</v>
      </c>
      <c r="W807" s="2">
        <v>0</v>
      </c>
      <c r="X807">
        <v>0</v>
      </c>
      <c r="Y807" t="s">
        <v>60</v>
      </c>
      <c r="Z807" t="s">
        <v>61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10.7</v>
      </c>
      <c r="AN807" s="2">
        <v>10.7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45957</v>
      </c>
      <c r="B808" t="s">
        <v>48</v>
      </c>
      <c r="C808">
        <v>649163</v>
      </c>
      <c r="D808">
        <v>2026838333</v>
      </c>
      <c r="E808" t="s">
        <v>881</v>
      </c>
      <c r="F808" t="s">
        <v>216</v>
      </c>
      <c r="G808" t="s">
        <v>51</v>
      </c>
      <c r="H808" t="s">
        <v>69</v>
      </c>
      <c r="I808" t="s">
        <v>53</v>
      </c>
      <c r="J808" t="s">
        <v>54</v>
      </c>
      <c r="K808">
        <v>814033</v>
      </c>
      <c r="L808" t="s">
        <v>147</v>
      </c>
      <c r="M808" t="s">
        <v>148</v>
      </c>
      <c r="N808" t="s">
        <v>57</v>
      </c>
      <c r="O808" s="1">
        <v>45689</v>
      </c>
      <c r="Q808" s="1">
        <v>45992</v>
      </c>
      <c r="R808" s="2">
        <v>248.47</v>
      </c>
      <c r="S808">
        <v>1</v>
      </c>
      <c r="T808" t="s">
        <v>58</v>
      </c>
      <c r="U808" t="s">
        <v>59</v>
      </c>
      <c r="V808" s="3">
        <v>0.7</v>
      </c>
      <c r="W808" s="2">
        <v>0</v>
      </c>
      <c r="X808">
        <v>0</v>
      </c>
      <c r="Y808" t="s">
        <v>60</v>
      </c>
      <c r="Z808" t="s">
        <v>61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173.93</v>
      </c>
      <c r="AN808" s="2">
        <v>173.93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45957</v>
      </c>
      <c r="B809" t="s">
        <v>48</v>
      </c>
      <c r="C809">
        <v>649163</v>
      </c>
      <c r="D809">
        <v>2026839646</v>
      </c>
      <c r="E809" t="s">
        <v>882</v>
      </c>
      <c r="F809" t="s">
        <v>417</v>
      </c>
      <c r="G809" t="s">
        <v>51</v>
      </c>
      <c r="H809" t="s">
        <v>145</v>
      </c>
      <c r="I809" t="s">
        <v>53</v>
      </c>
      <c r="J809" t="s">
        <v>54</v>
      </c>
      <c r="K809">
        <v>822723</v>
      </c>
      <c r="L809" t="s">
        <v>151</v>
      </c>
      <c r="M809" t="s">
        <v>152</v>
      </c>
      <c r="N809" t="s">
        <v>57</v>
      </c>
      <c r="O809" s="1">
        <v>45689</v>
      </c>
      <c r="Q809" s="1">
        <v>45992</v>
      </c>
      <c r="R809" s="2">
        <v>61.66</v>
      </c>
      <c r="S809">
        <v>1</v>
      </c>
      <c r="T809" t="s">
        <v>58</v>
      </c>
      <c r="U809" t="s">
        <v>59</v>
      </c>
      <c r="V809" s="3">
        <v>0.7</v>
      </c>
      <c r="W809" s="2">
        <v>0</v>
      </c>
      <c r="X809">
        <v>0</v>
      </c>
      <c r="Y809" t="s">
        <v>60</v>
      </c>
      <c r="Z809" t="s">
        <v>61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43.16</v>
      </c>
      <c r="AN809" s="2">
        <v>43.16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45957</v>
      </c>
      <c r="B810" t="s">
        <v>48</v>
      </c>
      <c r="C810">
        <v>649163</v>
      </c>
      <c r="D810">
        <v>2026857362</v>
      </c>
      <c r="E810" t="s">
        <v>993</v>
      </c>
      <c r="F810" t="s">
        <v>550</v>
      </c>
      <c r="G810" t="s">
        <v>51</v>
      </c>
      <c r="H810" t="s">
        <v>69</v>
      </c>
      <c r="I810" t="s">
        <v>53</v>
      </c>
      <c r="J810" t="s">
        <v>54</v>
      </c>
      <c r="K810">
        <v>823350</v>
      </c>
      <c r="L810" t="s">
        <v>70</v>
      </c>
      <c r="M810" t="s">
        <v>183</v>
      </c>
      <c r="N810" t="s">
        <v>57</v>
      </c>
      <c r="O810" s="1">
        <v>45689</v>
      </c>
      <c r="Q810" s="1">
        <v>45992</v>
      </c>
      <c r="R810" s="2">
        <v>148.32</v>
      </c>
      <c r="S810">
        <v>1</v>
      </c>
      <c r="T810" t="s">
        <v>58</v>
      </c>
      <c r="U810" t="s">
        <v>59</v>
      </c>
      <c r="V810" s="3">
        <v>0.7</v>
      </c>
      <c r="W810" s="2">
        <v>0</v>
      </c>
      <c r="X810">
        <v>0</v>
      </c>
      <c r="Y810" t="s">
        <v>60</v>
      </c>
      <c r="Z810" t="s">
        <v>61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103.82</v>
      </c>
      <c r="AN810" s="2">
        <v>103.82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45957</v>
      </c>
      <c r="B811" t="s">
        <v>48</v>
      </c>
      <c r="C811">
        <v>649163</v>
      </c>
      <c r="D811">
        <v>2026875934</v>
      </c>
      <c r="E811" t="s">
        <v>994</v>
      </c>
      <c r="F811" t="s">
        <v>995</v>
      </c>
      <c r="G811" t="s">
        <v>51</v>
      </c>
      <c r="H811" t="s">
        <v>69</v>
      </c>
      <c r="I811" t="s">
        <v>53</v>
      </c>
      <c r="J811" t="s">
        <v>54</v>
      </c>
      <c r="K811">
        <v>807212</v>
      </c>
      <c r="L811" t="s">
        <v>769</v>
      </c>
      <c r="M811" t="s">
        <v>770</v>
      </c>
      <c r="N811" t="s">
        <v>57</v>
      </c>
      <c r="O811" s="1">
        <v>45689</v>
      </c>
      <c r="Q811" s="1">
        <v>45992</v>
      </c>
      <c r="R811" s="2">
        <v>52</v>
      </c>
      <c r="S811">
        <v>1</v>
      </c>
      <c r="T811" t="s">
        <v>58</v>
      </c>
      <c r="U811" t="s">
        <v>59</v>
      </c>
      <c r="V811" s="3">
        <v>0.7</v>
      </c>
      <c r="W811" s="2">
        <v>0</v>
      </c>
      <c r="X811">
        <v>0</v>
      </c>
      <c r="Y811" t="s">
        <v>60</v>
      </c>
      <c r="Z811" t="s">
        <v>61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36.4</v>
      </c>
      <c r="AN811" s="2">
        <v>36.4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45957</v>
      </c>
      <c r="B812" t="s">
        <v>48</v>
      </c>
      <c r="C812">
        <v>649163</v>
      </c>
      <c r="D812">
        <v>2026878482</v>
      </c>
      <c r="E812" t="s">
        <v>996</v>
      </c>
      <c r="F812" t="s">
        <v>997</v>
      </c>
      <c r="G812" t="s">
        <v>51</v>
      </c>
      <c r="H812" t="s">
        <v>195</v>
      </c>
      <c r="I812" t="s">
        <v>53</v>
      </c>
      <c r="J812" t="s">
        <v>119</v>
      </c>
      <c r="K812">
        <v>649247</v>
      </c>
      <c r="L812" t="s">
        <v>321</v>
      </c>
      <c r="M812" t="s">
        <v>322</v>
      </c>
      <c r="N812" t="s">
        <v>57</v>
      </c>
      <c r="O812" s="1">
        <v>45689</v>
      </c>
      <c r="Q812" s="1">
        <v>45992</v>
      </c>
      <c r="R812" s="2">
        <v>25.73</v>
      </c>
      <c r="S812">
        <v>1</v>
      </c>
      <c r="T812" t="s">
        <v>58</v>
      </c>
      <c r="U812" t="s">
        <v>59</v>
      </c>
      <c r="V812" s="3">
        <v>0.7</v>
      </c>
      <c r="W812" s="2">
        <v>0</v>
      </c>
      <c r="X812">
        <v>0</v>
      </c>
      <c r="Y812" t="s">
        <v>60</v>
      </c>
      <c r="Z812" t="s">
        <v>61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18.010000000000002</v>
      </c>
      <c r="AN812" s="2">
        <v>18.010000000000002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45957</v>
      </c>
      <c r="B813" t="s">
        <v>48</v>
      </c>
      <c r="C813">
        <v>649163</v>
      </c>
      <c r="D813">
        <v>2026887839</v>
      </c>
      <c r="E813" t="s">
        <v>231</v>
      </c>
      <c r="F813" t="s">
        <v>998</v>
      </c>
      <c r="G813" t="s">
        <v>51</v>
      </c>
      <c r="H813" t="s">
        <v>69</v>
      </c>
      <c r="I813" t="s">
        <v>53</v>
      </c>
      <c r="J813" t="s">
        <v>54</v>
      </c>
      <c r="K813">
        <v>766422</v>
      </c>
      <c r="L813" t="s">
        <v>335</v>
      </c>
      <c r="M813" t="s">
        <v>336</v>
      </c>
      <c r="N813" t="s">
        <v>57</v>
      </c>
      <c r="O813" s="1">
        <v>45689</v>
      </c>
      <c r="Q813" s="1">
        <v>45992</v>
      </c>
      <c r="R813" s="2">
        <v>19</v>
      </c>
      <c r="S813">
        <v>1</v>
      </c>
      <c r="T813" t="s">
        <v>58</v>
      </c>
      <c r="U813" t="s">
        <v>59</v>
      </c>
      <c r="V813" s="3">
        <v>0.7</v>
      </c>
      <c r="W813" s="2">
        <v>0</v>
      </c>
      <c r="X813">
        <v>0</v>
      </c>
      <c r="Y813" t="s">
        <v>60</v>
      </c>
      <c r="Z813" t="s">
        <v>61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13.3</v>
      </c>
      <c r="AN813" s="2">
        <v>13.3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45957</v>
      </c>
      <c r="B814" t="s">
        <v>48</v>
      </c>
      <c r="C814">
        <v>649163</v>
      </c>
      <c r="D814">
        <v>2027054029</v>
      </c>
      <c r="E814" t="s">
        <v>999</v>
      </c>
      <c r="F814" t="s">
        <v>312</v>
      </c>
      <c r="G814" t="s">
        <v>51</v>
      </c>
      <c r="H814" t="s">
        <v>636</v>
      </c>
      <c r="I814" t="s">
        <v>53</v>
      </c>
      <c r="J814" t="s">
        <v>54</v>
      </c>
      <c r="K814">
        <v>673059</v>
      </c>
      <c r="L814" t="s">
        <v>55</v>
      </c>
      <c r="M814" t="s">
        <v>56</v>
      </c>
      <c r="N814" t="s">
        <v>57</v>
      </c>
      <c r="O814" s="1">
        <v>45748</v>
      </c>
      <c r="Q814" s="1">
        <v>45992</v>
      </c>
      <c r="R814" s="2">
        <v>196.82</v>
      </c>
      <c r="S814">
        <v>1</v>
      </c>
      <c r="T814" t="s">
        <v>58</v>
      </c>
      <c r="U814" t="s">
        <v>59</v>
      </c>
      <c r="V814" s="3">
        <v>0.7</v>
      </c>
      <c r="W814" s="2">
        <v>0</v>
      </c>
      <c r="X814">
        <v>0</v>
      </c>
      <c r="Y814" t="s">
        <v>60</v>
      </c>
      <c r="Z814" t="s">
        <v>61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137.77000000000001</v>
      </c>
      <c r="AN814" s="2">
        <v>137.77000000000001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45957</v>
      </c>
      <c r="B815" t="s">
        <v>48</v>
      </c>
      <c r="C815">
        <v>649163</v>
      </c>
      <c r="D815">
        <v>2027321379</v>
      </c>
      <c r="E815" t="s">
        <v>883</v>
      </c>
      <c r="F815" t="s">
        <v>884</v>
      </c>
      <c r="G815" t="s">
        <v>51</v>
      </c>
      <c r="H815" t="s">
        <v>69</v>
      </c>
      <c r="I815" t="s">
        <v>53</v>
      </c>
      <c r="J815" t="s">
        <v>54</v>
      </c>
      <c r="K815">
        <v>673059</v>
      </c>
      <c r="L815" t="s">
        <v>55</v>
      </c>
      <c r="M815" t="s">
        <v>56</v>
      </c>
      <c r="N815" t="s">
        <v>57</v>
      </c>
      <c r="O815" s="1">
        <v>45713</v>
      </c>
      <c r="Q815" s="1">
        <v>45986</v>
      </c>
      <c r="R815" s="2">
        <v>169.06</v>
      </c>
      <c r="S815">
        <v>1</v>
      </c>
      <c r="T815" t="s">
        <v>58</v>
      </c>
      <c r="U815" t="s">
        <v>59</v>
      </c>
      <c r="V815" s="3">
        <v>0.7</v>
      </c>
      <c r="W815" s="2">
        <v>0</v>
      </c>
      <c r="X815">
        <v>0</v>
      </c>
      <c r="Y815" t="s">
        <v>60</v>
      </c>
      <c r="Z815" t="s">
        <v>61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118.34</v>
      </c>
      <c r="AN815" s="2">
        <v>118.34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45957</v>
      </c>
      <c r="B816" t="s">
        <v>48</v>
      </c>
      <c r="C816">
        <v>649163</v>
      </c>
      <c r="D816">
        <v>2027336918</v>
      </c>
      <c r="E816" t="s">
        <v>1000</v>
      </c>
      <c r="F816" t="s">
        <v>1001</v>
      </c>
      <c r="G816" t="s">
        <v>51</v>
      </c>
      <c r="H816" t="s">
        <v>69</v>
      </c>
      <c r="I816" t="s">
        <v>53</v>
      </c>
      <c r="J816" t="s">
        <v>54</v>
      </c>
      <c r="K816">
        <v>812782</v>
      </c>
      <c r="L816" t="s">
        <v>114</v>
      </c>
      <c r="M816" t="s">
        <v>115</v>
      </c>
      <c r="N816" t="s">
        <v>57</v>
      </c>
      <c r="O816" s="1">
        <v>45748</v>
      </c>
      <c r="Q816" s="1">
        <v>45992</v>
      </c>
      <c r="R816" s="2">
        <v>46.46</v>
      </c>
      <c r="S816">
        <v>1</v>
      </c>
      <c r="T816" t="s">
        <v>58</v>
      </c>
      <c r="U816" t="s">
        <v>59</v>
      </c>
      <c r="V816" s="3">
        <v>0.7</v>
      </c>
      <c r="W816" s="2">
        <v>0</v>
      </c>
      <c r="X816">
        <v>0</v>
      </c>
      <c r="Y816" t="s">
        <v>60</v>
      </c>
      <c r="Z816" t="s">
        <v>61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32.520000000000003</v>
      </c>
      <c r="AN816" s="2">
        <v>32.520000000000003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45957</v>
      </c>
      <c r="B817" t="s">
        <v>48</v>
      </c>
      <c r="C817">
        <v>649163</v>
      </c>
      <c r="D817">
        <v>2027343740</v>
      </c>
      <c r="E817" t="s">
        <v>885</v>
      </c>
      <c r="F817" t="s">
        <v>886</v>
      </c>
      <c r="G817" t="s">
        <v>51</v>
      </c>
      <c r="H817" t="s">
        <v>261</v>
      </c>
      <c r="I817" t="s">
        <v>53</v>
      </c>
      <c r="J817" t="s">
        <v>54</v>
      </c>
      <c r="K817">
        <v>673059</v>
      </c>
      <c r="L817" t="s">
        <v>55</v>
      </c>
      <c r="M817" t="s">
        <v>56</v>
      </c>
      <c r="N817" t="s">
        <v>57</v>
      </c>
      <c r="O817" s="1">
        <v>45714</v>
      </c>
      <c r="Q817" s="1">
        <v>45987</v>
      </c>
      <c r="R817" s="2">
        <v>10.82</v>
      </c>
      <c r="S817">
        <v>1</v>
      </c>
      <c r="T817" t="s">
        <v>58</v>
      </c>
      <c r="U817" t="s">
        <v>59</v>
      </c>
      <c r="V817" s="3">
        <v>0.7</v>
      </c>
      <c r="W817" s="2">
        <v>0</v>
      </c>
      <c r="X817">
        <v>0</v>
      </c>
      <c r="Y817" t="s">
        <v>60</v>
      </c>
      <c r="Z817" t="s">
        <v>61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7.57</v>
      </c>
      <c r="AN817" s="2">
        <v>7.57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45957</v>
      </c>
      <c r="B818" t="s">
        <v>48</v>
      </c>
      <c r="C818">
        <v>649163</v>
      </c>
      <c r="D818">
        <v>2027348181</v>
      </c>
      <c r="E818" t="s">
        <v>605</v>
      </c>
      <c r="F818" t="s">
        <v>543</v>
      </c>
      <c r="G818" t="s">
        <v>51</v>
      </c>
      <c r="H818" t="s">
        <v>69</v>
      </c>
      <c r="I818" t="s">
        <v>53</v>
      </c>
      <c r="J818" t="s">
        <v>54</v>
      </c>
      <c r="K818">
        <v>673059</v>
      </c>
      <c r="L818" t="s">
        <v>55</v>
      </c>
      <c r="M818" t="s">
        <v>56</v>
      </c>
      <c r="N818" t="s">
        <v>57</v>
      </c>
      <c r="O818" s="1">
        <v>45716</v>
      </c>
      <c r="Q818" s="1">
        <v>45989</v>
      </c>
      <c r="R818" s="2">
        <v>47.95</v>
      </c>
      <c r="S818">
        <v>1</v>
      </c>
      <c r="T818" t="s">
        <v>58</v>
      </c>
      <c r="U818" t="s">
        <v>59</v>
      </c>
      <c r="V818" s="3">
        <v>0.7</v>
      </c>
      <c r="W818" s="2">
        <v>0</v>
      </c>
      <c r="X818">
        <v>0</v>
      </c>
      <c r="Y818" t="s">
        <v>60</v>
      </c>
      <c r="Z818" t="s">
        <v>61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33.56</v>
      </c>
      <c r="AN818" s="2">
        <v>33.56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45957</v>
      </c>
      <c r="B819" t="s">
        <v>48</v>
      </c>
      <c r="C819">
        <v>649163</v>
      </c>
      <c r="D819">
        <v>2027398849</v>
      </c>
      <c r="E819" t="s">
        <v>606</v>
      </c>
      <c r="F819" t="s">
        <v>607</v>
      </c>
      <c r="G819" t="s">
        <v>51</v>
      </c>
      <c r="H819" t="s">
        <v>52</v>
      </c>
      <c r="I819" t="s">
        <v>53</v>
      </c>
      <c r="J819" t="s">
        <v>54</v>
      </c>
      <c r="K819">
        <v>673059</v>
      </c>
      <c r="L819" t="s">
        <v>55</v>
      </c>
      <c r="M819" t="s">
        <v>56</v>
      </c>
      <c r="N819" t="s">
        <v>57</v>
      </c>
      <c r="O819" s="1">
        <v>45748</v>
      </c>
      <c r="Q819" s="1">
        <v>45992</v>
      </c>
      <c r="R819" s="2">
        <v>22.19</v>
      </c>
      <c r="S819">
        <v>1</v>
      </c>
      <c r="T819" t="s">
        <v>58</v>
      </c>
      <c r="U819" t="s">
        <v>59</v>
      </c>
      <c r="V819" s="3">
        <v>0.7</v>
      </c>
      <c r="W819" s="2">
        <v>0</v>
      </c>
      <c r="X819">
        <v>0</v>
      </c>
      <c r="Y819" t="s">
        <v>60</v>
      </c>
      <c r="Z819" t="s">
        <v>61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15.53</v>
      </c>
      <c r="AN819" s="2">
        <v>15.53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45957</v>
      </c>
      <c r="B820" t="s">
        <v>48</v>
      </c>
      <c r="C820">
        <v>649163</v>
      </c>
      <c r="D820">
        <v>2027406567</v>
      </c>
      <c r="E820" t="s">
        <v>1002</v>
      </c>
      <c r="F820" t="s">
        <v>1003</v>
      </c>
      <c r="G820" t="s">
        <v>51</v>
      </c>
      <c r="H820" t="s">
        <v>69</v>
      </c>
      <c r="I820" t="s">
        <v>53</v>
      </c>
      <c r="J820" t="s">
        <v>54</v>
      </c>
      <c r="K820">
        <v>764123</v>
      </c>
      <c r="L820" t="s">
        <v>1004</v>
      </c>
      <c r="M820" t="s">
        <v>1005</v>
      </c>
      <c r="N820" t="s">
        <v>57</v>
      </c>
      <c r="O820" s="1">
        <v>45715</v>
      </c>
      <c r="Q820" s="1">
        <v>45988</v>
      </c>
      <c r="R820" s="2">
        <v>101.22</v>
      </c>
      <c r="S820">
        <v>1</v>
      </c>
      <c r="T820" t="s">
        <v>58</v>
      </c>
      <c r="U820" t="s">
        <v>59</v>
      </c>
      <c r="V820" s="3">
        <v>0.7</v>
      </c>
      <c r="W820" s="2">
        <v>0</v>
      </c>
      <c r="X820">
        <v>0</v>
      </c>
      <c r="Y820" t="s">
        <v>60</v>
      </c>
      <c r="Z820" t="s">
        <v>61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70.849999999999994</v>
      </c>
      <c r="AN820" s="2">
        <v>70.849999999999994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45957</v>
      </c>
      <c r="B821" t="s">
        <v>48</v>
      </c>
      <c r="C821">
        <v>649163</v>
      </c>
      <c r="D821">
        <v>2027419633</v>
      </c>
      <c r="E821" t="s">
        <v>1006</v>
      </c>
      <c r="F821" t="s">
        <v>1007</v>
      </c>
      <c r="G821" t="s">
        <v>51</v>
      </c>
      <c r="H821" t="s">
        <v>165</v>
      </c>
      <c r="I821" t="s">
        <v>53</v>
      </c>
      <c r="J821" t="s">
        <v>54</v>
      </c>
      <c r="K821">
        <v>806645</v>
      </c>
      <c r="L821" t="s">
        <v>88</v>
      </c>
      <c r="M821" t="s">
        <v>89</v>
      </c>
      <c r="N821" t="s">
        <v>57</v>
      </c>
      <c r="O821" s="1">
        <v>45716</v>
      </c>
      <c r="Q821" s="1">
        <v>45989</v>
      </c>
      <c r="R821" s="2">
        <v>163.43</v>
      </c>
      <c r="S821">
        <v>1</v>
      </c>
      <c r="T821" t="s">
        <v>58</v>
      </c>
      <c r="U821" t="s">
        <v>59</v>
      </c>
      <c r="V821" s="3">
        <v>0.7</v>
      </c>
      <c r="W821" s="2">
        <v>0</v>
      </c>
      <c r="X821">
        <v>0</v>
      </c>
      <c r="Y821" t="s">
        <v>60</v>
      </c>
      <c r="Z821" t="s">
        <v>61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114.4</v>
      </c>
      <c r="AN821" s="2">
        <v>114.4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45957</v>
      </c>
      <c r="B822" t="s">
        <v>48</v>
      </c>
      <c r="C822">
        <v>649163</v>
      </c>
      <c r="D822">
        <v>2027694241</v>
      </c>
      <c r="E822" t="s">
        <v>1008</v>
      </c>
      <c r="F822" t="s">
        <v>1009</v>
      </c>
      <c r="G822" t="s">
        <v>51</v>
      </c>
      <c r="H822" t="s">
        <v>69</v>
      </c>
      <c r="I822" t="s">
        <v>53</v>
      </c>
      <c r="J822" t="s">
        <v>54</v>
      </c>
      <c r="K822">
        <v>812656</v>
      </c>
      <c r="L822" t="s">
        <v>82</v>
      </c>
      <c r="M822" t="s">
        <v>83</v>
      </c>
      <c r="N822" t="s">
        <v>57</v>
      </c>
      <c r="O822" s="1">
        <v>45748</v>
      </c>
      <c r="Q822" s="1">
        <v>45992</v>
      </c>
      <c r="R822" s="2">
        <v>80.95</v>
      </c>
      <c r="S822">
        <v>1</v>
      </c>
      <c r="T822" t="s">
        <v>58</v>
      </c>
      <c r="U822" t="s">
        <v>59</v>
      </c>
      <c r="V822" s="3">
        <v>0.7</v>
      </c>
      <c r="W822" s="2">
        <v>0</v>
      </c>
      <c r="X822">
        <v>0</v>
      </c>
      <c r="Y822" t="s">
        <v>60</v>
      </c>
      <c r="Z822" t="s">
        <v>61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56.66</v>
      </c>
      <c r="AN822" s="2">
        <v>56.66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45957</v>
      </c>
      <c r="B823" t="s">
        <v>48</v>
      </c>
      <c r="C823">
        <v>649163</v>
      </c>
      <c r="D823">
        <v>2027735221</v>
      </c>
      <c r="E823" t="s">
        <v>1010</v>
      </c>
      <c r="F823" t="s">
        <v>1011</v>
      </c>
      <c r="G823" t="s">
        <v>51</v>
      </c>
      <c r="H823" t="s">
        <v>69</v>
      </c>
      <c r="I823" t="s">
        <v>53</v>
      </c>
      <c r="J823" t="s">
        <v>54</v>
      </c>
      <c r="K823">
        <v>757039</v>
      </c>
      <c r="L823" t="s">
        <v>502</v>
      </c>
      <c r="M823" t="s">
        <v>342</v>
      </c>
      <c r="N823" t="s">
        <v>57</v>
      </c>
      <c r="O823" s="1">
        <v>45748</v>
      </c>
      <c r="Q823" s="1">
        <v>45992</v>
      </c>
      <c r="R823" s="2">
        <v>54.22</v>
      </c>
      <c r="S823">
        <v>1</v>
      </c>
      <c r="T823" t="s">
        <v>58</v>
      </c>
      <c r="U823" t="s">
        <v>59</v>
      </c>
      <c r="V823" s="3">
        <v>0.7</v>
      </c>
      <c r="W823" s="2">
        <v>0</v>
      </c>
      <c r="X823">
        <v>0</v>
      </c>
      <c r="Y823" t="s">
        <v>60</v>
      </c>
      <c r="Z823" t="s">
        <v>61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37.950000000000003</v>
      </c>
      <c r="AN823" s="2">
        <v>37.950000000000003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45957</v>
      </c>
      <c r="B824" t="s">
        <v>48</v>
      </c>
      <c r="C824">
        <v>649163</v>
      </c>
      <c r="D824">
        <v>2027741055</v>
      </c>
      <c r="E824" t="s">
        <v>608</v>
      </c>
      <c r="F824" t="s">
        <v>609</v>
      </c>
      <c r="G824" t="s">
        <v>51</v>
      </c>
      <c r="H824" t="s">
        <v>69</v>
      </c>
      <c r="I824" t="s">
        <v>53</v>
      </c>
      <c r="J824" t="s">
        <v>54</v>
      </c>
      <c r="K824">
        <v>766747</v>
      </c>
      <c r="L824" t="s">
        <v>97</v>
      </c>
      <c r="M824" t="s">
        <v>98</v>
      </c>
      <c r="N824" t="s">
        <v>57</v>
      </c>
      <c r="O824" s="1">
        <v>45748</v>
      </c>
      <c r="Q824" s="1">
        <v>45992</v>
      </c>
      <c r="R824" s="2">
        <v>46.46</v>
      </c>
      <c r="S824">
        <v>1</v>
      </c>
      <c r="T824" t="s">
        <v>58</v>
      </c>
      <c r="U824" t="s">
        <v>59</v>
      </c>
      <c r="V824" s="3">
        <v>0.7</v>
      </c>
      <c r="W824" s="2">
        <v>0</v>
      </c>
      <c r="X824">
        <v>0</v>
      </c>
      <c r="Y824" t="s">
        <v>60</v>
      </c>
      <c r="Z824" t="s">
        <v>61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32.520000000000003</v>
      </c>
      <c r="AN824" s="2">
        <v>32.520000000000003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45957</v>
      </c>
      <c r="B825" t="s">
        <v>48</v>
      </c>
      <c r="C825">
        <v>649163</v>
      </c>
      <c r="D825">
        <v>2027743281</v>
      </c>
      <c r="E825" t="s">
        <v>610</v>
      </c>
      <c r="F825" t="s">
        <v>324</v>
      </c>
      <c r="G825" t="s">
        <v>51</v>
      </c>
      <c r="H825" t="s">
        <v>182</v>
      </c>
      <c r="I825" t="s">
        <v>53</v>
      </c>
      <c r="J825" t="s">
        <v>54</v>
      </c>
      <c r="K825">
        <v>673059</v>
      </c>
      <c r="L825" t="s">
        <v>55</v>
      </c>
      <c r="M825" t="s">
        <v>56</v>
      </c>
      <c r="N825" t="s">
        <v>57</v>
      </c>
      <c r="O825" s="1">
        <v>45748</v>
      </c>
      <c r="Q825" s="1">
        <v>45992</v>
      </c>
      <c r="R825" s="2">
        <v>70.069999999999993</v>
      </c>
      <c r="S825">
        <v>1</v>
      </c>
      <c r="T825" t="s">
        <v>58</v>
      </c>
      <c r="U825" t="s">
        <v>59</v>
      </c>
      <c r="V825" s="3">
        <v>0.7</v>
      </c>
      <c r="W825" s="2">
        <v>0</v>
      </c>
      <c r="X825">
        <v>0</v>
      </c>
      <c r="Y825" t="s">
        <v>60</v>
      </c>
      <c r="Z825" t="s">
        <v>61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49.05</v>
      </c>
      <c r="AN825" s="2">
        <v>49.05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45957</v>
      </c>
      <c r="B826" t="s">
        <v>48</v>
      </c>
      <c r="C826">
        <v>649163</v>
      </c>
      <c r="D826">
        <v>2027743282</v>
      </c>
      <c r="E826" t="s">
        <v>610</v>
      </c>
      <c r="F826" t="s">
        <v>324</v>
      </c>
      <c r="G826" t="s">
        <v>51</v>
      </c>
      <c r="H826" t="s">
        <v>182</v>
      </c>
      <c r="I826" t="s">
        <v>53</v>
      </c>
      <c r="J826" t="s">
        <v>119</v>
      </c>
      <c r="K826">
        <v>673059</v>
      </c>
      <c r="L826" t="s">
        <v>55</v>
      </c>
      <c r="M826" t="s">
        <v>56</v>
      </c>
      <c r="N826" t="s">
        <v>57</v>
      </c>
      <c r="O826" s="1">
        <v>45748</v>
      </c>
      <c r="Q826" s="1">
        <v>45992</v>
      </c>
      <c r="R826" s="2">
        <v>51.46</v>
      </c>
      <c r="S826">
        <v>1</v>
      </c>
      <c r="T826" t="s">
        <v>58</v>
      </c>
      <c r="U826" t="s">
        <v>59</v>
      </c>
      <c r="V826" s="3">
        <v>0.7</v>
      </c>
      <c r="W826" s="2">
        <v>0</v>
      </c>
      <c r="X826">
        <v>0</v>
      </c>
      <c r="Y826" t="s">
        <v>60</v>
      </c>
      <c r="Z826" t="s">
        <v>61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36.020000000000003</v>
      </c>
      <c r="AN826" s="2">
        <v>36.020000000000003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45957</v>
      </c>
      <c r="B827" t="s">
        <v>48</v>
      </c>
      <c r="C827">
        <v>649163</v>
      </c>
      <c r="D827">
        <v>2027745347</v>
      </c>
      <c r="E827" t="s">
        <v>526</v>
      </c>
      <c r="F827" t="s">
        <v>527</v>
      </c>
      <c r="G827" t="s">
        <v>51</v>
      </c>
      <c r="H827" t="s">
        <v>276</v>
      </c>
      <c r="I827" t="s">
        <v>53</v>
      </c>
      <c r="J827" t="s">
        <v>119</v>
      </c>
      <c r="K827">
        <v>673059</v>
      </c>
      <c r="L827" t="s">
        <v>55</v>
      </c>
      <c r="M827" t="s">
        <v>56</v>
      </c>
      <c r="N827" t="s">
        <v>57</v>
      </c>
      <c r="O827" s="1">
        <v>45748</v>
      </c>
      <c r="Q827" s="1">
        <v>45992</v>
      </c>
      <c r="R827" s="2">
        <v>21.44</v>
      </c>
      <c r="S827">
        <v>1</v>
      </c>
      <c r="T827" t="s">
        <v>58</v>
      </c>
      <c r="U827" t="s">
        <v>59</v>
      </c>
      <c r="V827" s="3">
        <v>0.7</v>
      </c>
      <c r="W827" s="2">
        <v>0</v>
      </c>
      <c r="X827">
        <v>0</v>
      </c>
      <c r="Y827" t="s">
        <v>60</v>
      </c>
      <c r="Z827" t="s">
        <v>61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15.01</v>
      </c>
      <c r="AN827" s="2">
        <v>15.01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45957</v>
      </c>
      <c r="B828" t="s">
        <v>48</v>
      </c>
      <c r="C828">
        <v>649163</v>
      </c>
      <c r="D828">
        <v>2027765153</v>
      </c>
      <c r="E828" t="s">
        <v>685</v>
      </c>
      <c r="F828" t="s">
        <v>686</v>
      </c>
      <c r="G828" t="s">
        <v>51</v>
      </c>
      <c r="H828" t="s">
        <v>195</v>
      </c>
      <c r="I828" t="s">
        <v>53</v>
      </c>
      <c r="J828" t="s">
        <v>119</v>
      </c>
      <c r="K828">
        <v>751867</v>
      </c>
      <c r="L828" t="s">
        <v>349</v>
      </c>
      <c r="M828" t="s">
        <v>312</v>
      </c>
      <c r="N828" t="s">
        <v>57</v>
      </c>
      <c r="O828" s="1">
        <v>45748</v>
      </c>
      <c r="Q828" s="1">
        <v>45992</v>
      </c>
      <c r="R828" s="2">
        <v>25.73</v>
      </c>
      <c r="S828">
        <v>1</v>
      </c>
      <c r="T828" t="s">
        <v>58</v>
      </c>
      <c r="U828" t="s">
        <v>59</v>
      </c>
      <c r="V828" s="3">
        <v>0.7</v>
      </c>
      <c r="W828" s="2">
        <v>0</v>
      </c>
      <c r="X828">
        <v>0</v>
      </c>
      <c r="Y828" t="s">
        <v>60</v>
      </c>
      <c r="Z828" t="s">
        <v>61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18.010000000000002</v>
      </c>
      <c r="AN828" s="2">
        <v>18.010000000000002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45957</v>
      </c>
      <c r="B829" t="s">
        <v>48</v>
      </c>
      <c r="C829">
        <v>649163</v>
      </c>
      <c r="D829">
        <v>2027785590</v>
      </c>
      <c r="E829" t="s">
        <v>1012</v>
      </c>
      <c r="F829" t="s">
        <v>1013</v>
      </c>
      <c r="G829" t="s">
        <v>51</v>
      </c>
      <c r="H829" t="s">
        <v>165</v>
      </c>
      <c r="I829" t="s">
        <v>53</v>
      </c>
      <c r="J829" t="s">
        <v>54</v>
      </c>
      <c r="K829">
        <v>806645</v>
      </c>
      <c r="L829" t="s">
        <v>88</v>
      </c>
      <c r="M829" t="s">
        <v>89</v>
      </c>
      <c r="N829" t="s">
        <v>57</v>
      </c>
      <c r="O829" s="1">
        <v>45748</v>
      </c>
      <c r="Q829" s="1">
        <v>45992</v>
      </c>
      <c r="R829" s="2">
        <v>28.38</v>
      </c>
      <c r="S829">
        <v>1</v>
      </c>
      <c r="T829" t="s">
        <v>58</v>
      </c>
      <c r="U829" t="s">
        <v>59</v>
      </c>
      <c r="V829" s="3">
        <v>0.7</v>
      </c>
      <c r="W829" s="2">
        <v>0</v>
      </c>
      <c r="X829">
        <v>0</v>
      </c>
      <c r="Y829" t="s">
        <v>60</v>
      </c>
      <c r="Z829" t="s">
        <v>61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19.87</v>
      </c>
      <c r="AN829" s="2">
        <v>19.87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45957</v>
      </c>
      <c r="B830" t="s">
        <v>48</v>
      </c>
      <c r="C830">
        <v>649163</v>
      </c>
      <c r="D830">
        <v>2027785591</v>
      </c>
      <c r="E830" t="s">
        <v>1012</v>
      </c>
      <c r="F830" t="s">
        <v>1013</v>
      </c>
      <c r="G830" t="s">
        <v>51</v>
      </c>
      <c r="H830" t="s">
        <v>165</v>
      </c>
      <c r="I830" t="s">
        <v>53</v>
      </c>
      <c r="J830" t="s">
        <v>132</v>
      </c>
      <c r="K830">
        <v>806645</v>
      </c>
      <c r="L830" t="s">
        <v>88</v>
      </c>
      <c r="M830" t="s">
        <v>89</v>
      </c>
      <c r="N830" t="s">
        <v>57</v>
      </c>
      <c r="O830" s="1">
        <v>45748</v>
      </c>
      <c r="Q830" s="1">
        <v>45992</v>
      </c>
      <c r="R830" s="2">
        <v>21.6</v>
      </c>
      <c r="S830">
        <v>1</v>
      </c>
      <c r="T830" t="s">
        <v>58</v>
      </c>
      <c r="U830" t="s">
        <v>59</v>
      </c>
      <c r="V830" s="3">
        <v>0.9</v>
      </c>
      <c r="W830" s="2">
        <v>0</v>
      </c>
      <c r="X830">
        <v>0</v>
      </c>
      <c r="Y830" t="s">
        <v>60</v>
      </c>
      <c r="Z830" t="s">
        <v>61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19.440000000000001</v>
      </c>
      <c r="AN830" s="2">
        <v>19.440000000000001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45957</v>
      </c>
      <c r="B831" t="s">
        <v>48</v>
      </c>
      <c r="C831">
        <v>649163</v>
      </c>
      <c r="D831">
        <v>2027825905</v>
      </c>
      <c r="E831" t="s">
        <v>189</v>
      </c>
      <c r="F831" t="s">
        <v>392</v>
      </c>
      <c r="G831" t="s">
        <v>51</v>
      </c>
      <c r="H831" t="s">
        <v>52</v>
      </c>
      <c r="I831" t="s">
        <v>53</v>
      </c>
      <c r="J831" t="s">
        <v>54</v>
      </c>
      <c r="K831">
        <v>673059</v>
      </c>
      <c r="L831" t="s">
        <v>55</v>
      </c>
      <c r="M831" t="s">
        <v>56</v>
      </c>
      <c r="N831" t="s">
        <v>359</v>
      </c>
      <c r="O831" s="1">
        <v>45731</v>
      </c>
      <c r="P831" s="1">
        <v>45957</v>
      </c>
      <c r="Q831" s="1">
        <v>45976</v>
      </c>
      <c r="R831" s="2">
        <v>-13.02</v>
      </c>
      <c r="S831">
        <v>1</v>
      </c>
      <c r="T831" t="s">
        <v>58</v>
      </c>
      <c r="U831" t="s">
        <v>59</v>
      </c>
      <c r="V831" s="3">
        <v>0.7</v>
      </c>
      <c r="W831" s="2">
        <v>0</v>
      </c>
      <c r="X831">
        <v>-1</v>
      </c>
      <c r="Y831" t="s">
        <v>60</v>
      </c>
      <c r="Z831" t="s">
        <v>61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-9.11</v>
      </c>
      <c r="AN831" s="2">
        <v>-9.11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45957</v>
      </c>
      <c r="B832" t="s">
        <v>48</v>
      </c>
      <c r="D832">
        <v>2027825906</v>
      </c>
      <c r="E832" t="s">
        <v>189</v>
      </c>
      <c r="F832" t="s">
        <v>392</v>
      </c>
      <c r="G832" t="s">
        <v>51</v>
      </c>
      <c r="H832" t="s">
        <v>52</v>
      </c>
      <c r="I832" t="s">
        <v>53</v>
      </c>
      <c r="J832" t="s">
        <v>257</v>
      </c>
      <c r="L832" t="s">
        <v>55</v>
      </c>
      <c r="M832" t="s">
        <v>56</v>
      </c>
      <c r="N832" t="s">
        <v>359</v>
      </c>
      <c r="O832" s="1">
        <v>45731</v>
      </c>
      <c r="P832" s="1">
        <v>45957</v>
      </c>
      <c r="Q832" s="1">
        <v>45976</v>
      </c>
      <c r="R832" s="2">
        <v>-18.260000000000002</v>
      </c>
      <c r="S832">
        <v>1</v>
      </c>
      <c r="T832" t="s">
        <v>58</v>
      </c>
      <c r="U832" t="s">
        <v>59</v>
      </c>
      <c r="V832" s="3">
        <v>0.7</v>
      </c>
      <c r="W832" s="2">
        <v>0</v>
      </c>
      <c r="X832">
        <v>-1</v>
      </c>
      <c r="Y832" t="s">
        <v>60</v>
      </c>
      <c r="Z832" t="s">
        <v>61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-12.78</v>
      </c>
      <c r="AN832" s="2">
        <v>-12.78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45957</v>
      </c>
      <c r="B833" t="s">
        <v>48</v>
      </c>
      <c r="C833">
        <v>649163</v>
      </c>
      <c r="D833">
        <v>2027855573</v>
      </c>
      <c r="E833" t="s">
        <v>611</v>
      </c>
      <c r="F833" t="s">
        <v>612</v>
      </c>
      <c r="G833" t="s">
        <v>51</v>
      </c>
      <c r="H833" t="s">
        <v>613</v>
      </c>
      <c r="I833" t="s">
        <v>53</v>
      </c>
      <c r="J833" t="s">
        <v>54</v>
      </c>
      <c r="K833">
        <v>651818</v>
      </c>
      <c r="L833" t="s">
        <v>560</v>
      </c>
      <c r="M833" t="s">
        <v>336</v>
      </c>
      <c r="N833" t="s">
        <v>57</v>
      </c>
      <c r="O833" s="1">
        <v>45734</v>
      </c>
      <c r="Q833" s="1">
        <v>45979</v>
      </c>
      <c r="R833" s="2">
        <v>79.84</v>
      </c>
      <c r="S833">
        <v>1</v>
      </c>
      <c r="T833" t="s">
        <v>58</v>
      </c>
      <c r="U833" t="s">
        <v>59</v>
      </c>
      <c r="V833" s="3">
        <v>0.7</v>
      </c>
      <c r="W833" s="2">
        <v>0</v>
      </c>
      <c r="X833">
        <v>0</v>
      </c>
      <c r="Y833" t="s">
        <v>60</v>
      </c>
      <c r="Z833" t="s">
        <v>61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55.89</v>
      </c>
      <c r="AN833" s="2">
        <v>55.89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45957</v>
      </c>
      <c r="B834" t="s">
        <v>48</v>
      </c>
      <c r="C834">
        <v>649163</v>
      </c>
      <c r="D834">
        <v>2027857789</v>
      </c>
      <c r="E834" t="s">
        <v>891</v>
      </c>
      <c r="F834" t="s">
        <v>892</v>
      </c>
      <c r="G834" t="s">
        <v>51</v>
      </c>
      <c r="H834" t="s">
        <v>165</v>
      </c>
      <c r="I834" t="s">
        <v>53</v>
      </c>
      <c r="J834" t="s">
        <v>54</v>
      </c>
      <c r="K834">
        <v>822723</v>
      </c>
      <c r="L834" t="s">
        <v>151</v>
      </c>
      <c r="M834" t="s">
        <v>152</v>
      </c>
      <c r="N834" t="s">
        <v>57</v>
      </c>
      <c r="O834" s="1">
        <v>45748</v>
      </c>
      <c r="Q834" s="1">
        <v>45992</v>
      </c>
      <c r="R834" s="2">
        <v>140.6</v>
      </c>
      <c r="S834">
        <v>1</v>
      </c>
      <c r="T834" t="s">
        <v>58</v>
      </c>
      <c r="U834" t="s">
        <v>59</v>
      </c>
      <c r="V834" s="3">
        <v>0.7</v>
      </c>
      <c r="W834" s="2">
        <v>0</v>
      </c>
      <c r="X834">
        <v>0</v>
      </c>
      <c r="Y834" t="s">
        <v>60</v>
      </c>
      <c r="Z834" t="s">
        <v>61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98.42</v>
      </c>
      <c r="AN834" s="2">
        <v>98.42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45957</v>
      </c>
      <c r="B835" t="s">
        <v>48</v>
      </c>
      <c r="C835">
        <v>649163</v>
      </c>
      <c r="D835">
        <v>2027858972</v>
      </c>
      <c r="E835" t="s">
        <v>893</v>
      </c>
      <c r="F835" t="s">
        <v>576</v>
      </c>
      <c r="G835" t="s">
        <v>51</v>
      </c>
      <c r="H835" t="s">
        <v>69</v>
      </c>
      <c r="I835" t="s">
        <v>53</v>
      </c>
      <c r="J835" t="s">
        <v>54</v>
      </c>
      <c r="K835">
        <v>813181</v>
      </c>
      <c r="L835" t="s">
        <v>894</v>
      </c>
      <c r="M835" t="s">
        <v>675</v>
      </c>
      <c r="N835" t="s">
        <v>57</v>
      </c>
      <c r="O835" s="1">
        <v>45748</v>
      </c>
      <c r="Q835" s="1">
        <v>45992</v>
      </c>
      <c r="R835" s="2">
        <v>11.5</v>
      </c>
      <c r="S835">
        <v>1</v>
      </c>
      <c r="T835" t="s">
        <v>58</v>
      </c>
      <c r="U835" t="s">
        <v>59</v>
      </c>
      <c r="V835" s="3">
        <v>0.7</v>
      </c>
      <c r="W835" s="2">
        <v>0</v>
      </c>
      <c r="X835">
        <v>0</v>
      </c>
      <c r="Y835" t="s">
        <v>60</v>
      </c>
      <c r="Z835" t="s">
        <v>61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8.0500000000000007</v>
      </c>
      <c r="AN835" s="2">
        <v>8.0500000000000007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45957</v>
      </c>
      <c r="B836" t="s">
        <v>48</v>
      </c>
      <c r="C836">
        <v>649163</v>
      </c>
      <c r="D836">
        <v>2027868982</v>
      </c>
      <c r="E836" t="s">
        <v>895</v>
      </c>
      <c r="F836" t="s">
        <v>896</v>
      </c>
      <c r="G836" t="s">
        <v>51</v>
      </c>
      <c r="H836" t="s">
        <v>69</v>
      </c>
      <c r="I836" t="s">
        <v>53</v>
      </c>
      <c r="J836" t="s">
        <v>54</v>
      </c>
      <c r="K836">
        <v>812782</v>
      </c>
      <c r="L836" t="s">
        <v>114</v>
      </c>
      <c r="M836" t="s">
        <v>115</v>
      </c>
      <c r="N836" t="s">
        <v>57</v>
      </c>
      <c r="O836" s="1">
        <v>45748</v>
      </c>
      <c r="Q836" s="1">
        <v>45992</v>
      </c>
      <c r="R836" s="2">
        <v>15.75</v>
      </c>
      <c r="S836">
        <v>1</v>
      </c>
      <c r="T836" t="s">
        <v>58</v>
      </c>
      <c r="U836" t="s">
        <v>59</v>
      </c>
      <c r="V836" s="3">
        <v>0.7</v>
      </c>
      <c r="W836" s="2">
        <v>0</v>
      </c>
      <c r="X836">
        <v>0</v>
      </c>
      <c r="Y836" t="s">
        <v>60</v>
      </c>
      <c r="Z836" t="s">
        <v>61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11.02</v>
      </c>
      <c r="AN836" s="2">
        <v>11.02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45957</v>
      </c>
      <c r="B837" t="s">
        <v>48</v>
      </c>
      <c r="C837">
        <v>649163</v>
      </c>
      <c r="D837">
        <v>2027886965</v>
      </c>
      <c r="E837" t="s">
        <v>1014</v>
      </c>
      <c r="F837" t="s">
        <v>1015</v>
      </c>
      <c r="G837" t="s">
        <v>51</v>
      </c>
      <c r="H837" t="s">
        <v>69</v>
      </c>
      <c r="I837" t="s">
        <v>53</v>
      </c>
      <c r="J837" t="s">
        <v>132</v>
      </c>
      <c r="K837">
        <v>840313</v>
      </c>
      <c r="L837" t="s">
        <v>159</v>
      </c>
      <c r="M837" t="s">
        <v>160</v>
      </c>
      <c r="N837" t="s">
        <v>57</v>
      </c>
      <c r="O837" s="1">
        <v>45748</v>
      </c>
      <c r="Q837" s="1">
        <v>45992</v>
      </c>
      <c r="R837" s="2">
        <v>75.44</v>
      </c>
      <c r="S837">
        <v>1</v>
      </c>
      <c r="T837" t="s">
        <v>58</v>
      </c>
      <c r="U837" t="s">
        <v>59</v>
      </c>
      <c r="V837" s="3">
        <v>0.9</v>
      </c>
      <c r="W837" s="2">
        <v>0</v>
      </c>
      <c r="X837">
        <v>0</v>
      </c>
      <c r="Y837" t="s">
        <v>60</v>
      </c>
      <c r="Z837" t="s">
        <v>61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67.900000000000006</v>
      </c>
      <c r="AN837" s="2">
        <v>67.900000000000006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45957</v>
      </c>
      <c r="B838" t="s">
        <v>48</v>
      </c>
      <c r="C838">
        <v>649163</v>
      </c>
      <c r="D838">
        <v>2027891947</v>
      </c>
      <c r="E838" t="s">
        <v>1016</v>
      </c>
      <c r="F838" t="s">
        <v>1017</v>
      </c>
      <c r="G838" t="s">
        <v>51</v>
      </c>
      <c r="H838" t="s">
        <v>69</v>
      </c>
      <c r="I838" t="s">
        <v>53</v>
      </c>
      <c r="J838" t="s">
        <v>54</v>
      </c>
      <c r="K838">
        <v>766747</v>
      </c>
      <c r="L838" t="s">
        <v>97</v>
      </c>
      <c r="M838" t="s">
        <v>98</v>
      </c>
      <c r="N838" t="s">
        <v>57</v>
      </c>
      <c r="O838" s="1">
        <v>45748</v>
      </c>
      <c r="Q838" s="1">
        <v>45992</v>
      </c>
      <c r="R838" s="2">
        <v>137.41</v>
      </c>
      <c r="S838">
        <v>1</v>
      </c>
      <c r="T838" t="s">
        <v>58</v>
      </c>
      <c r="U838" t="s">
        <v>59</v>
      </c>
      <c r="V838" s="3">
        <v>0.7</v>
      </c>
      <c r="W838" s="2">
        <v>0</v>
      </c>
      <c r="X838">
        <v>0</v>
      </c>
      <c r="Y838" t="s">
        <v>60</v>
      </c>
      <c r="Z838" t="s">
        <v>61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96.19</v>
      </c>
      <c r="AN838" s="2">
        <v>96.19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45957</v>
      </c>
      <c r="B839" t="s">
        <v>48</v>
      </c>
      <c r="C839">
        <v>649163</v>
      </c>
      <c r="D839">
        <v>2027904551</v>
      </c>
      <c r="E839" t="s">
        <v>894</v>
      </c>
      <c r="F839" t="s">
        <v>675</v>
      </c>
      <c r="G839" t="s">
        <v>51</v>
      </c>
      <c r="H839" t="s">
        <v>69</v>
      </c>
      <c r="I839" t="s">
        <v>53</v>
      </c>
      <c r="J839" t="s">
        <v>132</v>
      </c>
      <c r="K839">
        <v>813181</v>
      </c>
      <c r="L839" t="s">
        <v>894</v>
      </c>
      <c r="M839" t="s">
        <v>675</v>
      </c>
      <c r="N839" t="s">
        <v>57</v>
      </c>
      <c r="O839" s="1">
        <v>45741</v>
      </c>
      <c r="Q839" s="1">
        <v>45986</v>
      </c>
      <c r="R839" s="2">
        <v>46.42</v>
      </c>
      <c r="S839">
        <v>1</v>
      </c>
      <c r="T839" t="s">
        <v>58</v>
      </c>
      <c r="U839" t="s">
        <v>59</v>
      </c>
      <c r="V839" s="3">
        <v>0.9</v>
      </c>
      <c r="W839" s="2">
        <v>0</v>
      </c>
      <c r="X839">
        <v>0</v>
      </c>
      <c r="Y839" t="s">
        <v>60</v>
      </c>
      <c r="Z839" t="s">
        <v>61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41.78</v>
      </c>
      <c r="AN839" s="2">
        <v>41.78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45957</v>
      </c>
      <c r="B840" t="s">
        <v>48</v>
      </c>
      <c r="C840">
        <v>649163</v>
      </c>
      <c r="D840">
        <v>2027920263</v>
      </c>
      <c r="E840" t="s">
        <v>616</v>
      </c>
      <c r="F840" t="s">
        <v>617</v>
      </c>
      <c r="G840" t="s">
        <v>51</v>
      </c>
      <c r="H840" t="s">
        <v>92</v>
      </c>
      <c r="I840" t="s">
        <v>53</v>
      </c>
      <c r="J840" t="s">
        <v>54</v>
      </c>
      <c r="K840">
        <v>816021</v>
      </c>
      <c r="L840" t="s">
        <v>93</v>
      </c>
      <c r="M840" t="s">
        <v>94</v>
      </c>
      <c r="N840" t="s">
        <v>57</v>
      </c>
      <c r="O840" s="1">
        <v>45744</v>
      </c>
      <c r="Q840" s="1">
        <v>45989</v>
      </c>
      <c r="R840" s="2">
        <v>9.1</v>
      </c>
      <c r="S840">
        <v>1</v>
      </c>
      <c r="T840" t="s">
        <v>58</v>
      </c>
      <c r="U840" t="s">
        <v>59</v>
      </c>
      <c r="V840" s="3">
        <v>0.7</v>
      </c>
      <c r="W840" s="2">
        <v>0</v>
      </c>
      <c r="X840">
        <v>0</v>
      </c>
      <c r="Y840" t="s">
        <v>60</v>
      </c>
      <c r="Z840" t="s">
        <v>61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6.37</v>
      </c>
      <c r="AN840" s="2">
        <v>6.37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45957</v>
      </c>
      <c r="B841" t="s">
        <v>48</v>
      </c>
      <c r="C841">
        <v>649163</v>
      </c>
      <c r="D841">
        <v>2027933174</v>
      </c>
      <c r="E841" t="s">
        <v>618</v>
      </c>
      <c r="F841" t="s">
        <v>612</v>
      </c>
      <c r="G841" t="s">
        <v>51</v>
      </c>
      <c r="H841" t="s">
        <v>145</v>
      </c>
      <c r="I841" t="s">
        <v>53</v>
      </c>
      <c r="J841" t="s">
        <v>54</v>
      </c>
      <c r="K841">
        <v>814033</v>
      </c>
      <c r="L841" t="s">
        <v>147</v>
      </c>
      <c r="M841" t="s">
        <v>148</v>
      </c>
      <c r="N841" t="s">
        <v>57</v>
      </c>
      <c r="O841" s="1">
        <v>45748</v>
      </c>
      <c r="Q841" s="1">
        <v>45992</v>
      </c>
      <c r="R841" s="2">
        <v>46.54</v>
      </c>
      <c r="S841">
        <v>1</v>
      </c>
      <c r="T841" t="s">
        <v>58</v>
      </c>
      <c r="U841" t="s">
        <v>59</v>
      </c>
      <c r="V841" s="3">
        <v>0.7</v>
      </c>
      <c r="W841" s="2">
        <v>0</v>
      </c>
      <c r="X841">
        <v>0</v>
      </c>
      <c r="Y841" t="s">
        <v>60</v>
      </c>
      <c r="Z841" t="s">
        <v>61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32.58</v>
      </c>
      <c r="AN841" s="2">
        <v>32.58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45957</v>
      </c>
      <c r="B842" t="s">
        <v>48</v>
      </c>
      <c r="C842">
        <v>649163</v>
      </c>
      <c r="D842">
        <v>2027936971</v>
      </c>
      <c r="E842" t="s">
        <v>619</v>
      </c>
      <c r="F842" t="s">
        <v>620</v>
      </c>
      <c r="G842" t="s">
        <v>51</v>
      </c>
      <c r="H842" t="s">
        <v>92</v>
      </c>
      <c r="I842" t="s">
        <v>53</v>
      </c>
      <c r="J842" t="s">
        <v>54</v>
      </c>
      <c r="K842">
        <v>816021</v>
      </c>
      <c r="L842" t="s">
        <v>93</v>
      </c>
      <c r="M842" t="s">
        <v>94</v>
      </c>
      <c r="N842" t="s">
        <v>57</v>
      </c>
      <c r="O842" s="1">
        <v>45748</v>
      </c>
      <c r="Q842" s="1">
        <v>45992</v>
      </c>
      <c r="R842" s="2">
        <v>27.38</v>
      </c>
      <c r="S842">
        <v>1</v>
      </c>
      <c r="T842" t="s">
        <v>58</v>
      </c>
      <c r="U842" t="s">
        <v>59</v>
      </c>
      <c r="V842" s="3">
        <v>0.7</v>
      </c>
      <c r="W842" s="2">
        <v>0</v>
      </c>
      <c r="X842">
        <v>0</v>
      </c>
      <c r="Y842" t="s">
        <v>60</v>
      </c>
      <c r="Z842" t="s">
        <v>61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19.170000000000002</v>
      </c>
      <c r="AN842" s="2">
        <v>19.170000000000002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45957</v>
      </c>
      <c r="B843" t="s">
        <v>48</v>
      </c>
      <c r="C843">
        <v>649163</v>
      </c>
      <c r="D843">
        <v>2027937824</v>
      </c>
      <c r="E843" t="s">
        <v>899</v>
      </c>
      <c r="F843" t="s">
        <v>900</v>
      </c>
      <c r="G843" t="s">
        <v>51</v>
      </c>
      <c r="H843" t="s">
        <v>636</v>
      </c>
      <c r="I843" t="s">
        <v>53</v>
      </c>
      <c r="J843" t="s">
        <v>54</v>
      </c>
      <c r="K843">
        <v>673059</v>
      </c>
      <c r="L843" t="s">
        <v>55</v>
      </c>
      <c r="M843" t="s">
        <v>56</v>
      </c>
      <c r="N843" t="s">
        <v>57</v>
      </c>
      <c r="O843" s="1">
        <v>45748</v>
      </c>
      <c r="Q843" s="1">
        <v>45992</v>
      </c>
      <c r="R843" s="2">
        <v>142.59</v>
      </c>
      <c r="S843">
        <v>1</v>
      </c>
      <c r="T843" t="s">
        <v>58</v>
      </c>
      <c r="U843" t="s">
        <v>59</v>
      </c>
      <c r="V843" s="3">
        <v>0.7</v>
      </c>
      <c r="W843" s="2">
        <v>0</v>
      </c>
      <c r="X843">
        <v>0</v>
      </c>
      <c r="Y843" t="s">
        <v>60</v>
      </c>
      <c r="Z843" t="s">
        <v>61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99.81</v>
      </c>
      <c r="AN843" s="2">
        <v>99.81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45957</v>
      </c>
      <c r="B844" t="s">
        <v>48</v>
      </c>
      <c r="C844">
        <v>649163</v>
      </c>
      <c r="D844">
        <v>2027957199</v>
      </c>
      <c r="E844" t="s">
        <v>1018</v>
      </c>
      <c r="F844" t="s">
        <v>483</v>
      </c>
      <c r="G844" t="s">
        <v>51</v>
      </c>
      <c r="H844" t="s">
        <v>118</v>
      </c>
      <c r="I844" t="s">
        <v>53</v>
      </c>
      <c r="J844" t="s">
        <v>132</v>
      </c>
      <c r="K844">
        <v>823068</v>
      </c>
      <c r="L844" t="s">
        <v>120</v>
      </c>
      <c r="M844" t="s">
        <v>121</v>
      </c>
      <c r="N844" t="s">
        <v>57</v>
      </c>
      <c r="O844" s="1">
        <v>45743</v>
      </c>
      <c r="Q844" s="1">
        <v>45988</v>
      </c>
      <c r="R844" s="2">
        <v>96.17</v>
      </c>
      <c r="S844">
        <v>1</v>
      </c>
      <c r="T844" t="s">
        <v>58</v>
      </c>
      <c r="U844" t="s">
        <v>59</v>
      </c>
      <c r="V844" s="3">
        <v>0.9</v>
      </c>
      <c r="W844" s="2">
        <v>0</v>
      </c>
      <c r="X844">
        <v>0</v>
      </c>
      <c r="Y844" t="s">
        <v>60</v>
      </c>
      <c r="Z844" t="s">
        <v>61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86.55</v>
      </c>
      <c r="AN844" s="2">
        <v>86.55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45957</v>
      </c>
      <c r="B845" t="s">
        <v>48</v>
      </c>
      <c r="C845">
        <v>649163</v>
      </c>
      <c r="D845">
        <v>2027980063</v>
      </c>
      <c r="E845" t="s">
        <v>903</v>
      </c>
      <c r="F845" t="s">
        <v>342</v>
      </c>
      <c r="G845" t="s">
        <v>51</v>
      </c>
      <c r="H845" t="s">
        <v>69</v>
      </c>
      <c r="I845" t="s">
        <v>53</v>
      </c>
      <c r="J845" t="s">
        <v>54</v>
      </c>
      <c r="K845">
        <v>856824</v>
      </c>
      <c r="L845" t="s">
        <v>175</v>
      </c>
      <c r="M845" t="s">
        <v>176</v>
      </c>
      <c r="N845" t="s">
        <v>57</v>
      </c>
      <c r="O845" s="1">
        <v>45748</v>
      </c>
      <c r="Q845" s="1">
        <v>45992</v>
      </c>
      <c r="R845" s="2">
        <v>31.6</v>
      </c>
      <c r="S845">
        <v>1</v>
      </c>
      <c r="T845" t="s">
        <v>58</v>
      </c>
      <c r="U845" t="s">
        <v>59</v>
      </c>
      <c r="V845" s="3">
        <v>0.7</v>
      </c>
      <c r="W845" s="2">
        <v>0</v>
      </c>
      <c r="X845">
        <v>0</v>
      </c>
      <c r="Y845" t="s">
        <v>60</v>
      </c>
      <c r="Z845" t="s">
        <v>61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22.12</v>
      </c>
      <c r="AN845" s="2">
        <v>22.12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45957</v>
      </c>
      <c r="B846" t="s">
        <v>48</v>
      </c>
      <c r="C846">
        <v>649163</v>
      </c>
      <c r="D846">
        <v>2027996023</v>
      </c>
      <c r="E846" t="s">
        <v>103</v>
      </c>
      <c r="F846" t="s">
        <v>621</v>
      </c>
      <c r="G846" t="s">
        <v>51</v>
      </c>
      <c r="H846" t="s">
        <v>52</v>
      </c>
      <c r="I846" t="s">
        <v>53</v>
      </c>
      <c r="J846" t="s">
        <v>54</v>
      </c>
      <c r="K846">
        <v>821015</v>
      </c>
      <c r="L846" t="s">
        <v>398</v>
      </c>
      <c r="M846" t="s">
        <v>399</v>
      </c>
      <c r="N846" t="s">
        <v>57</v>
      </c>
      <c r="O846" s="1">
        <v>45743</v>
      </c>
      <c r="Q846" s="1">
        <v>45988</v>
      </c>
      <c r="R846" s="2">
        <v>18.350000000000001</v>
      </c>
      <c r="S846">
        <v>1</v>
      </c>
      <c r="T846" t="s">
        <v>58</v>
      </c>
      <c r="U846" t="s">
        <v>59</v>
      </c>
      <c r="V846" s="3">
        <v>0.7</v>
      </c>
      <c r="W846" s="2">
        <v>0</v>
      </c>
      <c r="X846">
        <v>0</v>
      </c>
      <c r="Y846" t="s">
        <v>60</v>
      </c>
      <c r="Z846" t="s">
        <v>61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12.84</v>
      </c>
      <c r="AN846" s="2">
        <v>12.84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45957</v>
      </c>
      <c r="B847" t="s">
        <v>48</v>
      </c>
      <c r="C847">
        <v>649163</v>
      </c>
      <c r="D847">
        <v>2028003033</v>
      </c>
      <c r="E847" t="s">
        <v>1019</v>
      </c>
      <c r="F847" t="s">
        <v>308</v>
      </c>
      <c r="G847" t="s">
        <v>51</v>
      </c>
      <c r="H847" t="s">
        <v>69</v>
      </c>
      <c r="I847" t="s">
        <v>53</v>
      </c>
      <c r="J847" t="s">
        <v>54</v>
      </c>
      <c r="K847">
        <v>814033</v>
      </c>
      <c r="L847" t="s">
        <v>147</v>
      </c>
      <c r="M847" t="s">
        <v>148</v>
      </c>
      <c r="N847" t="s">
        <v>57</v>
      </c>
      <c r="O847" s="1">
        <v>45748</v>
      </c>
      <c r="Q847" s="1">
        <v>45992</v>
      </c>
      <c r="R847" s="2">
        <v>66.36</v>
      </c>
      <c r="S847">
        <v>1</v>
      </c>
      <c r="T847" t="s">
        <v>58</v>
      </c>
      <c r="U847" t="s">
        <v>59</v>
      </c>
      <c r="V847" s="3">
        <v>0.7</v>
      </c>
      <c r="W847" s="2">
        <v>0</v>
      </c>
      <c r="X847">
        <v>0</v>
      </c>
      <c r="Y847" t="s">
        <v>60</v>
      </c>
      <c r="Z847" t="s">
        <v>61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46.45</v>
      </c>
      <c r="AN847" s="2">
        <v>46.45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45957</v>
      </c>
      <c r="B848" t="s">
        <v>48</v>
      </c>
      <c r="C848">
        <v>649163</v>
      </c>
      <c r="D848">
        <v>2028004035</v>
      </c>
      <c r="E848" t="s">
        <v>622</v>
      </c>
      <c r="F848" t="s">
        <v>623</v>
      </c>
      <c r="G848" t="s">
        <v>51</v>
      </c>
      <c r="H848" t="s">
        <v>92</v>
      </c>
      <c r="I848" t="s">
        <v>53</v>
      </c>
      <c r="J848" t="s">
        <v>54</v>
      </c>
      <c r="K848">
        <v>816021</v>
      </c>
      <c r="L848" t="s">
        <v>93</v>
      </c>
      <c r="M848" t="s">
        <v>94</v>
      </c>
      <c r="N848" t="s">
        <v>57</v>
      </c>
      <c r="O848" s="1">
        <v>45741</v>
      </c>
      <c r="Q848" s="1">
        <v>45986</v>
      </c>
      <c r="R848" s="2">
        <v>9.1</v>
      </c>
      <c r="S848">
        <v>1</v>
      </c>
      <c r="T848" t="s">
        <v>58</v>
      </c>
      <c r="U848" t="s">
        <v>59</v>
      </c>
      <c r="V848" s="3">
        <v>0.7</v>
      </c>
      <c r="W848" s="2">
        <v>0</v>
      </c>
      <c r="X848">
        <v>0</v>
      </c>
      <c r="Y848" t="s">
        <v>60</v>
      </c>
      <c r="Z848" t="s">
        <v>61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6.37</v>
      </c>
      <c r="AN848" s="2">
        <v>6.37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45957</v>
      </c>
      <c r="B849" t="s">
        <v>48</v>
      </c>
      <c r="C849">
        <v>649163</v>
      </c>
      <c r="D849">
        <v>2028005041</v>
      </c>
      <c r="E849" t="s">
        <v>904</v>
      </c>
      <c r="F849" t="s">
        <v>905</v>
      </c>
      <c r="G849" t="s">
        <v>51</v>
      </c>
      <c r="H849" t="s">
        <v>69</v>
      </c>
      <c r="I849" t="s">
        <v>53</v>
      </c>
      <c r="J849" t="s">
        <v>54</v>
      </c>
      <c r="K849">
        <v>824062</v>
      </c>
      <c r="L849" t="s">
        <v>74</v>
      </c>
      <c r="M849" t="s">
        <v>75</v>
      </c>
      <c r="N849" t="s">
        <v>57</v>
      </c>
      <c r="O849" s="1">
        <v>45741</v>
      </c>
      <c r="Q849" s="1">
        <v>45986</v>
      </c>
      <c r="R849" s="2">
        <v>15.75</v>
      </c>
      <c r="S849">
        <v>1</v>
      </c>
      <c r="T849" t="s">
        <v>58</v>
      </c>
      <c r="U849" t="s">
        <v>59</v>
      </c>
      <c r="V849" s="3">
        <v>0.7</v>
      </c>
      <c r="W849" s="2">
        <v>0</v>
      </c>
      <c r="X849">
        <v>0</v>
      </c>
      <c r="Y849" t="s">
        <v>60</v>
      </c>
      <c r="Z849" t="s">
        <v>61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11.02</v>
      </c>
      <c r="AN849" s="2">
        <v>11.02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45957</v>
      </c>
      <c r="B850" t="s">
        <v>48</v>
      </c>
      <c r="C850">
        <v>649163</v>
      </c>
      <c r="D850">
        <v>2028005610</v>
      </c>
      <c r="E850" t="s">
        <v>1020</v>
      </c>
      <c r="F850" t="s">
        <v>1021</v>
      </c>
      <c r="G850" t="s">
        <v>51</v>
      </c>
      <c r="H850" t="s">
        <v>179</v>
      </c>
      <c r="I850" t="s">
        <v>53</v>
      </c>
      <c r="J850" t="s">
        <v>54</v>
      </c>
      <c r="K850">
        <v>673059</v>
      </c>
      <c r="L850" t="s">
        <v>55</v>
      </c>
      <c r="M850" t="s">
        <v>56</v>
      </c>
      <c r="N850" t="s">
        <v>57</v>
      </c>
      <c r="O850" s="1">
        <v>45748</v>
      </c>
      <c r="Q850" s="1">
        <v>45992</v>
      </c>
      <c r="R850" s="2">
        <v>67.87</v>
      </c>
      <c r="S850">
        <v>1</v>
      </c>
      <c r="T850" t="s">
        <v>58</v>
      </c>
      <c r="U850" t="s">
        <v>59</v>
      </c>
      <c r="V850" s="3">
        <v>0.7</v>
      </c>
      <c r="W850" s="2">
        <v>0</v>
      </c>
      <c r="X850">
        <v>0</v>
      </c>
      <c r="Y850" t="s">
        <v>60</v>
      </c>
      <c r="Z850" t="s">
        <v>61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47.51</v>
      </c>
      <c r="AN850" s="2">
        <v>47.51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45957</v>
      </c>
      <c r="B851" t="s">
        <v>48</v>
      </c>
      <c r="C851">
        <v>649163</v>
      </c>
      <c r="D851">
        <v>2028007024</v>
      </c>
      <c r="E851" t="s">
        <v>1022</v>
      </c>
      <c r="F851" t="s">
        <v>1023</v>
      </c>
      <c r="G851" t="s">
        <v>51</v>
      </c>
      <c r="H851" t="s">
        <v>69</v>
      </c>
      <c r="I851" t="s">
        <v>53</v>
      </c>
      <c r="J851" t="s">
        <v>54</v>
      </c>
      <c r="K851">
        <v>760902</v>
      </c>
      <c r="L851" t="s">
        <v>1024</v>
      </c>
      <c r="M851" t="s">
        <v>1025</v>
      </c>
      <c r="N851" t="s">
        <v>57</v>
      </c>
      <c r="O851" s="1">
        <v>45741</v>
      </c>
      <c r="Q851" s="1">
        <v>45986</v>
      </c>
      <c r="R851" s="2">
        <v>19</v>
      </c>
      <c r="S851">
        <v>1</v>
      </c>
      <c r="T851" t="s">
        <v>58</v>
      </c>
      <c r="U851" t="s">
        <v>59</v>
      </c>
      <c r="V851" s="3">
        <v>0.7</v>
      </c>
      <c r="W851" s="2">
        <v>0</v>
      </c>
      <c r="X851">
        <v>0</v>
      </c>
      <c r="Y851" t="s">
        <v>60</v>
      </c>
      <c r="Z851" t="s">
        <v>61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13.3</v>
      </c>
      <c r="AN851" s="2">
        <v>13.3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45957</v>
      </c>
      <c r="B852" t="s">
        <v>48</v>
      </c>
      <c r="C852">
        <v>649163</v>
      </c>
      <c r="D852">
        <v>2028019977</v>
      </c>
      <c r="E852" t="s">
        <v>557</v>
      </c>
      <c r="F852" t="s">
        <v>56</v>
      </c>
      <c r="G852" t="s">
        <v>51</v>
      </c>
      <c r="H852" t="s">
        <v>261</v>
      </c>
      <c r="I852" t="s">
        <v>53</v>
      </c>
      <c r="J852" t="s">
        <v>54</v>
      </c>
      <c r="K852">
        <v>822865</v>
      </c>
      <c r="L852" t="s">
        <v>469</v>
      </c>
      <c r="M852" t="s">
        <v>470</v>
      </c>
      <c r="N852" t="s">
        <v>57</v>
      </c>
      <c r="O852" s="1">
        <v>45742</v>
      </c>
      <c r="Q852" s="1">
        <v>45987</v>
      </c>
      <c r="R852" s="2">
        <v>128.80000000000001</v>
      </c>
      <c r="S852">
        <v>1</v>
      </c>
      <c r="T852" t="s">
        <v>58</v>
      </c>
      <c r="U852" t="s">
        <v>59</v>
      </c>
      <c r="V852" s="3">
        <v>0.7</v>
      </c>
      <c r="W852" s="2">
        <v>0</v>
      </c>
      <c r="X852">
        <v>0</v>
      </c>
      <c r="Y852" t="s">
        <v>60</v>
      </c>
      <c r="Z852" t="s">
        <v>61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90.16</v>
      </c>
      <c r="AN852" s="2">
        <v>90.16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45957</v>
      </c>
      <c r="B853" t="s">
        <v>48</v>
      </c>
      <c r="C853">
        <v>649163</v>
      </c>
      <c r="D853">
        <v>2028028177</v>
      </c>
      <c r="E853" t="s">
        <v>531</v>
      </c>
      <c r="F853" t="s">
        <v>532</v>
      </c>
      <c r="G853" t="s">
        <v>51</v>
      </c>
      <c r="H853" t="s">
        <v>195</v>
      </c>
      <c r="I853" t="s">
        <v>53</v>
      </c>
      <c r="J853" t="s">
        <v>119</v>
      </c>
      <c r="K853">
        <v>823068</v>
      </c>
      <c r="L853" t="s">
        <v>120</v>
      </c>
      <c r="M853" t="s">
        <v>121</v>
      </c>
      <c r="N853" t="s">
        <v>57</v>
      </c>
      <c r="O853" s="1">
        <v>45748</v>
      </c>
      <c r="Q853" s="1">
        <v>45992</v>
      </c>
      <c r="R853" s="2">
        <v>25.73</v>
      </c>
      <c r="S853">
        <v>1</v>
      </c>
      <c r="T853" t="s">
        <v>58</v>
      </c>
      <c r="U853" t="s">
        <v>59</v>
      </c>
      <c r="V853" s="3">
        <v>0.7</v>
      </c>
      <c r="W853" s="2">
        <v>0</v>
      </c>
      <c r="X853">
        <v>0</v>
      </c>
      <c r="Y853" t="s">
        <v>60</v>
      </c>
      <c r="Z853" t="s">
        <v>61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18.010000000000002</v>
      </c>
      <c r="AN853" s="2">
        <v>18.010000000000002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45957</v>
      </c>
      <c r="B854" t="s">
        <v>48</v>
      </c>
      <c r="C854">
        <v>649163</v>
      </c>
      <c r="D854">
        <v>2028041239</v>
      </c>
      <c r="E854" t="s">
        <v>1026</v>
      </c>
      <c r="F854" t="s">
        <v>1027</v>
      </c>
      <c r="G854" t="s">
        <v>51</v>
      </c>
      <c r="H854" t="s">
        <v>69</v>
      </c>
      <c r="I854" t="s">
        <v>53</v>
      </c>
      <c r="J854" t="s">
        <v>54</v>
      </c>
      <c r="K854">
        <v>814033</v>
      </c>
      <c r="L854" t="s">
        <v>147</v>
      </c>
      <c r="M854" t="s">
        <v>148</v>
      </c>
      <c r="N854" t="s">
        <v>57</v>
      </c>
      <c r="O854" s="1">
        <v>45748</v>
      </c>
      <c r="Q854" s="1">
        <v>45992</v>
      </c>
      <c r="R854" s="2">
        <v>66.36</v>
      </c>
      <c r="S854">
        <v>1</v>
      </c>
      <c r="T854" t="s">
        <v>58</v>
      </c>
      <c r="U854" t="s">
        <v>59</v>
      </c>
      <c r="V854" s="3">
        <v>0.7</v>
      </c>
      <c r="W854" s="2">
        <v>0</v>
      </c>
      <c r="X854">
        <v>0</v>
      </c>
      <c r="Y854" t="s">
        <v>60</v>
      </c>
      <c r="Z854" t="s">
        <v>61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46.45</v>
      </c>
      <c r="AN854" s="2">
        <v>46.45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45957</v>
      </c>
      <c r="B855" t="s">
        <v>48</v>
      </c>
      <c r="C855">
        <v>649163</v>
      </c>
      <c r="D855">
        <v>2028041473</v>
      </c>
      <c r="E855" t="s">
        <v>162</v>
      </c>
      <c r="F855" t="s">
        <v>1028</v>
      </c>
      <c r="G855" t="s">
        <v>51</v>
      </c>
      <c r="H855" t="s">
        <v>195</v>
      </c>
      <c r="I855" t="s">
        <v>53</v>
      </c>
      <c r="J855" t="s">
        <v>132</v>
      </c>
      <c r="K855">
        <v>651818</v>
      </c>
      <c r="L855" t="s">
        <v>560</v>
      </c>
      <c r="M855" t="s">
        <v>336</v>
      </c>
      <c r="N855" t="s">
        <v>57</v>
      </c>
      <c r="O855" s="1">
        <v>45748</v>
      </c>
      <c r="Q855" s="1">
        <v>45992</v>
      </c>
      <c r="R855" s="2">
        <v>99.25</v>
      </c>
      <c r="S855">
        <v>1</v>
      </c>
      <c r="T855" t="s">
        <v>58</v>
      </c>
      <c r="U855" t="s">
        <v>59</v>
      </c>
      <c r="V855" s="3">
        <v>0.9</v>
      </c>
      <c r="W855" s="2">
        <v>0</v>
      </c>
      <c r="X855">
        <v>0</v>
      </c>
      <c r="Y855" t="s">
        <v>60</v>
      </c>
      <c r="Z855" t="s">
        <v>61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89.32</v>
      </c>
      <c r="AN855" s="2">
        <v>89.32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45957</v>
      </c>
      <c r="B856" t="s">
        <v>48</v>
      </c>
      <c r="C856">
        <v>649163</v>
      </c>
      <c r="D856">
        <v>2028043912</v>
      </c>
      <c r="E856" t="s">
        <v>280</v>
      </c>
      <c r="F856" t="s">
        <v>907</v>
      </c>
      <c r="G856" t="s">
        <v>51</v>
      </c>
      <c r="H856" t="s">
        <v>69</v>
      </c>
      <c r="I856" t="s">
        <v>53</v>
      </c>
      <c r="J856" t="s">
        <v>54</v>
      </c>
      <c r="K856">
        <v>806645</v>
      </c>
      <c r="L856" t="s">
        <v>88</v>
      </c>
      <c r="M856" t="s">
        <v>89</v>
      </c>
      <c r="N856" t="s">
        <v>57</v>
      </c>
      <c r="O856" s="1">
        <v>45748</v>
      </c>
      <c r="Q856" s="1">
        <v>45992</v>
      </c>
      <c r="R856" s="2">
        <v>19</v>
      </c>
      <c r="S856">
        <v>1</v>
      </c>
      <c r="T856" t="s">
        <v>58</v>
      </c>
      <c r="U856" t="s">
        <v>59</v>
      </c>
      <c r="V856" s="3">
        <v>0.7</v>
      </c>
      <c r="W856" s="2">
        <v>0</v>
      </c>
      <c r="X856">
        <v>0</v>
      </c>
      <c r="Y856" t="s">
        <v>60</v>
      </c>
      <c r="Z856" t="s">
        <v>61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13.3</v>
      </c>
      <c r="AN856" s="2">
        <v>13.3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45957</v>
      </c>
      <c r="B857" t="s">
        <v>48</v>
      </c>
      <c r="C857">
        <v>649163</v>
      </c>
      <c r="D857">
        <v>2028044364</v>
      </c>
      <c r="E857" t="s">
        <v>280</v>
      </c>
      <c r="F857" t="s">
        <v>907</v>
      </c>
      <c r="G857" t="s">
        <v>51</v>
      </c>
      <c r="H857" t="s">
        <v>69</v>
      </c>
      <c r="I857" t="s">
        <v>53</v>
      </c>
      <c r="J857" t="s">
        <v>132</v>
      </c>
      <c r="K857">
        <v>806645</v>
      </c>
      <c r="L857" t="s">
        <v>88</v>
      </c>
      <c r="M857" t="s">
        <v>89</v>
      </c>
      <c r="N857" t="s">
        <v>57</v>
      </c>
      <c r="O857" s="1">
        <v>45748</v>
      </c>
      <c r="Q857" s="1">
        <v>45992</v>
      </c>
      <c r="R857" s="2">
        <v>96.33</v>
      </c>
      <c r="S857">
        <v>1</v>
      </c>
      <c r="T857" t="s">
        <v>58</v>
      </c>
      <c r="U857" t="s">
        <v>59</v>
      </c>
      <c r="V857" s="3">
        <v>0.9</v>
      </c>
      <c r="W857" s="2">
        <v>0</v>
      </c>
      <c r="X857">
        <v>0</v>
      </c>
      <c r="Y857" t="s">
        <v>60</v>
      </c>
      <c r="Z857" t="s">
        <v>61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86.7</v>
      </c>
      <c r="AN857" s="2">
        <v>86.7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45957</v>
      </c>
      <c r="B858" t="s">
        <v>48</v>
      </c>
      <c r="C858">
        <v>649163</v>
      </c>
      <c r="D858">
        <v>2028052818</v>
      </c>
      <c r="E858" t="s">
        <v>624</v>
      </c>
      <c r="F858" t="s">
        <v>625</v>
      </c>
      <c r="G858" t="s">
        <v>51</v>
      </c>
      <c r="H858" t="s">
        <v>165</v>
      </c>
      <c r="I858" t="s">
        <v>53</v>
      </c>
      <c r="J858" t="s">
        <v>54</v>
      </c>
      <c r="K858">
        <v>753748</v>
      </c>
      <c r="L858" t="s">
        <v>65</v>
      </c>
      <c r="M858" t="s">
        <v>66</v>
      </c>
      <c r="N858" t="s">
        <v>57</v>
      </c>
      <c r="O858" s="1">
        <v>45748</v>
      </c>
      <c r="Q858" s="1">
        <v>45992</v>
      </c>
      <c r="R858" s="2">
        <v>163.43</v>
      </c>
      <c r="S858">
        <v>1</v>
      </c>
      <c r="T858" t="s">
        <v>58</v>
      </c>
      <c r="U858" t="s">
        <v>59</v>
      </c>
      <c r="V858" s="3">
        <v>0.7</v>
      </c>
      <c r="W858" s="2">
        <v>0</v>
      </c>
      <c r="X858">
        <v>0</v>
      </c>
      <c r="Y858" t="s">
        <v>60</v>
      </c>
      <c r="Z858" t="s">
        <v>61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114.4</v>
      </c>
      <c r="AN858" s="2">
        <v>114.4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45957</v>
      </c>
      <c r="B859" t="s">
        <v>48</v>
      </c>
      <c r="C859">
        <v>649163</v>
      </c>
      <c r="D859">
        <v>2028061837</v>
      </c>
      <c r="E859" t="s">
        <v>908</v>
      </c>
      <c r="F859" t="s">
        <v>67</v>
      </c>
      <c r="G859" t="s">
        <v>51</v>
      </c>
      <c r="H859" t="s">
        <v>69</v>
      </c>
      <c r="I859" t="s">
        <v>53</v>
      </c>
      <c r="J859" t="s">
        <v>54</v>
      </c>
      <c r="K859">
        <v>824062</v>
      </c>
      <c r="L859" t="s">
        <v>74</v>
      </c>
      <c r="M859" t="s">
        <v>75</v>
      </c>
      <c r="N859" t="s">
        <v>57</v>
      </c>
      <c r="O859" s="1">
        <v>45748</v>
      </c>
      <c r="Q859" s="1">
        <v>45992</v>
      </c>
      <c r="R859" s="2">
        <v>11.5</v>
      </c>
      <c r="S859">
        <v>1</v>
      </c>
      <c r="T859" t="s">
        <v>58</v>
      </c>
      <c r="U859" t="s">
        <v>59</v>
      </c>
      <c r="V859" s="3">
        <v>0.7</v>
      </c>
      <c r="W859" s="2">
        <v>0</v>
      </c>
      <c r="X859">
        <v>0</v>
      </c>
      <c r="Y859" t="s">
        <v>60</v>
      </c>
      <c r="Z859" t="s">
        <v>61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8.0500000000000007</v>
      </c>
      <c r="AN859" s="2">
        <v>8.0500000000000007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45957</v>
      </c>
      <c r="B860" t="s">
        <v>48</v>
      </c>
      <c r="C860">
        <v>649163</v>
      </c>
      <c r="D860">
        <v>2028062220</v>
      </c>
      <c r="E860" t="s">
        <v>280</v>
      </c>
      <c r="F860" t="s">
        <v>1029</v>
      </c>
      <c r="G860" t="s">
        <v>51</v>
      </c>
      <c r="H860" t="s">
        <v>69</v>
      </c>
      <c r="I860" t="s">
        <v>53</v>
      </c>
      <c r="J860" t="s">
        <v>54</v>
      </c>
      <c r="K860">
        <v>766747</v>
      </c>
      <c r="L860" t="s">
        <v>97</v>
      </c>
      <c r="M860" t="s">
        <v>98</v>
      </c>
      <c r="N860" t="s">
        <v>57</v>
      </c>
      <c r="O860" s="1">
        <v>45748</v>
      </c>
      <c r="Q860" s="1">
        <v>45992</v>
      </c>
      <c r="R860" s="2">
        <v>34</v>
      </c>
      <c r="S860">
        <v>1</v>
      </c>
      <c r="T860" t="s">
        <v>58</v>
      </c>
      <c r="U860" t="s">
        <v>59</v>
      </c>
      <c r="V860" s="3">
        <v>0.7</v>
      </c>
      <c r="W860" s="2">
        <v>0</v>
      </c>
      <c r="X860">
        <v>0</v>
      </c>
      <c r="Y860" t="s">
        <v>60</v>
      </c>
      <c r="Z860" t="s">
        <v>61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23.8</v>
      </c>
      <c r="AN860" s="2">
        <v>23.8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45957</v>
      </c>
      <c r="B861" t="s">
        <v>48</v>
      </c>
      <c r="C861">
        <v>649163</v>
      </c>
      <c r="D861">
        <v>2028064454</v>
      </c>
      <c r="E861" t="s">
        <v>909</v>
      </c>
      <c r="F861" t="s">
        <v>312</v>
      </c>
      <c r="G861" t="s">
        <v>51</v>
      </c>
      <c r="H861" t="s">
        <v>81</v>
      </c>
      <c r="I861" t="s">
        <v>53</v>
      </c>
      <c r="J861" t="s">
        <v>54</v>
      </c>
      <c r="K861">
        <v>823350</v>
      </c>
      <c r="L861" t="s">
        <v>70</v>
      </c>
      <c r="M861" t="s">
        <v>183</v>
      </c>
      <c r="N861" t="s">
        <v>57</v>
      </c>
      <c r="O861" s="1">
        <v>45748</v>
      </c>
      <c r="Q861" s="1">
        <v>45992</v>
      </c>
      <c r="R861" s="2">
        <v>120.5</v>
      </c>
      <c r="S861">
        <v>1</v>
      </c>
      <c r="T861" t="s">
        <v>58</v>
      </c>
      <c r="U861" t="s">
        <v>59</v>
      </c>
      <c r="V861" s="3">
        <v>0.7</v>
      </c>
      <c r="W861" s="2">
        <v>0</v>
      </c>
      <c r="X861">
        <v>0</v>
      </c>
      <c r="Y861" t="s">
        <v>60</v>
      </c>
      <c r="Z861" t="s">
        <v>61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84.35</v>
      </c>
      <c r="AN861" s="2">
        <v>84.35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45957</v>
      </c>
      <c r="B862" t="s">
        <v>48</v>
      </c>
      <c r="C862">
        <v>649163</v>
      </c>
      <c r="D862">
        <v>2028070290</v>
      </c>
      <c r="E862" t="s">
        <v>1030</v>
      </c>
      <c r="F862" t="s">
        <v>679</v>
      </c>
      <c r="G862" t="s">
        <v>51</v>
      </c>
      <c r="H862" t="s">
        <v>52</v>
      </c>
      <c r="I862" t="s">
        <v>53</v>
      </c>
      <c r="J862" t="s">
        <v>54</v>
      </c>
      <c r="K862">
        <v>768887</v>
      </c>
      <c r="L862" t="s">
        <v>289</v>
      </c>
      <c r="M862" t="s">
        <v>290</v>
      </c>
      <c r="N862" t="s">
        <v>57</v>
      </c>
      <c r="O862" s="1">
        <v>45744</v>
      </c>
      <c r="Q862" s="1">
        <v>45989</v>
      </c>
      <c r="R862" s="2">
        <v>95.41</v>
      </c>
      <c r="S862">
        <v>1</v>
      </c>
      <c r="T862" t="s">
        <v>58</v>
      </c>
      <c r="U862" t="s">
        <v>59</v>
      </c>
      <c r="V862" s="3">
        <v>0.7</v>
      </c>
      <c r="W862" s="2">
        <v>0</v>
      </c>
      <c r="X862">
        <v>0</v>
      </c>
      <c r="Y862" t="s">
        <v>60</v>
      </c>
      <c r="Z862" t="s">
        <v>61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66.790000000000006</v>
      </c>
      <c r="AN862" s="2">
        <v>66.790000000000006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45957</v>
      </c>
      <c r="B863" t="s">
        <v>48</v>
      </c>
      <c r="C863">
        <v>649163</v>
      </c>
      <c r="D863">
        <v>2028076164</v>
      </c>
      <c r="E863" t="s">
        <v>910</v>
      </c>
      <c r="F863" t="s">
        <v>911</v>
      </c>
      <c r="G863" t="s">
        <v>51</v>
      </c>
      <c r="H863" t="s">
        <v>261</v>
      </c>
      <c r="I863" t="s">
        <v>53</v>
      </c>
      <c r="J863" t="s">
        <v>54</v>
      </c>
      <c r="K863">
        <v>821015</v>
      </c>
      <c r="L863" t="s">
        <v>398</v>
      </c>
      <c r="M863" t="s">
        <v>399</v>
      </c>
      <c r="N863" t="s">
        <v>57</v>
      </c>
      <c r="O863" s="1">
        <v>45748</v>
      </c>
      <c r="Q863" s="1">
        <v>45992</v>
      </c>
      <c r="R863" s="2">
        <v>101.99</v>
      </c>
      <c r="S863">
        <v>1</v>
      </c>
      <c r="T863" t="s">
        <v>58</v>
      </c>
      <c r="U863" t="s">
        <v>59</v>
      </c>
      <c r="V863" s="3">
        <v>0.7</v>
      </c>
      <c r="W863" s="2">
        <v>0</v>
      </c>
      <c r="X863">
        <v>0</v>
      </c>
      <c r="Y863" t="s">
        <v>60</v>
      </c>
      <c r="Z863" t="s">
        <v>61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71.39</v>
      </c>
      <c r="AN863" s="2">
        <v>71.39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45957</v>
      </c>
      <c r="B864" t="s">
        <v>48</v>
      </c>
      <c r="C864">
        <v>649163</v>
      </c>
      <c r="D864">
        <v>2028112437</v>
      </c>
      <c r="E864" t="s">
        <v>914</v>
      </c>
      <c r="F864" t="s">
        <v>374</v>
      </c>
      <c r="G864" t="s">
        <v>51</v>
      </c>
      <c r="H864" t="s">
        <v>165</v>
      </c>
      <c r="I864" t="s">
        <v>53</v>
      </c>
      <c r="J864" t="s">
        <v>54</v>
      </c>
      <c r="K864">
        <v>823350</v>
      </c>
      <c r="L864" t="s">
        <v>70</v>
      </c>
      <c r="M864" t="s">
        <v>183</v>
      </c>
      <c r="N864" t="s">
        <v>57</v>
      </c>
      <c r="O864" s="1">
        <v>45748</v>
      </c>
      <c r="Q864" s="1">
        <v>45992</v>
      </c>
      <c r="R864" s="2">
        <v>140.6</v>
      </c>
      <c r="S864">
        <v>1</v>
      </c>
      <c r="T864" t="s">
        <v>58</v>
      </c>
      <c r="U864" t="s">
        <v>59</v>
      </c>
      <c r="V864" s="3">
        <v>0.7</v>
      </c>
      <c r="W864" s="2">
        <v>0</v>
      </c>
      <c r="X864">
        <v>0</v>
      </c>
      <c r="Y864" t="s">
        <v>60</v>
      </c>
      <c r="Z864" t="s">
        <v>61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98.42</v>
      </c>
      <c r="AN864" s="2">
        <v>98.42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45957</v>
      </c>
      <c r="B865" t="s">
        <v>48</v>
      </c>
      <c r="C865">
        <v>649163</v>
      </c>
      <c r="D865">
        <v>2028134802</v>
      </c>
      <c r="E865" t="s">
        <v>56</v>
      </c>
      <c r="F865" t="s">
        <v>1031</v>
      </c>
      <c r="G865" t="s">
        <v>51</v>
      </c>
      <c r="H865" t="s">
        <v>563</v>
      </c>
      <c r="I865" t="s">
        <v>53</v>
      </c>
      <c r="J865" t="s">
        <v>54</v>
      </c>
      <c r="K865">
        <v>767312</v>
      </c>
      <c r="L865" t="s">
        <v>237</v>
      </c>
      <c r="M865" t="s">
        <v>103</v>
      </c>
      <c r="N865" t="s">
        <v>57</v>
      </c>
      <c r="O865" s="1">
        <v>45748</v>
      </c>
      <c r="Q865" s="1">
        <v>45992</v>
      </c>
      <c r="R865" s="2">
        <v>17.64</v>
      </c>
      <c r="S865">
        <v>1</v>
      </c>
      <c r="T865" t="s">
        <v>58</v>
      </c>
      <c r="U865" t="s">
        <v>59</v>
      </c>
      <c r="V865" s="3">
        <v>0.7</v>
      </c>
      <c r="W865" s="2">
        <v>0</v>
      </c>
      <c r="X865">
        <v>0</v>
      </c>
      <c r="Y865" t="s">
        <v>60</v>
      </c>
      <c r="Z865" t="s">
        <v>61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12.35</v>
      </c>
      <c r="AN865" s="2">
        <v>12.35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45957</v>
      </c>
      <c r="B866" t="s">
        <v>48</v>
      </c>
      <c r="C866">
        <v>649163</v>
      </c>
      <c r="D866">
        <v>2028134803</v>
      </c>
      <c r="E866" t="s">
        <v>56</v>
      </c>
      <c r="F866" t="s">
        <v>1031</v>
      </c>
      <c r="G866" t="s">
        <v>51</v>
      </c>
      <c r="H866" t="s">
        <v>563</v>
      </c>
      <c r="I866" t="s">
        <v>53</v>
      </c>
      <c r="J866" t="s">
        <v>132</v>
      </c>
      <c r="K866">
        <v>767312</v>
      </c>
      <c r="L866" t="s">
        <v>237</v>
      </c>
      <c r="M866" t="s">
        <v>103</v>
      </c>
      <c r="N866" t="s">
        <v>57</v>
      </c>
      <c r="O866" s="1">
        <v>45748</v>
      </c>
      <c r="Q866" s="1">
        <v>45992</v>
      </c>
      <c r="R866" s="2">
        <v>8.7100000000000009</v>
      </c>
      <c r="S866">
        <v>1</v>
      </c>
      <c r="T866" t="s">
        <v>58</v>
      </c>
      <c r="U866" t="s">
        <v>59</v>
      </c>
      <c r="V866" s="3">
        <v>0.9</v>
      </c>
      <c r="W866" s="2">
        <v>0</v>
      </c>
      <c r="X866">
        <v>0</v>
      </c>
      <c r="Y866" t="s">
        <v>60</v>
      </c>
      <c r="Z866" t="s">
        <v>61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7.84</v>
      </c>
      <c r="AN866" s="2">
        <v>7.84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45957</v>
      </c>
      <c r="B867" t="s">
        <v>48</v>
      </c>
      <c r="C867">
        <v>649163</v>
      </c>
      <c r="D867">
        <v>2028139274</v>
      </c>
      <c r="E867" t="s">
        <v>915</v>
      </c>
      <c r="F867" t="s">
        <v>312</v>
      </c>
      <c r="G867" t="s">
        <v>51</v>
      </c>
      <c r="H867" t="s">
        <v>261</v>
      </c>
      <c r="I867" t="s">
        <v>53</v>
      </c>
      <c r="J867" t="s">
        <v>54</v>
      </c>
      <c r="K867">
        <v>822865</v>
      </c>
      <c r="L867" t="s">
        <v>469</v>
      </c>
      <c r="M867" t="s">
        <v>470</v>
      </c>
      <c r="N867" t="s">
        <v>57</v>
      </c>
      <c r="O867" s="1">
        <v>45748</v>
      </c>
      <c r="Q867" s="1">
        <v>45992</v>
      </c>
      <c r="R867" s="2">
        <v>33.54</v>
      </c>
      <c r="S867">
        <v>1</v>
      </c>
      <c r="T867" t="s">
        <v>58</v>
      </c>
      <c r="U867" t="s">
        <v>59</v>
      </c>
      <c r="V867" s="3">
        <v>0.7</v>
      </c>
      <c r="W867" s="2">
        <v>0</v>
      </c>
      <c r="X867">
        <v>0</v>
      </c>
      <c r="Y867" t="s">
        <v>60</v>
      </c>
      <c r="Z867" t="s">
        <v>61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23.48</v>
      </c>
      <c r="AN867" s="2">
        <v>23.48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45957</v>
      </c>
      <c r="B868" t="s">
        <v>48</v>
      </c>
      <c r="C868">
        <v>649163</v>
      </c>
      <c r="D868">
        <v>2028143928</v>
      </c>
      <c r="E868" t="s">
        <v>1032</v>
      </c>
      <c r="F868" t="s">
        <v>83</v>
      </c>
      <c r="G868" t="s">
        <v>51</v>
      </c>
      <c r="H868" t="s">
        <v>69</v>
      </c>
      <c r="I868" t="s">
        <v>53</v>
      </c>
      <c r="J868" t="s">
        <v>54</v>
      </c>
      <c r="K868">
        <v>768271</v>
      </c>
      <c r="L868" t="s">
        <v>973</v>
      </c>
      <c r="M868" t="s">
        <v>413</v>
      </c>
      <c r="N868" t="s">
        <v>57</v>
      </c>
      <c r="O868" s="1">
        <v>45748</v>
      </c>
      <c r="Q868" s="1">
        <v>45992</v>
      </c>
      <c r="R868" s="2">
        <v>198.36</v>
      </c>
      <c r="S868">
        <v>1</v>
      </c>
      <c r="T868" t="s">
        <v>58</v>
      </c>
      <c r="U868" t="s">
        <v>59</v>
      </c>
      <c r="V868" s="3">
        <v>0.7</v>
      </c>
      <c r="W868" s="2">
        <v>0</v>
      </c>
      <c r="X868">
        <v>0</v>
      </c>
      <c r="Y868" t="s">
        <v>60</v>
      </c>
      <c r="Z868" t="s">
        <v>61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138.85</v>
      </c>
      <c r="AN868" s="2">
        <v>138.85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45957</v>
      </c>
      <c r="B869" t="s">
        <v>48</v>
      </c>
      <c r="C869">
        <v>649163</v>
      </c>
      <c r="D869">
        <v>2028149309</v>
      </c>
      <c r="E869" t="s">
        <v>626</v>
      </c>
      <c r="F869" t="s">
        <v>98</v>
      </c>
      <c r="G869" t="s">
        <v>51</v>
      </c>
      <c r="H869" t="s">
        <v>69</v>
      </c>
      <c r="I869" t="s">
        <v>53</v>
      </c>
      <c r="J869" t="s">
        <v>54</v>
      </c>
      <c r="K869">
        <v>821015</v>
      </c>
      <c r="L869" t="s">
        <v>398</v>
      </c>
      <c r="M869" t="s">
        <v>399</v>
      </c>
      <c r="N869" t="s">
        <v>57</v>
      </c>
      <c r="O869" s="1">
        <v>45748</v>
      </c>
      <c r="Q869" s="1">
        <v>45992</v>
      </c>
      <c r="R869" s="2">
        <v>54.22</v>
      </c>
      <c r="S869">
        <v>1</v>
      </c>
      <c r="T869" t="s">
        <v>58</v>
      </c>
      <c r="U869" t="s">
        <v>59</v>
      </c>
      <c r="V869" s="3">
        <v>0.7</v>
      </c>
      <c r="W869" s="2">
        <v>0</v>
      </c>
      <c r="X869">
        <v>0</v>
      </c>
      <c r="Y869" t="s">
        <v>60</v>
      </c>
      <c r="Z869" t="s">
        <v>61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37.950000000000003</v>
      </c>
      <c r="AN869" s="2">
        <v>37.950000000000003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45957</v>
      </c>
      <c r="B870" t="s">
        <v>48</v>
      </c>
      <c r="C870">
        <v>649163</v>
      </c>
      <c r="D870">
        <v>2028149729</v>
      </c>
      <c r="E870" t="s">
        <v>916</v>
      </c>
      <c r="F870" t="s">
        <v>917</v>
      </c>
      <c r="G870" t="s">
        <v>51</v>
      </c>
      <c r="H870" t="s">
        <v>52</v>
      </c>
      <c r="I870" t="s">
        <v>53</v>
      </c>
      <c r="J870" t="s">
        <v>119</v>
      </c>
      <c r="K870">
        <v>650218</v>
      </c>
      <c r="L870" t="s">
        <v>357</v>
      </c>
      <c r="M870" t="s">
        <v>358</v>
      </c>
      <c r="N870" t="s">
        <v>57</v>
      </c>
      <c r="O870" s="1">
        <v>45748</v>
      </c>
      <c r="Q870" s="1">
        <v>45992</v>
      </c>
      <c r="R870" s="2">
        <v>25.73</v>
      </c>
      <c r="S870">
        <v>1</v>
      </c>
      <c r="T870" t="s">
        <v>58</v>
      </c>
      <c r="U870" t="s">
        <v>59</v>
      </c>
      <c r="V870" s="3">
        <v>0.7</v>
      </c>
      <c r="W870" s="2">
        <v>0</v>
      </c>
      <c r="X870">
        <v>0</v>
      </c>
      <c r="Y870" t="s">
        <v>60</v>
      </c>
      <c r="Z870" t="s">
        <v>61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18.010000000000002</v>
      </c>
      <c r="AN870" s="2">
        <v>18.010000000000002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45957</v>
      </c>
      <c r="B871" t="s">
        <v>48</v>
      </c>
      <c r="C871">
        <v>649163</v>
      </c>
      <c r="D871">
        <v>2028152220</v>
      </c>
      <c r="E871" t="s">
        <v>1033</v>
      </c>
      <c r="F871" t="s">
        <v>574</v>
      </c>
      <c r="G871" t="s">
        <v>51</v>
      </c>
      <c r="H871" t="s">
        <v>52</v>
      </c>
      <c r="I871" t="s">
        <v>53</v>
      </c>
      <c r="J871" t="s">
        <v>54</v>
      </c>
      <c r="K871">
        <v>767312</v>
      </c>
      <c r="L871" t="s">
        <v>237</v>
      </c>
      <c r="M871" t="s">
        <v>103</v>
      </c>
      <c r="N871" t="s">
        <v>57</v>
      </c>
      <c r="O871" s="1">
        <v>45748</v>
      </c>
      <c r="Q871" s="1">
        <v>45992</v>
      </c>
      <c r="R871" s="2">
        <v>33.909999999999997</v>
      </c>
      <c r="S871">
        <v>1</v>
      </c>
      <c r="T871" t="s">
        <v>58</v>
      </c>
      <c r="U871" t="s">
        <v>59</v>
      </c>
      <c r="V871" s="3">
        <v>0.7</v>
      </c>
      <c r="W871" s="2">
        <v>0</v>
      </c>
      <c r="X871">
        <v>0</v>
      </c>
      <c r="Y871" t="s">
        <v>60</v>
      </c>
      <c r="Z871" t="s">
        <v>61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23.74</v>
      </c>
      <c r="AN871" s="2">
        <v>23.74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45957</v>
      </c>
      <c r="B872" t="s">
        <v>48</v>
      </c>
      <c r="C872">
        <v>649163</v>
      </c>
      <c r="D872">
        <v>2028152248</v>
      </c>
      <c r="E872" t="s">
        <v>1034</v>
      </c>
      <c r="F872" t="s">
        <v>1035</v>
      </c>
      <c r="G872" t="s">
        <v>51</v>
      </c>
      <c r="H872" t="s">
        <v>52</v>
      </c>
      <c r="I872" t="s">
        <v>53</v>
      </c>
      <c r="J872" t="s">
        <v>54</v>
      </c>
      <c r="K872">
        <v>767312</v>
      </c>
      <c r="L872" t="s">
        <v>237</v>
      </c>
      <c r="M872" t="s">
        <v>103</v>
      </c>
      <c r="N872" t="s">
        <v>57</v>
      </c>
      <c r="O872" s="1">
        <v>45748</v>
      </c>
      <c r="Q872" s="1">
        <v>45992</v>
      </c>
      <c r="R872" s="2">
        <v>63.34</v>
      </c>
      <c r="S872">
        <v>1</v>
      </c>
      <c r="T872" t="s">
        <v>58</v>
      </c>
      <c r="U872" t="s">
        <v>59</v>
      </c>
      <c r="V872" s="3">
        <v>0.7</v>
      </c>
      <c r="W872" s="2">
        <v>0</v>
      </c>
      <c r="X872">
        <v>0</v>
      </c>
      <c r="Y872" t="s">
        <v>60</v>
      </c>
      <c r="Z872" t="s">
        <v>61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44.34</v>
      </c>
      <c r="AN872" s="2">
        <v>44.34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45957</v>
      </c>
      <c r="B873" t="s">
        <v>48</v>
      </c>
      <c r="C873">
        <v>649163</v>
      </c>
      <c r="D873">
        <v>2028448242</v>
      </c>
      <c r="E873" t="s">
        <v>536</v>
      </c>
      <c r="F873" t="s">
        <v>537</v>
      </c>
      <c r="G873" t="s">
        <v>51</v>
      </c>
      <c r="H873" t="s">
        <v>179</v>
      </c>
      <c r="I873" t="s">
        <v>53</v>
      </c>
      <c r="J873" t="s">
        <v>54</v>
      </c>
      <c r="K873">
        <v>673059</v>
      </c>
      <c r="L873" t="s">
        <v>55</v>
      </c>
      <c r="M873" t="s">
        <v>56</v>
      </c>
      <c r="N873" t="s">
        <v>57</v>
      </c>
      <c r="O873" s="1">
        <v>45809</v>
      </c>
      <c r="Q873" s="1">
        <v>45992</v>
      </c>
      <c r="R873" s="2">
        <v>45.3</v>
      </c>
      <c r="S873">
        <v>1</v>
      </c>
      <c r="T873" t="s">
        <v>58</v>
      </c>
      <c r="U873" t="s">
        <v>59</v>
      </c>
      <c r="V873" s="3">
        <v>0.7</v>
      </c>
      <c r="W873" s="2">
        <v>0</v>
      </c>
      <c r="X873">
        <v>0</v>
      </c>
      <c r="Y873" t="s">
        <v>60</v>
      </c>
      <c r="Z873" t="s">
        <v>61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31.71</v>
      </c>
      <c r="AN873" s="2">
        <v>31.71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45957</v>
      </c>
      <c r="B874" t="s">
        <v>48</v>
      </c>
      <c r="C874">
        <v>649163</v>
      </c>
      <c r="D874">
        <v>2028448243</v>
      </c>
      <c r="E874" t="s">
        <v>536</v>
      </c>
      <c r="F874" t="s">
        <v>537</v>
      </c>
      <c r="G874" t="s">
        <v>51</v>
      </c>
      <c r="H874" t="s">
        <v>179</v>
      </c>
      <c r="I874" t="s">
        <v>53</v>
      </c>
      <c r="J874" t="s">
        <v>119</v>
      </c>
      <c r="K874">
        <v>673059</v>
      </c>
      <c r="L874" t="s">
        <v>55</v>
      </c>
      <c r="M874" t="s">
        <v>56</v>
      </c>
      <c r="N874" t="s">
        <v>57</v>
      </c>
      <c r="O874" s="1">
        <v>45809</v>
      </c>
      <c r="Q874" s="1">
        <v>45992</v>
      </c>
      <c r="R874" s="2">
        <v>8.3699999999999992</v>
      </c>
      <c r="S874">
        <v>1</v>
      </c>
      <c r="T874" t="s">
        <v>58</v>
      </c>
      <c r="U874" t="s">
        <v>59</v>
      </c>
      <c r="V874" s="3">
        <v>0.7</v>
      </c>
      <c r="W874" s="2">
        <v>0</v>
      </c>
      <c r="X874">
        <v>0</v>
      </c>
      <c r="Y874" t="s">
        <v>60</v>
      </c>
      <c r="Z874" t="s">
        <v>61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5.86</v>
      </c>
      <c r="AN874" s="2">
        <v>5.86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45957</v>
      </c>
      <c r="B875" t="s">
        <v>48</v>
      </c>
      <c r="C875">
        <v>649163</v>
      </c>
      <c r="D875">
        <v>2028461882</v>
      </c>
      <c r="E875" t="s">
        <v>627</v>
      </c>
      <c r="F875" t="s">
        <v>628</v>
      </c>
      <c r="G875" t="s">
        <v>51</v>
      </c>
      <c r="H875" t="s">
        <v>145</v>
      </c>
      <c r="I875" t="s">
        <v>53</v>
      </c>
      <c r="J875" t="s">
        <v>54</v>
      </c>
      <c r="K875">
        <v>823350</v>
      </c>
      <c r="L875" t="s">
        <v>70</v>
      </c>
      <c r="M875" t="s">
        <v>183</v>
      </c>
      <c r="N875" t="s">
        <v>57</v>
      </c>
      <c r="O875" s="1">
        <v>45772</v>
      </c>
      <c r="Q875" s="1">
        <v>45986</v>
      </c>
      <c r="R875" s="2">
        <v>58.94</v>
      </c>
      <c r="S875">
        <v>1</v>
      </c>
      <c r="T875" t="s">
        <v>58</v>
      </c>
      <c r="U875" t="s">
        <v>59</v>
      </c>
      <c r="V875" s="3">
        <v>0.7</v>
      </c>
      <c r="W875" s="2">
        <v>0</v>
      </c>
      <c r="X875">
        <v>0</v>
      </c>
      <c r="Y875" t="s">
        <v>60</v>
      </c>
      <c r="Z875" t="s">
        <v>61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41.26</v>
      </c>
      <c r="AN875" s="2">
        <v>41.26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45957</v>
      </c>
      <c r="B876" t="s">
        <v>48</v>
      </c>
      <c r="C876">
        <v>649163</v>
      </c>
      <c r="D876">
        <v>2028498799</v>
      </c>
      <c r="E876" t="s">
        <v>629</v>
      </c>
      <c r="F876" t="s">
        <v>232</v>
      </c>
      <c r="G876" t="s">
        <v>51</v>
      </c>
      <c r="H876" t="s">
        <v>179</v>
      </c>
      <c r="I876" t="s">
        <v>53</v>
      </c>
      <c r="J876" t="s">
        <v>54</v>
      </c>
      <c r="K876">
        <v>823350</v>
      </c>
      <c r="L876" t="s">
        <v>70</v>
      </c>
      <c r="M876" t="s">
        <v>183</v>
      </c>
      <c r="N876" t="s">
        <v>57</v>
      </c>
      <c r="O876" s="1">
        <v>45772</v>
      </c>
      <c r="Q876" s="1">
        <v>45986</v>
      </c>
      <c r="R876" s="2">
        <v>30.58</v>
      </c>
      <c r="S876">
        <v>1</v>
      </c>
      <c r="T876" t="s">
        <v>58</v>
      </c>
      <c r="U876" t="s">
        <v>59</v>
      </c>
      <c r="V876" s="3">
        <v>0.7</v>
      </c>
      <c r="W876" s="2">
        <v>0</v>
      </c>
      <c r="X876">
        <v>0</v>
      </c>
      <c r="Y876" t="s">
        <v>60</v>
      </c>
      <c r="Z876" t="s">
        <v>61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21.41</v>
      </c>
      <c r="AN876" s="2">
        <v>21.41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45957</v>
      </c>
      <c r="B877" t="s">
        <v>48</v>
      </c>
      <c r="C877">
        <v>649163</v>
      </c>
      <c r="D877">
        <v>2028498801</v>
      </c>
      <c r="E877" t="s">
        <v>629</v>
      </c>
      <c r="F877" t="s">
        <v>232</v>
      </c>
      <c r="G877" t="s">
        <v>51</v>
      </c>
      <c r="H877" t="s">
        <v>179</v>
      </c>
      <c r="I877" t="s">
        <v>53</v>
      </c>
      <c r="J877" t="s">
        <v>132</v>
      </c>
      <c r="K877">
        <v>823350</v>
      </c>
      <c r="L877" t="s">
        <v>70</v>
      </c>
      <c r="M877" t="s">
        <v>183</v>
      </c>
      <c r="N877" t="s">
        <v>57</v>
      </c>
      <c r="O877" s="1">
        <v>45772</v>
      </c>
      <c r="Q877" s="1">
        <v>45986</v>
      </c>
      <c r="R877" s="2">
        <v>56.75</v>
      </c>
      <c r="S877">
        <v>1</v>
      </c>
      <c r="T877" t="s">
        <v>58</v>
      </c>
      <c r="U877" t="s">
        <v>59</v>
      </c>
      <c r="V877" s="3">
        <v>0.9</v>
      </c>
      <c r="W877" s="2">
        <v>0</v>
      </c>
      <c r="X877">
        <v>0</v>
      </c>
      <c r="Y877" t="s">
        <v>60</v>
      </c>
      <c r="Z877" t="s">
        <v>61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51.08</v>
      </c>
      <c r="AN877" s="2">
        <v>51.08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45957</v>
      </c>
      <c r="B878" t="s">
        <v>48</v>
      </c>
      <c r="C878">
        <v>649163</v>
      </c>
      <c r="D878">
        <v>2028549720</v>
      </c>
      <c r="E878" t="s">
        <v>363</v>
      </c>
      <c r="F878" t="s">
        <v>364</v>
      </c>
      <c r="G878" t="s">
        <v>51</v>
      </c>
      <c r="H878" t="s">
        <v>69</v>
      </c>
      <c r="I878" t="s">
        <v>53</v>
      </c>
      <c r="J878" t="s">
        <v>54</v>
      </c>
      <c r="K878">
        <v>856824</v>
      </c>
      <c r="L878" t="s">
        <v>175</v>
      </c>
      <c r="M878" t="s">
        <v>176</v>
      </c>
      <c r="N878" t="s">
        <v>359</v>
      </c>
      <c r="O878" s="1">
        <v>45778</v>
      </c>
      <c r="P878" s="1">
        <v>45957</v>
      </c>
      <c r="Q878" s="1">
        <v>45962</v>
      </c>
      <c r="R878" s="2">
        <v>-8.15</v>
      </c>
      <c r="S878">
        <v>1</v>
      </c>
      <c r="T878" t="s">
        <v>58</v>
      </c>
      <c r="U878" t="s">
        <v>59</v>
      </c>
      <c r="V878" s="3">
        <v>0.7</v>
      </c>
      <c r="W878" s="2">
        <v>0</v>
      </c>
      <c r="X878">
        <v>-1</v>
      </c>
      <c r="Y878" t="s">
        <v>60</v>
      </c>
      <c r="Z878" t="s">
        <v>61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-5.7</v>
      </c>
      <c r="AN878" s="2">
        <v>-5.7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45957</v>
      </c>
      <c r="B879" t="s">
        <v>48</v>
      </c>
      <c r="C879">
        <v>649163</v>
      </c>
      <c r="D879">
        <v>2028565271</v>
      </c>
      <c r="E879" t="s">
        <v>538</v>
      </c>
      <c r="F879" t="s">
        <v>539</v>
      </c>
      <c r="G879" t="s">
        <v>51</v>
      </c>
      <c r="H879" t="s">
        <v>190</v>
      </c>
      <c r="I879" t="s">
        <v>53</v>
      </c>
      <c r="J879" t="s">
        <v>54</v>
      </c>
      <c r="K879">
        <v>673059</v>
      </c>
      <c r="L879" t="s">
        <v>55</v>
      </c>
      <c r="M879" t="s">
        <v>56</v>
      </c>
      <c r="N879" t="s">
        <v>57</v>
      </c>
      <c r="O879" s="1">
        <v>45809</v>
      </c>
      <c r="Q879" s="1">
        <v>45992</v>
      </c>
      <c r="R879" s="2">
        <v>24.78</v>
      </c>
      <c r="S879">
        <v>1</v>
      </c>
      <c r="T879" t="s">
        <v>58</v>
      </c>
      <c r="U879" t="s">
        <v>59</v>
      </c>
      <c r="V879" s="3">
        <v>0.7</v>
      </c>
      <c r="W879" s="2">
        <v>0</v>
      </c>
      <c r="X879">
        <v>0</v>
      </c>
      <c r="Y879" t="s">
        <v>60</v>
      </c>
      <c r="Z879" t="s">
        <v>61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17.350000000000001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45957</v>
      </c>
      <c r="B880" t="s">
        <v>48</v>
      </c>
      <c r="C880">
        <v>649163</v>
      </c>
      <c r="D880">
        <v>2028627543</v>
      </c>
      <c r="E880" t="s">
        <v>689</v>
      </c>
      <c r="F880" t="s">
        <v>690</v>
      </c>
      <c r="G880" t="s">
        <v>51</v>
      </c>
      <c r="H880" t="s">
        <v>145</v>
      </c>
      <c r="I880" t="s">
        <v>53</v>
      </c>
      <c r="J880" t="s">
        <v>54</v>
      </c>
      <c r="K880">
        <v>820873</v>
      </c>
      <c r="L880" t="s">
        <v>447</v>
      </c>
      <c r="M880" t="s">
        <v>448</v>
      </c>
      <c r="N880" t="s">
        <v>57</v>
      </c>
      <c r="O880" s="1">
        <v>45774</v>
      </c>
      <c r="Q880" s="1">
        <v>45988</v>
      </c>
      <c r="R880" s="2">
        <v>11.5</v>
      </c>
      <c r="S880">
        <v>1</v>
      </c>
      <c r="T880" t="s">
        <v>58</v>
      </c>
      <c r="U880" t="s">
        <v>59</v>
      </c>
      <c r="V880" s="3">
        <v>0.7</v>
      </c>
      <c r="W880" s="2">
        <v>0</v>
      </c>
      <c r="X880">
        <v>0</v>
      </c>
      <c r="Y880" t="s">
        <v>60</v>
      </c>
      <c r="Z880" t="s">
        <v>61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8.0500000000000007</v>
      </c>
      <c r="AN880" s="2">
        <v>8.0500000000000007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45957</v>
      </c>
      <c r="B881" t="s">
        <v>48</v>
      </c>
      <c r="C881">
        <v>649163</v>
      </c>
      <c r="D881">
        <v>2028645330</v>
      </c>
      <c r="E881" t="s">
        <v>919</v>
      </c>
      <c r="F881" t="s">
        <v>110</v>
      </c>
      <c r="G881" t="s">
        <v>51</v>
      </c>
      <c r="H881" t="s">
        <v>52</v>
      </c>
      <c r="I881" t="s">
        <v>53</v>
      </c>
      <c r="J881" t="s">
        <v>54</v>
      </c>
      <c r="K881">
        <v>822865</v>
      </c>
      <c r="L881" t="s">
        <v>469</v>
      </c>
      <c r="M881" t="s">
        <v>470</v>
      </c>
      <c r="N881" t="s">
        <v>57</v>
      </c>
      <c r="O881" s="1">
        <v>45776</v>
      </c>
      <c r="Q881" s="1">
        <v>45990</v>
      </c>
      <c r="R881" s="2">
        <v>48.54</v>
      </c>
      <c r="S881">
        <v>1</v>
      </c>
      <c r="T881" t="s">
        <v>58</v>
      </c>
      <c r="U881" t="s">
        <v>59</v>
      </c>
      <c r="V881" s="3">
        <v>0.7</v>
      </c>
      <c r="W881" s="2">
        <v>0</v>
      </c>
      <c r="X881">
        <v>0</v>
      </c>
      <c r="Y881" t="s">
        <v>60</v>
      </c>
      <c r="Z881" t="s">
        <v>61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33.979999999999997</v>
      </c>
      <c r="AN881" s="2">
        <v>33.979999999999997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45957</v>
      </c>
      <c r="B882" t="s">
        <v>48</v>
      </c>
      <c r="C882">
        <v>649163</v>
      </c>
      <c r="D882">
        <v>2028654838</v>
      </c>
      <c r="E882" t="s">
        <v>920</v>
      </c>
      <c r="F882" t="s">
        <v>921</v>
      </c>
      <c r="G882" t="s">
        <v>51</v>
      </c>
      <c r="H882" t="s">
        <v>52</v>
      </c>
      <c r="I882" t="s">
        <v>53</v>
      </c>
      <c r="J882" t="s">
        <v>54</v>
      </c>
      <c r="K882">
        <v>823350</v>
      </c>
      <c r="L882" t="s">
        <v>70</v>
      </c>
      <c r="M882" t="s">
        <v>183</v>
      </c>
      <c r="N882" t="s">
        <v>57</v>
      </c>
      <c r="O882" s="1">
        <v>45776</v>
      </c>
      <c r="Q882" s="1">
        <v>45990</v>
      </c>
      <c r="R882" s="2">
        <v>55.61</v>
      </c>
      <c r="S882">
        <v>1</v>
      </c>
      <c r="T882" t="s">
        <v>58</v>
      </c>
      <c r="U882" t="s">
        <v>59</v>
      </c>
      <c r="V882" s="3">
        <v>0.7</v>
      </c>
      <c r="W882" s="2">
        <v>0</v>
      </c>
      <c r="X882">
        <v>0</v>
      </c>
      <c r="Y882" t="s">
        <v>60</v>
      </c>
      <c r="Z882" t="s">
        <v>61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38.93</v>
      </c>
      <c r="AN882" s="2">
        <v>38.93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45957</v>
      </c>
      <c r="B883" t="s">
        <v>48</v>
      </c>
      <c r="C883">
        <v>649163</v>
      </c>
      <c r="D883">
        <v>2028654839</v>
      </c>
      <c r="E883" t="s">
        <v>920</v>
      </c>
      <c r="F883" t="s">
        <v>921</v>
      </c>
      <c r="G883" t="s">
        <v>51</v>
      </c>
      <c r="H883" t="s">
        <v>52</v>
      </c>
      <c r="I883" t="s">
        <v>53</v>
      </c>
      <c r="J883" t="s">
        <v>132</v>
      </c>
      <c r="K883">
        <v>823350</v>
      </c>
      <c r="L883" t="s">
        <v>70</v>
      </c>
      <c r="M883" t="s">
        <v>183</v>
      </c>
      <c r="N883" t="s">
        <v>57</v>
      </c>
      <c r="O883" s="1">
        <v>45776</v>
      </c>
      <c r="Q883" s="1">
        <v>45990</v>
      </c>
      <c r="R883" s="2">
        <v>43.67</v>
      </c>
      <c r="S883">
        <v>1</v>
      </c>
      <c r="T883" t="s">
        <v>58</v>
      </c>
      <c r="U883" t="s">
        <v>59</v>
      </c>
      <c r="V883" s="3">
        <v>0.9</v>
      </c>
      <c r="W883" s="2">
        <v>0</v>
      </c>
      <c r="X883">
        <v>0</v>
      </c>
      <c r="Y883" t="s">
        <v>60</v>
      </c>
      <c r="Z883" t="s">
        <v>61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39.299999999999997</v>
      </c>
      <c r="AN883" s="2">
        <v>39.299999999999997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45957</v>
      </c>
      <c r="B884" t="s">
        <v>48</v>
      </c>
      <c r="C884">
        <v>649163</v>
      </c>
      <c r="D884">
        <v>2028662388</v>
      </c>
      <c r="E884" t="s">
        <v>1036</v>
      </c>
      <c r="F884" t="s">
        <v>1037</v>
      </c>
      <c r="G884" t="s">
        <v>51</v>
      </c>
      <c r="H884" t="s">
        <v>287</v>
      </c>
      <c r="I884" t="s">
        <v>53</v>
      </c>
      <c r="J884" t="s">
        <v>132</v>
      </c>
      <c r="K884">
        <v>767312</v>
      </c>
      <c r="L884" t="s">
        <v>237</v>
      </c>
      <c r="M884" t="s">
        <v>103</v>
      </c>
      <c r="N884" t="s">
        <v>57</v>
      </c>
      <c r="O884" s="1">
        <v>45777</v>
      </c>
      <c r="Q884" s="1">
        <v>45991</v>
      </c>
      <c r="R884" s="2">
        <v>19.28</v>
      </c>
      <c r="S884">
        <v>1</v>
      </c>
      <c r="T884" t="s">
        <v>58</v>
      </c>
      <c r="U884" t="s">
        <v>59</v>
      </c>
      <c r="V884" s="3">
        <v>0.9</v>
      </c>
      <c r="W884" s="2">
        <v>0</v>
      </c>
      <c r="X884">
        <v>0</v>
      </c>
      <c r="Y884" t="s">
        <v>60</v>
      </c>
      <c r="Z884" t="s">
        <v>61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17.350000000000001</v>
      </c>
      <c r="AN884" s="2">
        <v>17.350000000000001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45957</v>
      </c>
      <c r="B885" t="s">
        <v>48</v>
      </c>
      <c r="C885">
        <v>649163</v>
      </c>
      <c r="D885">
        <v>2028663282</v>
      </c>
      <c r="E885" t="s">
        <v>1038</v>
      </c>
      <c r="F885" t="s">
        <v>413</v>
      </c>
      <c r="G885" t="s">
        <v>51</v>
      </c>
      <c r="H885" t="s">
        <v>69</v>
      </c>
      <c r="I885" t="s">
        <v>53</v>
      </c>
      <c r="J885" t="s">
        <v>54</v>
      </c>
      <c r="K885">
        <v>673059</v>
      </c>
      <c r="L885" t="s">
        <v>55</v>
      </c>
      <c r="M885" t="s">
        <v>56</v>
      </c>
      <c r="N885" t="s">
        <v>57</v>
      </c>
      <c r="O885" s="1">
        <v>45809</v>
      </c>
      <c r="Q885" s="1">
        <v>45992</v>
      </c>
      <c r="R885" s="2">
        <v>27.5</v>
      </c>
      <c r="S885">
        <v>1</v>
      </c>
      <c r="T885" t="s">
        <v>58</v>
      </c>
      <c r="U885" t="s">
        <v>59</v>
      </c>
      <c r="V885" s="3">
        <v>0.7</v>
      </c>
      <c r="W885" s="2">
        <v>0</v>
      </c>
      <c r="X885">
        <v>0</v>
      </c>
      <c r="Y885" t="s">
        <v>60</v>
      </c>
      <c r="Z885" t="s">
        <v>61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19.25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45957</v>
      </c>
      <c r="B886" t="s">
        <v>48</v>
      </c>
      <c r="C886">
        <v>649163</v>
      </c>
      <c r="D886">
        <v>2028673527</v>
      </c>
      <c r="E886" t="s">
        <v>922</v>
      </c>
      <c r="F886" t="s">
        <v>923</v>
      </c>
      <c r="G886" t="s">
        <v>51</v>
      </c>
      <c r="H886" t="s">
        <v>69</v>
      </c>
      <c r="I886" t="s">
        <v>53</v>
      </c>
      <c r="J886" t="s">
        <v>54</v>
      </c>
      <c r="K886">
        <v>840313</v>
      </c>
      <c r="L886" t="s">
        <v>159</v>
      </c>
      <c r="M886" t="s">
        <v>160</v>
      </c>
      <c r="N886" t="s">
        <v>57</v>
      </c>
      <c r="O886" s="1">
        <v>45809</v>
      </c>
      <c r="Q886" s="1">
        <v>45992</v>
      </c>
      <c r="R886" s="2">
        <v>117.6</v>
      </c>
      <c r="S886">
        <v>1</v>
      </c>
      <c r="T886" t="s">
        <v>58</v>
      </c>
      <c r="U886" t="s">
        <v>59</v>
      </c>
      <c r="V886" s="3">
        <v>0.7</v>
      </c>
      <c r="W886" s="2">
        <v>0</v>
      </c>
      <c r="X886">
        <v>0</v>
      </c>
      <c r="Y886" t="s">
        <v>60</v>
      </c>
      <c r="Z886" t="s">
        <v>61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82.32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45957</v>
      </c>
      <c r="B887" t="s">
        <v>48</v>
      </c>
      <c r="C887">
        <v>649163</v>
      </c>
      <c r="D887">
        <v>2028695301</v>
      </c>
      <c r="E887" t="s">
        <v>924</v>
      </c>
      <c r="F887" t="s">
        <v>568</v>
      </c>
      <c r="G887" t="s">
        <v>51</v>
      </c>
      <c r="H887" t="s">
        <v>69</v>
      </c>
      <c r="I887" t="s">
        <v>53</v>
      </c>
      <c r="J887" t="s">
        <v>54</v>
      </c>
      <c r="K887">
        <v>824062</v>
      </c>
      <c r="L887" t="s">
        <v>74</v>
      </c>
      <c r="M887" t="s">
        <v>75</v>
      </c>
      <c r="N887" t="s">
        <v>57</v>
      </c>
      <c r="O887" s="1">
        <v>45809</v>
      </c>
      <c r="Q887" s="1">
        <v>45992</v>
      </c>
      <c r="R887" s="2">
        <v>61.08</v>
      </c>
      <c r="S887">
        <v>1</v>
      </c>
      <c r="T887" t="s">
        <v>58</v>
      </c>
      <c r="U887" t="s">
        <v>59</v>
      </c>
      <c r="V887" s="3">
        <v>0.7</v>
      </c>
      <c r="W887" s="2">
        <v>0</v>
      </c>
      <c r="X887">
        <v>0</v>
      </c>
      <c r="Y887" t="s">
        <v>60</v>
      </c>
      <c r="Z887" t="s">
        <v>61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42.76</v>
      </c>
      <c r="AN887" s="2">
        <v>42.76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45957</v>
      </c>
      <c r="B888" t="s">
        <v>48</v>
      </c>
      <c r="C888">
        <v>649163</v>
      </c>
      <c r="D888">
        <v>2028736518</v>
      </c>
      <c r="E888" t="s">
        <v>925</v>
      </c>
      <c r="F888" t="s">
        <v>926</v>
      </c>
      <c r="G888" t="s">
        <v>51</v>
      </c>
      <c r="H888" t="s">
        <v>69</v>
      </c>
      <c r="I888" t="s">
        <v>53</v>
      </c>
      <c r="J888" t="s">
        <v>54</v>
      </c>
      <c r="K888">
        <v>824062</v>
      </c>
      <c r="L888" t="s">
        <v>74</v>
      </c>
      <c r="M888" t="s">
        <v>75</v>
      </c>
      <c r="N888" t="s">
        <v>57</v>
      </c>
      <c r="O888" s="1">
        <v>45809</v>
      </c>
      <c r="Q888" s="1">
        <v>45992</v>
      </c>
      <c r="R888" s="2">
        <v>37.18</v>
      </c>
      <c r="S888">
        <v>1</v>
      </c>
      <c r="T888" t="s">
        <v>58</v>
      </c>
      <c r="U888" t="s">
        <v>59</v>
      </c>
      <c r="V888" s="3">
        <v>0.7</v>
      </c>
      <c r="W888" s="2">
        <v>0</v>
      </c>
      <c r="X888">
        <v>0</v>
      </c>
      <c r="Y888" t="s">
        <v>60</v>
      </c>
      <c r="Z888" t="s">
        <v>61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26.03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45957</v>
      </c>
      <c r="B889" t="s">
        <v>48</v>
      </c>
      <c r="C889">
        <v>649163</v>
      </c>
      <c r="D889">
        <v>2028769445</v>
      </c>
      <c r="E889" t="s">
        <v>630</v>
      </c>
      <c r="F889" t="s">
        <v>631</v>
      </c>
      <c r="G889" t="s">
        <v>51</v>
      </c>
      <c r="H889" t="s">
        <v>118</v>
      </c>
      <c r="I889" t="s">
        <v>53</v>
      </c>
      <c r="J889" t="s">
        <v>119</v>
      </c>
      <c r="K889">
        <v>823068</v>
      </c>
      <c r="L889" t="s">
        <v>120</v>
      </c>
      <c r="M889" t="s">
        <v>121</v>
      </c>
      <c r="N889" t="s">
        <v>57</v>
      </c>
      <c r="O889" s="1">
        <v>45809</v>
      </c>
      <c r="Q889" s="1">
        <v>45992</v>
      </c>
      <c r="R889" s="2">
        <v>24.61</v>
      </c>
      <c r="S889">
        <v>1</v>
      </c>
      <c r="T889" t="s">
        <v>58</v>
      </c>
      <c r="U889" t="s">
        <v>59</v>
      </c>
      <c r="V889" s="3">
        <v>0.7</v>
      </c>
      <c r="W889" s="2">
        <v>0</v>
      </c>
      <c r="X889">
        <v>0</v>
      </c>
      <c r="Y889" t="s">
        <v>60</v>
      </c>
      <c r="Z889" t="s">
        <v>61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17.23</v>
      </c>
      <c r="AN889" s="2">
        <v>17.23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45957</v>
      </c>
      <c r="B890" t="s">
        <v>48</v>
      </c>
      <c r="C890">
        <v>649163</v>
      </c>
      <c r="D890">
        <v>2028773696</v>
      </c>
      <c r="E890" t="s">
        <v>542</v>
      </c>
      <c r="F890" t="s">
        <v>632</v>
      </c>
      <c r="G890" t="s">
        <v>51</v>
      </c>
      <c r="H890" t="s">
        <v>179</v>
      </c>
      <c r="I890" t="s">
        <v>53</v>
      </c>
      <c r="J890" t="s">
        <v>54</v>
      </c>
      <c r="K890">
        <v>673059</v>
      </c>
      <c r="L890" t="s">
        <v>55</v>
      </c>
      <c r="M890" t="s">
        <v>56</v>
      </c>
      <c r="N890" t="s">
        <v>57</v>
      </c>
      <c r="O890" s="1">
        <v>45809</v>
      </c>
      <c r="Q890" s="1">
        <v>45992</v>
      </c>
      <c r="R890" s="2">
        <v>28.4</v>
      </c>
      <c r="S890">
        <v>1</v>
      </c>
      <c r="T890" t="s">
        <v>58</v>
      </c>
      <c r="U890" t="s">
        <v>59</v>
      </c>
      <c r="V890" s="3">
        <v>0.7</v>
      </c>
      <c r="W890" s="2">
        <v>0</v>
      </c>
      <c r="X890">
        <v>0</v>
      </c>
      <c r="Y890" t="s">
        <v>60</v>
      </c>
      <c r="Z890" t="s">
        <v>61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19.88</v>
      </c>
      <c r="AN890" s="2">
        <v>19.88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45957</v>
      </c>
      <c r="B891" t="s">
        <v>48</v>
      </c>
      <c r="C891">
        <v>649163</v>
      </c>
      <c r="D891">
        <v>2028773697</v>
      </c>
      <c r="E891" t="s">
        <v>542</v>
      </c>
      <c r="F891" t="s">
        <v>632</v>
      </c>
      <c r="G891" t="s">
        <v>51</v>
      </c>
      <c r="H891" t="s">
        <v>179</v>
      </c>
      <c r="I891" t="s">
        <v>53</v>
      </c>
      <c r="J891" t="s">
        <v>119</v>
      </c>
      <c r="K891">
        <v>673059</v>
      </c>
      <c r="L891" t="s">
        <v>55</v>
      </c>
      <c r="M891" t="s">
        <v>56</v>
      </c>
      <c r="N891" t="s">
        <v>57</v>
      </c>
      <c r="O891" s="1">
        <v>45809</v>
      </c>
      <c r="Q891" s="1">
        <v>45992</v>
      </c>
      <c r="R891" s="2">
        <v>8.3699999999999992</v>
      </c>
      <c r="S891">
        <v>1</v>
      </c>
      <c r="T891" t="s">
        <v>58</v>
      </c>
      <c r="U891" t="s">
        <v>59</v>
      </c>
      <c r="V891" s="3">
        <v>0.7</v>
      </c>
      <c r="W891" s="2">
        <v>0</v>
      </c>
      <c r="X891">
        <v>0</v>
      </c>
      <c r="Y891" t="s">
        <v>60</v>
      </c>
      <c r="Z891" t="s">
        <v>61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5.86</v>
      </c>
      <c r="AN891" s="2">
        <v>5.86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45957</v>
      </c>
      <c r="B892" t="s">
        <v>48</v>
      </c>
      <c r="C892">
        <v>649163</v>
      </c>
      <c r="D892">
        <v>2028774420</v>
      </c>
      <c r="E892" t="s">
        <v>542</v>
      </c>
      <c r="F892" t="s">
        <v>543</v>
      </c>
      <c r="G892" t="s">
        <v>51</v>
      </c>
      <c r="H892" t="s">
        <v>179</v>
      </c>
      <c r="I892" t="s">
        <v>53</v>
      </c>
      <c r="J892" t="s">
        <v>54</v>
      </c>
      <c r="K892">
        <v>673059</v>
      </c>
      <c r="L892" t="s">
        <v>55</v>
      </c>
      <c r="M892" t="s">
        <v>56</v>
      </c>
      <c r="N892" t="s">
        <v>57</v>
      </c>
      <c r="O892" s="1">
        <v>45809</v>
      </c>
      <c r="Q892" s="1">
        <v>45992</v>
      </c>
      <c r="R892" s="2">
        <v>143.66</v>
      </c>
      <c r="S892">
        <v>1</v>
      </c>
      <c r="T892" t="s">
        <v>58</v>
      </c>
      <c r="U892" t="s">
        <v>59</v>
      </c>
      <c r="V892" s="3">
        <v>0.7</v>
      </c>
      <c r="W892" s="2">
        <v>0</v>
      </c>
      <c r="X892">
        <v>0</v>
      </c>
      <c r="Y892" t="s">
        <v>60</v>
      </c>
      <c r="Z892" t="s">
        <v>61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100.56</v>
      </c>
      <c r="AN892" s="2">
        <v>100.56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45957</v>
      </c>
      <c r="B893" t="s">
        <v>48</v>
      </c>
      <c r="C893">
        <v>649163</v>
      </c>
      <c r="D893">
        <v>2028774421</v>
      </c>
      <c r="E893" t="s">
        <v>542</v>
      </c>
      <c r="F893" t="s">
        <v>543</v>
      </c>
      <c r="G893" t="s">
        <v>51</v>
      </c>
      <c r="H893" t="s">
        <v>179</v>
      </c>
      <c r="I893" t="s">
        <v>53</v>
      </c>
      <c r="J893" t="s">
        <v>119</v>
      </c>
      <c r="K893">
        <v>673059</v>
      </c>
      <c r="L893" t="s">
        <v>55</v>
      </c>
      <c r="M893" t="s">
        <v>56</v>
      </c>
      <c r="N893" t="s">
        <v>57</v>
      </c>
      <c r="O893" s="1">
        <v>45809</v>
      </c>
      <c r="Q893" s="1">
        <v>45992</v>
      </c>
      <c r="R893" s="2">
        <v>16.73</v>
      </c>
      <c r="S893">
        <v>1</v>
      </c>
      <c r="T893" t="s">
        <v>58</v>
      </c>
      <c r="U893" t="s">
        <v>59</v>
      </c>
      <c r="V893" s="3">
        <v>0.7</v>
      </c>
      <c r="W893" s="2">
        <v>0</v>
      </c>
      <c r="X893">
        <v>0</v>
      </c>
      <c r="Y893" t="s">
        <v>60</v>
      </c>
      <c r="Z893" t="s">
        <v>61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11.71</v>
      </c>
      <c r="AN893" s="2">
        <v>11.71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45957</v>
      </c>
      <c r="B894" t="s">
        <v>48</v>
      </c>
      <c r="C894">
        <v>649163</v>
      </c>
      <c r="D894">
        <v>2028775160</v>
      </c>
      <c r="E894" t="s">
        <v>1039</v>
      </c>
      <c r="F894" t="s">
        <v>1013</v>
      </c>
      <c r="G894" t="s">
        <v>51</v>
      </c>
      <c r="H894" t="s">
        <v>559</v>
      </c>
      <c r="I894" t="s">
        <v>53</v>
      </c>
      <c r="J894" t="s">
        <v>54</v>
      </c>
      <c r="K894">
        <v>821087</v>
      </c>
      <c r="L894" t="s">
        <v>1040</v>
      </c>
      <c r="M894" t="s">
        <v>1041</v>
      </c>
      <c r="N894" t="s">
        <v>57</v>
      </c>
      <c r="O894" s="1">
        <v>45809</v>
      </c>
      <c r="Q894" s="1">
        <v>45992</v>
      </c>
      <c r="R894" s="2">
        <v>101.99</v>
      </c>
      <c r="S894">
        <v>1</v>
      </c>
      <c r="T894" t="s">
        <v>58</v>
      </c>
      <c r="U894" t="s">
        <v>59</v>
      </c>
      <c r="V894" s="3">
        <v>0.7</v>
      </c>
      <c r="W894" s="2">
        <v>0</v>
      </c>
      <c r="X894">
        <v>0</v>
      </c>
      <c r="Y894" t="s">
        <v>60</v>
      </c>
      <c r="Z894" t="s">
        <v>61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71.39</v>
      </c>
      <c r="AN894" s="2">
        <v>71.39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45957</v>
      </c>
      <c r="B895" t="s">
        <v>48</v>
      </c>
      <c r="C895">
        <v>649163</v>
      </c>
      <c r="D895">
        <v>2028776889</v>
      </c>
      <c r="E895" t="s">
        <v>635</v>
      </c>
      <c r="F895" t="s">
        <v>354</v>
      </c>
      <c r="G895" t="s">
        <v>51</v>
      </c>
      <c r="H895" t="s">
        <v>636</v>
      </c>
      <c r="I895" t="s">
        <v>53</v>
      </c>
      <c r="J895" t="s">
        <v>54</v>
      </c>
      <c r="K895">
        <v>673059</v>
      </c>
      <c r="L895" t="s">
        <v>55</v>
      </c>
      <c r="M895" t="s">
        <v>56</v>
      </c>
      <c r="N895" t="s">
        <v>57</v>
      </c>
      <c r="O895" s="1">
        <v>45809</v>
      </c>
      <c r="Q895" s="1">
        <v>45992</v>
      </c>
      <c r="R895" s="2">
        <v>292.8</v>
      </c>
      <c r="S895">
        <v>1</v>
      </c>
      <c r="T895" t="s">
        <v>58</v>
      </c>
      <c r="U895" t="s">
        <v>59</v>
      </c>
      <c r="V895" s="3">
        <v>0.7</v>
      </c>
      <c r="W895" s="2">
        <v>0</v>
      </c>
      <c r="X895">
        <v>0</v>
      </c>
      <c r="Y895" t="s">
        <v>60</v>
      </c>
      <c r="Z895" t="s">
        <v>61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204.96</v>
      </c>
      <c r="AN895" s="2">
        <v>204.96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45957</v>
      </c>
      <c r="B896" t="s">
        <v>48</v>
      </c>
      <c r="C896">
        <v>649163</v>
      </c>
      <c r="D896">
        <v>2028776890</v>
      </c>
      <c r="E896" t="s">
        <v>635</v>
      </c>
      <c r="F896" t="s">
        <v>354</v>
      </c>
      <c r="G896" t="s">
        <v>51</v>
      </c>
      <c r="H896" t="s">
        <v>636</v>
      </c>
      <c r="I896" t="s">
        <v>53</v>
      </c>
      <c r="J896" t="s">
        <v>132</v>
      </c>
      <c r="K896">
        <v>673059</v>
      </c>
      <c r="L896" t="s">
        <v>55</v>
      </c>
      <c r="M896" t="s">
        <v>56</v>
      </c>
      <c r="N896" t="s">
        <v>57</v>
      </c>
      <c r="O896" s="1">
        <v>45809</v>
      </c>
      <c r="Q896" s="1">
        <v>45992</v>
      </c>
      <c r="R896" s="2">
        <v>49.85</v>
      </c>
      <c r="S896">
        <v>1</v>
      </c>
      <c r="T896" t="s">
        <v>58</v>
      </c>
      <c r="U896" t="s">
        <v>59</v>
      </c>
      <c r="V896" s="3">
        <v>0.9</v>
      </c>
      <c r="W896" s="2">
        <v>0</v>
      </c>
      <c r="X896">
        <v>0</v>
      </c>
      <c r="Y896" t="s">
        <v>60</v>
      </c>
      <c r="Z896" t="s">
        <v>61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44.86</v>
      </c>
      <c r="AN896" s="2">
        <v>44.86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45957</v>
      </c>
      <c r="B897" t="s">
        <v>48</v>
      </c>
      <c r="C897">
        <v>649163</v>
      </c>
      <c r="D897">
        <v>2028799844</v>
      </c>
      <c r="E897" t="s">
        <v>637</v>
      </c>
      <c r="F897" t="s">
        <v>284</v>
      </c>
      <c r="G897" t="s">
        <v>51</v>
      </c>
      <c r="H897" t="s">
        <v>208</v>
      </c>
      <c r="I897" t="s">
        <v>53</v>
      </c>
      <c r="J897" t="s">
        <v>54</v>
      </c>
      <c r="K897">
        <v>792847</v>
      </c>
      <c r="L897" t="s">
        <v>371</v>
      </c>
      <c r="M897" t="s">
        <v>372</v>
      </c>
      <c r="N897" t="s">
        <v>57</v>
      </c>
      <c r="O897" s="1">
        <v>45809</v>
      </c>
      <c r="Q897" s="1">
        <v>45992</v>
      </c>
      <c r="R897" s="2">
        <v>142.91999999999999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61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100.04</v>
      </c>
      <c r="AN897" s="2">
        <v>100.04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45957</v>
      </c>
      <c r="B898" t="s">
        <v>48</v>
      </c>
      <c r="C898">
        <v>649163</v>
      </c>
      <c r="D898">
        <v>2028800424</v>
      </c>
      <c r="E898" t="s">
        <v>107</v>
      </c>
      <c r="F898" t="s">
        <v>99</v>
      </c>
      <c r="G898" t="s">
        <v>51</v>
      </c>
      <c r="H898" t="s">
        <v>636</v>
      </c>
      <c r="I898" t="s">
        <v>53</v>
      </c>
      <c r="J898" t="s">
        <v>54</v>
      </c>
      <c r="K898">
        <v>673059</v>
      </c>
      <c r="L898" t="s">
        <v>55</v>
      </c>
      <c r="M898" t="s">
        <v>56</v>
      </c>
      <c r="N898" t="s">
        <v>57</v>
      </c>
      <c r="O898" s="1">
        <v>45804</v>
      </c>
      <c r="Q898" s="1">
        <v>45988</v>
      </c>
      <c r="R898" s="2">
        <v>141.32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61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98.92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45957</v>
      </c>
      <c r="B899" t="s">
        <v>48</v>
      </c>
      <c r="C899">
        <v>649163</v>
      </c>
      <c r="D899">
        <v>2028801222</v>
      </c>
      <c r="E899" t="s">
        <v>1042</v>
      </c>
      <c r="F899" t="s">
        <v>275</v>
      </c>
      <c r="G899" t="s">
        <v>51</v>
      </c>
      <c r="H899" t="s">
        <v>69</v>
      </c>
      <c r="I899" t="s">
        <v>53</v>
      </c>
      <c r="J899" t="s">
        <v>54</v>
      </c>
      <c r="K899">
        <v>814033</v>
      </c>
      <c r="L899" t="s">
        <v>147</v>
      </c>
      <c r="M899" t="s">
        <v>148</v>
      </c>
      <c r="N899" t="s">
        <v>57</v>
      </c>
      <c r="O899" s="1">
        <v>45809</v>
      </c>
      <c r="Q899" s="1">
        <v>45992</v>
      </c>
      <c r="R899" s="2">
        <v>88.96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61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62.27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45957</v>
      </c>
      <c r="B900" t="s">
        <v>48</v>
      </c>
      <c r="C900">
        <v>649163</v>
      </c>
      <c r="D900">
        <v>2028821221</v>
      </c>
      <c r="E900" t="s">
        <v>1043</v>
      </c>
      <c r="F900" t="s">
        <v>1044</v>
      </c>
      <c r="G900" t="s">
        <v>51</v>
      </c>
      <c r="H900" t="s">
        <v>69</v>
      </c>
      <c r="I900" t="s">
        <v>53</v>
      </c>
      <c r="J900" t="s">
        <v>54</v>
      </c>
      <c r="K900">
        <v>856824</v>
      </c>
      <c r="L900" t="s">
        <v>175</v>
      </c>
      <c r="M900" t="s">
        <v>176</v>
      </c>
      <c r="N900" t="s">
        <v>57</v>
      </c>
      <c r="O900" s="1">
        <v>45809</v>
      </c>
      <c r="Q900" s="1">
        <v>45992</v>
      </c>
      <c r="R900" s="2">
        <v>46.08</v>
      </c>
      <c r="S900">
        <v>1</v>
      </c>
      <c r="T900" t="s">
        <v>58</v>
      </c>
      <c r="U900" t="s">
        <v>59</v>
      </c>
      <c r="V900" s="3">
        <v>0.7</v>
      </c>
      <c r="W900" s="2">
        <v>0</v>
      </c>
      <c r="X900">
        <v>0</v>
      </c>
      <c r="Y900" t="s">
        <v>60</v>
      </c>
      <c r="Z900" t="s">
        <v>61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32.26</v>
      </c>
      <c r="AN900" s="2">
        <v>32.26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45957</v>
      </c>
      <c r="B901" t="s">
        <v>48</v>
      </c>
      <c r="C901">
        <v>649163</v>
      </c>
      <c r="D901">
        <v>2028847739</v>
      </c>
      <c r="E901" t="s">
        <v>927</v>
      </c>
      <c r="F901" t="s">
        <v>928</v>
      </c>
      <c r="G901" t="s">
        <v>51</v>
      </c>
      <c r="H901" t="s">
        <v>165</v>
      </c>
      <c r="I901" t="s">
        <v>53</v>
      </c>
      <c r="J901" t="s">
        <v>54</v>
      </c>
      <c r="K901">
        <v>856824</v>
      </c>
      <c r="L901" t="s">
        <v>175</v>
      </c>
      <c r="M901" t="s">
        <v>176</v>
      </c>
      <c r="N901" t="s">
        <v>57</v>
      </c>
      <c r="O901" s="1">
        <v>45809</v>
      </c>
      <c r="Q901" s="1">
        <v>45992</v>
      </c>
      <c r="R901" s="2">
        <v>31</v>
      </c>
      <c r="S901">
        <v>1</v>
      </c>
      <c r="T901" t="s">
        <v>58</v>
      </c>
      <c r="U901" t="s">
        <v>59</v>
      </c>
      <c r="V901" s="3">
        <v>0.7</v>
      </c>
      <c r="W901" s="2">
        <v>0</v>
      </c>
      <c r="X901">
        <v>0</v>
      </c>
      <c r="Y901" t="s">
        <v>60</v>
      </c>
      <c r="Z901" t="s">
        <v>61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21.7</v>
      </c>
      <c r="AN901" s="2">
        <v>21.7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45957</v>
      </c>
      <c r="B902" t="s">
        <v>48</v>
      </c>
      <c r="C902">
        <v>649163</v>
      </c>
      <c r="D902">
        <v>2028857839</v>
      </c>
      <c r="E902" t="s">
        <v>422</v>
      </c>
      <c r="F902" t="s">
        <v>638</v>
      </c>
      <c r="G902" t="s">
        <v>51</v>
      </c>
      <c r="H902" t="s">
        <v>613</v>
      </c>
      <c r="I902" t="s">
        <v>53</v>
      </c>
      <c r="J902" t="s">
        <v>132</v>
      </c>
      <c r="K902">
        <v>651818</v>
      </c>
      <c r="L902" t="s">
        <v>560</v>
      </c>
      <c r="M902" t="s">
        <v>336</v>
      </c>
      <c r="N902" t="s">
        <v>57</v>
      </c>
      <c r="O902" s="1">
        <v>45789</v>
      </c>
      <c r="Q902" s="1">
        <v>45973</v>
      </c>
      <c r="R902" s="2">
        <v>51.63</v>
      </c>
      <c r="S902">
        <v>1</v>
      </c>
      <c r="T902" t="s">
        <v>58</v>
      </c>
      <c r="U902" t="s">
        <v>59</v>
      </c>
      <c r="V902" s="3">
        <v>0.9</v>
      </c>
      <c r="W902" s="2">
        <v>0</v>
      </c>
      <c r="X902">
        <v>0</v>
      </c>
      <c r="Y902" t="s">
        <v>60</v>
      </c>
      <c r="Z902" t="s">
        <v>61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46.47</v>
      </c>
      <c r="AN902" s="2">
        <v>46.47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45957</v>
      </c>
      <c r="B903" t="s">
        <v>48</v>
      </c>
      <c r="C903">
        <v>649163</v>
      </c>
      <c r="D903">
        <v>2028858330</v>
      </c>
      <c r="E903" t="s">
        <v>929</v>
      </c>
      <c r="F903" t="s">
        <v>103</v>
      </c>
      <c r="G903" t="s">
        <v>51</v>
      </c>
      <c r="H903" t="s">
        <v>69</v>
      </c>
      <c r="I903" t="s">
        <v>53</v>
      </c>
      <c r="J903" t="s">
        <v>132</v>
      </c>
      <c r="K903">
        <v>839554</v>
      </c>
      <c r="L903" t="s">
        <v>930</v>
      </c>
      <c r="M903" t="s">
        <v>931</v>
      </c>
      <c r="N903" t="s">
        <v>57</v>
      </c>
      <c r="O903" s="1">
        <v>45809</v>
      </c>
      <c r="Q903" s="1">
        <v>45992</v>
      </c>
      <c r="R903" s="2">
        <v>47.08</v>
      </c>
      <c r="S903">
        <v>1</v>
      </c>
      <c r="T903" t="s">
        <v>58</v>
      </c>
      <c r="U903" t="s">
        <v>59</v>
      </c>
      <c r="V903" s="3">
        <v>0.9</v>
      </c>
      <c r="W903" s="2">
        <v>0</v>
      </c>
      <c r="X903">
        <v>0</v>
      </c>
      <c r="Y903" t="s">
        <v>60</v>
      </c>
      <c r="Z903" t="s">
        <v>61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42.37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45957</v>
      </c>
      <c r="B904" t="s">
        <v>48</v>
      </c>
      <c r="C904">
        <v>649163</v>
      </c>
      <c r="D904">
        <v>2028858331</v>
      </c>
      <c r="E904" t="s">
        <v>929</v>
      </c>
      <c r="F904" t="s">
        <v>103</v>
      </c>
      <c r="G904" t="s">
        <v>51</v>
      </c>
      <c r="H904" t="s">
        <v>69</v>
      </c>
      <c r="I904" t="s">
        <v>53</v>
      </c>
      <c r="J904" t="s">
        <v>54</v>
      </c>
      <c r="K904">
        <v>839554</v>
      </c>
      <c r="L904" t="s">
        <v>930</v>
      </c>
      <c r="M904" t="s">
        <v>931</v>
      </c>
      <c r="N904" t="s">
        <v>57</v>
      </c>
      <c r="O904" s="1">
        <v>45809</v>
      </c>
      <c r="Q904" s="1">
        <v>45992</v>
      </c>
      <c r="R904" s="2">
        <v>110.53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61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77.37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45957</v>
      </c>
      <c r="B905" t="s">
        <v>48</v>
      </c>
      <c r="C905">
        <v>649163</v>
      </c>
      <c r="D905">
        <v>2028893261</v>
      </c>
      <c r="E905" t="s">
        <v>1045</v>
      </c>
      <c r="F905" t="s">
        <v>1046</v>
      </c>
      <c r="G905" t="s">
        <v>51</v>
      </c>
      <c r="H905" t="s">
        <v>179</v>
      </c>
      <c r="I905" t="s">
        <v>53</v>
      </c>
      <c r="J905" t="s">
        <v>54</v>
      </c>
      <c r="K905">
        <v>673059</v>
      </c>
      <c r="L905" t="s">
        <v>55</v>
      </c>
      <c r="M905" t="s">
        <v>56</v>
      </c>
      <c r="N905" t="s">
        <v>57</v>
      </c>
      <c r="O905" s="1">
        <v>45809</v>
      </c>
      <c r="Q905" s="1">
        <v>45992</v>
      </c>
      <c r="R905" s="2">
        <v>10.18</v>
      </c>
      <c r="S905">
        <v>1</v>
      </c>
      <c r="T905" t="s">
        <v>58</v>
      </c>
      <c r="U905" t="s">
        <v>59</v>
      </c>
      <c r="V905" s="3">
        <v>0.7</v>
      </c>
      <c r="W905" s="2">
        <v>0</v>
      </c>
      <c r="X905">
        <v>0</v>
      </c>
      <c r="Y905" t="s">
        <v>60</v>
      </c>
      <c r="Z905" t="s">
        <v>61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7.13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45957</v>
      </c>
      <c r="B906" t="s">
        <v>48</v>
      </c>
      <c r="C906">
        <v>649163</v>
      </c>
      <c r="D906">
        <v>2028897604</v>
      </c>
      <c r="E906" t="s">
        <v>778</v>
      </c>
      <c r="F906" t="s">
        <v>779</v>
      </c>
      <c r="G906" t="s">
        <v>51</v>
      </c>
      <c r="H906" t="s">
        <v>165</v>
      </c>
      <c r="I906" t="s">
        <v>53</v>
      </c>
      <c r="J906" t="s">
        <v>54</v>
      </c>
      <c r="K906">
        <v>856163</v>
      </c>
      <c r="L906" t="s">
        <v>70</v>
      </c>
      <c r="M906" t="s">
        <v>71</v>
      </c>
      <c r="N906" t="s">
        <v>57</v>
      </c>
      <c r="O906" s="1">
        <v>45809</v>
      </c>
      <c r="Q906" s="1">
        <v>45992</v>
      </c>
      <c r="R906" s="2">
        <v>28.38</v>
      </c>
      <c r="S906">
        <v>1</v>
      </c>
      <c r="T906" t="s">
        <v>58</v>
      </c>
      <c r="U906" t="s">
        <v>59</v>
      </c>
      <c r="V906" s="3">
        <v>0.7</v>
      </c>
      <c r="W906" s="2">
        <v>0</v>
      </c>
      <c r="X906">
        <v>0</v>
      </c>
      <c r="Y906" t="s">
        <v>60</v>
      </c>
      <c r="Z906" t="s">
        <v>61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19.87</v>
      </c>
      <c r="AN906" s="2">
        <v>19.87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45957</v>
      </c>
      <c r="B907" t="s">
        <v>48</v>
      </c>
      <c r="C907">
        <v>649163</v>
      </c>
      <c r="D907">
        <v>2028898558</v>
      </c>
      <c r="E907" t="s">
        <v>780</v>
      </c>
      <c r="F907" t="s">
        <v>781</v>
      </c>
      <c r="G907" t="s">
        <v>51</v>
      </c>
      <c r="H907" t="s">
        <v>69</v>
      </c>
      <c r="I907" t="s">
        <v>53</v>
      </c>
      <c r="J907" t="s">
        <v>54</v>
      </c>
      <c r="K907">
        <v>824062</v>
      </c>
      <c r="L907" t="s">
        <v>74</v>
      </c>
      <c r="M907" t="s">
        <v>75</v>
      </c>
      <c r="N907" t="s">
        <v>57</v>
      </c>
      <c r="O907" s="1">
        <v>45809</v>
      </c>
      <c r="Q907" s="1">
        <v>45992</v>
      </c>
      <c r="R907" s="2">
        <v>23.85</v>
      </c>
      <c r="S907">
        <v>1</v>
      </c>
      <c r="T907" t="s">
        <v>58</v>
      </c>
      <c r="U907" t="s">
        <v>59</v>
      </c>
      <c r="V907" s="3">
        <v>0.7</v>
      </c>
      <c r="W907" s="2">
        <v>0</v>
      </c>
      <c r="X907">
        <v>0</v>
      </c>
      <c r="Y907" t="s">
        <v>60</v>
      </c>
      <c r="Z907" t="s">
        <v>61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16.7</v>
      </c>
      <c r="AN907" s="2">
        <v>16.7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45957</v>
      </c>
      <c r="B908" t="s">
        <v>48</v>
      </c>
      <c r="C908">
        <v>649163</v>
      </c>
      <c r="D908">
        <v>2028899050</v>
      </c>
      <c r="E908" t="s">
        <v>691</v>
      </c>
      <c r="F908" t="s">
        <v>692</v>
      </c>
      <c r="G908" t="s">
        <v>51</v>
      </c>
      <c r="H908" t="s">
        <v>69</v>
      </c>
      <c r="I908" t="s">
        <v>53</v>
      </c>
      <c r="J908" t="s">
        <v>54</v>
      </c>
      <c r="K908">
        <v>820873</v>
      </c>
      <c r="L908" t="s">
        <v>447</v>
      </c>
      <c r="M908" t="s">
        <v>448</v>
      </c>
      <c r="N908" t="s">
        <v>57</v>
      </c>
      <c r="O908" s="1">
        <v>45809</v>
      </c>
      <c r="Q908" s="1">
        <v>45992</v>
      </c>
      <c r="R908" s="2">
        <v>34</v>
      </c>
      <c r="S908">
        <v>1</v>
      </c>
      <c r="T908" t="s">
        <v>58</v>
      </c>
      <c r="U908" t="s">
        <v>59</v>
      </c>
      <c r="V908" s="3">
        <v>0.7</v>
      </c>
      <c r="W908" s="2">
        <v>0</v>
      </c>
      <c r="X908">
        <v>0</v>
      </c>
      <c r="Y908" t="s">
        <v>60</v>
      </c>
      <c r="Z908" t="s">
        <v>61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23.8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45957</v>
      </c>
      <c r="B909" t="s">
        <v>48</v>
      </c>
      <c r="C909">
        <v>649163</v>
      </c>
      <c r="D909">
        <v>2028905068</v>
      </c>
      <c r="E909" t="s">
        <v>782</v>
      </c>
      <c r="F909" t="s">
        <v>783</v>
      </c>
      <c r="G909" t="s">
        <v>51</v>
      </c>
      <c r="H909" t="s">
        <v>165</v>
      </c>
      <c r="I909" t="s">
        <v>53</v>
      </c>
      <c r="J909" t="s">
        <v>54</v>
      </c>
      <c r="K909">
        <v>753748</v>
      </c>
      <c r="L909" t="s">
        <v>65</v>
      </c>
      <c r="M909" t="s">
        <v>66</v>
      </c>
      <c r="N909" t="s">
        <v>57</v>
      </c>
      <c r="O909" s="1">
        <v>45809</v>
      </c>
      <c r="Q909" s="1">
        <v>45992</v>
      </c>
      <c r="R909" s="2">
        <v>49.12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61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34.380000000000003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45957</v>
      </c>
      <c r="B910" t="s">
        <v>48</v>
      </c>
      <c r="C910">
        <v>649163</v>
      </c>
      <c r="D910">
        <v>2028905614</v>
      </c>
      <c r="E910" t="s">
        <v>784</v>
      </c>
      <c r="F910" t="s">
        <v>354</v>
      </c>
      <c r="G910" t="s">
        <v>51</v>
      </c>
      <c r="H910" t="s">
        <v>165</v>
      </c>
      <c r="I910" t="s">
        <v>53</v>
      </c>
      <c r="J910" t="s">
        <v>54</v>
      </c>
      <c r="K910">
        <v>753748</v>
      </c>
      <c r="L910" t="s">
        <v>65</v>
      </c>
      <c r="M910" t="s">
        <v>66</v>
      </c>
      <c r="N910" t="s">
        <v>57</v>
      </c>
      <c r="O910" s="1">
        <v>45809</v>
      </c>
      <c r="Q910" s="1">
        <v>45992</v>
      </c>
      <c r="R910" s="2">
        <v>28.38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0</v>
      </c>
      <c r="Y910" t="s">
        <v>60</v>
      </c>
      <c r="Z910" t="s">
        <v>61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19.87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45957</v>
      </c>
      <c r="B911" t="s">
        <v>48</v>
      </c>
      <c r="C911">
        <v>649163</v>
      </c>
      <c r="D911">
        <v>2028912169</v>
      </c>
      <c r="E911" t="s">
        <v>934</v>
      </c>
      <c r="F911" t="s">
        <v>935</v>
      </c>
      <c r="G911" t="s">
        <v>51</v>
      </c>
      <c r="H911" t="s">
        <v>52</v>
      </c>
      <c r="I911" t="s">
        <v>53</v>
      </c>
      <c r="J911" t="s">
        <v>54</v>
      </c>
      <c r="K911">
        <v>856824</v>
      </c>
      <c r="L911" t="s">
        <v>175</v>
      </c>
      <c r="M911" t="s">
        <v>176</v>
      </c>
      <c r="N911" t="s">
        <v>57</v>
      </c>
      <c r="O911" s="1">
        <v>45809</v>
      </c>
      <c r="Q911" s="1">
        <v>45992</v>
      </c>
      <c r="R911" s="2">
        <v>33.54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61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23.48</v>
      </c>
      <c r="AN911" s="2">
        <v>23.48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45957</v>
      </c>
      <c r="B912" t="s">
        <v>48</v>
      </c>
      <c r="C912">
        <v>649163</v>
      </c>
      <c r="D912">
        <v>2028915915</v>
      </c>
      <c r="E912" t="s">
        <v>113</v>
      </c>
      <c r="F912" t="s">
        <v>1047</v>
      </c>
      <c r="G912" t="s">
        <v>51</v>
      </c>
      <c r="H912" t="s">
        <v>165</v>
      </c>
      <c r="I912" t="s">
        <v>53</v>
      </c>
      <c r="J912" t="s">
        <v>54</v>
      </c>
      <c r="K912">
        <v>858541</v>
      </c>
      <c r="L912" t="s">
        <v>1048</v>
      </c>
      <c r="M912" t="s">
        <v>1049</v>
      </c>
      <c r="N912" t="s">
        <v>57</v>
      </c>
      <c r="O912" s="1">
        <v>45809</v>
      </c>
      <c r="Q912" s="1">
        <v>45992</v>
      </c>
      <c r="R912" s="2">
        <v>72.400000000000006</v>
      </c>
      <c r="S912">
        <v>1</v>
      </c>
      <c r="T912" t="s">
        <v>58</v>
      </c>
      <c r="U912" t="s">
        <v>59</v>
      </c>
      <c r="V912" s="3">
        <v>0.7</v>
      </c>
      <c r="W912" s="2">
        <v>0</v>
      </c>
      <c r="X912">
        <v>0</v>
      </c>
      <c r="Y912" t="s">
        <v>60</v>
      </c>
      <c r="Z912" t="s">
        <v>61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50.68</v>
      </c>
      <c r="AN912" s="2">
        <v>50.68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45957</v>
      </c>
      <c r="B913" t="s">
        <v>48</v>
      </c>
      <c r="C913">
        <v>649163</v>
      </c>
      <c r="D913">
        <v>2028923136</v>
      </c>
      <c r="E913" t="s">
        <v>938</v>
      </c>
      <c r="F913" t="s">
        <v>385</v>
      </c>
      <c r="G913" t="s">
        <v>51</v>
      </c>
      <c r="H913" t="s">
        <v>69</v>
      </c>
      <c r="I913" t="s">
        <v>53</v>
      </c>
      <c r="J913" t="s">
        <v>54</v>
      </c>
      <c r="K913">
        <v>824076</v>
      </c>
      <c r="L913" t="s">
        <v>135</v>
      </c>
      <c r="M913" t="s">
        <v>136</v>
      </c>
      <c r="N913" t="s">
        <v>57</v>
      </c>
      <c r="O913" s="1">
        <v>45809</v>
      </c>
      <c r="Q913" s="1">
        <v>45992</v>
      </c>
      <c r="R913" s="2">
        <v>15.75</v>
      </c>
      <c r="S913">
        <v>1</v>
      </c>
      <c r="T913" t="s">
        <v>58</v>
      </c>
      <c r="U913" t="s">
        <v>59</v>
      </c>
      <c r="V913" s="3">
        <v>0.7</v>
      </c>
      <c r="W913" s="2">
        <v>0</v>
      </c>
      <c r="X913">
        <v>0</v>
      </c>
      <c r="Y913" t="s">
        <v>60</v>
      </c>
      <c r="Z913" t="s">
        <v>61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11.02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45957</v>
      </c>
      <c r="B914" t="s">
        <v>48</v>
      </c>
      <c r="C914">
        <v>649163</v>
      </c>
      <c r="D914">
        <v>2028934221</v>
      </c>
      <c r="E914" t="s">
        <v>545</v>
      </c>
      <c r="F914" t="s">
        <v>546</v>
      </c>
      <c r="G914" t="s">
        <v>51</v>
      </c>
      <c r="H914" t="s">
        <v>190</v>
      </c>
      <c r="I914" t="s">
        <v>53</v>
      </c>
      <c r="J914" t="s">
        <v>54</v>
      </c>
      <c r="K914">
        <v>673059</v>
      </c>
      <c r="L914" t="s">
        <v>55</v>
      </c>
      <c r="M914" t="s">
        <v>56</v>
      </c>
      <c r="N914" t="s">
        <v>57</v>
      </c>
      <c r="O914" s="1">
        <v>45809</v>
      </c>
      <c r="Q914" s="1">
        <v>45992</v>
      </c>
      <c r="R914" s="2">
        <v>52.31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61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36.61</v>
      </c>
      <c r="AM914" s="2">
        <v>0.01</v>
      </c>
      <c r="AN914" s="2">
        <v>0.01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45957</v>
      </c>
      <c r="B915" t="s">
        <v>48</v>
      </c>
      <c r="C915">
        <v>649163</v>
      </c>
      <c r="D915">
        <v>2028938952</v>
      </c>
      <c r="E915" t="s">
        <v>785</v>
      </c>
      <c r="F915" t="s">
        <v>506</v>
      </c>
      <c r="G915" t="s">
        <v>51</v>
      </c>
      <c r="H915" t="s">
        <v>69</v>
      </c>
      <c r="I915" t="s">
        <v>53</v>
      </c>
      <c r="J915" t="s">
        <v>54</v>
      </c>
      <c r="K915">
        <v>673059</v>
      </c>
      <c r="L915" t="s">
        <v>55</v>
      </c>
      <c r="M915" t="s">
        <v>56</v>
      </c>
      <c r="N915" t="s">
        <v>57</v>
      </c>
      <c r="O915" s="1">
        <v>45836</v>
      </c>
      <c r="Q915" s="1">
        <v>45989</v>
      </c>
      <c r="R915" s="2">
        <v>105.02</v>
      </c>
      <c r="S915">
        <v>1</v>
      </c>
      <c r="T915" t="s">
        <v>58</v>
      </c>
      <c r="U915" t="s">
        <v>59</v>
      </c>
      <c r="V915" s="3">
        <v>0.7</v>
      </c>
      <c r="W915" s="2">
        <v>0</v>
      </c>
      <c r="X915">
        <v>0</v>
      </c>
      <c r="Y915" t="s">
        <v>60</v>
      </c>
      <c r="Z915" t="s">
        <v>61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73.510000000000005</v>
      </c>
      <c r="AN915" s="2">
        <v>73.510000000000005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45957</v>
      </c>
      <c r="B916" t="s">
        <v>48</v>
      </c>
      <c r="C916">
        <v>649163</v>
      </c>
      <c r="D916">
        <v>2028949436</v>
      </c>
      <c r="E916" t="s">
        <v>786</v>
      </c>
      <c r="F916" t="s">
        <v>787</v>
      </c>
      <c r="G916" t="s">
        <v>51</v>
      </c>
      <c r="H916" t="s">
        <v>69</v>
      </c>
      <c r="I916" t="s">
        <v>53</v>
      </c>
      <c r="J916" t="s">
        <v>54</v>
      </c>
      <c r="K916">
        <v>824062</v>
      </c>
      <c r="L916" t="s">
        <v>74</v>
      </c>
      <c r="M916" t="s">
        <v>75</v>
      </c>
      <c r="N916" t="s">
        <v>57</v>
      </c>
      <c r="O916" s="1">
        <v>45809</v>
      </c>
      <c r="Q916" s="1">
        <v>45992</v>
      </c>
      <c r="R916" s="2">
        <v>35.700000000000003</v>
      </c>
      <c r="S916">
        <v>1</v>
      </c>
      <c r="T916" t="s">
        <v>58</v>
      </c>
      <c r="U916" t="s">
        <v>59</v>
      </c>
      <c r="V916" s="3">
        <v>0.7</v>
      </c>
      <c r="W916" s="2">
        <v>0</v>
      </c>
      <c r="X916">
        <v>0</v>
      </c>
      <c r="Y916" t="s">
        <v>60</v>
      </c>
      <c r="Z916" t="s">
        <v>61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24.99</v>
      </c>
      <c r="AN916" s="2">
        <v>24.99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45957</v>
      </c>
      <c r="B917" t="s">
        <v>48</v>
      </c>
      <c r="C917">
        <v>649163</v>
      </c>
      <c r="D917">
        <v>2028952684</v>
      </c>
      <c r="E917" t="s">
        <v>1050</v>
      </c>
      <c r="F917" t="s">
        <v>1051</v>
      </c>
      <c r="G917" t="s">
        <v>51</v>
      </c>
      <c r="H917" t="s">
        <v>145</v>
      </c>
      <c r="I917" t="s">
        <v>53</v>
      </c>
      <c r="J917" t="s">
        <v>54</v>
      </c>
      <c r="K917">
        <v>812656</v>
      </c>
      <c r="L917" t="s">
        <v>82</v>
      </c>
      <c r="M917" t="s">
        <v>83</v>
      </c>
      <c r="N917" t="s">
        <v>57</v>
      </c>
      <c r="O917" s="1">
        <v>45809</v>
      </c>
      <c r="Q917" s="1">
        <v>45992</v>
      </c>
      <c r="R917" s="2">
        <v>70.25</v>
      </c>
      <c r="S917">
        <v>1</v>
      </c>
      <c r="T917" t="s">
        <v>58</v>
      </c>
      <c r="U917" t="s">
        <v>59</v>
      </c>
      <c r="V917" s="3">
        <v>0.7</v>
      </c>
      <c r="W917" s="2">
        <v>0</v>
      </c>
      <c r="X917">
        <v>0</v>
      </c>
      <c r="Y917" t="s">
        <v>60</v>
      </c>
      <c r="Z917" t="s">
        <v>61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49.18</v>
      </c>
      <c r="AN917" s="2">
        <v>49.18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45957</v>
      </c>
      <c r="B918" t="s">
        <v>48</v>
      </c>
      <c r="C918">
        <v>649163</v>
      </c>
      <c r="D918">
        <v>2028959745</v>
      </c>
      <c r="E918" t="s">
        <v>1052</v>
      </c>
      <c r="F918" t="s">
        <v>1053</v>
      </c>
      <c r="G918" t="s">
        <v>51</v>
      </c>
      <c r="H918" t="s">
        <v>69</v>
      </c>
      <c r="I918" t="s">
        <v>53</v>
      </c>
      <c r="J918" t="s">
        <v>54</v>
      </c>
      <c r="K918">
        <v>824081</v>
      </c>
      <c r="L918" t="s">
        <v>800</v>
      </c>
      <c r="M918" t="s">
        <v>801</v>
      </c>
      <c r="N918" t="s">
        <v>57</v>
      </c>
      <c r="O918" s="1">
        <v>45809</v>
      </c>
      <c r="Q918" s="1">
        <v>45992</v>
      </c>
      <c r="R918" s="2">
        <v>115.38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61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80.77</v>
      </c>
      <c r="AN918" s="2">
        <v>80.77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45957</v>
      </c>
      <c r="B919" t="s">
        <v>48</v>
      </c>
      <c r="C919">
        <v>649163</v>
      </c>
      <c r="D919">
        <v>2028960905</v>
      </c>
      <c r="E919" t="s">
        <v>789</v>
      </c>
      <c r="F919" t="s">
        <v>790</v>
      </c>
      <c r="G919" t="s">
        <v>51</v>
      </c>
      <c r="H919" t="s">
        <v>69</v>
      </c>
      <c r="I919" t="s">
        <v>53</v>
      </c>
      <c r="J919" t="s">
        <v>54</v>
      </c>
      <c r="K919">
        <v>856163</v>
      </c>
      <c r="L919" t="s">
        <v>70</v>
      </c>
      <c r="M919" t="s">
        <v>71</v>
      </c>
      <c r="N919" t="s">
        <v>57</v>
      </c>
      <c r="O919" s="1">
        <v>45809</v>
      </c>
      <c r="Q919" s="1">
        <v>45992</v>
      </c>
      <c r="R919" s="2">
        <v>46.46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61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32.520000000000003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45957</v>
      </c>
      <c r="B920" t="s">
        <v>48</v>
      </c>
      <c r="C920">
        <v>649163</v>
      </c>
      <c r="D920">
        <v>2028960907</v>
      </c>
      <c r="E920" t="s">
        <v>789</v>
      </c>
      <c r="F920" t="s">
        <v>790</v>
      </c>
      <c r="G920" t="s">
        <v>51</v>
      </c>
      <c r="H920" t="s">
        <v>69</v>
      </c>
      <c r="I920" t="s">
        <v>53</v>
      </c>
      <c r="J920" t="s">
        <v>132</v>
      </c>
      <c r="K920">
        <v>856163</v>
      </c>
      <c r="L920" t="s">
        <v>70</v>
      </c>
      <c r="M920" t="s">
        <v>71</v>
      </c>
      <c r="N920" t="s">
        <v>57</v>
      </c>
      <c r="O920" s="1">
        <v>45809</v>
      </c>
      <c r="Q920" s="1">
        <v>45992</v>
      </c>
      <c r="R920" s="2">
        <v>12.92</v>
      </c>
      <c r="S920">
        <v>1</v>
      </c>
      <c r="T920" t="s">
        <v>58</v>
      </c>
      <c r="U920" t="s">
        <v>59</v>
      </c>
      <c r="V920" s="3">
        <v>0.9</v>
      </c>
      <c r="W920" s="2">
        <v>0</v>
      </c>
      <c r="X920">
        <v>0</v>
      </c>
      <c r="Y920" t="s">
        <v>60</v>
      </c>
      <c r="Z920" t="s">
        <v>61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11.63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45957</v>
      </c>
      <c r="B921" t="s">
        <v>48</v>
      </c>
      <c r="C921">
        <v>649163</v>
      </c>
      <c r="D921">
        <v>2028965158</v>
      </c>
      <c r="E921" t="s">
        <v>939</v>
      </c>
      <c r="F921" t="s">
        <v>886</v>
      </c>
      <c r="G921" t="s">
        <v>51</v>
      </c>
      <c r="H921" t="s">
        <v>69</v>
      </c>
      <c r="I921" t="s">
        <v>53</v>
      </c>
      <c r="J921" t="s">
        <v>54</v>
      </c>
      <c r="K921">
        <v>812994</v>
      </c>
      <c r="L921" t="s">
        <v>228</v>
      </c>
      <c r="M921" t="s">
        <v>229</v>
      </c>
      <c r="N921" t="s">
        <v>57</v>
      </c>
      <c r="O921" s="1">
        <v>45809</v>
      </c>
      <c r="Q921" s="1">
        <v>45992</v>
      </c>
      <c r="R921" s="2">
        <v>80.16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61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56.11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45957</v>
      </c>
      <c r="B922" t="s">
        <v>48</v>
      </c>
      <c r="C922">
        <v>649163</v>
      </c>
      <c r="D922">
        <v>2028965279</v>
      </c>
      <c r="E922" t="s">
        <v>940</v>
      </c>
      <c r="F922" t="s">
        <v>427</v>
      </c>
      <c r="G922" t="s">
        <v>51</v>
      </c>
      <c r="H922" t="s">
        <v>69</v>
      </c>
      <c r="I922" t="s">
        <v>53</v>
      </c>
      <c r="J922" t="s">
        <v>54</v>
      </c>
      <c r="K922">
        <v>824081</v>
      </c>
      <c r="L922" t="s">
        <v>800</v>
      </c>
      <c r="M922" t="s">
        <v>801</v>
      </c>
      <c r="N922" t="s">
        <v>57</v>
      </c>
      <c r="O922" s="1">
        <v>45809</v>
      </c>
      <c r="Q922" s="1">
        <v>45992</v>
      </c>
      <c r="R922" s="2">
        <v>57.35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61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40.14</v>
      </c>
      <c r="AN922" s="2">
        <v>40.14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45957</v>
      </c>
      <c r="B923" t="s">
        <v>48</v>
      </c>
      <c r="C923">
        <v>649163</v>
      </c>
      <c r="D923">
        <v>2028992069</v>
      </c>
      <c r="E923" t="s">
        <v>791</v>
      </c>
      <c r="F923" t="s">
        <v>490</v>
      </c>
      <c r="G923" t="s">
        <v>51</v>
      </c>
      <c r="H923" t="s">
        <v>179</v>
      </c>
      <c r="I923" t="s">
        <v>53</v>
      </c>
      <c r="J923" t="s">
        <v>54</v>
      </c>
      <c r="K923">
        <v>753748</v>
      </c>
      <c r="L923" t="s">
        <v>65</v>
      </c>
      <c r="M923" t="s">
        <v>66</v>
      </c>
      <c r="N923" t="s">
        <v>57</v>
      </c>
      <c r="O923" s="1">
        <v>45799</v>
      </c>
      <c r="Q923" s="1">
        <v>45983</v>
      </c>
      <c r="R923" s="2">
        <v>-9.0500000000000007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-1</v>
      </c>
      <c r="Y923" t="s">
        <v>60</v>
      </c>
      <c r="Z923" t="s">
        <v>61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-6.34</v>
      </c>
      <c r="AN923" s="2">
        <v>-6.34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45957</v>
      </c>
      <c r="B924" t="s">
        <v>48</v>
      </c>
      <c r="C924">
        <v>649163</v>
      </c>
      <c r="D924">
        <v>2029011564</v>
      </c>
      <c r="E924" t="s">
        <v>265</v>
      </c>
      <c r="F924" t="s">
        <v>792</v>
      </c>
      <c r="G924" t="s">
        <v>51</v>
      </c>
      <c r="H924" t="s">
        <v>69</v>
      </c>
      <c r="I924" t="s">
        <v>53</v>
      </c>
      <c r="J924" t="s">
        <v>54</v>
      </c>
      <c r="K924">
        <v>673059</v>
      </c>
      <c r="L924" t="s">
        <v>55</v>
      </c>
      <c r="M924" t="s">
        <v>56</v>
      </c>
      <c r="N924" t="s">
        <v>57</v>
      </c>
      <c r="O924" s="1">
        <v>45809</v>
      </c>
      <c r="Q924" s="1">
        <v>45992</v>
      </c>
      <c r="R924" s="2">
        <v>96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61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67.2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45957</v>
      </c>
      <c r="B925" t="s">
        <v>48</v>
      </c>
      <c r="C925">
        <v>649163</v>
      </c>
      <c r="D925">
        <v>2029014822</v>
      </c>
      <c r="E925" t="s">
        <v>793</v>
      </c>
      <c r="F925" t="s">
        <v>794</v>
      </c>
      <c r="G925" t="s">
        <v>51</v>
      </c>
      <c r="H925" t="s">
        <v>69</v>
      </c>
      <c r="I925" t="s">
        <v>53</v>
      </c>
      <c r="J925" t="s">
        <v>54</v>
      </c>
      <c r="K925">
        <v>673059</v>
      </c>
      <c r="L925" t="s">
        <v>55</v>
      </c>
      <c r="M925" t="s">
        <v>56</v>
      </c>
      <c r="N925" t="s">
        <v>57</v>
      </c>
      <c r="O925" s="1">
        <v>45809</v>
      </c>
      <c r="Q925" s="1">
        <v>45992</v>
      </c>
      <c r="R925" s="2">
        <v>41.95</v>
      </c>
      <c r="S925">
        <v>1</v>
      </c>
      <c r="T925" t="s">
        <v>58</v>
      </c>
      <c r="U925" t="s">
        <v>59</v>
      </c>
      <c r="V925" s="3">
        <v>0.7</v>
      </c>
      <c r="W925" s="2">
        <v>0</v>
      </c>
      <c r="X925">
        <v>0</v>
      </c>
      <c r="Y925" t="s">
        <v>60</v>
      </c>
      <c r="Z925" t="s">
        <v>61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29.36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45957</v>
      </c>
      <c r="B926" t="s">
        <v>48</v>
      </c>
      <c r="C926">
        <v>649163</v>
      </c>
      <c r="D926">
        <v>2029029117</v>
      </c>
      <c r="E926" t="s">
        <v>795</v>
      </c>
      <c r="F926" t="s">
        <v>301</v>
      </c>
      <c r="G926" t="s">
        <v>51</v>
      </c>
      <c r="H926" t="s">
        <v>92</v>
      </c>
      <c r="I926" t="s">
        <v>53</v>
      </c>
      <c r="J926" t="s">
        <v>54</v>
      </c>
      <c r="K926">
        <v>816021</v>
      </c>
      <c r="L926" t="s">
        <v>93</v>
      </c>
      <c r="M926" t="s">
        <v>94</v>
      </c>
      <c r="N926" t="s">
        <v>57</v>
      </c>
      <c r="O926" s="1">
        <v>45809</v>
      </c>
      <c r="Q926" s="1">
        <v>45992</v>
      </c>
      <c r="R926" s="2">
        <v>9.6999999999999993</v>
      </c>
      <c r="S926">
        <v>1</v>
      </c>
      <c r="T926" t="s">
        <v>58</v>
      </c>
      <c r="U926" t="s">
        <v>59</v>
      </c>
      <c r="V926" s="3">
        <v>0.7</v>
      </c>
      <c r="W926" s="2">
        <v>0</v>
      </c>
      <c r="X926">
        <v>0</v>
      </c>
      <c r="Y926" t="s">
        <v>60</v>
      </c>
      <c r="Z926" t="s">
        <v>61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6.79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45957</v>
      </c>
      <c r="B927" t="s">
        <v>48</v>
      </c>
      <c r="C927">
        <v>649163</v>
      </c>
      <c r="D927">
        <v>2029031323</v>
      </c>
      <c r="E927" t="s">
        <v>796</v>
      </c>
      <c r="F927" t="s">
        <v>308</v>
      </c>
      <c r="G927" t="s">
        <v>51</v>
      </c>
      <c r="H927" t="s">
        <v>92</v>
      </c>
      <c r="I927" t="s">
        <v>53</v>
      </c>
      <c r="J927" t="s">
        <v>54</v>
      </c>
      <c r="K927">
        <v>816021</v>
      </c>
      <c r="L927" t="s">
        <v>93</v>
      </c>
      <c r="M927" t="s">
        <v>94</v>
      </c>
      <c r="N927" t="s">
        <v>57</v>
      </c>
      <c r="O927" s="1">
        <v>45809</v>
      </c>
      <c r="Q927" s="1">
        <v>45992</v>
      </c>
      <c r="R927" s="2">
        <v>9.6999999999999993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0</v>
      </c>
      <c r="Y927" t="s">
        <v>60</v>
      </c>
      <c r="Z927" t="s">
        <v>61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6.79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45957</v>
      </c>
      <c r="B928" t="s">
        <v>48</v>
      </c>
      <c r="C928">
        <v>649163</v>
      </c>
      <c r="D928">
        <v>2029034139</v>
      </c>
      <c r="E928" t="s">
        <v>943</v>
      </c>
      <c r="F928" t="s">
        <v>944</v>
      </c>
      <c r="G928" t="s">
        <v>51</v>
      </c>
      <c r="H928" t="s">
        <v>69</v>
      </c>
      <c r="I928" t="s">
        <v>53</v>
      </c>
      <c r="J928" t="s">
        <v>54</v>
      </c>
      <c r="K928">
        <v>824062</v>
      </c>
      <c r="L928" t="s">
        <v>74</v>
      </c>
      <c r="M928" t="s">
        <v>75</v>
      </c>
      <c r="N928" t="s">
        <v>57</v>
      </c>
      <c r="O928" s="1">
        <v>45809</v>
      </c>
      <c r="Q928" s="1">
        <v>45992</v>
      </c>
      <c r="R928" s="2">
        <v>15.75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61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11.02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45957</v>
      </c>
      <c r="B929" t="s">
        <v>48</v>
      </c>
      <c r="C929">
        <v>649163</v>
      </c>
      <c r="D929">
        <v>2029034660</v>
      </c>
      <c r="E929" t="s">
        <v>265</v>
      </c>
      <c r="F929" t="s">
        <v>797</v>
      </c>
      <c r="G929" t="s">
        <v>51</v>
      </c>
      <c r="H929" t="s">
        <v>69</v>
      </c>
      <c r="I929" t="s">
        <v>53</v>
      </c>
      <c r="J929" t="s">
        <v>54</v>
      </c>
      <c r="K929">
        <v>673059</v>
      </c>
      <c r="L929" t="s">
        <v>55</v>
      </c>
      <c r="M929" t="s">
        <v>56</v>
      </c>
      <c r="N929" t="s">
        <v>57</v>
      </c>
      <c r="O929" s="1">
        <v>45809</v>
      </c>
      <c r="Q929" s="1">
        <v>45992</v>
      </c>
      <c r="R929" s="2">
        <v>33.119999999999997</v>
      </c>
      <c r="S929">
        <v>1</v>
      </c>
      <c r="T929" t="s">
        <v>58</v>
      </c>
      <c r="U929" t="s">
        <v>59</v>
      </c>
      <c r="V929" s="3">
        <v>0.7</v>
      </c>
      <c r="W929" s="2">
        <v>0</v>
      </c>
      <c r="X929">
        <v>0</v>
      </c>
      <c r="Y929" t="s">
        <v>60</v>
      </c>
      <c r="Z929" t="s">
        <v>61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23.18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45957</v>
      </c>
      <c r="B930" t="s">
        <v>48</v>
      </c>
      <c r="C930">
        <v>649163</v>
      </c>
      <c r="D930">
        <v>2029058756</v>
      </c>
      <c r="E930" t="s">
        <v>1054</v>
      </c>
      <c r="F930" t="s">
        <v>1055</v>
      </c>
      <c r="G930" t="s">
        <v>51</v>
      </c>
      <c r="H930" t="s">
        <v>69</v>
      </c>
      <c r="I930" t="s">
        <v>53</v>
      </c>
      <c r="J930" t="s">
        <v>54</v>
      </c>
      <c r="K930">
        <v>821015</v>
      </c>
      <c r="L930" t="s">
        <v>398</v>
      </c>
      <c r="M930" t="s">
        <v>399</v>
      </c>
      <c r="N930" t="s">
        <v>57</v>
      </c>
      <c r="O930" s="1">
        <v>45809</v>
      </c>
      <c r="Q930" s="1">
        <v>45992</v>
      </c>
      <c r="R930" s="2">
        <v>37.18</v>
      </c>
      <c r="S930">
        <v>1</v>
      </c>
      <c r="T930" t="s">
        <v>58</v>
      </c>
      <c r="U930" t="s">
        <v>59</v>
      </c>
      <c r="V930" s="3">
        <v>0.7</v>
      </c>
      <c r="W930" s="2">
        <v>0</v>
      </c>
      <c r="X930">
        <v>0</v>
      </c>
      <c r="Y930" t="s">
        <v>60</v>
      </c>
      <c r="Z930" t="s">
        <v>61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26.03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45957</v>
      </c>
      <c r="B931" t="s">
        <v>48</v>
      </c>
      <c r="C931">
        <v>649163</v>
      </c>
      <c r="D931">
        <v>2029062371</v>
      </c>
      <c r="E931" t="s">
        <v>857</v>
      </c>
      <c r="F931" t="s">
        <v>945</v>
      </c>
      <c r="G931" t="s">
        <v>51</v>
      </c>
      <c r="H931" t="s">
        <v>261</v>
      </c>
      <c r="I931" t="s">
        <v>53</v>
      </c>
      <c r="J931" t="s">
        <v>132</v>
      </c>
      <c r="K931">
        <v>767312</v>
      </c>
      <c r="L931" t="s">
        <v>237</v>
      </c>
      <c r="M931" t="s">
        <v>103</v>
      </c>
      <c r="N931" t="s">
        <v>57</v>
      </c>
      <c r="O931" s="1">
        <v>45800</v>
      </c>
      <c r="Q931" s="1">
        <v>45984</v>
      </c>
      <c r="R931" s="2">
        <v>28.83</v>
      </c>
      <c r="S931">
        <v>1</v>
      </c>
      <c r="T931" t="s">
        <v>58</v>
      </c>
      <c r="U931" t="s">
        <v>59</v>
      </c>
      <c r="V931" s="3">
        <v>0.9</v>
      </c>
      <c r="W931" s="2">
        <v>0</v>
      </c>
      <c r="X931">
        <v>0</v>
      </c>
      <c r="Y931" t="s">
        <v>60</v>
      </c>
      <c r="Z931" t="s">
        <v>61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25.95</v>
      </c>
      <c r="AN931" s="2">
        <v>25.95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45957</v>
      </c>
      <c r="B932" t="s">
        <v>48</v>
      </c>
      <c r="C932">
        <v>649163</v>
      </c>
      <c r="D932">
        <v>2029062372</v>
      </c>
      <c r="E932" t="s">
        <v>857</v>
      </c>
      <c r="F932" t="s">
        <v>945</v>
      </c>
      <c r="G932" t="s">
        <v>51</v>
      </c>
      <c r="H932" t="s">
        <v>261</v>
      </c>
      <c r="I932" t="s">
        <v>53</v>
      </c>
      <c r="J932" t="s">
        <v>54</v>
      </c>
      <c r="K932">
        <v>767312</v>
      </c>
      <c r="L932" t="s">
        <v>237</v>
      </c>
      <c r="M932" t="s">
        <v>103</v>
      </c>
      <c r="N932" t="s">
        <v>57</v>
      </c>
      <c r="O932" s="1">
        <v>45800</v>
      </c>
      <c r="Q932" s="1">
        <v>45984</v>
      </c>
      <c r="R932" s="2">
        <v>29.48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61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20.64</v>
      </c>
      <c r="AN932" s="2">
        <v>20.64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45957</v>
      </c>
      <c r="B933" t="s">
        <v>48</v>
      </c>
      <c r="C933">
        <v>649163</v>
      </c>
      <c r="D933">
        <v>2029068609</v>
      </c>
      <c r="E933" t="s">
        <v>946</v>
      </c>
      <c r="F933" t="s">
        <v>947</v>
      </c>
      <c r="G933" t="s">
        <v>51</v>
      </c>
      <c r="H933" t="s">
        <v>69</v>
      </c>
      <c r="I933" t="s">
        <v>53</v>
      </c>
      <c r="J933" t="s">
        <v>54</v>
      </c>
      <c r="K933">
        <v>812656</v>
      </c>
      <c r="L933" t="s">
        <v>82</v>
      </c>
      <c r="M933" t="s">
        <v>83</v>
      </c>
      <c r="N933" t="s">
        <v>57</v>
      </c>
      <c r="O933" s="1">
        <v>45809</v>
      </c>
      <c r="Q933" s="1">
        <v>45992</v>
      </c>
      <c r="R933" s="2">
        <v>52</v>
      </c>
      <c r="S933">
        <v>1</v>
      </c>
      <c r="T933" t="s">
        <v>58</v>
      </c>
      <c r="U933" t="s">
        <v>59</v>
      </c>
      <c r="V933" s="3">
        <v>0.7</v>
      </c>
      <c r="W933" s="2">
        <v>0</v>
      </c>
      <c r="X933">
        <v>0</v>
      </c>
      <c r="Y933" t="s">
        <v>60</v>
      </c>
      <c r="Z933" t="s">
        <v>61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36.4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45957</v>
      </c>
      <c r="B934" t="s">
        <v>48</v>
      </c>
      <c r="C934">
        <v>649163</v>
      </c>
      <c r="D934">
        <v>2029089291</v>
      </c>
      <c r="E934" t="s">
        <v>1056</v>
      </c>
      <c r="F934" t="s">
        <v>413</v>
      </c>
      <c r="G934" t="s">
        <v>51</v>
      </c>
      <c r="H934" t="s">
        <v>195</v>
      </c>
      <c r="I934" t="s">
        <v>53</v>
      </c>
      <c r="J934" t="s">
        <v>257</v>
      </c>
      <c r="K934">
        <v>649247</v>
      </c>
      <c r="L934" t="s">
        <v>321</v>
      </c>
      <c r="M934" t="s">
        <v>322</v>
      </c>
      <c r="N934" t="s">
        <v>57</v>
      </c>
      <c r="O934" s="1">
        <v>45809</v>
      </c>
      <c r="Q934" s="1">
        <v>45992</v>
      </c>
      <c r="R934" s="2">
        <v>85.53</v>
      </c>
      <c r="S934">
        <v>1</v>
      </c>
      <c r="T934" t="s">
        <v>58</v>
      </c>
      <c r="U934" t="s">
        <v>59</v>
      </c>
      <c r="V934" s="3">
        <v>0.7</v>
      </c>
      <c r="W934" s="2">
        <v>0</v>
      </c>
      <c r="X934">
        <v>0</v>
      </c>
      <c r="Y934" t="s">
        <v>60</v>
      </c>
      <c r="Z934" t="s">
        <v>61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59.87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45957</v>
      </c>
      <c r="B935" t="s">
        <v>48</v>
      </c>
      <c r="C935">
        <v>649163</v>
      </c>
      <c r="D935">
        <v>2029112078</v>
      </c>
      <c r="E935" t="s">
        <v>1057</v>
      </c>
      <c r="F935" t="s">
        <v>704</v>
      </c>
      <c r="G935" t="s">
        <v>51</v>
      </c>
      <c r="H935" t="s">
        <v>69</v>
      </c>
      <c r="I935" t="s">
        <v>53</v>
      </c>
      <c r="J935" t="s">
        <v>54</v>
      </c>
      <c r="K935">
        <v>812656</v>
      </c>
      <c r="L935" t="s">
        <v>82</v>
      </c>
      <c r="M935" t="s">
        <v>83</v>
      </c>
      <c r="N935" t="s">
        <v>57</v>
      </c>
      <c r="O935" s="1">
        <v>45802</v>
      </c>
      <c r="Q935" s="1">
        <v>45986</v>
      </c>
      <c r="R935" s="2">
        <v>46.08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0</v>
      </c>
      <c r="Y935" t="s">
        <v>60</v>
      </c>
      <c r="Z935" t="s">
        <v>61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32.26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45957</v>
      </c>
      <c r="B936" t="s">
        <v>48</v>
      </c>
      <c r="C936">
        <v>649163</v>
      </c>
      <c r="D936">
        <v>2029118392</v>
      </c>
      <c r="E936" t="s">
        <v>1058</v>
      </c>
      <c r="F936" t="s">
        <v>1059</v>
      </c>
      <c r="G936" t="s">
        <v>51</v>
      </c>
      <c r="H936" t="s">
        <v>69</v>
      </c>
      <c r="I936" t="s">
        <v>53</v>
      </c>
      <c r="J936" t="s">
        <v>54</v>
      </c>
      <c r="K936">
        <v>807212</v>
      </c>
      <c r="L936" t="s">
        <v>769</v>
      </c>
      <c r="M936" t="s">
        <v>770</v>
      </c>
      <c r="N936" t="s">
        <v>57</v>
      </c>
      <c r="O936" s="1">
        <v>45803</v>
      </c>
      <c r="Q936" s="1">
        <v>45987</v>
      </c>
      <c r="R936" s="2">
        <v>76.709999999999994</v>
      </c>
      <c r="S936">
        <v>1</v>
      </c>
      <c r="T936" t="s">
        <v>58</v>
      </c>
      <c r="U936" t="s">
        <v>59</v>
      </c>
      <c r="V936" s="3">
        <v>0.7</v>
      </c>
      <c r="W936" s="2">
        <v>0</v>
      </c>
      <c r="X936">
        <v>0</v>
      </c>
      <c r="Y936" t="s">
        <v>60</v>
      </c>
      <c r="Z936" t="s">
        <v>61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53.69</v>
      </c>
      <c r="AM936" s="2">
        <v>0.01</v>
      </c>
      <c r="AN936" s="2">
        <v>0.01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45957</v>
      </c>
      <c r="B937" t="s">
        <v>48</v>
      </c>
      <c r="C937">
        <v>649163</v>
      </c>
      <c r="D937">
        <v>2029118625</v>
      </c>
      <c r="E937" t="s">
        <v>1058</v>
      </c>
      <c r="F937" t="s">
        <v>1060</v>
      </c>
      <c r="G937" t="s">
        <v>51</v>
      </c>
      <c r="H937" t="s">
        <v>69</v>
      </c>
      <c r="I937" t="s">
        <v>53</v>
      </c>
      <c r="J937" t="s">
        <v>54</v>
      </c>
      <c r="K937">
        <v>807212</v>
      </c>
      <c r="L937" t="s">
        <v>769</v>
      </c>
      <c r="M937" t="s">
        <v>770</v>
      </c>
      <c r="N937" t="s">
        <v>57</v>
      </c>
      <c r="O937" s="1">
        <v>45803</v>
      </c>
      <c r="Q937" s="1">
        <v>45987</v>
      </c>
      <c r="R937" s="2">
        <v>51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61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35.700000000000003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45957</v>
      </c>
      <c r="B938" t="s">
        <v>48</v>
      </c>
      <c r="C938">
        <v>649163</v>
      </c>
      <c r="D938">
        <v>2029130570</v>
      </c>
      <c r="E938" t="s">
        <v>1061</v>
      </c>
      <c r="F938" t="s">
        <v>1062</v>
      </c>
      <c r="G938" t="s">
        <v>51</v>
      </c>
      <c r="H938" t="s">
        <v>195</v>
      </c>
      <c r="I938" t="s">
        <v>53</v>
      </c>
      <c r="J938" t="s">
        <v>257</v>
      </c>
      <c r="K938">
        <v>649247</v>
      </c>
      <c r="L938" t="s">
        <v>321</v>
      </c>
      <c r="M938" t="s">
        <v>322</v>
      </c>
      <c r="N938" t="s">
        <v>57</v>
      </c>
      <c r="O938" s="1">
        <v>45809</v>
      </c>
      <c r="Q938" s="1">
        <v>45992</v>
      </c>
      <c r="R938" s="2">
        <v>25.73</v>
      </c>
      <c r="S938">
        <v>1</v>
      </c>
      <c r="T938" t="s">
        <v>58</v>
      </c>
      <c r="U938" t="s">
        <v>59</v>
      </c>
      <c r="V938" s="3">
        <v>0.7</v>
      </c>
      <c r="W938" s="2">
        <v>0</v>
      </c>
      <c r="X938">
        <v>0</v>
      </c>
      <c r="Y938" t="s">
        <v>60</v>
      </c>
      <c r="Z938" t="s">
        <v>61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18.010000000000002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45957</v>
      </c>
      <c r="B939" t="s">
        <v>48</v>
      </c>
      <c r="C939">
        <v>649163</v>
      </c>
      <c r="D939">
        <v>2029132495</v>
      </c>
      <c r="E939" t="s">
        <v>948</v>
      </c>
      <c r="F939" t="s">
        <v>66</v>
      </c>
      <c r="G939" t="s">
        <v>51</v>
      </c>
      <c r="H939" t="s">
        <v>439</v>
      </c>
      <c r="I939" t="s">
        <v>53</v>
      </c>
      <c r="J939" t="s">
        <v>54</v>
      </c>
      <c r="K939">
        <v>820140</v>
      </c>
      <c r="L939" t="s">
        <v>440</v>
      </c>
      <c r="M939" t="s">
        <v>407</v>
      </c>
      <c r="N939" t="s">
        <v>57</v>
      </c>
      <c r="O939" s="1">
        <v>45809</v>
      </c>
      <c r="Q939" s="1">
        <v>45992</v>
      </c>
      <c r="R939" s="2">
        <v>77.48</v>
      </c>
      <c r="S939">
        <v>1</v>
      </c>
      <c r="T939" t="s">
        <v>58</v>
      </c>
      <c r="U939" t="s">
        <v>59</v>
      </c>
      <c r="V939" s="3">
        <v>0.3</v>
      </c>
      <c r="W939" s="2">
        <v>0</v>
      </c>
      <c r="X939">
        <v>0</v>
      </c>
      <c r="Y939" t="s">
        <v>60</v>
      </c>
      <c r="Z939" t="s">
        <v>61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23.24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45957</v>
      </c>
      <c r="B940" t="s">
        <v>48</v>
      </c>
      <c r="C940">
        <v>649163</v>
      </c>
      <c r="D940">
        <v>2029145085</v>
      </c>
      <c r="E940" t="s">
        <v>703</v>
      </c>
      <c r="F940" t="s">
        <v>704</v>
      </c>
      <c r="G940" t="s">
        <v>51</v>
      </c>
      <c r="H940" t="s">
        <v>69</v>
      </c>
      <c r="I940" t="s">
        <v>53</v>
      </c>
      <c r="J940" t="s">
        <v>54</v>
      </c>
      <c r="K940">
        <v>766422</v>
      </c>
      <c r="L940" t="s">
        <v>335</v>
      </c>
      <c r="M940" t="s">
        <v>336</v>
      </c>
      <c r="N940" t="s">
        <v>57</v>
      </c>
      <c r="O940" s="1">
        <v>45805</v>
      </c>
      <c r="Q940" s="1">
        <v>45989</v>
      </c>
      <c r="R940" s="2">
        <v>115.38</v>
      </c>
      <c r="S940">
        <v>1</v>
      </c>
      <c r="T940" t="s">
        <v>58</v>
      </c>
      <c r="U940" t="s">
        <v>59</v>
      </c>
      <c r="V940" s="3">
        <v>0.7</v>
      </c>
      <c r="W940" s="2">
        <v>0</v>
      </c>
      <c r="X940">
        <v>0</v>
      </c>
      <c r="Y940" t="s">
        <v>60</v>
      </c>
      <c r="Z940" t="s">
        <v>61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80.77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45957</v>
      </c>
      <c r="B941" t="s">
        <v>48</v>
      </c>
      <c r="C941">
        <v>649163</v>
      </c>
      <c r="D941">
        <v>2029183288</v>
      </c>
      <c r="E941" t="s">
        <v>796</v>
      </c>
      <c r="F941" t="s">
        <v>89</v>
      </c>
      <c r="G941" t="s">
        <v>51</v>
      </c>
      <c r="H941" t="s">
        <v>165</v>
      </c>
      <c r="I941" t="s">
        <v>53</v>
      </c>
      <c r="J941" t="s">
        <v>54</v>
      </c>
      <c r="K941">
        <v>806645</v>
      </c>
      <c r="L941" t="s">
        <v>88</v>
      </c>
      <c r="M941" t="s">
        <v>89</v>
      </c>
      <c r="N941" t="s">
        <v>57</v>
      </c>
      <c r="O941" s="1">
        <v>45807</v>
      </c>
      <c r="Q941" s="1">
        <v>45991</v>
      </c>
      <c r="R941" s="2">
        <v>13</v>
      </c>
      <c r="S941">
        <v>1</v>
      </c>
      <c r="T941" t="s">
        <v>58</v>
      </c>
      <c r="U941" t="s">
        <v>59</v>
      </c>
      <c r="V941" s="3">
        <v>0.7</v>
      </c>
      <c r="W941" s="2">
        <v>0</v>
      </c>
      <c r="X941">
        <v>0</v>
      </c>
      <c r="Y941" t="s">
        <v>60</v>
      </c>
      <c r="Z941" t="s">
        <v>61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9.1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45957</v>
      </c>
      <c r="B942" t="s">
        <v>48</v>
      </c>
      <c r="C942">
        <v>649163</v>
      </c>
      <c r="D942">
        <v>2029189478</v>
      </c>
      <c r="E942" t="s">
        <v>799</v>
      </c>
      <c r="F942" t="s">
        <v>296</v>
      </c>
      <c r="G942" t="s">
        <v>51</v>
      </c>
      <c r="H942" t="s">
        <v>69</v>
      </c>
      <c r="I942" t="s">
        <v>53</v>
      </c>
      <c r="J942" t="s">
        <v>54</v>
      </c>
      <c r="K942">
        <v>824081</v>
      </c>
      <c r="L942" t="s">
        <v>800</v>
      </c>
      <c r="M942" t="s">
        <v>801</v>
      </c>
      <c r="N942" t="s">
        <v>57</v>
      </c>
      <c r="O942" s="1">
        <v>45809</v>
      </c>
      <c r="Q942" s="1">
        <v>45992</v>
      </c>
      <c r="R942" s="2">
        <v>134.43</v>
      </c>
      <c r="S942">
        <v>1</v>
      </c>
      <c r="T942" t="s">
        <v>58</v>
      </c>
      <c r="U942" t="s">
        <v>59</v>
      </c>
      <c r="V942" s="3">
        <v>0.7</v>
      </c>
      <c r="W942" s="2">
        <v>0</v>
      </c>
      <c r="X942">
        <v>0</v>
      </c>
      <c r="Y942" t="s">
        <v>60</v>
      </c>
      <c r="Z942" t="s">
        <v>61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94.1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45957</v>
      </c>
      <c r="B943" t="s">
        <v>48</v>
      </c>
      <c r="C943">
        <v>649163</v>
      </c>
      <c r="D943">
        <v>2029204336</v>
      </c>
      <c r="E943" t="s">
        <v>953</v>
      </c>
      <c r="F943" t="s">
        <v>354</v>
      </c>
      <c r="G943" t="s">
        <v>51</v>
      </c>
      <c r="H943" t="s">
        <v>179</v>
      </c>
      <c r="I943" t="s">
        <v>53</v>
      </c>
      <c r="J943" t="s">
        <v>54</v>
      </c>
      <c r="K943">
        <v>756418</v>
      </c>
      <c r="L943" t="s">
        <v>191</v>
      </c>
      <c r="M943" t="s">
        <v>192</v>
      </c>
      <c r="N943" t="s">
        <v>57</v>
      </c>
      <c r="O943" s="1">
        <v>45808</v>
      </c>
      <c r="Q943" s="1">
        <v>45991</v>
      </c>
      <c r="R943" s="2">
        <v>34.03</v>
      </c>
      <c r="S943">
        <v>1</v>
      </c>
      <c r="T943" t="s">
        <v>58</v>
      </c>
      <c r="U943" t="s">
        <v>59</v>
      </c>
      <c r="V943" s="3">
        <v>0.7</v>
      </c>
      <c r="W943" s="2">
        <v>0</v>
      </c>
      <c r="X943">
        <v>0</v>
      </c>
      <c r="Y943" t="s">
        <v>60</v>
      </c>
      <c r="Z943" t="s">
        <v>61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23.82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45957</v>
      </c>
      <c r="B944" t="s">
        <v>48</v>
      </c>
      <c r="C944">
        <v>649163</v>
      </c>
      <c r="D944">
        <v>2029210003</v>
      </c>
      <c r="E944" t="s">
        <v>255</v>
      </c>
      <c r="F944" t="s">
        <v>404</v>
      </c>
      <c r="G944" t="s">
        <v>51</v>
      </c>
      <c r="H944" t="s">
        <v>81</v>
      </c>
      <c r="I944" t="s">
        <v>53</v>
      </c>
      <c r="J944" t="s">
        <v>54</v>
      </c>
      <c r="K944">
        <v>856824</v>
      </c>
      <c r="L944" t="s">
        <v>175</v>
      </c>
      <c r="M944" t="s">
        <v>176</v>
      </c>
      <c r="N944" t="s">
        <v>57</v>
      </c>
      <c r="O944" s="1">
        <v>45809</v>
      </c>
      <c r="Q944" s="1">
        <v>45992</v>
      </c>
      <c r="R944" s="2">
        <v>85.63</v>
      </c>
      <c r="S944">
        <v>1</v>
      </c>
      <c r="T944" t="s">
        <v>58</v>
      </c>
      <c r="U944" t="s">
        <v>59</v>
      </c>
      <c r="V944" s="3">
        <v>0.7</v>
      </c>
      <c r="W944" s="2">
        <v>0</v>
      </c>
      <c r="X944">
        <v>0</v>
      </c>
      <c r="Y944" t="s">
        <v>60</v>
      </c>
      <c r="Z944" t="s">
        <v>61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59.94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45957</v>
      </c>
      <c r="B945" t="s">
        <v>48</v>
      </c>
      <c r="C945">
        <v>649163</v>
      </c>
      <c r="D945">
        <v>2029215890</v>
      </c>
      <c r="E945" t="s">
        <v>1063</v>
      </c>
      <c r="F945" t="s">
        <v>1064</v>
      </c>
      <c r="G945" t="s">
        <v>51</v>
      </c>
      <c r="H945" t="s">
        <v>52</v>
      </c>
      <c r="I945" t="s">
        <v>53</v>
      </c>
      <c r="J945" t="s">
        <v>54</v>
      </c>
      <c r="K945">
        <v>856824</v>
      </c>
      <c r="L945" t="s">
        <v>175</v>
      </c>
      <c r="M945" t="s">
        <v>176</v>
      </c>
      <c r="N945" t="s">
        <v>57</v>
      </c>
      <c r="O945" s="1">
        <v>45809</v>
      </c>
      <c r="Q945" s="1">
        <v>45992</v>
      </c>
      <c r="R945" s="2">
        <v>77.430000000000007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0</v>
      </c>
      <c r="Y945" t="s">
        <v>60</v>
      </c>
      <c r="Z945" t="s">
        <v>61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54.2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45957</v>
      </c>
      <c r="B946" t="s">
        <v>48</v>
      </c>
      <c r="C946">
        <v>649163</v>
      </c>
      <c r="D946">
        <v>2029494259</v>
      </c>
      <c r="E946" t="s">
        <v>954</v>
      </c>
      <c r="F946" t="s">
        <v>955</v>
      </c>
      <c r="G946" t="s">
        <v>51</v>
      </c>
      <c r="H946" t="s">
        <v>208</v>
      </c>
      <c r="I946" t="s">
        <v>53</v>
      </c>
      <c r="J946" t="s">
        <v>54</v>
      </c>
      <c r="K946">
        <v>792847</v>
      </c>
      <c r="L946" t="s">
        <v>371</v>
      </c>
      <c r="M946" t="s">
        <v>372</v>
      </c>
      <c r="N946" t="s">
        <v>57</v>
      </c>
      <c r="O946" s="1">
        <v>45839</v>
      </c>
      <c r="Q946" s="1">
        <v>45962</v>
      </c>
      <c r="R946" s="2">
        <v>46.14</v>
      </c>
      <c r="S946">
        <v>1</v>
      </c>
      <c r="T946" t="s">
        <v>58</v>
      </c>
      <c r="U946" t="s">
        <v>59</v>
      </c>
      <c r="V946" s="3">
        <v>0.7</v>
      </c>
      <c r="W946" s="2">
        <v>0</v>
      </c>
      <c r="X946">
        <v>0</v>
      </c>
      <c r="Y946" t="s">
        <v>60</v>
      </c>
      <c r="Z946" t="s">
        <v>61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32.299999999999997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45957</v>
      </c>
      <c r="B947" t="s">
        <v>48</v>
      </c>
      <c r="C947">
        <v>649163</v>
      </c>
      <c r="D947">
        <v>2029557202</v>
      </c>
      <c r="E947" t="s">
        <v>1065</v>
      </c>
      <c r="F947" t="s">
        <v>1066</v>
      </c>
      <c r="G947" t="s">
        <v>51</v>
      </c>
      <c r="H947" t="s">
        <v>118</v>
      </c>
      <c r="I947" t="s">
        <v>53</v>
      </c>
      <c r="J947" t="s">
        <v>132</v>
      </c>
      <c r="K947">
        <v>823068</v>
      </c>
      <c r="L947" t="s">
        <v>120</v>
      </c>
      <c r="M947" t="s">
        <v>121</v>
      </c>
      <c r="N947" t="s">
        <v>57</v>
      </c>
      <c r="O947" s="1">
        <v>45836</v>
      </c>
      <c r="Q947" s="1">
        <v>45989</v>
      </c>
      <c r="R947" s="2">
        <v>40.18</v>
      </c>
      <c r="S947">
        <v>1</v>
      </c>
      <c r="T947" t="s">
        <v>58</v>
      </c>
      <c r="U947" t="s">
        <v>59</v>
      </c>
      <c r="V947" s="3">
        <v>0.9</v>
      </c>
      <c r="W947" s="2">
        <v>0</v>
      </c>
      <c r="X947">
        <v>0</v>
      </c>
      <c r="Y947" t="s">
        <v>60</v>
      </c>
      <c r="Z947" t="s">
        <v>61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36.159999999999997</v>
      </c>
      <c r="AN947" s="2">
        <v>36.159999999999997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45957</v>
      </c>
      <c r="B948" t="s">
        <v>48</v>
      </c>
      <c r="C948">
        <v>649163</v>
      </c>
      <c r="D948">
        <v>2029620630</v>
      </c>
      <c r="E948" t="s">
        <v>284</v>
      </c>
      <c r="F948" t="s">
        <v>705</v>
      </c>
      <c r="G948" t="s">
        <v>51</v>
      </c>
      <c r="H948" t="s">
        <v>69</v>
      </c>
      <c r="I948" t="s">
        <v>53</v>
      </c>
      <c r="J948" t="s">
        <v>54</v>
      </c>
      <c r="K948">
        <v>824062</v>
      </c>
      <c r="L948" t="s">
        <v>74</v>
      </c>
      <c r="M948" t="s">
        <v>75</v>
      </c>
      <c r="N948" t="s">
        <v>57</v>
      </c>
      <c r="O948" s="1">
        <v>45833</v>
      </c>
      <c r="Q948" s="1">
        <v>45986</v>
      </c>
      <c r="R948" s="2">
        <v>11.5</v>
      </c>
      <c r="S948">
        <v>1</v>
      </c>
      <c r="T948" t="s">
        <v>58</v>
      </c>
      <c r="U948" t="s">
        <v>59</v>
      </c>
      <c r="V948" s="3">
        <v>0.7</v>
      </c>
      <c r="W948" s="2">
        <v>0</v>
      </c>
      <c r="X948">
        <v>0</v>
      </c>
      <c r="Y948" t="s">
        <v>60</v>
      </c>
      <c r="Z948" t="s">
        <v>61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8.0500000000000007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45957</v>
      </c>
      <c r="B949" t="s">
        <v>48</v>
      </c>
      <c r="C949">
        <v>649163</v>
      </c>
      <c r="D949">
        <v>2029623277</v>
      </c>
      <c r="E949" t="s">
        <v>106</v>
      </c>
      <c r="F949" t="s">
        <v>706</v>
      </c>
      <c r="G949" t="s">
        <v>51</v>
      </c>
      <c r="H949" t="s">
        <v>69</v>
      </c>
      <c r="I949" t="s">
        <v>53</v>
      </c>
      <c r="J949" t="s">
        <v>54</v>
      </c>
      <c r="K949">
        <v>840313</v>
      </c>
      <c r="L949" t="s">
        <v>159</v>
      </c>
      <c r="M949" t="s">
        <v>160</v>
      </c>
      <c r="N949" t="s">
        <v>57</v>
      </c>
      <c r="O949" s="1">
        <v>45833</v>
      </c>
      <c r="Q949" s="1">
        <v>45986</v>
      </c>
      <c r="R949" s="2">
        <v>56.5</v>
      </c>
      <c r="S949">
        <v>1</v>
      </c>
      <c r="T949" t="s">
        <v>58</v>
      </c>
      <c r="U949" t="s">
        <v>59</v>
      </c>
      <c r="V949" s="3">
        <v>0.7</v>
      </c>
      <c r="W949" s="2">
        <v>0</v>
      </c>
      <c r="X949">
        <v>0</v>
      </c>
      <c r="Y949" t="s">
        <v>60</v>
      </c>
      <c r="Z949" t="s">
        <v>61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39.549999999999997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45957</v>
      </c>
      <c r="B950" t="s">
        <v>48</v>
      </c>
      <c r="C950">
        <v>649163</v>
      </c>
      <c r="D950">
        <v>2029624410</v>
      </c>
      <c r="E950" t="s">
        <v>956</v>
      </c>
      <c r="F950" t="s">
        <v>485</v>
      </c>
      <c r="G950" t="s">
        <v>51</v>
      </c>
      <c r="H950" t="s">
        <v>261</v>
      </c>
      <c r="I950" t="s">
        <v>53</v>
      </c>
      <c r="J950" t="s">
        <v>54</v>
      </c>
      <c r="K950">
        <v>822865</v>
      </c>
      <c r="L950" t="s">
        <v>469</v>
      </c>
      <c r="M950" t="s">
        <v>470</v>
      </c>
      <c r="N950" t="s">
        <v>57</v>
      </c>
      <c r="O950" s="1">
        <v>45838</v>
      </c>
      <c r="Q950" s="1">
        <v>45991</v>
      </c>
      <c r="R950" s="2">
        <v>49.18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61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34.43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45957</v>
      </c>
      <c r="B951" t="s">
        <v>48</v>
      </c>
      <c r="C951">
        <v>649163</v>
      </c>
      <c r="D951">
        <v>2029647651</v>
      </c>
      <c r="E951" t="s">
        <v>1067</v>
      </c>
      <c r="F951" t="s">
        <v>1068</v>
      </c>
      <c r="G951" t="s">
        <v>51</v>
      </c>
      <c r="H951" t="s">
        <v>69</v>
      </c>
      <c r="I951" t="s">
        <v>53</v>
      </c>
      <c r="J951" t="s">
        <v>132</v>
      </c>
      <c r="K951">
        <v>807212</v>
      </c>
      <c r="L951" t="s">
        <v>769</v>
      </c>
      <c r="M951" t="s">
        <v>770</v>
      </c>
      <c r="N951" t="s">
        <v>57</v>
      </c>
      <c r="O951" s="1">
        <v>45834</v>
      </c>
      <c r="Q951" s="1">
        <v>45987</v>
      </c>
      <c r="R951" s="2">
        <v>17.62</v>
      </c>
      <c r="S951">
        <v>1</v>
      </c>
      <c r="T951" t="s">
        <v>58</v>
      </c>
      <c r="U951" t="s">
        <v>59</v>
      </c>
      <c r="V951" s="3">
        <v>0.9</v>
      </c>
      <c r="W951" s="2">
        <v>0</v>
      </c>
      <c r="X951">
        <v>0</v>
      </c>
      <c r="Y951" t="s">
        <v>60</v>
      </c>
      <c r="Z951" t="s">
        <v>61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15.86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45957</v>
      </c>
      <c r="B952" t="s">
        <v>48</v>
      </c>
      <c r="C952">
        <v>649163</v>
      </c>
      <c r="D952">
        <v>2029665028</v>
      </c>
      <c r="E952" t="s">
        <v>937</v>
      </c>
      <c r="F952" t="s">
        <v>1069</v>
      </c>
      <c r="G952" t="s">
        <v>51</v>
      </c>
      <c r="H952" t="s">
        <v>455</v>
      </c>
      <c r="I952" t="s">
        <v>53</v>
      </c>
      <c r="J952" t="s">
        <v>54</v>
      </c>
      <c r="K952">
        <v>812656</v>
      </c>
      <c r="L952" t="s">
        <v>82</v>
      </c>
      <c r="M952" t="s">
        <v>83</v>
      </c>
      <c r="N952" t="s">
        <v>57</v>
      </c>
      <c r="O952" s="1">
        <v>45835</v>
      </c>
      <c r="Q952" s="1">
        <v>45988</v>
      </c>
      <c r="R952" s="2">
        <v>34</v>
      </c>
      <c r="S952">
        <v>1</v>
      </c>
      <c r="T952" t="s">
        <v>58</v>
      </c>
      <c r="U952" t="s">
        <v>59</v>
      </c>
      <c r="V952" s="3">
        <v>0.7</v>
      </c>
      <c r="W952" s="2">
        <v>0</v>
      </c>
      <c r="X952">
        <v>0</v>
      </c>
      <c r="Y952" t="s">
        <v>60</v>
      </c>
      <c r="Z952" t="s">
        <v>61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23.8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45957</v>
      </c>
      <c r="B953" t="s">
        <v>48</v>
      </c>
      <c r="C953">
        <v>649163</v>
      </c>
      <c r="D953">
        <v>2029690468</v>
      </c>
      <c r="E953" t="s">
        <v>702</v>
      </c>
      <c r="F953" t="s">
        <v>1070</v>
      </c>
      <c r="G953" t="s">
        <v>51</v>
      </c>
      <c r="H953" t="s">
        <v>165</v>
      </c>
      <c r="I953" t="s">
        <v>53</v>
      </c>
      <c r="J953" t="s">
        <v>54</v>
      </c>
      <c r="K953">
        <v>812994</v>
      </c>
      <c r="L953" t="s">
        <v>228</v>
      </c>
      <c r="M953" t="s">
        <v>229</v>
      </c>
      <c r="N953" t="s">
        <v>57</v>
      </c>
      <c r="O953" s="1">
        <v>45836</v>
      </c>
      <c r="Q953" s="1">
        <v>45989</v>
      </c>
      <c r="R953" s="2">
        <v>164.81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61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115.37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45957</v>
      </c>
      <c r="B954" t="s">
        <v>48</v>
      </c>
      <c r="C954">
        <v>649163</v>
      </c>
      <c r="D954">
        <v>2029692901</v>
      </c>
      <c r="E954" t="s">
        <v>314</v>
      </c>
      <c r="F954" t="s">
        <v>1071</v>
      </c>
      <c r="G954" t="s">
        <v>51</v>
      </c>
      <c r="H954" t="s">
        <v>179</v>
      </c>
      <c r="I954" t="s">
        <v>53</v>
      </c>
      <c r="J954" t="s">
        <v>54</v>
      </c>
      <c r="K954">
        <v>882035</v>
      </c>
      <c r="L954" t="s">
        <v>141</v>
      </c>
      <c r="M954" t="s">
        <v>142</v>
      </c>
      <c r="N954" t="s">
        <v>57</v>
      </c>
      <c r="O954" s="1">
        <v>45836</v>
      </c>
      <c r="Q954" s="1">
        <v>45989</v>
      </c>
      <c r="R954" s="2">
        <v>15.18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61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10.63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45957</v>
      </c>
      <c r="B955" t="s">
        <v>48</v>
      </c>
      <c r="C955">
        <v>649163</v>
      </c>
      <c r="D955">
        <v>2029854213</v>
      </c>
      <c r="E955" t="s">
        <v>275</v>
      </c>
      <c r="F955" t="s">
        <v>961</v>
      </c>
      <c r="G955" t="s">
        <v>51</v>
      </c>
      <c r="H955" t="s">
        <v>69</v>
      </c>
      <c r="I955" t="s">
        <v>53</v>
      </c>
      <c r="J955" t="s">
        <v>54</v>
      </c>
      <c r="K955">
        <v>882035</v>
      </c>
      <c r="L955" t="s">
        <v>141</v>
      </c>
      <c r="M955" t="s">
        <v>142</v>
      </c>
      <c r="N955" t="s">
        <v>57</v>
      </c>
      <c r="O955" s="1">
        <v>45901</v>
      </c>
      <c r="Q955" s="1">
        <v>45992</v>
      </c>
      <c r="R955" s="2">
        <v>208.32</v>
      </c>
      <c r="S955">
        <v>1</v>
      </c>
      <c r="T955" t="s">
        <v>58</v>
      </c>
      <c r="U955" t="s">
        <v>59</v>
      </c>
      <c r="V955" s="3">
        <v>0.7</v>
      </c>
      <c r="W955" s="2">
        <v>0</v>
      </c>
      <c r="X955">
        <v>0</v>
      </c>
      <c r="Y955" t="s">
        <v>60</v>
      </c>
      <c r="Z955" t="s">
        <v>61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145.82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45957</v>
      </c>
      <c r="B956" t="s">
        <v>48</v>
      </c>
      <c r="C956">
        <v>649163</v>
      </c>
      <c r="D956">
        <v>2029877050</v>
      </c>
      <c r="E956" t="s">
        <v>551</v>
      </c>
      <c r="F956" t="s">
        <v>552</v>
      </c>
      <c r="G956" t="s">
        <v>51</v>
      </c>
      <c r="H956" t="s">
        <v>129</v>
      </c>
      <c r="I956" t="s">
        <v>53</v>
      </c>
      <c r="J956" t="s">
        <v>54</v>
      </c>
      <c r="K956">
        <v>673059</v>
      </c>
      <c r="L956" t="s">
        <v>55</v>
      </c>
      <c r="M956" t="s">
        <v>56</v>
      </c>
      <c r="N956" t="s">
        <v>57</v>
      </c>
      <c r="O956" s="1">
        <v>45901</v>
      </c>
      <c r="Q956" s="1">
        <v>45992</v>
      </c>
      <c r="R956" s="2">
        <v>122.88</v>
      </c>
      <c r="S956">
        <v>1</v>
      </c>
      <c r="T956" t="s">
        <v>58</v>
      </c>
      <c r="U956" t="s">
        <v>59</v>
      </c>
      <c r="V956" s="3">
        <v>0.7</v>
      </c>
      <c r="W956" s="2">
        <v>0</v>
      </c>
      <c r="X956">
        <v>0</v>
      </c>
      <c r="Y956" t="s">
        <v>60</v>
      </c>
      <c r="Z956" t="s">
        <v>61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86.02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45957</v>
      </c>
      <c r="B957" t="s">
        <v>48</v>
      </c>
      <c r="C957">
        <v>649163</v>
      </c>
      <c r="D957">
        <v>2030114522</v>
      </c>
      <c r="E957" t="s">
        <v>1072</v>
      </c>
      <c r="F957" t="s">
        <v>1073</v>
      </c>
      <c r="G957" t="s">
        <v>51</v>
      </c>
      <c r="H957" t="s">
        <v>69</v>
      </c>
      <c r="I957" t="s">
        <v>53</v>
      </c>
      <c r="J957" t="s">
        <v>54</v>
      </c>
      <c r="K957">
        <v>839554</v>
      </c>
      <c r="L957" t="s">
        <v>930</v>
      </c>
      <c r="M957" t="s">
        <v>931</v>
      </c>
      <c r="N957" t="s">
        <v>57</v>
      </c>
      <c r="O957" s="1">
        <v>45863</v>
      </c>
      <c r="Q957" s="1">
        <v>45986</v>
      </c>
      <c r="R957" s="2">
        <v>207.64</v>
      </c>
      <c r="S957">
        <v>1</v>
      </c>
      <c r="T957" t="s">
        <v>58</v>
      </c>
      <c r="U957" t="s">
        <v>59</v>
      </c>
      <c r="V957" s="3">
        <v>0.7</v>
      </c>
      <c r="W957" s="2">
        <v>0</v>
      </c>
      <c r="X957">
        <v>0</v>
      </c>
      <c r="Y957" t="s">
        <v>60</v>
      </c>
      <c r="Z957" t="s">
        <v>61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145.35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45957</v>
      </c>
      <c r="B958" t="s">
        <v>48</v>
      </c>
      <c r="C958">
        <v>649163</v>
      </c>
      <c r="D958">
        <v>2030117415</v>
      </c>
      <c r="E958" t="s">
        <v>278</v>
      </c>
      <c r="F958" t="s">
        <v>1074</v>
      </c>
      <c r="G958" t="s">
        <v>51</v>
      </c>
      <c r="H958" t="s">
        <v>179</v>
      </c>
      <c r="I958" t="s">
        <v>53</v>
      </c>
      <c r="J958" t="s">
        <v>132</v>
      </c>
      <c r="K958">
        <v>767312</v>
      </c>
      <c r="L958" t="s">
        <v>237</v>
      </c>
      <c r="M958" t="s">
        <v>103</v>
      </c>
      <c r="N958" t="s">
        <v>57</v>
      </c>
      <c r="O958" s="1">
        <v>45863</v>
      </c>
      <c r="Q958" s="1">
        <v>45986</v>
      </c>
      <c r="R958" s="2">
        <v>69.08</v>
      </c>
      <c r="S958">
        <v>1</v>
      </c>
      <c r="T958" t="s">
        <v>58</v>
      </c>
      <c r="U958" t="s">
        <v>59</v>
      </c>
      <c r="V958" s="3">
        <v>0.9</v>
      </c>
      <c r="W958" s="2">
        <v>0</v>
      </c>
      <c r="X958">
        <v>0</v>
      </c>
      <c r="Y958" t="s">
        <v>60</v>
      </c>
      <c r="Z958" t="s">
        <v>61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62.17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45957</v>
      </c>
      <c r="B959" t="s">
        <v>48</v>
      </c>
      <c r="C959">
        <v>649163</v>
      </c>
      <c r="D959">
        <v>2030125457</v>
      </c>
      <c r="E959" t="s">
        <v>962</v>
      </c>
      <c r="F959" t="s">
        <v>963</v>
      </c>
      <c r="G959" t="s">
        <v>51</v>
      </c>
      <c r="H959" t="s">
        <v>165</v>
      </c>
      <c r="I959" t="s">
        <v>53</v>
      </c>
      <c r="J959" t="s">
        <v>54</v>
      </c>
      <c r="K959">
        <v>856163</v>
      </c>
      <c r="L959" t="s">
        <v>70</v>
      </c>
      <c r="M959" t="s">
        <v>71</v>
      </c>
      <c r="N959" t="s">
        <v>57</v>
      </c>
      <c r="O959" s="1">
        <v>45863</v>
      </c>
      <c r="Q959" s="1">
        <v>45986</v>
      </c>
      <c r="R959" s="2">
        <v>13</v>
      </c>
      <c r="S959">
        <v>1</v>
      </c>
      <c r="T959" t="s">
        <v>58</v>
      </c>
      <c r="U959" t="s">
        <v>59</v>
      </c>
      <c r="V959" s="3">
        <v>0.7</v>
      </c>
      <c r="W959" s="2">
        <v>0</v>
      </c>
      <c r="X959">
        <v>0</v>
      </c>
      <c r="Y959" t="s">
        <v>60</v>
      </c>
      <c r="Z959" t="s">
        <v>61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9.1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45957</v>
      </c>
      <c r="B960" t="s">
        <v>48</v>
      </c>
      <c r="C960">
        <v>649163</v>
      </c>
      <c r="D960">
        <v>2030129459</v>
      </c>
      <c r="E960" t="s">
        <v>612</v>
      </c>
      <c r="F960" t="s">
        <v>415</v>
      </c>
      <c r="G960" t="s">
        <v>51</v>
      </c>
      <c r="H960" t="s">
        <v>64</v>
      </c>
      <c r="I960" t="s">
        <v>53</v>
      </c>
      <c r="J960" t="s">
        <v>54</v>
      </c>
      <c r="K960">
        <v>822865</v>
      </c>
      <c r="L960" t="s">
        <v>469</v>
      </c>
      <c r="M960" t="s">
        <v>470</v>
      </c>
      <c r="N960" t="s">
        <v>57</v>
      </c>
      <c r="O960" s="1">
        <v>45863</v>
      </c>
      <c r="Q960" s="1">
        <v>45986</v>
      </c>
      <c r="R960" s="2">
        <v>30.68</v>
      </c>
      <c r="S960">
        <v>1</v>
      </c>
      <c r="T960" t="s">
        <v>58</v>
      </c>
      <c r="U960" t="s">
        <v>59</v>
      </c>
      <c r="V960" s="3">
        <v>0.7</v>
      </c>
      <c r="W960" s="2">
        <v>0</v>
      </c>
      <c r="X960">
        <v>0</v>
      </c>
      <c r="Y960" t="s">
        <v>60</v>
      </c>
      <c r="Z960" t="s">
        <v>61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21.48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45957</v>
      </c>
      <c r="B961" t="s">
        <v>48</v>
      </c>
      <c r="C961">
        <v>649163</v>
      </c>
      <c r="D961">
        <v>2030145093</v>
      </c>
      <c r="E961" t="s">
        <v>802</v>
      </c>
      <c r="F961" t="s">
        <v>803</v>
      </c>
      <c r="G961" t="s">
        <v>51</v>
      </c>
      <c r="H961" t="s">
        <v>69</v>
      </c>
      <c r="I961" t="s">
        <v>53</v>
      </c>
      <c r="J961" t="s">
        <v>54</v>
      </c>
      <c r="K961">
        <v>824062</v>
      </c>
      <c r="L961" t="s">
        <v>74</v>
      </c>
      <c r="M961" t="s">
        <v>75</v>
      </c>
      <c r="N961" t="s">
        <v>57</v>
      </c>
      <c r="O961" s="1">
        <v>45864</v>
      </c>
      <c r="Q961" s="1">
        <v>45987</v>
      </c>
      <c r="R961" s="2">
        <v>102.7</v>
      </c>
      <c r="S961">
        <v>1</v>
      </c>
      <c r="T961" t="s">
        <v>58</v>
      </c>
      <c r="U961" t="s">
        <v>59</v>
      </c>
      <c r="V961" s="3">
        <v>0.7</v>
      </c>
      <c r="W961" s="2">
        <v>0</v>
      </c>
      <c r="X961">
        <v>0</v>
      </c>
      <c r="Y961" t="s">
        <v>60</v>
      </c>
      <c r="Z961" t="s">
        <v>61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71.89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45957</v>
      </c>
      <c r="B962" t="s">
        <v>48</v>
      </c>
      <c r="C962">
        <v>649163</v>
      </c>
      <c r="D962">
        <v>2030176831</v>
      </c>
      <c r="E962" t="s">
        <v>376</v>
      </c>
      <c r="F962" t="s">
        <v>377</v>
      </c>
      <c r="G962" t="s">
        <v>51</v>
      </c>
      <c r="H962" t="s">
        <v>165</v>
      </c>
      <c r="I962" t="s">
        <v>53</v>
      </c>
      <c r="J962" t="s">
        <v>54</v>
      </c>
      <c r="K962">
        <v>822733</v>
      </c>
      <c r="L962" t="s">
        <v>380</v>
      </c>
      <c r="M962" t="s">
        <v>381</v>
      </c>
      <c r="N962" t="s">
        <v>359</v>
      </c>
      <c r="O962" s="1">
        <v>45868</v>
      </c>
      <c r="P962" s="1">
        <v>45957</v>
      </c>
      <c r="Q962" s="1">
        <v>45960</v>
      </c>
      <c r="R962" s="2">
        <v>-3.9</v>
      </c>
      <c r="S962">
        <v>1</v>
      </c>
      <c r="T962" t="s">
        <v>58</v>
      </c>
      <c r="U962" t="s">
        <v>59</v>
      </c>
      <c r="V962" s="3">
        <v>0.7</v>
      </c>
      <c r="W962" s="2">
        <v>0</v>
      </c>
      <c r="X962">
        <v>-1</v>
      </c>
      <c r="Y962" t="s">
        <v>60</v>
      </c>
      <c r="Z962" t="s">
        <v>61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-2.73</v>
      </c>
      <c r="AN962" s="2">
        <v>-2.73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45957</v>
      </c>
      <c r="B963" t="s">
        <v>48</v>
      </c>
      <c r="C963">
        <v>649163</v>
      </c>
      <c r="D963">
        <v>2030178517</v>
      </c>
      <c r="E963" t="s">
        <v>964</v>
      </c>
      <c r="F963" t="s">
        <v>965</v>
      </c>
      <c r="G963" t="s">
        <v>51</v>
      </c>
      <c r="H963" t="s">
        <v>247</v>
      </c>
      <c r="I963" t="s">
        <v>53</v>
      </c>
      <c r="J963" t="s">
        <v>54</v>
      </c>
      <c r="K963">
        <v>822865</v>
      </c>
      <c r="L963" t="s">
        <v>469</v>
      </c>
      <c r="M963" t="s">
        <v>470</v>
      </c>
      <c r="N963" t="s">
        <v>57</v>
      </c>
      <c r="O963" s="1">
        <v>45867</v>
      </c>
      <c r="Q963" s="1">
        <v>45990</v>
      </c>
      <c r="R963" s="2">
        <v>31.15</v>
      </c>
      <c r="S963">
        <v>1</v>
      </c>
      <c r="T963" t="s">
        <v>58</v>
      </c>
      <c r="U963" t="s">
        <v>59</v>
      </c>
      <c r="V963" s="3">
        <v>0.7</v>
      </c>
      <c r="W963" s="2">
        <v>0</v>
      </c>
      <c r="X963">
        <v>0</v>
      </c>
      <c r="Y963" t="s">
        <v>60</v>
      </c>
      <c r="Z963" t="s">
        <v>61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21.8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45957</v>
      </c>
      <c r="B964" t="s">
        <v>48</v>
      </c>
      <c r="C964">
        <v>649163</v>
      </c>
      <c r="D964">
        <v>2030184968</v>
      </c>
      <c r="E964" t="s">
        <v>1075</v>
      </c>
      <c r="F964" t="s">
        <v>1076</v>
      </c>
      <c r="G964" t="s">
        <v>51</v>
      </c>
      <c r="H964" t="s">
        <v>69</v>
      </c>
      <c r="I964" t="s">
        <v>53</v>
      </c>
      <c r="J964" t="s">
        <v>54</v>
      </c>
      <c r="K964">
        <v>807212</v>
      </c>
      <c r="L964" t="s">
        <v>769</v>
      </c>
      <c r="M964" t="s">
        <v>770</v>
      </c>
      <c r="N964" t="s">
        <v>57</v>
      </c>
      <c r="O964" s="1">
        <v>45867</v>
      </c>
      <c r="Q964" s="1">
        <v>45990</v>
      </c>
      <c r="R964" s="2">
        <v>18.45</v>
      </c>
      <c r="S964">
        <v>1</v>
      </c>
      <c r="T964" t="s">
        <v>58</v>
      </c>
      <c r="U964" t="s">
        <v>59</v>
      </c>
      <c r="V964" s="3">
        <v>0.7</v>
      </c>
      <c r="W964" s="2">
        <v>0</v>
      </c>
      <c r="X964">
        <v>0</v>
      </c>
      <c r="Y964" t="s">
        <v>60</v>
      </c>
      <c r="Z964" t="s">
        <v>61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12.92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45957</v>
      </c>
      <c r="B965" t="s">
        <v>48</v>
      </c>
      <c r="C965">
        <v>649163</v>
      </c>
      <c r="D965">
        <v>2030192580</v>
      </c>
      <c r="E965" t="s">
        <v>1077</v>
      </c>
      <c r="F965" t="s">
        <v>1078</v>
      </c>
      <c r="G965" t="s">
        <v>51</v>
      </c>
      <c r="H965" t="s">
        <v>69</v>
      </c>
      <c r="I965" t="s">
        <v>53</v>
      </c>
      <c r="J965" t="s">
        <v>54</v>
      </c>
      <c r="K965">
        <v>768271</v>
      </c>
      <c r="L965" t="s">
        <v>973</v>
      </c>
      <c r="M965" t="s">
        <v>413</v>
      </c>
      <c r="N965" t="s">
        <v>57</v>
      </c>
      <c r="O965" s="1">
        <v>45870</v>
      </c>
      <c r="Q965" s="1">
        <v>45962</v>
      </c>
      <c r="R965" s="2">
        <v>49.8</v>
      </c>
      <c r="S965">
        <v>1</v>
      </c>
      <c r="T965" t="s">
        <v>58</v>
      </c>
      <c r="U965" t="s">
        <v>59</v>
      </c>
      <c r="V965" s="3">
        <v>0.7</v>
      </c>
      <c r="W965" s="2">
        <v>0</v>
      </c>
      <c r="X965">
        <v>0</v>
      </c>
      <c r="Y965" t="s">
        <v>60</v>
      </c>
      <c r="Z965" t="s">
        <v>61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34.86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45957</v>
      </c>
      <c r="B966" t="s">
        <v>48</v>
      </c>
      <c r="C966">
        <v>649163</v>
      </c>
      <c r="D966">
        <v>2030199535</v>
      </c>
      <c r="E966" t="s">
        <v>153</v>
      </c>
      <c r="F966" t="s">
        <v>804</v>
      </c>
      <c r="G966" t="s">
        <v>51</v>
      </c>
      <c r="H966" t="s">
        <v>201</v>
      </c>
      <c r="I966" t="s">
        <v>53</v>
      </c>
      <c r="J966" t="s">
        <v>122</v>
      </c>
      <c r="K966">
        <v>756418</v>
      </c>
      <c r="L966" t="s">
        <v>191</v>
      </c>
      <c r="M966" t="s">
        <v>192</v>
      </c>
      <c r="N966" t="s">
        <v>57</v>
      </c>
      <c r="O966" s="1">
        <v>45868</v>
      </c>
      <c r="Q966" s="1">
        <v>45991</v>
      </c>
      <c r="R966" s="2">
        <v>22.02</v>
      </c>
      <c r="S966">
        <v>1</v>
      </c>
      <c r="T966" t="s">
        <v>58</v>
      </c>
      <c r="U966" t="s">
        <v>59</v>
      </c>
      <c r="V966" s="3">
        <v>0.42</v>
      </c>
      <c r="W966" s="2">
        <v>0</v>
      </c>
      <c r="X966">
        <v>0</v>
      </c>
      <c r="Y966" t="s">
        <v>60</v>
      </c>
      <c r="Z966" t="s">
        <v>61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9.25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45957</v>
      </c>
      <c r="B967" t="s">
        <v>48</v>
      </c>
      <c r="C967">
        <v>649163</v>
      </c>
      <c r="D967">
        <v>2030297553</v>
      </c>
      <c r="E967" t="s">
        <v>236</v>
      </c>
      <c r="F967" t="s">
        <v>56</v>
      </c>
      <c r="G967" t="s">
        <v>51</v>
      </c>
      <c r="H967" t="s">
        <v>165</v>
      </c>
      <c r="I967" t="s">
        <v>53</v>
      </c>
      <c r="J967" t="s">
        <v>54</v>
      </c>
      <c r="K967">
        <v>856163</v>
      </c>
      <c r="L967" t="s">
        <v>70</v>
      </c>
      <c r="M967" t="s">
        <v>71</v>
      </c>
      <c r="N967" t="s">
        <v>57</v>
      </c>
      <c r="O967" s="1">
        <v>45901</v>
      </c>
      <c r="Q967" s="1">
        <v>45962</v>
      </c>
      <c r="R967" s="2">
        <v>28.38</v>
      </c>
      <c r="S967">
        <v>1</v>
      </c>
      <c r="T967" t="s">
        <v>58</v>
      </c>
      <c r="U967" t="s">
        <v>59</v>
      </c>
      <c r="V967" s="3">
        <v>0.7</v>
      </c>
      <c r="W967" s="2">
        <v>0</v>
      </c>
      <c r="X967">
        <v>0</v>
      </c>
      <c r="Y967" t="s">
        <v>60</v>
      </c>
      <c r="Z967" t="s">
        <v>61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19.87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45957</v>
      </c>
      <c r="B968" t="s">
        <v>48</v>
      </c>
      <c r="C968">
        <v>649163</v>
      </c>
      <c r="D968">
        <v>2030297553</v>
      </c>
      <c r="E968" t="s">
        <v>236</v>
      </c>
      <c r="F968" t="s">
        <v>56</v>
      </c>
      <c r="G968" t="s">
        <v>51</v>
      </c>
      <c r="H968" t="s">
        <v>165</v>
      </c>
      <c r="I968" t="s">
        <v>53</v>
      </c>
      <c r="J968" t="s">
        <v>54</v>
      </c>
      <c r="K968">
        <v>856163</v>
      </c>
      <c r="L968" t="s">
        <v>70</v>
      </c>
      <c r="M968" t="s">
        <v>71</v>
      </c>
      <c r="N968" t="s">
        <v>57</v>
      </c>
      <c r="O968" s="1">
        <v>45901</v>
      </c>
      <c r="Q968" s="1">
        <v>45992</v>
      </c>
      <c r="R968" s="2">
        <v>28.38</v>
      </c>
      <c r="S968">
        <v>1</v>
      </c>
      <c r="T968" t="s">
        <v>58</v>
      </c>
      <c r="U968" t="s">
        <v>59</v>
      </c>
      <c r="V968" s="3">
        <v>0.7</v>
      </c>
      <c r="W968" s="2">
        <v>0</v>
      </c>
      <c r="X968">
        <v>0</v>
      </c>
      <c r="Y968" t="s">
        <v>60</v>
      </c>
      <c r="Z968" t="s">
        <v>61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19.87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4921-AACF-46AF-B0F2-6FE5C7E6C4B0}">
  <dimension ref="A1:AV869"/>
  <sheetViews>
    <sheetView topLeftCell="C3" workbookViewId="0">
      <selection activeCell="D21" sqref="D21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6" bestFit="1" customWidth="1"/>
    <col min="10" max="10" width="10.28515625" bestFit="1" customWidth="1"/>
    <col min="11" max="11" width="11.28515625" bestFit="1" customWidth="1"/>
    <col min="12" max="12" width="13.7109375" bestFit="1" customWidth="1"/>
    <col min="13" max="13" width="18.7109375" bestFit="1" customWidth="1"/>
    <col min="14" max="14" width="21.85546875" bestFit="1" customWidth="1"/>
    <col min="15" max="15" width="20.85546875" bestFit="1" customWidth="1"/>
    <col min="16" max="16" width="50" bestFit="1" customWidth="1"/>
    <col min="17" max="17" width="15.7109375" bestFit="1" customWidth="1"/>
    <col min="18" max="18" width="16.5703125" bestFit="1" customWidth="1"/>
    <col min="19" max="19" width="14.140625" bestFit="1" customWidth="1"/>
    <col min="20" max="20" width="12.140625" bestFit="1" customWidth="1"/>
    <col min="21" max="21" width="13.5703125" bestFit="1" customWidth="1"/>
    <col min="22" max="22" width="10.7109375" bestFit="1" customWidth="1"/>
    <col min="23" max="23" width="12" bestFit="1" customWidth="1"/>
    <col min="24" max="24" width="7.42578125" bestFit="1" customWidth="1"/>
    <col min="25" max="25" width="12.7109375" bestFit="1" customWidth="1"/>
    <col min="26" max="26" width="10.28515625" bestFit="1" customWidth="1"/>
    <col min="27" max="27" width="14.42578125" bestFit="1" customWidth="1"/>
    <col min="28" max="28" width="8.28515625" bestFit="1" customWidth="1"/>
    <col min="29" max="29" width="15.5703125" bestFit="1" customWidth="1"/>
    <col min="30" max="30" width="12.42578125" bestFit="1" customWidth="1"/>
    <col min="31" max="31" width="16" bestFit="1" customWidth="1"/>
    <col min="32" max="32" width="10.28515625" bestFit="1" customWidth="1"/>
    <col min="33" max="33" width="15.140625" bestFit="1" customWidth="1"/>
    <col min="34" max="34" width="10.5703125" bestFit="1" customWidth="1"/>
    <col min="35" max="35" width="12" bestFit="1" customWidth="1"/>
    <col min="36" max="36" width="14" bestFit="1" customWidth="1"/>
    <col min="37" max="37" width="14.5703125" bestFit="1" customWidth="1"/>
    <col min="38" max="38" width="16.42578125" bestFit="1" customWidth="1"/>
    <col min="39" max="39" width="14.7109375" bestFit="1" customWidth="1"/>
    <col min="40" max="40" width="17.2851562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20</v>
      </c>
      <c r="K1" t="s">
        <v>21</v>
      </c>
      <c r="L1" t="s">
        <v>37</v>
      </c>
      <c r="M1" t="s">
        <v>38</v>
      </c>
      <c r="N1" t="s">
        <v>39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18</v>
      </c>
      <c r="Y1" t="s">
        <v>19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45957</v>
      </c>
      <c r="B2" t="s">
        <v>48</v>
      </c>
      <c r="C2">
        <v>649163</v>
      </c>
      <c r="D2">
        <v>2018421687</v>
      </c>
      <c r="E2" t="s">
        <v>307</v>
      </c>
      <c r="F2" t="s">
        <v>308</v>
      </c>
      <c r="G2" t="s">
        <v>51</v>
      </c>
      <c r="H2" t="s">
        <v>52</v>
      </c>
      <c r="I2" s="2">
        <v>113.49</v>
      </c>
      <c r="J2" t="s">
        <v>59</v>
      </c>
      <c r="K2" s="4">
        <v>5.2499999999999998E-2</v>
      </c>
      <c r="L2" s="2">
        <v>0</v>
      </c>
      <c r="M2" s="2">
        <v>5.96</v>
      </c>
      <c r="N2" s="2">
        <v>5.96</v>
      </c>
      <c r="O2" t="s">
        <v>309</v>
      </c>
      <c r="P2" t="s">
        <v>310</v>
      </c>
      <c r="Q2">
        <v>673059</v>
      </c>
      <c r="R2" t="s">
        <v>55</v>
      </c>
      <c r="S2" t="s">
        <v>56</v>
      </c>
      <c r="T2" t="s">
        <v>57</v>
      </c>
      <c r="U2" s="1">
        <v>45037</v>
      </c>
      <c r="W2" s="1">
        <v>45982</v>
      </c>
      <c r="X2">
        <v>1</v>
      </c>
      <c r="Y2" t="s">
        <v>58</v>
      </c>
      <c r="Z2" s="2">
        <v>0</v>
      </c>
      <c r="AA2">
        <v>0</v>
      </c>
      <c r="AB2" t="s">
        <v>264</v>
      </c>
      <c r="AC2" t="s">
        <v>61</v>
      </c>
      <c r="AD2">
        <v>0</v>
      </c>
      <c r="AE2" s="2">
        <v>0</v>
      </c>
      <c r="AF2" s="2">
        <v>0</v>
      </c>
      <c r="AG2" s="3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8" s="16" customFormat="1" x14ac:dyDescent="0.25">
      <c r="A3" s="1">
        <v>45957</v>
      </c>
      <c r="B3" t="s">
        <v>48</v>
      </c>
      <c r="C3">
        <v>649163</v>
      </c>
      <c r="D3">
        <v>2020850122</v>
      </c>
      <c r="E3" t="s">
        <v>311</v>
      </c>
      <c r="F3" t="s">
        <v>312</v>
      </c>
      <c r="G3" t="s">
        <v>51</v>
      </c>
      <c r="H3" t="s">
        <v>190</v>
      </c>
      <c r="I3" s="2">
        <v>130.83000000000001</v>
      </c>
      <c r="J3" t="s">
        <v>59</v>
      </c>
      <c r="K3" s="4">
        <v>5.2499999999999998E-2</v>
      </c>
      <c r="L3" s="2">
        <v>0</v>
      </c>
      <c r="M3" s="2">
        <v>6.87</v>
      </c>
      <c r="N3" s="2">
        <v>6.87</v>
      </c>
      <c r="O3" t="s">
        <v>309</v>
      </c>
      <c r="P3" t="s">
        <v>310</v>
      </c>
      <c r="Q3">
        <v>649164</v>
      </c>
      <c r="R3" t="s">
        <v>313</v>
      </c>
      <c r="S3" t="s">
        <v>314</v>
      </c>
      <c r="T3" t="s">
        <v>57</v>
      </c>
      <c r="U3" s="1">
        <v>45251</v>
      </c>
      <c r="V3"/>
      <c r="W3" s="1">
        <v>45982</v>
      </c>
      <c r="X3">
        <v>1</v>
      </c>
      <c r="Y3" t="s">
        <v>58</v>
      </c>
      <c r="Z3" s="2">
        <v>0</v>
      </c>
      <c r="AA3">
        <v>0</v>
      </c>
      <c r="AB3" t="s">
        <v>264</v>
      </c>
      <c r="AC3" t="s">
        <v>61</v>
      </c>
      <c r="AD3">
        <v>0</v>
      </c>
      <c r="AE3" s="2">
        <v>0</v>
      </c>
      <c r="AF3" s="2">
        <v>0</v>
      </c>
      <c r="AG3" s="3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/>
      <c r="AS3"/>
      <c r="AT3"/>
      <c r="AU3"/>
      <c r="AV3"/>
    </row>
    <row r="4" spans="1:48" x14ac:dyDescent="0.25">
      <c r="A4" s="1">
        <v>45957</v>
      </c>
      <c r="B4" t="s">
        <v>48</v>
      </c>
      <c r="C4">
        <v>649163</v>
      </c>
      <c r="D4">
        <v>2021173379</v>
      </c>
      <c r="E4" t="s">
        <v>315</v>
      </c>
      <c r="F4" t="s">
        <v>316</v>
      </c>
      <c r="G4" t="s">
        <v>51</v>
      </c>
      <c r="H4" t="s">
        <v>195</v>
      </c>
      <c r="I4" s="2">
        <v>33.590000000000003</v>
      </c>
      <c r="J4" t="s">
        <v>59</v>
      </c>
      <c r="K4" s="4">
        <v>5.2499999999999998E-2</v>
      </c>
      <c r="L4" s="2">
        <v>0</v>
      </c>
      <c r="M4" s="2">
        <v>1.76</v>
      </c>
      <c r="N4" s="2">
        <v>1.76</v>
      </c>
      <c r="O4" t="s">
        <v>309</v>
      </c>
      <c r="P4" t="s">
        <v>310</v>
      </c>
      <c r="Q4">
        <v>678320</v>
      </c>
      <c r="R4" t="s">
        <v>317</v>
      </c>
      <c r="S4" t="s">
        <v>318</v>
      </c>
      <c r="T4" t="s">
        <v>57</v>
      </c>
      <c r="U4" s="1">
        <v>45286</v>
      </c>
      <c r="W4" s="1">
        <v>45987</v>
      </c>
      <c r="X4">
        <v>1</v>
      </c>
      <c r="Y4" t="s">
        <v>58</v>
      </c>
      <c r="Z4" s="2">
        <v>0</v>
      </c>
      <c r="AA4">
        <v>0</v>
      </c>
      <c r="AB4" t="s">
        <v>264</v>
      </c>
      <c r="AC4" t="s">
        <v>61</v>
      </c>
      <c r="AD4">
        <v>0</v>
      </c>
      <c r="AE4" s="2">
        <v>0</v>
      </c>
      <c r="AF4" s="2">
        <v>0</v>
      </c>
      <c r="AG4" s="3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45957</v>
      </c>
      <c r="B5" t="s">
        <v>48</v>
      </c>
      <c r="C5">
        <v>649163</v>
      </c>
      <c r="D5">
        <v>2021515732</v>
      </c>
      <c r="E5" t="s">
        <v>319</v>
      </c>
      <c r="F5" t="s">
        <v>320</v>
      </c>
      <c r="G5" t="s">
        <v>51</v>
      </c>
      <c r="H5" t="s">
        <v>195</v>
      </c>
      <c r="I5" s="2">
        <v>54.54</v>
      </c>
      <c r="J5" t="s">
        <v>59</v>
      </c>
      <c r="K5" s="4">
        <v>5.2499999999999998E-2</v>
      </c>
      <c r="L5" s="2">
        <v>0</v>
      </c>
      <c r="M5" s="2">
        <v>2.86</v>
      </c>
      <c r="N5" s="2">
        <v>2.86</v>
      </c>
      <c r="O5" t="s">
        <v>309</v>
      </c>
      <c r="P5" t="s">
        <v>310</v>
      </c>
      <c r="Q5">
        <v>649247</v>
      </c>
      <c r="R5" t="s">
        <v>321</v>
      </c>
      <c r="S5" t="s">
        <v>322</v>
      </c>
      <c r="T5" t="s">
        <v>57</v>
      </c>
      <c r="U5" s="1">
        <v>45315</v>
      </c>
      <c r="W5" s="1">
        <v>45985</v>
      </c>
      <c r="X5">
        <v>1</v>
      </c>
      <c r="Y5" t="s">
        <v>58</v>
      </c>
      <c r="Z5" s="2">
        <v>0</v>
      </c>
      <c r="AA5">
        <v>0</v>
      </c>
      <c r="AB5" t="s">
        <v>264</v>
      </c>
      <c r="AC5" t="s">
        <v>61</v>
      </c>
      <c r="AD5">
        <v>0</v>
      </c>
      <c r="AE5" s="2">
        <v>0</v>
      </c>
      <c r="AF5" s="2">
        <v>0</v>
      </c>
      <c r="AG5" s="3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45957</v>
      </c>
      <c r="B6" t="s">
        <v>48</v>
      </c>
      <c r="C6">
        <v>649163</v>
      </c>
      <c r="D6">
        <v>2021945460</v>
      </c>
      <c r="E6" t="s">
        <v>323</v>
      </c>
      <c r="F6" t="s">
        <v>324</v>
      </c>
      <c r="G6" t="s">
        <v>51</v>
      </c>
      <c r="H6" t="s">
        <v>195</v>
      </c>
      <c r="I6" s="2">
        <v>33.590000000000003</v>
      </c>
      <c r="J6" t="s">
        <v>59</v>
      </c>
      <c r="K6" s="4">
        <v>5.2499999999999998E-2</v>
      </c>
      <c r="L6" s="2">
        <v>0</v>
      </c>
      <c r="M6" s="2">
        <v>1.76</v>
      </c>
      <c r="N6" s="2">
        <v>1.76</v>
      </c>
      <c r="O6" t="s">
        <v>309</v>
      </c>
      <c r="P6" t="s">
        <v>310</v>
      </c>
      <c r="Q6">
        <v>728134</v>
      </c>
      <c r="R6" t="s">
        <v>325</v>
      </c>
      <c r="S6" t="s">
        <v>326</v>
      </c>
      <c r="T6" t="s">
        <v>57</v>
      </c>
      <c r="U6" s="1">
        <v>45346</v>
      </c>
      <c r="W6" s="1">
        <v>45985</v>
      </c>
      <c r="X6">
        <v>1</v>
      </c>
      <c r="Y6" t="s">
        <v>58</v>
      </c>
      <c r="Z6" s="2">
        <v>0</v>
      </c>
      <c r="AA6">
        <v>0</v>
      </c>
      <c r="AB6" t="s">
        <v>264</v>
      </c>
      <c r="AC6" t="s">
        <v>61</v>
      </c>
      <c r="AD6">
        <v>0</v>
      </c>
      <c r="AE6" s="2">
        <v>0</v>
      </c>
      <c r="AF6" s="2">
        <v>0</v>
      </c>
      <c r="AG6" s="3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45957</v>
      </c>
      <c r="B7" t="s">
        <v>48</v>
      </c>
      <c r="C7">
        <v>649163</v>
      </c>
      <c r="D7">
        <v>2022400180</v>
      </c>
      <c r="E7" t="s">
        <v>327</v>
      </c>
      <c r="F7" t="s">
        <v>328</v>
      </c>
      <c r="G7" t="s">
        <v>51</v>
      </c>
      <c r="H7" t="s">
        <v>195</v>
      </c>
      <c r="I7" s="2">
        <v>43.59</v>
      </c>
      <c r="J7" t="s">
        <v>59</v>
      </c>
      <c r="K7" s="4">
        <v>5.2499999999999998E-2</v>
      </c>
      <c r="L7" s="2">
        <v>0</v>
      </c>
      <c r="M7" s="2">
        <v>2.29</v>
      </c>
      <c r="N7" s="2">
        <v>2.29</v>
      </c>
      <c r="O7" t="s">
        <v>309</v>
      </c>
      <c r="P7" t="s">
        <v>310</v>
      </c>
      <c r="Q7">
        <v>728134</v>
      </c>
      <c r="R7" t="s">
        <v>325</v>
      </c>
      <c r="S7" t="s">
        <v>326</v>
      </c>
      <c r="T7" t="s">
        <v>57</v>
      </c>
      <c r="U7" s="1">
        <v>45374</v>
      </c>
      <c r="W7" s="1">
        <v>45984</v>
      </c>
      <c r="X7">
        <v>1</v>
      </c>
      <c r="Y7" t="s">
        <v>58</v>
      </c>
      <c r="Z7" s="2">
        <v>0</v>
      </c>
      <c r="AA7">
        <v>0</v>
      </c>
      <c r="AB7" t="s">
        <v>264</v>
      </c>
      <c r="AC7" t="s">
        <v>61</v>
      </c>
      <c r="AD7">
        <v>0</v>
      </c>
      <c r="AE7" s="2">
        <v>0</v>
      </c>
      <c r="AF7" s="2">
        <v>0</v>
      </c>
      <c r="AG7" s="3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45957</v>
      </c>
      <c r="B8" t="s">
        <v>48</v>
      </c>
      <c r="C8">
        <v>649163</v>
      </c>
      <c r="D8">
        <v>2022833707</v>
      </c>
      <c r="E8" t="s">
        <v>329</v>
      </c>
      <c r="F8" t="s">
        <v>330</v>
      </c>
      <c r="G8" t="s">
        <v>51</v>
      </c>
      <c r="H8" t="s">
        <v>165</v>
      </c>
      <c r="I8" s="2">
        <v>74.53</v>
      </c>
      <c r="J8" t="s">
        <v>59</v>
      </c>
      <c r="K8" s="4">
        <v>5.2499999999999998E-2</v>
      </c>
      <c r="L8" s="2">
        <v>0</v>
      </c>
      <c r="M8" s="2">
        <v>3.91</v>
      </c>
      <c r="N8" s="2">
        <v>3.91</v>
      </c>
      <c r="O8" t="s">
        <v>309</v>
      </c>
      <c r="P8" t="s">
        <v>310</v>
      </c>
      <c r="Q8">
        <v>673059</v>
      </c>
      <c r="R8" t="s">
        <v>55</v>
      </c>
      <c r="S8" t="s">
        <v>56</v>
      </c>
      <c r="T8" t="s">
        <v>57</v>
      </c>
      <c r="U8" s="1">
        <v>45407</v>
      </c>
      <c r="W8" s="1">
        <v>45986</v>
      </c>
      <c r="X8">
        <v>1</v>
      </c>
      <c r="Y8" t="s">
        <v>58</v>
      </c>
      <c r="Z8" s="2">
        <v>0</v>
      </c>
      <c r="AA8">
        <v>0</v>
      </c>
      <c r="AB8" t="s">
        <v>264</v>
      </c>
      <c r="AC8" t="s">
        <v>61</v>
      </c>
      <c r="AD8">
        <v>0</v>
      </c>
      <c r="AE8" s="2">
        <v>0</v>
      </c>
      <c r="AF8" s="2">
        <v>0</v>
      </c>
      <c r="AG8" s="3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45957</v>
      </c>
      <c r="B9" t="s">
        <v>48</v>
      </c>
      <c r="C9">
        <v>649163</v>
      </c>
      <c r="D9">
        <v>2024084590</v>
      </c>
      <c r="E9" t="s">
        <v>331</v>
      </c>
      <c r="F9" t="s">
        <v>332</v>
      </c>
      <c r="G9" t="s">
        <v>51</v>
      </c>
      <c r="H9" t="s">
        <v>195</v>
      </c>
      <c r="I9" s="2">
        <v>43.59</v>
      </c>
      <c r="J9" t="s">
        <v>59</v>
      </c>
      <c r="K9" s="4">
        <v>5.2499999999999998E-2</v>
      </c>
      <c r="L9" s="2">
        <v>0</v>
      </c>
      <c r="M9" s="2">
        <v>2.29</v>
      </c>
      <c r="N9" s="2">
        <v>2.29</v>
      </c>
      <c r="O9" t="s">
        <v>309</v>
      </c>
      <c r="P9" t="s">
        <v>310</v>
      </c>
      <c r="Q9">
        <v>728134</v>
      </c>
      <c r="R9" t="s">
        <v>325</v>
      </c>
      <c r="S9" t="s">
        <v>326</v>
      </c>
      <c r="T9" t="s">
        <v>57</v>
      </c>
      <c r="U9" s="1">
        <v>45499</v>
      </c>
      <c r="W9" s="1">
        <v>45987</v>
      </c>
      <c r="X9">
        <v>1</v>
      </c>
      <c r="Y9" t="s">
        <v>58</v>
      </c>
      <c r="Z9" s="2">
        <v>0</v>
      </c>
      <c r="AA9">
        <v>0</v>
      </c>
      <c r="AB9" t="s">
        <v>264</v>
      </c>
      <c r="AC9" t="s">
        <v>61</v>
      </c>
      <c r="AD9">
        <v>0</v>
      </c>
      <c r="AE9" s="2">
        <v>0</v>
      </c>
      <c r="AF9" s="2">
        <v>0</v>
      </c>
      <c r="AG9" s="3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45957</v>
      </c>
      <c r="B10" t="s">
        <v>48</v>
      </c>
      <c r="C10">
        <v>649163</v>
      </c>
      <c r="D10">
        <v>2024464934</v>
      </c>
      <c r="E10" t="s">
        <v>333</v>
      </c>
      <c r="F10" t="s">
        <v>334</v>
      </c>
      <c r="G10" t="s">
        <v>51</v>
      </c>
      <c r="H10" t="s">
        <v>69</v>
      </c>
      <c r="I10" s="2">
        <v>109.48</v>
      </c>
      <c r="J10" t="s">
        <v>59</v>
      </c>
      <c r="K10" s="4">
        <v>5.2499999999999998E-2</v>
      </c>
      <c r="L10" s="2">
        <v>0</v>
      </c>
      <c r="M10" s="2">
        <v>5.75</v>
      </c>
      <c r="N10" s="2">
        <v>5.75</v>
      </c>
      <c r="O10" t="s">
        <v>309</v>
      </c>
      <c r="P10" t="s">
        <v>310</v>
      </c>
      <c r="Q10">
        <v>766422</v>
      </c>
      <c r="R10" t="s">
        <v>335</v>
      </c>
      <c r="S10" t="s">
        <v>336</v>
      </c>
      <c r="T10" t="s">
        <v>57</v>
      </c>
      <c r="U10" s="1">
        <v>45527</v>
      </c>
      <c r="W10" s="1">
        <v>45984</v>
      </c>
      <c r="X10">
        <v>1</v>
      </c>
      <c r="Y10" t="s">
        <v>58</v>
      </c>
      <c r="Z10" s="2">
        <v>0</v>
      </c>
      <c r="AA10">
        <v>0</v>
      </c>
      <c r="AB10" t="s">
        <v>264</v>
      </c>
      <c r="AC10" t="s">
        <v>61</v>
      </c>
      <c r="AD10">
        <v>0</v>
      </c>
      <c r="AE10" s="2">
        <v>0</v>
      </c>
      <c r="AF10" s="2">
        <v>0</v>
      </c>
      <c r="AG10" s="3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45957</v>
      </c>
      <c r="B11" t="s">
        <v>48</v>
      </c>
      <c r="C11">
        <v>649163</v>
      </c>
      <c r="D11">
        <v>2024526899</v>
      </c>
      <c r="E11" t="s">
        <v>337</v>
      </c>
      <c r="F11" t="s">
        <v>338</v>
      </c>
      <c r="G11" t="s">
        <v>51</v>
      </c>
      <c r="H11" t="s">
        <v>195</v>
      </c>
      <c r="I11" s="2">
        <v>50.6</v>
      </c>
      <c r="J11" t="s">
        <v>59</v>
      </c>
      <c r="K11" s="4">
        <v>5.2499999999999998E-2</v>
      </c>
      <c r="L11" s="2">
        <v>0</v>
      </c>
      <c r="M11" s="2">
        <v>2.66</v>
      </c>
      <c r="N11" s="2">
        <v>2.66</v>
      </c>
      <c r="O11" t="s">
        <v>309</v>
      </c>
      <c r="P11" t="s">
        <v>310</v>
      </c>
      <c r="Q11">
        <v>649247</v>
      </c>
      <c r="R11" t="s">
        <v>321</v>
      </c>
      <c r="S11" t="s">
        <v>322</v>
      </c>
      <c r="T11" t="s">
        <v>57</v>
      </c>
      <c r="U11" s="1">
        <v>45528</v>
      </c>
      <c r="W11" s="1">
        <v>45985</v>
      </c>
      <c r="X11">
        <v>1</v>
      </c>
      <c r="Y11" t="s">
        <v>58</v>
      </c>
      <c r="Z11" s="2">
        <v>0</v>
      </c>
      <c r="AA11">
        <v>0</v>
      </c>
      <c r="AB11" t="s">
        <v>264</v>
      </c>
      <c r="AC11" t="s">
        <v>61</v>
      </c>
      <c r="AD11">
        <v>0</v>
      </c>
      <c r="AE11" s="2">
        <v>0</v>
      </c>
      <c r="AF11" s="2">
        <v>0</v>
      </c>
      <c r="AG11" s="3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45957</v>
      </c>
      <c r="B12" t="s">
        <v>48</v>
      </c>
      <c r="C12">
        <v>649163</v>
      </c>
      <c r="D12">
        <v>2029303774</v>
      </c>
      <c r="E12" t="s">
        <v>343</v>
      </c>
      <c r="F12" t="s">
        <v>344</v>
      </c>
      <c r="G12" t="s">
        <v>51</v>
      </c>
      <c r="H12" t="s">
        <v>195</v>
      </c>
      <c r="I12" s="2">
        <v>37.32</v>
      </c>
      <c r="J12" t="s">
        <v>59</v>
      </c>
      <c r="K12" s="3">
        <v>0.47</v>
      </c>
      <c r="L12" s="2">
        <v>0</v>
      </c>
      <c r="M12" s="2">
        <v>17.54</v>
      </c>
      <c r="N12" s="2">
        <v>17.54</v>
      </c>
      <c r="O12" t="s">
        <v>309</v>
      </c>
      <c r="P12" t="s">
        <v>310</v>
      </c>
      <c r="Q12">
        <v>728134</v>
      </c>
      <c r="R12" t="s">
        <v>325</v>
      </c>
      <c r="S12" t="s">
        <v>326</v>
      </c>
      <c r="T12" t="s">
        <v>57</v>
      </c>
      <c r="U12" s="1">
        <v>45798</v>
      </c>
      <c r="W12" s="1">
        <v>45982</v>
      </c>
      <c r="X12">
        <v>1</v>
      </c>
      <c r="Y12" t="s">
        <v>58</v>
      </c>
      <c r="Z12" s="2">
        <v>0</v>
      </c>
      <c r="AA12">
        <v>0</v>
      </c>
      <c r="AB12" t="s">
        <v>60</v>
      </c>
      <c r="AC12" t="s">
        <v>61</v>
      </c>
      <c r="AD12">
        <v>0</v>
      </c>
      <c r="AE12" s="2">
        <v>0</v>
      </c>
      <c r="AF12" s="2">
        <v>0</v>
      </c>
      <c r="AG12" s="3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45957</v>
      </c>
      <c r="B13" t="s">
        <v>48</v>
      </c>
      <c r="C13">
        <v>649163</v>
      </c>
      <c r="D13">
        <v>2029646226</v>
      </c>
      <c r="E13" t="s">
        <v>345</v>
      </c>
      <c r="F13" t="s">
        <v>346</v>
      </c>
      <c r="G13" t="s">
        <v>51</v>
      </c>
      <c r="H13" t="s">
        <v>234</v>
      </c>
      <c r="I13" s="2">
        <v>13.99</v>
      </c>
      <c r="J13" t="s">
        <v>59</v>
      </c>
      <c r="K13" s="3">
        <v>0.47</v>
      </c>
      <c r="L13" s="2">
        <v>6.58</v>
      </c>
      <c r="M13" s="2">
        <v>0</v>
      </c>
      <c r="N13" s="2">
        <v>0</v>
      </c>
      <c r="O13" t="s">
        <v>309</v>
      </c>
      <c r="P13" t="s">
        <v>310</v>
      </c>
      <c r="Q13">
        <v>756418</v>
      </c>
      <c r="R13" t="s">
        <v>191</v>
      </c>
      <c r="S13" t="s">
        <v>192</v>
      </c>
      <c r="T13" t="s">
        <v>57</v>
      </c>
      <c r="U13" s="1">
        <v>45834</v>
      </c>
      <c r="W13" s="1">
        <v>45987</v>
      </c>
      <c r="X13">
        <v>1</v>
      </c>
      <c r="Y13" t="s">
        <v>58</v>
      </c>
      <c r="Z13" s="2">
        <v>0</v>
      </c>
      <c r="AA13">
        <v>0</v>
      </c>
      <c r="AB13" t="s">
        <v>60</v>
      </c>
      <c r="AC13" t="s">
        <v>61</v>
      </c>
      <c r="AD13">
        <v>0</v>
      </c>
      <c r="AE13" s="2">
        <v>0</v>
      </c>
      <c r="AF13" s="2">
        <v>0</v>
      </c>
      <c r="AG13" s="3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45957</v>
      </c>
      <c r="B14" t="s">
        <v>48</v>
      </c>
      <c r="C14">
        <v>649163</v>
      </c>
      <c r="D14">
        <v>2031269232</v>
      </c>
      <c r="E14" t="s">
        <v>350</v>
      </c>
      <c r="F14" t="s">
        <v>351</v>
      </c>
      <c r="G14" t="s">
        <v>51</v>
      </c>
      <c r="H14" t="s">
        <v>69</v>
      </c>
      <c r="I14" s="2">
        <v>84.15</v>
      </c>
      <c r="J14" t="s">
        <v>238</v>
      </c>
      <c r="K14" s="3">
        <v>0.47</v>
      </c>
      <c r="L14" s="2">
        <v>39.549999999999997</v>
      </c>
      <c r="M14" s="2">
        <v>0</v>
      </c>
      <c r="N14" s="2">
        <v>0</v>
      </c>
      <c r="O14" t="s">
        <v>309</v>
      </c>
      <c r="P14" t="s">
        <v>310</v>
      </c>
      <c r="Q14">
        <v>824076</v>
      </c>
      <c r="R14" t="s">
        <v>135</v>
      </c>
      <c r="S14" t="s">
        <v>136</v>
      </c>
      <c r="T14" t="s">
        <v>57</v>
      </c>
      <c r="U14" s="1">
        <v>45926</v>
      </c>
      <c r="W14" s="1">
        <v>45987</v>
      </c>
      <c r="X14">
        <v>1</v>
      </c>
      <c r="Y14" t="s">
        <v>58</v>
      </c>
      <c r="Z14" s="2">
        <v>0</v>
      </c>
      <c r="AA14">
        <v>0</v>
      </c>
      <c r="AB14" t="s">
        <v>60</v>
      </c>
      <c r="AC14" t="s">
        <v>61</v>
      </c>
      <c r="AD14">
        <v>0</v>
      </c>
      <c r="AE14" s="2">
        <v>0</v>
      </c>
      <c r="AF14" s="2">
        <v>0</v>
      </c>
      <c r="AG14" s="3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45957</v>
      </c>
      <c r="B15" t="s">
        <v>48</v>
      </c>
      <c r="C15">
        <v>649163</v>
      </c>
      <c r="D15">
        <v>2026705202</v>
      </c>
      <c r="E15" t="s">
        <v>339</v>
      </c>
      <c r="F15" t="s">
        <v>62</v>
      </c>
      <c r="G15" t="s">
        <v>51</v>
      </c>
      <c r="H15" t="s">
        <v>69</v>
      </c>
      <c r="I15" s="2">
        <v>113.89</v>
      </c>
      <c r="J15" t="s">
        <v>59</v>
      </c>
      <c r="K15" s="3">
        <v>0.51</v>
      </c>
      <c r="L15" s="2">
        <v>0</v>
      </c>
      <c r="M15" s="2">
        <v>58.08</v>
      </c>
      <c r="N15" s="2">
        <v>58.08</v>
      </c>
      <c r="O15" t="s">
        <v>309</v>
      </c>
      <c r="P15" t="s">
        <v>340</v>
      </c>
      <c r="Q15">
        <v>768887</v>
      </c>
      <c r="R15" t="s">
        <v>289</v>
      </c>
      <c r="S15" t="s">
        <v>290</v>
      </c>
      <c r="T15" t="s">
        <v>57</v>
      </c>
      <c r="U15" s="1">
        <v>45679</v>
      </c>
      <c r="W15" s="1">
        <v>45983</v>
      </c>
      <c r="X15">
        <v>1</v>
      </c>
      <c r="Y15" t="s">
        <v>58</v>
      </c>
      <c r="Z15" s="2">
        <v>0</v>
      </c>
      <c r="AA15">
        <v>0</v>
      </c>
      <c r="AB15" t="s">
        <v>60</v>
      </c>
      <c r="AC15" t="s">
        <v>61</v>
      </c>
      <c r="AD15">
        <v>0</v>
      </c>
      <c r="AE15" s="2">
        <v>0</v>
      </c>
      <c r="AF15" s="2">
        <v>0</v>
      </c>
      <c r="AG15" s="3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45957</v>
      </c>
      <c r="B16" t="s">
        <v>48</v>
      </c>
      <c r="C16">
        <v>649163</v>
      </c>
      <c r="D16">
        <v>2026705203</v>
      </c>
      <c r="E16" t="s">
        <v>339</v>
      </c>
      <c r="F16" t="s">
        <v>62</v>
      </c>
      <c r="G16" t="s">
        <v>51</v>
      </c>
      <c r="H16" t="s">
        <v>69</v>
      </c>
      <c r="I16" s="2">
        <v>14.95</v>
      </c>
      <c r="J16" t="s">
        <v>59</v>
      </c>
      <c r="K16" s="3">
        <v>0.51</v>
      </c>
      <c r="L16" s="2">
        <v>0</v>
      </c>
      <c r="M16" s="2">
        <v>7.62</v>
      </c>
      <c r="N16" s="2">
        <v>7.62</v>
      </c>
      <c r="O16" t="s">
        <v>309</v>
      </c>
      <c r="P16" t="s">
        <v>341</v>
      </c>
      <c r="Q16">
        <v>768887</v>
      </c>
      <c r="R16" t="s">
        <v>289</v>
      </c>
      <c r="S16" t="s">
        <v>290</v>
      </c>
      <c r="T16" t="s">
        <v>57</v>
      </c>
      <c r="U16" s="1">
        <v>45679</v>
      </c>
      <c r="W16" s="1">
        <v>45983</v>
      </c>
      <c r="X16">
        <v>1</v>
      </c>
      <c r="Y16" t="s">
        <v>58</v>
      </c>
      <c r="Z16" s="2">
        <v>0</v>
      </c>
      <c r="AA16">
        <v>0</v>
      </c>
      <c r="AB16" t="s">
        <v>60</v>
      </c>
      <c r="AC16" t="s">
        <v>61</v>
      </c>
      <c r="AD16">
        <v>0</v>
      </c>
      <c r="AE16" s="2">
        <v>0</v>
      </c>
      <c r="AF16" s="2">
        <v>0</v>
      </c>
      <c r="AG16" s="3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8" x14ac:dyDescent="0.25">
      <c r="A17" s="1">
        <v>45957</v>
      </c>
      <c r="B17" t="s">
        <v>48</v>
      </c>
      <c r="C17">
        <v>649163</v>
      </c>
      <c r="D17">
        <v>2026721618</v>
      </c>
      <c r="E17" t="s">
        <v>107</v>
      </c>
      <c r="F17" t="s">
        <v>342</v>
      </c>
      <c r="G17" t="s">
        <v>51</v>
      </c>
      <c r="H17" t="s">
        <v>145</v>
      </c>
      <c r="I17" s="2">
        <v>113.89</v>
      </c>
      <c r="J17" t="s">
        <v>59</v>
      </c>
      <c r="K17" s="3">
        <v>0.51</v>
      </c>
      <c r="L17" s="2">
        <v>0</v>
      </c>
      <c r="M17" s="2">
        <v>58.08</v>
      </c>
      <c r="N17" s="2">
        <v>58.08</v>
      </c>
      <c r="O17" t="s">
        <v>309</v>
      </c>
      <c r="P17" t="s">
        <v>340</v>
      </c>
      <c r="Q17">
        <v>768887</v>
      </c>
      <c r="R17" t="s">
        <v>289</v>
      </c>
      <c r="S17" t="s">
        <v>290</v>
      </c>
      <c r="T17" t="s">
        <v>57</v>
      </c>
      <c r="U17" s="1">
        <v>45680</v>
      </c>
      <c r="W17" s="1">
        <v>45984</v>
      </c>
      <c r="X17">
        <v>1</v>
      </c>
      <c r="Y17" t="s">
        <v>58</v>
      </c>
      <c r="Z17" s="2">
        <v>0</v>
      </c>
      <c r="AA17">
        <v>0</v>
      </c>
      <c r="AB17" t="s">
        <v>60</v>
      </c>
      <c r="AC17" t="s">
        <v>61</v>
      </c>
      <c r="AD17">
        <v>0</v>
      </c>
      <c r="AE17" s="2">
        <v>0</v>
      </c>
      <c r="AF17" s="2">
        <v>0</v>
      </c>
      <c r="AG17" s="3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8" x14ac:dyDescent="0.25">
      <c r="A18" s="1">
        <v>45957</v>
      </c>
      <c r="B18" t="s">
        <v>48</v>
      </c>
      <c r="C18">
        <v>649163</v>
      </c>
      <c r="D18">
        <v>2031209004</v>
      </c>
      <c r="E18" t="s">
        <v>347</v>
      </c>
      <c r="F18" t="s">
        <v>348</v>
      </c>
      <c r="G18" t="s">
        <v>51</v>
      </c>
      <c r="H18" t="s">
        <v>195</v>
      </c>
      <c r="I18" s="2">
        <v>55.2</v>
      </c>
      <c r="J18" t="s">
        <v>238</v>
      </c>
      <c r="K18" s="3">
        <v>0.51</v>
      </c>
      <c r="L18" s="2">
        <v>28.15</v>
      </c>
      <c r="M18" s="2">
        <v>0</v>
      </c>
      <c r="N18" s="2">
        <v>0</v>
      </c>
      <c r="O18" t="s">
        <v>309</v>
      </c>
      <c r="P18" t="s">
        <v>340</v>
      </c>
      <c r="Q18">
        <v>751867</v>
      </c>
      <c r="R18" t="s">
        <v>349</v>
      </c>
      <c r="S18" t="s">
        <v>312</v>
      </c>
      <c r="T18" t="s">
        <v>57</v>
      </c>
      <c r="U18" s="1">
        <v>45923</v>
      </c>
      <c r="W18" s="1">
        <v>45984</v>
      </c>
      <c r="X18">
        <v>1</v>
      </c>
      <c r="Y18" t="s">
        <v>58</v>
      </c>
      <c r="Z18" s="2">
        <v>0</v>
      </c>
      <c r="AA18">
        <v>0</v>
      </c>
      <c r="AB18" t="s">
        <v>60</v>
      </c>
      <c r="AC18" t="s">
        <v>61</v>
      </c>
      <c r="AD18">
        <v>0</v>
      </c>
      <c r="AE18" s="2">
        <v>0</v>
      </c>
      <c r="AF18" s="2">
        <v>0</v>
      </c>
      <c r="AG18" s="3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8" x14ac:dyDescent="0.25">
      <c r="A19" s="1">
        <v>45957</v>
      </c>
      <c r="B19" t="s">
        <v>48</v>
      </c>
      <c r="C19">
        <v>649163</v>
      </c>
      <c r="D19">
        <v>2023882011</v>
      </c>
      <c r="E19" t="s">
        <v>267</v>
      </c>
      <c r="F19" t="s">
        <v>268</v>
      </c>
      <c r="G19" t="s">
        <v>51</v>
      </c>
      <c r="H19" t="s">
        <v>129</v>
      </c>
      <c r="I19" s="2">
        <v>338.29</v>
      </c>
      <c r="J19" t="s">
        <v>59</v>
      </c>
      <c r="K19" s="3">
        <v>0.19</v>
      </c>
      <c r="L19" s="2">
        <v>0</v>
      </c>
      <c r="M19" s="2">
        <v>64.28</v>
      </c>
      <c r="N19" s="2">
        <v>64.28</v>
      </c>
      <c r="O19" t="s">
        <v>262</v>
      </c>
      <c r="P19" t="s">
        <v>269</v>
      </c>
      <c r="Q19">
        <v>673059</v>
      </c>
      <c r="R19" t="s">
        <v>55</v>
      </c>
      <c r="S19" t="s">
        <v>56</v>
      </c>
      <c r="T19" t="s">
        <v>57</v>
      </c>
      <c r="U19" s="1">
        <v>45657</v>
      </c>
      <c r="W19" s="1">
        <v>45991</v>
      </c>
      <c r="X19">
        <v>1</v>
      </c>
      <c r="Y19" t="s">
        <v>58</v>
      </c>
      <c r="Z19" s="2">
        <v>0</v>
      </c>
      <c r="AA19">
        <v>0</v>
      </c>
      <c r="AB19" t="s">
        <v>60</v>
      </c>
      <c r="AC19" t="s">
        <v>61</v>
      </c>
      <c r="AD19">
        <v>0</v>
      </c>
      <c r="AE19" s="2">
        <v>0</v>
      </c>
      <c r="AF19" s="2">
        <v>0</v>
      </c>
      <c r="AG19" s="3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8" x14ac:dyDescent="0.25">
      <c r="A20" s="1">
        <v>45957</v>
      </c>
      <c r="B20" t="s">
        <v>48</v>
      </c>
      <c r="C20">
        <v>649163</v>
      </c>
      <c r="D20">
        <v>2023980076</v>
      </c>
      <c r="E20" t="s">
        <v>277</v>
      </c>
      <c r="F20" t="s">
        <v>278</v>
      </c>
      <c r="G20" t="s">
        <v>51</v>
      </c>
      <c r="H20" t="s">
        <v>129</v>
      </c>
      <c r="I20" s="2">
        <v>204.87</v>
      </c>
      <c r="J20" t="s">
        <v>59</v>
      </c>
      <c r="K20" s="3">
        <v>0.19</v>
      </c>
      <c r="L20" s="2">
        <v>0</v>
      </c>
      <c r="M20" s="2">
        <v>38.93</v>
      </c>
      <c r="N20" s="2">
        <v>38.93</v>
      </c>
      <c r="O20" t="s">
        <v>262</v>
      </c>
      <c r="P20" t="s">
        <v>269</v>
      </c>
      <c r="Q20">
        <v>673059</v>
      </c>
      <c r="R20" t="s">
        <v>55</v>
      </c>
      <c r="S20" t="s">
        <v>56</v>
      </c>
      <c r="T20" t="s">
        <v>57</v>
      </c>
      <c r="U20" s="1">
        <v>45657</v>
      </c>
      <c r="W20" s="1">
        <v>45991</v>
      </c>
      <c r="X20">
        <v>1</v>
      </c>
      <c r="Y20" t="s">
        <v>58</v>
      </c>
      <c r="Z20" s="2">
        <v>0</v>
      </c>
      <c r="AA20">
        <v>0</v>
      </c>
      <c r="AB20" t="s">
        <v>60</v>
      </c>
      <c r="AC20" t="s">
        <v>61</v>
      </c>
      <c r="AD20">
        <v>0</v>
      </c>
      <c r="AE20" s="2">
        <v>0</v>
      </c>
      <c r="AF20" s="2">
        <v>0</v>
      </c>
      <c r="AG20" s="3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8" s="21" customFormat="1" x14ac:dyDescent="0.25">
      <c r="A21" s="20">
        <v>45957</v>
      </c>
      <c r="B21" s="21" t="s">
        <v>48</v>
      </c>
      <c r="C21" s="21">
        <v>649163</v>
      </c>
      <c r="D21" s="21">
        <v>2030674187</v>
      </c>
      <c r="E21" s="21" t="s">
        <v>301</v>
      </c>
      <c r="F21" s="21" t="s">
        <v>302</v>
      </c>
      <c r="G21" s="21" t="s">
        <v>51</v>
      </c>
      <c r="H21" s="21" t="s">
        <v>129</v>
      </c>
      <c r="I21" s="22">
        <v>219.24</v>
      </c>
      <c r="J21" s="21" t="s">
        <v>59</v>
      </c>
      <c r="K21" s="23">
        <v>0.19</v>
      </c>
      <c r="L21" s="22">
        <v>41.65</v>
      </c>
      <c r="M21" s="22">
        <v>0.01</v>
      </c>
      <c r="N21" s="22">
        <v>0.01</v>
      </c>
      <c r="O21" s="21" t="s">
        <v>262</v>
      </c>
      <c r="P21" s="21" t="s">
        <v>269</v>
      </c>
      <c r="Q21" s="21">
        <v>874230</v>
      </c>
      <c r="R21" s="21" t="s">
        <v>130</v>
      </c>
      <c r="S21" s="21" t="s">
        <v>131</v>
      </c>
      <c r="T21" s="21" t="s">
        <v>57</v>
      </c>
      <c r="U21" s="20">
        <v>45901</v>
      </c>
      <c r="W21" s="20">
        <v>45992</v>
      </c>
      <c r="X21" s="21">
        <v>1</v>
      </c>
      <c r="Y21" s="21" t="s">
        <v>58</v>
      </c>
      <c r="Z21" s="22">
        <v>0</v>
      </c>
      <c r="AA21" s="21">
        <v>0</v>
      </c>
      <c r="AB21" s="21" t="s">
        <v>60</v>
      </c>
      <c r="AC21" s="21" t="s">
        <v>61</v>
      </c>
      <c r="AD21" s="21">
        <v>0</v>
      </c>
      <c r="AE21" s="22">
        <v>0</v>
      </c>
      <c r="AF21" s="22">
        <v>0</v>
      </c>
      <c r="AG21" s="23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</row>
    <row r="22" spans="1:48" s="21" customFormat="1" x14ac:dyDescent="0.25">
      <c r="A22" s="20">
        <v>45957</v>
      </c>
      <c r="B22" s="21" t="s">
        <v>48</v>
      </c>
      <c r="C22" s="21">
        <v>649163</v>
      </c>
      <c r="D22" s="21">
        <v>2030694346</v>
      </c>
      <c r="E22" s="21" t="s">
        <v>186</v>
      </c>
      <c r="F22" s="21" t="s">
        <v>187</v>
      </c>
      <c r="G22" s="21" t="s">
        <v>51</v>
      </c>
      <c r="H22" s="21" t="s">
        <v>129</v>
      </c>
      <c r="I22" s="22">
        <v>248.82</v>
      </c>
      <c r="J22" s="21" t="s">
        <v>59</v>
      </c>
      <c r="K22" s="23">
        <v>0.19</v>
      </c>
      <c r="L22" s="22">
        <v>47.27</v>
      </c>
      <c r="M22" s="22">
        <v>0.01</v>
      </c>
      <c r="N22" s="22">
        <v>0.01</v>
      </c>
      <c r="O22" s="21" t="s">
        <v>262</v>
      </c>
      <c r="P22" s="21" t="s">
        <v>269</v>
      </c>
      <c r="Q22" s="21">
        <v>874230</v>
      </c>
      <c r="R22" s="21" t="s">
        <v>130</v>
      </c>
      <c r="S22" s="21" t="s">
        <v>131</v>
      </c>
      <c r="T22" s="21" t="s">
        <v>57</v>
      </c>
      <c r="U22" s="20">
        <v>45901</v>
      </c>
      <c r="W22" s="20">
        <v>45992</v>
      </c>
      <c r="X22" s="21">
        <v>1</v>
      </c>
      <c r="Y22" s="21" t="s">
        <v>58</v>
      </c>
      <c r="Z22" s="22">
        <v>0</v>
      </c>
      <c r="AA22" s="21">
        <v>0</v>
      </c>
      <c r="AB22" s="21" t="s">
        <v>60</v>
      </c>
      <c r="AC22" s="21" t="s">
        <v>61</v>
      </c>
      <c r="AD22" s="21">
        <v>0</v>
      </c>
      <c r="AE22" s="22">
        <v>0</v>
      </c>
      <c r="AF22" s="22">
        <v>0</v>
      </c>
      <c r="AG22" s="23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8" s="21" customFormat="1" x14ac:dyDescent="0.25">
      <c r="A23" s="20">
        <v>45957</v>
      </c>
      <c r="B23" s="21" t="s">
        <v>48</v>
      </c>
      <c r="C23" s="21">
        <v>649163</v>
      </c>
      <c r="D23" s="21">
        <v>2030762530</v>
      </c>
      <c r="E23" s="21" t="s">
        <v>209</v>
      </c>
      <c r="F23" s="21" t="s">
        <v>210</v>
      </c>
      <c r="G23" s="21" t="s">
        <v>51</v>
      </c>
      <c r="H23" s="21" t="s">
        <v>129</v>
      </c>
      <c r="I23" s="22">
        <v>90.98</v>
      </c>
      <c r="J23" s="21" t="s">
        <v>59</v>
      </c>
      <c r="K23" s="23">
        <v>0.19</v>
      </c>
      <c r="L23" s="22">
        <v>17.28</v>
      </c>
      <c r="M23" s="22">
        <v>0.01</v>
      </c>
      <c r="N23" s="22">
        <v>0.01</v>
      </c>
      <c r="O23" s="21" t="s">
        <v>262</v>
      </c>
      <c r="P23" s="21" t="s">
        <v>269</v>
      </c>
      <c r="Q23" s="21">
        <v>888536</v>
      </c>
      <c r="R23" s="21" t="s">
        <v>211</v>
      </c>
      <c r="S23" s="21" t="s">
        <v>212</v>
      </c>
      <c r="T23" s="21" t="s">
        <v>57</v>
      </c>
      <c r="U23" s="20">
        <v>45899</v>
      </c>
      <c r="W23" s="20">
        <v>45991</v>
      </c>
      <c r="X23" s="21">
        <v>1</v>
      </c>
      <c r="Y23" s="21" t="s">
        <v>58</v>
      </c>
      <c r="Z23" s="22">
        <v>0</v>
      </c>
      <c r="AA23" s="21">
        <v>0</v>
      </c>
      <c r="AB23" s="21" t="s">
        <v>60</v>
      </c>
      <c r="AC23" s="21" t="s">
        <v>61</v>
      </c>
      <c r="AD23" s="21">
        <v>0</v>
      </c>
      <c r="AE23" s="22">
        <v>0</v>
      </c>
      <c r="AF23" s="22">
        <v>0</v>
      </c>
      <c r="AG23" s="23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</row>
    <row r="24" spans="1:48" x14ac:dyDescent="0.25">
      <c r="A24" s="15">
        <v>45957</v>
      </c>
      <c r="B24" s="16" t="s">
        <v>48</v>
      </c>
      <c r="C24" s="16">
        <v>649163</v>
      </c>
      <c r="D24" s="16">
        <v>2020392155</v>
      </c>
      <c r="E24" s="16" t="s">
        <v>259</v>
      </c>
      <c r="F24" s="16" t="s">
        <v>260</v>
      </c>
      <c r="G24" s="16" t="s">
        <v>51</v>
      </c>
      <c r="H24" s="16" t="s">
        <v>261</v>
      </c>
      <c r="I24" s="17">
        <v>584.87</v>
      </c>
      <c r="J24" s="16" t="s">
        <v>59</v>
      </c>
      <c r="K24" s="18">
        <v>0.28999999999999998</v>
      </c>
      <c r="L24" s="17">
        <v>0</v>
      </c>
      <c r="M24" s="17">
        <v>169.61</v>
      </c>
      <c r="N24" s="17">
        <v>169.61</v>
      </c>
      <c r="O24" s="16" t="s">
        <v>262</v>
      </c>
      <c r="P24" s="16" t="s">
        <v>263</v>
      </c>
      <c r="Q24" s="16">
        <v>673059</v>
      </c>
      <c r="R24" s="16" t="s">
        <v>55</v>
      </c>
      <c r="S24" s="16" t="s">
        <v>56</v>
      </c>
      <c r="T24" s="16" t="s">
        <v>57</v>
      </c>
      <c r="U24" s="15">
        <v>45288</v>
      </c>
      <c r="V24" s="16"/>
      <c r="W24" s="15">
        <v>45987</v>
      </c>
      <c r="X24" s="16">
        <v>1</v>
      </c>
      <c r="Y24" s="16" t="s">
        <v>58</v>
      </c>
      <c r="Z24" s="17">
        <v>0</v>
      </c>
      <c r="AA24" s="16">
        <v>0</v>
      </c>
      <c r="AB24" s="16" t="s">
        <v>264</v>
      </c>
      <c r="AC24" s="16" t="s">
        <v>61</v>
      </c>
      <c r="AD24" s="16">
        <v>0</v>
      </c>
      <c r="AE24" s="17">
        <v>0</v>
      </c>
      <c r="AF24" s="17">
        <v>0</v>
      </c>
      <c r="AG24" s="18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6"/>
      <c r="AS24" s="16"/>
      <c r="AT24" s="16"/>
      <c r="AU24" s="16"/>
      <c r="AV24" s="16"/>
    </row>
    <row r="25" spans="1:48" x14ac:dyDescent="0.25">
      <c r="A25" s="15">
        <v>45957</v>
      </c>
      <c r="B25" s="16" t="s">
        <v>48</v>
      </c>
      <c r="C25" s="16">
        <v>649163</v>
      </c>
      <c r="D25" s="16">
        <v>2024136816</v>
      </c>
      <c r="E25" s="16" t="s">
        <v>283</v>
      </c>
      <c r="F25" s="16" t="s">
        <v>284</v>
      </c>
      <c r="G25" s="16" t="s">
        <v>51</v>
      </c>
      <c r="H25" s="16" t="s">
        <v>52</v>
      </c>
      <c r="I25" s="17">
        <v>542.13</v>
      </c>
      <c r="J25" s="16" t="s">
        <v>59</v>
      </c>
      <c r="K25" s="18">
        <v>0.28999999999999998</v>
      </c>
      <c r="L25" s="17">
        <v>0</v>
      </c>
      <c r="M25" s="17">
        <v>157.22</v>
      </c>
      <c r="N25" s="17">
        <v>157.22</v>
      </c>
      <c r="O25" s="16" t="s">
        <v>262</v>
      </c>
      <c r="P25" s="16" t="s">
        <v>263</v>
      </c>
      <c r="Q25" s="16">
        <v>673059</v>
      </c>
      <c r="R25" s="16" t="s">
        <v>55</v>
      </c>
      <c r="S25" s="16" t="s">
        <v>56</v>
      </c>
      <c r="T25" s="16" t="s">
        <v>57</v>
      </c>
      <c r="U25" s="15">
        <v>45536</v>
      </c>
      <c r="V25" s="16"/>
      <c r="W25" s="15">
        <v>45991</v>
      </c>
      <c r="X25" s="16">
        <v>1</v>
      </c>
      <c r="Y25" s="16" t="s">
        <v>58</v>
      </c>
      <c r="Z25" s="17">
        <v>0</v>
      </c>
      <c r="AA25" s="16">
        <v>0</v>
      </c>
      <c r="AB25" s="16" t="s">
        <v>264</v>
      </c>
      <c r="AC25" s="16" t="s">
        <v>61</v>
      </c>
      <c r="AD25" s="16">
        <v>0</v>
      </c>
      <c r="AE25" s="17">
        <v>0</v>
      </c>
      <c r="AF25" s="17">
        <v>0</v>
      </c>
      <c r="AG25" s="18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6"/>
      <c r="AS25" s="16"/>
      <c r="AT25" s="16"/>
      <c r="AU25" s="16"/>
      <c r="AV25" s="16"/>
    </row>
    <row r="26" spans="1:48" x14ac:dyDescent="0.25">
      <c r="A26" s="15">
        <v>45957</v>
      </c>
      <c r="B26" s="16" t="s">
        <v>48</v>
      </c>
      <c r="C26" s="16">
        <v>649163</v>
      </c>
      <c r="D26" s="16">
        <v>2024267553</v>
      </c>
      <c r="E26" s="16" t="s">
        <v>288</v>
      </c>
      <c r="F26" s="16" t="s">
        <v>66</v>
      </c>
      <c r="G26" s="16" t="s">
        <v>51</v>
      </c>
      <c r="H26" s="16" t="s">
        <v>52</v>
      </c>
      <c r="I26" s="17">
        <v>279.18</v>
      </c>
      <c r="J26" s="16" t="s">
        <v>59</v>
      </c>
      <c r="K26" s="18">
        <v>0.28999999999999998</v>
      </c>
      <c r="L26" s="17">
        <v>0</v>
      </c>
      <c r="M26" s="17">
        <v>80.959999999999994</v>
      </c>
      <c r="N26" s="17">
        <v>80.959999999999994</v>
      </c>
      <c r="O26" s="16" t="s">
        <v>262</v>
      </c>
      <c r="P26" s="16" t="s">
        <v>263</v>
      </c>
      <c r="Q26" s="16">
        <v>768887</v>
      </c>
      <c r="R26" s="16" t="s">
        <v>289</v>
      </c>
      <c r="S26" s="16" t="s">
        <v>290</v>
      </c>
      <c r="T26" s="16" t="s">
        <v>57</v>
      </c>
      <c r="U26" s="15">
        <v>45536</v>
      </c>
      <c r="V26" s="16"/>
      <c r="W26" s="15">
        <v>45991</v>
      </c>
      <c r="X26" s="16">
        <v>1</v>
      </c>
      <c r="Y26" s="16" t="s">
        <v>58</v>
      </c>
      <c r="Z26" s="17">
        <v>0</v>
      </c>
      <c r="AA26" s="16">
        <v>0</v>
      </c>
      <c r="AB26" s="16" t="s">
        <v>264</v>
      </c>
      <c r="AC26" s="16" t="s">
        <v>61</v>
      </c>
      <c r="AD26" s="16">
        <v>0</v>
      </c>
      <c r="AE26" s="17">
        <v>0</v>
      </c>
      <c r="AF26" s="17">
        <v>0</v>
      </c>
      <c r="AG26" s="18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6"/>
      <c r="AS26" s="16"/>
      <c r="AT26" s="16"/>
      <c r="AU26" s="16"/>
      <c r="AV26" s="16"/>
    </row>
    <row r="27" spans="1:48" x14ac:dyDescent="0.25">
      <c r="A27" s="15">
        <v>45957</v>
      </c>
      <c r="B27" s="16" t="s">
        <v>48</v>
      </c>
      <c r="C27" s="16">
        <v>649163</v>
      </c>
      <c r="D27" s="16">
        <v>2024433918</v>
      </c>
      <c r="E27" s="16" t="s">
        <v>291</v>
      </c>
      <c r="F27" s="16" t="s">
        <v>292</v>
      </c>
      <c r="G27" s="16" t="s">
        <v>51</v>
      </c>
      <c r="H27" s="16" t="s">
        <v>293</v>
      </c>
      <c r="I27" s="17">
        <v>218.28</v>
      </c>
      <c r="J27" s="16" t="s">
        <v>59</v>
      </c>
      <c r="K27" s="18">
        <v>0.28999999999999998</v>
      </c>
      <c r="L27" s="17">
        <v>0</v>
      </c>
      <c r="M27" s="17">
        <v>63.3</v>
      </c>
      <c r="N27" s="17">
        <v>63.3</v>
      </c>
      <c r="O27" s="16" t="s">
        <v>262</v>
      </c>
      <c r="P27" s="16" t="s">
        <v>263</v>
      </c>
      <c r="Q27" s="16">
        <v>753748</v>
      </c>
      <c r="R27" s="16" t="s">
        <v>65</v>
      </c>
      <c r="S27" s="16" t="s">
        <v>66</v>
      </c>
      <c r="T27" s="16" t="s">
        <v>57</v>
      </c>
      <c r="U27" s="15">
        <v>45536</v>
      </c>
      <c r="V27" s="16"/>
      <c r="W27" s="15">
        <v>45991</v>
      </c>
      <c r="X27" s="16">
        <v>1</v>
      </c>
      <c r="Y27" s="16" t="s">
        <v>58</v>
      </c>
      <c r="Z27" s="17">
        <v>0</v>
      </c>
      <c r="AA27" s="16">
        <v>0</v>
      </c>
      <c r="AB27" s="16" t="s">
        <v>264</v>
      </c>
      <c r="AC27" s="16" t="s">
        <v>61</v>
      </c>
      <c r="AD27" s="16">
        <v>0</v>
      </c>
      <c r="AE27" s="17">
        <v>0</v>
      </c>
      <c r="AF27" s="17">
        <v>0</v>
      </c>
      <c r="AG27" s="18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6"/>
      <c r="AS27" s="16"/>
      <c r="AT27" s="16"/>
      <c r="AU27" s="16"/>
      <c r="AV27" s="16"/>
    </row>
    <row r="28" spans="1:48" x14ac:dyDescent="0.25">
      <c r="A28" s="15">
        <v>45957</v>
      </c>
      <c r="B28" s="16" t="s">
        <v>48</v>
      </c>
      <c r="C28" s="16">
        <v>649163</v>
      </c>
      <c r="D28" s="16">
        <v>2024635213</v>
      </c>
      <c r="E28" s="16" t="s">
        <v>299</v>
      </c>
      <c r="F28" s="16" t="s">
        <v>300</v>
      </c>
      <c r="G28" s="16" t="s">
        <v>51</v>
      </c>
      <c r="H28" s="16" t="s">
        <v>52</v>
      </c>
      <c r="I28" s="17">
        <v>1650.07</v>
      </c>
      <c r="J28" s="16" t="s">
        <v>59</v>
      </c>
      <c r="K28" s="18">
        <v>0.28999999999999998</v>
      </c>
      <c r="L28" s="17">
        <v>0</v>
      </c>
      <c r="M28" s="17">
        <v>478.52</v>
      </c>
      <c r="N28" s="17">
        <v>478.52</v>
      </c>
      <c r="O28" s="16" t="s">
        <v>262</v>
      </c>
      <c r="P28" s="16" t="s">
        <v>263</v>
      </c>
      <c r="Q28" s="16">
        <v>753748</v>
      </c>
      <c r="R28" s="16" t="s">
        <v>65</v>
      </c>
      <c r="S28" s="16" t="s">
        <v>66</v>
      </c>
      <c r="T28" s="16" t="s">
        <v>57</v>
      </c>
      <c r="U28" s="15">
        <v>45536</v>
      </c>
      <c r="V28" s="16"/>
      <c r="W28" s="15">
        <v>45991</v>
      </c>
      <c r="X28" s="16">
        <v>1</v>
      </c>
      <c r="Y28" s="16" t="s">
        <v>58</v>
      </c>
      <c r="Z28" s="17">
        <v>0</v>
      </c>
      <c r="AA28" s="16">
        <v>0</v>
      </c>
      <c r="AB28" s="16" t="s">
        <v>264</v>
      </c>
      <c r="AC28" s="16" t="s">
        <v>61</v>
      </c>
      <c r="AD28" s="16">
        <v>0</v>
      </c>
      <c r="AE28" s="17">
        <v>0</v>
      </c>
      <c r="AF28" s="17">
        <v>0</v>
      </c>
      <c r="AG28" s="18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6"/>
      <c r="AS28" s="16"/>
      <c r="AT28" s="16"/>
      <c r="AU28" s="16"/>
      <c r="AV28" s="16"/>
    </row>
    <row r="29" spans="1:48" x14ac:dyDescent="0.25">
      <c r="A29" s="15">
        <v>45957</v>
      </c>
      <c r="B29" s="16" t="s">
        <v>48</v>
      </c>
      <c r="C29" s="16">
        <v>649163</v>
      </c>
      <c r="D29" s="16">
        <v>2023809265</v>
      </c>
      <c r="E29" s="16" t="s">
        <v>265</v>
      </c>
      <c r="F29" s="16" t="s">
        <v>266</v>
      </c>
      <c r="G29" s="16" t="s">
        <v>51</v>
      </c>
      <c r="H29" s="16" t="s">
        <v>261</v>
      </c>
      <c r="I29" s="17">
        <v>252.6</v>
      </c>
      <c r="J29" s="16" t="s">
        <v>59</v>
      </c>
      <c r="K29" s="18">
        <v>0.28999999999999998</v>
      </c>
      <c r="L29" s="17">
        <v>0</v>
      </c>
      <c r="M29" s="17">
        <v>73.25</v>
      </c>
      <c r="N29" s="17">
        <v>73.25</v>
      </c>
      <c r="O29" s="16" t="s">
        <v>262</v>
      </c>
      <c r="P29" s="16" t="s">
        <v>263</v>
      </c>
      <c r="Q29" s="16">
        <v>673059</v>
      </c>
      <c r="R29" s="16" t="s">
        <v>55</v>
      </c>
      <c r="S29" s="16" t="s">
        <v>56</v>
      </c>
      <c r="T29" s="16" t="s">
        <v>57</v>
      </c>
      <c r="U29" s="15">
        <v>45653</v>
      </c>
      <c r="V29" s="16"/>
      <c r="W29" s="15">
        <v>45988</v>
      </c>
      <c r="X29" s="16">
        <v>1</v>
      </c>
      <c r="Y29" s="16" t="s">
        <v>58</v>
      </c>
      <c r="Z29" s="17">
        <v>0</v>
      </c>
      <c r="AA29" s="16">
        <v>0</v>
      </c>
      <c r="AB29" s="16" t="s">
        <v>60</v>
      </c>
      <c r="AC29" s="16" t="s">
        <v>61</v>
      </c>
      <c r="AD29" s="16">
        <v>0</v>
      </c>
      <c r="AE29" s="17">
        <v>0</v>
      </c>
      <c r="AF29" s="17">
        <v>0</v>
      </c>
      <c r="AG29" s="18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6"/>
      <c r="AS29" s="16"/>
      <c r="AT29" s="16"/>
      <c r="AU29" s="16"/>
      <c r="AV29" s="16"/>
    </row>
    <row r="30" spans="1:48" x14ac:dyDescent="0.25">
      <c r="A30" s="15">
        <v>45957</v>
      </c>
      <c r="B30" s="16" t="s">
        <v>48</v>
      </c>
      <c r="C30" s="16">
        <v>649163</v>
      </c>
      <c r="D30" s="16">
        <v>2023957695</v>
      </c>
      <c r="E30" s="16" t="s">
        <v>270</v>
      </c>
      <c r="F30" s="16" t="s">
        <v>271</v>
      </c>
      <c r="G30" s="16" t="s">
        <v>51</v>
      </c>
      <c r="H30" s="16" t="s">
        <v>52</v>
      </c>
      <c r="I30" s="17">
        <v>339.35</v>
      </c>
      <c r="J30" s="16" t="s">
        <v>59</v>
      </c>
      <c r="K30" s="18">
        <v>0.28999999999999998</v>
      </c>
      <c r="L30" s="17">
        <v>0</v>
      </c>
      <c r="M30" s="17">
        <v>98.41</v>
      </c>
      <c r="N30" s="17">
        <v>98.41</v>
      </c>
      <c r="O30" s="16" t="s">
        <v>262</v>
      </c>
      <c r="P30" s="16" t="s">
        <v>263</v>
      </c>
      <c r="Q30" s="16">
        <v>673059</v>
      </c>
      <c r="R30" s="16" t="s">
        <v>55</v>
      </c>
      <c r="S30" s="16" t="s">
        <v>56</v>
      </c>
      <c r="T30" s="16" t="s">
        <v>57</v>
      </c>
      <c r="U30" s="15">
        <v>45656</v>
      </c>
      <c r="V30" s="16"/>
      <c r="W30" s="15">
        <v>45991</v>
      </c>
      <c r="X30" s="16">
        <v>1</v>
      </c>
      <c r="Y30" s="16" t="s">
        <v>58</v>
      </c>
      <c r="Z30" s="17">
        <v>0</v>
      </c>
      <c r="AA30" s="16">
        <v>0</v>
      </c>
      <c r="AB30" s="16" t="s">
        <v>60</v>
      </c>
      <c r="AC30" s="16" t="s">
        <v>61</v>
      </c>
      <c r="AD30" s="16">
        <v>0</v>
      </c>
      <c r="AE30" s="17">
        <v>0</v>
      </c>
      <c r="AF30" s="17">
        <v>0</v>
      </c>
      <c r="AG30" s="18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6"/>
      <c r="AS30" s="16"/>
      <c r="AT30" s="16"/>
      <c r="AU30" s="16"/>
      <c r="AV30" s="16"/>
    </row>
    <row r="31" spans="1:48" x14ac:dyDescent="0.25">
      <c r="A31" s="15">
        <v>45957</v>
      </c>
      <c r="B31" s="16" t="s">
        <v>48</v>
      </c>
      <c r="C31" s="16">
        <v>649163</v>
      </c>
      <c r="D31" s="16">
        <v>2023963351</v>
      </c>
      <c r="E31" s="16" t="s">
        <v>272</v>
      </c>
      <c r="F31" s="16" t="s">
        <v>273</v>
      </c>
      <c r="G31" s="16" t="s">
        <v>51</v>
      </c>
      <c r="H31" s="16" t="s">
        <v>52</v>
      </c>
      <c r="I31" s="17">
        <v>569.27</v>
      </c>
      <c r="J31" s="16" t="s">
        <v>59</v>
      </c>
      <c r="K31" s="18">
        <v>0.28999999999999998</v>
      </c>
      <c r="L31" s="17">
        <v>0</v>
      </c>
      <c r="M31" s="17">
        <v>165.09</v>
      </c>
      <c r="N31" s="17">
        <v>165.09</v>
      </c>
      <c r="O31" s="16" t="s">
        <v>262</v>
      </c>
      <c r="P31" s="16" t="s">
        <v>263</v>
      </c>
      <c r="Q31" s="16">
        <v>673059</v>
      </c>
      <c r="R31" s="16" t="s">
        <v>55</v>
      </c>
      <c r="S31" s="16" t="s">
        <v>56</v>
      </c>
      <c r="T31" s="16" t="s">
        <v>57</v>
      </c>
      <c r="U31" s="15">
        <v>45656</v>
      </c>
      <c r="V31" s="16"/>
      <c r="W31" s="15">
        <v>45991</v>
      </c>
      <c r="X31" s="16">
        <v>1</v>
      </c>
      <c r="Y31" s="16" t="s">
        <v>58</v>
      </c>
      <c r="Z31" s="17">
        <v>0</v>
      </c>
      <c r="AA31" s="16">
        <v>0</v>
      </c>
      <c r="AB31" s="16" t="s">
        <v>60</v>
      </c>
      <c r="AC31" s="16" t="s">
        <v>61</v>
      </c>
      <c r="AD31" s="16">
        <v>0</v>
      </c>
      <c r="AE31" s="17">
        <v>0</v>
      </c>
      <c r="AF31" s="17">
        <v>0</v>
      </c>
      <c r="AG31" s="18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6"/>
      <c r="AS31" s="16"/>
      <c r="AT31" s="16"/>
      <c r="AU31" s="16"/>
      <c r="AV31" s="16"/>
    </row>
    <row r="32" spans="1:48" x14ac:dyDescent="0.25">
      <c r="A32" s="15">
        <v>45957</v>
      </c>
      <c r="B32" s="16" t="s">
        <v>48</v>
      </c>
      <c r="C32" s="16">
        <v>649163</v>
      </c>
      <c r="D32" s="16">
        <v>2023964241</v>
      </c>
      <c r="E32" s="16" t="s">
        <v>274</v>
      </c>
      <c r="F32" s="16" t="s">
        <v>275</v>
      </c>
      <c r="G32" s="16" t="s">
        <v>51</v>
      </c>
      <c r="H32" s="16" t="s">
        <v>276</v>
      </c>
      <c r="I32" s="17">
        <v>327.36</v>
      </c>
      <c r="J32" s="16" t="s">
        <v>59</v>
      </c>
      <c r="K32" s="18">
        <v>0.28999999999999998</v>
      </c>
      <c r="L32" s="17">
        <v>0</v>
      </c>
      <c r="M32" s="17">
        <v>94.93</v>
      </c>
      <c r="N32" s="17">
        <v>94.93</v>
      </c>
      <c r="O32" s="16" t="s">
        <v>262</v>
      </c>
      <c r="P32" s="16" t="s">
        <v>263</v>
      </c>
      <c r="Q32" s="16">
        <v>673059</v>
      </c>
      <c r="R32" s="16" t="s">
        <v>55</v>
      </c>
      <c r="S32" s="16" t="s">
        <v>56</v>
      </c>
      <c r="T32" s="16" t="s">
        <v>57</v>
      </c>
      <c r="U32" s="15">
        <v>45656</v>
      </c>
      <c r="V32" s="16"/>
      <c r="W32" s="15">
        <v>45991</v>
      </c>
      <c r="X32" s="16">
        <v>1</v>
      </c>
      <c r="Y32" s="16" t="s">
        <v>58</v>
      </c>
      <c r="Z32" s="17">
        <v>0</v>
      </c>
      <c r="AA32" s="16">
        <v>0</v>
      </c>
      <c r="AB32" s="16" t="s">
        <v>60</v>
      </c>
      <c r="AC32" s="16" t="s">
        <v>61</v>
      </c>
      <c r="AD32" s="16">
        <v>0</v>
      </c>
      <c r="AE32" s="17">
        <v>0</v>
      </c>
      <c r="AF32" s="17">
        <v>0</v>
      </c>
      <c r="AG32" s="18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6"/>
      <c r="AS32" s="16"/>
      <c r="AT32" s="16"/>
      <c r="AU32" s="16"/>
      <c r="AV32" s="16"/>
    </row>
    <row r="33" spans="1:48" x14ac:dyDescent="0.25">
      <c r="A33" s="15">
        <v>45957</v>
      </c>
      <c r="B33" s="16" t="s">
        <v>48</v>
      </c>
      <c r="C33" s="16">
        <v>649163</v>
      </c>
      <c r="D33" s="16">
        <v>2024035177</v>
      </c>
      <c r="E33" s="16" t="s">
        <v>279</v>
      </c>
      <c r="F33" s="16" t="s">
        <v>280</v>
      </c>
      <c r="G33" s="16" t="s">
        <v>51</v>
      </c>
      <c r="H33" s="16" t="s">
        <v>261</v>
      </c>
      <c r="I33" s="17">
        <v>302.77999999999997</v>
      </c>
      <c r="J33" s="16" t="s">
        <v>59</v>
      </c>
      <c r="K33" s="18">
        <v>0.28999999999999998</v>
      </c>
      <c r="L33" s="17">
        <v>0</v>
      </c>
      <c r="M33" s="17">
        <v>87.81</v>
      </c>
      <c r="N33" s="17">
        <v>87.81</v>
      </c>
      <c r="O33" s="16" t="s">
        <v>262</v>
      </c>
      <c r="P33" s="16" t="s">
        <v>263</v>
      </c>
      <c r="Q33" s="16">
        <v>673059</v>
      </c>
      <c r="R33" s="16" t="s">
        <v>55</v>
      </c>
      <c r="S33" s="16" t="s">
        <v>56</v>
      </c>
      <c r="T33" s="16" t="s">
        <v>57</v>
      </c>
      <c r="U33" s="15">
        <v>45656</v>
      </c>
      <c r="V33" s="16"/>
      <c r="W33" s="15">
        <v>45991</v>
      </c>
      <c r="X33" s="16">
        <v>1</v>
      </c>
      <c r="Y33" s="16" t="s">
        <v>58</v>
      </c>
      <c r="Z33" s="17">
        <v>0</v>
      </c>
      <c r="AA33" s="16">
        <v>0</v>
      </c>
      <c r="AB33" s="16" t="s">
        <v>60</v>
      </c>
      <c r="AC33" s="16" t="s">
        <v>61</v>
      </c>
      <c r="AD33" s="16">
        <v>0</v>
      </c>
      <c r="AE33" s="17">
        <v>0</v>
      </c>
      <c r="AF33" s="17">
        <v>0</v>
      </c>
      <c r="AG33" s="18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6"/>
      <c r="AS33" s="16"/>
      <c r="AT33" s="16"/>
      <c r="AU33" s="16"/>
      <c r="AV33" s="16"/>
    </row>
    <row r="34" spans="1:48" x14ac:dyDescent="0.25">
      <c r="A34" s="15">
        <v>45957</v>
      </c>
      <c r="B34" s="16" t="s">
        <v>48</v>
      </c>
      <c r="C34" s="16">
        <v>649163</v>
      </c>
      <c r="D34" s="16">
        <v>2024112403</v>
      </c>
      <c r="E34" s="16" t="s">
        <v>281</v>
      </c>
      <c r="F34" s="16" t="s">
        <v>282</v>
      </c>
      <c r="G34" s="16" t="s">
        <v>51</v>
      </c>
      <c r="H34" s="16" t="s">
        <v>52</v>
      </c>
      <c r="I34" s="17">
        <v>427.73</v>
      </c>
      <c r="J34" s="16" t="s">
        <v>59</v>
      </c>
      <c r="K34" s="18">
        <v>0.28999999999999998</v>
      </c>
      <c r="L34" s="17">
        <v>0</v>
      </c>
      <c r="M34" s="17">
        <v>124.04</v>
      </c>
      <c r="N34" s="17">
        <v>124.04</v>
      </c>
      <c r="O34" s="16" t="s">
        <v>262</v>
      </c>
      <c r="P34" s="16" t="s">
        <v>263</v>
      </c>
      <c r="Q34" s="16">
        <v>673059</v>
      </c>
      <c r="R34" s="16" t="s">
        <v>55</v>
      </c>
      <c r="S34" s="16" t="s">
        <v>56</v>
      </c>
      <c r="T34" s="16" t="s">
        <v>57</v>
      </c>
      <c r="U34" s="15">
        <v>45656</v>
      </c>
      <c r="V34" s="16"/>
      <c r="W34" s="15">
        <v>45991</v>
      </c>
      <c r="X34" s="16">
        <v>1</v>
      </c>
      <c r="Y34" s="16" t="s">
        <v>58</v>
      </c>
      <c r="Z34" s="17">
        <v>0</v>
      </c>
      <c r="AA34" s="16">
        <v>0</v>
      </c>
      <c r="AB34" s="16" t="s">
        <v>60</v>
      </c>
      <c r="AC34" s="16" t="s">
        <v>61</v>
      </c>
      <c r="AD34" s="16">
        <v>0</v>
      </c>
      <c r="AE34" s="17">
        <v>0</v>
      </c>
      <c r="AF34" s="17">
        <v>0</v>
      </c>
      <c r="AG34" s="18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6"/>
      <c r="AS34" s="16"/>
      <c r="AT34" s="16"/>
      <c r="AU34" s="16"/>
      <c r="AV34" s="16"/>
    </row>
    <row r="35" spans="1:48" x14ac:dyDescent="0.25">
      <c r="A35" s="15">
        <v>45957</v>
      </c>
      <c r="B35" s="16" t="s">
        <v>48</v>
      </c>
      <c r="C35" s="16">
        <v>649163</v>
      </c>
      <c r="D35" s="16">
        <v>2024225541</v>
      </c>
      <c r="E35" s="16" t="s">
        <v>285</v>
      </c>
      <c r="F35" s="16" t="s">
        <v>286</v>
      </c>
      <c r="G35" s="16" t="s">
        <v>51</v>
      </c>
      <c r="H35" s="16" t="s">
        <v>287</v>
      </c>
      <c r="I35" s="17">
        <v>386.94</v>
      </c>
      <c r="J35" s="16" t="s">
        <v>59</v>
      </c>
      <c r="K35" s="18">
        <v>0.28999999999999998</v>
      </c>
      <c r="L35" s="17">
        <v>0</v>
      </c>
      <c r="M35" s="17">
        <v>112.21</v>
      </c>
      <c r="N35" s="17">
        <v>112.21</v>
      </c>
      <c r="O35" s="16" t="s">
        <v>262</v>
      </c>
      <c r="P35" s="16" t="s">
        <v>263</v>
      </c>
      <c r="Q35" s="16">
        <v>673059</v>
      </c>
      <c r="R35" s="16" t="s">
        <v>55</v>
      </c>
      <c r="S35" s="16" t="s">
        <v>56</v>
      </c>
      <c r="T35" s="16" t="s">
        <v>57</v>
      </c>
      <c r="U35" s="15">
        <v>45656</v>
      </c>
      <c r="V35" s="16"/>
      <c r="W35" s="15">
        <v>45991</v>
      </c>
      <c r="X35" s="16">
        <v>1</v>
      </c>
      <c r="Y35" s="16" t="s">
        <v>58</v>
      </c>
      <c r="Z35" s="17">
        <v>0</v>
      </c>
      <c r="AA35" s="16">
        <v>0</v>
      </c>
      <c r="AB35" s="16" t="s">
        <v>60</v>
      </c>
      <c r="AC35" s="16" t="s">
        <v>61</v>
      </c>
      <c r="AD35" s="16">
        <v>0</v>
      </c>
      <c r="AE35" s="17">
        <v>0</v>
      </c>
      <c r="AF35" s="17">
        <v>0</v>
      </c>
      <c r="AG35" s="18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6"/>
      <c r="AS35" s="16"/>
      <c r="AT35" s="16"/>
      <c r="AU35" s="16"/>
      <c r="AV35" s="16"/>
    </row>
    <row r="36" spans="1:48" x14ac:dyDescent="0.25">
      <c r="A36" s="15">
        <v>45957</v>
      </c>
      <c r="B36" s="16" t="s">
        <v>48</v>
      </c>
      <c r="C36" s="16">
        <v>649163</v>
      </c>
      <c r="D36" s="16">
        <v>2024536862</v>
      </c>
      <c r="E36" s="16" t="s">
        <v>294</v>
      </c>
      <c r="F36" s="16" t="s">
        <v>295</v>
      </c>
      <c r="G36" s="16" t="s">
        <v>51</v>
      </c>
      <c r="H36" s="16" t="s">
        <v>52</v>
      </c>
      <c r="I36" s="17">
        <v>240.51</v>
      </c>
      <c r="J36" s="16" t="s">
        <v>59</v>
      </c>
      <c r="K36" s="18">
        <v>0.28999999999999998</v>
      </c>
      <c r="L36" s="17">
        <v>0</v>
      </c>
      <c r="M36" s="17">
        <v>69.75</v>
      </c>
      <c r="N36" s="17">
        <v>69.75</v>
      </c>
      <c r="O36" s="16" t="s">
        <v>262</v>
      </c>
      <c r="P36" s="16" t="s">
        <v>263</v>
      </c>
      <c r="Q36" s="16">
        <v>673059</v>
      </c>
      <c r="R36" s="16" t="s">
        <v>55</v>
      </c>
      <c r="S36" s="16" t="s">
        <v>56</v>
      </c>
      <c r="T36" s="16" t="s">
        <v>57</v>
      </c>
      <c r="U36" s="15">
        <v>45656</v>
      </c>
      <c r="V36" s="16"/>
      <c r="W36" s="15">
        <v>45991</v>
      </c>
      <c r="X36" s="16">
        <v>1</v>
      </c>
      <c r="Y36" s="16" t="s">
        <v>58</v>
      </c>
      <c r="Z36" s="17">
        <v>0</v>
      </c>
      <c r="AA36" s="16">
        <v>0</v>
      </c>
      <c r="AB36" s="16" t="s">
        <v>60</v>
      </c>
      <c r="AC36" s="16" t="s">
        <v>61</v>
      </c>
      <c r="AD36" s="16">
        <v>0</v>
      </c>
      <c r="AE36" s="17">
        <v>0</v>
      </c>
      <c r="AF36" s="17">
        <v>0</v>
      </c>
      <c r="AG36" s="18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6"/>
      <c r="AS36" s="16"/>
      <c r="AT36" s="16"/>
      <c r="AU36" s="16"/>
      <c r="AV36" s="16"/>
    </row>
    <row r="37" spans="1:48" x14ac:dyDescent="0.25">
      <c r="A37" s="15">
        <v>45957</v>
      </c>
      <c r="B37" s="16" t="s">
        <v>48</v>
      </c>
      <c r="C37" s="16">
        <v>649163</v>
      </c>
      <c r="D37" s="16">
        <v>2024626406</v>
      </c>
      <c r="E37" s="16" t="s">
        <v>296</v>
      </c>
      <c r="F37" s="16" t="s">
        <v>297</v>
      </c>
      <c r="G37" s="16" t="s">
        <v>51</v>
      </c>
      <c r="H37" s="16" t="s">
        <v>293</v>
      </c>
      <c r="I37" s="17">
        <v>352.41</v>
      </c>
      <c r="J37" s="16" t="s">
        <v>59</v>
      </c>
      <c r="K37" s="18">
        <v>0.28999999999999998</v>
      </c>
      <c r="L37" s="17">
        <v>102.2</v>
      </c>
      <c r="M37" s="17">
        <v>0</v>
      </c>
      <c r="N37" s="17">
        <v>0</v>
      </c>
      <c r="O37" s="16" t="s">
        <v>262</v>
      </c>
      <c r="P37" s="16" t="s">
        <v>298</v>
      </c>
      <c r="Q37" s="16">
        <v>669316</v>
      </c>
      <c r="R37" s="16" t="s">
        <v>169</v>
      </c>
      <c r="S37" s="16" t="s">
        <v>170</v>
      </c>
      <c r="T37" s="16" t="s">
        <v>57</v>
      </c>
      <c r="U37" s="15">
        <v>45898</v>
      </c>
      <c r="V37" s="16"/>
      <c r="W37" s="15">
        <v>45990</v>
      </c>
      <c r="X37" s="16">
        <v>1</v>
      </c>
      <c r="Y37" s="16" t="s">
        <v>58</v>
      </c>
      <c r="Z37" s="17">
        <v>0</v>
      </c>
      <c r="AA37" s="16">
        <v>0</v>
      </c>
      <c r="AB37" s="16" t="s">
        <v>60</v>
      </c>
      <c r="AC37" s="16" t="s">
        <v>61</v>
      </c>
      <c r="AD37" s="16">
        <v>0</v>
      </c>
      <c r="AE37" s="17">
        <v>0</v>
      </c>
      <c r="AF37" s="17">
        <v>0</v>
      </c>
      <c r="AG37" s="18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6"/>
      <c r="AS37" s="16"/>
      <c r="AT37" s="16"/>
      <c r="AU37" s="16"/>
      <c r="AV37" s="16"/>
    </row>
    <row r="38" spans="1:48" x14ac:dyDescent="0.25">
      <c r="A38" s="15">
        <v>45957</v>
      </c>
      <c r="B38" s="16" t="s">
        <v>48</v>
      </c>
      <c r="C38" s="16">
        <v>649163</v>
      </c>
      <c r="D38" s="16">
        <v>2030691611</v>
      </c>
      <c r="E38" s="16" t="s">
        <v>303</v>
      </c>
      <c r="F38" s="16" t="s">
        <v>304</v>
      </c>
      <c r="G38" s="16" t="s">
        <v>51</v>
      </c>
      <c r="H38" s="16" t="s">
        <v>52</v>
      </c>
      <c r="I38" s="17">
        <v>416.74</v>
      </c>
      <c r="J38" s="16" t="s">
        <v>59</v>
      </c>
      <c r="K38" s="18">
        <v>0.28999999999999998</v>
      </c>
      <c r="L38" s="17">
        <v>120.85</v>
      </c>
      <c r="M38" s="17">
        <v>0</v>
      </c>
      <c r="N38" s="17">
        <v>0</v>
      </c>
      <c r="O38" s="16" t="s">
        <v>262</v>
      </c>
      <c r="P38" s="16" t="s">
        <v>298</v>
      </c>
      <c r="Q38" s="16">
        <v>673059</v>
      </c>
      <c r="R38" s="16" t="s">
        <v>55</v>
      </c>
      <c r="S38" s="16" t="s">
        <v>56</v>
      </c>
      <c r="T38" s="16" t="s">
        <v>57</v>
      </c>
      <c r="U38" s="15">
        <v>45901</v>
      </c>
      <c r="V38" s="16"/>
      <c r="W38" s="15">
        <v>45992</v>
      </c>
      <c r="X38" s="16">
        <v>1</v>
      </c>
      <c r="Y38" s="16" t="s">
        <v>58</v>
      </c>
      <c r="Z38" s="17">
        <v>0</v>
      </c>
      <c r="AA38" s="16">
        <v>0</v>
      </c>
      <c r="AB38" s="16" t="s">
        <v>60</v>
      </c>
      <c r="AC38" s="16" t="s">
        <v>61</v>
      </c>
      <c r="AD38" s="16">
        <v>0</v>
      </c>
      <c r="AE38" s="17">
        <v>0</v>
      </c>
      <c r="AF38" s="17">
        <v>0</v>
      </c>
      <c r="AG38" s="18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6"/>
      <c r="AS38" s="16"/>
      <c r="AT38" s="16"/>
      <c r="AU38" s="16"/>
      <c r="AV38" s="16"/>
    </row>
    <row r="39" spans="1:48" x14ac:dyDescent="0.25">
      <c r="A39" s="15">
        <v>45957</v>
      </c>
      <c r="B39" s="16" t="s">
        <v>48</v>
      </c>
      <c r="C39" s="16">
        <v>649163</v>
      </c>
      <c r="D39" s="16">
        <v>2030722441</v>
      </c>
      <c r="E39" s="16" t="s">
        <v>305</v>
      </c>
      <c r="F39" s="16" t="s">
        <v>306</v>
      </c>
      <c r="G39" s="16" t="s">
        <v>51</v>
      </c>
      <c r="H39" s="16" t="s">
        <v>261</v>
      </c>
      <c r="I39" s="17">
        <v>150.93</v>
      </c>
      <c r="J39" s="16" t="s">
        <v>59</v>
      </c>
      <c r="K39" s="18">
        <v>0.28999999999999998</v>
      </c>
      <c r="L39" s="17">
        <v>43.77</v>
      </c>
      <c r="M39" s="17">
        <v>0</v>
      </c>
      <c r="N39" s="17">
        <v>0</v>
      </c>
      <c r="O39" s="16" t="s">
        <v>262</v>
      </c>
      <c r="P39" s="16" t="s">
        <v>298</v>
      </c>
      <c r="Q39" s="16">
        <v>812994</v>
      </c>
      <c r="R39" s="16" t="s">
        <v>228</v>
      </c>
      <c r="S39" s="16" t="s">
        <v>229</v>
      </c>
      <c r="T39" s="16" t="s">
        <v>57</v>
      </c>
      <c r="U39" s="15">
        <v>45897</v>
      </c>
      <c r="V39" s="16"/>
      <c r="W39" s="15">
        <v>45989</v>
      </c>
      <c r="X39" s="16">
        <v>1</v>
      </c>
      <c r="Y39" s="16" t="s">
        <v>58</v>
      </c>
      <c r="Z39" s="17">
        <v>0</v>
      </c>
      <c r="AA39" s="16">
        <v>0</v>
      </c>
      <c r="AB39" s="16" t="s">
        <v>60</v>
      </c>
      <c r="AC39" s="16" t="s">
        <v>61</v>
      </c>
      <c r="AD39" s="16">
        <v>0</v>
      </c>
      <c r="AE39" s="17">
        <v>0</v>
      </c>
      <c r="AF39" s="17">
        <v>0</v>
      </c>
      <c r="AG39" s="18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6"/>
      <c r="AS39" s="16"/>
      <c r="AT39" s="16"/>
      <c r="AU39" s="16"/>
      <c r="AV39" s="16"/>
    </row>
    <row r="40" spans="1:48" x14ac:dyDescent="0.25">
      <c r="A40" s="1">
        <v>45957</v>
      </c>
      <c r="B40" t="s">
        <v>48</v>
      </c>
      <c r="C40">
        <v>649163</v>
      </c>
      <c r="D40">
        <v>2024586357</v>
      </c>
      <c r="E40" t="s">
        <v>655</v>
      </c>
      <c r="F40" t="s">
        <v>387</v>
      </c>
      <c r="G40" t="s">
        <v>51</v>
      </c>
      <c r="H40" t="s">
        <v>195</v>
      </c>
      <c r="I40" s="2">
        <v>25.08</v>
      </c>
      <c r="J40" t="s">
        <v>59</v>
      </c>
      <c r="K40" s="3">
        <v>0.09</v>
      </c>
      <c r="L40" s="2">
        <v>0</v>
      </c>
      <c r="M40" s="2">
        <v>2.2599999999999998</v>
      </c>
      <c r="N40" s="2">
        <v>2.2599999999999998</v>
      </c>
      <c r="O40" t="s">
        <v>53</v>
      </c>
      <c r="P40" t="s">
        <v>122</v>
      </c>
      <c r="Q40">
        <v>650218</v>
      </c>
      <c r="R40" t="s">
        <v>357</v>
      </c>
      <c r="S40" t="s">
        <v>358</v>
      </c>
      <c r="T40" t="s">
        <v>57</v>
      </c>
      <c r="U40" s="1">
        <v>45536</v>
      </c>
      <c r="W40" s="1">
        <v>45992</v>
      </c>
      <c r="X40">
        <v>1</v>
      </c>
      <c r="Y40" t="s">
        <v>58</v>
      </c>
      <c r="Z40" s="2">
        <v>0</v>
      </c>
      <c r="AA40">
        <v>0</v>
      </c>
      <c r="AB40" t="s">
        <v>264</v>
      </c>
      <c r="AC40" t="s">
        <v>61</v>
      </c>
      <c r="AD40">
        <v>0</v>
      </c>
      <c r="AE40" s="2">
        <v>0</v>
      </c>
      <c r="AF40" s="2">
        <v>0</v>
      </c>
      <c r="AG40" s="3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8" x14ac:dyDescent="0.25">
      <c r="A41" s="1">
        <v>45957</v>
      </c>
      <c r="B41" t="s">
        <v>48</v>
      </c>
      <c r="C41">
        <v>649163</v>
      </c>
      <c r="D41">
        <v>2016328596</v>
      </c>
      <c r="E41" t="s">
        <v>558</v>
      </c>
      <c r="F41" t="s">
        <v>342</v>
      </c>
      <c r="G41" t="s">
        <v>51</v>
      </c>
      <c r="H41" t="s">
        <v>559</v>
      </c>
      <c r="I41" s="2">
        <v>32.42</v>
      </c>
      <c r="J41" t="s">
        <v>59</v>
      </c>
      <c r="K41" s="3">
        <v>0.1</v>
      </c>
      <c r="L41" s="2">
        <v>0</v>
      </c>
      <c r="M41" s="2">
        <v>3.24</v>
      </c>
      <c r="N41" s="2">
        <v>3.24</v>
      </c>
      <c r="O41" t="s">
        <v>53</v>
      </c>
      <c r="P41" t="s">
        <v>132</v>
      </c>
      <c r="Q41">
        <v>651818</v>
      </c>
      <c r="R41" t="s">
        <v>560</v>
      </c>
      <c r="S41" t="s">
        <v>336</v>
      </c>
      <c r="T41" t="s">
        <v>57</v>
      </c>
      <c r="U41" s="1">
        <v>44829</v>
      </c>
      <c r="W41" s="1">
        <v>45986</v>
      </c>
      <c r="X41">
        <v>1</v>
      </c>
      <c r="Y41" t="s">
        <v>58</v>
      </c>
      <c r="Z41" s="2">
        <v>0</v>
      </c>
      <c r="AA41">
        <v>0</v>
      </c>
      <c r="AB41" t="s">
        <v>264</v>
      </c>
      <c r="AC41" t="s">
        <v>61</v>
      </c>
      <c r="AD41">
        <v>0</v>
      </c>
      <c r="AE41" s="2">
        <v>0</v>
      </c>
      <c r="AF41" s="2">
        <v>0</v>
      </c>
      <c r="AG41" s="3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8" x14ac:dyDescent="0.25">
      <c r="A42" s="1">
        <v>45957</v>
      </c>
      <c r="B42" t="s">
        <v>48</v>
      </c>
      <c r="C42">
        <v>649163</v>
      </c>
      <c r="D42">
        <v>2016589855</v>
      </c>
      <c r="E42" t="s">
        <v>561</v>
      </c>
      <c r="F42" t="s">
        <v>562</v>
      </c>
      <c r="G42" t="s">
        <v>51</v>
      </c>
      <c r="H42" t="s">
        <v>563</v>
      </c>
      <c r="I42" s="2">
        <v>16.63</v>
      </c>
      <c r="J42" t="s">
        <v>59</v>
      </c>
      <c r="K42" s="3">
        <v>0.1</v>
      </c>
      <c r="L42" s="2">
        <v>0</v>
      </c>
      <c r="M42" s="2">
        <v>1.66</v>
      </c>
      <c r="N42" s="2">
        <v>1.66</v>
      </c>
      <c r="O42" t="s">
        <v>53</v>
      </c>
      <c r="P42" t="s">
        <v>132</v>
      </c>
      <c r="Q42">
        <v>651818</v>
      </c>
      <c r="R42" t="s">
        <v>560</v>
      </c>
      <c r="S42" t="s">
        <v>336</v>
      </c>
      <c r="T42" t="s">
        <v>57</v>
      </c>
      <c r="U42" s="1">
        <v>44866</v>
      </c>
      <c r="W42" s="1">
        <v>45992</v>
      </c>
      <c r="X42">
        <v>1</v>
      </c>
      <c r="Y42" t="s">
        <v>58</v>
      </c>
      <c r="Z42" s="2">
        <v>0</v>
      </c>
      <c r="AA42">
        <v>0</v>
      </c>
      <c r="AB42" t="s">
        <v>264</v>
      </c>
      <c r="AC42" t="s">
        <v>61</v>
      </c>
      <c r="AD42">
        <v>0</v>
      </c>
      <c r="AE42" s="2">
        <v>0</v>
      </c>
      <c r="AF42" s="2">
        <v>0</v>
      </c>
      <c r="AG42" s="3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8" x14ac:dyDescent="0.25">
      <c r="A43" s="1">
        <v>45957</v>
      </c>
      <c r="B43" t="s">
        <v>48</v>
      </c>
      <c r="C43">
        <v>649163</v>
      </c>
      <c r="D43">
        <v>2017383051</v>
      </c>
      <c r="E43" t="s">
        <v>720</v>
      </c>
      <c r="F43" t="s">
        <v>721</v>
      </c>
      <c r="G43" t="s">
        <v>51</v>
      </c>
      <c r="H43" t="s">
        <v>78</v>
      </c>
      <c r="I43" s="2">
        <v>211.08</v>
      </c>
      <c r="J43" t="s">
        <v>59</v>
      </c>
      <c r="K43" s="3">
        <v>0.1</v>
      </c>
      <c r="L43" s="2">
        <v>0</v>
      </c>
      <c r="M43" s="2">
        <v>21.11</v>
      </c>
      <c r="N43" s="2">
        <v>21.11</v>
      </c>
      <c r="O43" t="s">
        <v>53</v>
      </c>
      <c r="P43" t="s">
        <v>132</v>
      </c>
      <c r="Q43">
        <v>651818</v>
      </c>
      <c r="R43" t="s">
        <v>560</v>
      </c>
      <c r="S43" t="s">
        <v>336</v>
      </c>
      <c r="T43" t="s">
        <v>57</v>
      </c>
      <c r="U43" s="1">
        <v>44959</v>
      </c>
      <c r="W43" s="1">
        <v>45993</v>
      </c>
      <c r="X43">
        <v>1</v>
      </c>
      <c r="Y43" t="s">
        <v>58</v>
      </c>
      <c r="Z43" s="2">
        <v>0</v>
      </c>
      <c r="AA43">
        <v>0</v>
      </c>
      <c r="AB43" t="s">
        <v>264</v>
      </c>
      <c r="AC43" t="s">
        <v>61</v>
      </c>
      <c r="AD43">
        <v>0</v>
      </c>
      <c r="AE43" s="2">
        <v>0</v>
      </c>
      <c r="AF43" s="2">
        <v>0</v>
      </c>
      <c r="AG43" s="3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8" x14ac:dyDescent="0.25">
      <c r="A44" s="1">
        <v>45957</v>
      </c>
      <c r="B44" t="s">
        <v>48</v>
      </c>
      <c r="C44">
        <v>649163</v>
      </c>
      <c r="D44">
        <v>2017608417</v>
      </c>
      <c r="E44" t="s">
        <v>576</v>
      </c>
      <c r="F44" t="s">
        <v>374</v>
      </c>
      <c r="G44" t="s">
        <v>51</v>
      </c>
      <c r="H44" t="s">
        <v>696</v>
      </c>
      <c r="I44" s="2">
        <v>163.25</v>
      </c>
      <c r="J44" t="s">
        <v>59</v>
      </c>
      <c r="K44" s="3">
        <v>0.1</v>
      </c>
      <c r="L44" s="2">
        <v>0</v>
      </c>
      <c r="M44" s="2">
        <v>16.32</v>
      </c>
      <c r="N44" s="2">
        <v>16.32</v>
      </c>
      <c r="O44" t="s">
        <v>53</v>
      </c>
      <c r="P44" t="s">
        <v>132</v>
      </c>
      <c r="Q44">
        <v>651818</v>
      </c>
      <c r="R44" t="s">
        <v>560</v>
      </c>
      <c r="S44" t="s">
        <v>336</v>
      </c>
      <c r="T44" t="s">
        <v>57</v>
      </c>
      <c r="U44" s="1">
        <v>44983</v>
      </c>
      <c r="W44" s="1">
        <v>45987</v>
      </c>
      <c r="X44">
        <v>1</v>
      </c>
      <c r="Y44" t="s">
        <v>58</v>
      </c>
      <c r="Z44" s="2">
        <v>0</v>
      </c>
      <c r="AA44">
        <v>0</v>
      </c>
      <c r="AB44" t="s">
        <v>264</v>
      </c>
      <c r="AC44" t="s">
        <v>61</v>
      </c>
      <c r="AD44">
        <v>0</v>
      </c>
      <c r="AE44" s="2">
        <v>0</v>
      </c>
      <c r="AF44" s="2">
        <v>0</v>
      </c>
      <c r="AG44" s="3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8" x14ac:dyDescent="0.25">
      <c r="A45" s="1">
        <v>45957</v>
      </c>
      <c r="B45" t="s">
        <v>48</v>
      </c>
      <c r="C45">
        <v>649163</v>
      </c>
      <c r="D45">
        <v>2018077138</v>
      </c>
      <c r="E45" t="s">
        <v>572</v>
      </c>
      <c r="F45" t="s">
        <v>312</v>
      </c>
      <c r="G45" t="s">
        <v>51</v>
      </c>
      <c r="H45" t="s">
        <v>118</v>
      </c>
      <c r="I45" s="2">
        <v>56.75</v>
      </c>
      <c r="J45" t="s">
        <v>59</v>
      </c>
      <c r="K45" s="3">
        <v>0.1</v>
      </c>
      <c r="L45" s="2">
        <v>0</v>
      </c>
      <c r="M45" s="2">
        <v>5.68</v>
      </c>
      <c r="N45" s="2">
        <v>5.68</v>
      </c>
      <c r="O45" t="s">
        <v>53</v>
      </c>
      <c r="P45" t="s">
        <v>132</v>
      </c>
      <c r="Q45">
        <v>652037</v>
      </c>
      <c r="R45" t="s">
        <v>155</v>
      </c>
      <c r="S45" t="s">
        <v>156</v>
      </c>
      <c r="T45" t="s">
        <v>57</v>
      </c>
      <c r="U45" s="1">
        <v>45017</v>
      </c>
      <c r="W45" s="1">
        <v>45992</v>
      </c>
      <c r="X45">
        <v>1</v>
      </c>
      <c r="Y45" t="s">
        <v>58</v>
      </c>
      <c r="Z45" s="2">
        <v>0</v>
      </c>
      <c r="AA45">
        <v>0</v>
      </c>
      <c r="AB45" t="s">
        <v>264</v>
      </c>
      <c r="AC45" t="s">
        <v>61</v>
      </c>
      <c r="AD45">
        <v>0</v>
      </c>
      <c r="AE45" s="2">
        <v>0</v>
      </c>
      <c r="AF45" s="2">
        <v>0</v>
      </c>
      <c r="AG45" s="3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8" x14ac:dyDescent="0.25">
      <c r="A46" s="1">
        <v>45957</v>
      </c>
      <c r="B46" t="s">
        <v>48</v>
      </c>
      <c r="C46">
        <v>649163</v>
      </c>
      <c r="D46">
        <v>2018192803</v>
      </c>
      <c r="E46" t="s">
        <v>573</v>
      </c>
      <c r="F46" t="s">
        <v>574</v>
      </c>
      <c r="G46" t="s">
        <v>51</v>
      </c>
      <c r="H46" t="s">
        <v>165</v>
      </c>
      <c r="I46" s="2">
        <v>75.44</v>
      </c>
      <c r="J46" t="s">
        <v>59</v>
      </c>
      <c r="K46" s="3">
        <v>0.1</v>
      </c>
      <c r="L46" s="2">
        <v>0</v>
      </c>
      <c r="M46" s="2">
        <v>7.54</v>
      </c>
      <c r="N46" s="2">
        <v>7.54</v>
      </c>
      <c r="O46" t="s">
        <v>53</v>
      </c>
      <c r="P46" t="s">
        <v>132</v>
      </c>
      <c r="Q46">
        <v>651818</v>
      </c>
      <c r="R46" t="s">
        <v>560</v>
      </c>
      <c r="S46" t="s">
        <v>336</v>
      </c>
      <c r="T46" t="s">
        <v>57</v>
      </c>
      <c r="U46" s="1">
        <v>45015</v>
      </c>
      <c r="W46" s="1">
        <v>45991</v>
      </c>
      <c r="X46">
        <v>1</v>
      </c>
      <c r="Y46" t="s">
        <v>58</v>
      </c>
      <c r="Z46" s="2">
        <v>0</v>
      </c>
      <c r="AA46">
        <v>0</v>
      </c>
      <c r="AB46" t="s">
        <v>264</v>
      </c>
      <c r="AC46" t="s">
        <v>61</v>
      </c>
      <c r="AD46">
        <v>0</v>
      </c>
      <c r="AE46" s="2">
        <v>0</v>
      </c>
      <c r="AF46" s="2">
        <v>0</v>
      </c>
      <c r="AG46" s="3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8" x14ac:dyDescent="0.25">
      <c r="A47" s="1">
        <v>45957</v>
      </c>
      <c r="B47" t="s">
        <v>48</v>
      </c>
      <c r="C47">
        <v>649163</v>
      </c>
      <c r="D47">
        <v>2019414593</v>
      </c>
      <c r="E47" t="s">
        <v>734</v>
      </c>
      <c r="F47" t="s">
        <v>735</v>
      </c>
      <c r="G47" t="s">
        <v>51</v>
      </c>
      <c r="H47" t="s">
        <v>182</v>
      </c>
      <c r="I47" s="2">
        <v>23.05</v>
      </c>
      <c r="J47" t="s">
        <v>59</v>
      </c>
      <c r="K47" s="3">
        <v>0.1</v>
      </c>
      <c r="L47" s="2">
        <v>0</v>
      </c>
      <c r="M47" s="2">
        <v>2.2999999999999998</v>
      </c>
      <c r="N47" s="2">
        <v>2.2999999999999998</v>
      </c>
      <c r="O47" t="s">
        <v>53</v>
      </c>
      <c r="P47" t="s">
        <v>132</v>
      </c>
      <c r="Q47">
        <v>673059</v>
      </c>
      <c r="R47" t="s">
        <v>55</v>
      </c>
      <c r="S47" t="s">
        <v>56</v>
      </c>
      <c r="T47" t="s">
        <v>57</v>
      </c>
      <c r="U47" s="1">
        <v>45170</v>
      </c>
      <c r="W47" s="1">
        <v>45992</v>
      </c>
      <c r="X47">
        <v>1</v>
      </c>
      <c r="Y47" t="s">
        <v>58</v>
      </c>
      <c r="Z47" s="2">
        <v>0</v>
      </c>
      <c r="AA47">
        <v>0</v>
      </c>
      <c r="AB47" t="s">
        <v>264</v>
      </c>
      <c r="AC47" t="s">
        <v>61</v>
      </c>
      <c r="AD47">
        <v>0</v>
      </c>
      <c r="AE47" s="2">
        <v>0</v>
      </c>
      <c r="AF47" s="2">
        <v>0</v>
      </c>
      <c r="AG47" s="3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8" x14ac:dyDescent="0.25">
      <c r="A48" s="1">
        <v>45957</v>
      </c>
      <c r="B48" t="s">
        <v>48</v>
      </c>
      <c r="C48">
        <v>649163</v>
      </c>
      <c r="D48">
        <v>2019527580</v>
      </c>
      <c r="E48" t="s">
        <v>736</v>
      </c>
      <c r="F48" t="s">
        <v>62</v>
      </c>
      <c r="G48" t="s">
        <v>51</v>
      </c>
      <c r="H48" t="s">
        <v>276</v>
      </c>
      <c r="I48" s="2">
        <v>99.25</v>
      </c>
      <c r="J48" t="s">
        <v>59</v>
      </c>
      <c r="K48" s="3">
        <v>0.1</v>
      </c>
      <c r="L48" s="2">
        <v>0</v>
      </c>
      <c r="M48" s="2">
        <v>9.92</v>
      </c>
      <c r="N48" s="2">
        <v>9.92</v>
      </c>
      <c r="O48" t="s">
        <v>53</v>
      </c>
      <c r="P48" t="s">
        <v>132</v>
      </c>
      <c r="Q48">
        <v>673059</v>
      </c>
      <c r="R48" t="s">
        <v>55</v>
      </c>
      <c r="S48" t="s">
        <v>56</v>
      </c>
      <c r="T48" t="s">
        <v>57</v>
      </c>
      <c r="U48" s="1">
        <v>45161</v>
      </c>
      <c r="W48" s="1">
        <v>45984</v>
      </c>
      <c r="X48">
        <v>1</v>
      </c>
      <c r="Y48" t="s">
        <v>58</v>
      </c>
      <c r="Z48" s="2">
        <v>0</v>
      </c>
      <c r="AA48">
        <v>0</v>
      </c>
      <c r="AB48" t="s">
        <v>264</v>
      </c>
      <c r="AC48" t="s">
        <v>61</v>
      </c>
      <c r="AD48">
        <v>0</v>
      </c>
      <c r="AE48" s="2">
        <v>0</v>
      </c>
      <c r="AF48" s="2">
        <v>0</v>
      </c>
      <c r="AG48" s="3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45957</v>
      </c>
      <c r="B49" t="s">
        <v>48</v>
      </c>
      <c r="C49">
        <v>649163</v>
      </c>
      <c r="D49">
        <v>2020428894</v>
      </c>
      <c r="E49" t="s">
        <v>741</v>
      </c>
      <c r="F49" t="s">
        <v>99</v>
      </c>
      <c r="G49" t="s">
        <v>51</v>
      </c>
      <c r="H49" t="s">
        <v>742</v>
      </c>
      <c r="I49" s="2">
        <v>99.25</v>
      </c>
      <c r="J49" t="s">
        <v>59</v>
      </c>
      <c r="K49" s="3">
        <v>0.1</v>
      </c>
      <c r="L49" s="2">
        <v>0</v>
      </c>
      <c r="M49" s="2">
        <v>9.92</v>
      </c>
      <c r="N49" s="2">
        <v>9.92</v>
      </c>
      <c r="O49" t="s">
        <v>53</v>
      </c>
      <c r="P49" t="s">
        <v>132</v>
      </c>
      <c r="Q49">
        <v>651818</v>
      </c>
      <c r="R49" t="s">
        <v>560</v>
      </c>
      <c r="S49" t="s">
        <v>336</v>
      </c>
      <c r="T49" t="s">
        <v>57</v>
      </c>
      <c r="U49" s="1">
        <v>45231</v>
      </c>
      <c r="W49" s="1">
        <v>45992</v>
      </c>
      <c r="X49">
        <v>1</v>
      </c>
      <c r="Y49" t="s">
        <v>58</v>
      </c>
      <c r="Z49" s="2">
        <v>0</v>
      </c>
      <c r="AA49">
        <v>0</v>
      </c>
      <c r="AB49" t="s">
        <v>264</v>
      </c>
      <c r="AC49" t="s">
        <v>61</v>
      </c>
      <c r="AD49">
        <v>0</v>
      </c>
      <c r="AE49" s="2">
        <v>0</v>
      </c>
      <c r="AF49" s="2">
        <v>0</v>
      </c>
      <c r="AG49" s="3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45957</v>
      </c>
      <c r="B50" t="s">
        <v>48</v>
      </c>
      <c r="C50">
        <v>649163</v>
      </c>
      <c r="D50">
        <v>2020617793</v>
      </c>
      <c r="E50" t="s">
        <v>743</v>
      </c>
      <c r="F50" t="s">
        <v>744</v>
      </c>
      <c r="G50" t="s">
        <v>51</v>
      </c>
      <c r="H50" t="s">
        <v>555</v>
      </c>
      <c r="I50" s="2">
        <v>76.17</v>
      </c>
      <c r="J50" t="s">
        <v>59</v>
      </c>
      <c r="K50" s="3">
        <v>0.1</v>
      </c>
      <c r="L50" s="2">
        <v>0</v>
      </c>
      <c r="M50" s="2">
        <v>7.62</v>
      </c>
      <c r="N50" s="2">
        <v>7.62</v>
      </c>
      <c r="O50" t="s">
        <v>53</v>
      </c>
      <c r="P50" t="s">
        <v>132</v>
      </c>
      <c r="Q50">
        <v>652037</v>
      </c>
      <c r="R50" t="s">
        <v>155</v>
      </c>
      <c r="S50" t="s">
        <v>156</v>
      </c>
      <c r="T50" t="s">
        <v>57</v>
      </c>
      <c r="U50" s="1">
        <v>45231</v>
      </c>
      <c r="W50" s="1">
        <v>45992</v>
      </c>
      <c r="X50">
        <v>1</v>
      </c>
      <c r="Y50" t="s">
        <v>58</v>
      </c>
      <c r="Z50" s="2">
        <v>0</v>
      </c>
      <c r="AA50">
        <v>0</v>
      </c>
      <c r="AB50" t="s">
        <v>264</v>
      </c>
      <c r="AC50" t="s">
        <v>61</v>
      </c>
      <c r="AD50">
        <v>0</v>
      </c>
      <c r="AE50" s="2">
        <v>0</v>
      </c>
      <c r="AF50" s="2">
        <v>0</v>
      </c>
      <c r="AG50" s="3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45957</v>
      </c>
      <c r="B51" t="s">
        <v>48</v>
      </c>
      <c r="C51">
        <v>649163</v>
      </c>
      <c r="D51">
        <v>2022148752</v>
      </c>
      <c r="E51" t="s">
        <v>750</v>
      </c>
      <c r="F51" t="s">
        <v>751</v>
      </c>
      <c r="G51" t="s">
        <v>51</v>
      </c>
      <c r="H51" t="s">
        <v>742</v>
      </c>
      <c r="I51" s="2">
        <v>51.31</v>
      </c>
      <c r="J51" t="s">
        <v>59</v>
      </c>
      <c r="K51" s="3">
        <v>0.1</v>
      </c>
      <c r="L51" s="2">
        <v>0</v>
      </c>
      <c r="M51" s="2">
        <v>5.13</v>
      </c>
      <c r="N51" s="2">
        <v>5.13</v>
      </c>
      <c r="O51" t="s">
        <v>53</v>
      </c>
      <c r="P51" t="s">
        <v>132</v>
      </c>
      <c r="Q51">
        <v>651818</v>
      </c>
      <c r="R51" t="s">
        <v>560</v>
      </c>
      <c r="S51" t="s">
        <v>336</v>
      </c>
      <c r="T51" t="s">
        <v>57</v>
      </c>
      <c r="U51" s="1">
        <v>45377</v>
      </c>
      <c r="W51" s="1">
        <v>45987</v>
      </c>
      <c r="X51">
        <v>1</v>
      </c>
      <c r="Y51" t="s">
        <v>58</v>
      </c>
      <c r="Z51" s="2">
        <v>0</v>
      </c>
      <c r="AA51">
        <v>0</v>
      </c>
      <c r="AB51" t="s">
        <v>264</v>
      </c>
      <c r="AC51" t="s">
        <v>61</v>
      </c>
      <c r="AD51">
        <v>0</v>
      </c>
      <c r="AE51" s="2">
        <v>0</v>
      </c>
      <c r="AF51" s="2">
        <v>0</v>
      </c>
      <c r="AG51" s="3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45957</v>
      </c>
      <c r="B52" t="s">
        <v>48</v>
      </c>
      <c r="C52">
        <v>649163</v>
      </c>
      <c r="D52">
        <v>2016502598</v>
      </c>
      <c r="E52" t="s">
        <v>714</v>
      </c>
      <c r="F52" t="s">
        <v>577</v>
      </c>
      <c r="G52" t="s">
        <v>51</v>
      </c>
      <c r="H52" t="s">
        <v>52</v>
      </c>
      <c r="I52" s="2">
        <v>54.43</v>
      </c>
      <c r="J52" t="s">
        <v>59</v>
      </c>
      <c r="K52" s="3">
        <v>0.15</v>
      </c>
      <c r="L52" s="2">
        <v>0</v>
      </c>
      <c r="M52" s="2">
        <v>8.16</v>
      </c>
      <c r="N52" s="2">
        <v>8.16</v>
      </c>
      <c r="O52" t="s">
        <v>53</v>
      </c>
      <c r="P52" t="s">
        <v>54</v>
      </c>
      <c r="Q52">
        <v>649793</v>
      </c>
      <c r="R52" t="s">
        <v>55</v>
      </c>
      <c r="S52" t="s">
        <v>566</v>
      </c>
      <c r="T52" t="s">
        <v>57</v>
      </c>
      <c r="U52" s="1">
        <v>44866</v>
      </c>
      <c r="W52" s="1">
        <v>45992</v>
      </c>
      <c r="X52">
        <v>1</v>
      </c>
      <c r="Y52" t="s">
        <v>58</v>
      </c>
      <c r="Z52" s="2">
        <v>0</v>
      </c>
      <c r="AA52">
        <v>0</v>
      </c>
      <c r="AB52" t="s">
        <v>264</v>
      </c>
      <c r="AC52" t="s">
        <v>61</v>
      </c>
      <c r="AD52">
        <v>0</v>
      </c>
      <c r="AE52" s="2">
        <v>0</v>
      </c>
      <c r="AF52" s="2">
        <v>0</v>
      </c>
      <c r="AG52" s="3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45957</v>
      </c>
      <c r="B53" t="s">
        <v>48</v>
      </c>
      <c r="C53">
        <v>649163</v>
      </c>
      <c r="D53">
        <v>2016502599</v>
      </c>
      <c r="E53" t="s">
        <v>714</v>
      </c>
      <c r="F53" t="s">
        <v>577</v>
      </c>
      <c r="G53" t="s">
        <v>51</v>
      </c>
      <c r="H53" t="s">
        <v>52</v>
      </c>
      <c r="I53" s="2">
        <v>25.73</v>
      </c>
      <c r="J53" t="s">
        <v>59</v>
      </c>
      <c r="K53" s="3">
        <v>0.15</v>
      </c>
      <c r="L53" s="2">
        <v>0</v>
      </c>
      <c r="M53" s="2">
        <v>3.86</v>
      </c>
      <c r="N53" s="2">
        <v>3.86</v>
      </c>
      <c r="O53" t="s">
        <v>53</v>
      </c>
      <c r="P53" t="s">
        <v>119</v>
      </c>
      <c r="Q53">
        <v>649793</v>
      </c>
      <c r="R53" t="s">
        <v>55</v>
      </c>
      <c r="S53" t="s">
        <v>566</v>
      </c>
      <c r="T53" t="s">
        <v>57</v>
      </c>
      <c r="U53" s="1">
        <v>44866</v>
      </c>
      <c r="W53" s="1">
        <v>45992</v>
      </c>
      <c r="X53">
        <v>1</v>
      </c>
      <c r="Y53" t="s">
        <v>58</v>
      </c>
      <c r="Z53" s="2">
        <v>0</v>
      </c>
      <c r="AA53">
        <v>0</v>
      </c>
      <c r="AB53" t="s">
        <v>264</v>
      </c>
      <c r="AC53" t="s">
        <v>61</v>
      </c>
      <c r="AD53">
        <v>0</v>
      </c>
      <c r="AE53" s="2">
        <v>0</v>
      </c>
      <c r="AF53" s="2">
        <v>0</v>
      </c>
      <c r="AG53" s="3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45957</v>
      </c>
      <c r="B54" t="s">
        <v>48</v>
      </c>
      <c r="C54">
        <v>649163</v>
      </c>
      <c r="D54">
        <v>2016589854</v>
      </c>
      <c r="E54" t="s">
        <v>561</v>
      </c>
      <c r="F54" t="s">
        <v>562</v>
      </c>
      <c r="G54" t="s">
        <v>51</v>
      </c>
      <c r="H54" t="s">
        <v>563</v>
      </c>
      <c r="I54" s="2">
        <v>25.73</v>
      </c>
      <c r="J54" t="s">
        <v>59</v>
      </c>
      <c r="K54" s="3">
        <v>0.15</v>
      </c>
      <c r="L54" s="2">
        <v>0</v>
      </c>
      <c r="M54" s="2">
        <v>3.86</v>
      </c>
      <c r="N54" s="2">
        <v>3.86</v>
      </c>
      <c r="O54" t="s">
        <v>53</v>
      </c>
      <c r="P54" t="s">
        <v>119</v>
      </c>
      <c r="Q54">
        <v>651818</v>
      </c>
      <c r="R54" t="s">
        <v>560</v>
      </c>
      <c r="S54" t="s">
        <v>336</v>
      </c>
      <c r="T54" t="s">
        <v>57</v>
      </c>
      <c r="U54" s="1">
        <v>44866</v>
      </c>
      <c r="W54" s="1">
        <v>45992</v>
      </c>
      <c r="X54">
        <v>1</v>
      </c>
      <c r="Y54" t="s">
        <v>58</v>
      </c>
      <c r="Z54" s="2">
        <v>0</v>
      </c>
      <c r="AA54">
        <v>0</v>
      </c>
      <c r="AB54" t="s">
        <v>264</v>
      </c>
      <c r="AC54" t="s">
        <v>61</v>
      </c>
      <c r="AD54">
        <v>0</v>
      </c>
      <c r="AE54" s="2">
        <v>0</v>
      </c>
      <c r="AF54" s="2">
        <v>0</v>
      </c>
      <c r="AG54" s="3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45957</v>
      </c>
      <c r="B55" t="s">
        <v>48</v>
      </c>
      <c r="C55">
        <v>649163</v>
      </c>
      <c r="D55">
        <v>2016611650</v>
      </c>
      <c r="E55" t="s">
        <v>564</v>
      </c>
      <c r="F55" t="s">
        <v>565</v>
      </c>
      <c r="G55" t="s">
        <v>51</v>
      </c>
      <c r="H55" t="s">
        <v>69</v>
      </c>
      <c r="I55" s="2">
        <v>66.42</v>
      </c>
      <c r="J55" t="s">
        <v>59</v>
      </c>
      <c r="K55" s="3">
        <v>0.15</v>
      </c>
      <c r="L55" s="2">
        <v>0</v>
      </c>
      <c r="M55" s="2">
        <v>9.9600000000000009</v>
      </c>
      <c r="N55" s="2">
        <v>9.9600000000000009</v>
      </c>
      <c r="O55" t="s">
        <v>53</v>
      </c>
      <c r="P55" t="s">
        <v>54</v>
      </c>
      <c r="Q55">
        <v>649793</v>
      </c>
      <c r="R55" t="s">
        <v>55</v>
      </c>
      <c r="S55" t="s">
        <v>566</v>
      </c>
      <c r="T55" t="s">
        <v>57</v>
      </c>
      <c r="U55" s="1">
        <v>44866</v>
      </c>
      <c r="W55" s="1">
        <v>45992</v>
      </c>
      <c r="X55">
        <v>1</v>
      </c>
      <c r="Y55" t="s">
        <v>58</v>
      </c>
      <c r="Z55" s="2">
        <v>0</v>
      </c>
      <c r="AA55">
        <v>0</v>
      </c>
      <c r="AB55" t="s">
        <v>264</v>
      </c>
      <c r="AC55" t="s">
        <v>61</v>
      </c>
      <c r="AD55">
        <v>0</v>
      </c>
      <c r="AE55" s="2">
        <v>0</v>
      </c>
      <c r="AF55" s="2">
        <v>0</v>
      </c>
      <c r="AG55" s="3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45957</v>
      </c>
      <c r="B56" t="s">
        <v>48</v>
      </c>
      <c r="C56">
        <v>649163</v>
      </c>
      <c r="D56">
        <v>2016956443</v>
      </c>
      <c r="E56" t="s">
        <v>715</v>
      </c>
      <c r="F56" t="s">
        <v>98</v>
      </c>
      <c r="G56" t="s">
        <v>51</v>
      </c>
      <c r="H56" t="s">
        <v>52</v>
      </c>
      <c r="I56" s="2">
        <v>67.31</v>
      </c>
      <c r="J56" t="s">
        <v>59</v>
      </c>
      <c r="K56" s="3">
        <v>0.15</v>
      </c>
      <c r="L56" s="2">
        <v>0</v>
      </c>
      <c r="M56" s="2">
        <v>10.1</v>
      </c>
      <c r="N56" s="2">
        <v>10.1</v>
      </c>
      <c r="O56" t="s">
        <v>53</v>
      </c>
      <c r="P56" t="s">
        <v>54</v>
      </c>
      <c r="Q56">
        <v>649793</v>
      </c>
      <c r="R56" t="s">
        <v>55</v>
      </c>
      <c r="S56" t="s">
        <v>566</v>
      </c>
      <c r="T56" t="s">
        <v>57</v>
      </c>
      <c r="U56" s="1">
        <v>44958</v>
      </c>
      <c r="W56" s="1">
        <v>45992</v>
      </c>
      <c r="X56">
        <v>1</v>
      </c>
      <c r="Y56" t="s">
        <v>58</v>
      </c>
      <c r="Z56" s="2">
        <v>0</v>
      </c>
      <c r="AA56">
        <v>0</v>
      </c>
      <c r="AB56" t="s">
        <v>264</v>
      </c>
      <c r="AC56" t="s">
        <v>61</v>
      </c>
      <c r="AD56">
        <v>0</v>
      </c>
      <c r="AE56" s="2">
        <v>0</v>
      </c>
      <c r="AF56" s="2">
        <v>0</v>
      </c>
      <c r="AG56" s="3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45957</v>
      </c>
      <c r="B57" t="s">
        <v>48</v>
      </c>
      <c r="C57">
        <v>649163</v>
      </c>
      <c r="D57">
        <v>2017327782</v>
      </c>
      <c r="E57" t="s">
        <v>716</v>
      </c>
      <c r="F57" t="s">
        <v>374</v>
      </c>
      <c r="G57" t="s">
        <v>51</v>
      </c>
      <c r="H57" t="s">
        <v>129</v>
      </c>
      <c r="I57" s="2">
        <v>42.88</v>
      </c>
      <c r="J57" t="s">
        <v>59</v>
      </c>
      <c r="K57" s="3">
        <v>0.15</v>
      </c>
      <c r="L57" s="2">
        <v>0</v>
      </c>
      <c r="M57" s="2">
        <v>6.43</v>
      </c>
      <c r="N57" s="2">
        <v>6.43</v>
      </c>
      <c r="O57" t="s">
        <v>53</v>
      </c>
      <c r="P57" t="s">
        <v>119</v>
      </c>
      <c r="Q57">
        <v>649793</v>
      </c>
      <c r="R57" t="s">
        <v>55</v>
      </c>
      <c r="S57" t="s">
        <v>566</v>
      </c>
      <c r="T57" t="s">
        <v>57</v>
      </c>
      <c r="U57" s="1">
        <v>44958</v>
      </c>
      <c r="W57" s="1">
        <v>45992</v>
      </c>
      <c r="X57">
        <v>1</v>
      </c>
      <c r="Y57" t="s">
        <v>58</v>
      </c>
      <c r="Z57" s="2">
        <v>0</v>
      </c>
      <c r="AA57">
        <v>0</v>
      </c>
      <c r="AB57" t="s">
        <v>264</v>
      </c>
      <c r="AC57" t="s">
        <v>61</v>
      </c>
      <c r="AD57">
        <v>0</v>
      </c>
      <c r="AE57" s="2">
        <v>0</v>
      </c>
      <c r="AF57" s="2">
        <v>0</v>
      </c>
      <c r="AG57" s="3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45957</v>
      </c>
      <c r="B58" t="s">
        <v>48</v>
      </c>
      <c r="C58">
        <v>649163</v>
      </c>
      <c r="D58">
        <v>2017333574</v>
      </c>
      <c r="E58" t="s">
        <v>569</v>
      </c>
      <c r="F58" t="s">
        <v>570</v>
      </c>
      <c r="G58" t="s">
        <v>51</v>
      </c>
      <c r="H58" t="s">
        <v>261</v>
      </c>
      <c r="I58" s="2">
        <v>96.96</v>
      </c>
      <c r="J58" t="s">
        <v>59</v>
      </c>
      <c r="K58" s="3">
        <v>0.15</v>
      </c>
      <c r="L58" s="2">
        <v>0</v>
      </c>
      <c r="M58" s="2">
        <v>14.54</v>
      </c>
      <c r="N58" s="2">
        <v>14.54</v>
      </c>
      <c r="O58" t="s">
        <v>53</v>
      </c>
      <c r="P58" t="s">
        <v>54</v>
      </c>
      <c r="Q58">
        <v>649793</v>
      </c>
      <c r="R58" t="s">
        <v>55</v>
      </c>
      <c r="S58" t="s">
        <v>566</v>
      </c>
      <c r="T58" t="s">
        <v>57</v>
      </c>
      <c r="U58" s="1">
        <v>44958</v>
      </c>
      <c r="W58" s="1">
        <v>45992</v>
      </c>
      <c r="X58">
        <v>1</v>
      </c>
      <c r="Y58" t="s">
        <v>58</v>
      </c>
      <c r="Z58" s="2">
        <v>0</v>
      </c>
      <c r="AA58">
        <v>0</v>
      </c>
      <c r="AB58" t="s">
        <v>264</v>
      </c>
      <c r="AC58" t="s">
        <v>61</v>
      </c>
      <c r="AD58">
        <v>0</v>
      </c>
      <c r="AE58" s="2">
        <v>0</v>
      </c>
      <c r="AF58" s="2">
        <v>0</v>
      </c>
      <c r="AG58" s="3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45957</v>
      </c>
      <c r="B59" t="s">
        <v>48</v>
      </c>
      <c r="C59">
        <v>649163</v>
      </c>
      <c r="D59">
        <v>2017340028</v>
      </c>
      <c r="E59" t="s">
        <v>484</v>
      </c>
      <c r="F59" t="s">
        <v>415</v>
      </c>
      <c r="G59" t="s">
        <v>51</v>
      </c>
      <c r="H59" t="s">
        <v>195</v>
      </c>
      <c r="I59" s="2">
        <v>51.46</v>
      </c>
      <c r="J59" t="s">
        <v>59</v>
      </c>
      <c r="K59" s="3">
        <v>0.15</v>
      </c>
      <c r="L59" s="2">
        <v>0</v>
      </c>
      <c r="M59" s="2">
        <v>7.72</v>
      </c>
      <c r="N59" s="2">
        <v>7.72</v>
      </c>
      <c r="O59" t="s">
        <v>53</v>
      </c>
      <c r="P59" t="s">
        <v>119</v>
      </c>
      <c r="Q59">
        <v>652037</v>
      </c>
      <c r="R59" t="s">
        <v>155</v>
      </c>
      <c r="S59" t="s">
        <v>156</v>
      </c>
      <c r="T59" t="s">
        <v>57</v>
      </c>
      <c r="U59" s="1">
        <v>44958</v>
      </c>
      <c r="W59" s="1">
        <v>45992</v>
      </c>
      <c r="X59">
        <v>1</v>
      </c>
      <c r="Y59" t="s">
        <v>58</v>
      </c>
      <c r="Z59" s="2">
        <v>0</v>
      </c>
      <c r="AA59">
        <v>0</v>
      </c>
      <c r="AB59" t="s">
        <v>264</v>
      </c>
      <c r="AC59" t="s">
        <v>61</v>
      </c>
      <c r="AD59">
        <v>0</v>
      </c>
      <c r="AE59" s="2">
        <v>0</v>
      </c>
      <c r="AF59" s="2">
        <v>0</v>
      </c>
      <c r="AG59" s="3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45957</v>
      </c>
      <c r="B60" t="s">
        <v>48</v>
      </c>
      <c r="C60">
        <v>649163</v>
      </c>
      <c r="D60">
        <v>2017351926</v>
      </c>
      <c r="E60" t="s">
        <v>571</v>
      </c>
      <c r="F60" t="s">
        <v>490</v>
      </c>
      <c r="G60" t="s">
        <v>51</v>
      </c>
      <c r="H60" t="s">
        <v>118</v>
      </c>
      <c r="I60" s="2">
        <v>24.61</v>
      </c>
      <c r="J60" t="s">
        <v>59</v>
      </c>
      <c r="K60" s="3">
        <v>0.15</v>
      </c>
      <c r="L60" s="2">
        <v>0</v>
      </c>
      <c r="M60" s="2">
        <v>3.69</v>
      </c>
      <c r="N60" s="2">
        <v>3.69</v>
      </c>
      <c r="O60" t="s">
        <v>53</v>
      </c>
      <c r="P60" t="s">
        <v>119</v>
      </c>
      <c r="Q60">
        <v>652037</v>
      </c>
      <c r="R60" t="s">
        <v>155</v>
      </c>
      <c r="S60" t="s">
        <v>156</v>
      </c>
      <c r="T60" t="s">
        <v>57</v>
      </c>
      <c r="U60" s="1">
        <v>44958</v>
      </c>
      <c r="W60" s="1">
        <v>45992</v>
      </c>
      <c r="X60">
        <v>1</v>
      </c>
      <c r="Y60" t="s">
        <v>58</v>
      </c>
      <c r="Z60" s="2">
        <v>0</v>
      </c>
      <c r="AA60">
        <v>0</v>
      </c>
      <c r="AB60" t="s">
        <v>264</v>
      </c>
      <c r="AC60" t="s">
        <v>61</v>
      </c>
      <c r="AD60">
        <v>0</v>
      </c>
      <c r="AE60" s="2">
        <v>0</v>
      </c>
      <c r="AF60" s="2">
        <v>0</v>
      </c>
      <c r="AG60" s="3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45957</v>
      </c>
      <c r="B61" t="s">
        <v>48</v>
      </c>
      <c r="C61">
        <v>649163</v>
      </c>
      <c r="D61">
        <v>2017355242</v>
      </c>
      <c r="E61" t="s">
        <v>717</v>
      </c>
      <c r="F61" t="s">
        <v>718</v>
      </c>
      <c r="G61" t="s">
        <v>51</v>
      </c>
      <c r="H61" t="s">
        <v>719</v>
      </c>
      <c r="I61" s="2">
        <v>166.17</v>
      </c>
      <c r="J61" t="s">
        <v>59</v>
      </c>
      <c r="K61" s="3">
        <v>0.15</v>
      </c>
      <c r="L61" s="2">
        <v>0</v>
      </c>
      <c r="M61" s="2">
        <v>24.93</v>
      </c>
      <c r="N61" s="2">
        <v>24.93</v>
      </c>
      <c r="O61" t="s">
        <v>53</v>
      </c>
      <c r="P61" t="s">
        <v>54</v>
      </c>
      <c r="Q61">
        <v>649164</v>
      </c>
      <c r="R61" t="s">
        <v>313</v>
      </c>
      <c r="S61" t="s">
        <v>314</v>
      </c>
      <c r="T61" t="s">
        <v>57</v>
      </c>
      <c r="U61" s="1">
        <v>44958</v>
      </c>
      <c r="W61" s="1">
        <v>45992</v>
      </c>
      <c r="X61">
        <v>1</v>
      </c>
      <c r="Y61" t="s">
        <v>58</v>
      </c>
      <c r="Z61" s="2">
        <v>0</v>
      </c>
      <c r="AA61">
        <v>0</v>
      </c>
      <c r="AB61" t="s">
        <v>264</v>
      </c>
      <c r="AC61" t="s">
        <v>61</v>
      </c>
      <c r="AD61">
        <v>0</v>
      </c>
      <c r="AE61" s="2">
        <v>0</v>
      </c>
      <c r="AF61" s="2">
        <v>0</v>
      </c>
      <c r="AG61" s="3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45957</v>
      </c>
      <c r="B62" t="s">
        <v>48</v>
      </c>
      <c r="C62">
        <v>649163</v>
      </c>
      <c r="D62">
        <v>2017416710</v>
      </c>
      <c r="E62" t="s">
        <v>722</v>
      </c>
      <c r="F62" t="s">
        <v>723</v>
      </c>
      <c r="G62" t="s">
        <v>51</v>
      </c>
      <c r="H62" t="s">
        <v>261</v>
      </c>
      <c r="I62" s="2">
        <v>86.35</v>
      </c>
      <c r="J62" t="s">
        <v>59</v>
      </c>
      <c r="K62" s="3">
        <v>0.15</v>
      </c>
      <c r="L62" s="2">
        <v>0</v>
      </c>
      <c r="M62" s="2">
        <v>12.95</v>
      </c>
      <c r="N62" s="2">
        <v>12.95</v>
      </c>
      <c r="O62" t="s">
        <v>53</v>
      </c>
      <c r="P62" t="s">
        <v>54</v>
      </c>
      <c r="Q62">
        <v>649793</v>
      </c>
      <c r="R62" t="s">
        <v>55</v>
      </c>
      <c r="S62" t="s">
        <v>566</v>
      </c>
      <c r="T62" t="s">
        <v>57</v>
      </c>
      <c r="U62" s="1">
        <v>44958</v>
      </c>
      <c r="W62" s="1">
        <v>45992</v>
      </c>
      <c r="X62">
        <v>1</v>
      </c>
      <c r="Y62" t="s">
        <v>58</v>
      </c>
      <c r="Z62" s="2">
        <v>0</v>
      </c>
      <c r="AA62">
        <v>0</v>
      </c>
      <c r="AB62" t="s">
        <v>264</v>
      </c>
      <c r="AC62" t="s">
        <v>61</v>
      </c>
      <c r="AD62">
        <v>0</v>
      </c>
      <c r="AE62" s="2">
        <v>0</v>
      </c>
      <c r="AF62" s="2">
        <v>0</v>
      </c>
      <c r="AG62" s="3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45957</v>
      </c>
      <c r="B63" t="s">
        <v>48</v>
      </c>
      <c r="C63">
        <v>649163</v>
      </c>
      <c r="D63">
        <v>2017416712</v>
      </c>
      <c r="E63" t="s">
        <v>722</v>
      </c>
      <c r="F63" t="s">
        <v>723</v>
      </c>
      <c r="G63" t="s">
        <v>51</v>
      </c>
      <c r="H63" t="s">
        <v>261</v>
      </c>
      <c r="I63" s="2">
        <v>25.73</v>
      </c>
      <c r="J63" t="s">
        <v>59</v>
      </c>
      <c r="K63" s="3">
        <v>0.15</v>
      </c>
      <c r="L63" s="2">
        <v>0</v>
      </c>
      <c r="M63" s="2">
        <v>3.86</v>
      </c>
      <c r="N63" s="2">
        <v>3.86</v>
      </c>
      <c r="O63" t="s">
        <v>53</v>
      </c>
      <c r="P63" t="s">
        <v>119</v>
      </c>
      <c r="Q63">
        <v>649793</v>
      </c>
      <c r="R63" t="s">
        <v>55</v>
      </c>
      <c r="S63" t="s">
        <v>566</v>
      </c>
      <c r="T63" t="s">
        <v>57</v>
      </c>
      <c r="U63" s="1">
        <v>44958</v>
      </c>
      <c r="W63" s="1">
        <v>45992</v>
      </c>
      <c r="X63">
        <v>1</v>
      </c>
      <c r="Y63" t="s">
        <v>58</v>
      </c>
      <c r="Z63" s="2">
        <v>0</v>
      </c>
      <c r="AA63">
        <v>0</v>
      </c>
      <c r="AB63" t="s">
        <v>264</v>
      </c>
      <c r="AC63" t="s">
        <v>61</v>
      </c>
      <c r="AD63">
        <v>0</v>
      </c>
      <c r="AE63" s="2">
        <v>0</v>
      </c>
      <c r="AF63" s="2">
        <v>0</v>
      </c>
      <c r="AG63" s="3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45957</v>
      </c>
      <c r="B64" t="s">
        <v>48</v>
      </c>
      <c r="C64">
        <v>649163</v>
      </c>
      <c r="D64">
        <v>2017420303</v>
      </c>
      <c r="E64" t="s">
        <v>724</v>
      </c>
      <c r="F64" t="s">
        <v>537</v>
      </c>
      <c r="G64" t="s">
        <v>51</v>
      </c>
      <c r="H64" t="s">
        <v>52</v>
      </c>
      <c r="I64" s="2">
        <v>37.880000000000003</v>
      </c>
      <c r="J64" t="s">
        <v>59</v>
      </c>
      <c r="K64" s="3">
        <v>0.15</v>
      </c>
      <c r="L64" s="2">
        <v>0</v>
      </c>
      <c r="M64" s="2">
        <v>5.68</v>
      </c>
      <c r="N64" s="2">
        <v>5.68</v>
      </c>
      <c r="O64" t="s">
        <v>53</v>
      </c>
      <c r="P64" t="s">
        <v>54</v>
      </c>
      <c r="Q64">
        <v>649793</v>
      </c>
      <c r="R64" t="s">
        <v>55</v>
      </c>
      <c r="S64" t="s">
        <v>566</v>
      </c>
      <c r="T64" t="s">
        <v>57</v>
      </c>
      <c r="U64" s="1">
        <v>44958</v>
      </c>
      <c r="W64" s="1">
        <v>45992</v>
      </c>
      <c r="X64">
        <v>1</v>
      </c>
      <c r="Y64" t="s">
        <v>58</v>
      </c>
      <c r="Z64" s="2">
        <v>0</v>
      </c>
      <c r="AA64">
        <v>0</v>
      </c>
      <c r="AB64" t="s">
        <v>264</v>
      </c>
      <c r="AC64" t="s">
        <v>61</v>
      </c>
      <c r="AD64">
        <v>0</v>
      </c>
      <c r="AE64" s="2">
        <v>0</v>
      </c>
      <c r="AF64" s="2">
        <v>0</v>
      </c>
      <c r="AG64" s="3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1">
        <v>45957</v>
      </c>
      <c r="B65" t="s">
        <v>48</v>
      </c>
      <c r="C65">
        <v>649163</v>
      </c>
      <c r="D65">
        <v>2017420304</v>
      </c>
      <c r="E65" t="s">
        <v>724</v>
      </c>
      <c r="F65" t="s">
        <v>537</v>
      </c>
      <c r="G65" t="s">
        <v>51</v>
      </c>
      <c r="H65" t="s">
        <v>52</v>
      </c>
      <c r="I65" s="2">
        <v>25.73</v>
      </c>
      <c r="J65" t="s">
        <v>59</v>
      </c>
      <c r="K65" s="3">
        <v>0.15</v>
      </c>
      <c r="L65" s="2">
        <v>0</v>
      </c>
      <c r="M65" s="2">
        <v>3.86</v>
      </c>
      <c r="N65" s="2">
        <v>3.86</v>
      </c>
      <c r="O65" t="s">
        <v>53</v>
      </c>
      <c r="P65" t="s">
        <v>119</v>
      </c>
      <c r="Q65">
        <v>649793</v>
      </c>
      <c r="R65" t="s">
        <v>55</v>
      </c>
      <c r="S65" t="s">
        <v>566</v>
      </c>
      <c r="T65" t="s">
        <v>57</v>
      </c>
      <c r="U65" s="1">
        <v>44958</v>
      </c>
      <c r="W65" s="1">
        <v>45992</v>
      </c>
      <c r="X65">
        <v>1</v>
      </c>
      <c r="Y65" t="s">
        <v>58</v>
      </c>
      <c r="Z65" s="2">
        <v>0</v>
      </c>
      <c r="AA65">
        <v>0</v>
      </c>
      <c r="AB65" t="s">
        <v>264</v>
      </c>
      <c r="AC65" t="s">
        <v>61</v>
      </c>
      <c r="AD65">
        <v>0</v>
      </c>
      <c r="AE65" s="2">
        <v>0</v>
      </c>
      <c r="AF65" s="2">
        <v>0</v>
      </c>
      <c r="AG65" s="3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1">
        <v>45957</v>
      </c>
      <c r="B66" t="s">
        <v>48</v>
      </c>
      <c r="C66">
        <v>649163</v>
      </c>
      <c r="D66">
        <v>2017521114</v>
      </c>
      <c r="E66" t="s">
        <v>725</v>
      </c>
      <c r="F66" t="s">
        <v>726</v>
      </c>
      <c r="G66" t="s">
        <v>51</v>
      </c>
      <c r="H66" t="s">
        <v>182</v>
      </c>
      <c r="I66" s="2">
        <v>35.04</v>
      </c>
      <c r="J66" t="s">
        <v>59</v>
      </c>
      <c r="K66" s="3">
        <v>0.15</v>
      </c>
      <c r="L66" s="2">
        <v>0</v>
      </c>
      <c r="M66" s="2">
        <v>5.26</v>
      </c>
      <c r="N66" s="2">
        <v>5.26</v>
      </c>
      <c r="O66" t="s">
        <v>53</v>
      </c>
      <c r="P66" t="s">
        <v>54</v>
      </c>
      <c r="Q66">
        <v>649793</v>
      </c>
      <c r="R66" t="s">
        <v>55</v>
      </c>
      <c r="S66" t="s">
        <v>566</v>
      </c>
      <c r="T66" t="s">
        <v>57</v>
      </c>
      <c r="U66" s="1">
        <v>44958</v>
      </c>
      <c r="W66" s="1">
        <v>45992</v>
      </c>
      <c r="X66">
        <v>1</v>
      </c>
      <c r="Y66" t="s">
        <v>58</v>
      </c>
      <c r="Z66" s="2">
        <v>0</v>
      </c>
      <c r="AA66">
        <v>0</v>
      </c>
      <c r="AB66" t="s">
        <v>264</v>
      </c>
      <c r="AC66" t="s">
        <v>61</v>
      </c>
      <c r="AD66">
        <v>0</v>
      </c>
      <c r="AE66" s="2">
        <v>0</v>
      </c>
      <c r="AF66" s="2">
        <v>0</v>
      </c>
      <c r="AG66" s="3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1">
        <v>45957</v>
      </c>
      <c r="B67" t="s">
        <v>48</v>
      </c>
      <c r="C67">
        <v>649163</v>
      </c>
      <c r="D67">
        <v>2018036451</v>
      </c>
      <c r="E67" t="s">
        <v>695</v>
      </c>
      <c r="F67" t="s">
        <v>727</v>
      </c>
      <c r="G67" t="s">
        <v>51</v>
      </c>
      <c r="H67" t="s">
        <v>118</v>
      </c>
      <c r="I67" s="2">
        <v>24.61</v>
      </c>
      <c r="J67" t="s">
        <v>59</v>
      </c>
      <c r="K67" s="3">
        <v>0.15</v>
      </c>
      <c r="L67" s="2">
        <v>0</v>
      </c>
      <c r="M67" s="2">
        <v>3.69</v>
      </c>
      <c r="N67" s="2">
        <v>3.69</v>
      </c>
      <c r="O67" t="s">
        <v>53</v>
      </c>
      <c r="P67" t="s">
        <v>119</v>
      </c>
      <c r="Q67">
        <v>652037</v>
      </c>
      <c r="R67" t="s">
        <v>155</v>
      </c>
      <c r="S67" t="s">
        <v>156</v>
      </c>
      <c r="T67" t="s">
        <v>57</v>
      </c>
      <c r="U67" s="1">
        <v>45017</v>
      </c>
      <c r="W67" s="1">
        <v>45992</v>
      </c>
      <c r="X67">
        <v>1</v>
      </c>
      <c r="Y67" t="s">
        <v>58</v>
      </c>
      <c r="Z67" s="2">
        <v>0</v>
      </c>
      <c r="AA67">
        <v>0</v>
      </c>
      <c r="AB67" t="s">
        <v>264</v>
      </c>
      <c r="AC67" t="s">
        <v>61</v>
      </c>
      <c r="AD67">
        <v>0</v>
      </c>
      <c r="AE67" s="2">
        <v>0</v>
      </c>
      <c r="AF67" s="2">
        <v>0</v>
      </c>
      <c r="AG67" s="3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45957</v>
      </c>
      <c r="B68" t="s">
        <v>48</v>
      </c>
      <c r="C68">
        <v>649163</v>
      </c>
      <c r="D68">
        <v>2018107017</v>
      </c>
      <c r="E68" t="s">
        <v>728</v>
      </c>
      <c r="F68" t="s">
        <v>729</v>
      </c>
      <c r="G68" t="s">
        <v>51</v>
      </c>
      <c r="H68" t="s">
        <v>81</v>
      </c>
      <c r="I68" s="2">
        <v>35.369999999999997</v>
      </c>
      <c r="J68" t="s">
        <v>59</v>
      </c>
      <c r="K68" s="3">
        <v>0.15</v>
      </c>
      <c r="L68" s="2">
        <v>0</v>
      </c>
      <c r="M68" s="2">
        <v>5.31</v>
      </c>
      <c r="N68" s="2">
        <v>5.31</v>
      </c>
      <c r="O68" t="s">
        <v>53</v>
      </c>
      <c r="P68" t="s">
        <v>54</v>
      </c>
      <c r="Q68">
        <v>673059</v>
      </c>
      <c r="R68" t="s">
        <v>55</v>
      </c>
      <c r="S68" t="s">
        <v>56</v>
      </c>
      <c r="T68" t="s">
        <v>57</v>
      </c>
      <c r="U68" s="1">
        <v>45012</v>
      </c>
      <c r="W68" s="1">
        <v>45988</v>
      </c>
      <c r="X68">
        <v>1</v>
      </c>
      <c r="Y68" t="s">
        <v>58</v>
      </c>
      <c r="Z68" s="2">
        <v>0</v>
      </c>
      <c r="AA68">
        <v>0</v>
      </c>
      <c r="AB68" t="s">
        <v>264</v>
      </c>
      <c r="AC68" t="s">
        <v>61</v>
      </c>
      <c r="AD68">
        <v>0</v>
      </c>
      <c r="AE68" s="2">
        <v>0</v>
      </c>
      <c r="AF68" s="2">
        <v>0</v>
      </c>
      <c r="AG68" s="3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1">
        <v>45957</v>
      </c>
      <c r="B69" t="s">
        <v>48</v>
      </c>
      <c r="C69">
        <v>649163</v>
      </c>
      <c r="D69">
        <v>2018214085</v>
      </c>
      <c r="E69" t="s">
        <v>730</v>
      </c>
      <c r="F69" t="s">
        <v>731</v>
      </c>
      <c r="G69" t="s">
        <v>51</v>
      </c>
      <c r="H69" t="s">
        <v>118</v>
      </c>
      <c r="I69" s="2">
        <v>24.61</v>
      </c>
      <c r="J69" t="s">
        <v>59</v>
      </c>
      <c r="K69" s="3">
        <v>0.15</v>
      </c>
      <c r="L69" s="2">
        <v>0</v>
      </c>
      <c r="M69" s="2">
        <v>3.69</v>
      </c>
      <c r="N69" s="2">
        <v>3.69</v>
      </c>
      <c r="O69" t="s">
        <v>53</v>
      </c>
      <c r="P69" t="s">
        <v>119</v>
      </c>
      <c r="Q69">
        <v>652037</v>
      </c>
      <c r="R69" t="s">
        <v>155</v>
      </c>
      <c r="S69" t="s">
        <v>156</v>
      </c>
      <c r="T69" t="s">
        <v>57</v>
      </c>
      <c r="U69" s="1">
        <v>45017</v>
      </c>
      <c r="W69" s="1">
        <v>45992</v>
      </c>
      <c r="X69">
        <v>1</v>
      </c>
      <c r="Y69" t="s">
        <v>58</v>
      </c>
      <c r="Z69" s="2">
        <v>0</v>
      </c>
      <c r="AA69">
        <v>0</v>
      </c>
      <c r="AB69" t="s">
        <v>264</v>
      </c>
      <c r="AC69" t="s">
        <v>61</v>
      </c>
      <c r="AD69">
        <v>0</v>
      </c>
      <c r="AE69" s="2">
        <v>0</v>
      </c>
      <c r="AF69" s="2">
        <v>0</v>
      </c>
      <c r="AG69" s="3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1">
        <v>45957</v>
      </c>
      <c r="B70" t="s">
        <v>48</v>
      </c>
      <c r="C70">
        <v>649163</v>
      </c>
      <c r="D70">
        <v>2018617831</v>
      </c>
      <c r="E70" t="s">
        <v>56</v>
      </c>
      <c r="F70" t="s">
        <v>732</v>
      </c>
      <c r="G70" t="s">
        <v>51</v>
      </c>
      <c r="I70" s="2">
        <v>24.61</v>
      </c>
      <c r="J70" t="s">
        <v>59</v>
      </c>
      <c r="K70" s="3">
        <v>0.15</v>
      </c>
      <c r="L70" s="2">
        <v>0</v>
      </c>
      <c r="M70" s="2">
        <v>3.69</v>
      </c>
      <c r="N70" s="2">
        <v>3.69</v>
      </c>
      <c r="O70" t="s">
        <v>53</v>
      </c>
      <c r="P70" t="s">
        <v>119</v>
      </c>
      <c r="Q70">
        <v>652037</v>
      </c>
      <c r="R70" t="s">
        <v>155</v>
      </c>
      <c r="S70" t="s">
        <v>156</v>
      </c>
      <c r="T70" t="s">
        <v>57</v>
      </c>
      <c r="U70" s="1">
        <v>45078</v>
      </c>
      <c r="W70" s="1">
        <v>45992</v>
      </c>
      <c r="X70">
        <v>1</v>
      </c>
      <c r="Y70" t="s">
        <v>58</v>
      </c>
      <c r="Z70" s="2">
        <v>0</v>
      </c>
      <c r="AA70">
        <v>0</v>
      </c>
      <c r="AB70" t="s">
        <v>264</v>
      </c>
      <c r="AC70" t="s">
        <v>61</v>
      </c>
      <c r="AD70">
        <v>0</v>
      </c>
      <c r="AE70" s="2">
        <v>0</v>
      </c>
      <c r="AF70" s="2">
        <v>0</v>
      </c>
      <c r="AG70" s="3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45957</v>
      </c>
      <c r="B71" t="s">
        <v>48</v>
      </c>
      <c r="C71">
        <v>649163</v>
      </c>
      <c r="D71">
        <v>2018621162</v>
      </c>
      <c r="E71" t="s">
        <v>267</v>
      </c>
      <c r="F71" t="s">
        <v>268</v>
      </c>
      <c r="G71" t="s">
        <v>51</v>
      </c>
      <c r="H71" t="s">
        <v>129</v>
      </c>
      <c r="I71" s="2">
        <v>44</v>
      </c>
      <c r="J71" t="s">
        <v>59</v>
      </c>
      <c r="K71" s="3">
        <v>0.15</v>
      </c>
      <c r="L71" s="2">
        <v>0</v>
      </c>
      <c r="M71" s="2">
        <v>6.6</v>
      </c>
      <c r="N71" s="2">
        <v>6.6</v>
      </c>
      <c r="O71" t="s">
        <v>53</v>
      </c>
      <c r="P71" t="s">
        <v>54</v>
      </c>
      <c r="Q71">
        <v>673059</v>
      </c>
      <c r="R71" t="s">
        <v>55</v>
      </c>
      <c r="S71" t="s">
        <v>56</v>
      </c>
      <c r="T71" t="s">
        <v>57</v>
      </c>
      <c r="U71" s="1">
        <v>45078</v>
      </c>
      <c r="W71" s="1">
        <v>45992</v>
      </c>
      <c r="X71">
        <v>1</v>
      </c>
      <c r="Y71" t="s">
        <v>58</v>
      </c>
      <c r="Z71" s="2">
        <v>0</v>
      </c>
      <c r="AA71">
        <v>0</v>
      </c>
      <c r="AB71" t="s">
        <v>264</v>
      </c>
      <c r="AC71" t="s">
        <v>61</v>
      </c>
      <c r="AD71">
        <v>0</v>
      </c>
      <c r="AE71" s="2">
        <v>0</v>
      </c>
      <c r="AF71" s="2">
        <v>0</v>
      </c>
      <c r="AG71" s="3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1">
        <v>45957</v>
      </c>
      <c r="B72" t="s">
        <v>48</v>
      </c>
      <c r="C72">
        <v>649163</v>
      </c>
      <c r="D72">
        <v>2018717243</v>
      </c>
      <c r="E72" t="s">
        <v>733</v>
      </c>
      <c r="F72" t="s">
        <v>167</v>
      </c>
      <c r="G72" t="s">
        <v>51</v>
      </c>
      <c r="I72" s="2">
        <v>24.61</v>
      </c>
      <c r="J72" t="s">
        <v>59</v>
      </c>
      <c r="K72" s="3">
        <v>0.15</v>
      </c>
      <c r="L72" s="2">
        <v>0</v>
      </c>
      <c r="M72" s="2">
        <v>3.69</v>
      </c>
      <c r="N72" s="2">
        <v>3.69</v>
      </c>
      <c r="O72" t="s">
        <v>53</v>
      </c>
      <c r="P72" t="s">
        <v>119</v>
      </c>
      <c r="Q72">
        <v>652037</v>
      </c>
      <c r="R72" t="s">
        <v>155</v>
      </c>
      <c r="S72" t="s">
        <v>156</v>
      </c>
      <c r="T72" t="s">
        <v>57</v>
      </c>
      <c r="U72" s="1">
        <v>45078</v>
      </c>
      <c r="W72" s="1">
        <v>45992</v>
      </c>
      <c r="X72">
        <v>1</v>
      </c>
      <c r="Y72" t="s">
        <v>58</v>
      </c>
      <c r="Z72" s="2">
        <v>0</v>
      </c>
      <c r="AA72">
        <v>0</v>
      </c>
      <c r="AB72" t="s">
        <v>264</v>
      </c>
      <c r="AC72" t="s">
        <v>61</v>
      </c>
      <c r="AD72">
        <v>0</v>
      </c>
      <c r="AE72" s="2">
        <v>0</v>
      </c>
      <c r="AF72" s="2">
        <v>0</v>
      </c>
      <c r="AG72" s="3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1">
        <v>45957</v>
      </c>
      <c r="B73" t="s">
        <v>48</v>
      </c>
      <c r="C73">
        <v>649163</v>
      </c>
      <c r="D73">
        <v>2019662568</v>
      </c>
      <c r="E73" t="s">
        <v>737</v>
      </c>
      <c r="F73" t="s">
        <v>738</v>
      </c>
      <c r="G73" t="s">
        <v>51</v>
      </c>
      <c r="H73" t="s">
        <v>190</v>
      </c>
      <c r="I73" s="2">
        <v>82.76</v>
      </c>
      <c r="J73" t="s">
        <v>59</v>
      </c>
      <c r="K73" s="3">
        <v>0.15</v>
      </c>
      <c r="L73" s="2">
        <v>0</v>
      </c>
      <c r="M73" s="2">
        <v>12.41</v>
      </c>
      <c r="N73" s="2">
        <v>12.41</v>
      </c>
      <c r="O73" t="s">
        <v>53</v>
      </c>
      <c r="P73" t="s">
        <v>54</v>
      </c>
      <c r="Q73">
        <v>673059</v>
      </c>
      <c r="R73" t="s">
        <v>55</v>
      </c>
      <c r="S73" t="s">
        <v>56</v>
      </c>
      <c r="T73" t="s">
        <v>57</v>
      </c>
      <c r="U73" s="1">
        <v>45170</v>
      </c>
      <c r="W73" s="1">
        <v>45992</v>
      </c>
      <c r="X73">
        <v>1</v>
      </c>
      <c r="Y73" t="s">
        <v>58</v>
      </c>
      <c r="Z73" s="2">
        <v>0</v>
      </c>
      <c r="AA73">
        <v>0</v>
      </c>
      <c r="AB73" t="s">
        <v>264</v>
      </c>
      <c r="AC73" t="s">
        <v>61</v>
      </c>
      <c r="AD73">
        <v>0</v>
      </c>
      <c r="AE73" s="2">
        <v>0</v>
      </c>
      <c r="AF73" s="2">
        <v>0</v>
      </c>
      <c r="AG73" s="3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1">
        <v>45957</v>
      </c>
      <c r="B74" t="s">
        <v>48</v>
      </c>
      <c r="C74">
        <v>649163</v>
      </c>
      <c r="D74">
        <v>2019690812</v>
      </c>
      <c r="E74" t="s">
        <v>658</v>
      </c>
      <c r="F74" t="s">
        <v>366</v>
      </c>
      <c r="G74" t="s">
        <v>51</v>
      </c>
      <c r="H74" t="s">
        <v>118</v>
      </c>
      <c r="I74" s="2">
        <v>24.61</v>
      </c>
      <c r="J74" t="s">
        <v>59</v>
      </c>
      <c r="K74" s="3">
        <v>0.15</v>
      </c>
      <c r="L74" s="2">
        <v>0</v>
      </c>
      <c r="M74" s="2">
        <v>3.69</v>
      </c>
      <c r="N74" s="2">
        <v>3.69</v>
      </c>
      <c r="O74" t="s">
        <v>53</v>
      </c>
      <c r="P74" t="s">
        <v>119</v>
      </c>
      <c r="Q74">
        <v>652037</v>
      </c>
      <c r="R74" t="s">
        <v>155</v>
      </c>
      <c r="S74" t="s">
        <v>156</v>
      </c>
      <c r="T74" t="s">
        <v>57</v>
      </c>
      <c r="U74" s="1">
        <v>45170</v>
      </c>
      <c r="W74" s="1">
        <v>45992</v>
      </c>
      <c r="X74">
        <v>1</v>
      </c>
      <c r="Y74" t="s">
        <v>58</v>
      </c>
      <c r="Z74" s="2">
        <v>0</v>
      </c>
      <c r="AA74">
        <v>0</v>
      </c>
      <c r="AB74" t="s">
        <v>264</v>
      </c>
      <c r="AC74" t="s">
        <v>61</v>
      </c>
      <c r="AD74">
        <v>0</v>
      </c>
      <c r="AE74" s="2">
        <v>0</v>
      </c>
      <c r="AF74" s="2">
        <v>0</v>
      </c>
      <c r="AG74" s="3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1">
        <v>45957</v>
      </c>
      <c r="B75" t="s">
        <v>48</v>
      </c>
      <c r="C75">
        <v>649163</v>
      </c>
      <c r="D75">
        <v>2020160887</v>
      </c>
      <c r="E75" t="s">
        <v>739</v>
      </c>
      <c r="F75" t="s">
        <v>740</v>
      </c>
      <c r="G75" t="s">
        <v>51</v>
      </c>
      <c r="H75" t="s">
        <v>129</v>
      </c>
      <c r="I75" s="2">
        <v>122.88</v>
      </c>
      <c r="J75" t="s">
        <v>59</v>
      </c>
      <c r="K75" s="3">
        <v>0.15</v>
      </c>
      <c r="L75" s="2">
        <v>0</v>
      </c>
      <c r="M75" s="2">
        <v>18.43</v>
      </c>
      <c r="N75" s="2">
        <v>18.43</v>
      </c>
      <c r="O75" t="s">
        <v>53</v>
      </c>
      <c r="P75" t="s">
        <v>54</v>
      </c>
      <c r="Q75">
        <v>673059</v>
      </c>
      <c r="R75" t="s">
        <v>55</v>
      </c>
      <c r="S75" t="s">
        <v>56</v>
      </c>
      <c r="T75" t="s">
        <v>57</v>
      </c>
      <c r="U75" s="1">
        <v>45231</v>
      </c>
      <c r="W75" s="1">
        <v>45992</v>
      </c>
      <c r="X75">
        <v>1</v>
      </c>
      <c r="Y75" t="s">
        <v>58</v>
      </c>
      <c r="Z75" s="2">
        <v>0</v>
      </c>
      <c r="AA75">
        <v>0</v>
      </c>
      <c r="AB75" t="s">
        <v>264</v>
      </c>
      <c r="AC75" t="s">
        <v>61</v>
      </c>
      <c r="AD75">
        <v>0</v>
      </c>
      <c r="AE75" s="2">
        <v>0</v>
      </c>
      <c r="AF75" s="2">
        <v>0</v>
      </c>
      <c r="AG75" s="3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45957</v>
      </c>
      <c r="B76" t="s">
        <v>48</v>
      </c>
      <c r="C76">
        <v>649163</v>
      </c>
      <c r="D76">
        <v>2020393564</v>
      </c>
      <c r="E76" t="s">
        <v>486</v>
      </c>
      <c r="F76" t="s">
        <v>487</v>
      </c>
      <c r="G76" t="s">
        <v>51</v>
      </c>
      <c r="H76" t="s">
        <v>276</v>
      </c>
      <c r="I76" s="2">
        <v>42.88</v>
      </c>
      <c r="J76" t="s">
        <v>59</v>
      </c>
      <c r="K76" s="3">
        <v>0.15</v>
      </c>
      <c r="L76" s="2">
        <v>0</v>
      </c>
      <c r="M76" s="2">
        <v>6.43</v>
      </c>
      <c r="N76" s="2">
        <v>6.43</v>
      </c>
      <c r="O76" t="s">
        <v>53</v>
      </c>
      <c r="P76" t="s">
        <v>119</v>
      </c>
      <c r="Q76">
        <v>673059</v>
      </c>
      <c r="R76" t="s">
        <v>55</v>
      </c>
      <c r="S76" t="s">
        <v>56</v>
      </c>
      <c r="T76" t="s">
        <v>57</v>
      </c>
      <c r="U76" s="1">
        <v>45231</v>
      </c>
      <c r="W76" s="1">
        <v>45992</v>
      </c>
      <c r="X76">
        <v>1</v>
      </c>
      <c r="Y76" t="s">
        <v>58</v>
      </c>
      <c r="Z76" s="2">
        <v>0</v>
      </c>
      <c r="AA76">
        <v>0</v>
      </c>
      <c r="AB76" t="s">
        <v>264</v>
      </c>
      <c r="AC76" t="s">
        <v>61</v>
      </c>
      <c r="AD76">
        <v>0</v>
      </c>
      <c r="AE76" s="2">
        <v>0</v>
      </c>
      <c r="AF76" s="2">
        <v>0</v>
      </c>
      <c r="AG76" s="3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1">
        <v>45957</v>
      </c>
      <c r="B77" t="s">
        <v>48</v>
      </c>
      <c r="C77">
        <v>649163</v>
      </c>
      <c r="D77">
        <v>2021137941</v>
      </c>
      <c r="E77" t="s">
        <v>745</v>
      </c>
      <c r="F77" t="s">
        <v>746</v>
      </c>
      <c r="G77" t="s">
        <v>51</v>
      </c>
      <c r="H77" t="s">
        <v>195</v>
      </c>
      <c r="I77" s="2">
        <v>25.73</v>
      </c>
      <c r="J77" t="s">
        <v>59</v>
      </c>
      <c r="K77" s="3">
        <v>0.15</v>
      </c>
      <c r="L77" s="2">
        <v>0</v>
      </c>
      <c r="M77" s="2">
        <v>3.86</v>
      </c>
      <c r="N77" s="2">
        <v>3.86</v>
      </c>
      <c r="O77" t="s">
        <v>53</v>
      </c>
      <c r="P77" t="s">
        <v>119</v>
      </c>
      <c r="Q77">
        <v>649164</v>
      </c>
      <c r="R77" t="s">
        <v>313</v>
      </c>
      <c r="S77" t="s">
        <v>314</v>
      </c>
      <c r="T77" t="s">
        <v>57</v>
      </c>
      <c r="U77" s="1">
        <v>45323</v>
      </c>
      <c r="W77" s="1">
        <v>45992</v>
      </c>
      <c r="X77">
        <v>1</v>
      </c>
      <c r="Y77" t="s">
        <v>58</v>
      </c>
      <c r="Z77" s="2">
        <v>0</v>
      </c>
      <c r="AA77">
        <v>0</v>
      </c>
      <c r="AB77" t="s">
        <v>264</v>
      </c>
      <c r="AC77" t="s">
        <v>61</v>
      </c>
      <c r="AD77">
        <v>0</v>
      </c>
      <c r="AE77" s="2">
        <v>0</v>
      </c>
      <c r="AF77" s="2">
        <v>0</v>
      </c>
      <c r="AG77" s="3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45957</v>
      </c>
      <c r="B78" t="s">
        <v>48</v>
      </c>
      <c r="C78">
        <v>649163</v>
      </c>
      <c r="D78">
        <v>2021234695</v>
      </c>
      <c r="E78" t="s">
        <v>747</v>
      </c>
      <c r="F78" t="s">
        <v>748</v>
      </c>
      <c r="G78" t="s">
        <v>51</v>
      </c>
      <c r="H78" t="s">
        <v>563</v>
      </c>
      <c r="I78" s="2">
        <v>46.72</v>
      </c>
      <c r="J78" t="s">
        <v>59</v>
      </c>
      <c r="K78" s="3">
        <v>0.15</v>
      </c>
      <c r="L78" s="2">
        <v>0</v>
      </c>
      <c r="M78" s="2">
        <v>7.01</v>
      </c>
      <c r="N78" s="2">
        <v>7.01</v>
      </c>
      <c r="O78" t="s">
        <v>53</v>
      </c>
      <c r="P78" t="s">
        <v>54</v>
      </c>
      <c r="Q78">
        <v>651818</v>
      </c>
      <c r="R78" t="s">
        <v>560</v>
      </c>
      <c r="S78" t="s">
        <v>336</v>
      </c>
      <c r="T78" t="s">
        <v>57</v>
      </c>
      <c r="U78" s="1">
        <v>45290</v>
      </c>
      <c r="W78" s="1">
        <v>45991</v>
      </c>
      <c r="X78">
        <v>1</v>
      </c>
      <c r="Y78" t="s">
        <v>58</v>
      </c>
      <c r="Z78" s="2">
        <v>0</v>
      </c>
      <c r="AA78">
        <v>0</v>
      </c>
      <c r="AB78" t="s">
        <v>264</v>
      </c>
      <c r="AC78" t="s">
        <v>61</v>
      </c>
      <c r="AD78">
        <v>0</v>
      </c>
      <c r="AE78" s="2">
        <v>0</v>
      </c>
      <c r="AF78" s="2">
        <v>0</v>
      </c>
      <c r="AG78" s="3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45957</v>
      </c>
      <c r="B79" t="s">
        <v>48</v>
      </c>
      <c r="C79">
        <v>649163</v>
      </c>
      <c r="D79">
        <v>2021427319</v>
      </c>
      <c r="E79" t="s">
        <v>575</v>
      </c>
      <c r="F79" t="s">
        <v>103</v>
      </c>
      <c r="G79" t="s">
        <v>51</v>
      </c>
      <c r="H79" t="s">
        <v>261</v>
      </c>
      <c r="I79" s="2">
        <v>53.13</v>
      </c>
      <c r="J79" t="s">
        <v>59</v>
      </c>
      <c r="K79" s="3">
        <v>0.15</v>
      </c>
      <c r="L79" s="2">
        <v>0</v>
      </c>
      <c r="M79" s="2">
        <v>7.97</v>
      </c>
      <c r="N79" s="2">
        <v>7.97</v>
      </c>
      <c r="O79" t="s">
        <v>53</v>
      </c>
      <c r="P79" t="s">
        <v>54</v>
      </c>
      <c r="Q79">
        <v>673059</v>
      </c>
      <c r="R79" t="s">
        <v>55</v>
      </c>
      <c r="S79" t="s">
        <v>56</v>
      </c>
      <c r="T79" t="s">
        <v>57</v>
      </c>
      <c r="U79" s="1">
        <v>45351</v>
      </c>
      <c r="W79" s="1">
        <v>45990</v>
      </c>
      <c r="X79">
        <v>1</v>
      </c>
      <c r="Y79" t="s">
        <v>58</v>
      </c>
      <c r="Z79" s="2">
        <v>0</v>
      </c>
      <c r="AA79">
        <v>0</v>
      </c>
      <c r="AB79" t="s">
        <v>264</v>
      </c>
      <c r="AC79" t="s">
        <v>61</v>
      </c>
      <c r="AD79">
        <v>0</v>
      </c>
      <c r="AE79" s="2">
        <v>0</v>
      </c>
      <c r="AF79" s="2">
        <v>0</v>
      </c>
      <c r="AG79" s="3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45957</v>
      </c>
      <c r="B80" t="s">
        <v>48</v>
      </c>
      <c r="C80">
        <v>649163</v>
      </c>
      <c r="D80">
        <v>2021537049</v>
      </c>
      <c r="E80" t="s">
        <v>749</v>
      </c>
      <c r="F80" t="s">
        <v>415</v>
      </c>
      <c r="G80" t="s">
        <v>51</v>
      </c>
      <c r="H80" t="s">
        <v>247</v>
      </c>
      <c r="I80" s="2">
        <v>46.78</v>
      </c>
      <c r="J80" t="s">
        <v>59</v>
      </c>
      <c r="K80" s="3">
        <v>0.15</v>
      </c>
      <c r="L80" s="2">
        <v>0</v>
      </c>
      <c r="M80" s="2">
        <v>7.02</v>
      </c>
      <c r="N80" s="2">
        <v>7.02</v>
      </c>
      <c r="O80" t="s">
        <v>53</v>
      </c>
      <c r="P80" t="s">
        <v>119</v>
      </c>
      <c r="Q80">
        <v>673059</v>
      </c>
      <c r="R80" t="s">
        <v>55</v>
      </c>
      <c r="S80" t="s">
        <v>56</v>
      </c>
      <c r="T80" t="s">
        <v>57</v>
      </c>
      <c r="U80" s="1">
        <v>45323</v>
      </c>
      <c r="W80" s="1">
        <v>45992</v>
      </c>
      <c r="X80">
        <v>1</v>
      </c>
      <c r="Y80" t="s">
        <v>58</v>
      </c>
      <c r="Z80" s="2">
        <v>0</v>
      </c>
      <c r="AA80">
        <v>0</v>
      </c>
      <c r="AB80" t="s">
        <v>264</v>
      </c>
      <c r="AC80" t="s">
        <v>61</v>
      </c>
      <c r="AD80">
        <v>0</v>
      </c>
      <c r="AE80" s="2">
        <v>0</v>
      </c>
      <c r="AF80" s="2">
        <v>0</v>
      </c>
      <c r="AG80" s="3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45957</v>
      </c>
      <c r="B81" t="s">
        <v>48</v>
      </c>
      <c r="C81">
        <v>649163</v>
      </c>
      <c r="D81">
        <v>2022351916</v>
      </c>
      <c r="E81" t="s">
        <v>752</v>
      </c>
      <c r="F81" t="s">
        <v>106</v>
      </c>
      <c r="G81" t="s">
        <v>51</v>
      </c>
      <c r="H81" t="s">
        <v>69</v>
      </c>
      <c r="I81" s="2">
        <v>25.73</v>
      </c>
      <c r="J81" t="s">
        <v>59</v>
      </c>
      <c r="K81" s="3">
        <v>0.15</v>
      </c>
      <c r="L81" s="2">
        <v>0</v>
      </c>
      <c r="M81" s="2">
        <v>3.86</v>
      </c>
      <c r="N81" s="2">
        <v>3.86</v>
      </c>
      <c r="O81" t="s">
        <v>53</v>
      </c>
      <c r="P81" t="s">
        <v>119</v>
      </c>
      <c r="Q81">
        <v>673059</v>
      </c>
      <c r="R81" t="s">
        <v>55</v>
      </c>
      <c r="S81" t="s">
        <v>56</v>
      </c>
      <c r="T81" t="s">
        <v>57</v>
      </c>
      <c r="U81" s="1">
        <v>45383</v>
      </c>
      <c r="W81" s="1">
        <v>45992</v>
      </c>
      <c r="X81">
        <v>1</v>
      </c>
      <c r="Y81" t="s">
        <v>58</v>
      </c>
      <c r="Z81" s="2">
        <v>0</v>
      </c>
      <c r="AA81">
        <v>0</v>
      </c>
      <c r="AB81" t="s">
        <v>264</v>
      </c>
      <c r="AC81" t="s">
        <v>61</v>
      </c>
      <c r="AD81">
        <v>0</v>
      </c>
      <c r="AE81" s="2">
        <v>0</v>
      </c>
      <c r="AF81" s="2">
        <v>0</v>
      </c>
      <c r="AG81" s="3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45957</v>
      </c>
      <c r="B82" t="s">
        <v>48</v>
      </c>
      <c r="C82">
        <v>649163</v>
      </c>
      <c r="D82">
        <v>2022351917</v>
      </c>
      <c r="E82" t="s">
        <v>752</v>
      </c>
      <c r="F82" t="s">
        <v>106</v>
      </c>
      <c r="G82" t="s">
        <v>51</v>
      </c>
      <c r="H82" t="s">
        <v>69</v>
      </c>
      <c r="I82" s="2">
        <v>81.150000000000006</v>
      </c>
      <c r="J82" t="s">
        <v>59</v>
      </c>
      <c r="K82" s="3">
        <v>0.15</v>
      </c>
      <c r="L82" s="2">
        <v>0</v>
      </c>
      <c r="M82" s="2">
        <v>12.17</v>
      </c>
      <c r="N82" s="2">
        <v>12.17</v>
      </c>
      <c r="O82" t="s">
        <v>53</v>
      </c>
      <c r="P82" t="s">
        <v>54</v>
      </c>
      <c r="Q82">
        <v>673059</v>
      </c>
      <c r="R82" t="s">
        <v>55</v>
      </c>
      <c r="S82" t="s">
        <v>56</v>
      </c>
      <c r="T82" t="s">
        <v>57</v>
      </c>
      <c r="U82" s="1">
        <v>45383</v>
      </c>
      <c r="W82" s="1">
        <v>45992</v>
      </c>
      <c r="X82">
        <v>1</v>
      </c>
      <c r="Y82" t="s">
        <v>58</v>
      </c>
      <c r="Z82" s="2">
        <v>0</v>
      </c>
      <c r="AA82">
        <v>0</v>
      </c>
      <c r="AB82" t="s">
        <v>264</v>
      </c>
      <c r="AC82" t="s">
        <v>61</v>
      </c>
      <c r="AD82">
        <v>0</v>
      </c>
      <c r="AE82" s="2">
        <v>0</v>
      </c>
      <c r="AF82" s="2">
        <v>0</v>
      </c>
      <c r="AG82" s="3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1">
        <v>45957</v>
      </c>
      <c r="B83" t="s">
        <v>48</v>
      </c>
      <c r="C83">
        <v>649163</v>
      </c>
      <c r="D83">
        <v>2022371779</v>
      </c>
      <c r="E83" t="s">
        <v>672</v>
      </c>
      <c r="F83" t="s">
        <v>524</v>
      </c>
      <c r="G83" t="s">
        <v>51</v>
      </c>
      <c r="H83" t="s">
        <v>52</v>
      </c>
      <c r="I83" s="2">
        <v>187.41</v>
      </c>
      <c r="J83" t="s">
        <v>59</v>
      </c>
      <c r="K83" s="3">
        <v>0.15</v>
      </c>
      <c r="L83" s="2">
        <v>0</v>
      </c>
      <c r="M83" s="2">
        <v>28.11</v>
      </c>
      <c r="N83" s="2">
        <v>28.11</v>
      </c>
      <c r="O83" t="s">
        <v>53</v>
      </c>
      <c r="P83" t="s">
        <v>54</v>
      </c>
      <c r="Q83">
        <v>673059</v>
      </c>
      <c r="R83" t="s">
        <v>55</v>
      </c>
      <c r="S83" t="s">
        <v>56</v>
      </c>
      <c r="T83" t="s">
        <v>57</v>
      </c>
      <c r="U83" s="1">
        <v>45383</v>
      </c>
      <c r="W83" s="1">
        <v>45992</v>
      </c>
      <c r="X83">
        <v>1</v>
      </c>
      <c r="Y83" t="s">
        <v>58</v>
      </c>
      <c r="Z83" s="2">
        <v>0</v>
      </c>
      <c r="AA83">
        <v>0</v>
      </c>
      <c r="AB83" t="s">
        <v>264</v>
      </c>
      <c r="AC83" t="s">
        <v>61</v>
      </c>
      <c r="AD83">
        <v>0</v>
      </c>
      <c r="AE83" s="2">
        <v>0</v>
      </c>
      <c r="AF83" s="2">
        <v>0</v>
      </c>
      <c r="AG83" s="3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1">
        <v>45957</v>
      </c>
      <c r="B84" t="s">
        <v>48</v>
      </c>
      <c r="C84">
        <v>649163</v>
      </c>
      <c r="D84">
        <v>2022371781</v>
      </c>
      <c r="E84" t="s">
        <v>672</v>
      </c>
      <c r="F84" t="s">
        <v>524</v>
      </c>
      <c r="G84" t="s">
        <v>51</v>
      </c>
      <c r="H84" t="s">
        <v>52</v>
      </c>
      <c r="I84" s="2">
        <v>51.46</v>
      </c>
      <c r="J84" t="s">
        <v>59</v>
      </c>
      <c r="K84" s="3">
        <v>0.15</v>
      </c>
      <c r="L84" s="2">
        <v>0</v>
      </c>
      <c r="M84" s="2">
        <v>7.72</v>
      </c>
      <c r="N84" s="2">
        <v>7.72</v>
      </c>
      <c r="O84" t="s">
        <v>53</v>
      </c>
      <c r="P84" t="s">
        <v>119</v>
      </c>
      <c r="Q84">
        <v>673059</v>
      </c>
      <c r="R84" t="s">
        <v>55</v>
      </c>
      <c r="S84" t="s">
        <v>56</v>
      </c>
      <c r="T84" t="s">
        <v>57</v>
      </c>
      <c r="U84" s="1">
        <v>45383</v>
      </c>
      <c r="W84" s="1">
        <v>45992</v>
      </c>
      <c r="X84">
        <v>1</v>
      </c>
      <c r="Y84" t="s">
        <v>58</v>
      </c>
      <c r="Z84" s="2">
        <v>0</v>
      </c>
      <c r="AA84">
        <v>0</v>
      </c>
      <c r="AB84" t="s">
        <v>264</v>
      </c>
      <c r="AC84" t="s">
        <v>61</v>
      </c>
      <c r="AD84">
        <v>0</v>
      </c>
      <c r="AE84" s="2">
        <v>0</v>
      </c>
      <c r="AF84" s="2">
        <v>0</v>
      </c>
      <c r="AG84" s="3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45957</v>
      </c>
      <c r="B85" t="s">
        <v>48</v>
      </c>
      <c r="C85">
        <v>649163</v>
      </c>
      <c r="D85">
        <v>2022463458</v>
      </c>
      <c r="E85" t="s">
        <v>753</v>
      </c>
      <c r="F85" t="s">
        <v>754</v>
      </c>
      <c r="G85" t="s">
        <v>51</v>
      </c>
      <c r="H85" t="s">
        <v>52</v>
      </c>
      <c r="I85" s="2">
        <v>79.819999999999993</v>
      </c>
      <c r="J85" t="s">
        <v>59</v>
      </c>
      <c r="K85" s="3">
        <v>0.15</v>
      </c>
      <c r="L85" s="2">
        <v>0</v>
      </c>
      <c r="M85" s="2">
        <v>11.97</v>
      </c>
      <c r="N85" s="2">
        <v>11.97</v>
      </c>
      <c r="O85" t="s">
        <v>53</v>
      </c>
      <c r="P85" t="s">
        <v>54</v>
      </c>
      <c r="Q85">
        <v>649164</v>
      </c>
      <c r="R85" t="s">
        <v>313</v>
      </c>
      <c r="S85" t="s">
        <v>314</v>
      </c>
      <c r="T85" t="s">
        <v>57</v>
      </c>
      <c r="U85" s="1">
        <v>45383</v>
      </c>
      <c r="W85" s="1">
        <v>45992</v>
      </c>
      <c r="X85">
        <v>1</v>
      </c>
      <c r="Y85" t="s">
        <v>58</v>
      </c>
      <c r="Z85" s="2">
        <v>0</v>
      </c>
      <c r="AA85">
        <v>0</v>
      </c>
      <c r="AB85" t="s">
        <v>264</v>
      </c>
      <c r="AC85" t="s">
        <v>61</v>
      </c>
      <c r="AD85">
        <v>0</v>
      </c>
      <c r="AE85" s="2">
        <v>0</v>
      </c>
      <c r="AF85" s="2">
        <v>0</v>
      </c>
      <c r="AG85" s="3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45957</v>
      </c>
      <c r="B86" t="s">
        <v>48</v>
      </c>
      <c r="C86">
        <v>649163</v>
      </c>
      <c r="D86">
        <v>2023153966</v>
      </c>
      <c r="E86" t="s">
        <v>755</v>
      </c>
      <c r="F86" t="s">
        <v>98</v>
      </c>
      <c r="G86" t="s">
        <v>51</v>
      </c>
      <c r="H86" t="s">
        <v>247</v>
      </c>
      <c r="I86" s="2">
        <v>78.760000000000005</v>
      </c>
      <c r="J86" t="s">
        <v>59</v>
      </c>
      <c r="K86" s="3">
        <v>0.15</v>
      </c>
      <c r="L86" s="2">
        <v>0</v>
      </c>
      <c r="M86" s="2">
        <v>11.81</v>
      </c>
      <c r="N86" s="2">
        <v>11.81</v>
      </c>
      <c r="O86" t="s">
        <v>53</v>
      </c>
      <c r="P86" t="s">
        <v>54</v>
      </c>
      <c r="Q86">
        <v>649793</v>
      </c>
      <c r="R86" t="s">
        <v>55</v>
      </c>
      <c r="S86" t="s">
        <v>566</v>
      </c>
      <c r="T86" t="s">
        <v>57</v>
      </c>
      <c r="U86" s="1">
        <v>45444</v>
      </c>
      <c r="W86" s="1">
        <v>45992</v>
      </c>
      <c r="X86">
        <v>1</v>
      </c>
      <c r="Y86" t="s">
        <v>58</v>
      </c>
      <c r="Z86" s="2">
        <v>0</v>
      </c>
      <c r="AA86">
        <v>0</v>
      </c>
      <c r="AB86" t="s">
        <v>264</v>
      </c>
      <c r="AC86" t="s">
        <v>61</v>
      </c>
      <c r="AD86">
        <v>0</v>
      </c>
      <c r="AE86" s="2">
        <v>0</v>
      </c>
      <c r="AF86" s="2">
        <v>0</v>
      </c>
      <c r="AG86" s="3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45957</v>
      </c>
      <c r="B87" t="s">
        <v>48</v>
      </c>
      <c r="C87">
        <v>649163</v>
      </c>
      <c r="D87">
        <v>2024136817</v>
      </c>
      <c r="E87" t="s">
        <v>283</v>
      </c>
      <c r="F87" t="s">
        <v>284</v>
      </c>
      <c r="G87" t="s">
        <v>51</v>
      </c>
      <c r="H87" t="s">
        <v>52</v>
      </c>
      <c r="I87" s="2">
        <v>78.44</v>
      </c>
      <c r="J87" t="s">
        <v>59</v>
      </c>
      <c r="K87" s="3">
        <v>0.15</v>
      </c>
      <c r="L87" s="2">
        <v>0</v>
      </c>
      <c r="M87" s="2">
        <v>11.77</v>
      </c>
      <c r="N87" s="2">
        <v>11.77</v>
      </c>
      <c r="O87" t="s">
        <v>53</v>
      </c>
      <c r="P87" t="s">
        <v>54</v>
      </c>
      <c r="Q87">
        <v>673059</v>
      </c>
      <c r="R87" t="s">
        <v>55</v>
      </c>
      <c r="S87" t="s">
        <v>56</v>
      </c>
      <c r="T87" t="s">
        <v>57</v>
      </c>
      <c r="U87" s="1">
        <v>45536</v>
      </c>
      <c r="W87" s="1">
        <v>45992</v>
      </c>
      <c r="X87">
        <v>1</v>
      </c>
      <c r="Y87" t="s">
        <v>58</v>
      </c>
      <c r="Z87" s="2">
        <v>0</v>
      </c>
      <c r="AA87">
        <v>0</v>
      </c>
      <c r="AB87" t="s">
        <v>264</v>
      </c>
      <c r="AC87" t="s">
        <v>61</v>
      </c>
      <c r="AD87">
        <v>0</v>
      </c>
      <c r="AE87" s="2">
        <v>0</v>
      </c>
      <c r="AF87" s="2">
        <v>0</v>
      </c>
      <c r="AG87" s="3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45957</v>
      </c>
      <c r="B88" t="s">
        <v>48</v>
      </c>
      <c r="C88">
        <v>649163</v>
      </c>
      <c r="D88">
        <v>2024384775</v>
      </c>
      <c r="E88" t="s">
        <v>578</v>
      </c>
      <c r="F88" t="s">
        <v>413</v>
      </c>
      <c r="G88" t="s">
        <v>51</v>
      </c>
      <c r="H88" t="s">
        <v>182</v>
      </c>
      <c r="I88" s="2">
        <v>26.82</v>
      </c>
      <c r="J88" t="s">
        <v>59</v>
      </c>
      <c r="K88" s="3">
        <v>0.15</v>
      </c>
      <c r="L88" s="2">
        <v>0</v>
      </c>
      <c r="M88" s="2">
        <v>4.0199999999999996</v>
      </c>
      <c r="N88" s="2">
        <v>4.0199999999999996</v>
      </c>
      <c r="O88" t="s">
        <v>53</v>
      </c>
      <c r="P88" t="s">
        <v>54</v>
      </c>
      <c r="Q88">
        <v>673059</v>
      </c>
      <c r="R88" t="s">
        <v>55</v>
      </c>
      <c r="S88" t="s">
        <v>56</v>
      </c>
      <c r="T88" t="s">
        <v>57</v>
      </c>
      <c r="U88" s="1">
        <v>45536</v>
      </c>
      <c r="W88" s="1">
        <v>45992</v>
      </c>
      <c r="X88">
        <v>1</v>
      </c>
      <c r="Y88" t="s">
        <v>58</v>
      </c>
      <c r="Z88" s="2">
        <v>0</v>
      </c>
      <c r="AA88">
        <v>0</v>
      </c>
      <c r="AB88" t="s">
        <v>264</v>
      </c>
      <c r="AC88" t="s">
        <v>61</v>
      </c>
      <c r="AD88">
        <v>0</v>
      </c>
      <c r="AE88" s="2">
        <v>0</v>
      </c>
      <c r="AF88" s="2">
        <v>0</v>
      </c>
      <c r="AG88" s="3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45957</v>
      </c>
      <c r="B89" t="s">
        <v>48</v>
      </c>
      <c r="C89">
        <v>649163</v>
      </c>
      <c r="D89">
        <v>2024384776</v>
      </c>
      <c r="E89" t="s">
        <v>578</v>
      </c>
      <c r="F89" t="s">
        <v>413</v>
      </c>
      <c r="G89" t="s">
        <v>51</v>
      </c>
      <c r="H89" t="s">
        <v>182</v>
      </c>
      <c r="I89" s="2">
        <v>25.73</v>
      </c>
      <c r="J89" t="s">
        <v>59</v>
      </c>
      <c r="K89" s="3">
        <v>0.15</v>
      </c>
      <c r="L89" s="2">
        <v>0</v>
      </c>
      <c r="M89" s="2">
        <v>3.86</v>
      </c>
      <c r="N89" s="2">
        <v>3.86</v>
      </c>
      <c r="O89" t="s">
        <v>53</v>
      </c>
      <c r="P89" t="s">
        <v>119</v>
      </c>
      <c r="Q89">
        <v>673059</v>
      </c>
      <c r="R89" t="s">
        <v>55</v>
      </c>
      <c r="S89" t="s">
        <v>56</v>
      </c>
      <c r="T89" t="s">
        <v>57</v>
      </c>
      <c r="U89" s="1">
        <v>45536</v>
      </c>
      <c r="W89" s="1">
        <v>45992</v>
      </c>
      <c r="X89">
        <v>1</v>
      </c>
      <c r="Y89" t="s">
        <v>58</v>
      </c>
      <c r="Z89" s="2">
        <v>0</v>
      </c>
      <c r="AA89">
        <v>0</v>
      </c>
      <c r="AB89" t="s">
        <v>264</v>
      </c>
      <c r="AC89" t="s">
        <v>61</v>
      </c>
      <c r="AD89">
        <v>0</v>
      </c>
      <c r="AE89" s="2">
        <v>0</v>
      </c>
      <c r="AF89" s="2">
        <v>0</v>
      </c>
      <c r="AG89" s="3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45957</v>
      </c>
      <c r="B90" t="s">
        <v>48</v>
      </c>
      <c r="C90">
        <v>649163</v>
      </c>
      <c r="D90">
        <v>2024417986</v>
      </c>
      <c r="E90" t="s">
        <v>498</v>
      </c>
      <c r="F90" t="s">
        <v>56</v>
      </c>
      <c r="G90" t="s">
        <v>51</v>
      </c>
      <c r="H90" t="s">
        <v>195</v>
      </c>
      <c r="I90" s="2">
        <v>25.73</v>
      </c>
      <c r="J90" t="s">
        <v>59</v>
      </c>
      <c r="K90" s="3">
        <v>0.15</v>
      </c>
      <c r="L90" s="2">
        <v>0</v>
      </c>
      <c r="M90" s="2">
        <v>3.86</v>
      </c>
      <c r="N90" s="2">
        <v>3.86</v>
      </c>
      <c r="O90" t="s">
        <v>53</v>
      </c>
      <c r="P90" t="s">
        <v>119</v>
      </c>
      <c r="Q90">
        <v>780434</v>
      </c>
      <c r="R90" t="s">
        <v>499</v>
      </c>
      <c r="S90" t="s">
        <v>110</v>
      </c>
      <c r="T90" t="s">
        <v>57</v>
      </c>
      <c r="U90" s="1">
        <v>45536</v>
      </c>
      <c r="W90" s="1">
        <v>45992</v>
      </c>
      <c r="X90">
        <v>1</v>
      </c>
      <c r="Y90" t="s">
        <v>58</v>
      </c>
      <c r="Z90" s="2">
        <v>0</v>
      </c>
      <c r="AA90">
        <v>0</v>
      </c>
      <c r="AB90" t="s">
        <v>264</v>
      </c>
      <c r="AC90" t="s">
        <v>61</v>
      </c>
      <c r="AD90">
        <v>0</v>
      </c>
      <c r="AE90" s="2">
        <v>0</v>
      </c>
      <c r="AF90" s="2">
        <v>0</v>
      </c>
      <c r="AG90" s="3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45957</v>
      </c>
      <c r="B91" t="s">
        <v>48</v>
      </c>
      <c r="C91">
        <v>649163</v>
      </c>
      <c r="D91">
        <v>2024460935</v>
      </c>
      <c r="E91" t="s">
        <v>756</v>
      </c>
      <c r="F91" t="s">
        <v>757</v>
      </c>
      <c r="G91" t="s">
        <v>51</v>
      </c>
      <c r="H91" t="s">
        <v>636</v>
      </c>
      <c r="I91" s="2">
        <v>194.67</v>
      </c>
      <c r="J91" t="s">
        <v>59</v>
      </c>
      <c r="K91" s="3">
        <v>0.15</v>
      </c>
      <c r="L91" s="2">
        <v>0</v>
      </c>
      <c r="M91" s="2">
        <v>29.2</v>
      </c>
      <c r="N91" s="2">
        <v>29.2</v>
      </c>
      <c r="O91" t="s">
        <v>53</v>
      </c>
      <c r="P91" t="s">
        <v>54</v>
      </c>
      <c r="Q91">
        <v>673059</v>
      </c>
      <c r="R91" t="s">
        <v>55</v>
      </c>
      <c r="S91" t="s">
        <v>56</v>
      </c>
      <c r="T91" t="s">
        <v>57</v>
      </c>
      <c r="U91" s="1">
        <v>45536</v>
      </c>
      <c r="W91" s="1">
        <v>45992</v>
      </c>
      <c r="X91">
        <v>1</v>
      </c>
      <c r="Y91" t="s">
        <v>58</v>
      </c>
      <c r="Z91" s="2">
        <v>0</v>
      </c>
      <c r="AA91">
        <v>0</v>
      </c>
      <c r="AB91" t="s">
        <v>264</v>
      </c>
      <c r="AC91" t="s">
        <v>61</v>
      </c>
      <c r="AD91">
        <v>0</v>
      </c>
      <c r="AE91" s="2">
        <v>0</v>
      </c>
      <c r="AF91" s="2">
        <v>0</v>
      </c>
      <c r="AG91" s="3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45957</v>
      </c>
      <c r="B92" t="s">
        <v>48</v>
      </c>
      <c r="C92">
        <v>649163</v>
      </c>
      <c r="D92">
        <v>2024460936</v>
      </c>
      <c r="E92" t="s">
        <v>756</v>
      </c>
      <c r="F92" t="s">
        <v>757</v>
      </c>
      <c r="G92" t="s">
        <v>51</v>
      </c>
      <c r="H92" t="s">
        <v>636</v>
      </c>
      <c r="I92" s="2">
        <v>59.8</v>
      </c>
      <c r="J92" t="s">
        <v>59</v>
      </c>
      <c r="K92" s="3">
        <v>0.15</v>
      </c>
      <c r="L92" s="2">
        <v>0</v>
      </c>
      <c r="M92" s="2">
        <v>8.9700000000000006</v>
      </c>
      <c r="N92" s="2">
        <v>8.9700000000000006</v>
      </c>
      <c r="O92" t="s">
        <v>53</v>
      </c>
      <c r="P92" t="s">
        <v>119</v>
      </c>
      <c r="Q92">
        <v>673059</v>
      </c>
      <c r="R92" t="s">
        <v>55</v>
      </c>
      <c r="S92" t="s">
        <v>56</v>
      </c>
      <c r="T92" t="s">
        <v>57</v>
      </c>
      <c r="U92" s="1">
        <v>45536</v>
      </c>
      <c r="W92" s="1">
        <v>45992</v>
      </c>
      <c r="X92">
        <v>1</v>
      </c>
      <c r="Y92" t="s">
        <v>58</v>
      </c>
      <c r="Z92" s="2">
        <v>0</v>
      </c>
      <c r="AA92">
        <v>0</v>
      </c>
      <c r="AB92" t="s">
        <v>264</v>
      </c>
      <c r="AC92" t="s">
        <v>61</v>
      </c>
      <c r="AD92">
        <v>0</v>
      </c>
      <c r="AE92" s="2">
        <v>0</v>
      </c>
      <c r="AF92" s="2">
        <v>0</v>
      </c>
      <c r="AG92" s="3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45957</v>
      </c>
      <c r="B93" t="s">
        <v>48</v>
      </c>
      <c r="C93">
        <v>649163</v>
      </c>
      <c r="D93">
        <v>2024569206</v>
      </c>
      <c r="E93" t="s">
        <v>758</v>
      </c>
      <c r="F93" t="s">
        <v>759</v>
      </c>
      <c r="G93" t="s">
        <v>51</v>
      </c>
      <c r="H93" t="s">
        <v>719</v>
      </c>
      <c r="I93" s="2">
        <v>10.82</v>
      </c>
      <c r="J93" t="s">
        <v>59</v>
      </c>
      <c r="K93" s="3">
        <v>0.15</v>
      </c>
      <c r="L93" s="2">
        <v>0</v>
      </c>
      <c r="M93" s="2">
        <v>1.62</v>
      </c>
      <c r="N93" s="2">
        <v>1.62</v>
      </c>
      <c r="O93" t="s">
        <v>53</v>
      </c>
      <c r="P93" t="s">
        <v>54</v>
      </c>
      <c r="Q93">
        <v>649247</v>
      </c>
      <c r="R93" t="s">
        <v>321</v>
      </c>
      <c r="S93" t="s">
        <v>322</v>
      </c>
      <c r="T93" t="s">
        <v>57</v>
      </c>
      <c r="U93" s="1">
        <v>45531</v>
      </c>
      <c r="W93" s="1">
        <v>45988</v>
      </c>
      <c r="X93">
        <v>1</v>
      </c>
      <c r="Y93" t="s">
        <v>58</v>
      </c>
      <c r="Z93" s="2">
        <v>0</v>
      </c>
      <c r="AA93">
        <v>0</v>
      </c>
      <c r="AB93" t="s">
        <v>264</v>
      </c>
      <c r="AC93" t="s">
        <v>61</v>
      </c>
      <c r="AD93">
        <v>0</v>
      </c>
      <c r="AE93" s="2">
        <v>0</v>
      </c>
      <c r="AF93" s="2">
        <v>0</v>
      </c>
      <c r="AG93" s="3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45957</v>
      </c>
      <c r="B94" t="s">
        <v>48</v>
      </c>
      <c r="C94">
        <v>649163</v>
      </c>
      <c r="D94">
        <v>2024621873</v>
      </c>
      <c r="E94" t="s">
        <v>760</v>
      </c>
      <c r="F94" t="s">
        <v>312</v>
      </c>
      <c r="G94" t="s">
        <v>51</v>
      </c>
      <c r="H94" t="s">
        <v>145</v>
      </c>
      <c r="I94" s="2">
        <v>126.1</v>
      </c>
      <c r="J94" t="s">
        <v>59</v>
      </c>
      <c r="K94" s="3">
        <v>0.15</v>
      </c>
      <c r="L94" s="2">
        <v>0</v>
      </c>
      <c r="M94" s="2">
        <v>18.920000000000002</v>
      </c>
      <c r="N94" s="2">
        <v>18.920000000000002</v>
      </c>
      <c r="O94" t="s">
        <v>53</v>
      </c>
      <c r="P94" t="s">
        <v>54</v>
      </c>
      <c r="Q94">
        <v>673059</v>
      </c>
      <c r="R94" t="s">
        <v>55</v>
      </c>
      <c r="S94" t="s">
        <v>56</v>
      </c>
      <c r="T94" t="s">
        <v>57</v>
      </c>
      <c r="U94" s="1">
        <v>45536</v>
      </c>
      <c r="W94" s="1">
        <v>45992</v>
      </c>
      <c r="X94">
        <v>1</v>
      </c>
      <c r="Y94" t="s">
        <v>58</v>
      </c>
      <c r="Z94" s="2">
        <v>0</v>
      </c>
      <c r="AA94">
        <v>0</v>
      </c>
      <c r="AB94" t="s">
        <v>264</v>
      </c>
      <c r="AC94" t="s">
        <v>61</v>
      </c>
      <c r="AD94">
        <v>0</v>
      </c>
      <c r="AE94" s="2">
        <v>0</v>
      </c>
      <c r="AF94" s="2">
        <v>0</v>
      </c>
      <c r="AG94" s="3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45957</v>
      </c>
      <c r="B95" t="s">
        <v>48</v>
      </c>
      <c r="C95">
        <v>649163</v>
      </c>
      <c r="D95">
        <v>2024635791</v>
      </c>
      <c r="E95" t="s">
        <v>761</v>
      </c>
      <c r="F95" t="s">
        <v>621</v>
      </c>
      <c r="G95" t="s">
        <v>51</v>
      </c>
      <c r="H95" t="s">
        <v>69</v>
      </c>
      <c r="I95" s="2">
        <v>102.7</v>
      </c>
      <c r="J95" t="s">
        <v>59</v>
      </c>
      <c r="K95" s="3">
        <v>0.15</v>
      </c>
      <c r="L95" s="2">
        <v>0</v>
      </c>
      <c r="M95" s="2">
        <v>15.4</v>
      </c>
      <c r="N95" s="2">
        <v>15.4</v>
      </c>
      <c r="O95" t="s">
        <v>53</v>
      </c>
      <c r="P95" t="s">
        <v>54</v>
      </c>
      <c r="Q95">
        <v>766422</v>
      </c>
      <c r="R95" t="s">
        <v>335</v>
      </c>
      <c r="S95" t="s">
        <v>336</v>
      </c>
      <c r="T95" t="s">
        <v>57</v>
      </c>
      <c r="U95" s="1">
        <v>45536</v>
      </c>
      <c r="W95" s="1">
        <v>45992</v>
      </c>
      <c r="X95">
        <v>1</v>
      </c>
      <c r="Y95" t="s">
        <v>58</v>
      </c>
      <c r="Z95" s="2">
        <v>0</v>
      </c>
      <c r="AA95">
        <v>0</v>
      </c>
      <c r="AB95" t="s">
        <v>264</v>
      </c>
      <c r="AC95" t="s">
        <v>61</v>
      </c>
      <c r="AD95">
        <v>0</v>
      </c>
      <c r="AE95" s="2">
        <v>0</v>
      </c>
      <c r="AF95" s="2">
        <v>0</v>
      </c>
      <c r="AG95" s="3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45957</v>
      </c>
      <c r="B96" t="s">
        <v>48</v>
      </c>
      <c r="C96">
        <v>649163</v>
      </c>
      <c r="D96">
        <v>2025022512</v>
      </c>
      <c r="E96" t="s">
        <v>289</v>
      </c>
      <c r="F96" t="s">
        <v>290</v>
      </c>
      <c r="G96" t="s">
        <v>51</v>
      </c>
      <c r="H96" t="s">
        <v>69</v>
      </c>
      <c r="I96" s="2">
        <v>122.22</v>
      </c>
      <c r="J96" t="s">
        <v>59</v>
      </c>
      <c r="K96" s="3">
        <v>0.15</v>
      </c>
      <c r="L96" s="2">
        <v>0</v>
      </c>
      <c r="M96" s="2">
        <v>18.329999999999998</v>
      </c>
      <c r="N96" s="2">
        <v>18.329999999999998</v>
      </c>
      <c r="O96" t="s">
        <v>53</v>
      </c>
      <c r="P96" t="s">
        <v>54</v>
      </c>
      <c r="Q96">
        <v>768887</v>
      </c>
      <c r="R96" t="s">
        <v>289</v>
      </c>
      <c r="S96" t="s">
        <v>290</v>
      </c>
      <c r="T96" t="s">
        <v>57</v>
      </c>
      <c r="U96" s="1">
        <v>45561</v>
      </c>
      <c r="W96" s="1">
        <v>45987</v>
      </c>
      <c r="X96">
        <v>1</v>
      </c>
      <c r="Y96" t="s">
        <v>58</v>
      </c>
      <c r="Z96" s="2">
        <v>0</v>
      </c>
      <c r="AA96">
        <v>0</v>
      </c>
      <c r="AB96" t="s">
        <v>264</v>
      </c>
      <c r="AC96" t="s">
        <v>61</v>
      </c>
      <c r="AD96">
        <v>0</v>
      </c>
      <c r="AE96" s="2">
        <v>0</v>
      </c>
      <c r="AF96" s="2">
        <v>0</v>
      </c>
      <c r="AG96" s="3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45957</v>
      </c>
      <c r="B97" t="s">
        <v>48</v>
      </c>
      <c r="C97">
        <v>649163</v>
      </c>
      <c r="D97">
        <v>2025082288</v>
      </c>
      <c r="E97" t="s">
        <v>557</v>
      </c>
      <c r="F97" t="s">
        <v>153</v>
      </c>
      <c r="G97" t="s">
        <v>51</v>
      </c>
      <c r="H97" t="s">
        <v>52</v>
      </c>
      <c r="I97" s="2">
        <v>34.159999999999997</v>
      </c>
      <c r="J97" t="s">
        <v>59</v>
      </c>
      <c r="K97" s="3">
        <v>0.15</v>
      </c>
      <c r="L97" s="2">
        <v>0</v>
      </c>
      <c r="M97" s="2">
        <v>5.12</v>
      </c>
      <c r="N97" s="2">
        <v>5.12</v>
      </c>
      <c r="O97" t="s">
        <v>53</v>
      </c>
      <c r="P97" t="s">
        <v>54</v>
      </c>
      <c r="Q97">
        <v>756418</v>
      </c>
      <c r="R97" t="s">
        <v>191</v>
      </c>
      <c r="S97" t="s">
        <v>192</v>
      </c>
      <c r="T97" t="s">
        <v>57</v>
      </c>
      <c r="U97" s="1">
        <v>45564</v>
      </c>
      <c r="W97" s="1">
        <v>45990</v>
      </c>
      <c r="X97">
        <v>1</v>
      </c>
      <c r="Y97" t="s">
        <v>58</v>
      </c>
      <c r="Z97" s="2">
        <v>0</v>
      </c>
      <c r="AA97">
        <v>0</v>
      </c>
      <c r="AB97" t="s">
        <v>264</v>
      </c>
      <c r="AC97" t="s">
        <v>61</v>
      </c>
      <c r="AD97">
        <v>0</v>
      </c>
      <c r="AE97" s="2">
        <v>0</v>
      </c>
      <c r="AF97" s="2">
        <v>0</v>
      </c>
      <c r="AG97" s="3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45957</v>
      </c>
      <c r="B98" t="s">
        <v>48</v>
      </c>
      <c r="C98">
        <v>649163</v>
      </c>
      <c r="D98">
        <v>2025256824</v>
      </c>
      <c r="E98" t="s">
        <v>762</v>
      </c>
      <c r="F98" t="s">
        <v>763</v>
      </c>
      <c r="G98" t="s">
        <v>51</v>
      </c>
      <c r="H98" t="s">
        <v>69</v>
      </c>
      <c r="I98" s="2">
        <v>129.79</v>
      </c>
      <c r="J98" t="s">
        <v>59</v>
      </c>
      <c r="K98" s="3">
        <v>0.15</v>
      </c>
      <c r="L98" s="2">
        <v>0</v>
      </c>
      <c r="M98" s="2">
        <v>19.47</v>
      </c>
      <c r="N98" s="2">
        <v>19.47</v>
      </c>
      <c r="O98" t="s">
        <v>53</v>
      </c>
      <c r="P98" t="s">
        <v>54</v>
      </c>
      <c r="Q98">
        <v>766747</v>
      </c>
      <c r="R98" t="s">
        <v>97</v>
      </c>
      <c r="S98" t="s">
        <v>98</v>
      </c>
      <c r="T98" t="s">
        <v>57</v>
      </c>
      <c r="U98" s="1">
        <v>45597</v>
      </c>
      <c r="W98" s="1">
        <v>45992</v>
      </c>
      <c r="X98">
        <v>1</v>
      </c>
      <c r="Y98" t="s">
        <v>58</v>
      </c>
      <c r="Z98" s="2">
        <v>0</v>
      </c>
      <c r="AA98">
        <v>0</v>
      </c>
      <c r="AB98" t="s">
        <v>264</v>
      </c>
      <c r="AC98" t="s">
        <v>61</v>
      </c>
      <c r="AD98">
        <v>0</v>
      </c>
      <c r="AE98" s="2">
        <v>0</v>
      </c>
      <c r="AF98" s="2">
        <v>0</v>
      </c>
      <c r="AG98" s="3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45957</v>
      </c>
      <c r="B99" t="s">
        <v>48</v>
      </c>
      <c r="C99">
        <v>649163</v>
      </c>
      <c r="D99">
        <v>2025303845</v>
      </c>
      <c r="E99" t="s">
        <v>503</v>
      </c>
      <c r="F99" t="s">
        <v>504</v>
      </c>
      <c r="G99" t="s">
        <v>51</v>
      </c>
      <c r="H99" t="s">
        <v>195</v>
      </c>
      <c r="I99" s="2">
        <v>25.73</v>
      </c>
      <c r="J99" t="s">
        <v>59</v>
      </c>
      <c r="K99" s="3">
        <v>0.15</v>
      </c>
      <c r="L99" s="2">
        <v>0</v>
      </c>
      <c r="M99" s="2">
        <v>3.86</v>
      </c>
      <c r="N99" s="2">
        <v>3.86</v>
      </c>
      <c r="O99" t="s">
        <v>53</v>
      </c>
      <c r="P99" t="s">
        <v>119</v>
      </c>
      <c r="Q99">
        <v>650218</v>
      </c>
      <c r="R99" t="s">
        <v>357</v>
      </c>
      <c r="S99" t="s">
        <v>358</v>
      </c>
      <c r="T99" t="s">
        <v>57</v>
      </c>
      <c r="U99" s="1">
        <v>45597</v>
      </c>
      <c r="W99" s="1">
        <v>45992</v>
      </c>
      <c r="X99">
        <v>1</v>
      </c>
      <c r="Y99" t="s">
        <v>58</v>
      </c>
      <c r="Z99" s="2">
        <v>0</v>
      </c>
      <c r="AA99">
        <v>0</v>
      </c>
      <c r="AB99" t="s">
        <v>264</v>
      </c>
      <c r="AC99" t="s">
        <v>61</v>
      </c>
      <c r="AD99">
        <v>0</v>
      </c>
      <c r="AE99" s="2">
        <v>0</v>
      </c>
      <c r="AF99" s="2">
        <v>0</v>
      </c>
      <c r="AG99" s="3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45957</v>
      </c>
      <c r="B100" t="s">
        <v>48</v>
      </c>
      <c r="C100">
        <v>649163</v>
      </c>
      <c r="D100">
        <v>2025366541</v>
      </c>
      <c r="E100" t="s">
        <v>667</v>
      </c>
      <c r="F100" t="s">
        <v>668</v>
      </c>
      <c r="G100" t="s">
        <v>51</v>
      </c>
      <c r="H100" t="s">
        <v>234</v>
      </c>
      <c r="I100" s="2">
        <v>46.17</v>
      </c>
      <c r="J100" t="s">
        <v>59</v>
      </c>
      <c r="K100" s="3">
        <v>0.15</v>
      </c>
      <c r="L100" s="2">
        <v>0</v>
      </c>
      <c r="M100" s="2">
        <v>6.93</v>
      </c>
      <c r="N100" s="2">
        <v>6.93</v>
      </c>
      <c r="O100" t="s">
        <v>53</v>
      </c>
      <c r="P100" t="s">
        <v>54</v>
      </c>
      <c r="Q100">
        <v>756418</v>
      </c>
      <c r="R100" t="s">
        <v>191</v>
      </c>
      <c r="S100" t="s">
        <v>192</v>
      </c>
      <c r="T100" t="s">
        <v>57</v>
      </c>
      <c r="U100" s="1">
        <v>45597</v>
      </c>
      <c r="W100" s="1">
        <v>45992</v>
      </c>
      <c r="X100">
        <v>1</v>
      </c>
      <c r="Y100" t="s">
        <v>58</v>
      </c>
      <c r="Z100" s="2">
        <v>0</v>
      </c>
      <c r="AA100">
        <v>0</v>
      </c>
      <c r="AB100" t="s">
        <v>264</v>
      </c>
      <c r="AC100" t="s">
        <v>61</v>
      </c>
      <c r="AD100">
        <v>0</v>
      </c>
      <c r="AE100" s="2">
        <v>0</v>
      </c>
      <c r="AF100" s="2">
        <v>0</v>
      </c>
      <c r="AG100" s="3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45957</v>
      </c>
      <c r="B101" t="s">
        <v>48</v>
      </c>
      <c r="C101">
        <v>649163</v>
      </c>
      <c r="D101">
        <v>2025410372</v>
      </c>
      <c r="E101" t="s">
        <v>516</v>
      </c>
      <c r="F101" t="s">
        <v>515</v>
      </c>
      <c r="G101" t="s">
        <v>51</v>
      </c>
      <c r="H101" t="s">
        <v>261</v>
      </c>
      <c r="I101" s="2">
        <v>66.12</v>
      </c>
      <c r="J101" t="s">
        <v>59</v>
      </c>
      <c r="K101" s="3">
        <v>0.15</v>
      </c>
      <c r="L101" s="2">
        <v>0</v>
      </c>
      <c r="M101" s="2">
        <v>9.92</v>
      </c>
      <c r="N101" s="2">
        <v>9.92</v>
      </c>
      <c r="O101" t="s">
        <v>53</v>
      </c>
      <c r="P101" t="s">
        <v>54</v>
      </c>
      <c r="Q101">
        <v>651818</v>
      </c>
      <c r="R101" t="s">
        <v>560</v>
      </c>
      <c r="S101" t="s">
        <v>336</v>
      </c>
      <c r="T101" t="s">
        <v>57</v>
      </c>
      <c r="U101" s="1">
        <v>45597</v>
      </c>
      <c r="W101" s="1">
        <v>45992</v>
      </c>
      <c r="X101">
        <v>1</v>
      </c>
      <c r="Y101" t="s">
        <v>58</v>
      </c>
      <c r="Z101" s="2">
        <v>0</v>
      </c>
      <c r="AA101">
        <v>0</v>
      </c>
      <c r="AB101" t="s">
        <v>264</v>
      </c>
      <c r="AC101" t="s">
        <v>61</v>
      </c>
      <c r="AD101">
        <v>0</v>
      </c>
      <c r="AE101" s="2">
        <v>0</v>
      </c>
      <c r="AF101" s="2">
        <v>0</v>
      </c>
      <c r="AG101" s="3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45957</v>
      </c>
      <c r="B102" t="s">
        <v>48</v>
      </c>
      <c r="C102">
        <v>649163</v>
      </c>
      <c r="D102">
        <v>2025466192</v>
      </c>
      <c r="E102" t="s">
        <v>670</v>
      </c>
      <c r="F102" t="s">
        <v>671</v>
      </c>
      <c r="G102" t="s">
        <v>51</v>
      </c>
      <c r="H102" t="s">
        <v>195</v>
      </c>
      <c r="I102" s="2">
        <v>25.73</v>
      </c>
      <c r="J102" t="s">
        <v>59</v>
      </c>
      <c r="K102" s="3">
        <v>0.15</v>
      </c>
      <c r="L102" s="2">
        <v>0</v>
      </c>
      <c r="M102" s="2">
        <v>3.86</v>
      </c>
      <c r="N102" s="2">
        <v>3.86</v>
      </c>
      <c r="O102" t="s">
        <v>53</v>
      </c>
      <c r="P102" t="s">
        <v>119</v>
      </c>
      <c r="Q102">
        <v>650218</v>
      </c>
      <c r="R102" t="s">
        <v>357</v>
      </c>
      <c r="S102" t="s">
        <v>358</v>
      </c>
      <c r="T102" t="s">
        <v>57</v>
      </c>
      <c r="U102" s="1">
        <v>45597</v>
      </c>
      <c r="W102" s="1">
        <v>45992</v>
      </c>
      <c r="X102">
        <v>1</v>
      </c>
      <c r="Y102" t="s">
        <v>58</v>
      </c>
      <c r="Z102" s="2">
        <v>0</v>
      </c>
      <c r="AA102">
        <v>0</v>
      </c>
      <c r="AB102" t="s">
        <v>264</v>
      </c>
      <c r="AC102" t="s">
        <v>61</v>
      </c>
      <c r="AD102">
        <v>0</v>
      </c>
      <c r="AE102" s="2">
        <v>0</v>
      </c>
      <c r="AF102" s="2">
        <v>0</v>
      </c>
      <c r="AG102" s="3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45957</v>
      </c>
      <c r="B103" t="s">
        <v>48</v>
      </c>
      <c r="C103">
        <v>649163</v>
      </c>
      <c r="D103">
        <v>2025535693</v>
      </c>
      <c r="E103" t="s">
        <v>764</v>
      </c>
      <c r="F103" t="s">
        <v>765</v>
      </c>
      <c r="G103" t="s">
        <v>51</v>
      </c>
      <c r="H103" t="s">
        <v>52</v>
      </c>
      <c r="I103" s="2">
        <v>31.1</v>
      </c>
      <c r="J103" t="s">
        <v>59</v>
      </c>
      <c r="K103" s="3">
        <v>0.15</v>
      </c>
      <c r="L103" s="2">
        <v>0</v>
      </c>
      <c r="M103" s="2">
        <v>4.66</v>
      </c>
      <c r="N103" s="2">
        <v>4.66</v>
      </c>
      <c r="O103" t="s">
        <v>53</v>
      </c>
      <c r="P103" t="s">
        <v>54</v>
      </c>
      <c r="Q103">
        <v>756418</v>
      </c>
      <c r="R103" t="s">
        <v>191</v>
      </c>
      <c r="S103" t="s">
        <v>192</v>
      </c>
      <c r="T103" t="s">
        <v>57</v>
      </c>
      <c r="U103" s="1">
        <v>45595</v>
      </c>
      <c r="W103" s="1">
        <v>45991</v>
      </c>
      <c r="X103">
        <v>1</v>
      </c>
      <c r="Y103" t="s">
        <v>58</v>
      </c>
      <c r="Z103" s="2">
        <v>0</v>
      </c>
      <c r="AA103">
        <v>0</v>
      </c>
      <c r="AB103" t="s">
        <v>264</v>
      </c>
      <c r="AC103" t="s">
        <v>61</v>
      </c>
      <c r="AD103">
        <v>0</v>
      </c>
      <c r="AE103" s="2">
        <v>0</v>
      </c>
      <c r="AF103" s="2">
        <v>0</v>
      </c>
      <c r="AG103" s="3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45957</v>
      </c>
      <c r="B104" t="s">
        <v>48</v>
      </c>
      <c r="C104">
        <v>649163</v>
      </c>
      <c r="D104">
        <v>2025550300</v>
      </c>
      <c r="E104" t="s">
        <v>766</v>
      </c>
      <c r="F104" t="s">
        <v>240</v>
      </c>
      <c r="G104" t="s">
        <v>51</v>
      </c>
      <c r="H104" t="s">
        <v>52</v>
      </c>
      <c r="I104" s="2">
        <v>45.51</v>
      </c>
      <c r="J104" t="s">
        <v>59</v>
      </c>
      <c r="K104" s="3">
        <v>0.15</v>
      </c>
      <c r="L104" s="2">
        <v>0</v>
      </c>
      <c r="M104" s="2">
        <v>6.83</v>
      </c>
      <c r="N104" s="2">
        <v>6.83</v>
      </c>
      <c r="O104" t="s">
        <v>53</v>
      </c>
      <c r="P104" t="s">
        <v>54</v>
      </c>
      <c r="Q104">
        <v>649164</v>
      </c>
      <c r="R104" t="s">
        <v>313</v>
      </c>
      <c r="S104" t="s">
        <v>314</v>
      </c>
      <c r="T104" t="s">
        <v>57</v>
      </c>
      <c r="U104" s="1">
        <v>45597</v>
      </c>
      <c r="W104" s="1">
        <v>45992</v>
      </c>
      <c r="X104">
        <v>1</v>
      </c>
      <c r="Y104" t="s">
        <v>58</v>
      </c>
      <c r="Z104" s="2">
        <v>0</v>
      </c>
      <c r="AA104">
        <v>0</v>
      </c>
      <c r="AB104" t="s">
        <v>264</v>
      </c>
      <c r="AC104" t="s">
        <v>61</v>
      </c>
      <c r="AD104">
        <v>0</v>
      </c>
      <c r="AE104" s="2">
        <v>0</v>
      </c>
      <c r="AF104" s="2">
        <v>0</v>
      </c>
      <c r="AG104" s="3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45957</v>
      </c>
      <c r="B105" t="s">
        <v>48</v>
      </c>
      <c r="C105">
        <v>649163</v>
      </c>
      <c r="D105">
        <v>2025563317</v>
      </c>
      <c r="E105" t="s">
        <v>674</v>
      </c>
      <c r="F105" t="s">
        <v>675</v>
      </c>
      <c r="G105" t="s">
        <v>51</v>
      </c>
      <c r="H105" t="s">
        <v>78</v>
      </c>
      <c r="I105" s="2">
        <v>11.5</v>
      </c>
      <c r="J105" t="s">
        <v>59</v>
      </c>
      <c r="K105" s="3">
        <v>0.15</v>
      </c>
      <c r="L105" s="2">
        <v>0</v>
      </c>
      <c r="M105" s="2">
        <v>1.72</v>
      </c>
      <c r="N105" s="2">
        <v>1.72</v>
      </c>
      <c r="O105" t="s">
        <v>53</v>
      </c>
      <c r="P105" t="s">
        <v>54</v>
      </c>
      <c r="Q105">
        <v>650218</v>
      </c>
      <c r="R105" t="s">
        <v>357</v>
      </c>
      <c r="S105" t="s">
        <v>358</v>
      </c>
      <c r="T105" t="s">
        <v>57</v>
      </c>
      <c r="U105" s="1">
        <v>45597</v>
      </c>
      <c r="W105" s="1">
        <v>45992</v>
      </c>
      <c r="X105">
        <v>1</v>
      </c>
      <c r="Y105" t="s">
        <v>58</v>
      </c>
      <c r="Z105" s="2">
        <v>0</v>
      </c>
      <c r="AA105">
        <v>0</v>
      </c>
      <c r="AB105" t="s">
        <v>264</v>
      </c>
      <c r="AC105" t="s">
        <v>61</v>
      </c>
      <c r="AD105">
        <v>0</v>
      </c>
      <c r="AE105" s="2">
        <v>0</v>
      </c>
      <c r="AF105" s="2">
        <v>0</v>
      </c>
      <c r="AG105" s="3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45957</v>
      </c>
      <c r="B106" t="s">
        <v>48</v>
      </c>
      <c r="C106">
        <v>649163</v>
      </c>
      <c r="D106">
        <v>2029132495</v>
      </c>
      <c r="E106" t="s">
        <v>948</v>
      </c>
      <c r="F106" t="s">
        <v>66</v>
      </c>
      <c r="G106" t="s">
        <v>51</v>
      </c>
      <c r="H106" t="s">
        <v>439</v>
      </c>
      <c r="I106" s="2">
        <v>77.48</v>
      </c>
      <c r="J106" t="s">
        <v>59</v>
      </c>
      <c r="K106" s="3">
        <v>0.3</v>
      </c>
      <c r="L106" s="2">
        <v>23.24</v>
      </c>
      <c r="M106" s="2">
        <v>0</v>
      </c>
      <c r="N106" s="2">
        <v>0</v>
      </c>
      <c r="O106" t="s">
        <v>53</v>
      </c>
      <c r="P106" t="s">
        <v>54</v>
      </c>
      <c r="Q106">
        <v>820140</v>
      </c>
      <c r="R106" t="s">
        <v>440</v>
      </c>
      <c r="S106" t="s">
        <v>407</v>
      </c>
      <c r="T106" t="s">
        <v>57</v>
      </c>
      <c r="U106" s="1">
        <v>45809</v>
      </c>
      <c r="W106" s="1">
        <v>45992</v>
      </c>
      <c r="X106">
        <v>1</v>
      </c>
      <c r="Y106" t="s">
        <v>58</v>
      </c>
      <c r="Z106" s="2">
        <v>0</v>
      </c>
      <c r="AA106">
        <v>0</v>
      </c>
      <c r="AB106" t="s">
        <v>60</v>
      </c>
      <c r="AC106" t="s">
        <v>61</v>
      </c>
      <c r="AD106">
        <v>0</v>
      </c>
      <c r="AE106" s="2">
        <v>0</v>
      </c>
      <c r="AF106" s="2">
        <v>0</v>
      </c>
      <c r="AG106" s="3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45957</v>
      </c>
      <c r="B107" t="s">
        <v>48</v>
      </c>
      <c r="C107">
        <v>649163</v>
      </c>
      <c r="D107">
        <v>2030500327</v>
      </c>
      <c r="E107" t="s">
        <v>116</v>
      </c>
      <c r="F107" t="s">
        <v>117</v>
      </c>
      <c r="G107" t="s">
        <v>51</v>
      </c>
      <c r="H107" t="s">
        <v>118</v>
      </c>
      <c r="I107" s="2">
        <v>38.93</v>
      </c>
      <c r="J107" t="s">
        <v>59</v>
      </c>
      <c r="K107" s="3">
        <v>0.42</v>
      </c>
      <c r="L107" s="2">
        <v>16.350000000000001</v>
      </c>
      <c r="M107" s="2">
        <v>0</v>
      </c>
      <c r="N107" s="2">
        <v>0</v>
      </c>
      <c r="O107" t="s">
        <v>53</v>
      </c>
      <c r="P107" t="s">
        <v>122</v>
      </c>
      <c r="Q107">
        <v>823068</v>
      </c>
      <c r="R107" t="s">
        <v>120</v>
      </c>
      <c r="S107" t="s">
        <v>121</v>
      </c>
      <c r="T107" t="s">
        <v>57</v>
      </c>
      <c r="U107" s="1">
        <v>45901</v>
      </c>
      <c r="W107" s="1">
        <v>45992</v>
      </c>
      <c r="X107">
        <v>1</v>
      </c>
      <c r="Y107" t="s">
        <v>58</v>
      </c>
      <c r="Z107" s="2">
        <v>0</v>
      </c>
      <c r="AA107">
        <v>0</v>
      </c>
      <c r="AB107" t="s">
        <v>60</v>
      </c>
      <c r="AC107" t="s">
        <v>61</v>
      </c>
      <c r="AD107">
        <v>0</v>
      </c>
      <c r="AE107" s="2">
        <v>0</v>
      </c>
      <c r="AF107" s="2">
        <v>0</v>
      </c>
      <c r="AG107" s="3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45957</v>
      </c>
      <c r="B108" t="s">
        <v>48</v>
      </c>
      <c r="C108">
        <v>649163</v>
      </c>
      <c r="D108">
        <v>2030714655</v>
      </c>
      <c r="E108" t="s">
        <v>86</v>
      </c>
      <c r="F108" t="s">
        <v>200</v>
      </c>
      <c r="G108" t="s">
        <v>51</v>
      </c>
      <c r="H108" t="s">
        <v>201</v>
      </c>
      <c r="I108" s="2">
        <v>22.02</v>
      </c>
      <c r="J108" t="s">
        <v>59</v>
      </c>
      <c r="K108" s="3">
        <v>0.42</v>
      </c>
      <c r="L108" s="2">
        <v>9.25</v>
      </c>
      <c r="M108" s="2">
        <v>0</v>
      </c>
      <c r="N108" s="2">
        <v>0</v>
      </c>
      <c r="O108" t="s">
        <v>53</v>
      </c>
      <c r="P108" t="s">
        <v>122</v>
      </c>
      <c r="Q108">
        <v>856824</v>
      </c>
      <c r="R108" t="s">
        <v>175</v>
      </c>
      <c r="S108" t="s">
        <v>176</v>
      </c>
      <c r="T108" t="s">
        <v>57</v>
      </c>
      <c r="U108" s="1">
        <v>45901</v>
      </c>
      <c r="W108" s="1">
        <v>45992</v>
      </c>
      <c r="X108">
        <v>1</v>
      </c>
      <c r="Y108" t="s">
        <v>58</v>
      </c>
      <c r="Z108" s="2">
        <v>0</v>
      </c>
      <c r="AA108">
        <v>0</v>
      </c>
      <c r="AB108" t="s">
        <v>60</v>
      </c>
      <c r="AC108" t="s">
        <v>61</v>
      </c>
      <c r="AD108">
        <v>0</v>
      </c>
      <c r="AE108" s="2">
        <v>0</v>
      </c>
      <c r="AF108" s="2">
        <v>0</v>
      </c>
      <c r="AG108" s="3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45957</v>
      </c>
      <c r="B109" t="s">
        <v>48</v>
      </c>
      <c r="C109">
        <v>649163</v>
      </c>
      <c r="D109">
        <v>2031146811</v>
      </c>
      <c r="E109" t="s">
        <v>241</v>
      </c>
      <c r="F109" t="s">
        <v>242</v>
      </c>
      <c r="G109" t="s">
        <v>51</v>
      </c>
      <c r="H109" t="s">
        <v>69</v>
      </c>
      <c r="I109" s="2">
        <v>51</v>
      </c>
      <c r="J109" t="s">
        <v>238</v>
      </c>
      <c r="K109" s="3">
        <v>0.42</v>
      </c>
      <c r="L109" s="2">
        <v>21.42</v>
      </c>
      <c r="M109" s="2">
        <v>0</v>
      </c>
      <c r="N109" s="2">
        <v>0</v>
      </c>
      <c r="O109" t="s">
        <v>53</v>
      </c>
      <c r="P109" t="s">
        <v>122</v>
      </c>
      <c r="Q109">
        <v>789909</v>
      </c>
      <c r="R109" t="s">
        <v>243</v>
      </c>
      <c r="S109" t="s">
        <v>244</v>
      </c>
      <c r="T109" t="s">
        <v>57</v>
      </c>
      <c r="U109" s="1">
        <v>45930</v>
      </c>
      <c r="W109" s="1">
        <v>45991</v>
      </c>
      <c r="X109">
        <v>1</v>
      </c>
      <c r="Y109" t="s">
        <v>58</v>
      </c>
      <c r="Z109" s="2">
        <v>0</v>
      </c>
      <c r="AA109">
        <v>0</v>
      </c>
      <c r="AB109" t="s">
        <v>60</v>
      </c>
      <c r="AC109" t="s">
        <v>61</v>
      </c>
      <c r="AD109">
        <v>0</v>
      </c>
      <c r="AE109" s="2">
        <v>0</v>
      </c>
      <c r="AF109" s="2">
        <v>0</v>
      </c>
      <c r="AG109" s="3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45957</v>
      </c>
      <c r="B110" t="s">
        <v>48</v>
      </c>
      <c r="C110">
        <v>649163</v>
      </c>
      <c r="D110">
        <v>2030199535</v>
      </c>
      <c r="E110" t="s">
        <v>153</v>
      </c>
      <c r="F110" t="s">
        <v>804</v>
      </c>
      <c r="G110" t="s">
        <v>51</v>
      </c>
      <c r="H110" t="s">
        <v>201</v>
      </c>
      <c r="I110" s="2">
        <v>22.02</v>
      </c>
      <c r="J110" t="s">
        <v>59</v>
      </c>
      <c r="K110" s="3">
        <v>0.42</v>
      </c>
      <c r="L110" s="2">
        <v>9.25</v>
      </c>
      <c r="M110" s="2">
        <v>0</v>
      </c>
      <c r="N110" s="2">
        <v>0</v>
      </c>
      <c r="O110" t="s">
        <v>53</v>
      </c>
      <c r="P110" t="s">
        <v>122</v>
      </c>
      <c r="Q110">
        <v>756418</v>
      </c>
      <c r="R110" t="s">
        <v>191</v>
      </c>
      <c r="S110" t="s">
        <v>192</v>
      </c>
      <c r="T110" t="s">
        <v>57</v>
      </c>
      <c r="U110" s="1">
        <v>45868</v>
      </c>
      <c r="W110" s="1">
        <v>45991</v>
      </c>
      <c r="X110">
        <v>1</v>
      </c>
      <c r="Y110" t="s">
        <v>58</v>
      </c>
      <c r="Z110" s="2">
        <v>0</v>
      </c>
      <c r="AA110">
        <v>0</v>
      </c>
      <c r="AB110" t="s">
        <v>60</v>
      </c>
      <c r="AC110" t="s">
        <v>61</v>
      </c>
      <c r="AD110">
        <v>0</v>
      </c>
      <c r="AE110" s="2">
        <v>0</v>
      </c>
      <c r="AF110" s="2">
        <v>0</v>
      </c>
      <c r="AG110" s="3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45957</v>
      </c>
      <c r="B111" t="s">
        <v>48</v>
      </c>
      <c r="C111">
        <v>649163</v>
      </c>
      <c r="D111">
        <v>2030313588</v>
      </c>
      <c r="E111" t="s">
        <v>49</v>
      </c>
      <c r="F111" t="s">
        <v>50</v>
      </c>
      <c r="G111" t="s">
        <v>51</v>
      </c>
      <c r="H111" t="s">
        <v>52</v>
      </c>
      <c r="I111" s="2">
        <v>120.91</v>
      </c>
      <c r="J111" t="s">
        <v>59</v>
      </c>
      <c r="K111" s="3">
        <v>0.7</v>
      </c>
      <c r="L111" s="2">
        <v>84.64</v>
      </c>
      <c r="M111" s="2">
        <v>0</v>
      </c>
      <c r="N111" s="2">
        <v>0</v>
      </c>
      <c r="O111" t="s">
        <v>53</v>
      </c>
      <c r="P111" t="s">
        <v>54</v>
      </c>
      <c r="Q111">
        <v>673059</v>
      </c>
      <c r="R111" t="s">
        <v>55</v>
      </c>
      <c r="S111" t="s">
        <v>56</v>
      </c>
      <c r="T111" t="s">
        <v>57</v>
      </c>
      <c r="U111" s="1">
        <v>45894</v>
      </c>
      <c r="W111" s="1">
        <v>45986</v>
      </c>
      <c r="X111">
        <v>1</v>
      </c>
      <c r="Y111" t="s">
        <v>58</v>
      </c>
      <c r="Z111" s="2">
        <v>0</v>
      </c>
      <c r="AA111">
        <v>0</v>
      </c>
      <c r="AB111" t="s">
        <v>60</v>
      </c>
      <c r="AC111" t="s">
        <v>61</v>
      </c>
      <c r="AD111">
        <v>0</v>
      </c>
      <c r="AE111" s="2">
        <v>0</v>
      </c>
      <c r="AF111" s="2">
        <v>0</v>
      </c>
      <c r="AG111" s="3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45957</v>
      </c>
      <c r="B112" t="s">
        <v>48</v>
      </c>
      <c r="C112">
        <v>649163</v>
      </c>
      <c r="D112">
        <v>2030328061</v>
      </c>
      <c r="E112" t="s">
        <v>62</v>
      </c>
      <c r="F112" t="s">
        <v>63</v>
      </c>
      <c r="G112" t="s">
        <v>51</v>
      </c>
      <c r="H112" t="s">
        <v>64</v>
      </c>
      <c r="I112" s="2">
        <v>13.71</v>
      </c>
      <c r="J112" t="s">
        <v>59</v>
      </c>
      <c r="K112" s="3">
        <v>0.7</v>
      </c>
      <c r="L112" s="2">
        <v>9.6</v>
      </c>
      <c r="M112" s="2">
        <v>0</v>
      </c>
      <c r="N112" s="2">
        <v>0</v>
      </c>
      <c r="O112" t="s">
        <v>53</v>
      </c>
      <c r="P112" t="s">
        <v>54</v>
      </c>
      <c r="Q112">
        <v>753748</v>
      </c>
      <c r="R112" t="s">
        <v>65</v>
      </c>
      <c r="S112" t="s">
        <v>66</v>
      </c>
      <c r="T112" t="s">
        <v>57</v>
      </c>
      <c r="U112" s="1">
        <v>45901</v>
      </c>
      <c r="W112" s="1">
        <v>45992</v>
      </c>
      <c r="X112">
        <v>1</v>
      </c>
      <c r="Y112" t="s">
        <v>58</v>
      </c>
      <c r="Z112" s="2">
        <v>0</v>
      </c>
      <c r="AA112">
        <v>0</v>
      </c>
      <c r="AB112" t="s">
        <v>60</v>
      </c>
      <c r="AC112" t="s">
        <v>61</v>
      </c>
      <c r="AD112">
        <v>0</v>
      </c>
      <c r="AE112" s="2">
        <v>0</v>
      </c>
      <c r="AF112" s="2">
        <v>0</v>
      </c>
      <c r="AG112" s="3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45957</v>
      </c>
      <c r="B113" t="s">
        <v>48</v>
      </c>
      <c r="C113">
        <v>649163</v>
      </c>
      <c r="D113">
        <v>2030361122</v>
      </c>
      <c r="E113" t="s">
        <v>67</v>
      </c>
      <c r="F113" t="s">
        <v>68</v>
      </c>
      <c r="G113" t="s">
        <v>51</v>
      </c>
      <c r="H113" t="s">
        <v>69</v>
      </c>
      <c r="I113" s="2">
        <v>78.069999999999993</v>
      </c>
      <c r="J113" t="s">
        <v>59</v>
      </c>
      <c r="K113" s="3">
        <v>0.7</v>
      </c>
      <c r="L113" s="2">
        <v>54.65</v>
      </c>
      <c r="M113" s="2">
        <v>0</v>
      </c>
      <c r="N113" s="2">
        <v>0</v>
      </c>
      <c r="O113" t="s">
        <v>53</v>
      </c>
      <c r="P113" t="s">
        <v>54</v>
      </c>
      <c r="Q113">
        <v>856163</v>
      </c>
      <c r="R113" t="s">
        <v>70</v>
      </c>
      <c r="S113" t="s">
        <v>71</v>
      </c>
      <c r="T113" t="s">
        <v>57</v>
      </c>
      <c r="U113" s="1">
        <v>45901</v>
      </c>
      <c r="W113" s="1">
        <v>45992</v>
      </c>
      <c r="X113">
        <v>1</v>
      </c>
      <c r="Y113" t="s">
        <v>58</v>
      </c>
      <c r="Z113" s="2">
        <v>0</v>
      </c>
      <c r="AA113">
        <v>0</v>
      </c>
      <c r="AB113" t="s">
        <v>60</v>
      </c>
      <c r="AC113" t="s">
        <v>61</v>
      </c>
      <c r="AD113">
        <v>0</v>
      </c>
      <c r="AE113" s="2">
        <v>0</v>
      </c>
      <c r="AF113" s="2">
        <v>0</v>
      </c>
      <c r="AG113" s="3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45957</v>
      </c>
      <c r="B114" t="s">
        <v>48</v>
      </c>
      <c r="C114">
        <v>649163</v>
      </c>
      <c r="D114">
        <v>2030372674</v>
      </c>
      <c r="E114" t="s">
        <v>72</v>
      </c>
      <c r="F114" t="s">
        <v>73</v>
      </c>
      <c r="G114" t="s">
        <v>51</v>
      </c>
      <c r="H114" t="s">
        <v>69</v>
      </c>
      <c r="I114" s="2">
        <v>102.7</v>
      </c>
      <c r="J114" t="s">
        <v>59</v>
      </c>
      <c r="K114" s="3">
        <v>0.7</v>
      </c>
      <c r="L114" s="2">
        <v>71.89</v>
      </c>
      <c r="M114" s="2">
        <v>0</v>
      </c>
      <c r="N114" s="2">
        <v>0</v>
      </c>
      <c r="O114" t="s">
        <v>53</v>
      </c>
      <c r="P114" t="s">
        <v>54</v>
      </c>
      <c r="Q114">
        <v>824062</v>
      </c>
      <c r="R114" t="s">
        <v>74</v>
      </c>
      <c r="S114" t="s">
        <v>75</v>
      </c>
      <c r="T114" t="s">
        <v>57</v>
      </c>
      <c r="U114" s="1">
        <v>45901</v>
      </c>
      <c r="W114" s="1">
        <v>45992</v>
      </c>
      <c r="X114">
        <v>1</v>
      </c>
      <c r="Y114" t="s">
        <v>58</v>
      </c>
      <c r="Z114" s="2">
        <v>0</v>
      </c>
      <c r="AA114">
        <v>0</v>
      </c>
      <c r="AB114" t="s">
        <v>60</v>
      </c>
      <c r="AC114" t="s">
        <v>61</v>
      </c>
      <c r="AD114">
        <v>0</v>
      </c>
      <c r="AE114" s="2">
        <v>0</v>
      </c>
      <c r="AF114" s="2">
        <v>0</v>
      </c>
      <c r="AG114" s="3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45957</v>
      </c>
      <c r="B115" t="s">
        <v>48</v>
      </c>
      <c r="C115">
        <v>649163</v>
      </c>
      <c r="D115">
        <v>2030383551</v>
      </c>
      <c r="E115" t="s">
        <v>76</v>
      </c>
      <c r="F115" t="s">
        <v>77</v>
      </c>
      <c r="G115" t="s">
        <v>51</v>
      </c>
      <c r="H115" t="s">
        <v>78</v>
      </c>
      <c r="I115" s="2">
        <v>36.58</v>
      </c>
      <c r="J115" t="s">
        <v>59</v>
      </c>
      <c r="K115" s="3">
        <v>0.7</v>
      </c>
      <c r="L115" s="2">
        <v>25.61</v>
      </c>
      <c r="M115" s="2">
        <v>0</v>
      </c>
      <c r="N115" s="2">
        <v>0</v>
      </c>
      <c r="O115" t="s">
        <v>53</v>
      </c>
      <c r="P115" t="s">
        <v>54</v>
      </c>
      <c r="Q115">
        <v>753748</v>
      </c>
      <c r="R115" t="s">
        <v>65</v>
      </c>
      <c r="S115" t="s">
        <v>66</v>
      </c>
      <c r="T115" t="s">
        <v>57</v>
      </c>
      <c r="U115" s="1">
        <v>45901</v>
      </c>
      <c r="W115" s="1">
        <v>45992</v>
      </c>
      <c r="X115">
        <v>1</v>
      </c>
      <c r="Y115" t="s">
        <v>58</v>
      </c>
      <c r="Z115" s="2">
        <v>0</v>
      </c>
      <c r="AA115">
        <v>0</v>
      </c>
      <c r="AB115" t="s">
        <v>60</v>
      </c>
      <c r="AC115" t="s">
        <v>61</v>
      </c>
      <c r="AD115">
        <v>0</v>
      </c>
      <c r="AE115" s="2">
        <v>0</v>
      </c>
      <c r="AF115" s="2">
        <v>0</v>
      </c>
      <c r="AG115" s="3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45957</v>
      </c>
      <c r="B116" t="s">
        <v>48</v>
      </c>
      <c r="C116">
        <v>649163</v>
      </c>
      <c r="D116">
        <v>2030409866</v>
      </c>
      <c r="E116" t="s">
        <v>79</v>
      </c>
      <c r="F116" t="s">
        <v>80</v>
      </c>
      <c r="G116" t="s">
        <v>51</v>
      </c>
      <c r="H116" t="s">
        <v>81</v>
      </c>
      <c r="I116" s="2">
        <v>66.239999999999995</v>
      </c>
      <c r="J116" t="s">
        <v>59</v>
      </c>
      <c r="K116" s="3">
        <v>0.7</v>
      </c>
      <c r="L116" s="2">
        <v>46.37</v>
      </c>
      <c r="M116" s="2">
        <v>0</v>
      </c>
      <c r="N116" s="2">
        <v>0</v>
      </c>
      <c r="O116" t="s">
        <v>53</v>
      </c>
      <c r="P116" t="s">
        <v>54</v>
      </c>
      <c r="Q116">
        <v>812656</v>
      </c>
      <c r="R116" t="s">
        <v>82</v>
      </c>
      <c r="S116" t="s">
        <v>83</v>
      </c>
      <c r="T116" t="s">
        <v>57</v>
      </c>
      <c r="U116" s="1">
        <v>45901</v>
      </c>
      <c r="W116" s="1">
        <v>45992</v>
      </c>
      <c r="X116">
        <v>1</v>
      </c>
      <c r="Y116" t="s">
        <v>58</v>
      </c>
      <c r="Z116" s="2">
        <v>0</v>
      </c>
      <c r="AA116">
        <v>0</v>
      </c>
      <c r="AB116" t="s">
        <v>60</v>
      </c>
      <c r="AC116" t="s">
        <v>61</v>
      </c>
      <c r="AD116">
        <v>0</v>
      </c>
      <c r="AE116" s="2">
        <v>0</v>
      </c>
      <c r="AF116" s="2">
        <v>0</v>
      </c>
      <c r="AG116" s="3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45957</v>
      </c>
      <c r="B117" t="s">
        <v>48</v>
      </c>
      <c r="C117">
        <v>649163</v>
      </c>
      <c r="D117">
        <v>2030439490</v>
      </c>
      <c r="E117" t="s">
        <v>84</v>
      </c>
      <c r="F117" t="s">
        <v>85</v>
      </c>
      <c r="G117" t="s">
        <v>51</v>
      </c>
      <c r="H117" t="s">
        <v>69</v>
      </c>
      <c r="I117" s="2">
        <v>60.25</v>
      </c>
      <c r="J117" t="s">
        <v>59</v>
      </c>
      <c r="K117" s="3">
        <v>0.7</v>
      </c>
      <c r="L117" s="2">
        <v>42.18</v>
      </c>
      <c r="M117" s="2">
        <v>0</v>
      </c>
      <c r="N117" s="2">
        <v>0</v>
      </c>
      <c r="O117" t="s">
        <v>53</v>
      </c>
      <c r="P117" t="s">
        <v>54</v>
      </c>
      <c r="Q117">
        <v>673059</v>
      </c>
      <c r="R117" t="s">
        <v>55</v>
      </c>
      <c r="S117" t="s">
        <v>56</v>
      </c>
      <c r="T117" t="s">
        <v>57</v>
      </c>
      <c r="U117" s="1">
        <v>45901</v>
      </c>
      <c r="W117" s="1">
        <v>45992</v>
      </c>
      <c r="X117">
        <v>1</v>
      </c>
      <c r="Y117" t="s">
        <v>58</v>
      </c>
      <c r="Z117" s="2">
        <v>0</v>
      </c>
      <c r="AA117">
        <v>0</v>
      </c>
      <c r="AB117" t="s">
        <v>60</v>
      </c>
      <c r="AC117" t="s">
        <v>61</v>
      </c>
      <c r="AD117">
        <v>0</v>
      </c>
      <c r="AE117" s="2">
        <v>0</v>
      </c>
      <c r="AF117" s="2">
        <v>0</v>
      </c>
      <c r="AG117" s="3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45957</v>
      </c>
      <c r="B118" t="s">
        <v>48</v>
      </c>
      <c r="C118">
        <v>649163</v>
      </c>
      <c r="D118">
        <v>2030453119</v>
      </c>
      <c r="E118" t="s">
        <v>86</v>
      </c>
      <c r="F118" t="s">
        <v>87</v>
      </c>
      <c r="G118" t="s">
        <v>51</v>
      </c>
      <c r="H118" t="s">
        <v>69</v>
      </c>
      <c r="I118" s="2">
        <v>31.6</v>
      </c>
      <c r="J118" t="s">
        <v>59</v>
      </c>
      <c r="K118" s="3">
        <v>0.7</v>
      </c>
      <c r="L118" s="2">
        <v>22.12</v>
      </c>
      <c r="M118" s="2">
        <v>0</v>
      </c>
      <c r="N118" s="2">
        <v>0</v>
      </c>
      <c r="O118" t="s">
        <v>53</v>
      </c>
      <c r="P118" t="s">
        <v>54</v>
      </c>
      <c r="Q118">
        <v>806645</v>
      </c>
      <c r="R118" t="s">
        <v>88</v>
      </c>
      <c r="S118" t="s">
        <v>89</v>
      </c>
      <c r="T118" t="s">
        <v>57</v>
      </c>
      <c r="U118" s="1">
        <v>45901</v>
      </c>
      <c r="W118" s="1">
        <v>45992</v>
      </c>
      <c r="X118">
        <v>1</v>
      </c>
      <c r="Y118" t="s">
        <v>58</v>
      </c>
      <c r="Z118" s="2">
        <v>0</v>
      </c>
      <c r="AA118">
        <v>0</v>
      </c>
      <c r="AB118" t="s">
        <v>60</v>
      </c>
      <c r="AC118" t="s">
        <v>61</v>
      </c>
      <c r="AD118">
        <v>0</v>
      </c>
      <c r="AE118" s="2">
        <v>0</v>
      </c>
      <c r="AF118" s="2">
        <v>0</v>
      </c>
      <c r="AG118" s="3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45957</v>
      </c>
      <c r="B119" t="s">
        <v>48</v>
      </c>
      <c r="C119">
        <v>649163</v>
      </c>
      <c r="D119">
        <v>2030453868</v>
      </c>
      <c r="E119" t="s">
        <v>90</v>
      </c>
      <c r="F119" t="s">
        <v>91</v>
      </c>
      <c r="G119" t="s">
        <v>51</v>
      </c>
      <c r="H119" t="s">
        <v>92</v>
      </c>
      <c r="I119" s="2">
        <v>9.1</v>
      </c>
      <c r="J119" t="s">
        <v>59</v>
      </c>
      <c r="K119" s="3">
        <v>0.7</v>
      </c>
      <c r="L119" s="2">
        <v>6.37</v>
      </c>
      <c r="M119" s="2">
        <v>0</v>
      </c>
      <c r="N119" s="2">
        <v>0</v>
      </c>
      <c r="O119" t="s">
        <v>53</v>
      </c>
      <c r="P119" t="s">
        <v>54</v>
      </c>
      <c r="Q119">
        <v>816021</v>
      </c>
      <c r="R119" t="s">
        <v>93</v>
      </c>
      <c r="S119" t="s">
        <v>94</v>
      </c>
      <c r="T119" t="s">
        <v>57</v>
      </c>
      <c r="U119" s="1">
        <v>45901</v>
      </c>
      <c r="W119" s="1">
        <v>45992</v>
      </c>
      <c r="X119">
        <v>1</v>
      </c>
      <c r="Y119" t="s">
        <v>58</v>
      </c>
      <c r="Z119" s="2">
        <v>0</v>
      </c>
      <c r="AA119">
        <v>0</v>
      </c>
      <c r="AB119" t="s">
        <v>60</v>
      </c>
      <c r="AC119" t="s">
        <v>61</v>
      </c>
      <c r="AD119">
        <v>0</v>
      </c>
      <c r="AE119" s="2">
        <v>0</v>
      </c>
      <c r="AF119" s="2">
        <v>0</v>
      </c>
      <c r="AG119" s="3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45957</v>
      </c>
      <c r="B120" t="s">
        <v>48</v>
      </c>
      <c r="C120">
        <v>649163</v>
      </c>
      <c r="D120">
        <v>2030464735</v>
      </c>
      <c r="E120" t="s">
        <v>95</v>
      </c>
      <c r="F120" t="s">
        <v>96</v>
      </c>
      <c r="G120" t="s">
        <v>51</v>
      </c>
      <c r="H120" t="s">
        <v>69</v>
      </c>
      <c r="I120" s="2">
        <v>57.57</v>
      </c>
      <c r="J120" t="s">
        <v>59</v>
      </c>
      <c r="K120" s="3">
        <v>0.7</v>
      </c>
      <c r="L120" s="2">
        <v>40.299999999999997</v>
      </c>
      <c r="M120" s="2">
        <v>0</v>
      </c>
      <c r="N120" s="2">
        <v>0</v>
      </c>
      <c r="O120" t="s">
        <v>53</v>
      </c>
      <c r="P120" t="s">
        <v>54</v>
      </c>
      <c r="Q120">
        <v>766747</v>
      </c>
      <c r="R120" t="s">
        <v>97</v>
      </c>
      <c r="S120" t="s">
        <v>98</v>
      </c>
      <c r="T120" t="s">
        <v>57</v>
      </c>
      <c r="U120" s="1">
        <v>45901</v>
      </c>
      <c r="W120" s="1">
        <v>45992</v>
      </c>
      <c r="X120">
        <v>1</v>
      </c>
      <c r="Y120" t="s">
        <v>58</v>
      </c>
      <c r="Z120" s="2">
        <v>0</v>
      </c>
      <c r="AA120">
        <v>0</v>
      </c>
      <c r="AB120" t="s">
        <v>60</v>
      </c>
      <c r="AC120" t="s">
        <v>61</v>
      </c>
      <c r="AD120">
        <v>0</v>
      </c>
      <c r="AE120" s="2">
        <v>0</v>
      </c>
      <c r="AF120" s="2">
        <v>0</v>
      </c>
      <c r="AG120" s="3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45957</v>
      </c>
      <c r="B121" t="s">
        <v>48</v>
      </c>
      <c r="C121">
        <v>649163</v>
      </c>
      <c r="D121">
        <v>2030468293</v>
      </c>
      <c r="E121" t="s">
        <v>99</v>
      </c>
      <c r="F121" t="s">
        <v>100</v>
      </c>
      <c r="G121" t="s">
        <v>51</v>
      </c>
      <c r="H121" t="s">
        <v>101</v>
      </c>
      <c r="I121" s="2">
        <v>74.14</v>
      </c>
      <c r="J121" t="s">
        <v>59</v>
      </c>
      <c r="K121" s="3">
        <v>0.7</v>
      </c>
      <c r="L121" s="2">
        <v>51.9</v>
      </c>
      <c r="M121" s="2">
        <v>0</v>
      </c>
      <c r="N121" s="2">
        <v>0</v>
      </c>
      <c r="O121" t="s">
        <v>53</v>
      </c>
      <c r="P121" t="s">
        <v>54</v>
      </c>
      <c r="Q121">
        <v>753748</v>
      </c>
      <c r="R121" t="s">
        <v>65</v>
      </c>
      <c r="S121" t="s">
        <v>66</v>
      </c>
      <c r="T121" t="s">
        <v>57</v>
      </c>
      <c r="U121" s="1">
        <v>45901</v>
      </c>
      <c r="W121" s="1">
        <v>45992</v>
      </c>
      <c r="X121">
        <v>1</v>
      </c>
      <c r="Y121" t="s">
        <v>58</v>
      </c>
      <c r="Z121" s="2">
        <v>0</v>
      </c>
      <c r="AA121">
        <v>0</v>
      </c>
      <c r="AB121" t="s">
        <v>60</v>
      </c>
      <c r="AC121" t="s">
        <v>61</v>
      </c>
      <c r="AD121">
        <v>0</v>
      </c>
      <c r="AE121" s="2">
        <v>0</v>
      </c>
      <c r="AF121" s="2">
        <v>0</v>
      </c>
      <c r="AG121" s="3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45957</v>
      </c>
      <c r="B122" t="s">
        <v>48</v>
      </c>
      <c r="C122">
        <v>649163</v>
      </c>
      <c r="D122">
        <v>2030488470</v>
      </c>
      <c r="E122" t="s">
        <v>102</v>
      </c>
      <c r="F122" t="s">
        <v>103</v>
      </c>
      <c r="G122" t="s">
        <v>51</v>
      </c>
      <c r="H122" t="s">
        <v>69</v>
      </c>
      <c r="I122" s="2">
        <v>65.55</v>
      </c>
      <c r="J122" t="s">
        <v>59</v>
      </c>
      <c r="K122" s="3">
        <v>0.7</v>
      </c>
      <c r="L122" s="2">
        <v>45.88</v>
      </c>
      <c r="M122" s="2">
        <v>0</v>
      </c>
      <c r="N122" s="2">
        <v>0</v>
      </c>
      <c r="O122" t="s">
        <v>53</v>
      </c>
      <c r="P122" t="s">
        <v>54</v>
      </c>
      <c r="Q122">
        <v>867497</v>
      </c>
      <c r="R122" t="s">
        <v>104</v>
      </c>
      <c r="S122" t="s">
        <v>105</v>
      </c>
      <c r="T122" t="s">
        <v>57</v>
      </c>
      <c r="U122" s="1">
        <v>45901</v>
      </c>
      <c r="W122" s="1">
        <v>45992</v>
      </c>
      <c r="X122">
        <v>1</v>
      </c>
      <c r="Y122" t="s">
        <v>58</v>
      </c>
      <c r="Z122" s="2">
        <v>0</v>
      </c>
      <c r="AA122">
        <v>0</v>
      </c>
      <c r="AB122" t="s">
        <v>60</v>
      </c>
      <c r="AC122" t="s">
        <v>61</v>
      </c>
      <c r="AD122">
        <v>0</v>
      </c>
      <c r="AE122" s="2">
        <v>0</v>
      </c>
      <c r="AF122" s="2">
        <v>0</v>
      </c>
      <c r="AG122" s="3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45957</v>
      </c>
      <c r="B123" t="s">
        <v>48</v>
      </c>
      <c r="C123">
        <v>649163</v>
      </c>
      <c r="D123">
        <v>2030491855</v>
      </c>
      <c r="E123" t="s">
        <v>106</v>
      </c>
      <c r="F123" t="s">
        <v>107</v>
      </c>
      <c r="G123" t="s">
        <v>51</v>
      </c>
      <c r="H123" t="s">
        <v>69</v>
      </c>
      <c r="I123" s="2">
        <v>19</v>
      </c>
      <c r="J123" t="s">
        <v>59</v>
      </c>
      <c r="K123" s="3">
        <v>0.7</v>
      </c>
      <c r="L123" s="2">
        <v>13.3</v>
      </c>
      <c r="M123" s="2">
        <v>0</v>
      </c>
      <c r="N123" s="2">
        <v>0</v>
      </c>
      <c r="O123" t="s">
        <v>53</v>
      </c>
      <c r="P123" t="s">
        <v>54</v>
      </c>
      <c r="Q123">
        <v>856574</v>
      </c>
      <c r="R123" t="s">
        <v>108</v>
      </c>
      <c r="S123" t="s">
        <v>109</v>
      </c>
      <c r="T123" t="s">
        <v>57</v>
      </c>
      <c r="U123" s="1">
        <v>45901</v>
      </c>
      <c r="W123" s="1">
        <v>45992</v>
      </c>
      <c r="X123">
        <v>1</v>
      </c>
      <c r="Y123" t="s">
        <v>58</v>
      </c>
      <c r="Z123" s="2">
        <v>0</v>
      </c>
      <c r="AA123">
        <v>0</v>
      </c>
      <c r="AB123" t="s">
        <v>60</v>
      </c>
      <c r="AC123" t="s">
        <v>61</v>
      </c>
      <c r="AD123">
        <v>0</v>
      </c>
      <c r="AE123" s="2">
        <v>0</v>
      </c>
      <c r="AF123" s="2">
        <v>0</v>
      </c>
      <c r="AG123" s="3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45957</v>
      </c>
      <c r="B124" t="s">
        <v>48</v>
      </c>
      <c r="C124">
        <v>649163</v>
      </c>
      <c r="D124">
        <v>2030493936</v>
      </c>
      <c r="E124" t="s">
        <v>110</v>
      </c>
      <c r="F124" t="s">
        <v>111</v>
      </c>
      <c r="G124" t="s">
        <v>51</v>
      </c>
      <c r="H124" t="s">
        <v>52</v>
      </c>
      <c r="I124" s="2">
        <v>59.57</v>
      </c>
      <c r="J124" t="s">
        <v>59</v>
      </c>
      <c r="K124" s="3">
        <v>0.7</v>
      </c>
      <c r="L124" s="2">
        <v>41.7</v>
      </c>
      <c r="M124" s="2">
        <v>0</v>
      </c>
      <c r="N124" s="2">
        <v>0</v>
      </c>
      <c r="O124" t="s">
        <v>53</v>
      </c>
      <c r="P124" t="s">
        <v>54</v>
      </c>
      <c r="Q124">
        <v>673059</v>
      </c>
      <c r="R124" t="s">
        <v>55</v>
      </c>
      <c r="S124" t="s">
        <v>56</v>
      </c>
      <c r="T124" t="s">
        <v>57</v>
      </c>
      <c r="U124" s="1">
        <v>45901</v>
      </c>
      <c r="W124" s="1">
        <v>45992</v>
      </c>
      <c r="X124">
        <v>1</v>
      </c>
      <c r="Y124" t="s">
        <v>58</v>
      </c>
      <c r="Z124" s="2">
        <v>0</v>
      </c>
      <c r="AA124">
        <v>0</v>
      </c>
      <c r="AB124" t="s">
        <v>60</v>
      </c>
      <c r="AC124" t="s">
        <v>61</v>
      </c>
      <c r="AD124">
        <v>0</v>
      </c>
      <c r="AE124" s="2">
        <v>0</v>
      </c>
      <c r="AF124" s="2">
        <v>0</v>
      </c>
      <c r="AG124" s="3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45957</v>
      </c>
      <c r="B125" t="s">
        <v>48</v>
      </c>
      <c r="C125">
        <v>649163</v>
      </c>
      <c r="D125">
        <v>2030499770</v>
      </c>
      <c r="E125" t="s">
        <v>112</v>
      </c>
      <c r="F125" t="s">
        <v>113</v>
      </c>
      <c r="G125" t="s">
        <v>51</v>
      </c>
      <c r="H125" t="s">
        <v>52</v>
      </c>
      <c r="I125" s="2">
        <v>30.86</v>
      </c>
      <c r="J125" t="s">
        <v>59</v>
      </c>
      <c r="K125" s="3">
        <v>0.7</v>
      </c>
      <c r="L125" s="2">
        <v>21.6</v>
      </c>
      <c r="M125" s="2">
        <v>0</v>
      </c>
      <c r="N125" s="2">
        <v>0</v>
      </c>
      <c r="O125" t="s">
        <v>53</v>
      </c>
      <c r="P125" t="s">
        <v>54</v>
      </c>
      <c r="Q125">
        <v>812782</v>
      </c>
      <c r="R125" t="s">
        <v>114</v>
      </c>
      <c r="S125" t="s">
        <v>115</v>
      </c>
      <c r="T125" t="s">
        <v>57</v>
      </c>
      <c r="U125" s="1">
        <v>45901</v>
      </c>
      <c r="W125" s="1">
        <v>45992</v>
      </c>
      <c r="X125">
        <v>1</v>
      </c>
      <c r="Y125" t="s">
        <v>58</v>
      </c>
      <c r="Z125" s="2">
        <v>0</v>
      </c>
      <c r="AA125">
        <v>0</v>
      </c>
      <c r="AB125" t="s">
        <v>60</v>
      </c>
      <c r="AC125" t="s">
        <v>61</v>
      </c>
      <c r="AD125">
        <v>0</v>
      </c>
      <c r="AE125" s="2">
        <v>0</v>
      </c>
      <c r="AF125" s="2">
        <v>0</v>
      </c>
      <c r="AG125" s="3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45957</v>
      </c>
      <c r="B126" t="s">
        <v>48</v>
      </c>
      <c r="C126">
        <v>649163</v>
      </c>
      <c r="D126">
        <v>2030500325</v>
      </c>
      <c r="E126" t="s">
        <v>116</v>
      </c>
      <c r="F126" t="s">
        <v>117</v>
      </c>
      <c r="G126" t="s">
        <v>51</v>
      </c>
      <c r="H126" t="s">
        <v>118</v>
      </c>
      <c r="I126" s="2">
        <v>55.58</v>
      </c>
      <c r="J126" t="s">
        <v>59</v>
      </c>
      <c r="K126" s="3">
        <v>0.7</v>
      </c>
      <c r="L126" s="2">
        <v>38.909999999999997</v>
      </c>
      <c r="M126" s="2">
        <v>0</v>
      </c>
      <c r="N126" s="2">
        <v>0</v>
      </c>
      <c r="O126" t="s">
        <v>53</v>
      </c>
      <c r="P126" t="s">
        <v>119</v>
      </c>
      <c r="Q126">
        <v>823068</v>
      </c>
      <c r="R126" t="s">
        <v>120</v>
      </c>
      <c r="S126" t="s">
        <v>121</v>
      </c>
      <c r="T126" t="s">
        <v>57</v>
      </c>
      <c r="U126" s="1">
        <v>45901</v>
      </c>
      <c r="W126" s="1">
        <v>45992</v>
      </c>
      <c r="X126">
        <v>1</v>
      </c>
      <c r="Y126" t="s">
        <v>58</v>
      </c>
      <c r="Z126" s="2">
        <v>0</v>
      </c>
      <c r="AA126">
        <v>0</v>
      </c>
      <c r="AB126" t="s">
        <v>60</v>
      </c>
      <c r="AC126" t="s">
        <v>61</v>
      </c>
      <c r="AD126">
        <v>0</v>
      </c>
      <c r="AE126" s="2">
        <v>0</v>
      </c>
      <c r="AF126" s="2">
        <v>0</v>
      </c>
      <c r="AG126" s="3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45957</v>
      </c>
      <c r="B127" t="s">
        <v>48</v>
      </c>
      <c r="C127">
        <v>649163</v>
      </c>
      <c r="D127">
        <v>2030500796</v>
      </c>
      <c r="E127" t="s">
        <v>123</v>
      </c>
      <c r="F127" t="s">
        <v>124</v>
      </c>
      <c r="G127" t="s">
        <v>51</v>
      </c>
      <c r="H127" t="s">
        <v>69</v>
      </c>
      <c r="I127" s="2">
        <v>119.57</v>
      </c>
      <c r="J127" t="s">
        <v>59</v>
      </c>
      <c r="K127" s="3">
        <v>0.7</v>
      </c>
      <c r="L127" s="2">
        <v>83.7</v>
      </c>
      <c r="M127" s="2">
        <v>0</v>
      </c>
      <c r="N127" s="2">
        <v>0</v>
      </c>
      <c r="O127" t="s">
        <v>53</v>
      </c>
      <c r="P127" t="s">
        <v>54</v>
      </c>
      <c r="Q127">
        <v>673059</v>
      </c>
      <c r="R127" t="s">
        <v>55</v>
      </c>
      <c r="S127" t="s">
        <v>56</v>
      </c>
      <c r="T127" t="s">
        <v>57</v>
      </c>
      <c r="U127" s="1">
        <v>45901</v>
      </c>
      <c r="W127" s="1">
        <v>45992</v>
      </c>
      <c r="X127">
        <v>1</v>
      </c>
      <c r="Y127" t="s">
        <v>58</v>
      </c>
      <c r="Z127" s="2">
        <v>0</v>
      </c>
      <c r="AA127">
        <v>0</v>
      </c>
      <c r="AB127" t="s">
        <v>60</v>
      </c>
      <c r="AC127" t="s">
        <v>61</v>
      </c>
      <c r="AD127">
        <v>0</v>
      </c>
      <c r="AE127" s="2">
        <v>0</v>
      </c>
      <c r="AF127" s="2">
        <v>0</v>
      </c>
      <c r="AG127" s="3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45957</v>
      </c>
      <c r="B128" t="s">
        <v>48</v>
      </c>
      <c r="C128">
        <v>649163</v>
      </c>
      <c r="D128">
        <v>2030552095</v>
      </c>
      <c r="E128" t="s">
        <v>125</v>
      </c>
      <c r="F128" t="s">
        <v>126</v>
      </c>
      <c r="G128" t="s">
        <v>51</v>
      </c>
      <c r="H128" t="s">
        <v>101</v>
      </c>
      <c r="I128" s="2">
        <v>88.71</v>
      </c>
      <c r="J128" t="s">
        <v>59</v>
      </c>
      <c r="K128" s="3">
        <v>0.7</v>
      </c>
      <c r="L128" s="2">
        <v>62.1</v>
      </c>
      <c r="M128" s="2">
        <v>0</v>
      </c>
      <c r="N128" s="2">
        <v>0</v>
      </c>
      <c r="O128" t="s">
        <v>53</v>
      </c>
      <c r="P128" t="s">
        <v>54</v>
      </c>
      <c r="Q128">
        <v>753748</v>
      </c>
      <c r="R128" t="s">
        <v>65</v>
      </c>
      <c r="S128" t="s">
        <v>66</v>
      </c>
      <c r="T128" t="s">
        <v>57</v>
      </c>
      <c r="U128" s="1">
        <v>45901</v>
      </c>
      <c r="W128" s="1">
        <v>45992</v>
      </c>
      <c r="X128">
        <v>1</v>
      </c>
      <c r="Y128" t="s">
        <v>58</v>
      </c>
      <c r="Z128" s="2">
        <v>0</v>
      </c>
      <c r="AA128">
        <v>0</v>
      </c>
      <c r="AB128" t="s">
        <v>60</v>
      </c>
      <c r="AC128" t="s">
        <v>61</v>
      </c>
      <c r="AD128">
        <v>0</v>
      </c>
      <c r="AE128" s="2">
        <v>0</v>
      </c>
      <c r="AF128" s="2">
        <v>0</v>
      </c>
      <c r="AG128" s="3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45957</v>
      </c>
      <c r="B129" t="s">
        <v>48</v>
      </c>
      <c r="C129">
        <v>649163</v>
      </c>
      <c r="D129">
        <v>2030552136</v>
      </c>
      <c r="E129" t="s">
        <v>127</v>
      </c>
      <c r="F129" t="s">
        <v>128</v>
      </c>
      <c r="G129" t="s">
        <v>51</v>
      </c>
      <c r="H129" t="s">
        <v>129</v>
      </c>
      <c r="I129" s="2">
        <v>65.48</v>
      </c>
      <c r="J129" t="s">
        <v>59</v>
      </c>
      <c r="K129" s="3">
        <v>0.7</v>
      </c>
      <c r="L129" s="2">
        <v>45.84</v>
      </c>
      <c r="M129" s="2">
        <v>0</v>
      </c>
      <c r="N129" s="2">
        <v>0</v>
      </c>
      <c r="O129" t="s">
        <v>53</v>
      </c>
      <c r="P129" t="s">
        <v>54</v>
      </c>
      <c r="Q129">
        <v>874230</v>
      </c>
      <c r="R129" t="s">
        <v>130</v>
      </c>
      <c r="S129" t="s">
        <v>131</v>
      </c>
      <c r="T129" t="s">
        <v>57</v>
      </c>
      <c r="U129" s="1">
        <v>45901</v>
      </c>
      <c r="W129" s="1">
        <v>45992</v>
      </c>
      <c r="X129">
        <v>1</v>
      </c>
      <c r="Y129" t="s">
        <v>58</v>
      </c>
      <c r="Z129" s="2">
        <v>0</v>
      </c>
      <c r="AA129">
        <v>0</v>
      </c>
      <c r="AB129" t="s">
        <v>60</v>
      </c>
      <c r="AC129" t="s">
        <v>61</v>
      </c>
      <c r="AD129">
        <v>0</v>
      </c>
      <c r="AE129" s="2">
        <v>0</v>
      </c>
      <c r="AF129" s="2">
        <v>0</v>
      </c>
      <c r="AG129" s="3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45957</v>
      </c>
      <c r="B130" t="s">
        <v>48</v>
      </c>
      <c r="C130">
        <v>649163</v>
      </c>
      <c r="D130">
        <v>2030569259</v>
      </c>
      <c r="E130" t="s">
        <v>133</v>
      </c>
      <c r="F130" t="s">
        <v>134</v>
      </c>
      <c r="G130" t="s">
        <v>51</v>
      </c>
      <c r="H130" t="s">
        <v>69</v>
      </c>
      <c r="I130" s="2">
        <v>11.5</v>
      </c>
      <c r="J130" t="s">
        <v>59</v>
      </c>
      <c r="K130" s="3">
        <v>0.7</v>
      </c>
      <c r="L130" s="2">
        <v>8.0500000000000007</v>
      </c>
      <c r="M130" s="2">
        <v>0</v>
      </c>
      <c r="N130" s="2">
        <v>0</v>
      </c>
      <c r="O130" t="s">
        <v>53</v>
      </c>
      <c r="P130" t="s">
        <v>54</v>
      </c>
      <c r="Q130">
        <v>824076</v>
      </c>
      <c r="R130" t="s">
        <v>135</v>
      </c>
      <c r="S130" t="s">
        <v>136</v>
      </c>
      <c r="T130" t="s">
        <v>57</v>
      </c>
      <c r="U130" s="1">
        <v>45901</v>
      </c>
      <c r="W130" s="1">
        <v>45992</v>
      </c>
      <c r="X130">
        <v>1</v>
      </c>
      <c r="Y130" t="s">
        <v>58</v>
      </c>
      <c r="Z130" s="2">
        <v>0</v>
      </c>
      <c r="AA130">
        <v>0</v>
      </c>
      <c r="AB130" t="s">
        <v>60</v>
      </c>
      <c r="AC130" t="s">
        <v>61</v>
      </c>
      <c r="AD130">
        <v>0</v>
      </c>
      <c r="AE130" s="2">
        <v>0</v>
      </c>
      <c r="AF130" s="2">
        <v>0</v>
      </c>
      <c r="AG130" s="3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45957</v>
      </c>
      <c r="B131" t="s">
        <v>48</v>
      </c>
      <c r="C131">
        <v>649163</v>
      </c>
      <c r="D131">
        <v>2030570950</v>
      </c>
      <c r="E131" t="s">
        <v>137</v>
      </c>
      <c r="F131" t="s">
        <v>138</v>
      </c>
      <c r="G131" t="s">
        <v>51</v>
      </c>
      <c r="H131" t="s">
        <v>69</v>
      </c>
      <c r="I131" s="2">
        <v>66.36</v>
      </c>
      <c r="J131" t="s">
        <v>59</v>
      </c>
      <c r="K131" s="3">
        <v>0.7</v>
      </c>
      <c r="L131" s="2">
        <v>46.45</v>
      </c>
      <c r="M131" s="2">
        <v>0</v>
      </c>
      <c r="N131" s="2">
        <v>0</v>
      </c>
      <c r="O131" t="s">
        <v>53</v>
      </c>
      <c r="P131" t="s">
        <v>54</v>
      </c>
      <c r="Q131">
        <v>856163</v>
      </c>
      <c r="R131" t="s">
        <v>70</v>
      </c>
      <c r="S131" t="s">
        <v>71</v>
      </c>
      <c r="T131" t="s">
        <v>57</v>
      </c>
      <c r="U131" s="1">
        <v>45901</v>
      </c>
      <c r="W131" s="1">
        <v>45992</v>
      </c>
      <c r="X131">
        <v>1</v>
      </c>
      <c r="Y131" t="s">
        <v>58</v>
      </c>
      <c r="Z131" s="2">
        <v>0</v>
      </c>
      <c r="AA131">
        <v>0</v>
      </c>
      <c r="AB131" t="s">
        <v>60</v>
      </c>
      <c r="AC131" t="s">
        <v>61</v>
      </c>
      <c r="AD131">
        <v>0</v>
      </c>
      <c r="AE131" s="2">
        <v>0</v>
      </c>
      <c r="AF131" s="2">
        <v>0</v>
      </c>
      <c r="AG131" s="3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45957</v>
      </c>
      <c r="B132" t="s">
        <v>48</v>
      </c>
      <c r="C132">
        <v>649163</v>
      </c>
      <c r="D132">
        <v>2030578219</v>
      </c>
      <c r="E132" t="s">
        <v>139</v>
      </c>
      <c r="F132" t="s">
        <v>140</v>
      </c>
      <c r="G132" t="s">
        <v>51</v>
      </c>
      <c r="H132" t="s">
        <v>69</v>
      </c>
      <c r="I132" s="2">
        <v>34</v>
      </c>
      <c r="J132" t="s">
        <v>59</v>
      </c>
      <c r="K132" s="3">
        <v>0.7</v>
      </c>
      <c r="L132" s="2">
        <v>23.8</v>
      </c>
      <c r="M132" s="2">
        <v>0</v>
      </c>
      <c r="N132" s="2">
        <v>0</v>
      </c>
      <c r="O132" t="s">
        <v>53</v>
      </c>
      <c r="P132" t="s">
        <v>54</v>
      </c>
      <c r="Q132">
        <v>882035</v>
      </c>
      <c r="R132" t="s">
        <v>141</v>
      </c>
      <c r="S132" t="s">
        <v>142</v>
      </c>
      <c r="T132" t="s">
        <v>57</v>
      </c>
      <c r="U132" s="1">
        <v>45901</v>
      </c>
      <c r="W132" s="1">
        <v>45992</v>
      </c>
      <c r="X132">
        <v>1</v>
      </c>
      <c r="Y132" t="s">
        <v>58</v>
      </c>
      <c r="Z132" s="2">
        <v>0</v>
      </c>
      <c r="AA132">
        <v>0</v>
      </c>
      <c r="AB132" t="s">
        <v>60</v>
      </c>
      <c r="AC132" t="s">
        <v>61</v>
      </c>
      <c r="AD132">
        <v>0</v>
      </c>
      <c r="AE132" s="2">
        <v>0</v>
      </c>
      <c r="AF132" s="2">
        <v>0</v>
      </c>
      <c r="AG132" s="3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45957</v>
      </c>
      <c r="B133" t="s">
        <v>48</v>
      </c>
      <c r="C133">
        <v>649163</v>
      </c>
      <c r="D133">
        <v>2030579017</v>
      </c>
      <c r="E133" t="s">
        <v>143</v>
      </c>
      <c r="F133" t="s">
        <v>144</v>
      </c>
      <c r="G133" t="s">
        <v>51</v>
      </c>
      <c r="H133" t="s">
        <v>145</v>
      </c>
      <c r="I133" s="2">
        <v>109.25</v>
      </c>
      <c r="J133" t="s">
        <v>59</v>
      </c>
      <c r="K133" s="3">
        <v>0.7</v>
      </c>
      <c r="L133" s="2">
        <v>76.48</v>
      </c>
      <c r="M133" s="2">
        <v>0</v>
      </c>
      <c r="N133" s="2">
        <v>0</v>
      </c>
      <c r="O133" t="s">
        <v>53</v>
      </c>
      <c r="P133" t="s">
        <v>54</v>
      </c>
      <c r="Q133">
        <v>812782</v>
      </c>
      <c r="R133" t="s">
        <v>114</v>
      </c>
      <c r="S133" t="s">
        <v>115</v>
      </c>
      <c r="T133" t="s">
        <v>57</v>
      </c>
      <c r="U133" s="1">
        <v>45901</v>
      </c>
      <c r="W133" s="1">
        <v>45992</v>
      </c>
      <c r="X133">
        <v>1</v>
      </c>
      <c r="Y133" t="s">
        <v>58</v>
      </c>
      <c r="Z133" s="2">
        <v>0</v>
      </c>
      <c r="AA133">
        <v>0</v>
      </c>
      <c r="AB133" t="s">
        <v>60</v>
      </c>
      <c r="AC133" t="s">
        <v>61</v>
      </c>
      <c r="AD133">
        <v>0</v>
      </c>
      <c r="AE133" s="2">
        <v>0</v>
      </c>
      <c r="AF133" s="2">
        <v>0</v>
      </c>
      <c r="AG133" s="3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45957</v>
      </c>
      <c r="B134" t="s">
        <v>48</v>
      </c>
      <c r="C134">
        <v>649163</v>
      </c>
      <c r="D134">
        <v>2030579268</v>
      </c>
      <c r="E134" t="s">
        <v>98</v>
      </c>
      <c r="F134" t="s">
        <v>146</v>
      </c>
      <c r="G134" t="s">
        <v>51</v>
      </c>
      <c r="H134" t="s">
        <v>69</v>
      </c>
      <c r="I134" s="2">
        <v>66.36</v>
      </c>
      <c r="J134" t="s">
        <v>59</v>
      </c>
      <c r="K134" s="3">
        <v>0.7</v>
      </c>
      <c r="L134" s="2">
        <v>46.45</v>
      </c>
      <c r="M134" s="2">
        <v>0</v>
      </c>
      <c r="N134" s="2">
        <v>0</v>
      </c>
      <c r="O134" t="s">
        <v>53</v>
      </c>
      <c r="P134" t="s">
        <v>54</v>
      </c>
      <c r="Q134">
        <v>814033</v>
      </c>
      <c r="R134" t="s">
        <v>147</v>
      </c>
      <c r="S134" t="s">
        <v>148</v>
      </c>
      <c r="T134" t="s">
        <v>57</v>
      </c>
      <c r="U134" s="1">
        <v>45901</v>
      </c>
      <c r="W134" s="1">
        <v>45992</v>
      </c>
      <c r="X134">
        <v>1</v>
      </c>
      <c r="Y134" t="s">
        <v>58</v>
      </c>
      <c r="Z134" s="2">
        <v>0</v>
      </c>
      <c r="AA134">
        <v>0</v>
      </c>
      <c r="AB134" t="s">
        <v>60</v>
      </c>
      <c r="AC134" t="s">
        <v>61</v>
      </c>
      <c r="AD134">
        <v>0</v>
      </c>
      <c r="AE134" s="2">
        <v>0</v>
      </c>
      <c r="AF134" s="2">
        <v>0</v>
      </c>
      <c r="AG134" s="3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45957</v>
      </c>
      <c r="B135" t="s">
        <v>48</v>
      </c>
      <c r="C135">
        <v>649163</v>
      </c>
      <c r="D135">
        <v>2030594430</v>
      </c>
      <c r="E135" t="s">
        <v>149</v>
      </c>
      <c r="F135" t="s">
        <v>150</v>
      </c>
      <c r="G135" t="s">
        <v>51</v>
      </c>
      <c r="H135" t="s">
        <v>145</v>
      </c>
      <c r="I135" s="2">
        <v>41.5</v>
      </c>
      <c r="J135" t="s">
        <v>59</v>
      </c>
      <c r="K135" s="3">
        <v>0.7</v>
      </c>
      <c r="L135" s="2">
        <v>29.05</v>
      </c>
      <c r="M135" s="2">
        <v>0</v>
      </c>
      <c r="N135" s="2">
        <v>0</v>
      </c>
      <c r="O135" t="s">
        <v>53</v>
      </c>
      <c r="P135" t="s">
        <v>54</v>
      </c>
      <c r="Q135">
        <v>822723</v>
      </c>
      <c r="R135" t="s">
        <v>151</v>
      </c>
      <c r="S135" t="s">
        <v>152</v>
      </c>
      <c r="T135" t="s">
        <v>57</v>
      </c>
      <c r="U135" s="1">
        <v>45898</v>
      </c>
      <c r="W135" s="1">
        <v>45990</v>
      </c>
      <c r="X135">
        <v>1</v>
      </c>
      <c r="Y135" t="s">
        <v>58</v>
      </c>
      <c r="Z135" s="2">
        <v>0</v>
      </c>
      <c r="AA135">
        <v>0</v>
      </c>
      <c r="AB135" t="s">
        <v>60</v>
      </c>
      <c r="AC135" t="s">
        <v>61</v>
      </c>
      <c r="AD135">
        <v>0</v>
      </c>
      <c r="AE135" s="2">
        <v>0</v>
      </c>
      <c r="AF135" s="2">
        <v>0</v>
      </c>
      <c r="AG135" s="3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45957</v>
      </c>
      <c r="B136" t="s">
        <v>48</v>
      </c>
      <c r="C136">
        <v>649163</v>
      </c>
      <c r="D136">
        <v>2030597037</v>
      </c>
      <c r="E136" t="s">
        <v>153</v>
      </c>
      <c r="F136" t="s">
        <v>154</v>
      </c>
      <c r="G136" t="s">
        <v>51</v>
      </c>
      <c r="H136" t="s">
        <v>118</v>
      </c>
      <c r="I136" s="2">
        <v>24.61</v>
      </c>
      <c r="J136" t="s">
        <v>59</v>
      </c>
      <c r="K136" s="3">
        <v>0.7</v>
      </c>
      <c r="L136" s="2">
        <v>17.23</v>
      </c>
      <c r="M136" s="2">
        <v>0</v>
      </c>
      <c r="N136" s="2">
        <v>0</v>
      </c>
      <c r="O136" t="s">
        <v>53</v>
      </c>
      <c r="P136" t="s">
        <v>119</v>
      </c>
      <c r="Q136">
        <v>652037</v>
      </c>
      <c r="R136" t="s">
        <v>155</v>
      </c>
      <c r="S136" t="s">
        <v>156</v>
      </c>
      <c r="T136" t="s">
        <v>57</v>
      </c>
      <c r="U136" s="1">
        <v>45901</v>
      </c>
      <c r="W136" s="1">
        <v>45992</v>
      </c>
      <c r="X136">
        <v>1</v>
      </c>
      <c r="Y136" t="s">
        <v>58</v>
      </c>
      <c r="Z136" s="2">
        <v>0</v>
      </c>
      <c r="AA136">
        <v>0</v>
      </c>
      <c r="AB136" t="s">
        <v>60</v>
      </c>
      <c r="AC136" t="s">
        <v>61</v>
      </c>
      <c r="AD136">
        <v>0</v>
      </c>
      <c r="AE136" s="2">
        <v>0</v>
      </c>
      <c r="AF136" s="2">
        <v>0</v>
      </c>
      <c r="AG136" s="3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45957</v>
      </c>
      <c r="B137" t="s">
        <v>48</v>
      </c>
      <c r="C137">
        <v>649163</v>
      </c>
      <c r="D137">
        <v>2030621734</v>
      </c>
      <c r="E137" t="s">
        <v>157</v>
      </c>
      <c r="F137" t="s">
        <v>158</v>
      </c>
      <c r="G137" t="s">
        <v>51</v>
      </c>
      <c r="H137" t="s">
        <v>69</v>
      </c>
      <c r="I137" s="2">
        <v>118.33</v>
      </c>
      <c r="J137" t="s">
        <v>59</v>
      </c>
      <c r="K137" s="3">
        <v>0.7</v>
      </c>
      <c r="L137" s="2">
        <v>82.83</v>
      </c>
      <c r="M137" s="2">
        <v>0</v>
      </c>
      <c r="N137" s="2">
        <v>0</v>
      </c>
      <c r="O137" t="s">
        <v>53</v>
      </c>
      <c r="P137" t="s">
        <v>54</v>
      </c>
      <c r="Q137">
        <v>840313</v>
      </c>
      <c r="R137" t="s">
        <v>159</v>
      </c>
      <c r="S137" t="s">
        <v>160</v>
      </c>
      <c r="T137" t="s">
        <v>57</v>
      </c>
      <c r="U137" s="1">
        <v>45901</v>
      </c>
      <c r="W137" s="1">
        <v>45992</v>
      </c>
      <c r="X137">
        <v>1</v>
      </c>
      <c r="Y137" t="s">
        <v>58</v>
      </c>
      <c r="Z137" s="2">
        <v>0</v>
      </c>
      <c r="AA137">
        <v>0</v>
      </c>
      <c r="AB137" t="s">
        <v>60</v>
      </c>
      <c r="AC137" t="s">
        <v>61</v>
      </c>
      <c r="AD137">
        <v>0</v>
      </c>
      <c r="AE137" s="2">
        <v>0</v>
      </c>
      <c r="AF137" s="2">
        <v>0</v>
      </c>
      <c r="AG137" s="3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45957</v>
      </c>
      <c r="B138" t="s">
        <v>48</v>
      </c>
      <c r="C138">
        <v>649163</v>
      </c>
      <c r="D138">
        <v>2030625305</v>
      </c>
      <c r="E138" t="s">
        <v>161</v>
      </c>
      <c r="F138" t="s">
        <v>162</v>
      </c>
      <c r="G138" t="s">
        <v>51</v>
      </c>
      <c r="H138" t="s">
        <v>69</v>
      </c>
      <c r="I138" s="2">
        <v>59.4</v>
      </c>
      <c r="J138" t="s">
        <v>59</v>
      </c>
      <c r="K138" s="3">
        <v>0.7</v>
      </c>
      <c r="L138" s="2">
        <v>41.58</v>
      </c>
      <c r="M138" s="2">
        <v>0</v>
      </c>
      <c r="N138" s="2">
        <v>0</v>
      </c>
      <c r="O138" t="s">
        <v>53</v>
      </c>
      <c r="P138" t="s">
        <v>54</v>
      </c>
      <c r="Q138">
        <v>882035</v>
      </c>
      <c r="R138" t="s">
        <v>141</v>
      </c>
      <c r="S138" t="s">
        <v>142</v>
      </c>
      <c r="T138" t="s">
        <v>57</v>
      </c>
      <c r="U138" s="1">
        <v>45901</v>
      </c>
      <c r="W138" s="1">
        <v>45992</v>
      </c>
      <c r="X138">
        <v>1</v>
      </c>
      <c r="Y138" t="s">
        <v>58</v>
      </c>
      <c r="Z138" s="2">
        <v>0</v>
      </c>
      <c r="AA138">
        <v>0</v>
      </c>
      <c r="AB138" t="s">
        <v>60</v>
      </c>
      <c r="AC138" t="s">
        <v>61</v>
      </c>
      <c r="AD138">
        <v>0</v>
      </c>
      <c r="AE138" s="2">
        <v>0</v>
      </c>
      <c r="AF138" s="2">
        <v>0</v>
      </c>
      <c r="AG138" s="3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45957</v>
      </c>
      <c r="B139" t="s">
        <v>48</v>
      </c>
      <c r="C139">
        <v>649163</v>
      </c>
      <c r="D139">
        <v>2030638848</v>
      </c>
      <c r="E139" t="s">
        <v>163</v>
      </c>
      <c r="F139" t="s">
        <v>164</v>
      </c>
      <c r="G139" t="s">
        <v>51</v>
      </c>
      <c r="H139" t="s">
        <v>165</v>
      </c>
      <c r="I139" s="2">
        <v>69.14</v>
      </c>
      <c r="J139" t="s">
        <v>59</v>
      </c>
      <c r="K139" s="3">
        <v>0.7</v>
      </c>
      <c r="L139" s="2">
        <v>48.4</v>
      </c>
      <c r="M139" s="2">
        <v>0</v>
      </c>
      <c r="N139" s="2">
        <v>0</v>
      </c>
      <c r="O139" t="s">
        <v>53</v>
      </c>
      <c r="P139" t="s">
        <v>54</v>
      </c>
      <c r="Q139">
        <v>673059</v>
      </c>
      <c r="R139" t="s">
        <v>55</v>
      </c>
      <c r="S139" t="s">
        <v>56</v>
      </c>
      <c r="T139" t="s">
        <v>57</v>
      </c>
      <c r="U139" s="1">
        <v>45901</v>
      </c>
      <c r="W139" s="1">
        <v>45992</v>
      </c>
      <c r="X139">
        <v>1</v>
      </c>
      <c r="Y139" t="s">
        <v>58</v>
      </c>
      <c r="Z139" s="2">
        <v>0</v>
      </c>
      <c r="AA139">
        <v>0</v>
      </c>
      <c r="AB139" t="s">
        <v>60</v>
      </c>
      <c r="AC139" t="s">
        <v>61</v>
      </c>
      <c r="AD139">
        <v>0</v>
      </c>
      <c r="AE139" s="2">
        <v>0</v>
      </c>
      <c r="AF139" s="2">
        <v>0</v>
      </c>
      <c r="AG139" s="3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45957</v>
      </c>
      <c r="B140" t="s">
        <v>48</v>
      </c>
      <c r="C140">
        <v>649163</v>
      </c>
      <c r="D140">
        <v>2030642689</v>
      </c>
      <c r="E140" t="s">
        <v>103</v>
      </c>
      <c r="F140" t="s">
        <v>166</v>
      </c>
      <c r="G140" t="s">
        <v>51</v>
      </c>
      <c r="H140" t="s">
        <v>52</v>
      </c>
      <c r="I140" s="2">
        <v>41.75</v>
      </c>
      <c r="J140" t="s">
        <v>59</v>
      </c>
      <c r="K140" s="3">
        <v>0.7</v>
      </c>
      <c r="L140" s="2">
        <v>29.22</v>
      </c>
      <c r="M140" s="2">
        <v>0</v>
      </c>
      <c r="N140" s="2">
        <v>0</v>
      </c>
      <c r="O140" t="s">
        <v>53</v>
      </c>
      <c r="P140" t="s">
        <v>54</v>
      </c>
      <c r="Q140">
        <v>673059</v>
      </c>
      <c r="R140" t="s">
        <v>55</v>
      </c>
      <c r="S140" t="s">
        <v>56</v>
      </c>
      <c r="T140" t="s">
        <v>57</v>
      </c>
      <c r="U140" s="1">
        <v>45901</v>
      </c>
      <c r="W140" s="1">
        <v>45992</v>
      </c>
      <c r="X140">
        <v>1</v>
      </c>
      <c r="Y140" t="s">
        <v>58</v>
      </c>
      <c r="Z140" s="2">
        <v>0</v>
      </c>
      <c r="AA140">
        <v>0</v>
      </c>
      <c r="AB140" t="s">
        <v>60</v>
      </c>
      <c r="AC140" t="s">
        <v>61</v>
      </c>
      <c r="AD140">
        <v>0</v>
      </c>
      <c r="AE140" s="2">
        <v>0</v>
      </c>
      <c r="AF140" s="2">
        <v>0</v>
      </c>
      <c r="AG140" s="3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45957</v>
      </c>
      <c r="B141" t="s">
        <v>48</v>
      </c>
      <c r="C141">
        <v>649163</v>
      </c>
      <c r="D141">
        <v>2030659851</v>
      </c>
      <c r="E141" t="s">
        <v>167</v>
      </c>
      <c r="F141" t="s">
        <v>168</v>
      </c>
      <c r="G141" t="s">
        <v>51</v>
      </c>
      <c r="H141" t="s">
        <v>69</v>
      </c>
      <c r="I141" s="2">
        <v>31.6</v>
      </c>
      <c r="J141" t="s">
        <v>59</v>
      </c>
      <c r="K141" s="3">
        <v>0.7</v>
      </c>
      <c r="L141" s="2">
        <v>22.12</v>
      </c>
      <c r="M141" s="2">
        <v>0</v>
      </c>
      <c r="N141" s="2">
        <v>0</v>
      </c>
      <c r="O141" t="s">
        <v>53</v>
      </c>
      <c r="P141" t="s">
        <v>54</v>
      </c>
      <c r="Q141">
        <v>669316</v>
      </c>
      <c r="R141" t="s">
        <v>169</v>
      </c>
      <c r="S141" t="s">
        <v>170</v>
      </c>
      <c r="T141" t="s">
        <v>57</v>
      </c>
      <c r="U141" s="1">
        <v>45901</v>
      </c>
      <c r="W141" s="1">
        <v>45992</v>
      </c>
      <c r="X141">
        <v>1</v>
      </c>
      <c r="Y141" t="s">
        <v>58</v>
      </c>
      <c r="Z141" s="2">
        <v>0</v>
      </c>
      <c r="AA141">
        <v>0</v>
      </c>
      <c r="AB141" t="s">
        <v>60</v>
      </c>
      <c r="AC141" t="s">
        <v>61</v>
      </c>
      <c r="AD141">
        <v>0</v>
      </c>
      <c r="AE141" s="2">
        <v>0</v>
      </c>
      <c r="AF141" s="2">
        <v>0</v>
      </c>
      <c r="AG141" s="3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45957</v>
      </c>
      <c r="B142" t="s">
        <v>48</v>
      </c>
      <c r="C142">
        <v>649163</v>
      </c>
      <c r="D142">
        <v>2030670300</v>
      </c>
      <c r="E142" t="s">
        <v>171</v>
      </c>
      <c r="F142" t="s">
        <v>172</v>
      </c>
      <c r="G142" t="s">
        <v>51</v>
      </c>
      <c r="H142" t="s">
        <v>52</v>
      </c>
      <c r="I142" s="2">
        <v>32.31</v>
      </c>
      <c r="J142" t="s">
        <v>59</v>
      </c>
      <c r="K142" s="3">
        <v>0.7</v>
      </c>
      <c r="L142" s="2">
        <v>22.62</v>
      </c>
      <c r="M142" s="2">
        <v>0</v>
      </c>
      <c r="N142" s="2">
        <v>0</v>
      </c>
      <c r="O142" t="s">
        <v>53</v>
      </c>
      <c r="P142" t="s">
        <v>54</v>
      </c>
      <c r="Q142">
        <v>814033</v>
      </c>
      <c r="R142" t="s">
        <v>147</v>
      </c>
      <c r="S142" t="s">
        <v>148</v>
      </c>
      <c r="T142" t="s">
        <v>57</v>
      </c>
      <c r="U142" s="1">
        <v>45901</v>
      </c>
      <c r="W142" s="1">
        <v>45992</v>
      </c>
      <c r="X142">
        <v>1</v>
      </c>
      <c r="Y142" t="s">
        <v>58</v>
      </c>
      <c r="Z142" s="2">
        <v>0</v>
      </c>
      <c r="AA142">
        <v>0</v>
      </c>
      <c r="AB142" t="s">
        <v>60</v>
      </c>
      <c r="AC142" t="s">
        <v>61</v>
      </c>
      <c r="AD142">
        <v>0</v>
      </c>
      <c r="AE142" s="2">
        <v>0</v>
      </c>
      <c r="AF142" s="2">
        <v>0</v>
      </c>
      <c r="AG142" s="3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45957</v>
      </c>
      <c r="B143" t="s">
        <v>48</v>
      </c>
      <c r="C143">
        <v>649163</v>
      </c>
      <c r="D143">
        <v>2030671135</v>
      </c>
      <c r="E143" t="s">
        <v>173</v>
      </c>
      <c r="F143" t="s">
        <v>174</v>
      </c>
      <c r="G143" t="s">
        <v>51</v>
      </c>
      <c r="H143" t="s">
        <v>81</v>
      </c>
      <c r="I143" s="2">
        <v>29.1</v>
      </c>
      <c r="J143" t="s">
        <v>59</v>
      </c>
      <c r="K143" s="3">
        <v>0.7</v>
      </c>
      <c r="L143" s="2">
        <v>20.37</v>
      </c>
      <c r="M143" s="2">
        <v>0</v>
      </c>
      <c r="N143" s="2">
        <v>0</v>
      </c>
      <c r="O143" t="s">
        <v>53</v>
      </c>
      <c r="P143" t="s">
        <v>54</v>
      </c>
      <c r="Q143">
        <v>856824</v>
      </c>
      <c r="R143" t="s">
        <v>175</v>
      </c>
      <c r="S143" t="s">
        <v>176</v>
      </c>
      <c r="T143" t="s">
        <v>57</v>
      </c>
      <c r="U143" s="1">
        <v>45901</v>
      </c>
      <c r="W143" s="1">
        <v>45992</v>
      </c>
      <c r="X143">
        <v>1</v>
      </c>
      <c r="Y143" t="s">
        <v>58</v>
      </c>
      <c r="Z143" s="2">
        <v>0</v>
      </c>
      <c r="AA143">
        <v>0</v>
      </c>
      <c r="AB143" t="s">
        <v>60</v>
      </c>
      <c r="AC143" t="s">
        <v>61</v>
      </c>
      <c r="AD143">
        <v>0</v>
      </c>
      <c r="AE143" s="2">
        <v>0</v>
      </c>
      <c r="AF143" s="2">
        <v>0</v>
      </c>
      <c r="AG143" s="3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45957</v>
      </c>
      <c r="B144" t="s">
        <v>48</v>
      </c>
      <c r="C144">
        <v>649163</v>
      </c>
      <c r="D144">
        <v>2030673650</v>
      </c>
      <c r="E144" t="s">
        <v>177</v>
      </c>
      <c r="F144" t="s">
        <v>178</v>
      </c>
      <c r="G144" t="s">
        <v>51</v>
      </c>
      <c r="H144" t="s">
        <v>179</v>
      </c>
      <c r="I144" s="2">
        <v>113.98</v>
      </c>
      <c r="J144" t="s">
        <v>59</v>
      </c>
      <c r="K144" s="3">
        <v>0.7</v>
      </c>
      <c r="L144" s="2">
        <v>79.790000000000006</v>
      </c>
      <c r="M144" s="2">
        <v>0</v>
      </c>
      <c r="N144" s="2">
        <v>0</v>
      </c>
      <c r="O144" t="s">
        <v>53</v>
      </c>
      <c r="P144" t="s">
        <v>54</v>
      </c>
      <c r="Q144">
        <v>673059</v>
      </c>
      <c r="R144" t="s">
        <v>55</v>
      </c>
      <c r="S144" t="s">
        <v>56</v>
      </c>
      <c r="T144" t="s">
        <v>57</v>
      </c>
      <c r="U144" s="1">
        <v>45901</v>
      </c>
      <c r="W144" s="1">
        <v>45992</v>
      </c>
      <c r="X144">
        <v>1</v>
      </c>
      <c r="Y144" t="s">
        <v>58</v>
      </c>
      <c r="Z144" s="2">
        <v>0</v>
      </c>
      <c r="AA144">
        <v>0</v>
      </c>
      <c r="AB144" t="s">
        <v>60</v>
      </c>
      <c r="AC144" t="s">
        <v>61</v>
      </c>
      <c r="AD144">
        <v>0</v>
      </c>
      <c r="AE144" s="2">
        <v>0</v>
      </c>
      <c r="AF144" s="2">
        <v>0</v>
      </c>
      <c r="AG144" s="3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45957</v>
      </c>
      <c r="B145" t="s">
        <v>48</v>
      </c>
      <c r="C145">
        <v>649163</v>
      </c>
      <c r="D145">
        <v>2030673651</v>
      </c>
      <c r="E145" t="s">
        <v>177</v>
      </c>
      <c r="F145" t="s">
        <v>178</v>
      </c>
      <c r="G145" t="s">
        <v>51</v>
      </c>
      <c r="H145" t="s">
        <v>179</v>
      </c>
      <c r="I145" s="2">
        <v>8.3699999999999992</v>
      </c>
      <c r="J145" t="s">
        <v>59</v>
      </c>
      <c r="K145" s="3">
        <v>0.7</v>
      </c>
      <c r="L145" s="2">
        <v>5.86</v>
      </c>
      <c r="M145" s="2">
        <v>0</v>
      </c>
      <c r="N145" s="2">
        <v>0</v>
      </c>
      <c r="O145" t="s">
        <v>53</v>
      </c>
      <c r="P145" t="s">
        <v>119</v>
      </c>
      <c r="Q145">
        <v>673059</v>
      </c>
      <c r="R145" t="s">
        <v>55</v>
      </c>
      <c r="S145" t="s">
        <v>56</v>
      </c>
      <c r="T145" t="s">
        <v>57</v>
      </c>
      <c r="U145" s="1">
        <v>45901</v>
      </c>
      <c r="W145" s="1">
        <v>45992</v>
      </c>
      <c r="X145">
        <v>1</v>
      </c>
      <c r="Y145" t="s">
        <v>58</v>
      </c>
      <c r="Z145" s="2">
        <v>0</v>
      </c>
      <c r="AA145">
        <v>0</v>
      </c>
      <c r="AB145" t="s">
        <v>60</v>
      </c>
      <c r="AC145" t="s">
        <v>61</v>
      </c>
      <c r="AD145">
        <v>0</v>
      </c>
      <c r="AE145" s="2">
        <v>0</v>
      </c>
      <c r="AF145" s="2">
        <v>0</v>
      </c>
      <c r="AG145" s="3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45957</v>
      </c>
      <c r="B146" t="s">
        <v>48</v>
      </c>
      <c r="C146">
        <v>649163</v>
      </c>
      <c r="D146">
        <v>2030675165</v>
      </c>
      <c r="E146" t="s">
        <v>180</v>
      </c>
      <c r="F146" t="s">
        <v>181</v>
      </c>
      <c r="G146" t="s">
        <v>51</v>
      </c>
      <c r="H146" t="s">
        <v>182</v>
      </c>
      <c r="I146" s="2">
        <v>24.15</v>
      </c>
      <c r="J146" t="s">
        <v>59</v>
      </c>
      <c r="K146" s="3">
        <v>0.7</v>
      </c>
      <c r="L146" s="2">
        <v>16.899999999999999</v>
      </c>
      <c r="M146" s="2">
        <v>0</v>
      </c>
      <c r="N146" s="2">
        <v>0</v>
      </c>
      <c r="O146" t="s">
        <v>53</v>
      </c>
      <c r="P146" t="s">
        <v>54</v>
      </c>
      <c r="Q146">
        <v>823350</v>
      </c>
      <c r="R146" t="s">
        <v>70</v>
      </c>
      <c r="S146" t="s">
        <v>183</v>
      </c>
      <c r="T146" t="s">
        <v>57</v>
      </c>
      <c r="U146" s="1">
        <v>45901</v>
      </c>
      <c r="W146" s="1">
        <v>45992</v>
      </c>
      <c r="X146">
        <v>1</v>
      </c>
      <c r="Y146" t="s">
        <v>58</v>
      </c>
      <c r="Z146" s="2">
        <v>0</v>
      </c>
      <c r="AA146">
        <v>0</v>
      </c>
      <c r="AB146" t="s">
        <v>60</v>
      </c>
      <c r="AC146" t="s">
        <v>61</v>
      </c>
      <c r="AD146">
        <v>0</v>
      </c>
      <c r="AE146" s="2">
        <v>0</v>
      </c>
      <c r="AF146" s="2">
        <v>0</v>
      </c>
      <c r="AG146" s="3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45957</v>
      </c>
      <c r="B147" t="s">
        <v>48</v>
      </c>
      <c r="C147">
        <v>649163</v>
      </c>
      <c r="D147">
        <v>2030686025</v>
      </c>
      <c r="E147" t="s">
        <v>184</v>
      </c>
      <c r="F147" t="s">
        <v>185</v>
      </c>
      <c r="G147" t="s">
        <v>51</v>
      </c>
      <c r="H147" t="s">
        <v>92</v>
      </c>
      <c r="I147" s="2">
        <v>9.1</v>
      </c>
      <c r="J147" t="s">
        <v>59</v>
      </c>
      <c r="K147" s="3">
        <v>0.7</v>
      </c>
      <c r="L147" s="2">
        <v>6.37</v>
      </c>
      <c r="M147" s="2">
        <v>0</v>
      </c>
      <c r="N147" s="2">
        <v>0</v>
      </c>
      <c r="O147" t="s">
        <v>53</v>
      </c>
      <c r="P147" t="s">
        <v>54</v>
      </c>
      <c r="Q147">
        <v>816021</v>
      </c>
      <c r="R147" t="s">
        <v>93</v>
      </c>
      <c r="S147" t="s">
        <v>94</v>
      </c>
      <c r="T147" t="s">
        <v>57</v>
      </c>
      <c r="U147" s="1">
        <v>45901</v>
      </c>
      <c r="W147" s="1">
        <v>45992</v>
      </c>
      <c r="X147">
        <v>1</v>
      </c>
      <c r="Y147" t="s">
        <v>58</v>
      </c>
      <c r="Z147" s="2">
        <v>0</v>
      </c>
      <c r="AA147">
        <v>0</v>
      </c>
      <c r="AB147" t="s">
        <v>60</v>
      </c>
      <c r="AC147" t="s">
        <v>61</v>
      </c>
      <c r="AD147">
        <v>0</v>
      </c>
      <c r="AE147" s="2">
        <v>0</v>
      </c>
      <c r="AF147" s="2">
        <v>0</v>
      </c>
      <c r="AG147" s="3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45957</v>
      </c>
      <c r="B148" t="s">
        <v>48</v>
      </c>
      <c r="C148">
        <v>649163</v>
      </c>
      <c r="D148">
        <v>2030694347</v>
      </c>
      <c r="E148" t="s">
        <v>186</v>
      </c>
      <c r="F148" t="s">
        <v>187</v>
      </c>
      <c r="G148" t="s">
        <v>51</v>
      </c>
      <c r="H148" t="s">
        <v>129</v>
      </c>
      <c r="I148" s="2">
        <v>53.04</v>
      </c>
      <c r="J148" t="s">
        <v>59</v>
      </c>
      <c r="K148" s="3">
        <v>0.7</v>
      </c>
      <c r="L148" s="2">
        <v>37.130000000000003</v>
      </c>
      <c r="M148" s="2">
        <v>0</v>
      </c>
      <c r="N148" s="2">
        <v>0</v>
      </c>
      <c r="O148" t="s">
        <v>53</v>
      </c>
      <c r="P148" t="s">
        <v>54</v>
      </c>
      <c r="Q148">
        <v>874230</v>
      </c>
      <c r="R148" t="s">
        <v>130</v>
      </c>
      <c r="S148" t="s">
        <v>131</v>
      </c>
      <c r="T148" t="s">
        <v>57</v>
      </c>
      <c r="U148" s="1">
        <v>45901</v>
      </c>
      <c r="W148" s="1">
        <v>45992</v>
      </c>
      <c r="X148">
        <v>1</v>
      </c>
      <c r="Y148" t="s">
        <v>58</v>
      </c>
      <c r="Z148" s="2">
        <v>0</v>
      </c>
      <c r="AA148">
        <v>0</v>
      </c>
      <c r="AB148" t="s">
        <v>60</v>
      </c>
      <c r="AC148" t="s">
        <v>61</v>
      </c>
      <c r="AD148">
        <v>0</v>
      </c>
      <c r="AE148" s="2">
        <v>0</v>
      </c>
      <c r="AF148" s="2">
        <v>0</v>
      </c>
      <c r="AG148" s="3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45957</v>
      </c>
      <c r="B149" t="s">
        <v>48</v>
      </c>
      <c r="C149">
        <v>649163</v>
      </c>
      <c r="D149">
        <v>2030694666</v>
      </c>
      <c r="E149" t="s">
        <v>188</v>
      </c>
      <c r="F149" t="s">
        <v>189</v>
      </c>
      <c r="G149" t="s">
        <v>51</v>
      </c>
      <c r="H149" t="s">
        <v>190</v>
      </c>
      <c r="I149" s="2">
        <v>26.32</v>
      </c>
      <c r="J149" t="s">
        <v>59</v>
      </c>
      <c r="K149" s="3">
        <v>0.7</v>
      </c>
      <c r="L149" s="2">
        <v>18.420000000000002</v>
      </c>
      <c r="M149" s="2">
        <v>0</v>
      </c>
      <c r="N149" s="2">
        <v>0</v>
      </c>
      <c r="O149" t="s">
        <v>53</v>
      </c>
      <c r="P149" t="s">
        <v>54</v>
      </c>
      <c r="Q149">
        <v>756418</v>
      </c>
      <c r="R149" t="s">
        <v>191</v>
      </c>
      <c r="S149" t="s">
        <v>192</v>
      </c>
      <c r="T149" t="s">
        <v>57</v>
      </c>
      <c r="U149" s="1">
        <v>45896</v>
      </c>
      <c r="W149" s="1">
        <v>45988</v>
      </c>
      <c r="X149">
        <v>1</v>
      </c>
      <c r="Y149" t="s">
        <v>58</v>
      </c>
      <c r="Z149" s="2">
        <v>0</v>
      </c>
      <c r="AA149">
        <v>0</v>
      </c>
      <c r="AB149" t="s">
        <v>60</v>
      </c>
      <c r="AC149" t="s">
        <v>61</v>
      </c>
      <c r="AD149">
        <v>0</v>
      </c>
      <c r="AE149" s="2">
        <v>0</v>
      </c>
      <c r="AF149" s="2">
        <v>0</v>
      </c>
      <c r="AG149" s="3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45957</v>
      </c>
      <c r="B150" t="s">
        <v>48</v>
      </c>
      <c r="C150">
        <v>649163</v>
      </c>
      <c r="D150">
        <v>2030707328</v>
      </c>
      <c r="E150" t="s">
        <v>198</v>
      </c>
      <c r="F150" t="s">
        <v>199</v>
      </c>
      <c r="G150" t="s">
        <v>51</v>
      </c>
      <c r="H150" t="s">
        <v>92</v>
      </c>
      <c r="I150" s="2">
        <v>19.489999999999998</v>
      </c>
      <c r="J150" t="s">
        <v>59</v>
      </c>
      <c r="K150" s="3">
        <v>0.7</v>
      </c>
      <c r="L150" s="2">
        <v>13.64</v>
      </c>
      <c r="M150" s="2">
        <v>0</v>
      </c>
      <c r="N150" s="2">
        <v>0</v>
      </c>
      <c r="O150" t="s">
        <v>53</v>
      </c>
      <c r="P150" t="s">
        <v>54</v>
      </c>
      <c r="Q150">
        <v>756418</v>
      </c>
      <c r="R150" t="s">
        <v>191</v>
      </c>
      <c r="S150" t="s">
        <v>192</v>
      </c>
      <c r="T150" t="s">
        <v>57</v>
      </c>
      <c r="U150" s="1">
        <v>45896</v>
      </c>
      <c r="W150" s="1">
        <v>45988</v>
      </c>
      <c r="X150">
        <v>1</v>
      </c>
      <c r="Y150" t="s">
        <v>58</v>
      </c>
      <c r="Z150" s="2">
        <v>0</v>
      </c>
      <c r="AA150">
        <v>0</v>
      </c>
      <c r="AB150" t="s">
        <v>60</v>
      </c>
      <c r="AC150" t="s">
        <v>61</v>
      </c>
      <c r="AD150">
        <v>0</v>
      </c>
      <c r="AE150" s="2">
        <v>0</v>
      </c>
      <c r="AF150" s="2">
        <v>0</v>
      </c>
      <c r="AG150" s="3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45957</v>
      </c>
      <c r="B151" t="s">
        <v>48</v>
      </c>
      <c r="C151">
        <v>649163</v>
      </c>
      <c r="D151">
        <v>2030720375</v>
      </c>
      <c r="E151" t="s">
        <v>202</v>
      </c>
      <c r="F151" t="s">
        <v>203</v>
      </c>
      <c r="G151" t="s">
        <v>51</v>
      </c>
      <c r="H151" t="s">
        <v>92</v>
      </c>
      <c r="I151" s="2">
        <v>9.1</v>
      </c>
      <c r="J151" t="s">
        <v>59</v>
      </c>
      <c r="K151" s="3">
        <v>0.7</v>
      </c>
      <c r="L151" s="2">
        <v>6.37</v>
      </c>
      <c r="M151" s="2">
        <v>0</v>
      </c>
      <c r="N151" s="2">
        <v>0</v>
      </c>
      <c r="O151" t="s">
        <v>53</v>
      </c>
      <c r="P151" t="s">
        <v>54</v>
      </c>
      <c r="Q151">
        <v>816021</v>
      </c>
      <c r="R151" t="s">
        <v>93</v>
      </c>
      <c r="S151" t="s">
        <v>94</v>
      </c>
      <c r="T151" t="s">
        <v>57</v>
      </c>
      <c r="U151" s="1">
        <v>45901</v>
      </c>
      <c r="W151" s="1">
        <v>45992</v>
      </c>
      <c r="X151">
        <v>1</v>
      </c>
      <c r="Y151" t="s">
        <v>58</v>
      </c>
      <c r="Z151" s="2">
        <v>0</v>
      </c>
      <c r="AA151">
        <v>0</v>
      </c>
      <c r="AB151" t="s">
        <v>60</v>
      </c>
      <c r="AC151" t="s">
        <v>61</v>
      </c>
      <c r="AD151">
        <v>0</v>
      </c>
      <c r="AE151" s="2">
        <v>0</v>
      </c>
      <c r="AF151" s="2">
        <v>0</v>
      </c>
      <c r="AG151" s="3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45957</v>
      </c>
      <c r="B152" t="s">
        <v>48</v>
      </c>
      <c r="C152">
        <v>649163</v>
      </c>
      <c r="D152">
        <v>2030743323</v>
      </c>
      <c r="E152" t="s">
        <v>204</v>
      </c>
      <c r="F152" t="s">
        <v>205</v>
      </c>
      <c r="G152" t="s">
        <v>51</v>
      </c>
      <c r="H152" t="s">
        <v>165</v>
      </c>
      <c r="I152" s="2">
        <v>50.24</v>
      </c>
      <c r="J152" t="s">
        <v>59</v>
      </c>
      <c r="K152" s="3">
        <v>0.7</v>
      </c>
      <c r="L152" s="2">
        <v>35.17</v>
      </c>
      <c r="M152" s="2">
        <v>0</v>
      </c>
      <c r="N152" s="2">
        <v>0</v>
      </c>
      <c r="O152" t="s">
        <v>53</v>
      </c>
      <c r="P152" t="s">
        <v>54</v>
      </c>
      <c r="Q152">
        <v>753748</v>
      </c>
      <c r="R152" t="s">
        <v>65</v>
      </c>
      <c r="S152" t="s">
        <v>66</v>
      </c>
      <c r="T152" t="s">
        <v>57</v>
      </c>
      <c r="U152" s="1">
        <v>45901</v>
      </c>
      <c r="W152" s="1">
        <v>45992</v>
      </c>
      <c r="X152">
        <v>1</v>
      </c>
      <c r="Y152" t="s">
        <v>58</v>
      </c>
      <c r="Z152" s="2">
        <v>0</v>
      </c>
      <c r="AA152">
        <v>0</v>
      </c>
      <c r="AB152" t="s">
        <v>60</v>
      </c>
      <c r="AC152" t="s">
        <v>61</v>
      </c>
      <c r="AD152">
        <v>0</v>
      </c>
      <c r="AE152" s="2">
        <v>0</v>
      </c>
      <c r="AF152" s="2">
        <v>0</v>
      </c>
      <c r="AG152" s="3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45957</v>
      </c>
      <c r="B153" t="s">
        <v>48</v>
      </c>
      <c r="C153">
        <v>649163</v>
      </c>
      <c r="D153">
        <v>2030748533</v>
      </c>
      <c r="E153" t="s">
        <v>206</v>
      </c>
      <c r="F153" t="s">
        <v>207</v>
      </c>
      <c r="G153" t="s">
        <v>51</v>
      </c>
      <c r="H153" t="s">
        <v>208</v>
      </c>
      <c r="I153" s="2">
        <v>39.25</v>
      </c>
      <c r="J153" t="s">
        <v>59</v>
      </c>
      <c r="K153" s="3">
        <v>0.7</v>
      </c>
      <c r="L153" s="2">
        <v>27.48</v>
      </c>
      <c r="M153" s="2">
        <v>0</v>
      </c>
      <c r="N153" s="2">
        <v>0</v>
      </c>
      <c r="O153" t="s">
        <v>53</v>
      </c>
      <c r="P153" t="s">
        <v>54</v>
      </c>
      <c r="Q153">
        <v>756418</v>
      </c>
      <c r="R153" t="s">
        <v>191</v>
      </c>
      <c r="S153" t="s">
        <v>192</v>
      </c>
      <c r="T153" t="s">
        <v>57</v>
      </c>
      <c r="U153" s="1">
        <v>45898</v>
      </c>
      <c r="W153" s="1">
        <v>45990</v>
      </c>
      <c r="X153">
        <v>1</v>
      </c>
      <c r="Y153" t="s">
        <v>58</v>
      </c>
      <c r="Z153" s="2">
        <v>0</v>
      </c>
      <c r="AA153">
        <v>0</v>
      </c>
      <c r="AB153" t="s">
        <v>60</v>
      </c>
      <c r="AC153" t="s">
        <v>61</v>
      </c>
      <c r="AD153">
        <v>0</v>
      </c>
      <c r="AE153" s="2">
        <v>0</v>
      </c>
      <c r="AF153" s="2">
        <v>0</v>
      </c>
      <c r="AG153" s="3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45957</v>
      </c>
      <c r="B154" t="s">
        <v>48</v>
      </c>
      <c r="C154">
        <v>649163</v>
      </c>
      <c r="D154">
        <v>2030762531</v>
      </c>
      <c r="E154" t="s">
        <v>209</v>
      </c>
      <c r="F154" t="s">
        <v>210</v>
      </c>
      <c r="G154" t="s">
        <v>51</v>
      </c>
      <c r="H154" t="s">
        <v>129</v>
      </c>
      <c r="I154" s="2">
        <v>30.51</v>
      </c>
      <c r="J154" t="s">
        <v>59</v>
      </c>
      <c r="K154" s="3">
        <v>0.7</v>
      </c>
      <c r="L154" s="2">
        <v>21.36</v>
      </c>
      <c r="M154" s="2">
        <v>0</v>
      </c>
      <c r="N154" s="2">
        <v>0</v>
      </c>
      <c r="O154" t="s">
        <v>53</v>
      </c>
      <c r="P154" t="s">
        <v>54</v>
      </c>
      <c r="Q154">
        <v>888536</v>
      </c>
      <c r="R154" t="s">
        <v>211</v>
      </c>
      <c r="S154" t="s">
        <v>212</v>
      </c>
      <c r="T154" t="s">
        <v>57</v>
      </c>
      <c r="U154" s="1">
        <v>45899</v>
      </c>
      <c r="W154" s="1">
        <v>45991</v>
      </c>
      <c r="X154">
        <v>1</v>
      </c>
      <c r="Y154" t="s">
        <v>58</v>
      </c>
      <c r="Z154" s="2">
        <v>0</v>
      </c>
      <c r="AA154">
        <v>0</v>
      </c>
      <c r="AB154" t="s">
        <v>60</v>
      </c>
      <c r="AC154" t="s">
        <v>61</v>
      </c>
      <c r="AD154">
        <v>0</v>
      </c>
      <c r="AE154" s="2">
        <v>0</v>
      </c>
      <c r="AF154" s="2">
        <v>0</v>
      </c>
      <c r="AG154" s="3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45957</v>
      </c>
      <c r="B155" t="s">
        <v>48</v>
      </c>
      <c r="C155">
        <v>649163</v>
      </c>
      <c r="D155">
        <v>2030770955</v>
      </c>
      <c r="E155" t="s">
        <v>202</v>
      </c>
      <c r="F155" t="s">
        <v>213</v>
      </c>
      <c r="G155" t="s">
        <v>51</v>
      </c>
      <c r="H155" t="s">
        <v>118</v>
      </c>
      <c r="I155" s="2">
        <v>78.97</v>
      </c>
      <c r="J155" t="s">
        <v>59</v>
      </c>
      <c r="K155" s="3">
        <v>0.7</v>
      </c>
      <c r="L155" s="2">
        <v>55.28</v>
      </c>
      <c r="M155" s="2">
        <v>0</v>
      </c>
      <c r="N155" s="2">
        <v>0</v>
      </c>
      <c r="O155" t="s">
        <v>53</v>
      </c>
      <c r="P155" t="s">
        <v>119</v>
      </c>
      <c r="Q155">
        <v>652037</v>
      </c>
      <c r="R155" t="s">
        <v>155</v>
      </c>
      <c r="S155" t="s">
        <v>156</v>
      </c>
      <c r="T155" t="s">
        <v>57</v>
      </c>
      <c r="U155" s="1">
        <v>45901</v>
      </c>
      <c r="W155" s="1">
        <v>45992</v>
      </c>
      <c r="X155">
        <v>1</v>
      </c>
      <c r="Y155" t="s">
        <v>58</v>
      </c>
      <c r="Z155" s="2">
        <v>0</v>
      </c>
      <c r="AA155">
        <v>0</v>
      </c>
      <c r="AB155" t="s">
        <v>60</v>
      </c>
      <c r="AC155" t="s">
        <v>61</v>
      </c>
      <c r="AD155">
        <v>0</v>
      </c>
      <c r="AE155" s="2">
        <v>0</v>
      </c>
      <c r="AF155" s="2">
        <v>0</v>
      </c>
      <c r="AG155" s="3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45957</v>
      </c>
      <c r="B156" t="s">
        <v>48</v>
      </c>
      <c r="C156">
        <v>649163</v>
      </c>
      <c r="D156">
        <v>2030774548</v>
      </c>
      <c r="E156" t="s">
        <v>214</v>
      </c>
      <c r="F156" t="s">
        <v>215</v>
      </c>
      <c r="G156" t="s">
        <v>51</v>
      </c>
      <c r="H156" t="s">
        <v>69</v>
      </c>
      <c r="I156" s="2">
        <v>72.760000000000005</v>
      </c>
      <c r="J156" t="s">
        <v>59</v>
      </c>
      <c r="K156" s="3">
        <v>0.7</v>
      </c>
      <c r="L156" s="2">
        <v>50.93</v>
      </c>
      <c r="M156" s="2">
        <v>0</v>
      </c>
      <c r="N156" s="2">
        <v>0</v>
      </c>
      <c r="O156" t="s">
        <v>53</v>
      </c>
      <c r="P156" t="s">
        <v>54</v>
      </c>
      <c r="Q156">
        <v>840313</v>
      </c>
      <c r="R156" t="s">
        <v>159</v>
      </c>
      <c r="S156" t="s">
        <v>160</v>
      </c>
      <c r="T156" t="s">
        <v>57</v>
      </c>
      <c r="U156" s="1">
        <v>45901</v>
      </c>
      <c r="W156" s="1">
        <v>45992</v>
      </c>
      <c r="X156">
        <v>1</v>
      </c>
      <c r="Y156" t="s">
        <v>58</v>
      </c>
      <c r="Z156" s="2">
        <v>0</v>
      </c>
      <c r="AA156">
        <v>0</v>
      </c>
      <c r="AB156" t="s">
        <v>60</v>
      </c>
      <c r="AC156" t="s">
        <v>61</v>
      </c>
      <c r="AD156">
        <v>0</v>
      </c>
      <c r="AE156" s="2">
        <v>0</v>
      </c>
      <c r="AF156" s="2">
        <v>0</v>
      </c>
      <c r="AG156" s="3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45957</v>
      </c>
      <c r="B157" t="s">
        <v>48</v>
      </c>
      <c r="C157">
        <v>649163</v>
      </c>
      <c r="D157">
        <v>2030777832</v>
      </c>
      <c r="E157" t="s">
        <v>216</v>
      </c>
      <c r="F157" t="s">
        <v>217</v>
      </c>
      <c r="G157" t="s">
        <v>51</v>
      </c>
      <c r="H157" t="s">
        <v>69</v>
      </c>
      <c r="I157" s="2">
        <v>137.41</v>
      </c>
      <c r="J157" t="s">
        <v>59</v>
      </c>
      <c r="K157" s="3">
        <v>0.7</v>
      </c>
      <c r="L157" s="2">
        <v>96.19</v>
      </c>
      <c r="M157" s="2">
        <v>0</v>
      </c>
      <c r="N157" s="2">
        <v>0</v>
      </c>
      <c r="O157" t="s">
        <v>53</v>
      </c>
      <c r="P157" t="s">
        <v>54</v>
      </c>
      <c r="Q157">
        <v>813184</v>
      </c>
      <c r="R157" t="s">
        <v>218</v>
      </c>
      <c r="S157" t="s">
        <v>219</v>
      </c>
      <c r="T157" t="s">
        <v>57</v>
      </c>
      <c r="U157" s="1">
        <v>45901</v>
      </c>
      <c r="W157" s="1">
        <v>45992</v>
      </c>
      <c r="X157">
        <v>1</v>
      </c>
      <c r="Y157" t="s">
        <v>58</v>
      </c>
      <c r="Z157" s="2">
        <v>0</v>
      </c>
      <c r="AA157">
        <v>0</v>
      </c>
      <c r="AB157" t="s">
        <v>60</v>
      </c>
      <c r="AC157" t="s">
        <v>61</v>
      </c>
      <c r="AD157">
        <v>0</v>
      </c>
      <c r="AE157" s="2">
        <v>0</v>
      </c>
      <c r="AF157" s="2">
        <v>0</v>
      </c>
      <c r="AG157" s="3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45957</v>
      </c>
      <c r="B158" t="s">
        <v>48</v>
      </c>
      <c r="C158">
        <v>649163</v>
      </c>
      <c r="D158">
        <v>2030779465</v>
      </c>
      <c r="E158" t="s">
        <v>220</v>
      </c>
      <c r="F158" t="s">
        <v>221</v>
      </c>
      <c r="G158" t="s">
        <v>51</v>
      </c>
      <c r="H158" t="s">
        <v>92</v>
      </c>
      <c r="I158" s="2">
        <v>9.1</v>
      </c>
      <c r="J158" t="s">
        <v>59</v>
      </c>
      <c r="K158" s="3">
        <v>0.7</v>
      </c>
      <c r="L158" s="2">
        <v>6.37</v>
      </c>
      <c r="M158" s="2">
        <v>0</v>
      </c>
      <c r="N158" s="2">
        <v>0</v>
      </c>
      <c r="O158" t="s">
        <v>53</v>
      </c>
      <c r="P158" t="s">
        <v>54</v>
      </c>
      <c r="Q158">
        <v>816021</v>
      </c>
      <c r="R158" t="s">
        <v>93</v>
      </c>
      <c r="S158" t="s">
        <v>94</v>
      </c>
      <c r="T158" t="s">
        <v>57</v>
      </c>
      <c r="U158" s="1">
        <v>45901</v>
      </c>
      <c r="W158" s="1">
        <v>45992</v>
      </c>
      <c r="X158">
        <v>1</v>
      </c>
      <c r="Y158" t="s">
        <v>58</v>
      </c>
      <c r="Z158" s="2">
        <v>0</v>
      </c>
      <c r="AA158">
        <v>0</v>
      </c>
      <c r="AB158" t="s">
        <v>60</v>
      </c>
      <c r="AC158" t="s">
        <v>61</v>
      </c>
      <c r="AD158">
        <v>0</v>
      </c>
      <c r="AE158" s="2">
        <v>0</v>
      </c>
      <c r="AF158" s="2">
        <v>0</v>
      </c>
      <c r="AG158" s="3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45957</v>
      </c>
      <c r="B159" t="s">
        <v>48</v>
      </c>
      <c r="C159">
        <v>649163</v>
      </c>
      <c r="D159">
        <v>2030784686</v>
      </c>
      <c r="E159" t="s">
        <v>222</v>
      </c>
      <c r="F159" t="s">
        <v>223</v>
      </c>
      <c r="G159" t="s">
        <v>51</v>
      </c>
      <c r="H159" t="s">
        <v>101</v>
      </c>
      <c r="I159" s="2">
        <v>161.18</v>
      </c>
      <c r="J159" t="s">
        <v>59</v>
      </c>
      <c r="K159" s="3">
        <v>0.7</v>
      </c>
      <c r="L159" s="2">
        <v>112.83</v>
      </c>
      <c r="M159" s="2">
        <v>0</v>
      </c>
      <c r="N159" s="2">
        <v>0</v>
      </c>
      <c r="O159" t="s">
        <v>53</v>
      </c>
      <c r="P159" t="s">
        <v>54</v>
      </c>
      <c r="Q159">
        <v>823350</v>
      </c>
      <c r="R159" t="s">
        <v>70</v>
      </c>
      <c r="S159" t="s">
        <v>183</v>
      </c>
      <c r="T159" t="s">
        <v>57</v>
      </c>
      <c r="U159" s="1">
        <v>45901</v>
      </c>
      <c r="W159" s="1">
        <v>45992</v>
      </c>
      <c r="X159">
        <v>1</v>
      </c>
      <c r="Y159" t="s">
        <v>58</v>
      </c>
      <c r="Z159" s="2">
        <v>0</v>
      </c>
      <c r="AA159">
        <v>0</v>
      </c>
      <c r="AB159" t="s">
        <v>60</v>
      </c>
      <c r="AC159" t="s">
        <v>61</v>
      </c>
      <c r="AD159">
        <v>0</v>
      </c>
      <c r="AE159" s="2">
        <v>0</v>
      </c>
      <c r="AF159" s="2">
        <v>0</v>
      </c>
      <c r="AG159" s="3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45957</v>
      </c>
      <c r="B160" t="s">
        <v>48</v>
      </c>
      <c r="C160">
        <v>649163</v>
      </c>
      <c r="D160">
        <v>2030788952</v>
      </c>
      <c r="E160" t="s">
        <v>224</v>
      </c>
      <c r="F160" t="s">
        <v>225</v>
      </c>
      <c r="G160" t="s">
        <v>51</v>
      </c>
      <c r="H160" t="s">
        <v>92</v>
      </c>
      <c r="I160" s="2">
        <v>9.1</v>
      </c>
      <c r="J160" t="s">
        <v>59</v>
      </c>
      <c r="K160" s="3">
        <v>0.7</v>
      </c>
      <c r="L160" s="2">
        <v>6.37</v>
      </c>
      <c r="M160" s="2">
        <v>0</v>
      </c>
      <c r="N160" s="2">
        <v>0</v>
      </c>
      <c r="O160" t="s">
        <v>53</v>
      </c>
      <c r="P160" t="s">
        <v>54</v>
      </c>
      <c r="Q160">
        <v>816021</v>
      </c>
      <c r="R160" t="s">
        <v>93</v>
      </c>
      <c r="S160" t="s">
        <v>94</v>
      </c>
      <c r="T160" t="s">
        <v>57</v>
      </c>
      <c r="U160" s="1">
        <v>45901</v>
      </c>
      <c r="W160" s="1">
        <v>45992</v>
      </c>
      <c r="X160">
        <v>1</v>
      </c>
      <c r="Y160" t="s">
        <v>58</v>
      </c>
      <c r="Z160" s="2">
        <v>0</v>
      </c>
      <c r="AA160">
        <v>0</v>
      </c>
      <c r="AB160" t="s">
        <v>60</v>
      </c>
      <c r="AC160" t="s">
        <v>61</v>
      </c>
      <c r="AD160">
        <v>0</v>
      </c>
      <c r="AE160" s="2">
        <v>0</v>
      </c>
      <c r="AF160" s="2">
        <v>0</v>
      </c>
      <c r="AG160" s="3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45957</v>
      </c>
      <c r="B161" t="s">
        <v>48</v>
      </c>
      <c r="C161">
        <v>649163</v>
      </c>
      <c r="D161">
        <v>2030790526</v>
      </c>
      <c r="E161" t="s">
        <v>226</v>
      </c>
      <c r="F161" t="s">
        <v>227</v>
      </c>
      <c r="G161" t="s">
        <v>51</v>
      </c>
      <c r="H161" t="s">
        <v>69</v>
      </c>
      <c r="I161" s="2">
        <v>42.38</v>
      </c>
      <c r="J161" t="s">
        <v>59</v>
      </c>
      <c r="K161" s="3">
        <v>0.7</v>
      </c>
      <c r="L161" s="2">
        <v>29.67</v>
      </c>
      <c r="M161" s="2">
        <v>0</v>
      </c>
      <c r="N161" s="2">
        <v>0</v>
      </c>
      <c r="O161" t="s">
        <v>53</v>
      </c>
      <c r="P161" t="s">
        <v>54</v>
      </c>
      <c r="Q161">
        <v>812994</v>
      </c>
      <c r="R161" t="s">
        <v>228</v>
      </c>
      <c r="S161" t="s">
        <v>229</v>
      </c>
      <c r="T161" t="s">
        <v>57</v>
      </c>
      <c r="U161" s="1">
        <v>45901</v>
      </c>
      <c r="W161" s="1">
        <v>45992</v>
      </c>
      <c r="X161">
        <v>1</v>
      </c>
      <c r="Y161" t="s">
        <v>58</v>
      </c>
      <c r="Z161" s="2">
        <v>0</v>
      </c>
      <c r="AA161">
        <v>0</v>
      </c>
      <c r="AB161" t="s">
        <v>60</v>
      </c>
      <c r="AC161" t="s">
        <v>61</v>
      </c>
      <c r="AD161">
        <v>0</v>
      </c>
      <c r="AE161" s="2">
        <v>0</v>
      </c>
      <c r="AF161" s="2">
        <v>0</v>
      </c>
      <c r="AG161" s="3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45957</v>
      </c>
      <c r="B162" t="s">
        <v>48</v>
      </c>
      <c r="C162">
        <v>649163</v>
      </c>
      <c r="D162">
        <v>2030800611</v>
      </c>
      <c r="E162" t="s">
        <v>230</v>
      </c>
      <c r="F162" t="s">
        <v>231</v>
      </c>
      <c r="G162" t="s">
        <v>51</v>
      </c>
      <c r="H162" t="s">
        <v>69</v>
      </c>
      <c r="I162" s="2">
        <v>95.54</v>
      </c>
      <c r="J162" t="s">
        <v>59</v>
      </c>
      <c r="K162" s="3">
        <v>0.7</v>
      </c>
      <c r="L162" s="2">
        <v>66.88</v>
      </c>
      <c r="M162" s="2">
        <v>0</v>
      </c>
      <c r="N162" s="2">
        <v>0</v>
      </c>
      <c r="O162" t="s">
        <v>53</v>
      </c>
      <c r="P162" t="s">
        <v>54</v>
      </c>
      <c r="Q162">
        <v>812656</v>
      </c>
      <c r="R162" t="s">
        <v>82</v>
      </c>
      <c r="S162" t="s">
        <v>83</v>
      </c>
      <c r="T162" t="s">
        <v>57</v>
      </c>
      <c r="U162" s="1">
        <v>45901</v>
      </c>
      <c r="W162" s="1">
        <v>45992</v>
      </c>
      <c r="X162">
        <v>1</v>
      </c>
      <c r="Y162" t="s">
        <v>58</v>
      </c>
      <c r="Z162" s="2">
        <v>0</v>
      </c>
      <c r="AA162">
        <v>0</v>
      </c>
      <c r="AB162" t="s">
        <v>60</v>
      </c>
      <c r="AC162" t="s">
        <v>61</v>
      </c>
      <c r="AD162">
        <v>0</v>
      </c>
      <c r="AE162" s="2">
        <v>0</v>
      </c>
      <c r="AF162" s="2">
        <v>0</v>
      </c>
      <c r="AG162" s="3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45957</v>
      </c>
      <c r="B163" t="s">
        <v>48</v>
      </c>
      <c r="C163">
        <v>649163</v>
      </c>
      <c r="D163">
        <v>2030801810</v>
      </c>
      <c r="E163" t="s">
        <v>232</v>
      </c>
      <c r="F163" t="s">
        <v>233</v>
      </c>
      <c r="G163" t="s">
        <v>51</v>
      </c>
      <c r="H163" t="s">
        <v>234</v>
      </c>
      <c r="I163" s="2">
        <v>15.29</v>
      </c>
      <c r="J163" t="s">
        <v>59</v>
      </c>
      <c r="K163" s="3">
        <v>0.7</v>
      </c>
      <c r="L163" s="2">
        <v>10.7</v>
      </c>
      <c r="M163" s="2">
        <v>0</v>
      </c>
      <c r="N163" s="2">
        <v>0</v>
      </c>
      <c r="O163" t="s">
        <v>53</v>
      </c>
      <c r="P163" t="s">
        <v>54</v>
      </c>
      <c r="Q163">
        <v>652037</v>
      </c>
      <c r="R163" t="s">
        <v>155</v>
      </c>
      <c r="S163" t="s">
        <v>156</v>
      </c>
      <c r="T163" t="s">
        <v>57</v>
      </c>
      <c r="U163" s="1">
        <v>45901</v>
      </c>
      <c r="W163" s="1">
        <v>45992</v>
      </c>
      <c r="X163">
        <v>1</v>
      </c>
      <c r="Y163" t="s">
        <v>58</v>
      </c>
      <c r="Z163" s="2">
        <v>0</v>
      </c>
      <c r="AA163">
        <v>0</v>
      </c>
      <c r="AB163" t="s">
        <v>60</v>
      </c>
      <c r="AC163" t="s">
        <v>61</v>
      </c>
      <c r="AD163">
        <v>0</v>
      </c>
      <c r="AE163" s="2">
        <v>0</v>
      </c>
      <c r="AF163" s="2">
        <v>0</v>
      </c>
      <c r="AG163" s="3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45957</v>
      </c>
      <c r="B164" t="s">
        <v>48</v>
      </c>
      <c r="C164">
        <v>649163</v>
      </c>
      <c r="D164">
        <v>2030857319</v>
      </c>
      <c r="E164" t="s">
        <v>239</v>
      </c>
      <c r="F164" t="s">
        <v>240</v>
      </c>
      <c r="G164" t="s">
        <v>51</v>
      </c>
      <c r="H164" t="s">
        <v>234</v>
      </c>
      <c r="I164" s="2">
        <v>30.88</v>
      </c>
      <c r="J164" t="s">
        <v>59</v>
      </c>
      <c r="K164" s="3">
        <v>0.7</v>
      </c>
      <c r="L164" s="2">
        <v>21.62</v>
      </c>
      <c r="M164" s="2">
        <v>0</v>
      </c>
      <c r="N164" s="2">
        <v>0</v>
      </c>
      <c r="O164" t="s">
        <v>53</v>
      </c>
      <c r="P164" t="s">
        <v>54</v>
      </c>
      <c r="Q164">
        <v>756418</v>
      </c>
      <c r="R164" t="s">
        <v>191</v>
      </c>
      <c r="S164" t="s">
        <v>192</v>
      </c>
      <c r="T164" t="s">
        <v>57</v>
      </c>
      <c r="U164" s="1">
        <v>45904</v>
      </c>
      <c r="W164" s="1">
        <v>45965</v>
      </c>
      <c r="X164">
        <v>1</v>
      </c>
      <c r="Y164" t="s">
        <v>58</v>
      </c>
      <c r="Z164" s="2">
        <v>0</v>
      </c>
      <c r="AA164">
        <v>0</v>
      </c>
      <c r="AB164" t="s">
        <v>60</v>
      </c>
      <c r="AC164" t="s">
        <v>61</v>
      </c>
      <c r="AD164">
        <v>0</v>
      </c>
      <c r="AE164" s="2">
        <v>0</v>
      </c>
      <c r="AF164" s="2">
        <v>0</v>
      </c>
      <c r="AG164" s="3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45957</v>
      </c>
      <c r="B165" t="s">
        <v>48</v>
      </c>
      <c r="C165">
        <v>649163</v>
      </c>
      <c r="D165">
        <v>2031190208</v>
      </c>
      <c r="E165" t="s">
        <v>245</v>
      </c>
      <c r="F165" t="s">
        <v>246</v>
      </c>
      <c r="G165" t="s">
        <v>51</v>
      </c>
      <c r="H165" t="s">
        <v>247</v>
      </c>
      <c r="I165" s="2">
        <v>194.05</v>
      </c>
      <c r="J165" t="s">
        <v>238</v>
      </c>
      <c r="K165" s="3">
        <v>0.7</v>
      </c>
      <c r="L165" s="2">
        <v>135.84</v>
      </c>
      <c r="M165" s="2">
        <v>0</v>
      </c>
      <c r="N165" s="2">
        <v>0</v>
      </c>
      <c r="O165" t="s">
        <v>53</v>
      </c>
      <c r="P165" t="s">
        <v>54</v>
      </c>
      <c r="Q165">
        <v>823350</v>
      </c>
      <c r="R165" t="s">
        <v>70</v>
      </c>
      <c r="S165" t="s">
        <v>183</v>
      </c>
      <c r="T165" t="s">
        <v>57</v>
      </c>
      <c r="U165" s="1">
        <v>45925</v>
      </c>
      <c r="W165" s="1">
        <v>45986</v>
      </c>
      <c r="X165">
        <v>1</v>
      </c>
      <c r="Y165" t="s">
        <v>58</v>
      </c>
      <c r="Z165" s="2">
        <v>0</v>
      </c>
      <c r="AA165">
        <v>0</v>
      </c>
      <c r="AB165" t="s">
        <v>60</v>
      </c>
      <c r="AC165" t="s">
        <v>61</v>
      </c>
      <c r="AD165">
        <v>0</v>
      </c>
      <c r="AE165" s="2">
        <v>0</v>
      </c>
      <c r="AF165" s="2">
        <v>0</v>
      </c>
      <c r="AG165" s="3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45957</v>
      </c>
      <c r="B166" t="s">
        <v>48</v>
      </c>
      <c r="C166">
        <v>649163</v>
      </c>
      <c r="D166">
        <v>2031242400</v>
      </c>
      <c r="E166" t="s">
        <v>248</v>
      </c>
      <c r="F166" t="s">
        <v>249</v>
      </c>
      <c r="G166" t="s">
        <v>51</v>
      </c>
      <c r="H166" t="s">
        <v>92</v>
      </c>
      <c r="I166" s="2">
        <v>27.38</v>
      </c>
      <c r="J166" t="s">
        <v>238</v>
      </c>
      <c r="K166" s="3">
        <v>0.7</v>
      </c>
      <c r="L166" s="2">
        <v>19.170000000000002</v>
      </c>
      <c r="M166" s="2">
        <v>0</v>
      </c>
      <c r="N166" s="2">
        <v>0</v>
      </c>
      <c r="O166" t="s">
        <v>53</v>
      </c>
      <c r="P166" t="s">
        <v>54</v>
      </c>
      <c r="Q166">
        <v>816021</v>
      </c>
      <c r="R166" t="s">
        <v>93</v>
      </c>
      <c r="S166" t="s">
        <v>94</v>
      </c>
      <c r="T166" t="s">
        <v>57</v>
      </c>
      <c r="U166" s="1">
        <v>45925</v>
      </c>
      <c r="W166" s="1">
        <v>45986</v>
      </c>
      <c r="X166">
        <v>1</v>
      </c>
      <c r="Y166" t="s">
        <v>58</v>
      </c>
      <c r="Z166" s="2">
        <v>0</v>
      </c>
      <c r="AA166">
        <v>0</v>
      </c>
      <c r="AB166" t="s">
        <v>60</v>
      </c>
      <c r="AC166" t="s">
        <v>61</v>
      </c>
      <c r="AD166">
        <v>0</v>
      </c>
      <c r="AE166" s="2">
        <v>0</v>
      </c>
      <c r="AF166" s="2">
        <v>0</v>
      </c>
      <c r="AG166" s="3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45957</v>
      </c>
      <c r="B167" t="s">
        <v>48</v>
      </c>
      <c r="C167">
        <v>649163</v>
      </c>
      <c r="D167">
        <v>2031249951</v>
      </c>
      <c r="E167" t="s">
        <v>250</v>
      </c>
      <c r="F167" t="s">
        <v>98</v>
      </c>
      <c r="G167" t="s">
        <v>51</v>
      </c>
      <c r="H167" t="s">
        <v>69</v>
      </c>
      <c r="I167" s="2">
        <v>28.9</v>
      </c>
      <c r="J167" t="s">
        <v>238</v>
      </c>
      <c r="K167" s="3">
        <v>0.7</v>
      </c>
      <c r="L167" s="2">
        <v>20.23</v>
      </c>
      <c r="M167" s="2">
        <v>0</v>
      </c>
      <c r="N167" s="2">
        <v>0</v>
      </c>
      <c r="O167" t="s">
        <v>53</v>
      </c>
      <c r="P167" t="s">
        <v>54</v>
      </c>
      <c r="Q167">
        <v>756803</v>
      </c>
      <c r="R167" t="s">
        <v>251</v>
      </c>
      <c r="S167" t="s">
        <v>252</v>
      </c>
      <c r="T167" t="s">
        <v>57</v>
      </c>
      <c r="U167" s="1">
        <v>45925</v>
      </c>
      <c r="W167" s="1">
        <v>45986</v>
      </c>
      <c r="X167">
        <v>1</v>
      </c>
      <c r="Y167" t="s">
        <v>58</v>
      </c>
      <c r="Z167" s="2">
        <v>0</v>
      </c>
      <c r="AA167">
        <v>0</v>
      </c>
      <c r="AB167" t="s">
        <v>60</v>
      </c>
      <c r="AC167" t="s">
        <v>61</v>
      </c>
      <c r="AD167">
        <v>0</v>
      </c>
      <c r="AE167" s="2">
        <v>0</v>
      </c>
      <c r="AF167" s="2">
        <v>0</v>
      </c>
      <c r="AG167" s="3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45957</v>
      </c>
      <c r="B168" t="s">
        <v>48</v>
      </c>
      <c r="C168">
        <v>649163</v>
      </c>
      <c r="D168">
        <v>2031255010</v>
      </c>
      <c r="E168" t="s">
        <v>253</v>
      </c>
      <c r="F168" t="s">
        <v>254</v>
      </c>
      <c r="G168" t="s">
        <v>51</v>
      </c>
      <c r="H168" t="s">
        <v>69</v>
      </c>
      <c r="I168" s="2">
        <v>86.25</v>
      </c>
      <c r="J168" t="s">
        <v>238</v>
      </c>
      <c r="K168" s="3">
        <v>0.7</v>
      </c>
      <c r="L168" s="2">
        <v>60.38</v>
      </c>
      <c r="M168" s="2">
        <v>0</v>
      </c>
      <c r="N168" s="2">
        <v>0</v>
      </c>
      <c r="O168" t="s">
        <v>53</v>
      </c>
      <c r="P168" t="s">
        <v>54</v>
      </c>
      <c r="Q168">
        <v>812994</v>
      </c>
      <c r="R168" t="s">
        <v>228</v>
      </c>
      <c r="S168" t="s">
        <v>229</v>
      </c>
      <c r="T168" t="s">
        <v>57</v>
      </c>
      <c r="U168" s="1">
        <v>45925</v>
      </c>
      <c r="W168" s="1">
        <v>45986</v>
      </c>
      <c r="X168">
        <v>1</v>
      </c>
      <c r="Y168" t="s">
        <v>58</v>
      </c>
      <c r="Z168" s="2">
        <v>0</v>
      </c>
      <c r="AA168">
        <v>0</v>
      </c>
      <c r="AB168" t="s">
        <v>60</v>
      </c>
      <c r="AC168" t="s">
        <v>61</v>
      </c>
      <c r="AD168">
        <v>0</v>
      </c>
      <c r="AE168" s="2">
        <v>0</v>
      </c>
      <c r="AF168" s="2">
        <v>0</v>
      </c>
      <c r="AG168" s="3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45957</v>
      </c>
      <c r="B169" t="s">
        <v>48</v>
      </c>
      <c r="C169">
        <v>649163</v>
      </c>
      <c r="D169">
        <v>2031266651</v>
      </c>
      <c r="E169" t="s">
        <v>255</v>
      </c>
      <c r="F169" t="s">
        <v>256</v>
      </c>
      <c r="G169" t="s">
        <v>51</v>
      </c>
      <c r="H169" t="s">
        <v>190</v>
      </c>
      <c r="I169" s="2">
        <v>23.28</v>
      </c>
      <c r="J169" t="s">
        <v>238</v>
      </c>
      <c r="K169" s="3">
        <v>0.7</v>
      </c>
      <c r="L169" s="2">
        <v>16.3</v>
      </c>
      <c r="M169" s="2">
        <v>0</v>
      </c>
      <c r="N169" s="2">
        <v>0</v>
      </c>
      <c r="O169" t="s">
        <v>53</v>
      </c>
      <c r="P169" t="s">
        <v>54</v>
      </c>
      <c r="Q169">
        <v>756418</v>
      </c>
      <c r="R169" t="s">
        <v>191</v>
      </c>
      <c r="S169" t="s">
        <v>192</v>
      </c>
      <c r="T169" t="s">
        <v>57</v>
      </c>
      <c r="U169" s="1">
        <v>45926</v>
      </c>
      <c r="W169" s="1">
        <v>45987</v>
      </c>
      <c r="X169">
        <v>1</v>
      </c>
      <c r="Y169" t="s">
        <v>58</v>
      </c>
      <c r="Z169" s="2">
        <v>0</v>
      </c>
      <c r="AA169">
        <v>0</v>
      </c>
      <c r="AB169" t="s">
        <v>60</v>
      </c>
      <c r="AC169" t="s">
        <v>61</v>
      </c>
      <c r="AD169">
        <v>0</v>
      </c>
      <c r="AE169" s="2">
        <v>0</v>
      </c>
      <c r="AF169" s="2">
        <v>0</v>
      </c>
      <c r="AG169" s="3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45957</v>
      </c>
      <c r="B170" t="s">
        <v>48</v>
      </c>
      <c r="C170">
        <v>649163</v>
      </c>
      <c r="D170">
        <v>2031266652</v>
      </c>
      <c r="E170" t="s">
        <v>255</v>
      </c>
      <c r="F170" t="s">
        <v>256</v>
      </c>
      <c r="G170" t="s">
        <v>51</v>
      </c>
      <c r="H170" t="s">
        <v>190</v>
      </c>
      <c r="I170" s="2">
        <v>25.73</v>
      </c>
      <c r="J170" t="s">
        <v>238</v>
      </c>
      <c r="K170" s="3">
        <v>0.7</v>
      </c>
      <c r="L170" s="2">
        <v>18.010000000000002</v>
      </c>
      <c r="M170" s="2">
        <v>0</v>
      </c>
      <c r="N170" s="2">
        <v>0</v>
      </c>
      <c r="O170" t="s">
        <v>53</v>
      </c>
      <c r="P170" t="s">
        <v>257</v>
      </c>
      <c r="Q170">
        <v>756418</v>
      </c>
      <c r="R170" t="s">
        <v>191</v>
      </c>
      <c r="S170" t="s">
        <v>192</v>
      </c>
      <c r="T170" t="s">
        <v>57</v>
      </c>
      <c r="U170" s="1">
        <v>45926</v>
      </c>
      <c r="W170" s="1">
        <v>45987</v>
      </c>
      <c r="X170">
        <v>1</v>
      </c>
      <c r="Y170" t="s">
        <v>58</v>
      </c>
      <c r="Z170" s="2">
        <v>0</v>
      </c>
      <c r="AA170">
        <v>0</v>
      </c>
      <c r="AB170" t="s">
        <v>60</v>
      </c>
      <c r="AC170" t="s">
        <v>61</v>
      </c>
      <c r="AD170">
        <v>0</v>
      </c>
      <c r="AE170" s="2">
        <v>0</v>
      </c>
      <c r="AF170" s="2">
        <v>0</v>
      </c>
      <c r="AG170" s="3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45957</v>
      </c>
      <c r="B171" t="s">
        <v>48</v>
      </c>
      <c r="C171">
        <v>649163</v>
      </c>
      <c r="D171">
        <v>2031312177</v>
      </c>
      <c r="E171" t="s">
        <v>258</v>
      </c>
      <c r="F171" t="s">
        <v>98</v>
      </c>
      <c r="G171" t="s">
        <v>51</v>
      </c>
      <c r="H171" t="s">
        <v>69</v>
      </c>
      <c r="I171" s="2">
        <v>124.72</v>
      </c>
      <c r="J171" t="s">
        <v>238</v>
      </c>
      <c r="K171" s="3">
        <v>0.7</v>
      </c>
      <c r="L171" s="2">
        <v>87.3</v>
      </c>
      <c r="M171" s="2">
        <v>0</v>
      </c>
      <c r="N171" s="2">
        <v>0</v>
      </c>
      <c r="O171" t="s">
        <v>53</v>
      </c>
      <c r="P171" t="s">
        <v>54</v>
      </c>
      <c r="Q171">
        <v>813184</v>
      </c>
      <c r="R171" t="s">
        <v>218</v>
      </c>
      <c r="S171" t="s">
        <v>219</v>
      </c>
      <c r="T171" t="s">
        <v>57</v>
      </c>
      <c r="U171" s="1">
        <v>45928</v>
      </c>
      <c r="W171" s="1">
        <v>45989</v>
      </c>
      <c r="X171">
        <v>1</v>
      </c>
      <c r="Y171" t="s">
        <v>58</v>
      </c>
      <c r="Z171" s="2">
        <v>0</v>
      </c>
      <c r="AA171">
        <v>0</v>
      </c>
      <c r="AB171" t="s">
        <v>60</v>
      </c>
      <c r="AC171" t="s">
        <v>61</v>
      </c>
      <c r="AD171">
        <v>0</v>
      </c>
      <c r="AE171" s="2">
        <v>0</v>
      </c>
      <c r="AF171" s="2">
        <v>0</v>
      </c>
      <c r="AG171" s="3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45957</v>
      </c>
      <c r="B172" t="s">
        <v>48</v>
      </c>
      <c r="C172">
        <v>649163</v>
      </c>
      <c r="D172">
        <v>2025934065</v>
      </c>
      <c r="E172" t="s">
        <v>508</v>
      </c>
      <c r="F172" t="s">
        <v>509</v>
      </c>
      <c r="G172" t="s">
        <v>51</v>
      </c>
      <c r="H172" t="s">
        <v>195</v>
      </c>
      <c r="I172" s="2">
        <v>25.73</v>
      </c>
      <c r="J172" t="s">
        <v>59</v>
      </c>
      <c r="K172" s="3">
        <v>0.7</v>
      </c>
      <c r="L172" s="2">
        <v>0</v>
      </c>
      <c r="M172" s="2">
        <v>18.010000000000002</v>
      </c>
      <c r="N172" s="2">
        <v>18.010000000000002</v>
      </c>
      <c r="O172" t="s">
        <v>53</v>
      </c>
      <c r="P172" t="s">
        <v>119</v>
      </c>
      <c r="Q172">
        <v>751867</v>
      </c>
      <c r="R172" t="s">
        <v>349</v>
      </c>
      <c r="S172" t="s">
        <v>312</v>
      </c>
      <c r="T172" t="s">
        <v>57</v>
      </c>
      <c r="U172" s="1">
        <v>45627</v>
      </c>
      <c r="W172" s="1">
        <v>45962</v>
      </c>
      <c r="X172">
        <v>1</v>
      </c>
      <c r="Y172" t="s">
        <v>58</v>
      </c>
      <c r="Z172" s="2">
        <v>0</v>
      </c>
      <c r="AA172">
        <v>0</v>
      </c>
      <c r="AB172" t="s">
        <v>60</v>
      </c>
      <c r="AC172" t="s">
        <v>61</v>
      </c>
      <c r="AD172">
        <v>0</v>
      </c>
      <c r="AE172" s="2">
        <v>0</v>
      </c>
      <c r="AF172" s="2">
        <v>0</v>
      </c>
      <c r="AG172" s="3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45957</v>
      </c>
      <c r="B173" t="s">
        <v>48</v>
      </c>
      <c r="C173">
        <v>649163</v>
      </c>
      <c r="D173">
        <v>2025961561</v>
      </c>
      <c r="E173" t="s">
        <v>767</v>
      </c>
      <c r="F173" t="s">
        <v>768</v>
      </c>
      <c r="G173" t="s">
        <v>51</v>
      </c>
      <c r="H173" t="s">
        <v>69</v>
      </c>
      <c r="I173" s="2">
        <v>102.7</v>
      </c>
      <c r="J173" t="s">
        <v>59</v>
      </c>
      <c r="K173" s="3">
        <v>0.7</v>
      </c>
      <c r="L173" s="2">
        <v>0</v>
      </c>
      <c r="M173" s="2">
        <v>71.89</v>
      </c>
      <c r="N173" s="2">
        <v>71.89</v>
      </c>
      <c r="O173" t="s">
        <v>53</v>
      </c>
      <c r="P173" t="s">
        <v>54</v>
      </c>
      <c r="Q173">
        <v>807212</v>
      </c>
      <c r="R173" t="s">
        <v>769</v>
      </c>
      <c r="S173" t="s">
        <v>770</v>
      </c>
      <c r="T173" t="s">
        <v>57</v>
      </c>
      <c r="U173" s="1">
        <v>45624</v>
      </c>
      <c r="W173" s="1">
        <v>45989</v>
      </c>
      <c r="X173">
        <v>1</v>
      </c>
      <c r="Y173" t="s">
        <v>58</v>
      </c>
      <c r="Z173" s="2">
        <v>0</v>
      </c>
      <c r="AA173">
        <v>0</v>
      </c>
      <c r="AB173" t="s">
        <v>60</v>
      </c>
      <c r="AC173" t="s">
        <v>61</v>
      </c>
      <c r="AD173">
        <v>0</v>
      </c>
      <c r="AE173" s="2">
        <v>0</v>
      </c>
      <c r="AF173" s="2">
        <v>0</v>
      </c>
      <c r="AG173" s="3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45957</v>
      </c>
      <c r="B174" t="s">
        <v>48</v>
      </c>
      <c r="C174">
        <v>649163</v>
      </c>
      <c r="D174">
        <v>2025997430</v>
      </c>
      <c r="E174" t="s">
        <v>579</v>
      </c>
      <c r="F174" t="s">
        <v>490</v>
      </c>
      <c r="G174" t="s">
        <v>51</v>
      </c>
      <c r="H174" t="s">
        <v>81</v>
      </c>
      <c r="I174" s="2">
        <v>120.5</v>
      </c>
      <c r="J174" t="s">
        <v>59</v>
      </c>
      <c r="K174" s="3">
        <v>0.7</v>
      </c>
      <c r="L174" s="2">
        <v>0</v>
      </c>
      <c r="M174" s="2">
        <v>84.35</v>
      </c>
      <c r="N174" s="2">
        <v>84.35</v>
      </c>
      <c r="O174" t="s">
        <v>53</v>
      </c>
      <c r="P174" t="s">
        <v>54</v>
      </c>
      <c r="Q174">
        <v>673059</v>
      </c>
      <c r="R174" t="s">
        <v>55</v>
      </c>
      <c r="S174" t="s">
        <v>56</v>
      </c>
      <c r="T174" t="s">
        <v>57</v>
      </c>
      <c r="U174" s="1">
        <v>45689</v>
      </c>
      <c r="W174" s="1">
        <v>45992</v>
      </c>
      <c r="X174">
        <v>1</v>
      </c>
      <c r="Y174" t="s">
        <v>58</v>
      </c>
      <c r="Z174" s="2">
        <v>0</v>
      </c>
      <c r="AA174">
        <v>0</v>
      </c>
      <c r="AB174" t="s">
        <v>60</v>
      </c>
      <c r="AC174" t="s">
        <v>61</v>
      </c>
      <c r="AD174">
        <v>0</v>
      </c>
      <c r="AE174" s="2">
        <v>0</v>
      </c>
      <c r="AF174" s="2">
        <v>0</v>
      </c>
      <c r="AG174" s="3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45957</v>
      </c>
      <c r="B175" t="s">
        <v>48</v>
      </c>
      <c r="C175">
        <v>649163</v>
      </c>
      <c r="D175">
        <v>2026006726</v>
      </c>
      <c r="E175" t="s">
        <v>771</v>
      </c>
      <c r="F175" t="s">
        <v>772</v>
      </c>
      <c r="G175" t="s">
        <v>51</v>
      </c>
      <c r="H175" t="s">
        <v>129</v>
      </c>
      <c r="I175" s="2">
        <v>140.80000000000001</v>
      </c>
      <c r="J175" t="s">
        <v>59</v>
      </c>
      <c r="K175" s="3">
        <v>0.7</v>
      </c>
      <c r="L175" s="2">
        <v>0</v>
      </c>
      <c r="M175" s="2">
        <v>98.56</v>
      </c>
      <c r="N175" s="2">
        <v>98.56</v>
      </c>
      <c r="O175" t="s">
        <v>53</v>
      </c>
      <c r="P175" t="s">
        <v>54</v>
      </c>
      <c r="Q175">
        <v>673059</v>
      </c>
      <c r="R175" t="s">
        <v>55</v>
      </c>
      <c r="S175" t="s">
        <v>56</v>
      </c>
      <c r="T175" t="s">
        <v>57</v>
      </c>
      <c r="U175" s="1">
        <v>45655</v>
      </c>
      <c r="W175" s="1">
        <v>45990</v>
      </c>
      <c r="X175">
        <v>1</v>
      </c>
      <c r="Y175" t="s">
        <v>58</v>
      </c>
      <c r="Z175" s="2">
        <v>0</v>
      </c>
      <c r="AA175">
        <v>0</v>
      </c>
      <c r="AB175" t="s">
        <v>60</v>
      </c>
      <c r="AC175" t="s">
        <v>61</v>
      </c>
      <c r="AD175">
        <v>0</v>
      </c>
      <c r="AE175" s="2">
        <v>0</v>
      </c>
      <c r="AF175" s="2">
        <v>0</v>
      </c>
      <c r="AG175" s="3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45957</v>
      </c>
      <c r="B176" t="s">
        <v>48</v>
      </c>
      <c r="C176">
        <v>649163</v>
      </c>
      <c r="D176">
        <v>2026262565</v>
      </c>
      <c r="E176" t="s">
        <v>580</v>
      </c>
      <c r="F176" t="s">
        <v>581</v>
      </c>
      <c r="G176" t="s">
        <v>51</v>
      </c>
      <c r="H176" t="s">
        <v>92</v>
      </c>
      <c r="I176" s="2">
        <v>9.1</v>
      </c>
      <c r="J176" t="s">
        <v>59</v>
      </c>
      <c r="K176" s="3">
        <v>0.7</v>
      </c>
      <c r="L176" s="2">
        <v>0</v>
      </c>
      <c r="M176" s="2">
        <v>6.37</v>
      </c>
      <c r="N176" s="2">
        <v>6.37</v>
      </c>
      <c r="O176" t="s">
        <v>53</v>
      </c>
      <c r="P176" t="s">
        <v>54</v>
      </c>
      <c r="Q176">
        <v>816021</v>
      </c>
      <c r="R176" t="s">
        <v>93</v>
      </c>
      <c r="S176" t="s">
        <v>94</v>
      </c>
      <c r="T176" t="s">
        <v>57</v>
      </c>
      <c r="U176" s="1">
        <v>45647</v>
      </c>
      <c r="W176" s="1">
        <v>45982</v>
      </c>
      <c r="X176">
        <v>1</v>
      </c>
      <c r="Y176" t="s">
        <v>58</v>
      </c>
      <c r="Z176" s="2">
        <v>0</v>
      </c>
      <c r="AA176">
        <v>0</v>
      </c>
      <c r="AB176" t="s">
        <v>60</v>
      </c>
      <c r="AC176" t="s">
        <v>61</v>
      </c>
      <c r="AD176">
        <v>0</v>
      </c>
      <c r="AE176" s="2">
        <v>0</v>
      </c>
      <c r="AF176" s="2">
        <v>0</v>
      </c>
      <c r="AG176" s="3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45957</v>
      </c>
      <c r="B177" t="s">
        <v>48</v>
      </c>
      <c r="C177">
        <v>649163</v>
      </c>
      <c r="D177">
        <v>2026262567</v>
      </c>
      <c r="E177" t="s">
        <v>580</v>
      </c>
      <c r="F177" t="s">
        <v>581</v>
      </c>
      <c r="G177" t="s">
        <v>51</v>
      </c>
      <c r="H177" t="s">
        <v>92</v>
      </c>
      <c r="I177" s="2">
        <v>6.3</v>
      </c>
      <c r="J177" t="s">
        <v>59</v>
      </c>
      <c r="K177" s="3">
        <v>0.7</v>
      </c>
      <c r="L177" s="2">
        <v>0</v>
      </c>
      <c r="M177" s="2">
        <v>4.41</v>
      </c>
      <c r="N177" s="2">
        <v>4.41</v>
      </c>
      <c r="O177" t="s">
        <v>53</v>
      </c>
      <c r="P177" t="s">
        <v>119</v>
      </c>
      <c r="Q177">
        <v>816021</v>
      </c>
      <c r="R177" t="s">
        <v>93</v>
      </c>
      <c r="S177" t="s">
        <v>94</v>
      </c>
      <c r="T177" t="s">
        <v>57</v>
      </c>
      <c r="U177" s="1">
        <v>45647</v>
      </c>
      <c r="W177" s="1">
        <v>45982</v>
      </c>
      <c r="X177">
        <v>1</v>
      </c>
      <c r="Y177" t="s">
        <v>58</v>
      </c>
      <c r="Z177" s="2">
        <v>0</v>
      </c>
      <c r="AA177">
        <v>0</v>
      </c>
      <c r="AB177" t="s">
        <v>60</v>
      </c>
      <c r="AC177" t="s">
        <v>61</v>
      </c>
      <c r="AD177">
        <v>0</v>
      </c>
      <c r="AE177" s="2">
        <v>0</v>
      </c>
      <c r="AF177" s="2">
        <v>0</v>
      </c>
      <c r="AG177" s="3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45957</v>
      </c>
      <c r="B178" t="s">
        <v>48</v>
      </c>
      <c r="C178">
        <v>649163</v>
      </c>
      <c r="D178">
        <v>2026341991</v>
      </c>
      <c r="E178" t="s">
        <v>773</v>
      </c>
      <c r="F178" t="s">
        <v>774</v>
      </c>
      <c r="G178" t="s">
        <v>51</v>
      </c>
      <c r="H178" t="s">
        <v>69</v>
      </c>
      <c r="I178" s="2">
        <v>58.24</v>
      </c>
      <c r="J178" t="s">
        <v>59</v>
      </c>
      <c r="K178" s="3">
        <v>0.7</v>
      </c>
      <c r="L178" s="2">
        <v>0</v>
      </c>
      <c r="M178" s="2">
        <v>40.770000000000003</v>
      </c>
      <c r="N178" s="2">
        <v>40.770000000000003</v>
      </c>
      <c r="O178" t="s">
        <v>53</v>
      </c>
      <c r="P178" t="s">
        <v>54</v>
      </c>
      <c r="Q178">
        <v>807212</v>
      </c>
      <c r="R178" t="s">
        <v>769</v>
      </c>
      <c r="S178" t="s">
        <v>770</v>
      </c>
      <c r="T178" t="s">
        <v>57</v>
      </c>
      <c r="U178" s="1">
        <v>45654</v>
      </c>
      <c r="W178" s="1">
        <v>45989</v>
      </c>
      <c r="X178">
        <v>1</v>
      </c>
      <c r="Y178" t="s">
        <v>58</v>
      </c>
      <c r="Z178" s="2">
        <v>0</v>
      </c>
      <c r="AA178">
        <v>0</v>
      </c>
      <c r="AB178" t="s">
        <v>60</v>
      </c>
      <c r="AC178" t="s">
        <v>61</v>
      </c>
      <c r="AD178">
        <v>0</v>
      </c>
      <c r="AE178" s="2">
        <v>0</v>
      </c>
      <c r="AF178" s="2">
        <v>0</v>
      </c>
      <c r="AG178" s="3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45957</v>
      </c>
      <c r="B179" t="s">
        <v>48</v>
      </c>
      <c r="C179">
        <v>649163</v>
      </c>
      <c r="D179">
        <v>2026421012</v>
      </c>
      <c r="E179" t="s">
        <v>775</v>
      </c>
      <c r="F179" t="s">
        <v>230</v>
      </c>
      <c r="G179" t="s">
        <v>51</v>
      </c>
      <c r="H179" t="s">
        <v>69</v>
      </c>
      <c r="I179" s="2">
        <v>11.5</v>
      </c>
      <c r="J179" t="s">
        <v>59</v>
      </c>
      <c r="K179" s="3">
        <v>0.7</v>
      </c>
      <c r="L179" s="2">
        <v>0</v>
      </c>
      <c r="M179" s="2">
        <v>8.0500000000000007</v>
      </c>
      <c r="N179" s="2">
        <v>8.0500000000000007</v>
      </c>
      <c r="O179" t="s">
        <v>53</v>
      </c>
      <c r="P179" t="s">
        <v>54</v>
      </c>
      <c r="Q179">
        <v>766747</v>
      </c>
      <c r="R179" t="s">
        <v>97</v>
      </c>
      <c r="S179" t="s">
        <v>98</v>
      </c>
      <c r="T179" t="s">
        <v>57</v>
      </c>
      <c r="U179" s="1">
        <v>45689</v>
      </c>
      <c r="W179" s="1">
        <v>45992</v>
      </c>
      <c r="X179">
        <v>1</v>
      </c>
      <c r="Y179" t="s">
        <v>58</v>
      </c>
      <c r="Z179" s="2">
        <v>0</v>
      </c>
      <c r="AA179">
        <v>0</v>
      </c>
      <c r="AB179" t="s">
        <v>60</v>
      </c>
      <c r="AC179" t="s">
        <v>61</v>
      </c>
      <c r="AD179">
        <v>0</v>
      </c>
      <c r="AE179" s="2">
        <v>0</v>
      </c>
      <c r="AF179" s="2">
        <v>0</v>
      </c>
      <c r="AG179" s="3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45957</v>
      </c>
      <c r="B180" t="s">
        <v>48</v>
      </c>
      <c r="C180">
        <v>649163</v>
      </c>
      <c r="D180">
        <v>2026471870</v>
      </c>
      <c r="E180" t="s">
        <v>510</v>
      </c>
      <c r="F180" t="s">
        <v>511</v>
      </c>
      <c r="G180" t="s">
        <v>51</v>
      </c>
      <c r="H180" t="s">
        <v>182</v>
      </c>
      <c r="I180" s="2">
        <v>26.82</v>
      </c>
      <c r="J180" t="s">
        <v>59</v>
      </c>
      <c r="K180" s="3">
        <v>0.7</v>
      </c>
      <c r="L180" s="2">
        <v>0</v>
      </c>
      <c r="M180" s="2">
        <v>18.77</v>
      </c>
      <c r="N180" s="2">
        <v>18.77</v>
      </c>
      <c r="O180" t="s">
        <v>53</v>
      </c>
      <c r="P180" t="s">
        <v>54</v>
      </c>
      <c r="Q180">
        <v>673059</v>
      </c>
      <c r="R180" t="s">
        <v>55</v>
      </c>
      <c r="S180" t="s">
        <v>56</v>
      </c>
      <c r="T180" t="s">
        <v>57</v>
      </c>
      <c r="U180" s="1">
        <v>45689</v>
      </c>
      <c r="W180" s="1">
        <v>45992</v>
      </c>
      <c r="X180">
        <v>1</v>
      </c>
      <c r="Y180" t="s">
        <v>58</v>
      </c>
      <c r="Z180" s="2">
        <v>0</v>
      </c>
      <c r="AA180">
        <v>0</v>
      </c>
      <c r="AB180" t="s">
        <v>60</v>
      </c>
      <c r="AC180" t="s">
        <v>61</v>
      </c>
      <c r="AD180">
        <v>0</v>
      </c>
      <c r="AE180" s="2">
        <v>0</v>
      </c>
      <c r="AF180" s="2">
        <v>0</v>
      </c>
      <c r="AG180" s="3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45957</v>
      </c>
      <c r="B181" t="s">
        <v>48</v>
      </c>
      <c r="C181">
        <v>649163</v>
      </c>
      <c r="D181">
        <v>2026471871</v>
      </c>
      <c r="E181" t="s">
        <v>510</v>
      </c>
      <c r="F181" t="s">
        <v>511</v>
      </c>
      <c r="G181" t="s">
        <v>51</v>
      </c>
      <c r="H181" t="s">
        <v>182</v>
      </c>
      <c r="I181" s="2">
        <v>25.73</v>
      </c>
      <c r="J181" t="s">
        <v>59</v>
      </c>
      <c r="K181" s="3">
        <v>0.7</v>
      </c>
      <c r="L181" s="2">
        <v>0</v>
      </c>
      <c r="M181" s="2">
        <v>18.010000000000002</v>
      </c>
      <c r="N181" s="2">
        <v>18.010000000000002</v>
      </c>
      <c r="O181" t="s">
        <v>53</v>
      </c>
      <c r="P181" t="s">
        <v>119</v>
      </c>
      <c r="Q181">
        <v>673059</v>
      </c>
      <c r="R181" t="s">
        <v>55</v>
      </c>
      <c r="S181" t="s">
        <v>56</v>
      </c>
      <c r="T181" t="s">
        <v>57</v>
      </c>
      <c r="U181" s="1">
        <v>45689</v>
      </c>
      <c r="W181" s="1">
        <v>45992</v>
      </c>
      <c r="X181">
        <v>1</v>
      </c>
      <c r="Y181" t="s">
        <v>58</v>
      </c>
      <c r="Z181" s="2">
        <v>0</v>
      </c>
      <c r="AA181">
        <v>0</v>
      </c>
      <c r="AB181" t="s">
        <v>60</v>
      </c>
      <c r="AC181" t="s">
        <v>61</v>
      </c>
      <c r="AD181">
        <v>0</v>
      </c>
      <c r="AE181" s="2">
        <v>0</v>
      </c>
      <c r="AF181" s="2">
        <v>0</v>
      </c>
      <c r="AG181" s="3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45957</v>
      </c>
      <c r="B182" t="s">
        <v>48</v>
      </c>
      <c r="C182">
        <v>649163</v>
      </c>
      <c r="D182">
        <v>2026477625</v>
      </c>
      <c r="E182" t="s">
        <v>776</v>
      </c>
      <c r="F182" t="s">
        <v>777</v>
      </c>
      <c r="G182" t="s">
        <v>51</v>
      </c>
      <c r="H182" t="s">
        <v>165</v>
      </c>
      <c r="I182" s="2">
        <v>25.73</v>
      </c>
      <c r="J182" t="s">
        <v>59</v>
      </c>
      <c r="K182" s="3">
        <v>0.7</v>
      </c>
      <c r="L182" s="2">
        <v>0</v>
      </c>
      <c r="M182" s="2">
        <v>18.010000000000002</v>
      </c>
      <c r="N182" s="2">
        <v>18.010000000000002</v>
      </c>
      <c r="O182" t="s">
        <v>53</v>
      </c>
      <c r="P182" t="s">
        <v>119</v>
      </c>
      <c r="Q182">
        <v>673059</v>
      </c>
      <c r="R182" t="s">
        <v>55</v>
      </c>
      <c r="S182" t="s">
        <v>56</v>
      </c>
      <c r="T182" t="s">
        <v>57</v>
      </c>
      <c r="U182" s="1">
        <v>45689</v>
      </c>
      <c r="W182" s="1">
        <v>45992</v>
      </c>
      <c r="X182">
        <v>1</v>
      </c>
      <c r="Y182" t="s">
        <v>58</v>
      </c>
      <c r="Z182" s="2">
        <v>0</v>
      </c>
      <c r="AA182">
        <v>0</v>
      </c>
      <c r="AB182" t="s">
        <v>60</v>
      </c>
      <c r="AC182" t="s">
        <v>61</v>
      </c>
      <c r="AD182">
        <v>0</v>
      </c>
      <c r="AE182" s="2">
        <v>0</v>
      </c>
      <c r="AF182" s="2">
        <v>0</v>
      </c>
      <c r="AG182" s="3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45957</v>
      </c>
      <c r="B183" t="s">
        <v>48</v>
      </c>
      <c r="C183">
        <v>649163</v>
      </c>
      <c r="D183">
        <v>2026477626</v>
      </c>
      <c r="E183" t="s">
        <v>776</v>
      </c>
      <c r="F183" t="s">
        <v>777</v>
      </c>
      <c r="G183" t="s">
        <v>51</v>
      </c>
      <c r="H183" t="s">
        <v>165</v>
      </c>
      <c r="I183" s="2">
        <v>132.82</v>
      </c>
      <c r="J183" t="s">
        <v>59</v>
      </c>
      <c r="K183" s="3">
        <v>0.7</v>
      </c>
      <c r="L183" s="2">
        <v>0</v>
      </c>
      <c r="M183" s="2">
        <v>92.97</v>
      </c>
      <c r="N183" s="2">
        <v>92.97</v>
      </c>
      <c r="O183" t="s">
        <v>53</v>
      </c>
      <c r="P183" t="s">
        <v>54</v>
      </c>
      <c r="Q183">
        <v>673059</v>
      </c>
      <c r="R183" t="s">
        <v>55</v>
      </c>
      <c r="S183" t="s">
        <v>56</v>
      </c>
      <c r="T183" t="s">
        <v>57</v>
      </c>
      <c r="U183" s="1">
        <v>45689</v>
      </c>
      <c r="W183" s="1">
        <v>45992</v>
      </c>
      <c r="X183">
        <v>1</v>
      </c>
      <c r="Y183" t="s">
        <v>58</v>
      </c>
      <c r="Z183" s="2">
        <v>0</v>
      </c>
      <c r="AA183">
        <v>0</v>
      </c>
      <c r="AB183" t="s">
        <v>60</v>
      </c>
      <c r="AC183" t="s">
        <v>61</v>
      </c>
      <c r="AD183">
        <v>0</v>
      </c>
      <c r="AE183" s="2">
        <v>0</v>
      </c>
      <c r="AF183" s="2">
        <v>0</v>
      </c>
      <c r="AG183" s="3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45957</v>
      </c>
      <c r="B184" t="s">
        <v>48</v>
      </c>
      <c r="C184">
        <v>649163</v>
      </c>
      <c r="D184">
        <v>2026528984</v>
      </c>
      <c r="E184" t="s">
        <v>971</v>
      </c>
      <c r="F184" t="s">
        <v>972</v>
      </c>
      <c r="G184" t="s">
        <v>51</v>
      </c>
      <c r="H184" t="s">
        <v>69</v>
      </c>
      <c r="I184" s="2">
        <v>124.72</v>
      </c>
      <c r="J184" t="s">
        <v>59</v>
      </c>
      <c r="K184" s="3">
        <v>0.7</v>
      </c>
      <c r="L184" s="2">
        <v>0</v>
      </c>
      <c r="M184" s="2">
        <v>87.3</v>
      </c>
      <c r="N184" s="2">
        <v>87.3</v>
      </c>
      <c r="O184" t="s">
        <v>53</v>
      </c>
      <c r="P184" t="s">
        <v>54</v>
      </c>
      <c r="Q184">
        <v>768271</v>
      </c>
      <c r="R184" t="s">
        <v>973</v>
      </c>
      <c r="S184" t="s">
        <v>413</v>
      </c>
      <c r="T184" t="s">
        <v>57</v>
      </c>
      <c r="U184" s="1">
        <v>45689</v>
      </c>
      <c r="W184" s="1">
        <v>45992</v>
      </c>
      <c r="X184">
        <v>1</v>
      </c>
      <c r="Y184" t="s">
        <v>58</v>
      </c>
      <c r="Z184" s="2">
        <v>0</v>
      </c>
      <c r="AA184">
        <v>0</v>
      </c>
      <c r="AB184" t="s">
        <v>60</v>
      </c>
      <c r="AC184" t="s">
        <v>61</v>
      </c>
      <c r="AD184">
        <v>0</v>
      </c>
      <c r="AE184" s="2">
        <v>0</v>
      </c>
      <c r="AF184" s="2">
        <v>0</v>
      </c>
      <c r="AG184" s="3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45957</v>
      </c>
      <c r="B185" t="s">
        <v>48</v>
      </c>
      <c r="C185">
        <v>649163</v>
      </c>
      <c r="D185">
        <v>2026548461</v>
      </c>
      <c r="E185" t="s">
        <v>974</v>
      </c>
      <c r="F185" t="s">
        <v>173</v>
      </c>
      <c r="G185" t="s">
        <v>51</v>
      </c>
      <c r="H185" t="s">
        <v>69</v>
      </c>
      <c r="I185" s="2">
        <v>198.36</v>
      </c>
      <c r="J185" t="s">
        <v>59</v>
      </c>
      <c r="K185" s="3">
        <v>0.7</v>
      </c>
      <c r="L185" s="2">
        <v>0</v>
      </c>
      <c r="M185" s="2">
        <v>138.85</v>
      </c>
      <c r="N185" s="2">
        <v>138.85</v>
      </c>
      <c r="O185" t="s">
        <v>53</v>
      </c>
      <c r="P185" t="s">
        <v>54</v>
      </c>
      <c r="Q185">
        <v>812782</v>
      </c>
      <c r="R185" t="s">
        <v>114</v>
      </c>
      <c r="S185" t="s">
        <v>115</v>
      </c>
      <c r="T185" t="s">
        <v>57</v>
      </c>
      <c r="U185" s="1">
        <v>45689</v>
      </c>
      <c r="W185" s="1">
        <v>45992</v>
      </c>
      <c r="X185">
        <v>1</v>
      </c>
      <c r="Y185" t="s">
        <v>58</v>
      </c>
      <c r="Z185" s="2">
        <v>0</v>
      </c>
      <c r="AA185">
        <v>0</v>
      </c>
      <c r="AB185" t="s">
        <v>60</v>
      </c>
      <c r="AC185" t="s">
        <v>61</v>
      </c>
      <c r="AD185">
        <v>0</v>
      </c>
      <c r="AE185" s="2">
        <v>0</v>
      </c>
      <c r="AF185" s="2">
        <v>0</v>
      </c>
      <c r="AG185" s="3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45957</v>
      </c>
      <c r="B186" t="s">
        <v>48</v>
      </c>
      <c r="C186">
        <v>649163</v>
      </c>
      <c r="D186">
        <v>2026549078</v>
      </c>
      <c r="E186" t="s">
        <v>974</v>
      </c>
      <c r="F186" t="s">
        <v>975</v>
      </c>
      <c r="G186" t="s">
        <v>51</v>
      </c>
      <c r="H186" t="s">
        <v>69</v>
      </c>
      <c r="I186" s="2">
        <v>28.9</v>
      </c>
      <c r="J186" t="s">
        <v>59</v>
      </c>
      <c r="K186" s="3">
        <v>0.7</v>
      </c>
      <c r="L186" s="2">
        <v>0</v>
      </c>
      <c r="M186" s="2">
        <v>20.23</v>
      </c>
      <c r="N186" s="2">
        <v>20.23</v>
      </c>
      <c r="O186" t="s">
        <v>53</v>
      </c>
      <c r="P186" t="s">
        <v>54</v>
      </c>
      <c r="Q186">
        <v>812782</v>
      </c>
      <c r="R186" t="s">
        <v>114</v>
      </c>
      <c r="S186" t="s">
        <v>115</v>
      </c>
      <c r="T186" t="s">
        <v>57</v>
      </c>
      <c r="U186" s="1">
        <v>45689</v>
      </c>
      <c r="W186" s="1">
        <v>45992</v>
      </c>
      <c r="X186">
        <v>1</v>
      </c>
      <c r="Y186" t="s">
        <v>58</v>
      </c>
      <c r="Z186" s="2">
        <v>0</v>
      </c>
      <c r="AA186">
        <v>0</v>
      </c>
      <c r="AB186" t="s">
        <v>60</v>
      </c>
      <c r="AC186" t="s">
        <v>61</v>
      </c>
      <c r="AD186">
        <v>0</v>
      </c>
      <c r="AE186" s="2">
        <v>0</v>
      </c>
      <c r="AF186" s="2">
        <v>0</v>
      </c>
      <c r="AG186" s="3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45957</v>
      </c>
      <c r="B187" t="s">
        <v>48</v>
      </c>
      <c r="C187">
        <v>649163</v>
      </c>
      <c r="D187">
        <v>2026568843</v>
      </c>
      <c r="E187" t="s">
        <v>976</v>
      </c>
      <c r="F187" t="s">
        <v>535</v>
      </c>
      <c r="G187" t="s">
        <v>51</v>
      </c>
      <c r="H187" t="s">
        <v>129</v>
      </c>
      <c r="I187" s="2">
        <v>21.44</v>
      </c>
      <c r="J187" t="s">
        <v>59</v>
      </c>
      <c r="K187" s="3">
        <v>0.7</v>
      </c>
      <c r="L187" s="2">
        <v>0</v>
      </c>
      <c r="M187" s="2">
        <v>15.01</v>
      </c>
      <c r="N187" s="2">
        <v>15.01</v>
      </c>
      <c r="O187" t="s">
        <v>53</v>
      </c>
      <c r="P187" t="s">
        <v>119</v>
      </c>
      <c r="Q187">
        <v>673059</v>
      </c>
      <c r="R187" t="s">
        <v>55</v>
      </c>
      <c r="S187" t="s">
        <v>56</v>
      </c>
      <c r="T187" t="s">
        <v>57</v>
      </c>
      <c r="U187" s="1">
        <v>45689</v>
      </c>
      <c r="W187" s="1">
        <v>45992</v>
      </c>
      <c r="X187">
        <v>1</v>
      </c>
      <c r="Y187" t="s">
        <v>58</v>
      </c>
      <c r="Z187" s="2">
        <v>0</v>
      </c>
      <c r="AA187">
        <v>0</v>
      </c>
      <c r="AB187" t="s">
        <v>60</v>
      </c>
      <c r="AC187" t="s">
        <v>61</v>
      </c>
      <c r="AD187">
        <v>0</v>
      </c>
      <c r="AE187" s="2">
        <v>0</v>
      </c>
      <c r="AF187" s="2">
        <v>0</v>
      </c>
      <c r="AG187" s="3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45957</v>
      </c>
      <c r="B188" t="s">
        <v>48</v>
      </c>
      <c r="C188">
        <v>649163</v>
      </c>
      <c r="D188">
        <v>2026568844</v>
      </c>
      <c r="E188" t="s">
        <v>976</v>
      </c>
      <c r="F188" t="s">
        <v>535</v>
      </c>
      <c r="G188" t="s">
        <v>51</v>
      </c>
      <c r="H188" t="s">
        <v>129</v>
      </c>
      <c r="I188" s="2">
        <v>34</v>
      </c>
      <c r="J188" t="s">
        <v>59</v>
      </c>
      <c r="K188" s="3">
        <v>0.7</v>
      </c>
      <c r="L188" s="2">
        <v>0</v>
      </c>
      <c r="M188" s="2">
        <v>23.8</v>
      </c>
      <c r="N188" s="2">
        <v>23.8</v>
      </c>
      <c r="O188" t="s">
        <v>53</v>
      </c>
      <c r="P188" t="s">
        <v>54</v>
      </c>
      <c r="Q188">
        <v>673059</v>
      </c>
      <c r="R188" t="s">
        <v>55</v>
      </c>
      <c r="S188" t="s">
        <v>56</v>
      </c>
      <c r="T188" t="s">
        <v>57</v>
      </c>
      <c r="U188" s="1">
        <v>45689</v>
      </c>
      <c r="W188" s="1">
        <v>45992</v>
      </c>
      <c r="X188">
        <v>1</v>
      </c>
      <c r="Y188" t="s">
        <v>58</v>
      </c>
      <c r="Z188" s="2">
        <v>0</v>
      </c>
      <c r="AA188">
        <v>0</v>
      </c>
      <c r="AB188" t="s">
        <v>60</v>
      </c>
      <c r="AC188" t="s">
        <v>61</v>
      </c>
      <c r="AD188">
        <v>0</v>
      </c>
      <c r="AE188" s="2">
        <v>0</v>
      </c>
      <c r="AF188" s="2">
        <v>0</v>
      </c>
      <c r="AG188" s="3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45957</v>
      </c>
      <c r="B189" t="s">
        <v>48</v>
      </c>
      <c r="C189">
        <v>649163</v>
      </c>
      <c r="D189">
        <v>2026593656</v>
      </c>
      <c r="E189" t="s">
        <v>977</v>
      </c>
      <c r="F189" t="s">
        <v>978</v>
      </c>
      <c r="G189" t="s">
        <v>51</v>
      </c>
      <c r="H189" t="s">
        <v>52</v>
      </c>
      <c r="I189" s="2">
        <v>8.59</v>
      </c>
      <c r="J189" t="s">
        <v>59</v>
      </c>
      <c r="K189" s="3">
        <v>0.7</v>
      </c>
      <c r="L189" s="2">
        <v>0</v>
      </c>
      <c r="M189" s="2">
        <v>6.01</v>
      </c>
      <c r="N189" s="2">
        <v>6.01</v>
      </c>
      <c r="O189" t="s">
        <v>53</v>
      </c>
      <c r="P189" t="s">
        <v>54</v>
      </c>
      <c r="Q189">
        <v>812782</v>
      </c>
      <c r="R189" t="s">
        <v>114</v>
      </c>
      <c r="S189" t="s">
        <v>115</v>
      </c>
      <c r="T189" t="s">
        <v>57</v>
      </c>
      <c r="U189" s="1">
        <v>45689</v>
      </c>
      <c r="W189" s="1">
        <v>45992</v>
      </c>
      <c r="X189">
        <v>1</v>
      </c>
      <c r="Y189" t="s">
        <v>58</v>
      </c>
      <c r="Z189" s="2">
        <v>0</v>
      </c>
      <c r="AA189">
        <v>0</v>
      </c>
      <c r="AB189" t="s">
        <v>60</v>
      </c>
      <c r="AC189" t="s">
        <v>61</v>
      </c>
      <c r="AD189">
        <v>0</v>
      </c>
      <c r="AE189" s="2">
        <v>0</v>
      </c>
      <c r="AF189" s="2">
        <v>0</v>
      </c>
      <c r="AG189" s="3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45957</v>
      </c>
      <c r="B190" t="s">
        <v>48</v>
      </c>
      <c r="C190">
        <v>649163</v>
      </c>
      <c r="D190">
        <v>2026605719</v>
      </c>
      <c r="E190" t="s">
        <v>582</v>
      </c>
      <c r="F190" t="s">
        <v>106</v>
      </c>
      <c r="G190" t="s">
        <v>51</v>
      </c>
      <c r="H190" t="s">
        <v>92</v>
      </c>
      <c r="I190" s="2">
        <v>9.1</v>
      </c>
      <c r="J190" t="s">
        <v>59</v>
      </c>
      <c r="K190" s="3">
        <v>0.7</v>
      </c>
      <c r="L190" s="2">
        <v>0</v>
      </c>
      <c r="M190" s="2">
        <v>6.37</v>
      </c>
      <c r="N190" s="2">
        <v>6.37</v>
      </c>
      <c r="O190" t="s">
        <v>53</v>
      </c>
      <c r="P190" t="s">
        <v>54</v>
      </c>
      <c r="Q190">
        <v>816021</v>
      </c>
      <c r="R190" t="s">
        <v>93</v>
      </c>
      <c r="S190" t="s">
        <v>94</v>
      </c>
      <c r="T190" t="s">
        <v>57</v>
      </c>
      <c r="U190" s="1">
        <v>45689</v>
      </c>
      <c r="W190" s="1">
        <v>45992</v>
      </c>
      <c r="X190">
        <v>1</v>
      </c>
      <c r="Y190" t="s">
        <v>58</v>
      </c>
      <c r="Z190" s="2">
        <v>0</v>
      </c>
      <c r="AA190">
        <v>0</v>
      </c>
      <c r="AB190" t="s">
        <v>60</v>
      </c>
      <c r="AC190" t="s">
        <v>61</v>
      </c>
      <c r="AD190">
        <v>0</v>
      </c>
      <c r="AE190" s="2">
        <v>0</v>
      </c>
      <c r="AF190" s="2">
        <v>0</v>
      </c>
      <c r="AG190" s="3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45957</v>
      </c>
      <c r="B191" t="s">
        <v>48</v>
      </c>
      <c r="C191">
        <v>649163</v>
      </c>
      <c r="D191">
        <v>2026606538</v>
      </c>
      <c r="E191" t="s">
        <v>979</v>
      </c>
      <c r="F191" t="s">
        <v>980</v>
      </c>
      <c r="G191" t="s">
        <v>51</v>
      </c>
      <c r="H191" t="s">
        <v>165</v>
      </c>
      <c r="I191" s="2">
        <v>237.05</v>
      </c>
      <c r="J191" t="s">
        <v>59</v>
      </c>
      <c r="K191" s="3">
        <v>0.7</v>
      </c>
      <c r="L191" s="2">
        <v>0</v>
      </c>
      <c r="M191" s="2">
        <v>165.94</v>
      </c>
      <c r="N191" s="2">
        <v>165.94</v>
      </c>
      <c r="O191" t="s">
        <v>53</v>
      </c>
      <c r="P191" t="s">
        <v>54</v>
      </c>
      <c r="Q191">
        <v>753748</v>
      </c>
      <c r="R191" t="s">
        <v>65</v>
      </c>
      <c r="S191" t="s">
        <v>66</v>
      </c>
      <c r="T191" t="s">
        <v>57</v>
      </c>
      <c r="U191" s="1">
        <v>45689</v>
      </c>
      <c r="W191" s="1">
        <v>45992</v>
      </c>
      <c r="X191">
        <v>1</v>
      </c>
      <c r="Y191" t="s">
        <v>58</v>
      </c>
      <c r="Z191" s="2">
        <v>0</v>
      </c>
      <c r="AA191">
        <v>0</v>
      </c>
      <c r="AB191" t="s">
        <v>60</v>
      </c>
      <c r="AC191" t="s">
        <v>61</v>
      </c>
      <c r="AD191">
        <v>0</v>
      </c>
      <c r="AE191" s="2">
        <v>0</v>
      </c>
      <c r="AF191" s="2">
        <v>0</v>
      </c>
      <c r="AG191" s="3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45957</v>
      </c>
      <c r="B192" t="s">
        <v>48</v>
      </c>
      <c r="C192">
        <v>649163</v>
      </c>
      <c r="D192">
        <v>2026608092</v>
      </c>
      <c r="E192" t="s">
        <v>856</v>
      </c>
      <c r="F192" t="s">
        <v>268</v>
      </c>
      <c r="G192" t="s">
        <v>51</v>
      </c>
      <c r="H192" t="s">
        <v>92</v>
      </c>
      <c r="I192" s="2">
        <v>9.1</v>
      </c>
      <c r="J192" t="s">
        <v>59</v>
      </c>
      <c r="K192" s="3">
        <v>0.7</v>
      </c>
      <c r="L192" s="2">
        <v>0</v>
      </c>
      <c r="M192" s="2">
        <v>6.37</v>
      </c>
      <c r="N192" s="2">
        <v>6.37</v>
      </c>
      <c r="O192" t="s">
        <v>53</v>
      </c>
      <c r="P192" t="s">
        <v>54</v>
      </c>
      <c r="Q192">
        <v>816021</v>
      </c>
      <c r="R192" t="s">
        <v>93</v>
      </c>
      <c r="S192" t="s">
        <v>94</v>
      </c>
      <c r="T192" t="s">
        <v>57</v>
      </c>
      <c r="U192" s="1">
        <v>45689</v>
      </c>
      <c r="W192" s="1">
        <v>45992</v>
      </c>
      <c r="X192">
        <v>1</v>
      </c>
      <c r="Y192" t="s">
        <v>58</v>
      </c>
      <c r="Z192" s="2">
        <v>0</v>
      </c>
      <c r="AA192">
        <v>0</v>
      </c>
      <c r="AB192" t="s">
        <v>60</v>
      </c>
      <c r="AC192" t="s">
        <v>61</v>
      </c>
      <c r="AD192">
        <v>0</v>
      </c>
      <c r="AE192" s="2">
        <v>0</v>
      </c>
      <c r="AF192" s="2">
        <v>0</v>
      </c>
      <c r="AG192" s="3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45957</v>
      </c>
      <c r="B193" t="s">
        <v>48</v>
      </c>
      <c r="C193">
        <v>649163</v>
      </c>
      <c r="D193">
        <v>2026613381</v>
      </c>
      <c r="E193" t="s">
        <v>583</v>
      </c>
      <c r="F193" t="s">
        <v>490</v>
      </c>
      <c r="G193" t="s">
        <v>51</v>
      </c>
      <c r="H193" t="s">
        <v>52</v>
      </c>
      <c r="I193" s="2">
        <v>98.21</v>
      </c>
      <c r="J193" t="s">
        <v>59</v>
      </c>
      <c r="K193" s="3">
        <v>0.7</v>
      </c>
      <c r="L193" s="2">
        <v>0</v>
      </c>
      <c r="M193" s="2">
        <v>68.75</v>
      </c>
      <c r="N193" s="2">
        <v>68.75</v>
      </c>
      <c r="O193" t="s">
        <v>53</v>
      </c>
      <c r="P193" t="s">
        <v>54</v>
      </c>
      <c r="Q193">
        <v>673059</v>
      </c>
      <c r="R193" t="s">
        <v>55</v>
      </c>
      <c r="S193" t="s">
        <v>56</v>
      </c>
      <c r="T193" t="s">
        <v>57</v>
      </c>
      <c r="U193" s="1">
        <v>45689</v>
      </c>
      <c r="W193" s="1">
        <v>45992</v>
      </c>
      <c r="X193">
        <v>1</v>
      </c>
      <c r="Y193" t="s">
        <v>58</v>
      </c>
      <c r="Z193" s="2">
        <v>0</v>
      </c>
      <c r="AA193">
        <v>0</v>
      </c>
      <c r="AB193" t="s">
        <v>60</v>
      </c>
      <c r="AC193" t="s">
        <v>61</v>
      </c>
      <c r="AD193">
        <v>0</v>
      </c>
      <c r="AE193" s="2">
        <v>0</v>
      </c>
      <c r="AF193" s="2">
        <v>0</v>
      </c>
      <c r="AG193" s="3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45957</v>
      </c>
      <c r="B194" t="s">
        <v>48</v>
      </c>
      <c r="C194">
        <v>649163</v>
      </c>
      <c r="D194">
        <v>2026613382</v>
      </c>
      <c r="E194" t="s">
        <v>583</v>
      </c>
      <c r="F194" t="s">
        <v>490</v>
      </c>
      <c r="G194" t="s">
        <v>51</v>
      </c>
      <c r="H194" t="s">
        <v>52</v>
      </c>
      <c r="I194" s="2">
        <v>51.46</v>
      </c>
      <c r="J194" t="s">
        <v>59</v>
      </c>
      <c r="K194" s="3">
        <v>0.7</v>
      </c>
      <c r="L194" s="2">
        <v>0</v>
      </c>
      <c r="M194" s="2">
        <v>36.020000000000003</v>
      </c>
      <c r="N194" s="2">
        <v>36.020000000000003</v>
      </c>
      <c r="O194" t="s">
        <v>53</v>
      </c>
      <c r="P194" t="s">
        <v>119</v>
      </c>
      <c r="Q194">
        <v>673059</v>
      </c>
      <c r="R194" t="s">
        <v>55</v>
      </c>
      <c r="S194" t="s">
        <v>56</v>
      </c>
      <c r="T194" t="s">
        <v>57</v>
      </c>
      <c r="U194" s="1">
        <v>45689</v>
      </c>
      <c r="W194" s="1">
        <v>45992</v>
      </c>
      <c r="X194">
        <v>1</v>
      </c>
      <c r="Y194" t="s">
        <v>58</v>
      </c>
      <c r="Z194" s="2">
        <v>0</v>
      </c>
      <c r="AA194">
        <v>0</v>
      </c>
      <c r="AB194" t="s">
        <v>60</v>
      </c>
      <c r="AC194" t="s">
        <v>61</v>
      </c>
      <c r="AD194">
        <v>0</v>
      </c>
      <c r="AE194" s="2">
        <v>0</v>
      </c>
      <c r="AF194" s="2">
        <v>0</v>
      </c>
      <c r="AG194" s="3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45957</v>
      </c>
      <c r="B195" t="s">
        <v>48</v>
      </c>
      <c r="C195">
        <v>649163</v>
      </c>
      <c r="D195">
        <v>2026615269</v>
      </c>
      <c r="E195" t="s">
        <v>584</v>
      </c>
      <c r="F195" t="s">
        <v>585</v>
      </c>
      <c r="G195" t="s">
        <v>51</v>
      </c>
      <c r="H195" t="s">
        <v>92</v>
      </c>
      <c r="I195" s="2">
        <v>9.1</v>
      </c>
      <c r="J195" t="s">
        <v>59</v>
      </c>
      <c r="K195" s="3">
        <v>0.7</v>
      </c>
      <c r="L195" s="2">
        <v>0</v>
      </c>
      <c r="M195" s="2">
        <v>6.37</v>
      </c>
      <c r="N195" s="2">
        <v>6.37</v>
      </c>
      <c r="O195" t="s">
        <v>53</v>
      </c>
      <c r="P195" t="s">
        <v>54</v>
      </c>
      <c r="Q195">
        <v>816021</v>
      </c>
      <c r="R195" t="s">
        <v>93</v>
      </c>
      <c r="S195" t="s">
        <v>94</v>
      </c>
      <c r="T195" t="s">
        <v>57</v>
      </c>
      <c r="U195" s="1">
        <v>45689</v>
      </c>
      <c r="W195" s="1">
        <v>45992</v>
      </c>
      <c r="X195">
        <v>1</v>
      </c>
      <c r="Y195" t="s">
        <v>58</v>
      </c>
      <c r="Z195" s="2">
        <v>0</v>
      </c>
      <c r="AA195">
        <v>0</v>
      </c>
      <c r="AB195" t="s">
        <v>60</v>
      </c>
      <c r="AC195" t="s">
        <v>61</v>
      </c>
      <c r="AD195">
        <v>0</v>
      </c>
      <c r="AE195" s="2">
        <v>0</v>
      </c>
      <c r="AF195" s="2">
        <v>0</v>
      </c>
      <c r="AG195" s="3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45957</v>
      </c>
      <c r="B196" t="s">
        <v>48</v>
      </c>
      <c r="C196">
        <v>649163</v>
      </c>
      <c r="D196">
        <v>2026616496</v>
      </c>
      <c r="E196" t="s">
        <v>586</v>
      </c>
      <c r="F196" t="s">
        <v>354</v>
      </c>
      <c r="G196" t="s">
        <v>51</v>
      </c>
      <c r="H196" t="s">
        <v>182</v>
      </c>
      <c r="I196" s="2">
        <v>35.04</v>
      </c>
      <c r="J196" t="s">
        <v>59</v>
      </c>
      <c r="K196" s="3">
        <v>0.7</v>
      </c>
      <c r="L196" s="2">
        <v>0</v>
      </c>
      <c r="M196" s="2">
        <v>24.53</v>
      </c>
      <c r="N196" s="2">
        <v>24.53</v>
      </c>
      <c r="O196" t="s">
        <v>53</v>
      </c>
      <c r="P196" t="s">
        <v>54</v>
      </c>
      <c r="Q196">
        <v>673059</v>
      </c>
      <c r="R196" t="s">
        <v>55</v>
      </c>
      <c r="S196" t="s">
        <v>56</v>
      </c>
      <c r="T196" t="s">
        <v>57</v>
      </c>
      <c r="U196" s="1">
        <v>45689</v>
      </c>
      <c r="W196" s="1">
        <v>45992</v>
      </c>
      <c r="X196">
        <v>1</v>
      </c>
      <c r="Y196" t="s">
        <v>58</v>
      </c>
      <c r="Z196" s="2">
        <v>0</v>
      </c>
      <c r="AA196">
        <v>0</v>
      </c>
      <c r="AB196" t="s">
        <v>60</v>
      </c>
      <c r="AC196" t="s">
        <v>61</v>
      </c>
      <c r="AD196">
        <v>0</v>
      </c>
      <c r="AE196" s="2">
        <v>0</v>
      </c>
      <c r="AF196" s="2">
        <v>0</v>
      </c>
      <c r="AG196" s="3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45957</v>
      </c>
      <c r="B197" t="s">
        <v>48</v>
      </c>
      <c r="C197">
        <v>649163</v>
      </c>
      <c r="D197">
        <v>2026616497</v>
      </c>
      <c r="E197" t="s">
        <v>586</v>
      </c>
      <c r="F197" t="s">
        <v>354</v>
      </c>
      <c r="G197" t="s">
        <v>51</v>
      </c>
      <c r="H197" t="s">
        <v>182</v>
      </c>
      <c r="I197" s="2">
        <v>25.73</v>
      </c>
      <c r="J197" t="s">
        <v>59</v>
      </c>
      <c r="K197" s="3">
        <v>0.7</v>
      </c>
      <c r="L197" s="2">
        <v>0</v>
      </c>
      <c r="M197" s="2">
        <v>18.010000000000002</v>
      </c>
      <c r="N197" s="2">
        <v>18.010000000000002</v>
      </c>
      <c r="O197" t="s">
        <v>53</v>
      </c>
      <c r="P197" t="s">
        <v>119</v>
      </c>
      <c r="Q197">
        <v>673059</v>
      </c>
      <c r="R197" t="s">
        <v>55</v>
      </c>
      <c r="S197" t="s">
        <v>56</v>
      </c>
      <c r="T197" t="s">
        <v>57</v>
      </c>
      <c r="U197" s="1">
        <v>45689</v>
      </c>
      <c r="W197" s="1">
        <v>45992</v>
      </c>
      <c r="X197">
        <v>1</v>
      </c>
      <c r="Y197" t="s">
        <v>58</v>
      </c>
      <c r="Z197" s="2">
        <v>0</v>
      </c>
      <c r="AA197">
        <v>0</v>
      </c>
      <c r="AB197" t="s">
        <v>60</v>
      </c>
      <c r="AC197" t="s">
        <v>61</v>
      </c>
      <c r="AD197">
        <v>0</v>
      </c>
      <c r="AE197" s="2">
        <v>0</v>
      </c>
      <c r="AF197" s="2">
        <v>0</v>
      </c>
      <c r="AG197" s="3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45957</v>
      </c>
      <c r="B198" t="s">
        <v>48</v>
      </c>
      <c r="C198">
        <v>649163</v>
      </c>
      <c r="D198">
        <v>2026618581</v>
      </c>
      <c r="E198" t="s">
        <v>589</v>
      </c>
      <c r="F198" t="s">
        <v>590</v>
      </c>
      <c r="G198" t="s">
        <v>51</v>
      </c>
      <c r="H198" t="s">
        <v>64</v>
      </c>
      <c r="I198" s="2">
        <v>59.89</v>
      </c>
      <c r="J198" t="s">
        <v>59</v>
      </c>
      <c r="K198" s="3">
        <v>0.7</v>
      </c>
      <c r="L198" s="2">
        <v>0</v>
      </c>
      <c r="M198" s="2">
        <v>41.92</v>
      </c>
      <c r="N198" s="2">
        <v>41.92</v>
      </c>
      <c r="O198" t="s">
        <v>53</v>
      </c>
      <c r="P198" t="s">
        <v>54</v>
      </c>
      <c r="Q198">
        <v>753748</v>
      </c>
      <c r="R198" t="s">
        <v>65</v>
      </c>
      <c r="S198" t="s">
        <v>66</v>
      </c>
      <c r="T198" t="s">
        <v>57</v>
      </c>
      <c r="U198" s="1">
        <v>45689</v>
      </c>
      <c r="W198" s="1">
        <v>45992</v>
      </c>
      <c r="X198">
        <v>1</v>
      </c>
      <c r="Y198" t="s">
        <v>58</v>
      </c>
      <c r="Z198" s="2">
        <v>0</v>
      </c>
      <c r="AA198">
        <v>0</v>
      </c>
      <c r="AB198" t="s">
        <v>60</v>
      </c>
      <c r="AC198" t="s">
        <v>61</v>
      </c>
      <c r="AD198">
        <v>0</v>
      </c>
      <c r="AE198" s="2">
        <v>0</v>
      </c>
      <c r="AF198" s="2">
        <v>0</v>
      </c>
      <c r="AG198" s="3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45957</v>
      </c>
      <c r="B199" t="s">
        <v>48</v>
      </c>
      <c r="C199">
        <v>649163</v>
      </c>
      <c r="D199">
        <v>2026619108</v>
      </c>
      <c r="E199" t="s">
        <v>591</v>
      </c>
      <c r="F199" t="s">
        <v>592</v>
      </c>
      <c r="G199" t="s">
        <v>51</v>
      </c>
      <c r="H199" t="s">
        <v>165</v>
      </c>
      <c r="I199" s="2">
        <v>109.36</v>
      </c>
      <c r="J199" t="s">
        <v>59</v>
      </c>
      <c r="K199" s="3">
        <v>0.7</v>
      </c>
      <c r="L199" s="2">
        <v>0</v>
      </c>
      <c r="M199" s="2">
        <v>76.55</v>
      </c>
      <c r="N199" s="2">
        <v>76.55</v>
      </c>
      <c r="O199" t="s">
        <v>53</v>
      </c>
      <c r="P199" t="s">
        <v>54</v>
      </c>
      <c r="Q199">
        <v>673059</v>
      </c>
      <c r="R199" t="s">
        <v>55</v>
      </c>
      <c r="S199" t="s">
        <v>56</v>
      </c>
      <c r="T199" t="s">
        <v>57</v>
      </c>
      <c r="U199" s="1">
        <v>45689</v>
      </c>
      <c r="W199" s="1">
        <v>45992</v>
      </c>
      <c r="X199">
        <v>1</v>
      </c>
      <c r="Y199" t="s">
        <v>58</v>
      </c>
      <c r="Z199" s="2">
        <v>0</v>
      </c>
      <c r="AA199">
        <v>0</v>
      </c>
      <c r="AB199" t="s">
        <v>60</v>
      </c>
      <c r="AC199" t="s">
        <v>61</v>
      </c>
      <c r="AD199">
        <v>0</v>
      </c>
      <c r="AE199" s="2">
        <v>0</v>
      </c>
      <c r="AF199" s="2">
        <v>0</v>
      </c>
      <c r="AG199" s="3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45957</v>
      </c>
      <c r="B200" t="s">
        <v>48</v>
      </c>
      <c r="C200">
        <v>649163</v>
      </c>
      <c r="D200">
        <v>2026619109</v>
      </c>
      <c r="E200" t="s">
        <v>591</v>
      </c>
      <c r="F200" t="s">
        <v>592</v>
      </c>
      <c r="G200" t="s">
        <v>51</v>
      </c>
      <c r="H200" t="s">
        <v>165</v>
      </c>
      <c r="I200" s="2">
        <v>85.53</v>
      </c>
      <c r="J200" t="s">
        <v>59</v>
      </c>
      <c r="K200" s="3">
        <v>0.7</v>
      </c>
      <c r="L200" s="2">
        <v>0</v>
      </c>
      <c r="M200" s="2">
        <v>59.87</v>
      </c>
      <c r="N200" s="2">
        <v>59.87</v>
      </c>
      <c r="O200" t="s">
        <v>53</v>
      </c>
      <c r="P200" t="s">
        <v>119</v>
      </c>
      <c r="Q200">
        <v>673059</v>
      </c>
      <c r="R200" t="s">
        <v>55</v>
      </c>
      <c r="S200" t="s">
        <v>56</v>
      </c>
      <c r="T200" t="s">
        <v>57</v>
      </c>
      <c r="U200" s="1">
        <v>45689</v>
      </c>
      <c r="W200" s="1">
        <v>45992</v>
      </c>
      <c r="X200">
        <v>1</v>
      </c>
      <c r="Y200" t="s">
        <v>58</v>
      </c>
      <c r="Z200" s="2">
        <v>0</v>
      </c>
      <c r="AA200">
        <v>0</v>
      </c>
      <c r="AB200" t="s">
        <v>60</v>
      </c>
      <c r="AC200" t="s">
        <v>61</v>
      </c>
      <c r="AD200">
        <v>0</v>
      </c>
      <c r="AE200" s="2">
        <v>0</v>
      </c>
      <c r="AF200" s="2">
        <v>0</v>
      </c>
      <c r="AG200" s="3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45957</v>
      </c>
      <c r="B201" t="s">
        <v>48</v>
      </c>
      <c r="C201">
        <v>649163</v>
      </c>
      <c r="D201">
        <v>2026624654</v>
      </c>
      <c r="E201" t="s">
        <v>981</v>
      </c>
      <c r="F201" t="s">
        <v>982</v>
      </c>
      <c r="G201" t="s">
        <v>51</v>
      </c>
      <c r="H201" t="s">
        <v>69</v>
      </c>
      <c r="I201" s="2">
        <v>145.41999999999999</v>
      </c>
      <c r="J201" t="s">
        <v>59</v>
      </c>
      <c r="K201" s="3">
        <v>0.7</v>
      </c>
      <c r="L201" s="2">
        <v>0</v>
      </c>
      <c r="M201" s="2">
        <v>101.79</v>
      </c>
      <c r="N201" s="2">
        <v>101.79</v>
      </c>
      <c r="O201" t="s">
        <v>53</v>
      </c>
      <c r="P201" t="s">
        <v>54</v>
      </c>
      <c r="Q201">
        <v>651818</v>
      </c>
      <c r="R201" t="s">
        <v>560</v>
      </c>
      <c r="S201" t="s">
        <v>336</v>
      </c>
      <c r="T201" t="s">
        <v>57</v>
      </c>
      <c r="U201" s="1">
        <v>45689</v>
      </c>
      <c r="W201" s="1">
        <v>45992</v>
      </c>
      <c r="X201">
        <v>1</v>
      </c>
      <c r="Y201" t="s">
        <v>58</v>
      </c>
      <c r="Z201" s="2">
        <v>0</v>
      </c>
      <c r="AA201">
        <v>0</v>
      </c>
      <c r="AB201" t="s">
        <v>60</v>
      </c>
      <c r="AC201" t="s">
        <v>61</v>
      </c>
      <c r="AD201">
        <v>0</v>
      </c>
      <c r="AE201" s="2">
        <v>0</v>
      </c>
      <c r="AF201" s="2">
        <v>0</v>
      </c>
      <c r="AG201" s="3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45957</v>
      </c>
      <c r="B202" t="s">
        <v>48</v>
      </c>
      <c r="C202">
        <v>649163</v>
      </c>
      <c r="D202">
        <v>2026627935</v>
      </c>
      <c r="E202" t="s">
        <v>857</v>
      </c>
      <c r="F202" t="s">
        <v>858</v>
      </c>
      <c r="G202" t="s">
        <v>51</v>
      </c>
      <c r="H202" t="s">
        <v>92</v>
      </c>
      <c r="I202" s="2">
        <v>18.2</v>
      </c>
      <c r="J202" t="s">
        <v>59</v>
      </c>
      <c r="K202" s="3">
        <v>0.7</v>
      </c>
      <c r="L202" s="2">
        <v>0</v>
      </c>
      <c r="M202" s="2">
        <v>12.74</v>
      </c>
      <c r="N202" s="2">
        <v>12.74</v>
      </c>
      <c r="O202" t="s">
        <v>53</v>
      </c>
      <c r="P202" t="s">
        <v>54</v>
      </c>
      <c r="Q202">
        <v>816021</v>
      </c>
      <c r="R202" t="s">
        <v>93</v>
      </c>
      <c r="S202" t="s">
        <v>94</v>
      </c>
      <c r="T202" t="s">
        <v>57</v>
      </c>
      <c r="U202" s="1">
        <v>45689</v>
      </c>
      <c r="W202" s="1">
        <v>45992</v>
      </c>
      <c r="X202">
        <v>1</v>
      </c>
      <c r="Y202" t="s">
        <v>58</v>
      </c>
      <c r="Z202" s="2">
        <v>0</v>
      </c>
      <c r="AA202">
        <v>0</v>
      </c>
      <c r="AB202" t="s">
        <v>60</v>
      </c>
      <c r="AC202" t="s">
        <v>61</v>
      </c>
      <c r="AD202">
        <v>0</v>
      </c>
      <c r="AE202" s="2">
        <v>0</v>
      </c>
      <c r="AF202" s="2">
        <v>0</v>
      </c>
      <c r="AG202" s="3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45957</v>
      </c>
      <c r="B203" t="s">
        <v>48</v>
      </c>
      <c r="C203">
        <v>649163</v>
      </c>
      <c r="D203">
        <v>2026637549</v>
      </c>
      <c r="E203" t="s">
        <v>859</v>
      </c>
      <c r="F203" t="s">
        <v>860</v>
      </c>
      <c r="G203" t="s">
        <v>51</v>
      </c>
      <c r="H203" t="s">
        <v>69</v>
      </c>
      <c r="I203" s="2">
        <v>11.5</v>
      </c>
      <c r="J203" t="s">
        <v>59</v>
      </c>
      <c r="K203" s="3">
        <v>0.7</v>
      </c>
      <c r="L203" s="2">
        <v>0</v>
      </c>
      <c r="M203" s="2">
        <v>8.0500000000000007</v>
      </c>
      <c r="N203" s="2">
        <v>8.0500000000000007</v>
      </c>
      <c r="O203" t="s">
        <v>53</v>
      </c>
      <c r="P203" t="s">
        <v>54</v>
      </c>
      <c r="Q203">
        <v>812782</v>
      </c>
      <c r="R203" t="s">
        <v>114</v>
      </c>
      <c r="S203" t="s">
        <v>115</v>
      </c>
      <c r="T203" t="s">
        <v>57</v>
      </c>
      <c r="U203" s="1">
        <v>45689</v>
      </c>
      <c r="W203" s="1">
        <v>45992</v>
      </c>
      <c r="X203">
        <v>1</v>
      </c>
      <c r="Y203" t="s">
        <v>58</v>
      </c>
      <c r="Z203" s="2">
        <v>0</v>
      </c>
      <c r="AA203">
        <v>0</v>
      </c>
      <c r="AB203" t="s">
        <v>60</v>
      </c>
      <c r="AC203" t="s">
        <v>61</v>
      </c>
      <c r="AD203">
        <v>0</v>
      </c>
      <c r="AE203" s="2">
        <v>0</v>
      </c>
      <c r="AF203" s="2">
        <v>0</v>
      </c>
      <c r="AG203" s="3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45957</v>
      </c>
      <c r="B204" t="s">
        <v>48</v>
      </c>
      <c r="C204">
        <v>649163</v>
      </c>
      <c r="D204">
        <v>2026653706</v>
      </c>
      <c r="E204" t="s">
        <v>861</v>
      </c>
      <c r="F204" t="s">
        <v>543</v>
      </c>
      <c r="G204" t="s">
        <v>51</v>
      </c>
      <c r="H204" t="s">
        <v>69</v>
      </c>
      <c r="I204" s="2">
        <v>11.5</v>
      </c>
      <c r="J204" t="s">
        <v>59</v>
      </c>
      <c r="K204" s="3">
        <v>0.7</v>
      </c>
      <c r="L204" s="2">
        <v>0</v>
      </c>
      <c r="M204" s="2">
        <v>8.0500000000000007</v>
      </c>
      <c r="N204" s="2">
        <v>8.0500000000000007</v>
      </c>
      <c r="O204" t="s">
        <v>53</v>
      </c>
      <c r="P204" t="s">
        <v>54</v>
      </c>
      <c r="Q204">
        <v>812782</v>
      </c>
      <c r="R204" t="s">
        <v>114</v>
      </c>
      <c r="S204" t="s">
        <v>115</v>
      </c>
      <c r="T204" t="s">
        <v>57</v>
      </c>
      <c r="U204" s="1">
        <v>45689</v>
      </c>
      <c r="W204" s="1">
        <v>45992</v>
      </c>
      <c r="X204">
        <v>1</v>
      </c>
      <c r="Y204" t="s">
        <v>58</v>
      </c>
      <c r="Z204" s="2">
        <v>0</v>
      </c>
      <c r="AA204">
        <v>0</v>
      </c>
      <c r="AB204" t="s">
        <v>60</v>
      </c>
      <c r="AC204" t="s">
        <v>61</v>
      </c>
      <c r="AD204">
        <v>0</v>
      </c>
      <c r="AE204" s="2">
        <v>0</v>
      </c>
      <c r="AF204" s="2">
        <v>0</v>
      </c>
      <c r="AG204" s="3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45957</v>
      </c>
      <c r="B205" t="s">
        <v>48</v>
      </c>
      <c r="C205">
        <v>649163</v>
      </c>
      <c r="D205">
        <v>2026701618</v>
      </c>
      <c r="E205" t="s">
        <v>593</v>
      </c>
      <c r="F205" t="s">
        <v>90</v>
      </c>
      <c r="G205" t="s">
        <v>51</v>
      </c>
      <c r="H205" t="s">
        <v>69</v>
      </c>
      <c r="I205" s="2">
        <v>212.26</v>
      </c>
      <c r="J205" t="s">
        <v>59</v>
      </c>
      <c r="K205" s="3">
        <v>0.7</v>
      </c>
      <c r="L205" s="2">
        <v>0</v>
      </c>
      <c r="M205" s="2">
        <v>148.58000000000001</v>
      </c>
      <c r="N205" s="2">
        <v>148.58000000000001</v>
      </c>
      <c r="O205" t="s">
        <v>53</v>
      </c>
      <c r="P205" t="s">
        <v>54</v>
      </c>
      <c r="Q205">
        <v>753748</v>
      </c>
      <c r="R205" t="s">
        <v>65</v>
      </c>
      <c r="S205" t="s">
        <v>66</v>
      </c>
      <c r="T205" t="s">
        <v>57</v>
      </c>
      <c r="U205" s="1">
        <v>45689</v>
      </c>
      <c r="W205" s="1">
        <v>45992</v>
      </c>
      <c r="X205">
        <v>1</v>
      </c>
      <c r="Y205" t="s">
        <v>58</v>
      </c>
      <c r="Z205" s="2">
        <v>0</v>
      </c>
      <c r="AA205">
        <v>0</v>
      </c>
      <c r="AB205" t="s">
        <v>60</v>
      </c>
      <c r="AC205" t="s">
        <v>61</v>
      </c>
      <c r="AD205">
        <v>0</v>
      </c>
      <c r="AE205" s="2">
        <v>0</v>
      </c>
      <c r="AF205" s="2">
        <v>0</v>
      </c>
      <c r="AG205" s="3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45957</v>
      </c>
      <c r="B206" t="s">
        <v>48</v>
      </c>
      <c r="C206">
        <v>649163</v>
      </c>
      <c r="D206">
        <v>2026703544</v>
      </c>
      <c r="E206" t="s">
        <v>140</v>
      </c>
      <c r="F206" t="s">
        <v>485</v>
      </c>
      <c r="G206" t="s">
        <v>51</v>
      </c>
      <c r="H206" t="s">
        <v>69</v>
      </c>
      <c r="I206" s="2">
        <v>169.06</v>
      </c>
      <c r="J206" t="s">
        <v>59</v>
      </c>
      <c r="K206" s="3">
        <v>0.7</v>
      </c>
      <c r="L206" s="2">
        <v>0</v>
      </c>
      <c r="M206" s="2">
        <v>118.34</v>
      </c>
      <c r="N206" s="2">
        <v>118.34</v>
      </c>
      <c r="O206" t="s">
        <v>53</v>
      </c>
      <c r="P206" t="s">
        <v>54</v>
      </c>
      <c r="Q206">
        <v>766747</v>
      </c>
      <c r="R206" t="s">
        <v>97</v>
      </c>
      <c r="S206" t="s">
        <v>98</v>
      </c>
      <c r="T206" t="s">
        <v>57</v>
      </c>
      <c r="U206" s="1">
        <v>45689</v>
      </c>
      <c r="W206" s="1">
        <v>45992</v>
      </c>
      <c r="X206">
        <v>1</v>
      </c>
      <c r="Y206" t="s">
        <v>58</v>
      </c>
      <c r="Z206" s="2">
        <v>0</v>
      </c>
      <c r="AA206">
        <v>0</v>
      </c>
      <c r="AB206" t="s">
        <v>60</v>
      </c>
      <c r="AC206" t="s">
        <v>61</v>
      </c>
      <c r="AD206">
        <v>0</v>
      </c>
      <c r="AE206" s="2">
        <v>0</v>
      </c>
      <c r="AF206" s="2">
        <v>0</v>
      </c>
      <c r="AG206" s="3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45957</v>
      </c>
      <c r="B207" t="s">
        <v>48</v>
      </c>
      <c r="C207">
        <v>649163</v>
      </c>
      <c r="D207">
        <v>2026718142</v>
      </c>
      <c r="E207" t="s">
        <v>231</v>
      </c>
      <c r="F207" t="s">
        <v>485</v>
      </c>
      <c r="G207" t="s">
        <v>51</v>
      </c>
      <c r="H207" t="s">
        <v>69</v>
      </c>
      <c r="I207" s="2">
        <v>284.54000000000002</v>
      </c>
      <c r="J207" t="s">
        <v>59</v>
      </c>
      <c r="K207" s="3">
        <v>0.7</v>
      </c>
      <c r="L207" s="2">
        <v>0</v>
      </c>
      <c r="M207" s="2">
        <v>199.18</v>
      </c>
      <c r="N207" s="2">
        <v>199.18</v>
      </c>
      <c r="O207" t="s">
        <v>53</v>
      </c>
      <c r="P207" t="s">
        <v>54</v>
      </c>
      <c r="Q207">
        <v>768271</v>
      </c>
      <c r="R207" t="s">
        <v>973</v>
      </c>
      <c r="S207" t="s">
        <v>413</v>
      </c>
      <c r="T207" t="s">
        <v>57</v>
      </c>
      <c r="U207" s="1">
        <v>45689</v>
      </c>
      <c r="W207" s="1">
        <v>45992</v>
      </c>
      <c r="X207">
        <v>1</v>
      </c>
      <c r="Y207" t="s">
        <v>58</v>
      </c>
      <c r="Z207" s="2">
        <v>0</v>
      </c>
      <c r="AA207">
        <v>0</v>
      </c>
      <c r="AB207" t="s">
        <v>60</v>
      </c>
      <c r="AC207" t="s">
        <v>61</v>
      </c>
      <c r="AD207">
        <v>0</v>
      </c>
      <c r="AE207" s="2">
        <v>0</v>
      </c>
      <c r="AF207" s="2">
        <v>0</v>
      </c>
      <c r="AG207" s="3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45957</v>
      </c>
      <c r="B208" t="s">
        <v>48</v>
      </c>
      <c r="C208">
        <v>649163</v>
      </c>
      <c r="D208">
        <v>2026728416</v>
      </c>
      <c r="E208" t="s">
        <v>864</v>
      </c>
      <c r="F208" t="s">
        <v>865</v>
      </c>
      <c r="G208" t="s">
        <v>51</v>
      </c>
      <c r="H208" t="s">
        <v>69</v>
      </c>
      <c r="I208" s="2">
        <v>126.92</v>
      </c>
      <c r="J208" t="s">
        <v>59</v>
      </c>
      <c r="K208" s="3">
        <v>0.7</v>
      </c>
      <c r="L208" s="2">
        <v>0</v>
      </c>
      <c r="M208" s="2">
        <v>88.84</v>
      </c>
      <c r="N208" s="2">
        <v>88.84</v>
      </c>
      <c r="O208" t="s">
        <v>53</v>
      </c>
      <c r="P208" t="s">
        <v>54</v>
      </c>
      <c r="Q208">
        <v>822723</v>
      </c>
      <c r="R208" t="s">
        <v>151</v>
      </c>
      <c r="S208" t="s">
        <v>152</v>
      </c>
      <c r="T208" t="s">
        <v>57</v>
      </c>
      <c r="U208" s="1">
        <v>45689</v>
      </c>
      <c r="W208" s="1">
        <v>45992</v>
      </c>
      <c r="X208">
        <v>1</v>
      </c>
      <c r="Y208" t="s">
        <v>58</v>
      </c>
      <c r="Z208" s="2">
        <v>0</v>
      </c>
      <c r="AA208">
        <v>0</v>
      </c>
      <c r="AB208" t="s">
        <v>60</v>
      </c>
      <c r="AC208" t="s">
        <v>61</v>
      </c>
      <c r="AD208">
        <v>0</v>
      </c>
      <c r="AE208" s="2">
        <v>0</v>
      </c>
      <c r="AF208" s="2">
        <v>0</v>
      </c>
      <c r="AG208" s="3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8" x14ac:dyDescent="0.25">
      <c r="A209" s="1">
        <v>45957</v>
      </c>
      <c r="B209" t="s">
        <v>48</v>
      </c>
      <c r="C209">
        <v>649163</v>
      </c>
      <c r="D209">
        <v>2026730179</v>
      </c>
      <c r="E209" t="s">
        <v>983</v>
      </c>
      <c r="F209" t="s">
        <v>485</v>
      </c>
      <c r="G209" t="s">
        <v>51</v>
      </c>
      <c r="H209" t="s">
        <v>261</v>
      </c>
      <c r="I209" s="2">
        <v>158.44999999999999</v>
      </c>
      <c r="J209" t="s">
        <v>59</v>
      </c>
      <c r="K209" s="3">
        <v>0.7</v>
      </c>
      <c r="L209" s="2">
        <v>0</v>
      </c>
      <c r="M209" s="2">
        <v>110.92</v>
      </c>
      <c r="N209" s="2">
        <v>110.92</v>
      </c>
      <c r="O209" t="s">
        <v>53</v>
      </c>
      <c r="P209" t="s">
        <v>54</v>
      </c>
      <c r="Q209">
        <v>673059</v>
      </c>
      <c r="R209" t="s">
        <v>55</v>
      </c>
      <c r="S209" t="s">
        <v>56</v>
      </c>
      <c r="T209" t="s">
        <v>57</v>
      </c>
      <c r="U209" s="1">
        <v>45689</v>
      </c>
      <c r="W209" s="1">
        <v>45992</v>
      </c>
      <c r="X209">
        <v>1</v>
      </c>
      <c r="Y209" t="s">
        <v>58</v>
      </c>
      <c r="Z209" s="2">
        <v>0</v>
      </c>
      <c r="AA209">
        <v>0</v>
      </c>
      <c r="AB209" t="s">
        <v>60</v>
      </c>
      <c r="AC209" t="s">
        <v>61</v>
      </c>
      <c r="AD209">
        <v>0</v>
      </c>
      <c r="AE209" s="2">
        <v>0</v>
      </c>
      <c r="AF209" s="2">
        <v>0</v>
      </c>
      <c r="AG209" s="3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8" s="16" customFormat="1" x14ac:dyDescent="0.25">
      <c r="A210" s="1">
        <v>45957</v>
      </c>
      <c r="B210" t="s">
        <v>48</v>
      </c>
      <c r="C210">
        <v>649163</v>
      </c>
      <c r="D210">
        <v>2026734342</v>
      </c>
      <c r="E210" t="s">
        <v>594</v>
      </c>
      <c r="F210" t="s">
        <v>595</v>
      </c>
      <c r="G210" t="s">
        <v>51</v>
      </c>
      <c r="H210" t="s">
        <v>52</v>
      </c>
      <c r="I210" s="2">
        <v>57.27</v>
      </c>
      <c r="J210" t="s">
        <v>59</v>
      </c>
      <c r="K210" s="3">
        <v>0.7</v>
      </c>
      <c r="L210" s="2">
        <v>0</v>
      </c>
      <c r="M210" s="2">
        <v>40.090000000000003</v>
      </c>
      <c r="N210" s="2">
        <v>40.090000000000003</v>
      </c>
      <c r="O210" t="s">
        <v>53</v>
      </c>
      <c r="P210" t="s">
        <v>54</v>
      </c>
      <c r="Q210">
        <v>768887</v>
      </c>
      <c r="R210" t="s">
        <v>289</v>
      </c>
      <c r="S210" t="s">
        <v>290</v>
      </c>
      <c r="T210" t="s">
        <v>57</v>
      </c>
      <c r="U210" s="1">
        <v>45689</v>
      </c>
      <c r="V210"/>
      <c r="W210" s="1">
        <v>45992</v>
      </c>
      <c r="X210">
        <v>1</v>
      </c>
      <c r="Y210" t="s">
        <v>58</v>
      </c>
      <c r="Z210" s="2">
        <v>0</v>
      </c>
      <c r="AA210">
        <v>0</v>
      </c>
      <c r="AB210" t="s">
        <v>60</v>
      </c>
      <c r="AC210" t="s">
        <v>61</v>
      </c>
      <c r="AD210">
        <v>0</v>
      </c>
      <c r="AE210" s="2">
        <v>0</v>
      </c>
      <c r="AF210" s="2">
        <v>0</v>
      </c>
      <c r="AG210" s="3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/>
      <c r="AS210"/>
      <c r="AT210"/>
      <c r="AU210"/>
      <c r="AV210"/>
    </row>
    <row r="211" spans="1:48" s="16" customFormat="1" x14ac:dyDescent="0.25">
      <c r="A211" s="1">
        <v>45957</v>
      </c>
      <c r="B211" t="s">
        <v>48</v>
      </c>
      <c r="C211">
        <v>649163</v>
      </c>
      <c r="D211">
        <v>2026735220</v>
      </c>
      <c r="E211" t="s">
        <v>596</v>
      </c>
      <c r="F211" t="s">
        <v>597</v>
      </c>
      <c r="G211" t="s">
        <v>51</v>
      </c>
      <c r="H211" t="s">
        <v>92</v>
      </c>
      <c r="I211" s="2">
        <v>9.1</v>
      </c>
      <c r="J211" t="s">
        <v>59</v>
      </c>
      <c r="K211" s="3">
        <v>0.7</v>
      </c>
      <c r="L211" s="2">
        <v>0</v>
      </c>
      <c r="M211" s="2">
        <v>6.37</v>
      </c>
      <c r="N211" s="2">
        <v>6.37</v>
      </c>
      <c r="O211" t="s">
        <v>53</v>
      </c>
      <c r="P211" t="s">
        <v>54</v>
      </c>
      <c r="Q211">
        <v>816021</v>
      </c>
      <c r="R211" t="s">
        <v>93</v>
      </c>
      <c r="S211" t="s">
        <v>94</v>
      </c>
      <c r="T211" t="s">
        <v>57</v>
      </c>
      <c r="U211" s="1">
        <v>45689</v>
      </c>
      <c r="V211"/>
      <c r="W211" s="1">
        <v>45992</v>
      </c>
      <c r="X211">
        <v>1</v>
      </c>
      <c r="Y211" t="s">
        <v>58</v>
      </c>
      <c r="Z211" s="2">
        <v>0</v>
      </c>
      <c r="AA211">
        <v>0</v>
      </c>
      <c r="AB211" t="s">
        <v>60</v>
      </c>
      <c r="AC211" t="s">
        <v>61</v>
      </c>
      <c r="AD211">
        <v>0</v>
      </c>
      <c r="AE211" s="2">
        <v>0</v>
      </c>
      <c r="AF211" s="2">
        <v>0</v>
      </c>
      <c r="AG211" s="3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/>
      <c r="AS211"/>
      <c r="AT211"/>
      <c r="AU211"/>
      <c r="AV211"/>
    </row>
    <row r="212" spans="1:48" s="16" customFormat="1" x14ac:dyDescent="0.25">
      <c r="A212" s="1">
        <v>45957</v>
      </c>
      <c r="B212" t="s">
        <v>48</v>
      </c>
      <c r="C212">
        <v>649163</v>
      </c>
      <c r="D212">
        <v>2026755178</v>
      </c>
      <c r="E212" t="s">
        <v>867</v>
      </c>
      <c r="F212" t="s">
        <v>868</v>
      </c>
      <c r="G212" t="s">
        <v>51</v>
      </c>
      <c r="H212" t="s">
        <v>247</v>
      </c>
      <c r="I212" s="2">
        <v>142.85</v>
      </c>
      <c r="J212" t="s">
        <v>59</v>
      </c>
      <c r="K212" s="3">
        <v>0.7</v>
      </c>
      <c r="L212" s="2">
        <v>0</v>
      </c>
      <c r="M212" s="2">
        <v>100</v>
      </c>
      <c r="N212" s="2">
        <v>100</v>
      </c>
      <c r="O212" t="s">
        <v>53</v>
      </c>
      <c r="P212" t="s">
        <v>54</v>
      </c>
      <c r="Q212">
        <v>673059</v>
      </c>
      <c r="R212" t="s">
        <v>55</v>
      </c>
      <c r="S212" t="s">
        <v>56</v>
      </c>
      <c r="T212" t="s">
        <v>57</v>
      </c>
      <c r="U212" s="1">
        <v>45689</v>
      </c>
      <c r="V212"/>
      <c r="W212" s="1">
        <v>45992</v>
      </c>
      <c r="X212">
        <v>1</v>
      </c>
      <c r="Y212" t="s">
        <v>58</v>
      </c>
      <c r="Z212" s="2">
        <v>0</v>
      </c>
      <c r="AA212">
        <v>0</v>
      </c>
      <c r="AB212" t="s">
        <v>60</v>
      </c>
      <c r="AC212" t="s">
        <v>61</v>
      </c>
      <c r="AD212">
        <v>0</v>
      </c>
      <c r="AE212" s="2">
        <v>0</v>
      </c>
      <c r="AF212" s="2">
        <v>0</v>
      </c>
      <c r="AG212" s="3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/>
      <c r="AS212"/>
      <c r="AT212"/>
      <c r="AU212"/>
      <c r="AV212"/>
    </row>
    <row r="213" spans="1:48" s="16" customFormat="1" x14ac:dyDescent="0.25">
      <c r="A213" s="1">
        <v>45957</v>
      </c>
      <c r="B213" t="s">
        <v>48</v>
      </c>
      <c r="C213">
        <v>649163</v>
      </c>
      <c r="D213">
        <v>2026756190</v>
      </c>
      <c r="E213" t="s">
        <v>984</v>
      </c>
      <c r="F213" t="s">
        <v>312</v>
      </c>
      <c r="G213" t="s">
        <v>51</v>
      </c>
      <c r="H213" t="s">
        <v>145</v>
      </c>
      <c r="I213" s="2">
        <v>67.17</v>
      </c>
      <c r="J213" t="s">
        <v>59</v>
      </c>
      <c r="K213" s="3">
        <v>0.7</v>
      </c>
      <c r="L213" s="2">
        <v>0</v>
      </c>
      <c r="M213" s="2">
        <v>47.02</v>
      </c>
      <c r="N213" s="2">
        <v>47.02</v>
      </c>
      <c r="O213" t="s">
        <v>53</v>
      </c>
      <c r="P213" t="s">
        <v>54</v>
      </c>
      <c r="Q213">
        <v>823350</v>
      </c>
      <c r="R213" t="s">
        <v>70</v>
      </c>
      <c r="S213" t="s">
        <v>183</v>
      </c>
      <c r="T213" t="s">
        <v>57</v>
      </c>
      <c r="U213" s="1">
        <v>45689</v>
      </c>
      <c r="V213"/>
      <c r="W213" s="1">
        <v>45992</v>
      </c>
      <c r="X213">
        <v>1</v>
      </c>
      <c r="Y213" t="s">
        <v>58</v>
      </c>
      <c r="Z213" s="2">
        <v>0</v>
      </c>
      <c r="AA213">
        <v>0</v>
      </c>
      <c r="AB213" t="s">
        <v>60</v>
      </c>
      <c r="AC213" t="s">
        <v>61</v>
      </c>
      <c r="AD213">
        <v>0</v>
      </c>
      <c r="AE213" s="2">
        <v>0</v>
      </c>
      <c r="AF213" s="2">
        <v>0</v>
      </c>
      <c r="AG213" s="3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/>
      <c r="AS213"/>
      <c r="AT213"/>
      <c r="AU213"/>
      <c r="AV213"/>
    </row>
    <row r="214" spans="1:48" s="16" customFormat="1" x14ac:dyDescent="0.25">
      <c r="A214" s="1">
        <v>45957</v>
      </c>
      <c r="B214" t="s">
        <v>48</v>
      </c>
      <c r="C214">
        <v>649163</v>
      </c>
      <c r="D214">
        <v>2026766427</v>
      </c>
      <c r="E214" t="s">
        <v>873</v>
      </c>
      <c r="F214" t="s">
        <v>874</v>
      </c>
      <c r="G214" t="s">
        <v>51</v>
      </c>
      <c r="H214" t="s">
        <v>69</v>
      </c>
      <c r="I214" s="2">
        <v>145.41999999999999</v>
      </c>
      <c r="J214" t="s">
        <v>59</v>
      </c>
      <c r="K214" s="3">
        <v>0.7</v>
      </c>
      <c r="L214" s="2">
        <v>0</v>
      </c>
      <c r="M214" s="2">
        <v>101.79</v>
      </c>
      <c r="N214" s="2">
        <v>101.79</v>
      </c>
      <c r="O214" t="s">
        <v>53</v>
      </c>
      <c r="P214" t="s">
        <v>54</v>
      </c>
      <c r="Q214">
        <v>792847</v>
      </c>
      <c r="R214" t="s">
        <v>371</v>
      </c>
      <c r="S214" t="s">
        <v>372</v>
      </c>
      <c r="T214" t="s">
        <v>57</v>
      </c>
      <c r="U214" s="1">
        <v>45689</v>
      </c>
      <c r="V214"/>
      <c r="W214" s="1">
        <v>45992</v>
      </c>
      <c r="X214">
        <v>1</v>
      </c>
      <c r="Y214" t="s">
        <v>58</v>
      </c>
      <c r="Z214" s="2">
        <v>0</v>
      </c>
      <c r="AA214">
        <v>0</v>
      </c>
      <c r="AB214" t="s">
        <v>60</v>
      </c>
      <c r="AC214" t="s">
        <v>61</v>
      </c>
      <c r="AD214">
        <v>0</v>
      </c>
      <c r="AE214" s="2">
        <v>0</v>
      </c>
      <c r="AF214" s="2">
        <v>0</v>
      </c>
      <c r="AG214" s="3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/>
      <c r="AS214"/>
      <c r="AT214"/>
      <c r="AU214"/>
      <c r="AV214"/>
    </row>
    <row r="215" spans="1:48" s="16" customFormat="1" x14ac:dyDescent="0.25">
      <c r="A215" s="1">
        <v>45957</v>
      </c>
      <c r="B215" t="s">
        <v>48</v>
      </c>
      <c r="C215">
        <v>649163</v>
      </c>
      <c r="D215">
        <v>2026800264</v>
      </c>
      <c r="E215" t="s">
        <v>985</v>
      </c>
      <c r="F215" t="s">
        <v>986</v>
      </c>
      <c r="G215" t="s">
        <v>51</v>
      </c>
      <c r="H215" t="s">
        <v>69</v>
      </c>
      <c r="I215" s="2">
        <v>67.900000000000006</v>
      </c>
      <c r="J215" t="s">
        <v>59</v>
      </c>
      <c r="K215" s="3">
        <v>0.7</v>
      </c>
      <c r="L215" s="2">
        <v>0</v>
      </c>
      <c r="M215" s="2">
        <v>47.53</v>
      </c>
      <c r="N215" s="2">
        <v>47.53</v>
      </c>
      <c r="O215" t="s">
        <v>53</v>
      </c>
      <c r="P215" t="s">
        <v>54</v>
      </c>
      <c r="Q215">
        <v>823350</v>
      </c>
      <c r="R215" t="s">
        <v>70</v>
      </c>
      <c r="S215" t="s">
        <v>183</v>
      </c>
      <c r="T215" t="s">
        <v>57</v>
      </c>
      <c r="U215" s="1">
        <v>45689</v>
      </c>
      <c r="V215"/>
      <c r="W215" s="1">
        <v>45992</v>
      </c>
      <c r="X215">
        <v>1</v>
      </c>
      <c r="Y215" t="s">
        <v>58</v>
      </c>
      <c r="Z215" s="2">
        <v>0</v>
      </c>
      <c r="AA215">
        <v>0</v>
      </c>
      <c r="AB215" t="s">
        <v>60</v>
      </c>
      <c r="AC215" t="s">
        <v>61</v>
      </c>
      <c r="AD215">
        <v>0</v>
      </c>
      <c r="AE215" s="2">
        <v>0</v>
      </c>
      <c r="AF215" s="2">
        <v>0</v>
      </c>
      <c r="AG215" s="3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/>
      <c r="AS215"/>
      <c r="AT215"/>
      <c r="AU215"/>
      <c r="AV215"/>
    </row>
    <row r="216" spans="1:48" s="16" customFormat="1" x14ac:dyDescent="0.25">
      <c r="A216" s="1">
        <v>45957</v>
      </c>
      <c r="B216" t="s">
        <v>48</v>
      </c>
      <c r="C216">
        <v>649163</v>
      </c>
      <c r="D216">
        <v>2026805532</v>
      </c>
      <c r="E216" t="s">
        <v>680</v>
      </c>
      <c r="F216" t="s">
        <v>681</v>
      </c>
      <c r="G216" t="s">
        <v>51</v>
      </c>
      <c r="H216" t="s">
        <v>165</v>
      </c>
      <c r="I216" s="2">
        <v>22</v>
      </c>
      <c r="J216" t="s">
        <v>59</v>
      </c>
      <c r="K216" s="3">
        <v>0.7</v>
      </c>
      <c r="L216" s="2">
        <v>0</v>
      </c>
      <c r="M216" s="2">
        <v>15.4</v>
      </c>
      <c r="N216" s="2">
        <v>15.4</v>
      </c>
      <c r="O216" t="s">
        <v>53</v>
      </c>
      <c r="P216" t="s">
        <v>54</v>
      </c>
      <c r="Q216">
        <v>650218</v>
      </c>
      <c r="R216" t="s">
        <v>357</v>
      </c>
      <c r="S216" t="s">
        <v>358</v>
      </c>
      <c r="T216" t="s">
        <v>57</v>
      </c>
      <c r="U216" s="1">
        <v>45689</v>
      </c>
      <c r="V216"/>
      <c r="W216" s="1">
        <v>45992</v>
      </c>
      <c r="X216">
        <v>1</v>
      </c>
      <c r="Y216" t="s">
        <v>58</v>
      </c>
      <c r="Z216" s="2">
        <v>0</v>
      </c>
      <c r="AA216">
        <v>0</v>
      </c>
      <c r="AB216" t="s">
        <v>60</v>
      </c>
      <c r="AC216" t="s">
        <v>61</v>
      </c>
      <c r="AD216">
        <v>0</v>
      </c>
      <c r="AE216" s="2">
        <v>0</v>
      </c>
      <c r="AF216" s="2">
        <v>0</v>
      </c>
      <c r="AG216" s="3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/>
      <c r="AS216"/>
      <c r="AT216"/>
      <c r="AU216"/>
      <c r="AV216"/>
    </row>
    <row r="217" spans="1:48" s="16" customFormat="1" x14ac:dyDescent="0.25">
      <c r="A217" s="1">
        <v>45957</v>
      </c>
      <c r="B217" t="s">
        <v>48</v>
      </c>
      <c r="C217">
        <v>649163</v>
      </c>
      <c r="D217">
        <v>2026806627</v>
      </c>
      <c r="E217" t="s">
        <v>876</v>
      </c>
      <c r="F217" t="s">
        <v>647</v>
      </c>
      <c r="G217" t="s">
        <v>51</v>
      </c>
      <c r="H217" t="s">
        <v>190</v>
      </c>
      <c r="I217" s="2">
        <v>26.32</v>
      </c>
      <c r="J217" t="s">
        <v>59</v>
      </c>
      <c r="K217" s="3">
        <v>0.7</v>
      </c>
      <c r="L217" s="2">
        <v>0</v>
      </c>
      <c r="M217" s="2">
        <v>18.420000000000002</v>
      </c>
      <c r="N217" s="2">
        <v>18.420000000000002</v>
      </c>
      <c r="O217" t="s">
        <v>53</v>
      </c>
      <c r="P217" t="s">
        <v>54</v>
      </c>
      <c r="Q217">
        <v>812994</v>
      </c>
      <c r="R217" t="s">
        <v>228</v>
      </c>
      <c r="S217" t="s">
        <v>229</v>
      </c>
      <c r="T217" t="s">
        <v>57</v>
      </c>
      <c r="U217" s="1">
        <v>45689</v>
      </c>
      <c r="V217"/>
      <c r="W217" s="1">
        <v>45992</v>
      </c>
      <c r="X217">
        <v>1</v>
      </c>
      <c r="Y217" t="s">
        <v>58</v>
      </c>
      <c r="Z217" s="2">
        <v>0</v>
      </c>
      <c r="AA217">
        <v>0</v>
      </c>
      <c r="AB217" t="s">
        <v>60</v>
      </c>
      <c r="AC217" t="s">
        <v>61</v>
      </c>
      <c r="AD217">
        <v>0</v>
      </c>
      <c r="AE217" s="2">
        <v>0</v>
      </c>
      <c r="AF217" s="2">
        <v>0</v>
      </c>
      <c r="AG217" s="3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/>
      <c r="AS217"/>
      <c r="AT217"/>
      <c r="AU217"/>
      <c r="AV217"/>
    </row>
    <row r="218" spans="1:48" s="16" customFormat="1" x14ac:dyDescent="0.25">
      <c r="A218" s="1">
        <v>45957</v>
      </c>
      <c r="B218" t="s">
        <v>48</v>
      </c>
      <c r="C218">
        <v>649163</v>
      </c>
      <c r="D218">
        <v>2026806868</v>
      </c>
      <c r="E218" t="s">
        <v>987</v>
      </c>
      <c r="F218" t="s">
        <v>918</v>
      </c>
      <c r="G218" t="s">
        <v>51</v>
      </c>
      <c r="H218" t="s">
        <v>69</v>
      </c>
      <c r="I218" s="2">
        <v>67.900000000000006</v>
      </c>
      <c r="J218" t="s">
        <v>59</v>
      </c>
      <c r="K218" s="3">
        <v>0.7</v>
      </c>
      <c r="L218" s="2">
        <v>0</v>
      </c>
      <c r="M218" s="2">
        <v>47.53</v>
      </c>
      <c r="N218" s="2">
        <v>47.53</v>
      </c>
      <c r="O218" t="s">
        <v>53</v>
      </c>
      <c r="P218" t="s">
        <v>54</v>
      </c>
      <c r="Q218">
        <v>823350</v>
      </c>
      <c r="R218" t="s">
        <v>70</v>
      </c>
      <c r="S218" t="s">
        <v>183</v>
      </c>
      <c r="T218" t="s">
        <v>57</v>
      </c>
      <c r="U218" s="1">
        <v>45689</v>
      </c>
      <c r="V218"/>
      <c r="W218" s="1">
        <v>45992</v>
      </c>
      <c r="X218">
        <v>1</v>
      </c>
      <c r="Y218" t="s">
        <v>58</v>
      </c>
      <c r="Z218" s="2">
        <v>0</v>
      </c>
      <c r="AA218">
        <v>0</v>
      </c>
      <c r="AB218" t="s">
        <v>60</v>
      </c>
      <c r="AC218" t="s">
        <v>61</v>
      </c>
      <c r="AD218">
        <v>0</v>
      </c>
      <c r="AE218" s="2">
        <v>0</v>
      </c>
      <c r="AF218" s="2">
        <v>0</v>
      </c>
      <c r="AG218" s="3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/>
      <c r="AS218"/>
      <c r="AT218"/>
      <c r="AU218"/>
      <c r="AV218"/>
    </row>
    <row r="219" spans="1:48" s="16" customFormat="1" x14ac:dyDescent="0.25">
      <c r="A219" s="1">
        <v>45957</v>
      </c>
      <c r="B219" t="s">
        <v>48</v>
      </c>
      <c r="C219">
        <v>649163</v>
      </c>
      <c r="D219">
        <v>2026807604</v>
      </c>
      <c r="E219" t="s">
        <v>598</v>
      </c>
      <c r="F219" t="s">
        <v>599</v>
      </c>
      <c r="G219" t="s">
        <v>51</v>
      </c>
      <c r="H219" t="s">
        <v>247</v>
      </c>
      <c r="I219" s="2">
        <v>23.39</v>
      </c>
      <c r="J219" t="s">
        <v>59</v>
      </c>
      <c r="K219" s="3">
        <v>0.7</v>
      </c>
      <c r="L219" s="2">
        <v>0</v>
      </c>
      <c r="M219" s="2">
        <v>16.37</v>
      </c>
      <c r="N219" s="2">
        <v>16.37</v>
      </c>
      <c r="O219" t="s">
        <v>53</v>
      </c>
      <c r="P219" t="s">
        <v>119</v>
      </c>
      <c r="Q219">
        <v>673059</v>
      </c>
      <c r="R219" t="s">
        <v>55</v>
      </c>
      <c r="S219" t="s">
        <v>56</v>
      </c>
      <c r="T219" t="s">
        <v>57</v>
      </c>
      <c r="U219" s="1">
        <v>45689</v>
      </c>
      <c r="V219"/>
      <c r="W219" s="1">
        <v>45992</v>
      </c>
      <c r="X219">
        <v>1</v>
      </c>
      <c r="Y219" t="s">
        <v>58</v>
      </c>
      <c r="Z219" s="2">
        <v>0</v>
      </c>
      <c r="AA219">
        <v>0</v>
      </c>
      <c r="AB219" t="s">
        <v>60</v>
      </c>
      <c r="AC219" t="s">
        <v>61</v>
      </c>
      <c r="AD219">
        <v>0</v>
      </c>
      <c r="AE219" s="2">
        <v>0</v>
      </c>
      <c r="AF219" s="2">
        <v>0</v>
      </c>
      <c r="AG219" s="3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/>
      <c r="AS219"/>
      <c r="AT219"/>
      <c r="AU219"/>
      <c r="AV219"/>
    </row>
    <row r="220" spans="1:48" s="16" customFormat="1" x14ac:dyDescent="0.25">
      <c r="A220" s="1">
        <v>45957</v>
      </c>
      <c r="B220" t="s">
        <v>48</v>
      </c>
      <c r="C220">
        <v>649163</v>
      </c>
      <c r="D220">
        <v>2026807605</v>
      </c>
      <c r="E220" t="s">
        <v>598</v>
      </c>
      <c r="F220" t="s">
        <v>599</v>
      </c>
      <c r="G220" t="s">
        <v>51</v>
      </c>
      <c r="H220" t="s">
        <v>247</v>
      </c>
      <c r="I220" s="2">
        <v>77.930000000000007</v>
      </c>
      <c r="J220" t="s">
        <v>59</v>
      </c>
      <c r="K220" s="3">
        <v>0.7</v>
      </c>
      <c r="L220" s="2">
        <v>0</v>
      </c>
      <c r="M220" s="2">
        <v>54.55</v>
      </c>
      <c r="N220" s="2">
        <v>54.55</v>
      </c>
      <c r="O220" t="s">
        <v>53</v>
      </c>
      <c r="P220" t="s">
        <v>54</v>
      </c>
      <c r="Q220">
        <v>673059</v>
      </c>
      <c r="R220" t="s">
        <v>55</v>
      </c>
      <c r="S220" t="s">
        <v>56</v>
      </c>
      <c r="T220" t="s">
        <v>57</v>
      </c>
      <c r="U220" s="1">
        <v>45689</v>
      </c>
      <c r="V220"/>
      <c r="W220" s="1">
        <v>45992</v>
      </c>
      <c r="X220">
        <v>1</v>
      </c>
      <c r="Y220" t="s">
        <v>58</v>
      </c>
      <c r="Z220" s="2">
        <v>0</v>
      </c>
      <c r="AA220">
        <v>0</v>
      </c>
      <c r="AB220" t="s">
        <v>60</v>
      </c>
      <c r="AC220" t="s">
        <v>61</v>
      </c>
      <c r="AD220">
        <v>0</v>
      </c>
      <c r="AE220" s="2">
        <v>0</v>
      </c>
      <c r="AF220" s="2">
        <v>0</v>
      </c>
      <c r="AG220" s="3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/>
      <c r="AS220"/>
      <c r="AT220"/>
      <c r="AU220"/>
      <c r="AV220"/>
    </row>
    <row r="221" spans="1:48" s="16" customFormat="1" x14ac:dyDescent="0.25">
      <c r="A221" s="1">
        <v>45957</v>
      </c>
      <c r="B221" t="s">
        <v>48</v>
      </c>
      <c r="C221">
        <v>649163</v>
      </c>
      <c r="D221">
        <v>2026809780</v>
      </c>
      <c r="E221" t="s">
        <v>877</v>
      </c>
      <c r="F221" t="s">
        <v>878</v>
      </c>
      <c r="G221" t="s">
        <v>51</v>
      </c>
      <c r="H221" t="s">
        <v>69</v>
      </c>
      <c r="I221" s="2">
        <v>257.39999999999998</v>
      </c>
      <c r="J221" t="s">
        <v>59</v>
      </c>
      <c r="K221" s="3">
        <v>0.7</v>
      </c>
      <c r="L221" s="2">
        <v>0</v>
      </c>
      <c r="M221" s="2">
        <v>180.18</v>
      </c>
      <c r="N221" s="2">
        <v>180.18</v>
      </c>
      <c r="O221" t="s">
        <v>53</v>
      </c>
      <c r="P221" t="s">
        <v>54</v>
      </c>
      <c r="Q221">
        <v>824062</v>
      </c>
      <c r="R221" t="s">
        <v>74</v>
      </c>
      <c r="S221" t="s">
        <v>75</v>
      </c>
      <c r="T221" t="s">
        <v>57</v>
      </c>
      <c r="U221" s="1">
        <v>45689</v>
      </c>
      <c r="V221"/>
      <c r="W221" s="1">
        <v>45992</v>
      </c>
      <c r="X221">
        <v>1</v>
      </c>
      <c r="Y221" t="s">
        <v>58</v>
      </c>
      <c r="Z221" s="2">
        <v>0</v>
      </c>
      <c r="AA221">
        <v>0</v>
      </c>
      <c r="AB221" t="s">
        <v>60</v>
      </c>
      <c r="AC221" t="s">
        <v>61</v>
      </c>
      <c r="AD221">
        <v>0</v>
      </c>
      <c r="AE221" s="2">
        <v>0</v>
      </c>
      <c r="AF221" s="2">
        <v>0</v>
      </c>
      <c r="AG221" s="3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/>
      <c r="AS221"/>
      <c r="AT221"/>
      <c r="AU221"/>
      <c r="AV221"/>
    </row>
    <row r="222" spans="1:48" s="16" customFormat="1" x14ac:dyDescent="0.25">
      <c r="A222" s="1">
        <v>45957</v>
      </c>
      <c r="B222" t="s">
        <v>48</v>
      </c>
      <c r="C222">
        <v>649163</v>
      </c>
      <c r="D222">
        <v>2026811301</v>
      </c>
      <c r="E222" t="s">
        <v>988</v>
      </c>
      <c r="F222" t="s">
        <v>66</v>
      </c>
      <c r="G222" t="s">
        <v>51</v>
      </c>
      <c r="H222" t="s">
        <v>69</v>
      </c>
      <c r="I222" s="2">
        <v>190.44</v>
      </c>
      <c r="J222" t="s">
        <v>59</v>
      </c>
      <c r="K222" s="3">
        <v>0.7</v>
      </c>
      <c r="L222" s="2">
        <v>0</v>
      </c>
      <c r="M222" s="2">
        <v>133.31</v>
      </c>
      <c r="N222" s="2">
        <v>133.31</v>
      </c>
      <c r="O222" t="s">
        <v>53</v>
      </c>
      <c r="P222" t="s">
        <v>54</v>
      </c>
      <c r="Q222">
        <v>823350</v>
      </c>
      <c r="R222" t="s">
        <v>70</v>
      </c>
      <c r="S222" t="s">
        <v>183</v>
      </c>
      <c r="T222" t="s">
        <v>57</v>
      </c>
      <c r="U222" s="1">
        <v>45689</v>
      </c>
      <c r="V222"/>
      <c r="W222" s="1">
        <v>45992</v>
      </c>
      <c r="X222">
        <v>1</v>
      </c>
      <c r="Y222" t="s">
        <v>58</v>
      </c>
      <c r="Z222" s="2">
        <v>0</v>
      </c>
      <c r="AA222">
        <v>0</v>
      </c>
      <c r="AB222" t="s">
        <v>60</v>
      </c>
      <c r="AC222" t="s">
        <v>61</v>
      </c>
      <c r="AD222">
        <v>0</v>
      </c>
      <c r="AE222" s="2">
        <v>0</v>
      </c>
      <c r="AF222" s="2">
        <v>0</v>
      </c>
      <c r="AG222" s="3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/>
      <c r="AS222"/>
      <c r="AT222"/>
      <c r="AU222"/>
      <c r="AV222"/>
    </row>
    <row r="223" spans="1:48" s="16" customFormat="1" x14ac:dyDescent="0.25">
      <c r="A223" s="1">
        <v>45957</v>
      </c>
      <c r="B223" t="s">
        <v>48</v>
      </c>
      <c r="C223">
        <v>649163</v>
      </c>
      <c r="D223">
        <v>2026812432</v>
      </c>
      <c r="E223" t="s">
        <v>600</v>
      </c>
      <c r="F223" t="s">
        <v>601</v>
      </c>
      <c r="G223" t="s">
        <v>51</v>
      </c>
      <c r="H223" t="s">
        <v>92</v>
      </c>
      <c r="I223" s="2">
        <v>29.2</v>
      </c>
      <c r="J223" t="s">
        <v>59</v>
      </c>
      <c r="K223" s="3">
        <v>0.7</v>
      </c>
      <c r="L223" s="2">
        <v>0</v>
      </c>
      <c r="M223" s="2">
        <v>20.440000000000001</v>
      </c>
      <c r="N223" s="2">
        <v>20.440000000000001</v>
      </c>
      <c r="O223" t="s">
        <v>53</v>
      </c>
      <c r="P223" t="s">
        <v>54</v>
      </c>
      <c r="Q223">
        <v>816021</v>
      </c>
      <c r="R223" t="s">
        <v>93</v>
      </c>
      <c r="S223" t="s">
        <v>94</v>
      </c>
      <c r="T223" t="s">
        <v>57</v>
      </c>
      <c r="U223" s="1">
        <v>45690</v>
      </c>
      <c r="V223"/>
      <c r="W223" s="1">
        <v>45993</v>
      </c>
      <c r="X223">
        <v>1</v>
      </c>
      <c r="Y223" t="s">
        <v>58</v>
      </c>
      <c r="Z223" s="2">
        <v>0</v>
      </c>
      <c r="AA223">
        <v>0</v>
      </c>
      <c r="AB223" t="s">
        <v>60</v>
      </c>
      <c r="AC223" t="s">
        <v>61</v>
      </c>
      <c r="AD223">
        <v>0</v>
      </c>
      <c r="AE223" s="2">
        <v>0</v>
      </c>
      <c r="AF223" s="2">
        <v>0</v>
      </c>
      <c r="AG223" s="3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/>
      <c r="AS223"/>
      <c r="AT223"/>
      <c r="AU223"/>
      <c r="AV223"/>
    </row>
    <row r="224" spans="1:48" s="16" customFormat="1" x14ac:dyDescent="0.25">
      <c r="A224" s="1">
        <v>45957</v>
      </c>
      <c r="B224" t="s">
        <v>48</v>
      </c>
      <c r="C224">
        <v>649163</v>
      </c>
      <c r="D224">
        <v>2026817012</v>
      </c>
      <c r="E224" t="s">
        <v>602</v>
      </c>
      <c r="F224" t="s">
        <v>603</v>
      </c>
      <c r="G224" t="s">
        <v>51</v>
      </c>
      <c r="H224" t="s">
        <v>92</v>
      </c>
      <c r="I224" s="2">
        <v>9.1</v>
      </c>
      <c r="J224" t="s">
        <v>59</v>
      </c>
      <c r="K224" s="3">
        <v>0.7</v>
      </c>
      <c r="L224" s="2">
        <v>0</v>
      </c>
      <c r="M224" s="2">
        <v>6.37</v>
      </c>
      <c r="N224" s="2">
        <v>6.37</v>
      </c>
      <c r="O224" t="s">
        <v>53</v>
      </c>
      <c r="P224" t="s">
        <v>54</v>
      </c>
      <c r="Q224">
        <v>796984</v>
      </c>
      <c r="R224" t="s">
        <v>604</v>
      </c>
      <c r="S224" t="s">
        <v>110</v>
      </c>
      <c r="T224" t="s">
        <v>57</v>
      </c>
      <c r="U224" s="1">
        <v>45689</v>
      </c>
      <c r="V224"/>
      <c r="W224" s="1">
        <v>45992</v>
      </c>
      <c r="X224">
        <v>1</v>
      </c>
      <c r="Y224" t="s">
        <v>58</v>
      </c>
      <c r="Z224" s="2">
        <v>0</v>
      </c>
      <c r="AA224">
        <v>0</v>
      </c>
      <c r="AB224" t="s">
        <v>60</v>
      </c>
      <c r="AC224" t="s">
        <v>61</v>
      </c>
      <c r="AD224">
        <v>0</v>
      </c>
      <c r="AE224" s="2">
        <v>0</v>
      </c>
      <c r="AF224" s="2">
        <v>0</v>
      </c>
      <c r="AG224" s="3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/>
      <c r="AS224"/>
      <c r="AT224"/>
      <c r="AU224"/>
      <c r="AV224"/>
    </row>
    <row r="225" spans="1:48" s="16" customFormat="1" x14ac:dyDescent="0.25">
      <c r="A225" s="1">
        <v>45957</v>
      </c>
      <c r="B225" t="s">
        <v>48</v>
      </c>
      <c r="C225">
        <v>649163</v>
      </c>
      <c r="D225">
        <v>2026828234</v>
      </c>
      <c r="E225" t="s">
        <v>989</v>
      </c>
      <c r="F225" t="s">
        <v>990</v>
      </c>
      <c r="G225" t="s">
        <v>51</v>
      </c>
      <c r="H225" t="s">
        <v>69</v>
      </c>
      <c r="I225" s="2">
        <v>62.8</v>
      </c>
      <c r="J225" t="s">
        <v>59</v>
      </c>
      <c r="K225" s="3">
        <v>0.7</v>
      </c>
      <c r="L225" s="2">
        <v>0</v>
      </c>
      <c r="M225" s="2">
        <v>43.96</v>
      </c>
      <c r="N225" s="2">
        <v>43.96</v>
      </c>
      <c r="O225" t="s">
        <v>53</v>
      </c>
      <c r="P225" t="s">
        <v>54</v>
      </c>
      <c r="Q225">
        <v>824062</v>
      </c>
      <c r="R225" t="s">
        <v>74</v>
      </c>
      <c r="S225" t="s">
        <v>75</v>
      </c>
      <c r="T225" t="s">
        <v>57</v>
      </c>
      <c r="U225" s="1">
        <v>45689</v>
      </c>
      <c r="V225"/>
      <c r="W225" s="1">
        <v>45992</v>
      </c>
      <c r="X225">
        <v>1</v>
      </c>
      <c r="Y225" t="s">
        <v>58</v>
      </c>
      <c r="Z225" s="2">
        <v>0</v>
      </c>
      <c r="AA225">
        <v>0</v>
      </c>
      <c r="AB225" t="s">
        <v>60</v>
      </c>
      <c r="AC225" t="s">
        <v>61</v>
      </c>
      <c r="AD225">
        <v>0</v>
      </c>
      <c r="AE225" s="2">
        <v>0</v>
      </c>
      <c r="AF225" s="2">
        <v>0</v>
      </c>
      <c r="AG225" s="3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/>
      <c r="AS225"/>
      <c r="AT225"/>
      <c r="AU225"/>
      <c r="AV225"/>
    </row>
    <row r="226" spans="1:48" s="16" customFormat="1" x14ac:dyDescent="0.25">
      <c r="A226" s="1">
        <v>45957</v>
      </c>
      <c r="B226" t="s">
        <v>48</v>
      </c>
      <c r="C226">
        <v>649163</v>
      </c>
      <c r="D226">
        <v>2026836001</v>
      </c>
      <c r="E226" t="s">
        <v>879</v>
      </c>
      <c r="F226" t="s">
        <v>880</v>
      </c>
      <c r="G226" t="s">
        <v>51</v>
      </c>
      <c r="H226" t="s">
        <v>69</v>
      </c>
      <c r="I226" s="2">
        <v>58.24</v>
      </c>
      <c r="J226" t="s">
        <v>59</v>
      </c>
      <c r="K226" s="3">
        <v>0.7</v>
      </c>
      <c r="L226" s="2">
        <v>0</v>
      </c>
      <c r="M226" s="2">
        <v>40.770000000000003</v>
      </c>
      <c r="N226" s="2">
        <v>40.770000000000003</v>
      </c>
      <c r="O226" t="s">
        <v>53</v>
      </c>
      <c r="P226" t="s">
        <v>54</v>
      </c>
      <c r="Q226">
        <v>812782</v>
      </c>
      <c r="R226" t="s">
        <v>114</v>
      </c>
      <c r="S226" t="s">
        <v>115</v>
      </c>
      <c r="T226" t="s">
        <v>57</v>
      </c>
      <c r="U226" s="1">
        <v>45689</v>
      </c>
      <c r="V226"/>
      <c r="W226" s="1">
        <v>45992</v>
      </c>
      <c r="X226">
        <v>1</v>
      </c>
      <c r="Y226" t="s">
        <v>58</v>
      </c>
      <c r="Z226" s="2">
        <v>0</v>
      </c>
      <c r="AA226">
        <v>0</v>
      </c>
      <c r="AB226" t="s">
        <v>60</v>
      </c>
      <c r="AC226" t="s">
        <v>61</v>
      </c>
      <c r="AD226">
        <v>0</v>
      </c>
      <c r="AE226" s="2">
        <v>0</v>
      </c>
      <c r="AF226" s="2">
        <v>0</v>
      </c>
      <c r="AG226" s="3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/>
      <c r="AS226"/>
      <c r="AT226"/>
      <c r="AU226"/>
      <c r="AV226"/>
    </row>
    <row r="227" spans="1:48" s="16" customFormat="1" x14ac:dyDescent="0.25">
      <c r="A227" s="1">
        <v>45957</v>
      </c>
      <c r="B227" t="s">
        <v>48</v>
      </c>
      <c r="C227">
        <v>649163</v>
      </c>
      <c r="D227">
        <v>2026836407</v>
      </c>
      <c r="E227" t="s">
        <v>991</v>
      </c>
      <c r="F227" t="s">
        <v>992</v>
      </c>
      <c r="G227" t="s">
        <v>51</v>
      </c>
      <c r="H227" t="s">
        <v>555</v>
      </c>
      <c r="I227" s="2">
        <v>15.29</v>
      </c>
      <c r="J227" t="s">
        <v>59</v>
      </c>
      <c r="K227" s="3">
        <v>0.7</v>
      </c>
      <c r="L227" s="2">
        <v>0</v>
      </c>
      <c r="M227" s="2">
        <v>10.7</v>
      </c>
      <c r="N227" s="2">
        <v>10.7</v>
      </c>
      <c r="O227" t="s">
        <v>53</v>
      </c>
      <c r="P227" t="s">
        <v>54</v>
      </c>
      <c r="Q227">
        <v>816021</v>
      </c>
      <c r="R227" t="s">
        <v>93</v>
      </c>
      <c r="S227" t="s">
        <v>94</v>
      </c>
      <c r="T227" t="s">
        <v>57</v>
      </c>
      <c r="U227" s="1">
        <v>45691</v>
      </c>
      <c r="V227"/>
      <c r="W227" s="1">
        <v>45994</v>
      </c>
      <c r="X227">
        <v>1</v>
      </c>
      <c r="Y227" t="s">
        <v>58</v>
      </c>
      <c r="Z227" s="2">
        <v>0</v>
      </c>
      <c r="AA227">
        <v>0</v>
      </c>
      <c r="AB227" t="s">
        <v>60</v>
      </c>
      <c r="AC227" t="s">
        <v>61</v>
      </c>
      <c r="AD227">
        <v>0</v>
      </c>
      <c r="AE227" s="2">
        <v>0</v>
      </c>
      <c r="AF227" s="2">
        <v>0</v>
      </c>
      <c r="AG227" s="3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/>
      <c r="AS227"/>
      <c r="AT227"/>
      <c r="AU227"/>
      <c r="AV227"/>
    </row>
    <row r="228" spans="1:48" s="16" customFormat="1" x14ac:dyDescent="0.25">
      <c r="A228" s="1">
        <v>45957</v>
      </c>
      <c r="B228" t="s">
        <v>48</v>
      </c>
      <c r="C228">
        <v>649163</v>
      </c>
      <c r="D228">
        <v>2026838333</v>
      </c>
      <c r="E228" t="s">
        <v>881</v>
      </c>
      <c r="F228" t="s">
        <v>216</v>
      </c>
      <c r="G228" t="s">
        <v>51</v>
      </c>
      <c r="H228" t="s">
        <v>69</v>
      </c>
      <c r="I228" s="2">
        <v>248.47</v>
      </c>
      <c r="J228" t="s">
        <v>59</v>
      </c>
      <c r="K228" s="3">
        <v>0.7</v>
      </c>
      <c r="L228" s="2">
        <v>0</v>
      </c>
      <c r="M228" s="2">
        <v>173.93</v>
      </c>
      <c r="N228" s="2">
        <v>173.93</v>
      </c>
      <c r="O228" t="s">
        <v>53</v>
      </c>
      <c r="P228" t="s">
        <v>54</v>
      </c>
      <c r="Q228">
        <v>814033</v>
      </c>
      <c r="R228" t="s">
        <v>147</v>
      </c>
      <c r="S228" t="s">
        <v>148</v>
      </c>
      <c r="T228" t="s">
        <v>57</v>
      </c>
      <c r="U228" s="1">
        <v>45689</v>
      </c>
      <c r="V228"/>
      <c r="W228" s="1">
        <v>45992</v>
      </c>
      <c r="X228">
        <v>1</v>
      </c>
      <c r="Y228" t="s">
        <v>58</v>
      </c>
      <c r="Z228" s="2">
        <v>0</v>
      </c>
      <c r="AA228">
        <v>0</v>
      </c>
      <c r="AB228" t="s">
        <v>60</v>
      </c>
      <c r="AC228" t="s">
        <v>61</v>
      </c>
      <c r="AD228">
        <v>0</v>
      </c>
      <c r="AE228" s="2">
        <v>0</v>
      </c>
      <c r="AF228" s="2">
        <v>0</v>
      </c>
      <c r="AG228" s="3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/>
      <c r="AS228"/>
      <c r="AT228"/>
      <c r="AU228"/>
      <c r="AV228"/>
    </row>
    <row r="229" spans="1:48" s="16" customFormat="1" x14ac:dyDescent="0.25">
      <c r="A229" s="1">
        <v>45957</v>
      </c>
      <c r="B229" t="s">
        <v>48</v>
      </c>
      <c r="C229">
        <v>649163</v>
      </c>
      <c r="D229">
        <v>2026839646</v>
      </c>
      <c r="E229" t="s">
        <v>882</v>
      </c>
      <c r="F229" t="s">
        <v>417</v>
      </c>
      <c r="G229" t="s">
        <v>51</v>
      </c>
      <c r="H229" t="s">
        <v>145</v>
      </c>
      <c r="I229" s="2">
        <v>61.66</v>
      </c>
      <c r="J229" t="s">
        <v>59</v>
      </c>
      <c r="K229" s="3">
        <v>0.7</v>
      </c>
      <c r="L229" s="2">
        <v>0</v>
      </c>
      <c r="M229" s="2">
        <v>43.16</v>
      </c>
      <c r="N229" s="2">
        <v>43.16</v>
      </c>
      <c r="O229" t="s">
        <v>53</v>
      </c>
      <c r="P229" t="s">
        <v>54</v>
      </c>
      <c r="Q229">
        <v>822723</v>
      </c>
      <c r="R229" t="s">
        <v>151</v>
      </c>
      <c r="S229" t="s">
        <v>152</v>
      </c>
      <c r="T229" t="s">
        <v>57</v>
      </c>
      <c r="U229" s="1">
        <v>45689</v>
      </c>
      <c r="V229"/>
      <c r="W229" s="1">
        <v>45992</v>
      </c>
      <c r="X229">
        <v>1</v>
      </c>
      <c r="Y229" t="s">
        <v>58</v>
      </c>
      <c r="Z229" s="2">
        <v>0</v>
      </c>
      <c r="AA229">
        <v>0</v>
      </c>
      <c r="AB229" t="s">
        <v>60</v>
      </c>
      <c r="AC229" t="s">
        <v>61</v>
      </c>
      <c r="AD229">
        <v>0</v>
      </c>
      <c r="AE229" s="2">
        <v>0</v>
      </c>
      <c r="AF229" s="2">
        <v>0</v>
      </c>
      <c r="AG229" s="3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/>
      <c r="AS229"/>
      <c r="AT229"/>
      <c r="AU229"/>
      <c r="AV229"/>
    </row>
    <row r="230" spans="1:48" s="16" customFormat="1" x14ac:dyDescent="0.25">
      <c r="A230" s="1">
        <v>45957</v>
      </c>
      <c r="B230" t="s">
        <v>48</v>
      </c>
      <c r="C230">
        <v>649163</v>
      </c>
      <c r="D230">
        <v>2026857362</v>
      </c>
      <c r="E230" t="s">
        <v>993</v>
      </c>
      <c r="F230" t="s">
        <v>550</v>
      </c>
      <c r="G230" t="s">
        <v>51</v>
      </c>
      <c r="H230" t="s">
        <v>69</v>
      </c>
      <c r="I230" s="2">
        <v>148.32</v>
      </c>
      <c r="J230" t="s">
        <v>59</v>
      </c>
      <c r="K230" s="3">
        <v>0.7</v>
      </c>
      <c r="L230" s="2">
        <v>0</v>
      </c>
      <c r="M230" s="2">
        <v>103.82</v>
      </c>
      <c r="N230" s="2">
        <v>103.82</v>
      </c>
      <c r="O230" t="s">
        <v>53</v>
      </c>
      <c r="P230" t="s">
        <v>54</v>
      </c>
      <c r="Q230">
        <v>823350</v>
      </c>
      <c r="R230" t="s">
        <v>70</v>
      </c>
      <c r="S230" t="s">
        <v>183</v>
      </c>
      <c r="T230" t="s">
        <v>57</v>
      </c>
      <c r="U230" s="1">
        <v>45689</v>
      </c>
      <c r="V230"/>
      <c r="W230" s="1">
        <v>45992</v>
      </c>
      <c r="X230">
        <v>1</v>
      </c>
      <c r="Y230" t="s">
        <v>58</v>
      </c>
      <c r="Z230" s="2">
        <v>0</v>
      </c>
      <c r="AA230">
        <v>0</v>
      </c>
      <c r="AB230" t="s">
        <v>60</v>
      </c>
      <c r="AC230" t="s">
        <v>61</v>
      </c>
      <c r="AD230">
        <v>0</v>
      </c>
      <c r="AE230" s="2">
        <v>0</v>
      </c>
      <c r="AF230" s="2">
        <v>0</v>
      </c>
      <c r="AG230" s="3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/>
      <c r="AS230"/>
      <c r="AT230"/>
      <c r="AU230"/>
      <c r="AV230"/>
    </row>
    <row r="231" spans="1:48" s="16" customFormat="1" x14ac:dyDescent="0.25">
      <c r="A231" s="1">
        <v>45957</v>
      </c>
      <c r="B231" t="s">
        <v>48</v>
      </c>
      <c r="C231">
        <v>649163</v>
      </c>
      <c r="D231">
        <v>2026875934</v>
      </c>
      <c r="E231" t="s">
        <v>994</v>
      </c>
      <c r="F231" t="s">
        <v>995</v>
      </c>
      <c r="G231" t="s">
        <v>51</v>
      </c>
      <c r="H231" t="s">
        <v>69</v>
      </c>
      <c r="I231" s="2">
        <v>52</v>
      </c>
      <c r="J231" t="s">
        <v>59</v>
      </c>
      <c r="K231" s="3">
        <v>0.7</v>
      </c>
      <c r="L231" s="2">
        <v>0</v>
      </c>
      <c r="M231" s="2">
        <v>36.4</v>
      </c>
      <c r="N231" s="2">
        <v>36.4</v>
      </c>
      <c r="O231" t="s">
        <v>53</v>
      </c>
      <c r="P231" t="s">
        <v>54</v>
      </c>
      <c r="Q231">
        <v>807212</v>
      </c>
      <c r="R231" t="s">
        <v>769</v>
      </c>
      <c r="S231" t="s">
        <v>770</v>
      </c>
      <c r="T231" t="s">
        <v>57</v>
      </c>
      <c r="U231" s="1">
        <v>45689</v>
      </c>
      <c r="V231"/>
      <c r="W231" s="1">
        <v>45992</v>
      </c>
      <c r="X231">
        <v>1</v>
      </c>
      <c r="Y231" t="s">
        <v>58</v>
      </c>
      <c r="Z231" s="2">
        <v>0</v>
      </c>
      <c r="AA231">
        <v>0</v>
      </c>
      <c r="AB231" t="s">
        <v>60</v>
      </c>
      <c r="AC231" t="s">
        <v>61</v>
      </c>
      <c r="AD231">
        <v>0</v>
      </c>
      <c r="AE231" s="2">
        <v>0</v>
      </c>
      <c r="AF231" s="2">
        <v>0</v>
      </c>
      <c r="AG231" s="3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/>
      <c r="AS231"/>
      <c r="AT231"/>
      <c r="AU231"/>
      <c r="AV231"/>
    </row>
    <row r="232" spans="1:48" s="16" customFormat="1" x14ac:dyDescent="0.25">
      <c r="A232" s="1">
        <v>45957</v>
      </c>
      <c r="B232" t="s">
        <v>48</v>
      </c>
      <c r="C232">
        <v>649163</v>
      </c>
      <c r="D232">
        <v>2026878482</v>
      </c>
      <c r="E232" t="s">
        <v>996</v>
      </c>
      <c r="F232" t="s">
        <v>997</v>
      </c>
      <c r="G232" t="s">
        <v>51</v>
      </c>
      <c r="H232" t="s">
        <v>195</v>
      </c>
      <c r="I232" s="2">
        <v>25.73</v>
      </c>
      <c r="J232" t="s">
        <v>59</v>
      </c>
      <c r="K232" s="3">
        <v>0.7</v>
      </c>
      <c r="L232" s="2">
        <v>0</v>
      </c>
      <c r="M232" s="2">
        <v>18.010000000000002</v>
      </c>
      <c r="N232" s="2">
        <v>18.010000000000002</v>
      </c>
      <c r="O232" t="s">
        <v>53</v>
      </c>
      <c r="P232" t="s">
        <v>119</v>
      </c>
      <c r="Q232">
        <v>649247</v>
      </c>
      <c r="R232" t="s">
        <v>321</v>
      </c>
      <c r="S232" t="s">
        <v>322</v>
      </c>
      <c r="T232" t="s">
        <v>57</v>
      </c>
      <c r="U232" s="1">
        <v>45689</v>
      </c>
      <c r="V232"/>
      <c r="W232" s="1">
        <v>45992</v>
      </c>
      <c r="X232">
        <v>1</v>
      </c>
      <c r="Y232" t="s">
        <v>58</v>
      </c>
      <c r="Z232" s="2">
        <v>0</v>
      </c>
      <c r="AA232">
        <v>0</v>
      </c>
      <c r="AB232" t="s">
        <v>60</v>
      </c>
      <c r="AC232" t="s">
        <v>61</v>
      </c>
      <c r="AD232">
        <v>0</v>
      </c>
      <c r="AE232" s="2">
        <v>0</v>
      </c>
      <c r="AF232" s="2">
        <v>0</v>
      </c>
      <c r="AG232" s="3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/>
      <c r="AS232"/>
      <c r="AT232"/>
      <c r="AU232"/>
      <c r="AV232"/>
    </row>
    <row r="233" spans="1:48" s="16" customFormat="1" x14ac:dyDescent="0.25">
      <c r="A233" s="1">
        <v>45957</v>
      </c>
      <c r="B233" t="s">
        <v>48</v>
      </c>
      <c r="C233">
        <v>649163</v>
      </c>
      <c r="D233">
        <v>2026887839</v>
      </c>
      <c r="E233" t="s">
        <v>231</v>
      </c>
      <c r="F233" t="s">
        <v>998</v>
      </c>
      <c r="G233" t="s">
        <v>51</v>
      </c>
      <c r="H233" t="s">
        <v>69</v>
      </c>
      <c r="I233" s="2">
        <v>19</v>
      </c>
      <c r="J233" t="s">
        <v>59</v>
      </c>
      <c r="K233" s="3">
        <v>0.7</v>
      </c>
      <c r="L233" s="2">
        <v>0</v>
      </c>
      <c r="M233" s="2">
        <v>13.3</v>
      </c>
      <c r="N233" s="2">
        <v>13.3</v>
      </c>
      <c r="O233" t="s">
        <v>53</v>
      </c>
      <c r="P233" t="s">
        <v>54</v>
      </c>
      <c r="Q233">
        <v>766422</v>
      </c>
      <c r="R233" t="s">
        <v>335</v>
      </c>
      <c r="S233" t="s">
        <v>336</v>
      </c>
      <c r="T233" t="s">
        <v>57</v>
      </c>
      <c r="U233" s="1">
        <v>45689</v>
      </c>
      <c r="V233"/>
      <c r="W233" s="1">
        <v>45992</v>
      </c>
      <c r="X233">
        <v>1</v>
      </c>
      <c r="Y233" t="s">
        <v>58</v>
      </c>
      <c r="Z233" s="2">
        <v>0</v>
      </c>
      <c r="AA233">
        <v>0</v>
      </c>
      <c r="AB233" t="s">
        <v>60</v>
      </c>
      <c r="AC233" t="s">
        <v>61</v>
      </c>
      <c r="AD233">
        <v>0</v>
      </c>
      <c r="AE233" s="2">
        <v>0</v>
      </c>
      <c r="AF233" s="2">
        <v>0</v>
      </c>
      <c r="AG233" s="3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/>
      <c r="AS233"/>
      <c r="AT233"/>
      <c r="AU233"/>
      <c r="AV233"/>
    </row>
    <row r="234" spans="1:48" s="16" customFormat="1" x14ac:dyDescent="0.25">
      <c r="A234" s="1">
        <v>45957</v>
      </c>
      <c r="B234" t="s">
        <v>48</v>
      </c>
      <c r="C234">
        <v>649163</v>
      </c>
      <c r="D234">
        <v>2027054029</v>
      </c>
      <c r="E234" t="s">
        <v>999</v>
      </c>
      <c r="F234" t="s">
        <v>312</v>
      </c>
      <c r="G234" t="s">
        <v>51</v>
      </c>
      <c r="H234" t="s">
        <v>636</v>
      </c>
      <c r="I234" s="2">
        <v>196.82</v>
      </c>
      <c r="J234" t="s">
        <v>59</v>
      </c>
      <c r="K234" s="3">
        <v>0.7</v>
      </c>
      <c r="L234" s="2">
        <v>0</v>
      </c>
      <c r="M234" s="2">
        <v>137.77000000000001</v>
      </c>
      <c r="N234" s="2">
        <v>137.77000000000001</v>
      </c>
      <c r="O234" t="s">
        <v>53</v>
      </c>
      <c r="P234" t="s">
        <v>54</v>
      </c>
      <c r="Q234">
        <v>673059</v>
      </c>
      <c r="R234" t="s">
        <v>55</v>
      </c>
      <c r="S234" t="s">
        <v>56</v>
      </c>
      <c r="T234" t="s">
        <v>57</v>
      </c>
      <c r="U234" s="1">
        <v>45748</v>
      </c>
      <c r="V234"/>
      <c r="W234" s="1">
        <v>45992</v>
      </c>
      <c r="X234">
        <v>1</v>
      </c>
      <c r="Y234" t="s">
        <v>58</v>
      </c>
      <c r="Z234" s="2">
        <v>0</v>
      </c>
      <c r="AA234">
        <v>0</v>
      </c>
      <c r="AB234" t="s">
        <v>60</v>
      </c>
      <c r="AC234" t="s">
        <v>61</v>
      </c>
      <c r="AD234">
        <v>0</v>
      </c>
      <c r="AE234" s="2">
        <v>0</v>
      </c>
      <c r="AF234" s="2">
        <v>0</v>
      </c>
      <c r="AG234" s="3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/>
      <c r="AS234"/>
      <c r="AT234"/>
      <c r="AU234"/>
      <c r="AV234"/>
    </row>
    <row r="235" spans="1:48" s="16" customFormat="1" x14ac:dyDescent="0.25">
      <c r="A235" s="1">
        <v>45957</v>
      </c>
      <c r="B235" t="s">
        <v>48</v>
      </c>
      <c r="C235">
        <v>649163</v>
      </c>
      <c r="D235">
        <v>2027321379</v>
      </c>
      <c r="E235" t="s">
        <v>883</v>
      </c>
      <c r="F235" t="s">
        <v>884</v>
      </c>
      <c r="G235" t="s">
        <v>51</v>
      </c>
      <c r="H235" t="s">
        <v>69</v>
      </c>
      <c r="I235" s="2">
        <v>169.06</v>
      </c>
      <c r="J235" t="s">
        <v>59</v>
      </c>
      <c r="K235" s="3">
        <v>0.7</v>
      </c>
      <c r="L235" s="2">
        <v>0</v>
      </c>
      <c r="M235" s="2">
        <v>118.34</v>
      </c>
      <c r="N235" s="2">
        <v>118.34</v>
      </c>
      <c r="O235" t="s">
        <v>53</v>
      </c>
      <c r="P235" t="s">
        <v>54</v>
      </c>
      <c r="Q235">
        <v>673059</v>
      </c>
      <c r="R235" t="s">
        <v>55</v>
      </c>
      <c r="S235" t="s">
        <v>56</v>
      </c>
      <c r="T235" t="s">
        <v>57</v>
      </c>
      <c r="U235" s="1">
        <v>45713</v>
      </c>
      <c r="V235"/>
      <c r="W235" s="1">
        <v>45986</v>
      </c>
      <c r="X235">
        <v>1</v>
      </c>
      <c r="Y235" t="s">
        <v>58</v>
      </c>
      <c r="Z235" s="2">
        <v>0</v>
      </c>
      <c r="AA235">
        <v>0</v>
      </c>
      <c r="AB235" t="s">
        <v>60</v>
      </c>
      <c r="AC235" t="s">
        <v>61</v>
      </c>
      <c r="AD235">
        <v>0</v>
      </c>
      <c r="AE235" s="2">
        <v>0</v>
      </c>
      <c r="AF235" s="2">
        <v>0</v>
      </c>
      <c r="AG235" s="3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/>
      <c r="AS235"/>
      <c r="AT235"/>
      <c r="AU235"/>
      <c r="AV235"/>
    </row>
    <row r="236" spans="1:48" s="16" customFormat="1" x14ac:dyDescent="0.25">
      <c r="A236" s="1">
        <v>45957</v>
      </c>
      <c r="B236" t="s">
        <v>48</v>
      </c>
      <c r="C236">
        <v>649163</v>
      </c>
      <c r="D236">
        <v>2027336918</v>
      </c>
      <c r="E236" t="s">
        <v>1000</v>
      </c>
      <c r="F236" t="s">
        <v>1001</v>
      </c>
      <c r="G236" t="s">
        <v>51</v>
      </c>
      <c r="H236" t="s">
        <v>69</v>
      </c>
      <c r="I236" s="2">
        <v>46.46</v>
      </c>
      <c r="J236" t="s">
        <v>59</v>
      </c>
      <c r="K236" s="3">
        <v>0.7</v>
      </c>
      <c r="L236" s="2">
        <v>0</v>
      </c>
      <c r="M236" s="2">
        <v>32.520000000000003</v>
      </c>
      <c r="N236" s="2">
        <v>32.520000000000003</v>
      </c>
      <c r="O236" t="s">
        <v>53</v>
      </c>
      <c r="P236" t="s">
        <v>54</v>
      </c>
      <c r="Q236">
        <v>812782</v>
      </c>
      <c r="R236" t="s">
        <v>114</v>
      </c>
      <c r="S236" t="s">
        <v>115</v>
      </c>
      <c r="T236" t="s">
        <v>57</v>
      </c>
      <c r="U236" s="1">
        <v>45748</v>
      </c>
      <c r="V236"/>
      <c r="W236" s="1">
        <v>45992</v>
      </c>
      <c r="X236">
        <v>1</v>
      </c>
      <c r="Y236" t="s">
        <v>58</v>
      </c>
      <c r="Z236" s="2">
        <v>0</v>
      </c>
      <c r="AA236">
        <v>0</v>
      </c>
      <c r="AB236" t="s">
        <v>60</v>
      </c>
      <c r="AC236" t="s">
        <v>61</v>
      </c>
      <c r="AD236">
        <v>0</v>
      </c>
      <c r="AE236" s="2">
        <v>0</v>
      </c>
      <c r="AF236" s="2">
        <v>0</v>
      </c>
      <c r="AG236" s="3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/>
      <c r="AS236"/>
      <c r="AT236"/>
      <c r="AU236"/>
      <c r="AV236"/>
    </row>
    <row r="237" spans="1:48" s="16" customFormat="1" x14ac:dyDescent="0.25">
      <c r="A237" s="1">
        <v>45957</v>
      </c>
      <c r="B237" t="s">
        <v>48</v>
      </c>
      <c r="C237">
        <v>649163</v>
      </c>
      <c r="D237">
        <v>2027343740</v>
      </c>
      <c r="E237" t="s">
        <v>885</v>
      </c>
      <c r="F237" t="s">
        <v>886</v>
      </c>
      <c r="G237" t="s">
        <v>51</v>
      </c>
      <c r="H237" t="s">
        <v>261</v>
      </c>
      <c r="I237" s="2">
        <v>10.82</v>
      </c>
      <c r="J237" t="s">
        <v>59</v>
      </c>
      <c r="K237" s="3">
        <v>0.7</v>
      </c>
      <c r="L237" s="2">
        <v>0</v>
      </c>
      <c r="M237" s="2">
        <v>7.57</v>
      </c>
      <c r="N237" s="2">
        <v>7.57</v>
      </c>
      <c r="O237" t="s">
        <v>53</v>
      </c>
      <c r="P237" t="s">
        <v>54</v>
      </c>
      <c r="Q237">
        <v>673059</v>
      </c>
      <c r="R237" t="s">
        <v>55</v>
      </c>
      <c r="S237" t="s">
        <v>56</v>
      </c>
      <c r="T237" t="s">
        <v>57</v>
      </c>
      <c r="U237" s="1">
        <v>45714</v>
      </c>
      <c r="V237"/>
      <c r="W237" s="1">
        <v>45987</v>
      </c>
      <c r="X237">
        <v>1</v>
      </c>
      <c r="Y237" t="s">
        <v>58</v>
      </c>
      <c r="Z237" s="2">
        <v>0</v>
      </c>
      <c r="AA237">
        <v>0</v>
      </c>
      <c r="AB237" t="s">
        <v>60</v>
      </c>
      <c r="AC237" t="s">
        <v>61</v>
      </c>
      <c r="AD237">
        <v>0</v>
      </c>
      <c r="AE237" s="2">
        <v>0</v>
      </c>
      <c r="AF237" s="2">
        <v>0</v>
      </c>
      <c r="AG237" s="3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/>
      <c r="AS237"/>
      <c r="AT237"/>
      <c r="AU237"/>
      <c r="AV237"/>
    </row>
    <row r="238" spans="1:48" s="16" customFormat="1" x14ac:dyDescent="0.25">
      <c r="A238" s="1">
        <v>45957</v>
      </c>
      <c r="B238" t="s">
        <v>48</v>
      </c>
      <c r="C238">
        <v>649163</v>
      </c>
      <c r="D238">
        <v>2027348181</v>
      </c>
      <c r="E238" t="s">
        <v>605</v>
      </c>
      <c r="F238" t="s">
        <v>543</v>
      </c>
      <c r="G238" t="s">
        <v>51</v>
      </c>
      <c r="H238" t="s">
        <v>69</v>
      </c>
      <c r="I238" s="2">
        <v>47.95</v>
      </c>
      <c r="J238" t="s">
        <v>59</v>
      </c>
      <c r="K238" s="3">
        <v>0.7</v>
      </c>
      <c r="L238" s="2">
        <v>0</v>
      </c>
      <c r="M238" s="2">
        <v>33.56</v>
      </c>
      <c r="N238" s="2">
        <v>33.56</v>
      </c>
      <c r="O238" t="s">
        <v>53</v>
      </c>
      <c r="P238" t="s">
        <v>54</v>
      </c>
      <c r="Q238">
        <v>673059</v>
      </c>
      <c r="R238" t="s">
        <v>55</v>
      </c>
      <c r="S238" t="s">
        <v>56</v>
      </c>
      <c r="T238" t="s">
        <v>57</v>
      </c>
      <c r="U238" s="1">
        <v>45716</v>
      </c>
      <c r="V238"/>
      <c r="W238" s="1">
        <v>45989</v>
      </c>
      <c r="X238">
        <v>1</v>
      </c>
      <c r="Y238" t="s">
        <v>58</v>
      </c>
      <c r="Z238" s="2">
        <v>0</v>
      </c>
      <c r="AA238">
        <v>0</v>
      </c>
      <c r="AB238" t="s">
        <v>60</v>
      </c>
      <c r="AC238" t="s">
        <v>61</v>
      </c>
      <c r="AD238">
        <v>0</v>
      </c>
      <c r="AE238" s="2">
        <v>0</v>
      </c>
      <c r="AF238" s="2">
        <v>0</v>
      </c>
      <c r="AG238" s="3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/>
      <c r="AS238"/>
      <c r="AT238"/>
      <c r="AU238"/>
      <c r="AV238"/>
    </row>
    <row r="239" spans="1:48" s="16" customFormat="1" x14ac:dyDescent="0.25">
      <c r="A239" s="1">
        <v>45957</v>
      </c>
      <c r="B239" t="s">
        <v>48</v>
      </c>
      <c r="C239">
        <v>649163</v>
      </c>
      <c r="D239">
        <v>2027398849</v>
      </c>
      <c r="E239" t="s">
        <v>606</v>
      </c>
      <c r="F239" t="s">
        <v>607</v>
      </c>
      <c r="G239" t="s">
        <v>51</v>
      </c>
      <c r="H239" t="s">
        <v>52</v>
      </c>
      <c r="I239" s="2">
        <v>22.19</v>
      </c>
      <c r="J239" t="s">
        <v>59</v>
      </c>
      <c r="K239" s="3">
        <v>0.7</v>
      </c>
      <c r="L239" s="2">
        <v>0</v>
      </c>
      <c r="M239" s="2">
        <v>15.53</v>
      </c>
      <c r="N239" s="2">
        <v>15.53</v>
      </c>
      <c r="O239" t="s">
        <v>53</v>
      </c>
      <c r="P239" t="s">
        <v>54</v>
      </c>
      <c r="Q239">
        <v>673059</v>
      </c>
      <c r="R239" t="s">
        <v>55</v>
      </c>
      <c r="S239" t="s">
        <v>56</v>
      </c>
      <c r="T239" t="s">
        <v>57</v>
      </c>
      <c r="U239" s="1">
        <v>45748</v>
      </c>
      <c r="V239"/>
      <c r="W239" s="1">
        <v>45992</v>
      </c>
      <c r="X239">
        <v>1</v>
      </c>
      <c r="Y239" t="s">
        <v>58</v>
      </c>
      <c r="Z239" s="2">
        <v>0</v>
      </c>
      <c r="AA239">
        <v>0</v>
      </c>
      <c r="AB239" t="s">
        <v>60</v>
      </c>
      <c r="AC239" t="s">
        <v>61</v>
      </c>
      <c r="AD239">
        <v>0</v>
      </c>
      <c r="AE239" s="2">
        <v>0</v>
      </c>
      <c r="AF239" s="2">
        <v>0</v>
      </c>
      <c r="AG239" s="3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/>
      <c r="AS239"/>
      <c r="AT239"/>
      <c r="AU239"/>
      <c r="AV239"/>
    </row>
    <row r="240" spans="1:48" s="16" customFormat="1" x14ac:dyDescent="0.25">
      <c r="A240" s="1">
        <v>45957</v>
      </c>
      <c r="B240" t="s">
        <v>48</v>
      </c>
      <c r="C240">
        <v>649163</v>
      </c>
      <c r="D240">
        <v>2027406567</v>
      </c>
      <c r="E240" t="s">
        <v>1002</v>
      </c>
      <c r="F240" t="s">
        <v>1003</v>
      </c>
      <c r="G240" t="s">
        <v>51</v>
      </c>
      <c r="H240" t="s">
        <v>69</v>
      </c>
      <c r="I240" s="2">
        <v>101.22</v>
      </c>
      <c r="J240" t="s">
        <v>59</v>
      </c>
      <c r="K240" s="3">
        <v>0.7</v>
      </c>
      <c r="L240" s="2">
        <v>0</v>
      </c>
      <c r="M240" s="2">
        <v>70.849999999999994</v>
      </c>
      <c r="N240" s="2">
        <v>70.849999999999994</v>
      </c>
      <c r="O240" t="s">
        <v>53</v>
      </c>
      <c r="P240" t="s">
        <v>54</v>
      </c>
      <c r="Q240">
        <v>764123</v>
      </c>
      <c r="R240" t="s">
        <v>1004</v>
      </c>
      <c r="S240" t="s">
        <v>1005</v>
      </c>
      <c r="T240" t="s">
        <v>57</v>
      </c>
      <c r="U240" s="1">
        <v>45715</v>
      </c>
      <c r="V240"/>
      <c r="W240" s="1">
        <v>45988</v>
      </c>
      <c r="X240">
        <v>1</v>
      </c>
      <c r="Y240" t="s">
        <v>58</v>
      </c>
      <c r="Z240" s="2">
        <v>0</v>
      </c>
      <c r="AA240">
        <v>0</v>
      </c>
      <c r="AB240" t="s">
        <v>60</v>
      </c>
      <c r="AC240" t="s">
        <v>61</v>
      </c>
      <c r="AD240">
        <v>0</v>
      </c>
      <c r="AE240" s="2">
        <v>0</v>
      </c>
      <c r="AF240" s="2">
        <v>0</v>
      </c>
      <c r="AG240" s="3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/>
      <c r="AS240"/>
      <c r="AT240"/>
      <c r="AU240"/>
      <c r="AV240"/>
    </row>
    <row r="241" spans="1:48" s="16" customFormat="1" x14ac:dyDescent="0.25">
      <c r="A241" s="1">
        <v>45957</v>
      </c>
      <c r="B241" t="s">
        <v>48</v>
      </c>
      <c r="C241">
        <v>649163</v>
      </c>
      <c r="D241">
        <v>2027419633</v>
      </c>
      <c r="E241" t="s">
        <v>1006</v>
      </c>
      <c r="F241" t="s">
        <v>1007</v>
      </c>
      <c r="G241" t="s">
        <v>51</v>
      </c>
      <c r="H241" t="s">
        <v>165</v>
      </c>
      <c r="I241" s="2">
        <v>163.43</v>
      </c>
      <c r="J241" t="s">
        <v>59</v>
      </c>
      <c r="K241" s="3">
        <v>0.7</v>
      </c>
      <c r="L241" s="2">
        <v>0</v>
      </c>
      <c r="M241" s="2">
        <v>114.4</v>
      </c>
      <c r="N241" s="2">
        <v>114.4</v>
      </c>
      <c r="O241" t="s">
        <v>53</v>
      </c>
      <c r="P241" t="s">
        <v>54</v>
      </c>
      <c r="Q241">
        <v>806645</v>
      </c>
      <c r="R241" t="s">
        <v>88</v>
      </c>
      <c r="S241" t="s">
        <v>89</v>
      </c>
      <c r="T241" t="s">
        <v>57</v>
      </c>
      <c r="U241" s="1">
        <v>45716</v>
      </c>
      <c r="V241"/>
      <c r="W241" s="1">
        <v>45989</v>
      </c>
      <c r="X241">
        <v>1</v>
      </c>
      <c r="Y241" t="s">
        <v>58</v>
      </c>
      <c r="Z241" s="2">
        <v>0</v>
      </c>
      <c r="AA241">
        <v>0</v>
      </c>
      <c r="AB241" t="s">
        <v>60</v>
      </c>
      <c r="AC241" t="s">
        <v>61</v>
      </c>
      <c r="AD241">
        <v>0</v>
      </c>
      <c r="AE241" s="2">
        <v>0</v>
      </c>
      <c r="AF241" s="2">
        <v>0</v>
      </c>
      <c r="AG241" s="3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/>
      <c r="AS241"/>
      <c r="AT241"/>
      <c r="AU241"/>
      <c r="AV241"/>
    </row>
    <row r="242" spans="1:48" s="16" customFormat="1" x14ac:dyDescent="0.25">
      <c r="A242" s="1">
        <v>45957</v>
      </c>
      <c r="B242" t="s">
        <v>48</v>
      </c>
      <c r="C242">
        <v>649163</v>
      </c>
      <c r="D242">
        <v>2027694241</v>
      </c>
      <c r="E242" t="s">
        <v>1008</v>
      </c>
      <c r="F242" t="s">
        <v>1009</v>
      </c>
      <c r="G242" t="s">
        <v>51</v>
      </c>
      <c r="H242" t="s">
        <v>69</v>
      </c>
      <c r="I242" s="2">
        <v>80.95</v>
      </c>
      <c r="J242" t="s">
        <v>59</v>
      </c>
      <c r="K242" s="3">
        <v>0.7</v>
      </c>
      <c r="L242" s="2">
        <v>0</v>
      </c>
      <c r="M242" s="2">
        <v>56.66</v>
      </c>
      <c r="N242" s="2">
        <v>56.66</v>
      </c>
      <c r="O242" t="s">
        <v>53</v>
      </c>
      <c r="P242" t="s">
        <v>54</v>
      </c>
      <c r="Q242">
        <v>812656</v>
      </c>
      <c r="R242" t="s">
        <v>82</v>
      </c>
      <c r="S242" t="s">
        <v>83</v>
      </c>
      <c r="T242" t="s">
        <v>57</v>
      </c>
      <c r="U242" s="1">
        <v>45748</v>
      </c>
      <c r="V242"/>
      <c r="W242" s="1">
        <v>45992</v>
      </c>
      <c r="X242">
        <v>1</v>
      </c>
      <c r="Y242" t="s">
        <v>58</v>
      </c>
      <c r="Z242" s="2">
        <v>0</v>
      </c>
      <c r="AA242">
        <v>0</v>
      </c>
      <c r="AB242" t="s">
        <v>60</v>
      </c>
      <c r="AC242" t="s">
        <v>61</v>
      </c>
      <c r="AD242">
        <v>0</v>
      </c>
      <c r="AE242" s="2">
        <v>0</v>
      </c>
      <c r="AF242" s="2">
        <v>0</v>
      </c>
      <c r="AG242" s="3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/>
      <c r="AS242"/>
      <c r="AT242"/>
      <c r="AU242"/>
      <c r="AV242"/>
    </row>
    <row r="243" spans="1:48" s="16" customFormat="1" x14ac:dyDescent="0.25">
      <c r="A243" s="1">
        <v>45957</v>
      </c>
      <c r="B243" t="s">
        <v>48</v>
      </c>
      <c r="C243">
        <v>649163</v>
      </c>
      <c r="D243">
        <v>2027735221</v>
      </c>
      <c r="E243" t="s">
        <v>1010</v>
      </c>
      <c r="F243" t="s">
        <v>1011</v>
      </c>
      <c r="G243" t="s">
        <v>51</v>
      </c>
      <c r="H243" t="s">
        <v>69</v>
      </c>
      <c r="I243" s="2">
        <v>54.22</v>
      </c>
      <c r="J243" t="s">
        <v>59</v>
      </c>
      <c r="K243" s="3">
        <v>0.7</v>
      </c>
      <c r="L243" s="2">
        <v>0</v>
      </c>
      <c r="M243" s="2">
        <v>37.950000000000003</v>
      </c>
      <c r="N243" s="2">
        <v>37.950000000000003</v>
      </c>
      <c r="O243" t="s">
        <v>53</v>
      </c>
      <c r="P243" t="s">
        <v>54</v>
      </c>
      <c r="Q243">
        <v>757039</v>
      </c>
      <c r="R243" t="s">
        <v>502</v>
      </c>
      <c r="S243" t="s">
        <v>342</v>
      </c>
      <c r="T243" t="s">
        <v>57</v>
      </c>
      <c r="U243" s="1">
        <v>45748</v>
      </c>
      <c r="V243"/>
      <c r="W243" s="1">
        <v>45992</v>
      </c>
      <c r="X243">
        <v>1</v>
      </c>
      <c r="Y243" t="s">
        <v>58</v>
      </c>
      <c r="Z243" s="2">
        <v>0</v>
      </c>
      <c r="AA243">
        <v>0</v>
      </c>
      <c r="AB243" t="s">
        <v>60</v>
      </c>
      <c r="AC243" t="s">
        <v>61</v>
      </c>
      <c r="AD243">
        <v>0</v>
      </c>
      <c r="AE243" s="2">
        <v>0</v>
      </c>
      <c r="AF243" s="2">
        <v>0</v>
      </c>
      <c r="AG243" s="3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/>
      <c r="AS243"/>
      <c r="AT243"/>
      <c r="AU243"/>
      <c r="AV243"/>
    </row>
    <row r="244" spans="1:48" x14ac:dyDescent="0.25">
      <c r="A244" s="1">
        <v>45957</v>
      </c>
      <c r="B244" t="s">
        <v>48</v>
      </c>
      <c r="C244">
        <v>649163</v>
      </c>
      <c r="D244">
        <v>2027741055</v>
      </c>
      <c r="E244" t="s">
        <v>608</v>
      </c>
      <c r="F244" t="s">
        <v>609</v>
      </c>
      <c r="G244" t="s">
        <v>51</v>
      </c>
      <c r="H244" t="s">
        <v>69</v>
      </c>
      <c r="I244" s="2">
        <v>46.46</v>
      </c>
      <c r="J244" t="s">
        <v>59</v>
      </c>
      <c r="K244" s="3">
        <v>0.7</v>
      </c>
      <c r="L244" s="2">
        <v>0</v>
      </c>
      <c r="M244" s="2">
        <v>32.520000000000003</v>
      </c>
      <c r="N244" s="2">
        <v>32.520000000000003</v>
      </c>
      <c r="O244" t="s">
        <v>53</v>
      </c>
      <c r="P244" t="s">
        <v>54</v>
      </c>
      <c r="Q244">
        <v>766747</v>
      </c>
      <c r="R244" t="s">
        <v>97</v>
      </c>
      <c r="S244" t="s">
        <v>98</v>
      </c>
      <c r="T244" t="s">
        <v>57</v>
      </c>
      <c r="U244" s="1">
        <v>45748</v>
      </c>
      <c r="W244" s="1">
        <v>45992</v>
      </c>
      <c r="X244">
        <v>1</v>
      </c>
      <c r="Y244" t="s">
        <v>58</v>
      </c>
      <c r="Z244" s="2">
        <v>0</v>
      </c>
      <c r="AA244">
        <v>0</v>
      </c>
      <c r="AB244" t="s">
        <v>60</v>
      </c>
      <c r="AC244" t="s">
        <v>61</v>
      </c>
      <c r="AD244">
        <v>0</v>
      </c>
      <c r="AE244" s="2">
        <v>0</v>
      </c>
      <c r="AF244" s="2">
        <v>0</v>
      </c>
      <c r="AG244" s="3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8" x14ac:dyDescent="0.25">
      <c r="A245" s="1">
        <v>45957</v>
      </c>
      <c r="B245" t="s">
        <v>48</v>
      </c>
      <c r="C245">
        <v>649163</v>
      </c>
      <c r="D245">
        <v>2027743281</v>
      </c>
      <c r="E245" t="s">
        <v>610</v>
      </c>
      <c r="F245" t="s">
        <v>324</v>
      </c>
      <c r="G245" t="s">
        <v>51</v>
      </c>
      <c r="H245" t="s">
        <v>182</v>
      </c>
      <c r="I245" s="2">
        <v>70.069999999999993</v>
      </c>
      <c r="J245" t="s">
        <v>59</v>
      </c>
      <c r="K245" s="3">
        <v>0.7</v>
      </c>
      <c r="L245" s="2">
        <v>0</v>
      </c>
      <c r="M245" s="2">
        <v>49.05</v>
      </c>
      <c r="N245" s="2">
        <v>49.05</v>
      </c>
      <c r="O245" t="s">
        <v>53</v>
      </c>
      <c r="P245" t="s">
        <v>54</v>
      </c>
      <c r="Q245">
        <v>673059</v>
      </c>
      <c r="R245" t="s">
        <v>55</v>
      </c>
      <c r="S245" t="s">
        <v>56</v>
      </c>
      <c r="T245" t="s">
        <v>57</v>
      </c>
      <c r="U245" s="1">
        <v>45748</v>
      </c>
      <c r="W245" s="1">
        <v>45992</v>
      </c>
      <c r="X245">
        <v>1</v>
      </c>
      <c r="Y245" t="s">
        <v>58</v>
      </c>
      <c r="Z245" s="2">
        <v>0</v>
      </c>
      <c r="AA245">
        <v>0</v>
      </c>
      <c r="AB245" t="s">
        <v>60</v>
      </c>
      <c r="AC245" t="s">
        <v>61</v>
      </c>
      <c r="AD245">
        <v>0</v>
      </c>
      <c r="AE245" s="2">
        <v>0</v>
      </c>
      <c r="AF245" s="2">
        <v>0</v>
      </c>
      <c r="AG245" s="3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8" x14ac:dyDescent="0.25">
      <c r="A246" s="1">
        <v>45957</v>
      </c>
      <c r="B246" t="s">
        <v>48</v>
      </c>
      <c r="C246">
        <v>649163</v>
      </c>
      <c r="D246">
        <v>2027743282</v>
      </c>
      <c r="E246" t="s">
        <v>610</v>
      </c>
      <c r="F246" t="s">
        <v>324</v>
      </c>
      <c r="G246" t="s">
        <v>51</v>
      </c>
      <c r="H246" t="s">
        <v>182</v>
      </c>
      <c r="I246" s="2">
        <v>51.46</v>
      </c>
      <c r="J246" t="s">
        <v>59</v>
      </c>
      <c r="K246" s="3">
        <v>0.7</v>
      </c>
      <c r="L246" s="2">
        <v>0</v>
      </c>
      <c r="M246" s="2">
        <v>36.020000000000003</v>
      </c>
      <c r="N246" s="2">
        <v>36.020000000000003</v>
      </c>
      <c r="O246" t="s">
        <v>53</v>
      </c>
      <c r="P246" t="s">
        <v>119</v>
      </c>
      <c r="Q246">
        <v>673059</v>
      </c>
      <c r="R246" t="s">
        <v>55</v>
      </c>
      <c r="S246" t="s">
        <v>56</v>
      </c>
      <c r="T246" t="s">
        <v>57</v>
      </c>
      <c r="U246" s="1">
        <v>45748</v>
      </c>
      <c r="W246" s="1">
        <v>45992</v>
      </c>
      <c r="X246">
        <v>1</v>
      </c>
      <c r="Y246" t="s">
        <v>58</v>
      </c>
      <c r="Z246" s="2">
        <v>0</v>
      </c>
      <c r="AA246">
        <v>0</v>
      </c>
      <c r="AB246" t="s">
        <v>60</v>
      </c>
      <c r="AC246" t="s">
        <v>61</v>
      </c>
      <c r="AD246">
        <v>0</v>
      </c>
      <c r="AE246" s="2">
        <v>0</v>
      </c>
      <c r="AF246" s="2">
        <v>0</v>
      </c>
      <c r="AG246" s="3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8" x14ac:dyDescent="0.25">
      <c r="A247" s="1">
        <v>45957</v>
      </c>
      <c r="B247" t="s">
        <v>48</v>
      </c>
      <c r="C247">
        <v>649163</v>
      </c>
      <c r="D247">
        <v>2027745347</v>
      </c>
      <c r="E247" t="s">
        <v>526</v>
      </c>
      <c r="F247" t="s">
        <v>527</v>
      </c>
      <c r="G247" t="s">
        <v>51</v>
      </c>
      <c r="H247" t="s">
        <v>276</v>
      </c>
      <c r="I247" s="2">
        <v>21.44</v>
      </c>
      <c r="J247" t="s">
        <v>59</v>
      </c>
      <c r="K247" s="3">
        <v>0.7</v>
      </c>
      <c r="L247" s="2">
        <v>0</v>
      </c>
      <c r="M247" s="2">
        <v>15.01</v>
      </c>
      <c r="N247" s="2">
        <v>15.01</v>
      </c>
      <c r="O247" t="s">
        <v>53</v>
      </c>
      <c r="P247" t="s">
        <v>119</v>
      </c>
      <c r="Q247">
        <v>673059</v>
      </c>
      <c r="R247" t="s">
        <v>55</v>
      </c>
      <c r="S247" t="s">
        <v>56</v>
      </c>
      <c r="T247" t="s">
        <v>57</v>
      </c>
      <c r="U247" s="1">
        <v>45748</v>
      </c>
      <c r="W247" s="1">
        <v>45992</v>
      </c>
      <c r="X247">
        <v>1</v>
      </c>
      <c r="Y247" t="s">
        <v>58</v>
      </c>
      <c r="Z247" s="2">
        <v>0</v>
      </c>
      <c r="AA247">
        <v>0</v>
      </c>
      <c r="AB247" t="s">
        <v>60</v>
      </c>
      <c r="AC247" t="s">
        <v>61</v>
      </c>
      <c r="AD247">
        <v>0</v>
      </c>
      <c r="AE247" s="2">
        <v>0</v>
      </c>
      <c r="AF247" s="2">
        <v>0</v>
      </c>
      <c r="AG247" s="3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8" x14ac:dyDescent="0.25">
      <c r="A248" s="1">
        <v>45957</v>
      </c>
      <c r="B248" t="s">
        <v>48</v>
      </c>
      <c r="C248">
        <v>649163</v>
      </c>
      <c r="D248">
        <v>2027765153</v>
      </c>
      <c r="E248" t="s">
        <v>685</v>
      </c>
      <c r="F248" t="s">
        <v>686</v>
      </c>
      <c r="G248" t="s">
        <v>51</v>
      </c>
      <c r="H248" t="s">
        <v>195</v>
      </c>
      <c r="I248" s="2">
        <v>25.73</v>
      </c>
      <c r="J248" t="s">
        <v>59</v>
      </c>
      <c r="K248" s="3">
        <v>0.7</v>
      </c>
      <c r="L248" s="2">
        <v>0</v>
      </c>
      <c r="M248" s="2">
        <v>18.010000000000002</v>
      </c>
      <c r="N248" s="2">
        <v>18.010000000000002</v>
      </c>
      <c r="O248" t="s">
        <v>53</v>
      </c>
      <c r="P248" t="s">
        <v>119</v>
      </c>
      <c r="Q248">
        <v>751867</v>
      </c>
      <c r="R248" t="s">
        <v>349</v>
      </c>
      <c r="S248" t="s">
        <v>312</v>
      </c>
      <c r="T248" t="s">
        <v>57</v>
      </c>
      <c r="U248" s="1">
        <v>45748</v>
      </c>
      <c r="W248" s="1">
        <v>45992</v>
      </c>
      <c r="X248">
        <v>1</v>
      </c>
      <c r="Y248" t="s">
        <v>58</v>
      </c>
      <c r="Z248" s="2">
        <v>0</v>
      </c>
      <c r="AA248">
        <v>0</v>
      </c>
      <c r="AB248" t="s">
        <v>60</v>
      </c>
      <c r="AC248" t="s">
        <v>61</v>
      </c>
      <c r="AD248">
        <v>0</v>
      </c>
      <c r="AE248" s="2">
        <v>0</v>
      </c>
      <c r="AF248" s="2">
        <v>0</v>
      </c>
      <c r="AG248" s="3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8" x14ac:dyDescent="0.25">
      <c r="A249" s="1">
        <v>45957</v>
      </c>
      <c r="B249" t="s">
        <v>48</v>
      </c>
      <c r="C249">
        <v>649163</v>
      </c>
      <c r="D249">
        <v>2027785590</v>
      </c>
      <c r="E249" t="s">
        <v>1012</v>
      </c>
      <c r="F249" t="s">
        <v>1013</v>
      </c>
      <c r="G249" t="s">
        <v>51</v>
      </c>
      <c r="H249" t="s">
        <v>165</v>
      </c>
      <c r="I249" s="2">
        <v>28.38</v>
      </c>
      <c r="J249" t="s">
        <v>59</v>
      </c>
      <c r="K249" s="3">
        <v>0.7</v>
      </c>
      <c r="L249" s="2">
        <v>0</v>
      </c>
      <c r="M249" s="2">
        <v>19.87</v>
      </c>
      <c r="N249" s="2">
        <v>19.87</v>
      </c>
      <c r="O249" t="s">
        <v>53</v>
      </c>
      <c r="P249" t="s">
        <v>54</v>
      </c>
      <c r="Q249">
        <v>806645</v>
      </c>
      <c r="R249" t="s">
        <v>88</v>
      </c>
      <c r="S249" t="s">
        <v>89</v>
      </c>
      <c r="T249" t="s">
        <v>57</v>
      </c>
      <c r="U249" s="1">
        <v>45748</v>
      </c>
      <c r="W249" s="1">
        <v>45992</v>
      </c>
      <c r="X249">
        <v>1</v>
      </c>
      <c r="Y249" t="s">
        <v>58</v>
      </c>
      <c r="Z249" s="2">
        <v>0</v>
      </c>
      <c r="AA249">
        <v>0</v>
      </c>
      <c r="AB249" t="s">
        <v>60</v>
      </c>
      <c r="AC249" t="s">
        <v>61</v>
      </c>
      <c r="AD249">
        <v>0</v>
      </c>
      <c r="AE249" s="2">
        <v>0</v>
      </c>
      <c r="AF249" s="2">
        <v>0</v>
      </c>
      <c r="AG249" s="3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8" x14ac:dyDescent="0.25">
      <c r="A250" s="1">
        <v>45957</v>
      </c>
      <c r="B250" t="s">
        <v>48</v>
      </c>
      <c r="C250">
        <v>649163</v>
      </c>
      <c r="D250">
        <v>2027855573</v>
      </c>
      <c r="E250" t="s">
        <v>611</v>
      </c>
      <c r="F250" t="s">
        <v>612</v>
      </c>
      <c r="G250" t="s">
        <v>51</v>
      </c>
      <c r="H250" t="s">
        <v>613</v>
      </c>
      <c r="I250" s="2">
        <v>79.84</v>
      </c>
      <c r="J250" t="s">
        <v>59</v>
      </c>
      <c r="K250" s="3">
        <v>0.7</v>
      </c>
      <c r="L250" s="2">
        <v>0</v>
      </c>
      <c r="M250" s="2">
        <v>55.89</v>
      </c>
      <c r="N250" s="2">
        <v>55.89</v>
      </c>
      <c r="O250" t="s">
        <v>53</v>
      </c>
      <c r="P250" t="s">
        <v>54</v>
      </c>
      <c r="Q250">
        <v>651818</v>
      </c>
      <c r="R250" t="s">
        <v>560</v>
      </c>
      <c r="S250" t="s">
        <v>336</v>
      </c>
      <c r="T250" t="s">
        <v>57</v>
      </c>
      <c r="U250" s="1">
        <v>45734</v>
      </c>
      <c r="W250" s="1">
        <v>45979</v>
      </c>
      <c r="X250">
        <v>1</v>
      </c>
      <c r="Y250" t="s">
        <v>58</v>
      </c>
      <c r="Z250" s="2">
        <v>0</v>
      </c>
      <c r="AA250">
        <v>0</v>
      </c>
      <c r="AB250" t="s">
        <v>60</v>
      </c>
      <c r="AC250" t="s">
        <v>61</v>
      </c>
      <c r="AD250">
        <v>0</v>
      </c>
      <c r="AE250" s="2">
        <v>0</v>
      </c>
      <c r="AF250" s="2">
        <v>0</v>
      </c>
      <c r="AG250" s="3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8" x14ac:dyDescent="0.25">
      <c r="A251" s="1">
        <v>45957</v>
      </c>
      <c r="B251" t="s">
        <v>48</v>
      </c>
      <c r="C251">
        <v>649163</v>
      </c>
      <c r="D251">
        <v>2027857789</v>
      </c>
      <c r="E251" t="s">
        <v>891</v>
      </c>
      <c r="F251" t="s">
        <v>892</v>
      </c>
      <c r="G251" t="s">
        <v>51</v>
      </c>
      <c r="H251" t="s">
        <v>165</v>
      </c>
      <c r="I251" s="2">
        <v>140.6</v>
      </c>
      <c r="J251" t="s">
        <v>59</v>
      </c>
      <c r="K251" s="3">
        <v>0.7</v>
      </c>
      <c r="L251" s="2">
        <v>0</v>
      </c>
      <c r="M251" s="2">
        <v>98.42</v>
      </c>
      <c r="N251" s="2">
        <v>98.42</v>
      </c>
      <c r="O251" t="s">
        <v>53</v>
      </c>
      <c r="P251" t="s">
        <v>54</v>
      </c>
      <c r="Q251">
        <v>822723</v>
      </c>
      <c r="R251" t="s">
        <v>151</v>
      </c>
      <c r="S251" t="s">
        <v>152</v>
      </c>
      <c r="T251" t="s">
        <v>57</v>
      </c>
      <c r="U251" s="1">
        <v>45748</v>
      </c>
      <c r="W251" s="1">
        <v>45992</v>
      </c>
      <c r="X251">
        <v>1</v>
      </c>
      <c r="Y251" t="s">
        <v>58</v>
      </c>
      <c r="Z251" s="2">
        <v>0</v>
      </c>
      <c r="AA251">
        <v>0</v>
      </c>
      <c r="AB251" t="s">
        <v>60</v>
      </c>
      <c r="AC251" t="s">
        <v>61</v>
      </c>
      <c r="AD251">
        <v>0</v>
      </c>
      <c r="AE251" s="2">
        <v>0</v>
      </c>
      <c r="AF251" s="2">
        <v>0</v>
      </c>
      <c r="AG251" s="3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8" x14ac:dyDescent="0.25">
      <c r="A252" s="1">
        <v>45957</v>
      </c>
      <c r="B252" t="s">
        <v>48</v>
      </c>
      <c r="C252">
        <v>649163</v>
      </c>
      <c r="D252">
        <v>2027858972</v>
      </c>
      <c r="E252" t="s">
        <v>893</v>
      </c>
      <c r="F252" t="s">
        <v>576</v>
      </c>
      <c r="G252" t="s">
        <v>51</v>
      </c>
      <c r="H252" t="s">
        <v>69</v>
      </c>
      <c r="I252" s="2">
        <v>11.5</v>
      </c>
      <c r="J252" t="s">
        <v>59</v>
      </c>
      <c r="K252" s="3">
        <v>0.7</v>
      </c>
      <c r="L252" s="2">
        <v>0</v>
      </c>
      <c r="M252" s="2">
        <v>8.0500000000000007</v>
      </c>
      <c r="N252" s="2">
        <v>8.0500000000000007</v>
      </c>
      <c r="O252" t="s">
        <v>53</v>
      </c>
      <c r="P252" t="s">
        <v>54</v>
      </c>
      <c r="Q252">
        <v>813181</v>
      </c>
      <c r="R252" t="s">
        <v>894</v>
      </c>
      <c r="S252" t="s">
        <v>675</v>
      </c>
      <c r="T252" t="s">
        <v>57</v>
      </c>
      <c r="U252" s="1">
        <v>45748</v>
      </c>
      <c r="W252" s="1">
        <v>45992</v>
      </c>
      <c r="X252">
        <v>1</v>
      </c>
      <c r="Y252" t="s">
        <v>58</v>
      </c>
      <c r="Z252" s="2">
        <v>0</v>
      </c>
      <c r="AA252">
        <v>0</v>
      </c>
      <c r="AB252" t="s">
        <v>60</v>
      </c>
      <c r="AC252" t="s">
        <v>61</v>
      </c>
      <c r="AD252">
        <v>0</v>
      </c>
      <c r="AE252" s="2">
        <v>0</v>
      </c>
      <c r="AF252" s="2">
        <v>0</v>
      </c>
      <c r="AG252" s="3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8" x14ac:dyDescent="0.25">
      <c r="A253" s="1">
        <v>45957</v>
      </c>
      <c r="B253" t="s">
        <v>48</v>
      </c>
      <c r="C253">
        <v>649163</v>
      </c>
      <c r="D253">
        <v>2027868982</v>
      </c>
      <c r="E253" t="s">
        <v>895</v>
      </c>
      <c r="F253" t="s">
        <v>896</v>
      </c>
      <c r="G253" t="s">
        <v>51</v>
      </c>
      <c r="H253" t="s">
        <v>69</v>
      </c>
      <c r="I253" s="2">
        <v>15.75</v>
      </c>
      <c r="J253" t="s">
        <v>59</v>
      </c>
      <c r="K253" s="3">
        <v>0.7</v>
      </c>
      <c r="L253" s="2">
        <v>0</v>
      </c>
      <c r="M253" s="2">
        <v>11.02</v>
      </c>
      <c r="N253" s="2">
        <v>11.02</v>
      </c>
      <c r="O253" t="s">
        <v>53</v>
      </c>
      <c r="P253" t="s">
        <v>54</v>
      </c>
      <c r="Q253">
        <v>812782</v>
      </c>
      <c r="R253" t="s">
        <v>114</v>
      </c>
      <c r="S253" t="s">
        <v>115</v>
      </c>
      <c r="T253" t="s">
        <v>57</v>
      </c>
      <c r="U253" s="1">
        <v>45748</v>
      </c>
      <c r="W253" s="1">
        <v>45992</v>
      </c>
      <c r="X253">
        <v>1</v>
      </c>
      <c r="Y253" t="s">
        <v>58</v>
      </c>
      <c r="Z253" s="2">
        <v>0</v>
      </c>
      <c r="AA253">
        <v>0</v>
      </c>
      <c r="AB253" t="s">
        <v>60</v>
      </c>
      <c r="AC253" t="s">
        <v>61</v>
      </c>
      <c r="AD253">
        <v>0</v>
      </c>
      <c r="AE253" s="2">
        <v>0</v>
      </c>
      <c r="AF253" s="2">
        <v>0</v>
      </c>
      <c r="AG253" s="3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8" x14ac:dyDescent="0.25">
      <c r="A254" s="1">
        <v>45957</v>
      </c>
      <c r="B254" t="s">
        <v>48</v>
      </c>
      <c r="C254">
        <v>649163</v>
      </c>
      <c r="D254">
        <v>2027891947</v>
      </c>
      <c r="E254" t="s">
        <v>1016</v>
      </c>
      <c r="F254" t="s">
        <v>1017</v>
      </c>
      <c r="G254" t="s">
        <v>51</v>
      </c>
      <c r="H254" t="s">
        <v>69</v>
      </c>
      <c r="I254" s="2">
        <v>137.41</v>
      </c>
      <c r="J254" t="s">
        <v>59</v>
      </c>
      <c r="K254" s="3">
        <v>0.7</v>
      </c>
      <c r="L254" s="2">
        <v>0</v>
      </c>
      <c r="M254" s="2">
        <v>96.19</v>
      </c>
      <c r="N254" s="2">
        <v>96.19</v>
      </c>
      <c r="O254" t="s">
        <v>53</v>
      </c>
      <c r="P254" t="s">
        <v>54</v>
      </c>
      <c r="Q254">
        <v>766747</v>
      </c>
      <c r="R254" t="s">
        <v>97</v>
      </c>
      <c r="S254" t="s">
        <v>98</v>
      </c>
      <c r="T254" t="s">
        <v>57</v>
      </c>
      <c r="U254" s="1">
        <v>45748</v>
      </c>
      <c r="W254" s="1">
        <v>45992</v>
      </c>
      <c r="X254">
        <v>1</v>
      </c>
      <c r="Y254" t="s">
        <v>58</v>
      </c>
      <c r="Z254" s="2">
        <v>0</v>
      </c>
      <c r="AA254">
        <v>0</v>
      </c>
      <c r="AB254" t="s">
        <v>60</v>
      </c>
      <c r="AC254" t="s">
        <v>61</v>
      </c>
      <c r="AD254">
        <v>0</v>
      </c>
      <c r="AE254" s="2">
        <v>0</v>
      </c>
      <c r="AF254" s="2">
        <v>0</v>
      </c>
      <c r="AG254" s="3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8" x14ac:dyDescent="0.25">
      <c r="A255" s="1">
        <v>45957</v>
      </c>
      <c r="B255" t="s">
        <v>48</v>
      </c>
      <c r="C255">
        <v>649163</v>
      </c>
      <c r="D255">
        <v>2027920263</v>
      </c>
      <c r="E255" t="s">
        <v>616</v>
      </c>
      <c r="F255" t="s">
        <v>617</v>
      </c>
      <c r="G255" t="s">
        <v>51</v>
      </c>
      <c r="H255" t="s">
        <v>92</v>
      </c>
      <c r="I255" s="2">
        <v>9.1</v>
      </c>
      <c r="J255" t="s">
        <v>59</v>
      </c>
      <c r="K255" s="3">
        <v>0.7</v>
      </c>
      <c r="L255" s="2">
        <v>0</v>
      </c>
      <c r="M255" s="2">
        <v>6.37</v>
      </c>
      <c r="N255" s="2">
        <v>6.37</v>
      </c>
      <c r="O255" t="s">
        <v>53</v>
      </c>
      <c r="P255" t="s">
        <v>54</v>
      </c>
      <c r="Q255">
        <v>816021</v>
      </c>
      <c r="R255" t="s">
        <v>93</v>
      </c>
      <c r="S255" t="s">
        <v>94</v>
      </c>
      <c r="T255" t="s">
        <v>57</v>
      </c>
      <c r="U255" s="1">
        <v>45744</v>
      </c>
      <c r="W255" s="1">
        <v>45989</v>
      </c>
      <c r="X255">
        <v>1</v>
      </c>
      <c r="Y255" t="s">
        <v>58</v>
      </c>
      <c r="Z255" s="2">
        <v>0</v>
      </c>
      <c r="AA255">
        <v>0</v>
      </c>
      <c r="AB255" t="s">
        <v>60</v>
      </c>
      <c r="AC255" t="s">
        <v>61</v>
      </c>
      <c r="AD255">
        <v>0</v>
      </c>
      <c r="AE255" s="2">
        <v>0</v>
      </c>
      <c r="AF255" s="2">
        <v>0</v>
      </c>
      <c r="AG255" s="3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8" x14ac:dyDescent="0.25">
      <c r="A256" s="1">
        <v>45957</v>
      </c>
      <c r="B256" t="s">
        <v>48</v>
      </c>
      <c r="C256">
        <v>649163</v>
      </c>
      <c r="D256">
        <v>2027933174</v>
      </c>
      <c r="E256" t="s">
        <v>618</v>
      </c>
      <c r="F256" t="s">
        <v>612</v>
      </c>
      <c r="G256" t="s">
        <v>51</v>
      </c>
      <c r="H256" t="s">
        <v>145</v>
      </c>
      <c r="I256" s="2">
        <v>46.54</v>
      </c>
      <c r="J256" t="s">
        <v>59</v>
      </c>
      <c r="K256" s="3">
        <v>0.7</v>
      </c>
      <c r="L256" s="2">
        <v>0</v>
      </c>
      <c r="M256" s="2">
        <v>32.58</v>
      </c>
      <c r="N256" s="2">
        <v>32.58</v>
      </c>
      <c r="O256" t="s">
        <v>53</v>
      </c>
      <c r="P256" t="s">
        <v>54</v>
      </c>
      <c r="Q256">
        <v>814033</v>
      </c>
      <c r="R256" t="s">
        <v>147</v>
      </c>
      <c r="S256" t="s">
        <v>148</v>
      </c>
      <c r="T256" t="s">
        <v>57</v>
      </c>
      <c r="U256" s="1">
        <v>45748</v>
      </c>
      <c r="W256" s="1">
        <v>45992</v>
      </c>
      <c r="X256">
        <v>1</v>
      </c>
      <c r="Y256" t="s">
        <v>58</v>
      </c>
      <c r="Z256" s="2">
        <v>0</v>
      </c>
      <c r="AA256">
        <v>0</v>
      </c>
      <c r="AB256" t="s">
        <v>60</v>
      </c>
      <c r="AC256" t="s">
        <v>61</v>
      </c>
      <c r="AD256">
        <v>0</v>
      </c>
      <c r="AE256" s="2">
        <v>0</v>
      </c>
      <c r="AF256" s="2">
        <v>0</v>
      </c>
      <c r="AG256" s="3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45957</v>
      </c>
      <c r="B257" t="s">
        <v>48</v>
      </c>
      <c r="C257">
        <v>649163</v>
      </c>
      <c r="D257">
        <v>2027936971</v>
      </c>
      <c r="E257" t="s">
        <v>619</v>
      </c>
      <c r="F257" t="s">
        <v>620</v>
      </c>
      <c r="G257" t="s">
        <v>51</v>
      </c>
      <c r="H257" t="s">
        <v>92</v>
      </c>
      <c r="I257" s="2">
        <v>27.38</v>
      </c>
      <c r="J257" t="s">
        <v>59</v>
      </c>
      <c r="K257" s="3">
        <v>0.7</v>
      </c>
      <c r="L257" s="2">
        <v>0</v>
      </c>
      <c r="M257" s="2">
        <v>19.170000000000002</v>
      </c>
      <c r="N257" s="2">
        <v>19.170000000000002</v>
      </c>
      <c r="O257" t="s">
        <v>53</v>
      </c>
      <c r="P257" t="s">
        <v>54</v>
      </c>
      <c r="Q257">
        <v>816021</v>
      </c>
      <c r="R257" t="s">
        <v>93</v>
      </c>
      <c r="S257" t="s">
        <v>94</v>
      </c>
      <c r="T257" t="s">
        <v>57</v>
      </c>
      <c r="U257" s="1">
        <v>45748</v>
      </c>
      <c r="W257" s="1">
        <v>45992</v>
      </c>
      <c r="X257">
        <v>1</v>
      </c>
      <c r="Y257" t="s">
        <v>58</v>
      </c>
      <c r="Z257" s="2">
        <v>0</v>
      </c>
      <c r="AA257">
        <v>0</v>
      </c>
      <c r="AB257" t="s">
        <v>60</v>
      </c>
      <c r="AC257" t="s">
        <v>61</v>
      </c>
      <c r="AD257">
        <v>0</v>
      </c>
      <c r="AE257" s="2">
        <v>0</v>
      </c>
      <c r="AF257" s="2">
        <v>0</v>
      </c>
      <c r="AG257" s="3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45957</v>
      </c>
      <c r="B258" t="s">
        <v>48</v>
      </c>
      <c r="C258">
        <v>649163</v>
      </c>
      <c r="D258">
        <v>2027937824</v>
      </c>
      <c r="E258" t="s">
        <v>899</v>
      </c>
      <c r="F258" t="s">
        <v>900</v>
      </c>
      <c r="G258" t="s">
        <v>51</v>
      </c>
      <c r="H258" t="s">
        <v>636</v>
      </c>
      <c r="I258" s="2">
        <v>142.59</v>
      </c>
      <c r="J258" t="s">
        <v>59</v>
      </c>
      <c r="K258" s="3">
        <v>0.7</v>
      </c>
      <c r="L258" s="2">
        <v>0</v>
      </c>
      <c r="M258" s="2">
        <v>99.81</v>
      </c>
      <c r="N258" s="2">
        <v>99.81</v>
      </c>
      <c r="O258" t="s">
        <v>53</v>
      </c>
      <c r="P258" t="s">
        <v>54</v>
      </c>
      <c r="Q258">
        <v>673059</v>
      </c>
      <c r="R258" t="s">
        <v>55</v>
      </c>
      <c r="S258" t="s">
        <v>56</v>
      </c>
      <c r="T258" t="s">
        <v>57</v>
      </c>
      <c r="U258" s="1">
        <v>45748</v>
      </c>
      <c r="W258" s="1">
        <v>45992</v>
      </c>
      <c r="X258">
        <v>1</v>
      </c>
      <c r="Y258" t="s">
        <v>58</v>
      </c>
      <c r="Z258" s="2">
        <v>0</v>
      </c>
      <c r="AA258">
        <v>0</v>
      </c>
      <c r="AB258" t="s">
        <v>60</v>
      </c>
      <c r="AC258" t="s">
        <v>61</v>
      </c>
      <c r="AD258">
        <v>0</v>
      </c>
      <c r="AE258" s="2">
        <v>0</v>
      </c>
      <c r="AF258" s="2">
        <v>0</v>
      </c>
      <c r="AG258" s="3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45957</v>
      </c>
      <c r="B259" t="s">
        <v>48</v>
      </c>
      <c r="C259">
        <v>649163</v>
      </c>
      <c r="D259">
        <v>2027980063</v>
      </c>
      <c r="E259" t="s">
        <v>903</v>
      </c>
      <c r="F259" t="s">
        <v>342</v>
      </c>
      <c r="G259" t="s">
        <v>51</v>
      </c>
      <c r="H259" t="s">
        <v>69</v>
      </c>
      <c r="I259" s="2">
        <v>31.6</v>
      </c>
      <c r="J259" t="s">
        <v>59</v>
      </c>
      <c r="K259" s="3">
        <v>0.7</v>
      </c>
      <c r="L259" s="2">
        <v>0</v>
      </c>
      <c r="M259" s="2">
        <v>22.12</v>
      </c>
      <c r="N259" s="2">
        <v>22.12</v>
      </c>
      <c r="O259" t="s">
        <v>53</v>
      </c>
      <c r="P259" t="s">
        <v>54</v>
      </c>
      <c r="Q259">
        <v>856824</v>
      </c>
      <c r="R259" t="s">
        <v>175</v>
      </c>
      <c r="S259" t="s">
        <v>176</v>
      </c>
      <c r="T259" t="s">
        <v>57</v>
      </c>
      <c r="U259" s="1">
        <v>45748</v>
      </c>
      <c r="W259" s="1">
        <v>45992</v>
      </c>
      <c r="X259">
        <v>1</v>
      </c>
      <c r="Y259" t="s">
        <v>58</v>
      </c>
      <c r="Z259" s="2">
        <v>0</v>
      </c>
      <c r="AA259">
        <v>0</v>
      </c>
      <c r="AB259" t="s">
        <v>60</v>
      </c>
      <c r="AC259" t="s">
        <v>61</v>
      </c>
      <c r="AD259">
        <v>0</v>
      </c>
      <c r="AE259" s="2">
        <v>0</v>
      </c>
      <c r="AF259" s="2">
        <v>0</v>
      </c>
      <c r="AG259" s="3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45957</v>
      </c>
      <c r="B260" t="s">
        <v>48</v>
      </c>
      <c r="C260">
        <v>649163</v>
      </c>
      <c r="D260">
        <v>2027996023</v>
      </c>
      <c r="E260" t="s">
        <v>103</v>
      </c>
      <c r="F260" t="s">
        <v>621</v>
      </c>
      <c r="G260" t="s">
        <v>51</v>
      </c>
      <c r="H260" t="s">
        <v>52</v>
      </c>
      <c r="I260" s="2">
        <v>18.350000000000001</v>
      </c>
      <c r="J260" t="s">
        <v>59</v>
      </c>
      <c r="K260" s="3">
        <v>0.7</v>
      </c>
      <c r="L260" s="2">
        <v>0</v>
      </c>
      <c r="M260" s="2">
        <v>12.84</v>
      </c>
      <c r="N260" s="2">
        <v>12.84</v>
      </c>
      <c r="O260" t="s">
        <v>53</v>
      </c>
      <c r="P260" t="s">
        <v>54</v>
      </c>
      <c r="Q260">
        <v>821015</v>
      </c>
      <c r="R260" t="s">
        <v>398</v>
      </c>
      <c r="S260" t="s">
        <v>399</v>
      </c>
      <c r="T260" t="s">
        <v>57</v>
      </c>
      <c r="U260" s="1">
        <v>45743</v>
      </c>
      <c r="W260" s="1">
        <v>45988</v>
      </c>
      <c r="X260">
        <v>1</v>
      </c>
      <c r="Y260" t="s">
        <v>58</v>
      </c>
      <c r="Z260" s="2">
        <v>0</v>
      </c>
      <c r="AA260">
        <v>0</v>
      </c>
      <c r="AB260" t="s">
        <v>60</v>
      </c>
      <c r="AC260" t="s">
        <v>61</v>
      </c>
      <c r="AD260">
        <v>0</v>
      </c>
      <c r="AE260" s="2">
        <v>0</v>
      </c>
      <c r="AF260" s="2">
        <v>0</v>
      </c>
      <c r="AG260" s="3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45957</v>
      </c>
      <c r="B261" t="s">
        <v>48</v>
      </c>
      <c r="C261">
        <v>649163</v>
      </c>
      <c r="D261">
        <v>2028003033</v>
      </c>
      <c r="E261" t="s">
        <v>1019</v>
      </c>
      <c r="F261" t="s">
        <v>308</v>
      </c>
      <c r="G261" t="s">
        <v>51</v>
      </c>
      <c r="H261" t="s">
        <v>69</v>
      </c>
      <c r="I261" s="2">
        <v>66.36</v>
      </c>
      <c r="J261" t="s">
        <v>59</v>
      </c>
      <c r="K261" s="3">
        <v>0.7</v>
      </c>
      <c r="L261" s="2">
        <v>0</v>
      </c>
      <c r="M261" s="2">
        <v>46.45</v>
      </c>
      <c r="N261" s="2">
        <v>46.45</v>
      </c>
      <c r="O261" t="s">
        <v>53</v>
      </c>
      <c r="P261" t="s">
        <v>54</v>
      </c>
      <c r="Q261">
        <v>814033</v>
      </c>
      <c r="R261" t="s">
        <v>147</v>
      </c>
      <c r="S261" t="s">
        <v>148</v>
      </c>
      <c r="T261" t="s">
        <v>57</v>
      </c>
      <c r="U261" s="1">
        <v>45748</v>
      </c>
      <c r="W261" s="1">
        <v>45992</v>
      </c>
      <c r="X261">
        <v>1</v>
      </c>
      <c r="Y261" t="s">
        <v>58</v>
      </c>
      <c r="Z261" s="2">
        <v>0</v>
      </c>
      <c r="AA261">
        <v>0</v>
      </c>
      <c r="AB261" t="s">
        <v>60</v>
      </c>
      <c r="AC261" t="s">
        <v>61</v>
      </c>
      <c r="AD261">
        <v>0</v>
      </c>
      <c r="AE261" s="2">
        <v>0</v>
      </c>
      <c r="AF261" s="2">
        <v>0</v>
      </c>
      <c r="AG261" s="3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45957</v>
      </c>
      <c r="B262" t="s">
        <v>48</v>
      </c>
      <c r="C262">
        <v>649163</v>
      </c>
      <c r="D262">
        <v>2028004035</v>
      </c>
      <c r="E262" t="s">
        <v>622</v>
      </c>
      <c r="F262" t="s">
        <v>623</v>
      </c>
      <c r="G262" t="s">
        <v>51</v>
      </c>
      <c r="H262" t="s">
        <v>92</v>
      </c>
      <c r="I262" s="2">
        <v>9.1</v>
      </c>
      <c r="J262" t="s">
        <v>59</v>
      </c>
      <c r="K262" s="3">
        <v>0.7</v>
      </c>
      <c r="L262" s="2">
        <v>0</v>
      </c>
      <c r="M262" s="2">
        <v>6.37</v>
      </c>
      <c r="N262" s="2">
        <v>6.37</v>
      </c>
      <c r="O262" t="s">
        <v>53</v>
      </c>
      <c r="P262" t="s">
        <v>54</v>
      </c>
      <c r="Q262">
        <v>816021</v>
      </c>
      <c r="R262" t="s">
        <v>93</v>
      </c>
      <c r="S262" t="s">
        <v>94</v>
      </c>
      <c r="T262" t="s">
        <v>57</v>
      </c>
      <c r="U262" s="1">
        <v>45741</v>
      </c>
      <c r="W262" s="1">
        <v>45986</v>
      </c>
      <c r="X262">
        <v>1</v>
      </c>
      <c r="Y262" t="s">
        <v>58</v>
      </c>
      <c r="Z262" s="2">
        <v>0</v>
      </c>
      <c r="AA262">
        <v>0</v>
      </c>
      <c r="AB262" t="s">
        <v>60</v>
      </c>
      <c r="AC262" t="s">
        <v>61</v>
      </c>
      <c r="AD262">
        <v>0</v>
      </c>
      <c r="AE262" s="2">
        <v>0</v>
      </c>
      <c r="AF262" s="2">
        <v>0</v>
      </c>
      <c r="AG262" s="3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45957</v>
      </c>
      <c r="B263" t="s">
        <v>48</v>
      </c>
      <c r="C263">
        <v>649163</v>
      </c>
      <c r="D263">
        <v>2028005041</v>
      </c>
      <c r="E263" t="s">
        <v>904</v>
      </c>
      <c r="F263" t="s">
        <v>905</v>
      </c>
      <c r="G263" t="s">
        <v>51</v>
      </c>
      <c r="H263" t="s">
        <v>69</v>
      </c>
      <c r="I263" s="2">
        <v>15.75</v>
      </c>
      <c r="J263" t="s">
        <v>59</v>
      </c>
      <c r="K263" s="3">
        <v>0.7</v>
      </c>
      <c r="L263" s="2">
        <v>0</v>
      </c>
      <c r="M263" s="2">
        <v>11.02</v>
      </c>
      <c r="N263" s="2">
        <v>11.02</v>
      </c>
      <c r="O263" t="s">
        <v>53</v>
      </c>
      <c r="P263" t="s">
        <v>54</v>
      </c>
      <c r="Q263">
        <v>824062</v>
      </c>
      <c r="R263" t="s">
        <v>74</v>
      </c>
      <c r="S263" t="s">
        <v>75</v>
      </c>
      <c r="T263" t="s">
        <v>57</v>
      </c>
      <c r="U263" s="1">
        <v>45741</v>
      </c>
      <c r="W263" s="1">
        <v>45986</v>
      </c>
      <c r="X263">
        <v>1</v>
      </c>
      <c r="Y263" t="s">
        <v>58</v>
      </c>
      <c r="Z263" s="2">
        <v>0</v>
      </c>
      <c r="AA263">
        <v>0</v>
      </c>
      <c r="AB263" t="s">
        <v>60</v>
      </c>
      <c r="AC263" t="s">
        <v>61</v>
      </c>
      <c r="AD263">
        <v>0</v>
      </c>
      <c r="AE263" s="2">
        <v>0</v>
      </c>
      <c r="AF263" s="2">
        <v>0</v>
      </c>
      <c r="AG263" s="3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45957</v>
      </c>
      <c r="B264" t="s">
        <v>48</v>
      </c>
      <c r="C264">
        <v>649163</v>
      </c>
      <c r="D264">
        <v>2028005610</v>
      </c>
      <c r="E264" t="s">
        <v>1020</v>
      </c>
      <c r="F264" t="s">
        <v>1021</v>
      </c>
      <c r="G264" t="s">
        <v>51</v>
      </c>
      <c r="H264" t="s">
        <v>179</v>
      </c>
      <c r="I264" s="2">
        <v>67.87</v>
      </c>
      <c r="J264" t="s">
        <v>59</v>
      </c>
      <c r="K264" s="3">
        <v>0.7</v>
      </c>
      <c r="L264" s="2">
        <v>0</v>
      </c>
      <c r="M264" s="2">
        <v>47.51</v>
      </c>
      <c r="N264" s="2">
        <v>47.51</v>
      </c>
      <c r="O264" t="s">
        <v>53</v>
      </c>
      <c r="P264" t="s">
        <v>54</v>
      </c>
      <c r="Q264">
        <v>673059</v>
      </c>
      <c r="R264" t="s">
        <v>55</v>
      </c>
      <c r="S264" t="s">
        <v>56</v>
      </c>
      <c r="T264" t="s">
        <v>57</v>
      </c>
      <c r="U264" s="1">
        <v>45748</v>
      </c>
      <c r="W264" s="1">
        <v>45992</v>
      </c>
      <c r="X264">
        <v>1</v>
      </c>
      <c r="Y264" t="s">
        <v>58</v>
      </c>
      <c r="Z264" s="2">
        <v>0</v>
      </c>
      <c r="AA264">
        <v>0</v>
      </c>
      <c r="AB264" t="s">
        <v>60</v>
      </c>
      <c r="AC264" t="s">
        <v>61</v>
      </c>
      <c r="AD264">
        <v>0</v>
      </c>
      <c r="AE264" s="2">
        <v>0</v>
      </c>
      <c r="AF264" s="2">
        <v>0</v>
      </c>
      <c r="AG264" s="3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45957</v>
      </c>
      <c r="B265" t="s">
        <v>48</v>
      </c>
      <c r="C265">
        <v>649163</v>
      </c>
      <c r="D265">
        <v>2028007024</v>
      </c>
      <c r="E265" t="s">
        <v>1022</v>
      </c>
      <c r="F265" t="s">
        <v>1023</v>
      </c>
      <c r="G265" t="s">
        <v>51</v>
      </c>
      <c r="H265" t="s">
        <v>69</v>
      </c>
      <c r="I265" s="2">
        <v>19</v>
      </c>
      <c r="J265" t="s">
        <v>59</v>
      </c>
      <c r="K265" s="3">
        <v>0.7</v>
      </c>
      <c r="L265" s="2">
        <v>0</v>
      </c>
      <c r="M265" s="2">
        <v>13.3</v>
      </c>
      <c r="N265" s="2">
        <v>13.3</v>
      </c>
      <c r="O265" t="s">
        <v>53</v>
      </c>
      <c r="P265" t="s">
        <v>54</v>
      </c>
      <c r="Q265">
        <v>760902</v>
      </c>
      <c r="R265" t="s">
        <v>1024</v>
      </c>
      <c r="S265" t="s">
        <v>1025</v>
      </c>
      <c r="T265" t="s">
        <v>57</v>
      </c>
      <c r="U265" s="1">
        <v>45741</v>
      </c>
      <c r="W265" s="1">
        <v>45986</v>
      </c>
      <c r="X265">
        <v>1</v>
      </c>
      <c r="Y265" t="s">
        <v>58</v>
      </c>
      <c r="Z265" s="2">
        <v>0</v>
      </c>
      <c r="AA265">
        <v>0</v>
      </c>
      <c r="AB265" t="s">
        <v>60</v>
      </c>
      <c r="AC265" t="s">
        <v>61</v>
      </c>
      <c r="AD265">
        <v>0</v>
      </c>
      <c r="AE265" s="2">
        <v>0</v>
      </c>
      <c r="AF265" s="2">
        <v>0</v>
      </c>
      <c r="AG265" s="3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45957</v>
      </c>
      <c r="B266" t="s">
        <v>48</v>
      </c>
      <c r="C266">
        <v>649163</v>
      </c>
      <c r="D266">
        <v>2028019977</v>
      </c>
      <c r="E266" t="s">
        <v>557</v>
      </c>
      <c r="F266" t="s">
        <v>56</v>
      </c>
      <c r="G266" t="s">
        <v>51</v>
      </c>
      <c r="H266" t="s">
        <v>261</v>
      </c>
      <c r="I266" s="2">
        <v>128.80000000000001</v>
      </c>
      <c r="J266" t="s">
        <v>59</v>
      </c>
      <c r="K266" s="3">
        <v>0.7</v>
      </c>
      <c r="L266" s="2">
        <v>0</v>
      </c>
      <c r="M266" s="2">
        <v>90.16</v>
      </c>
      <c r="N266" s="2">
        <v>90.16</v>
      </c>
      <c r="O266" t="s">
        <v>53</v>
      </c>
      <c r="P266" t="s">
        <v>54</v>
      </c>
      <c r="Q266">
        <v>822865</v>
      </c>
      <c r="R266" t="s">
        <v>469</v>
      </c>
      <c r="S266" t="s">
        <v>470</v>
      </c>
      <c r="T266" t="s">
        <v>57</v>
      </c>
      <c r="U266" s="1">
        <v>45742</v>
      </c>
      <c r="W266" s="1">
        <v>45987</v>
      </c>
      <c r="X266">
        <v>1</v>
      </c>
      <c r="Y266" t="s">
        <v>58</v>
      </c>
      <c r="Z266" s="2">
        <v>0</v>
      </c>
      <c r="AA266">
        <v>0</v>
      </c>
      <c r="AB266" t="s">
        <v>60</v>
      </c>
      <c r="AC266" t="s">
        <v>61</v>
      </c>
      <c r="AD266">
        <v>0</v>
      </c>
      <c r="AE266" s="2">
        <v>0</v>
      </c>
      <c r="AF266" s="2">
        <v>0</v>
      </c>
      <c r="AG266" s="3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45957</v>
      </c>
      <c r="B267" t="s">
        <v>48</v>
      </c>
      <c r="C267">
        <v>649163</v>
      </c>
      <c r="D267">
        <v>2028028177</v>
      </c>
      <c r="E267" t="s">
        <v>531</v>
      </c>
      <c r="F267" t="s">
        <v>532</v>
      </c>
      <c r="G267" t="s">
        <v>51</v>
      </c>
      <c r="H267" t="s">
        <v>195</v>
      </c>
      <c r="I267" s="2">
        <v>25.73</v>
      </c>
      <c r="J267" t="s">
        <v>59</v>
      </c>
      <c r="K267" s="3">
        <v>0.7</v>
      </c>
      <c r="L267" s="2">
        <v>0</v>
      </c>
      <c r="M267" s="2">
        <v>18.010000000000002</v>
      </c>
      <c r="N267" s="2">
        <v>18.010000000000002</v>
      </c>
      <c r="O267" t="s">
        <v>53</v>
      </c>
      <c r="P267" t="s">
        <v>119</v>
      </c>
      <c r="Q267">
        <v>823068</v>
      </c>
      <c r="R267" t="s">
        <v>120</v>
      </c>
      <c r="S267" t="s">
        <v>121</v>
      </c>
      <c r="T267" t="s">
        <v>57</v>
      </c>
      <c r="U267" s="1">
        <v>45748</v>
      </c>
      <c r="W267" s="1">
        <v>45992</v>
      </c>
      <c r="X267">
        <v>1</v>
      </c>
      <c r="Y267" t="s">
        <v>58</v>
      </c>
      <c r="Z267" s="2">
        <v>0</v>
      </c>
      <c r="AA267">
        <v>0</v>
      </c>
      <c r="AB267" t="s">
        <v>60</v>
      </c>
      <c r="AC267" t="s">
        <v>61</v>
      </c>
      <c r="AD267">
        <v>0</v>
      </c>
      <c r="AE267" s="2">
        <v>0</v>
      </c>
      <c r="AF267" s="2">
        <v>0</v>
      </c>
      <c r="AG267" s="3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45957</v>
      </c>
      <c r="B268" t="s">
        <v>48</v>
      </c>
      <c r="C268">
        <v>649163</v>
      </c>
      <c r="D268">
        <v>2028041239</v>
      </c>
      <c r="E268" t="s">
        <v>1026</v>
      </c>
      <c r="F268" t="s">
        <v>1027</v>
      </c>
      <c r="G268" t="s">
        <v>51</v>
      </c>
      <c r="H268" t="s">
        <v>69</v>
      </c>
      <c r="I268" s="2">
        <v>66.36</v>
      </c>
      <c r="J268" t="s">
        <v>59</v>
      </c>
      <c r="K268" s="3">
        <v>0.7</v>
      </c>
      <c r="L268" s="2">
        <v>0</v>
      </c>
      <c r="M268" s="2">
        <v>46.45</v>
      </c>
      <c r="N268" s="2">
        <v>46.45</v>
      </c>
      <c r="O268" t="s">
        <v>53</v>
      </c>
      <c r="P268" t="s">
        <v>54</v>
      </c>
      <c r="Q268">
        <v>814033</v>
      </c>
      <c r="R268" t="s">
        <v>147</v>
      </c>
      <c r="S268" t="s">
        <v>148</v>
      </c>
      <c r="T268" t="s">
        <v>57</v>
      </c>
      <c r="U268" s="1">
        <v>45748</v>
      </c>
      <c r="W268" s="1">
        <v>45992</v>
      </c>
      <c r="X268">
        <v>1</v>
      </c>
      <c r="Y268" t="s">
        <v>58</v>
      </c>
      <c r="Z268" s="2">
        <v>0</v>
      </c>
      <c r="AA268">
        <v>0</v>
      </c>
      <c r="AB268" t="s">
        <v>60</v>
      </c>
      <c r="AC268" t="s">
        <v>61</v>
      </c>
      <c r="AD268">
        <v>0</v>
      </c>
      <c r="AE268" s="2">
        <v>0</v>
      </c>
      <c r="AF268" s="2">
        <v>0</v>
      </c>
      <c r="AG268" s="3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45957</v>
      </c>
      <c r="B269" t="s">
        <v>48</v>
      </c>
      <c r="C269">
        <v>649163</v>
      </c>
      <c r="D269">
        <v>2028043912</v>
      </c>
      <c r="E269" t="s">
        <v>280</v>
      </c>
      <c r="F269" t="s">
        <v>907</v>
      </c>
      <c r="G269" t="s">
        <v>51</v>
      </c>
      <c r="H269" t="s">
        <v>69</v>
      </c>
      <c r="I269" s="2">
        <v>19</v>
      </c>
      <c r="J269" t="s">
        <v>59</v>
      </c>
      <c r="K269" s="3">
        <v>0.7</v>
      </c>
      <c r="L269" s="2">
        <v>0</v>
      </c>
      <c r="M269" s="2">
        <v>13.3</v>
      </c>
      <c r="N269" s="2">
        <v>13.3</v>
      </c>
      <c r="O269" t="s">
        <v>53</v>
      </c>
      <c r="P269" t="s">
        <v>54</v>
      </c>
      <c r="Q269">
        <v>806645</v>
      </c>
      <c r="R269" t="s">
        <v>88</v>
      </c>
      <c r="S269" t="s">
        <v>89</v>
      </c>
      <c r="T269" t="s">
        <v>57</v>
      </c>
      <c r="U269" s="1">
        <v>45748</v>
      </c>
      <c r="W269" s="1">
        <v>45992</v>
      </c>
      <c r="X269">
        <v>1</v>
      </c>
      <c r="Y269" t="s">
        <v>58</v>
      </c>
      <c r="Z269" s="2">
        <v>0</v>
      </c>
      <c r="AA269">
        <v>0</v>
      </c>
      <c r="AB269" t="s">
        <v>60</v>
      </c>
      <c r="AC269" t="s">
        <v>61</v>
      </c>
      <c r="AD269">
        <v>0</v>
      </c>
      <c r="AE269" s="2">
        <v>0</v>
      </c>
      <c r="AF269" s="2">
        <v>0</v>
      </c>
      <c r="AG269" s="3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45957</v>
      </c>
      <c r="B270" t="s">
        <v>48</v>
      </c>
      <c r="C270">
        <v>649163</v>
      </c>
      <c r="D270">
        <v>2028052818</v>
      </c>
      <c r="E270" t="s">
        <v>624</v>
      </c>
      <c r="F270" t="s">
        <v>625</v>
      </c>
      <c r="G270" t="s">
        <v>51</v>
      </c>
      <c r="H270" t="s">
        <v>165</v>
      </c>
      <c r="I270" s="2">
        <v>163.43</v>
      </c>
      <c r="J270" t="s">
        <v>59</v>
      </c>
      <c r="K270" s="3">
        <v>0.7</v>
      </c>
      <c r="L270" s="2">
        <v>0</v>
      </c>
      <c r="M270" s="2">
        <v>114.4</v>
      </c>
      <c r="N270" s="2">
        <v>114.4</v>
      </c>
      <c r="O270" t="s">
        <v>53</v>
      </c>
      <c r="P270" t="s">
        <v>54</v>
      </c>
      <c r="Q270">
        <v>753748</v>
      </c>
      <c r="R270" t="s">
        <v>65</v>
      </c>
      <c r="S270" t="s">
        <v>66</v>
      </c>
      <c r="T270" t="s">
        <v>57</v>
      </c>
      <c r="U270" s="1">
        <v>45748</v>
      </c>
      <c r="W270" s="1">
        <v>45992</v>
      </c>
      <c r="X270">
        <v>1</v>
      </c>
      <c r="Y270" t="s">
        <v>58</v>
      </c>
      <c r="Z270" s="2">
        <v>0</v>
      </c>
      <c r="AA270">
        <v>0</v>
      </c>
      <c r="AB270" t="s">
        <v>60</v>
      </c>
      <c r="AC270" t="s">
        <v>61</v>
      </c>
      <c r="AD270">
        <v>0</v>
      </c>
      <c r="AE270" s="2">
        <v>0</v>
      </c>
      <c r="AF270" s="2">
        <v>0</v>
      </c>
      <c r="AG270" s="3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45957</v>
      </c>
      <c r="B271" t="s">
        <v>48</v>
      </c>
      <c r="C271">
        <v>649163</v>
      </c>
      <c r="D271">
        <v>2028061837</v>
      </c>
      <c r="E271" t="s">
        <v>908</v>
      </c>
      <c r="F271" t="s">
        <v>67</v>
      </c>
      <c r="G271" t="s">
        <v>51</v>
      </c>
      <c r="H271" t="s">
        <v>69</v>
      </c>
      <c r="I271" s="2">
        <v>11.5</v>
      </c>
      <c r="J271" t="s">
        <v>59</v>
      </c>
      <c r="K271" s="3">
        <v>0.7</v>
      </c>
      <c r="L271" s="2">
        <v>0</v>
      </c>
      <c r="M271" s="2">
        <v>8.0500000000000007</v>
      </c>
      <c r="N271" s="2">
        <v>8.0500000000000007</v>
      </c>
      <c r="O271" t="s">
        <v>53</v>
      </c>
      <c r="P271" t="s">
        <v>54</v>
      </c>
      <c r="Q271">
        <v>824062</v>
      </c>
      <c r="R271" t="s">
        <v>74</v>
      </c>
      <c r="S271" t="s">
        <v>75</v>
      </c>
      <c r="T271" t="s">
        <v>57</v>
      </c>
      <c r="U271" s="1">
        <v>45748</v>
      </c>
      <c r="W271" s="1">
        <v>45992</v>
      </c>
      <c r="X271">
        <v>1</v>
      </c>
      <c r="Y271" t="s">
        <v>58</v>
      </c>
      <c r="Z271" s="2">
        <v>0</v>
      </c>
      <c r="AA271">
        <v>0</v>
      </c>
      <c r="AB271" t="s">
        <v>60</v>
      </c>
      <c r="AC271" t="s">
        <v>61</v>
      </c>
      <c r="AD271">
        <v>0</v>
      </c>
      <c r="AE271" s="2">
        <v>0</v>
      </c>
      <c r="AF271" s="2">
        <v>0</v>
      </c>
      <c r="AG271" s="3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45957</v>
      </c>
      <c r="B272" t="s">
        <v>48</v>
      </c>
      <c r="C272">
        <v>649163</v>
      </c>
      <c r="D272">
        <v>2028062220</v>
      </c>
      <c r="E272" t="s">
        <v>280</v>
      </c>
      <c r="F272" t="s">
        <v>1029</v>
      </c>
      <c r="G272" t="s">
        <v>51</v>
      </c>
      <c r="H272" t="s">
        <v>69</v>
      </c>
      <c r="I272" s="2">
        <v>34</v>
      </c>
      <c r="J272" t="s">
        <v>59</v>
      </c>
      <c r="K272" s="3">
        <v>0.7</v>
      </c>
      <c r="L272" s="2">
        <v>0</v>
      </c>
      <c r="M272" s="2">
        <v>23.8</v>
      </c>
      <c r="N272" s="2">
        <v>23.8</v>
      </c>
      <c r="O272" t="s">
        <v>53</v>
      </c>
      <c r="P272" t="s">
        <v>54</v>
      </c>
      <c r="Q272">
        <v>766747</v>
      </c>
      <c r="R272" t="s">
        <v>97</v>
      </c>
      <c r="S272" t="s">
        <v>98</v>
      </c>
      <c r="T272" t="s">
        <v>57</v>
      </c>
      <c r="U272" s="1">
        <v>45748</v>
      </c>
      <c r="W272" s="1">
        <v>45992</v>
      </c>
      <c r="X272">
        <v>1</v>
      </c>
      <c r="Y272" t="s">
        <v>58</v>
      </c>
      <c r="Z272" s="2">
        <v>0</v>
      </c>
      <c r="AA272">
        <v>0</v>
      </c>
      <c r="AB272" t="s">
        <v>60</v>
      </c>
      <c r="AC272" t="s">
        <v>61</v>
      </c>
      <c r="AD272">
        <v>0</v>
      </c>
      <c r="AE272" s="2">
        <v>0</v>
      </c>
      <c r="AF272" s="2">
        <v>0</v>
      </c>
      <c r="AG272" s="3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45957</v>
      </c>
      <c r="B273" t="s">
        <v>48</v>
      </c>
      <c r="C273">
        <v>649163</v>
      </c>
      <c r="D273">
        <v>2028064454</v>
      </c>
      <c r="E273" t="s">
        <v>909</v>
      </c>
      <c r="F273" t="s">
        <v>312</v>
      </c>
      <c r="G273" t="s">
        <v>51</v>
      </c>
      <c r="H273" t="s">
        <v>81</v>
      </c>
      <c r="I273" s="2">
        <v>120.5</v>
      </c>
      <c r="J273" t="s">
        <v>59</v>
      </c>
      <c r="K273" s="3">
        <v>0.7</v>
      </c>
      <c r="L273" s="2">
        <v>0</v>
      </c>
      <c r="M273" s="2">
        <v>84.35</v>
      </c>
      <c r="N273" s="2">
        <v>84.35</v>
      </c>
      <c r="O273" t="s">
        <v>53</v>
      </c>
      <c r="P273" t="s">
        <v>54</v>
      </c>
      <c r="Q273">
        <v>823350</v>
      </c>
      <c r="R273" t="s">
        <v>70</v>
      </c>
      <c r="S273" t="s">
        <v>183</v>
      </c>
      <c r="T273" t="s">
        <v>57</v>
      </c>
      <c r="U273" s="1">
        <v>45748</v>
      </c>
      <c r="W273" s="1">
        <v>45992</v>
      </c>
      <c r="X273">
        <v>1</v>
      </c>
      <c r="Y273" t="s">
        <v>58</v>
      </c>
      <c r="Z273" s="2">
        <v>0</v>
      </c>
      <c r="AA273">
        <v>0</v>
      </c>
      <c r="AB273" t="s">
        <v>60</v>
      </c>
      <c r="AC273" t="s">
        <v>61</v>
      </c>
      <c r="AD273">
        <v>0</v>
      </c>
      <c r="AE273" s="2">
        <v>0</v>
      </c>
      <c r="AF273" s="2">
        <v>0</v>
      </c>
      <c r="AG273" s="3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45957</v>
      </c>
      <c r="B274" t="s">
        <v>48</v>
      </c>
      <c r="C274">
        <v>649163</v>
      </c>
      <c r="D274">
        <v>2028070290</v>
      </c>
      <c r="E274" t="s">
        <v>1030</v>
      </c>
      <c r="F274" t="s">
        <v>679</v>
      </c>
      <c r="G274" t="s">
        <v>51</v>
      </c>
      <c r="H274" t="s">
        <v>52</v>
      </c>
      <c r="I274" s="2">
        <v>95.41</v>
      </c>
      <c r="J274" t="s">
        <v>59</v>
      </c>
      <c r="K274" s="3">
        <v>0.7</v>
      </c>
      <c r="L274" s="2">
        <v>0</v>
      </c>
      <c r="M274" s="2">
        <v>66.790000000000006</v>
      </c>
      <c r="N274" s="2">
        <v>66.790000000000006</v>
      </c>
      <c r="O274" t="s">
        <v>53</v>
      </c>
      <c r="P274" t="s">
        <v>54</v>
      </c>
      <c r="Q274">
        <v>768887</v>
      </c>
      <c r="R274" t="s">
        <v>289</v>
      </c>
      <c r="S274" t="s">
        <v>290</v>
      </c>
      <c r="T274" t="s">
        <v>57</v>
      </c>
      <c r="U274" s="1">
        <v>45744</v>
      </c>
      <c r="W274" s="1">
        <v>45989</v>
      </c>
      <c r="X274">
        <v>1</v>
      </c>
      <c r="Y274" t="s">
        <v>58</v>
      </c>
      <c r="Z274" s="2">
        <v>0</v>
      </c>
      <c r="AA274">
        <v>0</v>
      </c>
      <c r="AB274" t="s">
        <v>60</v>
      </c>
      <c r="AC274" t="s">
        <v>61</v>
      </c>
      <c r="AD274">
        <v>0</v>
      </c>
      <c r="AE274" s="2">
        <v>0</v>
      </c>
      <c r="AF274" s="2">
        <v>0</v>
      </c>
      <c r="AG274" s="3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45957</v>
      </c>
      <c r="B275" t="s">
        <v>48</v>
      </c>
      <c r="C275">
        <v>649163</v>
      </c>
      <c r="D275">
        <v>2028076164</v>
      </c>
      <c r="E275" t="s">
        <v>910</v>
      </c>
      <c r="F275" t="s">
        <v>911</v>
      </c>
      <c r="G275" t="s">
        <v>51</v>
      </c>
      <c r="H275" t="s">
        <v>261</v>
      </c>
      <c r="I275" s="2">
        <v>101.99</v>
      </c>
      <c r="J275" t="s">
        <v>59</v>
      </c>
      <c r="K275" s="3">
        <v>0.7</v>
      </c>
      <c r="L275" s="2">
        <v>0</v>
      </c>
      <c r="M275" s="2">
        <v>71.39</v>
      </c>
      <c r="N275" s="2">
        <v>71.39</v>
      </c>
      <c r="O275" t="s">
        <v>53</v>
      </c>
      <c r="P275" t="s">
        <v>54</v>
      </c>
      <c r="Q275">
        <v>821015</v>
      </c>
      <c r="R275" t="s">
        <v>398</v>
      </c>
      <c r="S275" t="s">
        <v>399</v>
      </c>
      <c r="T275" t="s">
        <v>57</v>
      </c>
      <c r="U275" s="1">
        <v>45748</v>
      </c>
      <c r="W275" s="1">
        <v>45992</v>
      </c>
      <c r="X275">
        <v>1</v>
      </c>
      <c r="Y275" t="s">
        <v>58</v>
      </c>
      <c r="Z275" s="2">
        <v>0</v>
      </c>
      <c r="AA275">
        <v>0</v>
      </c>
      <c r="AB275" t="s">
        <v>60</v>
      </c>
      <c r="AC275" t="s">
        <v>61</v>
      </c>
      <c r="AD275">
        <v>0</v>
      </c>
      <c r="AE275" s="2">
        <v>0</v>
      </c>
      <c r="AF275" s="2">
        <v>0</v>
      </c>
      <c r="AG275" s="3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45957</v>
      </c>
      <c r="B276" t="s">
        <v>48</v>
      </c>
      <c r="C276">
        <v>649163</v>
      </c>
      <c r="D276">
        <v>2028112437</v>
      </c>
      <c r="E276" t="s">
        <v>914</v>
      </c>
      <c r="F276" t="s">
        <v>374</v>
      </c>
      <c r="G276" t="s">
        <v>51</v>
      </c>
      <c r="H276" t="s">
        <v>165</v>
      </c>
      <c r="I276" s="2">
        <v>140.6</v>
      </c>
      <c r="J276" t="s">
        <v>59</v>
      </c>
      <c r="K276" s="3">
        <v>0.7</v>
      </c>
      <c r="L276" s="2">
        <v>0</v>
      </c>
      <c r="M276" s="2">
        <v>98.42</v>
      </c>
      <c r="N276" s="2">
        <v>98.42</v>
      </c>
      <c r="O276" t="s">
        <v>53</v>
      </c>
      <c r="P276" t="s">
        <v>54</v>
      </c>
      <c r="Q276">
        <v>823350</v>
      </c>
      <c r="R276" t="s">
        <v>70</v>
      </c>
      <c r="S276" t="s">
        <v>183</v>
      </c>
      <c r="T276" t="s">
        <v>57</v>
      </c>
      <c r="U276" s="1">
        <v>45748</v>
      </c>
      <c r="W276" s="1">
        <v>45992</v>
      </c>
      <c r="X276">
        <v>1</v>
      </c>
      <c r="Y276" t="s">
        <v>58</v>
      </c>
      <c r="Z276" s="2">
        <v>0</v>
      </c>
      <c r="AA276">
        <v>0</v>
      </c>
      <c r="AB276" t="s">
        <v>60</v>
      </c>
      <c r="AC276" t="s">
        <v>61</v>
      </c>
      <c r="AD276">
        <v>0</v>
      </c>
      <c r="AE276" s="2">
        <v>0</v>
      </c>
      <c r="AF276" s="2">
        <v>0</v>
      </c>
      <c r="AG276" s="3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45957</v>
      </c>
      <c r="B277" t="s">
        <v>48</v>
      </c>
      <c r="C277">
        <v>649163</v>
      </c>
      <c r="D277">
        <v>2028134802</v>
      </c>
      <c r="E277" t="s">
        <v>56</v>
      </c>
      <c r="F277" t="s">
        <v>1031</v>
      </c>
      <c r="G277" t="s">
        <v>51</v>
      </c>
      <c r="H277" t="s">
        <v>563</v>
      </c>
      <c r="I277" s="2">
        <v>17.64</v>
      </c>
      <c r="J277" t="s">
        <v>59</v>
      </c>
      <c r="K277" s="3">
        <v>0.7</v>
      </c>
      <c r="L277" s="2">
        <v>0</v>
      </c>
      <c r="M277" s="2">
        <v>12.35</v>
      </c>
      <c r="N277" s="2">
        <v>12.35</v>
      </c>
      <c r="O277" t="s">
        <v>53</v>
      </c>
      <c r="P277" t="s">
        <v>54</v>
      </c>
      <c r="Q277">
        <v>767312</v>
      </c>
      <c r="R277" t="s">
        <v>237</v>
      </c>
      <c r="S277" t="s">
        <v>103</v>
      </c>
      <c r="T277" t="s">
        <v>57</v>
      </c>
      <c r="U277" s="1">
        <v>45748</v>
      </c>
      <c r="W277" s="1">
        <v>45992</v>
      </c>
      <c r="X277">
        <v>1</v>
      </c>
      <c r="Y277" t="s">
        <v>58</v>
      </c>
      <c r="Z277" s="2">
        <v>0</v>
      </c>
      <c r="AA277">
        <v>0</v>
      </c>
      <c r="AB277" t="s">
        <v>60</v>
      </c>
      <c r="AC277" t="s">
        <v>61</v>
      </c>
      <c r="AD277">
        <v>0</v>
      </c>
      <c r="AE277" s="2">
        <v>0</v>
      </c>
      <c r="AF277" s="2">
        <v>0</v>
      </c>
      <c r="AG277" s="3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45957</v>
      </c>
      <c r="B278" t="s">
        <v>48</v>
      </c>
      <c r="C278">
        <v>649163</v>
      </c>
      <c r="D278">
        <v>2028139274</v>
      </c>
      <c r="E278" t="s">
        <v>915</v>
      </c>
      <c r="F278" t="s">
        <v>312</v>
      </c>
      <c r="G278" t="s">
        <v>51</v>
      </c>
      <c r="H278" t="s">
        <v>261</v>
      </c>
      <c r="I278" s="2">
        <v>33.54</v>
      </c>
      <c r="J278" t="s">
        <v>59</v>
      </c>
      <c r="K278" s="3">
        <v>0.7</v>
      </c>
      <c r="L278" s="2">
        <v>0</v>
      </c>
      <c r="M278" s="2">
        <v>23.48</v>
      </c>
      <c r="N278" s="2">
        <v>23.48</v>
      </c>
      <c r="O278" t="s">
        <v>53</v>
      </c>
      <c r="P278" t="s">
        <v>54</v>
      </c>
      <c r="Q278">
        <v>822865</v>
      </c>
      <c r="R278" t="s">
        <v>469</v>
      </c>
      <c r="S278" t="s">
        <v>470</v>
      </c>
      <c r="T278" t="s">
        <v>57</v>
      </c>
      <c r="U278" s="1">
        <v>45748</v>
      </c>
      <c r="W278" s="1">
        <v>45992</v>
      </c>
      <c r="X278">
        <v>1</v>
      </c>
      <c r="Y278" t="s">
        <v>58</v>
      </c>
      <c r="Z278" s="2">
        <v>0</v>
      </c>
      <c r="AA278">
        <v>0</v>
      </c>
      <c r="AB278" t="s">
        <v>60</v>
      </c>
      <c r="AC278" t="s">
        <v>61</v>
      </c>
      <c r="AD278">
        <v>0</v>
      </c>
      <c r="AE278" s="2">
        <v>0</v>
      </c>
      <c r="AF278" s="2">
        <v>0</v>
      </c>
      <c r="AG278" s="3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45957</v>
      </c>
      <c r="B279" t="s">
        <v>48</v>
      </c>
      <c r="C279">
        <v>649163</v>
      </c>
      <c r="D279">
        <v>2028143928</v>
      </c>
      <c r="E279" t="s">
        <v>1032</v>
      </c>
      <c r="F279" t="s">
        <v>83</v>
      </c>
      <c r="G279" t="s">
        <v>51</v>
      </c>
      <c r="H279" t="s">
        <v>69</v>
      </c>
      <c r="I279" s="2">
        <v>198.36</v>
      </c>
      <c r="J279" t="s">
        <v>59</v>
      </c>
      <c r="K279" s="3">
        <v>0.7</v>
      </c>
      <c r="L279" s="2">
        <v>0</v>
      </c>
      <c r="M279" s="2">
        <v>138.85</v>
      </c>
      <c r="N279" s="2">
        <v>138.85</v>
      </c>
      <c r="O279" t="s">
        <v>53</v>
      </c>
      <c r="P279" t="s">
        <v>54</v>
      </c>
      <c r="Q279">
        <v>768271</v>
      </c>
      <c r="R279" t="s">
        <v>973</v>
      </c>
      <c r="S279" t="s">
        <v>413</v>
      </c>
      <c r="T279" t="s">
        <v>57</v>
      </c>
      <c r="U279" s="1">
        <v>45748</v>
      </c>
      <c r="W279" s="1">
        <v>45992</v>
      </c>
      <c r="X279">
        <v>1</v>
      </c>
      <c r="Y279" t="s">
        <v>58</v>
      </c>
      <c r="Z279" s="2">
        <v>0</v>
      </c>
      <c r="AA279">
        <v>0</v>
      </c>
      <c r="AB279" t="s">
        <v>60</v>
      </c>
      <c r="AC279" t="s">
        <v>61</v>
      </c>
      <c r="AD279">
        <v>0</v>
      </c>
      <c r="AE279" s="2">
        <v>0</v>
      </c>
      <c r="AF279" s="2">
        <v>0</v>
      </c>
      <c r="AG279" s="3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45957</v>
      </c>
      <c r="B280" t="s">
        <v>48</v>
      </c>
      <c r="C280">
        <v>649163</v>
      </c>
      <c r="D280">
        <v>2028149309</v>
      </c>
      <c r="E280" t="s">
        <v>626</v>
      </c>
      <c r="F280" t="s">
        <v>98</v>
      </c>
      <c r="G280" t="s">
        <v>51</v>
      </c>
      <c r="H280" t="s">
        <v>69</v>
      </c>
      <c r="I280" s="2">
        <v>54.22</v>
      </c>
      <c r="J280" t="s">
        <v>59</v>
      </c>
      <c r="K280" s="3">
        <v>0.7</v>
      </c>
      <c r="L280" s="2">
        <v>0</v>
      </c>
      <c r="M280" s="2">
        <v>37.950000000000003</v>
      </c>
      <c r="N280" s="2">
        <v>37.950000000000003</v>
      </c>
      <c r="O280" t="s">
        <v>53</v>
      </c>
      <c r="P280" t="s">
        <v>54</v>
      </c>
      <c r="Q280">
        <v>821015</v>
      </c>
      <c r="R280" t="s">
        <v>398</v>
      </c>
      <c r="S280" t="s">
        <v>399</v>
      </c>
      <c r="T280" t="s">
        <v>57</v>
      </c>
      <c r="U280" s="1">
        <v>45748</v>
      </c>
      <c r="W280" s="1">
        <v>45992</v>
      </c>
      <c r="X280">
        <v>1</v>
      </c>
      <c r="Y280" t="s">
        <v>58</v>
      </c>
      <c r="Z280" s="2">
        <v>0</v>
      </c>
      <c r="AA280">
        <v>0</v>
      </c>
      <c r="AB280" t="s">
        <v>60</v>
      </c>
      <c r="AC280" t="s">
        <v>61</v>
      </c>
      <c r="AD280">
        <v>0</v>
      </c>
      <c r="AE280" s="2">
        <v>0</v>
      </c>
      <c r="AF280" s="2">
        <v>0</v>
      </c>
      <c r="AG280" s="3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45957</v>
      </c>
      <c r="B281" t="s">
        <v>48</v>
      </c>
      <c r="C281">
        <v>649163</v>
      </c>
      <c r="D281">
        <v>2028149729</v>
      </c>
      <c r="E281" t="s">
        <v>916</v>
      </c>
      <c r="F281" t="s">
        <v>917</v>
      </c>
      <c r="G281" t="s">
        <v>51</v>
      </c>
      <c r="H281" t="s">
        <v>52</v>
      </c>
      <c r="I281" s="2">
        <v>25.73</v>
      </c>
      <c r="J281" t="s">
        <v>59</v>
      </c>
      <c r="K281" s="3">
        <v>0.7</v>
      </c>
      <c r="L281" s="2">
        <v>0</v>
      </c>
      <c r="M281" s="2">
        <v>18.010000000000002</v>
      </c>
      <c r="N281" s="2">
        <v>18.010000000000002</v>
      </c>
      <c r="O281" t="s">
        <v>53</v>
      </c>
      <c r="P281" t="s">
        <v>119</v>
      </c>
      <c r="Q281">
        <v>650218</v>
      </c>
      <c r="R281" t="s">
        <v>357</v>
      </c>
      <c r="S281" t="s">
        <v>358</v>
      </c>
      <c r="T281" t="s">
        <v>57</v>
      </c>
      <c r="U281" s="1">
        <v>45748</v>
      </c>
      <c r="W281" s="1">
        <v>45992</v>
      </c>
      <c r="X281">
        <v>1</v>
      </c>
      <c r="Y281" t="s">
        <v>58</v>
      </c>
      <c r="Z281" s="2">
        <v>0</v>
      </c>
      <c r="AA281">
        <v>0</v>
      </c>
      <c r="AB281" t="s">
        <v>60</v>
      </c>
      <c r="AC281" t="s">
        <v>61</v>
      </c>
      <c r="AD281">
        <v>0</v>
      </c>
      <c r="AE281" s="2">
        <v>0</v>
      </c>
      <c r="AF281" s="2">
        <v>0</v>
      </c>
      <c r="AG281" s="3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45957</v>
      </c>
      <c r="B282" t="s">
        <v>48</v>
      </c>
      <c r="C282">
        <v>649163</v>
      </c>
      <c r="D282">
        <v>2028152220</v>
      </c>
      <c r="E282" t="s">
        <v>1033</v>
      </c>
      <c r="F282" t="s">
        <v>574</v>
      </c>
      <c r="G282" t="s">
        <v>51</v>
      </c>
      <c r="H282" t="s">
        <v>52</v>
      </c>
      <c r="I282" s="2">
        <v>33.909999999999997</v>
      </c>
      <c r="J282" t="s">
        <v>59</v>
      </c>
      <c r="K282" s="3">
        <v>0.7</v>
      </c>
      <c r="L282" s="2">
        <v>0</v>
      </c>
      <c r="M282" s="2">
        <v>23.74</v>
      </c>
      <c r="N282" s="2">
        <v>23.74</v>
      </c>
      <c r="O282" t="s">
        <v>53</v>
      </c>
      <c r="P282" t="s">
        <v>54</v>
      </c>
      <c r="Q282">
        <v>767312</v>
      </c>
      <c r="R282" t="s">
        <v>237</v>
      </c>
      <c r="S282" t="s">
        <v>103</v>
      </c>
      <c r="T282" t="s">
        <v>57</v>
      </c>
      <c r="U282" s="1">
        <v>45748</v>
      </c>
      <c r="W282" s="1">
        <v>45992</v>
      </c>
      <c r="X282">
        <v>1</v>
      </c>
      <c r="Y282" t="s">
        <v>58</v>
      </c>
      <c r="Z282" s="2">
        <v>0</v>
      </c>
      <c r="AA282">
        <v>0</v>
      </c>
      <c r="AB282" t="s">
        <v>60</v>
      </c>
      <c r="AC282" t="s">
        <v>61</v>
      </c>
      <c r="AD282">
        <v>0</v>
      </c>
      <c r="AE282" s="2">
        <v>0</v>
      </c>
      <c r="AF282" s="2">
        <v>0</v>
      </c>
      <c r="AG282" s="3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45957</v>
      </c>
      <c r="B283" t="s">
        <v>48</v>
      </c>
      <c r="C283">
        <v>649163</v>
      </c>
      <c r="D283">
        <v>2028152248</v>
      </c>
      <c r="E283" t="s">
        <v>1034</v>
      </c>
      <c r="F283" t="s">
        <v>1035</v>
      </c>
      <c r="G283" t="s">
        <v>51</v>
      </c>
      <c r="H283" t="s">
        <v>52</v>
      </c>
      <c r="I283" s="2">
        <v>63.34</v>
      </c>
      <c r="J283" t="s">
        <v>59</v>
      </c>
      <c r="K283" s="3">
        <v>0.7</v>
      </c>
      <c r="L283" s="2">
        <v>0</v>
      </c>
      <c r="M283" s="2">
        <v>44.34</v>
      </c>
      <c r="N283" s="2">
        <v>44.34</v>
      </c>
      <c r="O283" t="s">
        <v>53</v>
      </c>
      <c r="P283" t="s">
        <v>54</v>
      </c>
      <c r="Q283">
        <v>767312</v>
      </c>
      <c r="R283" t="s">
        <v>237</v>
      </c>
      <c r="S283" t="s">
        <v>103</v>
      </c>
      <c r="T283" t="s">
        <v>57</v>
      </c>
      <c r="U283" s="1">
        <v>45748</v>
      </c>
      <c r="W283" s="1">
        <v>45992</v>
      </c>
      <c r="X283">
        <v>1</v>
      </c>
      <c r="Y283" t="s">
        <v>58</v>
      </c>
      <c r="Z283" s="2">
        <v>0</v>
      </c>
      <c r="AA283">
        <v>0</v>
      </c>
      <c r="AB283" t="s">
        <v>60</v>
      </c>
      <c r="AC283" t="s">
        <v>61</v>
      </c>
      <c r="AD283">
        <v>0</v>
      </c>
      <c r="AE283" s="2">
        <v>0</v>
      </c>
      <c r="AF283" s="2">
        <v>0</v>
      </c>
      <c r="AG283" s="3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45957</v>
      </c>
      <c r="B284" t="s">
        <v>48</v>
      </c>
      <c r="C284">
        <v>649163</v>
      </c>
      <c r="D284">
        <v>2028448242</v>
      </c>
      <c r="E284" t="s">
        <v>536</v>
      </c>
      <c r="F284" t="s">
        <v>537</v>
      </c>
      <c r="G284" t="s">
        <v>51</v>
      </c>
      <c r="H284" t="s">
        <v>179</v>
      </c>
      <c r="I284" s="2">
        <v>45.3</v>
      </c>
      <c r="J284" t="s">
        <v>59</v>
      </c>
      <c r="K284" s="3">
        <v>0.7</v>
      </c>
      <c r="L284" s="2">
        <v>0</v>
      </c>
      <c r="M284" s="2">
        <v>31.71</v>
      </c>
      <c r="N284" s="2">
        <v>31.71</v>
      </c>
      <c r="O284" t="s">
        <v>53</v>
      </c>
      <c r="P284" t="s">
        <v>54</v>
      </c>
      <c r="Q284">
        <v>673059</v>
      </c>
      <c r="R284" t="s">
        <v>55</v>
      </c>
      <c r="S284" t="s">
        <v>56</v>
      </c>
      <c r="T284" t="s">
        <v>57</v>
      </c>
      <c r="U284" s="1">
        <v>45809</v>
      </c>
      <c r="W284" s="1">
        <v>45992</v>
      </c>
      <c r="X284">
        <v>1</v>
      </c>
      <c r="Y284" t="s">
        <v>58</v>
      </c>
      <c r="Z284" s="2">
        <v>0</v>
      </c>
      <c r="AA284">
        <v>0</v>
      </c>
      <c r="AB284" t="s">
        <v>60</v>
      </c>
      <c r="AC284" t="s">
        <v>61</v>
      </c>
      <c r="AD284">
        <v>0</v>
      </c>
      <c r="AE284" s="2">
        <v>0</v>
      </c>
      <c r="AF284" s="2">
        <v>0</v>
      </c>
      <c r="AG284" s="3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45957</v>
      </c>
      <c r="B285" t="s">
        <v>48</v>
      </c>
      <c r="C285">
        <v>649163</v>
      </c>
      <c r="D285">
        <v>2028448243</v>
      </c>
      <c r="E285" t="s">
        <v>536</v>
      </c>
      <c r="F285" t="s">
        <v>537</v>
      </c>
      <c r="G285" t="s">
        <v>51</v>
      </c>
      <c r="H285" t="s">
        <v>179</v>
      </c>
      <c r="I285" s="2">
        <v>8.3699999999999992</v>
      </c>
      <c r="J285" t="s">
        <v>59</v>
      </c>
      <c r="K285" s="3">
        <v>0.7</v>
      </c>
      <c r="L285" s="2">
        <v>0</v>
      </c>
      <c r="M285" s="2">
        <v>5.86</v>
      </c>
      <c r="N285" s="2">
        <v>5.86</v>
      </c>
      <c r="O285" t="s">
        <v>53</v>
      </c>
      <c r="P285" t="s">
        <v>119</v>
      </c>
      <c r="Q285">
        <v>673059</v>
      </c>
      <c r="R285" t="s">
        <v>55</v>
      </c>
      <c r="S285" t="s">
        <v>56</v>
      </c>
      <c r="T285" t="s">
        <v>57</v>
      </c>
      <c r="U285" s="1">
        <v>45809</v>
      </c>
      <c r="W285" s="1">
        <v>45992</v>
      </c>
      <c r="X285">
        <v>1</v>
      </c>
      <c r="Y285" t="s">
        <v>58</v>
      </c>
      <c r="Z285" s="2">
        <v>0</v>
      </c>
      <c r="AA285">
        <v>0</v>
      </c>
      <c r="AB285" t="s">
        <v>60</v>
      </c>
      <c r="AC285" t="s">
        <v>61</v>
      </c>
      <c r="AD285">
        <v>0</v>
      </c>
      <c r="AE285" s="2">
        <v>0</v>
      </c>
      <c r="AF285" s="2">
        <v>0</v>
      </c>
      <c r="AG285" s="3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45957</v>
      </c>
      <c r="B286" t="s">
        <v>48</v>
      </c>
      <c r="C286">
        <v>649163</v>
      </c>
      <c r="D286">
        <v>2028461882</v>
      </c>
      <c r="E286" t="s">
        <v>627</v>
      </c>
      <c r="F286" t="s">
        <v>628</v>
      </c>
      <c r="G286" t="s">
        <v>51</v>
      </c>
      <c r="H286" t="s">
        <v>145</v>
      </c>
      <c r="I286" s="2">
        <v>58.94</v>
      </c>
      <c r="J286" t="s">
        <v>59</v>
      </c>
      <c r="K286" s="3">
        <v>0.7</v>
      </c>
      <c r="L286" s="2">
        <v>0</v>
      </c>
      <c r="M286" s="2">
        <v>41.26</v>
      </c>
      <c r="N286" s="2">
        <v>41.26</v>
      </c>
      <c r="O286" t="s">
        <v>53</v>
      </c>
      <c r="P286" t="s">
        <v>54</v>
      </c>
      <c r="Q286">
        <v>823350</v>
      </c>
      <c r="R286" t="s">
        <v>70</v>
      </c>
      <c r="S286" t="s">
        <v>183</v>
      </c>
      <c r="T286" t="s">
        <v>57</v>
      </c>
      <c r="U286" s="1">
        <v>45772</v>
      </c>
      <c r="W286" s="1">
        <v>45986</v>
      </c>
      <c r="X286">
        <v>1</v>
      </c>
      <c r="Y286" t="s">
        <v>58</v>
      </c>
      <c r="Z286" s="2">
        <v>0</v>
      </c>
      <c r="AA286">
        <v>0</v>
      </c>
      <c r="AB286" t="s">
        <v>60</v>
      </c>
      <c r="AC286" t="s">
        <v>61</v>
      </c>
      <c r="AD286">
        <v>0</v>
      </c>
      <c r="AE286" s="2">
        <v>0</v>
      </c>
      <c r="AF286" s="2">
        <v>0</v>
      </c>
      <c r="AG286" s="3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45957</v>
      </c>
      <c r="B287" t="s">
        <v>48</v>
      </c>
      <c r="C287">
        <v>649163</v>
      </c>
      <c r="D287">
        <v>2028498799</v>
      </c>
      <c r="E287" t="s">
        <v>629</v>
      </c>
      <c r="F287" t="s">
        <v>232</v>
      </c>
      <c r="G287" t="s">
        <v>51</v>
      </c>
      <c r="H287" t="s">
        <v>179</v>
      </c>
      <c r="I287" s="2">
        <v>30.58</v>
      </c>
      <c r="J287" t="s">
        <v>59</v>
      </c>
      <c r="K287" s="3">
        <v>0.7</v>
      </c>
      <c r="L287" s="2">
        <v>0</v>
      </c>
      <c r="M287" s="2">
        <v>21.41</v>
      </c>
      <c r="N287" s="2">
        <v>21.41</v>
      </c>
      <c r="O287" t="s">
        <v>53</v>
      </c>
      <c r="P287" t="s">
        <v>54</v>
      </c>
      <c r="Q287">
        <v>823350</v>
      </c>
      <c r="R287" t="s">
        <v>70</v>
      </c>
      <c r="S287" t="s">
        <v>183</v>
      </c>
      <c r="T287" t="s">
        <v>57</v>
      </c>
      <c r="U287" s="1">
        <v>45772</v>
      </c>
      <c r="W287" s="1">
        <v>45986</v>
      </c>
      <c r="X287">
        <v>1</v>
      </c>
      <c r="Y287" t="s">
        <v>58</v>
      </c>
      <c r="Z287" s="2">
        <v>0</v>
      </c>
      <c r="AA287">
        <v>0</v>
      </c>
      <c r="AB287" t="s">
        <v>60</v>
      </c>
      <c r="AC287" t="s">
        <v>61</v>
      </c>
      <c r="AD287">
        <v>0</v>
      </c>
      <c r="AE287" s="2">
        <v>0</v>
      </c>
      <c r="AF287" s="2">
        <v>0</v>
      </c>
      <c r="AG287" s="3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45957</v>
      </c>
      <c r="B288" t="s">
        <v>48</v>
      </c>
      <c r="C288">
        <v>649163</v>
      </c>
      <c r="D288">
        <v>2028565271</v>
      </c>
      <c r="E288" t="s">
        <v>538</v>
      </c>
      <c r="F288" t="s">
        <v>539</v>
      </c>
      <c r="G288" t="s">
        <v>51</v>
      </c>
      <c r="H288" t="s">
        <v>190</v>
      </c>
      <c r="I288" s="2">
        <v>24.78</v>
      </c>
      <c r="J288" t="s">
        <v>59</v>
      </c>
      <c r="K288" s="3">
        <v>0.7</v>
      </c>
      <c r="L288" s="2">
        <v>17.350000000000001</v>
      </c>
      <c r="M288" s="2">
        <v>0</v>
      </c>
      <c r="N288" s="2">
        <v>0</v>
      </c>
      <c r="O288" t="s">
        <v>53</v>
      </c>
      <c r="P288" t="s">
        <v>54</v>
      </c>
      <c r="Q288">
        <v>673059</v>
      </c>
      <c r="R288" t="s">
        <v>55</v>
      </c>
      <c r="S288" t="s">
        <v>56</v>
      </c>
      <c r="T288" t="s">
        <v>57</v>
      </c>
      <c r="U288" s="1">
        <v>45809</v>
      </c>
      <c r="W288" s="1">
        <v>45992</v>
      </c>
      <c r="X288">
        <v>1</v>
      </c>
      <c r="Y288" t="s">
        <v>58</v>
      </c>
      <c r="Z288" s="2">
        <v>0</v>
      </c>
      <c r="AA288">
        <v>0</v>
      </c>
      <c r="AB288" t="s">
        <v>60</v>
      </c>
      <c r="AC288" t="s">
        <v>61</v>
      </c>
      <c r="AD288">
        <v>0</v>
      </c>
      <c r="AE288" s="2">
        <v>0</v>
      </c>
      <c r="AF288" s="2">
        <v>0</v>
      </c>
      <c r="AG288" s="3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45957</v>
      </c>
      <c r="B289" t="s">
        <v>48</v>
      </c>
      <c r="C289">
        <v>649163</v>
      </c>
      <c r="D289">
        <v>2028627543</v>
      </c>
      <c r="E289" t="s">
        <v>689</v>
      </c>
      <c r="F289" t="s">
        <v>690</v>
      </c>
      <c r="G289" t="s">
        <v>51</v>
      </c>
      <c r="H289" t="s">
        <v>145</v>
      </c>
      <c r="I289" s="2">
        <v>11.5</v>
      </c>
      <c r="J289" t="s">
        <v>59</v>
      </c>
      <c r="K289" s="3">
        <v>0.7</v>
      </c>
      <c r="L289" s="2">
        <v>0</v>
      </c>
      <c r="M289" s="2">
        <v>8.0500000000000007</v>
      </c>
      <c r="N289" s="2">
        <v>8.0500000000000007</v>
      </c>
      <c r="O289" t="s">
        <v>53</v>
      </c>
      <c r="P289" t="s">
        <v>54</v>
      </c>
      <c r="Q289">
        <v>820873</v>
      </c>
      <c r="R289" t="s">
        <v>447</v>
      </c>
      <c r="S289" t="s">
        <v>448</v>
      </c>
      <c r="T289" t="s">
        <v>57</v>
      </c>
      <c r="U289" s="1">
        <v>45774</v>
      </c>
      <c r="W289" s="1">
        <v>45988</v>
      </c>
      <c r="X289">
        <v>1</v>
      </c>
      <c r="Y289" t="s">
        <v>58</v>
      </c>
      <c r="Z289" s="2">
        <v>0</v>
      </c>
      <c r="AA289">
        <v>0</v>
      </c>
      <c r="AB289" t="s">
        <v>60</v>
      </c>
      <c r="AC289" t="s">
        <v>61</v>
      </c>
      <c r="AD289">
        <v>0</v>
      </c>
      <c r="AE289" s="2">
        <v>0</v>
      </c>
      <c r="AF289" s="2">
        <v>0</v>
      </c>
      <c r="AG289" s="3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45957</v>
      </c>
      <c r="B290" t="s">
        <v>48</v>
      </c>
      <c r="C290">
        <v>649163</v>
      </c>
      <c r="D290">
        <v>2028645330</v>
      </c>
      <c r="E290" t="s">
        <v>919</v>
      </c>
      <c r="F290" t="s">
        <v>110</v>
      </c>
      <c r="G290" t="s">
        <v>51</v>
      </c>
      <c r="H290" t="s">
        <v>52</v>
      </c>
      <c r="I290" s="2">
        <v>48.54</v>
      </c>
      <c r="J290" t="s">
        <v>59</v>
      </c>
      <c r="K290" s="3">
        <v>0.7</v>
      </c>
      <c r="L290" s="2">
        <v>0</v>
      </c>
      <c r="M290" s="2">
        <v>33.979999999999997</v>
      </c>
      <c r="N290" s="2">
        <v>33.979999999999997</v>
      </c>
      <c r="O290" t="s">
        <v>53</v>
      </c>
      <c r="P290" t="s">
        <v>54</v>
      </c>
      <c r="Q290">
        <v>822865</v>
      </c>
      <c r="R290" t="s">
        <v>469</v>
      </c>
      <c r="S290" t="s">
        <v>470</v>
      </c>
      <c r="T290" t="s">
        <v>57</v>
      </c>
      <c r="U290" s="1">
        <v>45776</v>
      </c>
      <c r="W290" s="1">
        <v>45990</v>
      </c>
      <c r="X290">
        <v>1</v>
      </c>
      <c r="Y290" t="s">
        <v>58</v>
      </c>
      <c r="Z290" s="2">
        <v>0</v>
      </c>
      <c r="AA290">
        <v>0</v>
      </c>
      <c r="AB290" t="s">
        <v>60</v>
      </c>
      <c r="AC290" t="s">
        <v>61</v>
      </c>
      <c r="AD290">
        <v>0</v>
      </c>
      <c r="AE290" s="2">
        <v>0</v>
      </c>
      <c r="AF290" s="2">
        <v>0</v>
      </c>
      <c r="AG290" s="3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45957</v>
      </c>
      <c r="B291" t="s">
        <v>48</v>
      </c>
      <c r="C291">
        <v>649163</v>
      </c>
      <c r="D291">
        <v>2028654838</v>
      </c>
      <c r="E291" t="s">
        <v>920</v>
      </c>
      <c r="F291" t="s">
        <v>921</v>
      </c>
      <c r="G291" t="s">
        <v>51</v>
      </c>
      <c r="H291" t="s">
        <v>52</v>
      </c>
      <c r="I291" s="2">
        <v>55.61</v>
      </c>
      <c r="J291" t="s">
        <v>59</v>
      </c>
      <c r="K291" s="3">
        <v>0.7</v>
      </c>
      <c r="L291" s="2">
        <v>0</v>
      </c>
      <c r="M291" s="2">
        <v>38.93</v>
      </c>
      <c r="N291" s="2">
        <v>38.93</v>
      </c>
      <c r="O291" t="s">
        <v>53</v>
      </c>
      <c r="P291" t="s">
        <v>54</v>
      </c>
      <c r="Q291">
        <v>823350</v>
      </c>
      <c r="R291" t="s">
        <v>70</v>
      </c>
      <c r="S291" t="s">
        <v>183</v>
      </c>
      <c r="T291" t="s">
        <v>57</v>
      </c>
      <c r="U291" s="1">
        <v>45776</v>
      </c>
      <c r="W291" s="1">
        <v>45990</v>
      </c>
      <c r="X291">
        <v>1</v>
      </c>
      <c r="Y291" t="s">
        <v>58</v>
      </c>
      <c r="Z291" s="2">
        <v>0</v>
      </c>
      <c r="AA291">
        <v>0</v>
      </c>
      <c r="AB291" t="s">
        <v>60</v>
      </c>
      <c r="AC291" t="s">
        <v>61</v>
      </c>
      <c r="AD291">
        <v>0</v>
      </c>
      <c r="AE291" s="2">
        <v>0</v>
      </c>
      <c r="AF291" s="2">
        <v>0</v>
      </c>
      <c r="AG291" s="3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45957</v>
      </c>
      <c r="B292" t="s">
        <v>48</v>
      </c>
      <c r="C292">
        <v>649163</v>
      </c>
      <c r="D292">
        <v>2028663282</v>
      </c>
      <c r="E292" t="s">
        <v>1038</v>
      </c>
      <c r="F292" t="s">
        <v>413</v>
      </c>
      <c r="G292" t="s">
        <v>51</v>
      </c>
      <c r="H292" t="s">
        <v>69</v>
      </c>
      <c r="I292" s="2">
        <v>27.5</v>
      </c>
      <c r="J292" t="s">
        <v>59</v>
      </c>
      <c r="K292" s="3">
        <v>0.7</v>
      </c>
      <c r="L292" s="2">
        <v>19.25</v>
      </c>
      <c r="M292" s="2">
        <v>0</v>
      </c>
      <c r="N292" s="2">
        <v>0</v>
      </c>
      <c r="O292" t="s">
        <v>53</v>
      </c>
      <c r="P292" t="s">
        <v>54</v>
      </c>
      <c r="Q292">
        <v>673059</v>
      </c>
      <c r="R292" t="s">
        <v>55</v>
      </c>
      <c r="S292" t="s">
        <v>56</v>
      </c>
      <c r="T292" t="s">
        <v>57</v>
      </c>
      <c r="U292" s="1">
        <v>45809</v>
      </c>
      <c r="W292" s="1">
        <v>45992</v>
      </c>
      <c r="X292">
        <v>1</v>
      </c>
      <c r="Y292" t="s">
        <v>58</v>
      </c>
      <c r="Z292" s="2">
        <v>0</v>
      </c>
      <c r="AA292">
        <v>0</v>
      </c>
      <c r="AB292" t="s">
        <v>60</v>
      </c>
      <c r="AC292" t="s">
        <v>61</v>
      </c>
      <c r="AD292">
        <v>0</v>
      </c>
      <c r="AE292" s="2">
        <v>0</v>
      </c>
      <c r="AF292" s="2">
        <v>0</v>
      </c>
      <c r="AG292" s="3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45957</v>
      </c>
      <c r="B293" t="s">
        <v>48</v>
      </c>
      <c r="C293">
        <v>649163</v>
      </c>
      <c r="D293">
        <v>2028673527</v>
      </c>
      <c r="E293" t="s">
        <v>922</v>
      </c>
      <c r="F293" t="s">
        <v>923</v>
      </c>
      <c r="G293" t="s">
        <v>51</v>
      </c>
      <c r="H293" t="s">
        <v>69</v>
      </c>
      <c r="I293" s="2">
        <v>117.6</v>
      </c>
      <c r="J293" t="s">
        <v>59</v>
      </c>
      <c r="K293" s="3">
        <v>0.7</v>
      </c>
      <c r="L293" s="2">
        <v>82.32</v>
      </c>
      <c r="M293" s="2">
        <v>0</v>
      </c>
      <c r="N293" s="2">
        <v>0</v>
      </c>
      <c r="O293" t="s">
        <v>53</v>
      </c>
      <c r="P293" t="s">
        <v>54</v>
      </c>
      <c r="Q293">
        <v>840313</v>
      </c>
      <c r="R293" t="s">
        <v>159</v>
      </c>
      <c r="S293" t="s">
        <v>160</v>
      </c>
      <c r="T293" t="s">
        <v>57</v>
      </c>
      <c r="U293" s="1">
        <v>45809</v>
      </c>
      <c r="W293" s="1">
        <v>45992</v>
      </c>
      <c r="X293">
        <v>1</v>
      </c>
      <c r="Y293" t="s">
        <v>58</v>
      </c>
      <c r="Z293" s="2">
        <v>0</v>
      </c>
      <c r="AA293">
        <v>0</v>
      </c>
      <c r="AB293" t="s">
        <v>60</v>
      </c>
      <c r="AC293" t="s">
        <v>61</v>
      </c>
      <c r="AD293">
        <v>0</v>
      </c>
      <c r="AE293" s="2">
        <v>0</v>
      </c>
      <c r="AF293" s="2">
        <v>0</v>
      </c>
      <c r="AG293" s="3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45957</v>
      </c>
      <c r="B294" t="s">
        <v>48</v>
      </c>
      <c r="C294">
        <v>649163</v>
      </c>
      <c r="D294">
        <v>2028695301</v>
      </c>
      <c r="E294" t="s">
        <v>924</v>
      </c>
      <c r="F294" t="s">
        <v>568</v>
      </c>
      <c r="G294" t="s">
        <v>51</v>
      </c>
      <c r="H294" t="s">
        <v>69</v>
      </c>
      <c r="I294" s="2">
        <v>61.08</v>
      </c>
      <c r="J294" t="s">
        <v>59</v>
      </c>
      <c r="K294" s="3">
        <v>0.7</v>
      </c>
      <c r="L294" s="2">
        <v>0</v>
      </c>
      <c r="M294" s="2">
        <v>42.76</v>
      </c>
      <c r="N294" s="2">
        <v>42.76</v>
      </c>
      <c r="O294" t="s">
        <v>53</v>
      </c>
      <c r="P294" t="s">
        <v>54</v>
      </c>
      <c r="Q294">
        <v>824062</v>
      </c>
      <c r="R294" t="s">
        <v>74</v>
      </c>
      <c r="S294" t="s">
        <v>75</v>
      </c>
      <c r="T294" t="s">
        <v>57</v>
      </c>
      <c r="U294" s="1">
        <v>45809</v>
      </c>
      <c r="W294" s="1">
        <v>45992</v>
      </c>
      <c r="X294">
        <v>1</v>
      </c>
      <c r="Y294" t="s">
        <v>58</v>
      </c>
      <c r="Z294" s="2">
        <v>0</v>
      </c>
      <c r="AA294">
        <v>0</v>
      </c>
      <c r="AB294" t="s">
        <v>60</v>
      </c>
      <c r="AC294" t="s">
        <v>61</v>
      </c>
      <c r="AD294">
        <v>0</v>
      </c>
      <c r="AE294" s="2">
        <v>0</v>
      </c>
      <c r="AF294" s="2">
        <v>0</v>
      </c>
      <c r="AG294" s="3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45957</v>
      </c>
      <c r="B295" t="s">
        <v>48</v>
      </c>
      <c r="C295">
        <v>649163</v>
      </c>
      <c r="D295">
        <v>2028736518</v>
      </c>
      <c r="E295" t="s">
        <v>925</v>
      </c>
      <c r="F295" t="s">
        <v>926</v>
      </c>
      <c r="G295" t="s">
        <v>51</v>
      </c>
      <c r="H295" t="s">
        <v>69</v>
      </c>
      <c r="I295" s="2">
        <v>37.18</v>
      </c>
      <c r="J295" t="s">
        <v>59</v>
      </c>
      <c r="K295" s="3">
        <v>0.7</v>
      </c>
      <c r="L295" s="2">
        <v>26.03</v>
      </c>
      <c r="M295" s="2">
        <v>0</v>
      </c>
      <c r="N295" s="2">
        <v>0</v>
      </c>
      <c r="O295" t="s">
        <v>53</v>
      </c>
      <c r="P295" t="s">
        <v>54</v>
      </c>
      <c r="Q295">
        <v>824062</v>
      </c>
      <c r="R295" t="s">
        <v>74</v>
      </c>
      <c r="S295" t="s">
        <v>75</v>
      </c>
      <c r="T295" t="s">
        <v>57</v>
      </c>
      <c r="U295" s="1">
        <v>45809</v>
      </c>
      <c r="W295" s="1">
        <v>45992</v>
      </c>
      <c r="X295">
        <v>1</v>
      </c>
      <c r="Y295" t="s">
        <v>58</v>
      </c>
      <c r="Z295" s="2">
        <v>0</v>
      </c>
      <c r="AA295">
        <v>0</v>
      </c>
      <c r="AB295" t="s">
        <v>60</v>
      </c>
      <c r="AC295" t="s">
        <v>61</v>
      </c>
      <c r="AD295">
        <v>0</v>
      </c>
      <c r="AE295" s="2">
        <v>0</v>
      </c>
      <c r="AF295" s="2">
        <v>0</v>
      </c>
      <c r="AG295" s="3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45957</v>
      </c>
      <c r="B296" t="s">
        <v>48</v>
      </c>
      <c r="C296">
        <v>649163</v>
      </c>
      <c r="D296">
        <v>2028769445</v>
      </c>
      <c r="E296" t="s">
        <v>630</v>
      </c>
      <c r="F296" t="s">
        <v>631</v>
      </c>
      <c r="G296" t="s">
        <v>51</v>
      </c>
      <c r="H296" t="s">
        <v>118</v>
      </c>
      <c r="I296" s="2">
        <v>24.61</v>
      </c>
      <c r="J296" t="s">
        <v>59</v>
      </c>
      <c r="K296" s="3">
        <v>0.7</v>
      </c>
      <c r="L296" s="2">
        <v>0</v>
      </c>
      <c r="M296" s="2">
        <v>17.23</v>
      </c>
      <c r="N296" s="2">
        <v>17.23</v>
      </c>
      <c r="O296" t="s">
        <v>53</v>
      </c>
      <c r="P296" t="s">
        <v>119</v>
      </c>
      <c r="Q296">
        <v>823068</v>
      </c>
      <c r="R296" t="s">
        <v>120</v>
      </c>
      <c r="S296" t="s">
        <v>121</v>
      </c>
      <c r="T296" t="s">
        <v>57</v>
      </c>
      <c r="U296" s="1">
        <v>45809</v>
      </c>
      <c r="W296" s="1">
        <v>45992</v>
      </c>
      <c r="X296">
        <v>1</v>
      </c>
      <c r="Y296" t="s">
        <v>58</v>
      </c>
      <c r="Z296" s="2">
        <v>0</v>
      </c>
      <c r="AA296">
        <v>0</v>
      </c>
      <c r="AB296" t="s">
        <v>60</v>
      </c>
      <c r="AC296" t="s">
        <v>61</v>
      </c>
      <c r="AD296">
        <v>0</v>
      </c>
      <c r="AE296" s="2">
        <v>0</v>
      </c>
      <c r="AF296" s="2">
        <v>0</v>
      </c>
      <c r="AG296" s="3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45957</v>
      </c>
      <c r="B297" t="s">
        <v>48</v>
      </c>
      <c r="C297">
        <v>649163</v>
      </c>
      <c r="D297">
        <v>2028773696</v>
      </c>
      <c r="E297" t="s">
        <v>542</v>
      </c>
      <c r="F297" t="s">
        <v>632</v>
      </c>
      <c r="G297" t="s">
        <v>51</v>
      </c>
      <c r="H297" t="s">
        <v>179</v>
      </c>
      <c r="I297" s="2">
        <v>28.4</v>
      </c>
      <c r="J297" t="s">
        <v>59</v>
      </c>
      <c r="K297" s="3">
        <v>0.7</v>
      </c>
      <c r="L297" s="2">
        <v>0</v>
      </c>
      <c r="M297" s="2">
        <v>19.88</v>
      </c>
      <c r="N297" s="2">
        <v>19.88</v>
      </c>
      <c r="O297" t="s">
        <v>53</v>
      </c>
      <c r="P297" t="s">
        <v>54</v>
      </c>
      <c r="Q297">
        <v>673059</v>
      </c>
      <c r="R297" t="s">
        <v>55</v>
      </c>
      <c r="S297" t="s">
        <v>56</v>
      </c>
      <c r="T297" t="s">
        <v>57</v>
      </c>
      <c r="U297" s="1">
        <v>45809</v>
      </c>
      <c r="W297" s="1">
        <v>45992</v>
      </c>
      <c r="X297">
        <v>1</v>
      </c>
      <c r="Y297" t="s">
        <v>58</v>
      </c>
      <c r="Z297" s="2">
        <v>0</v>
      </c>
      <c r="AA297">
        <v>0</v>
      </c>
      <c r="AB297" t="s">
        <v>60</v>
      </c>
      <c r="AC297" t="s">
        <v>61</v>
      </c>
      <c r="AD297">
        <v>0</v>
      </c>
      <c r="AE297" s="2">
        <v>0</v>
      </c>
      <c r="AF297" s="2">
        <v>0</v>
      </c>
      <c r="AG297" s="3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45957</v>
      </c>
      <c r="B298" t="s">
        <v>48</v>
      </c>
      <c r="C298">
        <v>649163</v>
      </c>
      <c r="D298">
        <v>2028773697</v>
      </c>
      <c r="E298" t="s">
        <v>542</v>
      </c>
      <c r="F298" t="s">
        <v>632</v>
      </c>
      <c r="G298" t="s">
        <v>51</v>
      </c>
      <c r="H298" t="s">
        <v>179</v>
      </c>
      <c r="I298" s="2">
        <v>8.3699999999999992</v>
      </c>
      <c r="J298" t="s">
        <v>59</v>
      </c>
      <c r="K298" s="3">
        <v>0.7</v>
      </c>
      <c r="L298" s="2">
        <v>0</v>
      </c>
      <c r="M298" s="2">
        <v>5.86</v>
      </c>
      <c r="N298" s="2">
        <v>5.86</v>
      </c>
      <c r="O298" t="s">
        <v>53</v>
      </c>
      <c r="P298" t="s">
        <v>119</v>
      </c>
      <c r="Q298">
        <v>673059</v>
      </c>
      <c r="R298" t="s">
        <v>55</v>
      </c>
      <c r="S298" t="s">
        <v>56</v>
      </c>
      <c r="T298" t="s">
        <v>57</v>
      </c>
      <c r="U298" s="1">
        <v>45809</v>
      </c>
      <c r="W298" s="1">
        <v>45992</v>
      </c>
      <c r="X298">
        <v>1</v>
      </c>
      <c r="Y298" t="s">
        <v>58</v>
      </c>
      <c r="Z298" s="2">
        <v>0</v>
      </c>
      <c r="AA298">
        <v>0</v>
      </c>
      <c r="AB298" t="s">
        <v>60</v>
      </c>
      <c r="AC298" t="s">
        <v>61</v>
      </c>
      <c r="AD298">
        <v>0</v>
      </c>
      <c r="AE298" s="2">
        <v>0</v>
      </c>
      <c r="AF298" s="2">
        <v>0</v>
      </c>
      <c r="AG298" s="3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45957</v>
      </c>
      <c r="B299" t="s">
        <v>48</v>
      </c>
      <c r="C299">
        <v>649163</v>
      </c>
      <c r="D299">
        <v>2028774420</v>
      </c>
      <c r="E299" t="s">
        <v>542</v>
      </c>
      <c r="F299" t="s">
        <v>543</v>
      </c>
      <c r="G299" t="s">
        <v>51</v>
      </c>
      <c r="H299" t="s">
        <v>179</v>
      </c>
      <c r="I299" s="2">
        <v>143.66</v>
      </c>
      <c r="J299" t="s">
        <v>59</v>
      </c>
      <c r="K299" s="3">
        <v>0.7</v>
      </c>
      <c r="L299" s="2">
        <v>0</v>
      </c>
      <c r="M299" s="2">
        <v>100.56</v>
      </c>
      <c r="N299" s="2">
        <v>100.56</v>
      </c>
      <c r="O299" t="s">
        <v>53</v>
      </c>
      <c r="P299" t="s">
        <v>54</v>
      </c>
      <c r="Q299">
        <v>673059</v>
      </c>
      <c r="R299" t="s">
        <v>55</v>
      </c>
      <c r="S299" t="s">
        <v>56</v>
      </c>
      <c r="T299" t="s">
        <v>57</v>
      </c>
      <c r="U299" s="1">
        <v>45809</v>
      </c>
      <c r="W299" s="1">
        <v>45992</v>
      </c>
      <c r="X299">
        <v>1</v>
      </c>
      <c r="Y299" t="s">
        <v>58</v>
      </c>
      <c r="Z299" s="2">
        <v>0</v>
      </c>
      <c r="AA299">
        <v>0</v>
      </c>
      <c r="AB299" t="s">
        <v>60</v>
      </c>
      <c r="AC299" t="s">
        <v>61</v>
      </c>
      <c r="AD299">
        <v>0</v>
      </c>
      <c r="AE299" s="2">
        <v>0</v>
      </c>
      <c r="AF299" s="2">
        <v>0</v>
      </c>
      <c r="AG299" s="3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45957</v>
      </c>
      <c r="B300" t="s">
        <v>48</v>
      </c>
      <c r="C300">
        <v>649163</v>
      </c>
      <c r="D300">
        <v>2028774421</v>
      </c>
      <c r="E300" t="s">
        <v>542</v>
      </c>
      <c r="F300" t="s">
        <v>543</v>
      </c>
      <c r="G300" t="s">
        <v>51</v>
      </c>
      <c r="H300" t="s">
        <v>179</v>
      </c>
      <c r="I300" s="2">
        <v>16.73</v>
      </c>
      <c r="J300" t="s">
        <v>59</v>
      </c>
      <c r="K300" s="3">
        <v>0.7</v>
      </c>
      <c r="L300" s="2">
        <v>0</v>
      </c>
      <c r="M300" s="2">
        <v>11.71</v>
      </c>
      <c r="N300" s="2">
        <v>11.71</v>
      </c>
      <c r="O300" t="s">
        <v>53</v>
      </c>
      <c r="P300" t="s">
        <v>119</v>
      </c>
      <c r="Q300">
        <v>673059</v>
      </c>
      <c r="R300" t="s">
        <v>55</v>
      </c>
      <c r="S300" t="s">
        <v>56</v>
      </c>
      <c r="T300" t="s">
        <v>57</v>
      </c>
      <c r="U300" s="1">
        <v>45809</v>
      </c>
      <c r="W300" s="1">
        <v>45992</v>
      </c>
      <c r="X300">
        <v>1</v>
      </c>
      <c r="Y300" t="s">
        <v>58</v>
      </c>
      <c r="Z300" s="2">
        <v>0</v>
      </c>
      <c r="AA300">
        <v>0</v>
      </c>
      <c r="AB300" t="s">
        <v>60</v>
      </c>
      <c r="AC300" t="s">
        <v>61</v>
      </c>
      <c r="AD300">
        <v>0</v>
      </c>
      <c r="AE300" s="2">
        <v>0</v>
      </c>
      <c r="AF300" s="2">
        <v>0</v>
      </c>
      <c r="AG300" s="3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45957</v>
      </c>
      <c r="B301" t="s">
        <v>48</v>
      </c>
      <c r="C301">
        <v>649163</v>
      </c>
      <c r="D301">
        <v>2028775160</v>
      </c>
      <c r="E301" t="s">
        <v>1039</v>
      </c>
      <c r="F301" t="s">
        <v>1013</v>
      </c>
      <c r="G301" t="s">
        <v>51</v>
      </c>
      <c r="H301" t="s">
        <v>559</v>
      </c>
      <c r="I301" s="2">
        <v>101.99</v>
      </c>
      <c r="J301" t="s">
        <v>59</v>
      </c>
      <c r="K301" s="3">
        <v>0.7</v>
      </c>
      <c r="L301" s="2">
        <v>0</v>
      </c>
      <c r="M301" s="2">
        <v>71.39</v>
      </c>
      <c r="N301" s="2">
        <v>71.39</v>
      </c>
      <c r="O301" t="s">
        <v>53</v>
      </c>
      <c r="P301" t="s">
        <v>54</v>
      </c>
      <c r="Q301">
        <v>821087</v>
      </c>
      <c r="R301" t="s">
        <v>1040</v>
      </c>
      <c r="S301" t="s">
        <v>1041</v>
      </c>
      <c r="T301" t="s">
        <v>57</v>
      </c>
      <c r="U301" s="1">
        <v>45809</v>
      </c>
      <c r="W301" s="1">
        <v>45992</v>
      </c>
      <c r="X301">
        <v>1</v>
      </c>
      <c r="Y301" t="s">
        <v>58</v>
      </c>
      <c r="Z301" s="2">
        <v>0</v>
      </c>
      <c r="AA301">
        <v>0</v>
      </c>
      <c r="AB301" t="s">
        <v>60</v>
      </c>
      <c r="AC301" t="s">
        <v>61</v>
      </c>
      <c r="AD301">
        <v>0</v>
      </c>
      <c r="AE301" s="2">
        <v>0</v>
      </c>
      <c r="AF301" s="2">
        <v>0</v>
      </c>
      <c r="AG301" s="3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45957</v>
      </c>
      <c r="B302" t="s">
        <v>48</v>
      </c>
      <c r="C302">
        <v>649163</v>
      </c>
      <c r="D302">
        <v>2028776889</v>
      </c>
      <c r="E302" t="s">
        <v>635</v>
      </c>
      <c r="F302" t="s">
        <v>354</v>
      </c>
      <c r="G302" t="s">
        <v>51</v>
      </c>
      <c r="H302" t="s">
        <v>636</v>
      </c>
      <c r="I302" s="2">
        <v>292.8</v>
      </c>
      <c r="J302" t="s">
        <v>59</v>
      </c>
      <c r="K302" s="3">
        <v>0.7</v>
      </c>
      <c r="L302" s="2">
        <v>0</v>
      </c>
      <c r="M302" s="2">
        <v>204.96</v>
      </c>
      <c r="N302" s="2">
        <v>204.96</v>
      </c>
      <c r="O302" t="s">
        <v>53</v>
      </c>
      <c r="P302" t="s">
        <v>54</v>
      </c>
      <c r="Q302">
        <v>673059</v>
      </c>
      <c r="R302" t="s">
        <v>55</v>
      </c>
      <c r="S302" t="s">
        <v>56</v>
      </c>
      <c r="T302" t="s">
        <v>57</v>
      </c>
      <c r="U302" s="1">
        <v>45809</v>
      </c>
      <c r="W302" s="1">
        <v>45992</v>
      </c>
      <c r="X302">
        <v>1</v>
      </c>
      <c r="Y302" t="s">
        <v>58</v>
      </c>
      <c r="Z302" s="2">
        <v>0</v>
      </c>
      <c r="AA302">
        <v>0</v>
      </c>
      <c r="AB302" t="s">
        <v>60</v>
      </c>
      <c r="AC302" t="s">
        <v>61</v>
      </c>
      <c r="AD302">
        <v>0</v>
      </c>
      <c r="AE302" s="2">
        <v>0</v>
      </c>
      <c r="AF302" s="2">
        <v>0</v>
      </c>
      <c r="AG302" s="3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45957</v>
      </c>
      <c r="B303" t="s">
        <v>48</v>
      </c>
      <c r="C303">
        <v>649163</v>
      </c>
      <c r="D303">
        <v>2028799844</v>
      </c>
      <c r="E303" t="s">
        <v>637</v>
      </c>
      <c r="F303" t="s">
        <v>284</v>
      </c>
      <c r="G303" t="s">
        <v>51</v>
      </c>
      <c r="H303" t="s">
        <v>208</v>
      </c>
      <c r="I303" s="2">
        <v>142.91999999999999</v>
      </c>
      <c r="J303" t="s">
        <v>59</v>
      </c>
      <c r="K303" s="3">
        <v>0.7</v>
      </c>
      <c r="L303" s="2">
        <v>0</v>
      </c>
      <c r="M303" s="2">
        <v>100.04</v>
      </c>
      <c r="N303" s="2">
        <v>100.04</v>
      </c>
      <c r="O303" t="s">
        <v>53</v>
      </c>
      <c r="P303" t="s">
        <v>54</v>
      </c>
      <c r="Q303">
        <v>792847</v>
      </c>
      <c r="R303" t="s">
        <v>371</v>
      </c>
      <c r="S303" t="s">
        <v>372</v>
      </c>
      <c r="T303" t="s">
        <v>57</v>
      </c>
      <c r="U303" s="1">
        <v>45809</v>
      </c>
      <c r="W303" s="1">
        <v>45992</v>
      </c>
      <c r="X303">
        <v>1</v>
      </c>
      <c r="Y303" t="s">
        <v>58</v>
      </c>
      <c r="Z303" s="2">
        <v>0</v>
      </c>
      <c r="AA303">
        <v>0</v>
      </c>
      <c r="AB303" t="s">
        <v>60</v>
      </c>
      <c r="AC303" t="s">
        <v>61</v>
      </c>
      <c r="AD303">
        <v>0</v>
      </c>
      <c r="AE303" s="2">
        <v>0</v>
      </c>
      <c r="AF303" s="2">
        <v>0</v>
      </c>
      <c r="AG303" s="3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45957</v>
      </c>
      <c r="B304" t="s">
        <v>48</v>
      </c>
      <c r="C304">
        <v>649163</v>
      </c>
      <c r="D304">
        <v>2028800424</v>
      </c>
      <c r="E304" t="s">
        <v>107</v>
      </c>
      <c r="F304" t="s">
        <v>99</v>
      </c>
      <c r="G304" t="s">
        <v>51</v>
      </c>
      <c r="H304" t="s">
        <v>636</v>
      </c>
      <c r="I304" s="2">
        <v>141.32</v>
      </c>
      <c r="J304" t="s">
        <v>59</v>
      </c>
      <c r="K304" s="3">
        <v>0.7</v>
      </c>
      <c r="L304" s="2">
        <v>98.92</v>
      </c>
      <c r="M304" s="2">
        <v>0</v>
      </c>
      <c r="N304" s="2">
        <v>0</v>
      </c>
      <c r="O304" t="s">
        <v>53</v>
      </c>
      <c r="P304" t="s">
        <v>54</v>
      </c>
      <c r="Q304">
        <v>673059</v>
      </c>
      <c r="R304" t="s">
        <v>55</v>
      </c>
      <c r="S304" t="s">
        <v>56</v>
      </c>
      <c r="T304" t="s">
        <v>57</v>
      </c>
      <c r="U304" s="1">
        <v>45804</v>
      </c>
      <c r="W304" s="1">
        <v>45988</v>
      </c>
      <c r="X304">
        <v>1</v>
      </c>
      <c r="Y304" t="s">
        <v>58</v>
      </c>
      <c r="Z304" s="2">
        <v>0</v>
      </c>
      <c r="AA304">
        <v>0</v>
      </c>
      <c r="AB304" t="s">
        <v>60</v>
      </c>
      <c r="AC304" t="s">
        <v>61</v>
      </c>
      <c r="AD304">
        <v>0</v>
      </c>
      <c r="AE304" s="2">
        <v>0</v>
      </c>
      <c r="AF304" s="2">
        <v>0</v>
      </c>
      <c r="AG304" s="3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45957</v>
      </c>
      <c r="B305" t="s">
        <v>48</v>
      </c>
      <c r="C305">
        <v>649163</v>
      </c>
      <c r="D305">
        <v>2028801222</v>
      </c>
      <c r="E305" t="s">
        <v>1042</v>
      </c>
      <c r="F305" t="s">
        <v>275</v>
      </c>
      <c r="G305" t="s">
        <v>51</v>
      </c>
      <c r="H305" t="s">
        <v>69</v>
      </c>
      <c r="I305" s="2">
        <v>88.96</v>
      </c>
      <c r="J305" t="s">
        <v>59</v>
      </c>
      <c r="K305" s="3">
        <v>0.7</v>
      </c>
      <c r="L305" s="2">
        <v>62.27</v>
      </c>
      <c r="M305" s="2">
        <v>0</v>
      </c>
      <c r="N305" s="2">
        <v>0</v>
      </c>
      <c r="O305" t="s">
        <v>53</v>
      </c>
      <c r="P305" t="s">
        <v>54</v>
      </c>
      <c r="Q305">
        <v>814033</v>
      </c>
      <c r="R305" t="s">
        <v>147</v>
      </c>
      <c r="S305" t="s">
        <v>148</v>
      </c>
      <c r="T305" t="s">
        <v>57</v>
      </c>
      <c r="U305" s="1">
        <v>45809</v>
      </c>
      <c r="W305" s="1">
        <v>45992</v>
      </c>
      <c r="X305">
        <v>1</v>
      </c>
      <c r="Y305" t="s">
        <v>58</v>
      </c>
      <c r="Z305" s="2">
        <v>0</v>
      </c>
      <c r="AA305">
        <v>0</v>
      </c>
      <c r="AB305" t="s">
        <v>60</v>
      </c>
      <c r="AC305" t="s">
        <v>61</v>
      </c>
      <c r="AD305">
        <v>0</v>
      </c>
      <c r="AE305" s="2">
        <v>0</v>
      </c>
      <c r="AF305" s="2">
        <v>0</v>
      </c>
      <c r="AG305" s="3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45957</v>
      </c>
      <c r="B306" t="s">
        <v>48</v>
      </c>
      <c r="C306">
        <v>649163</v>
      </c>
      <c r="D306">
        <v>2028821221</v>
      </c>
      <c r="E306" t="s">
        <v>1043</v>
      </c>
      <c r="F306" t="s">
        <v>1044</v>
      </c>
      <c r="G306" t="s">
        <v>51</v>
      </c>
      <c r="H306" t="s">
        <v>69</v>
      </c>
      <c r="I306" s="2">
        <v>46.08</v>
      </c>
      <c r="J306" t="s">
        <v>59</v>
      </c>
      <c r="K306" s="3">
        <v>0.7</v>
      </c>
      <c r="L306" s="2">
        <v>0</v>
      </c>
      <c r="M306" s="2">
        <v>32.26</v>
      </c>
      <c r="N306" s="2">
        <v>32.26</v>
      </c>
      <c r="O306" t="s">
        <v>53</v>
      </c>
      <c r="P306" t="s">
        <v>54</v>
      </c>
      <c r="Q306">
        <v>856824</v>
      </c>
      <c r="R306" t="s">
        <v>175</v>
      </c>
      <c r="S306" t="s">
        <v>176</v>
      </c>
      <c r="T306" t="s">
        <v>57</v>
      </c>
      <c r="U306" s="1">
        <v>45809</v>
      </c>
      <c r="W306" s="1">
        <v>45992</v>
      </c>
      <c r="X306">
        <v>1</v>
      </c>
      <c r="Y306" t="s">
        <v>58</v>
      </c>
      <c r="Z306" s="2">
        <v>0</v>
      </c>
      <c r="AA306">
        <v>0</v>
      </c>
      <c r="AB306" t="s">
        <v>60</v>
      </c>
      <c r="AC306" t="s">
        <v>61</v>
      </c>
      <c r="AD306">
        <v>0</v>
      </c>
      <c r="AE306" s="2">
        <v>0</v>
      </c>
      <c r="AF306" s="2">
        <v>0</v>
      </c>
      <c r="AG306" s="3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45957</v>
      </c>
      <c r="B307" t="s">
        <v>48</v>
      </c>
      <c r="C307">
        <v>649163</v>
      </c>
      <c r="D307">
        <v>2028847739</v>
      </c>
      <c r="E307" t="s">
        <v>927</v>
      </c>
      <c r="F307" t="s">
        <v>928</v>
      </c>
      <c r="G307" t="s">
        <v>51</v>
      </c>
      <c r="H307" t="s">
        <v>165</v>
      </c>
      <c r="I307" s="2">
        <v>31</v>
      </c>
      <c r="J307" t="s">
        <v>59</v>
      </c>
      <c r="K307" s="3">
        <v>0.7</v>
      </c>
      <c r="L307" s="2">
        <v>0</v>
      </c>
      <c r="M307" s="2">
        <v>21.7</v>
      </c>
      <c r="N307" s="2">
        <v>21.7</v>
      </c>
      <c r="O307" t="s">
        <v>53</v>
      </c>
      <c r="P307" t="s">
        <v>54</v>
      </c>
      <c r="Q307">
        <v>856824</v>
      </c>
      <c r="R307" t="s">
        <v>175</v>
      </c>
      <c r="S307" t="s">
        <v>176</v>
      </c>
      <c r="T307" t="s">
        <v>57</v>
      </c>
      <c r="U307" s="1">
        <v>45809</v>
      </c>
      <c r="W307" s="1">
        <v>45992</v>
      </c>
      <c r="X307">
        <v>1</v>
      </c>
      <c r="Y307" t="s">
        <v>58</v>
      </c>
      <c r="Z307" s="2">
        <v>0</v>
      </c>
      <c r="AA307">
        <v>0</v>
      </c>
      <c r="AB307" t="s">
        <v>60</v>
      </c>
      <c r="AC307" t="s">
        <v>61</v>
      </c>
      <c r="AD307">
        <v>0</v>
      </c>
      <c r="AE307" s="2">
        <v>0</v>
      </c>
      <c r="AF307" s="2">
        <v>0</v>
      </c>
      <c r="AG307" s="3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45957</v>
      </c>
      <c r="B308" t="s">
        <v>48</v>
      </c>
      <c r="C308">
        <v>649163</v>
      </c>
      <c r="D308">
        <v>2028858331</v>
      </c>
      <c r="E308" t="s">
        <v>929</v>
      </c>
      <c r="F308" t="s">
        <v>103</v>
      </c>
      <c r="G308" t="s">
        <v>51</v>
      </c>
      <c r="H308" t="s">
        <v>69</v>
      </c>
      <c r="I308" s="2">
        <v>110.53</v>
      </c>
      <c r="J308" t="s">
        <v>59</v>
      </c>
      <c r="K308" s="3">
        <v>0.7</v>
      </c>
      <c r="L308" s="2">
        <v>77.37</v>
      </c>
      <c r="M308" s="2">
        <v>0</v>
      </c>
      <c r="N308" s="2">
        <v>0</v>
      </c>
      <c r="O308" t="s">
        <v>53</v>
      </c>
      <c r="P308" t="s">
        <v>54</v>
      </c>
      <c r="Q308">
        <v>839554</v>
      </c>
      <c r="R308" t="s">
        <v>930</v>
      </c>
      <c r="S308" t="s">
        <v>931</v>
      </c>
      <c r="T308" t="s">
        <v>57</v>
      </c>
      <c r="U308" s="1">
        <v>45809</v>
      </c>
      <c r="W308" s="1">
        <v>45992</v>
      </c>
      <c r="X308">
        <v>1</v>
      </c>
      <c r="Y308" t="s">
        <v>58</v>
      </c>
      <c r="Z308" s="2">
        <v>0</v>
      </c>
      <c r="AA308">
        <v>0</v>
      </c>
      <c r="AB308" t="s">
        <v>60</v>
      </c>
      <c r="AC308" t="s">
        <v>61</v>
      </c>
      <c r="AD308">
        <v>0</v>
      </c>
      <c r="AE308" s="2">
        <v>0</v>
      </c>
      <c r="AF308" s="2">
        <v>0</v>
      </c>
      <c r="AG308" s="3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45957</v>
      </c>
      <c r="B309" t="s">
        <v>48</v>
      </c>
      <c r="C309">
        <v>649163</v>
      </c>
      <c r="D309">
        <v>2028893261</v>
      </c>
      <c r="E309" t="s">
        <v>1045</v>
      </c>
      <c r="F309" t="s">
        <v>1046</v>
      </c>
      <c r="G309" t="s">
        <v>51</v>
      </c>
      <c r="H309" t="s">
        <v>179</v>
      </c>
      <c r="I309" s="2">
        <v>10.18</v>
      </c>
      <c r="J309" t="s">
        <v>59</v>
      </c>
      <c r="K309" s="3">
        <v>0.7</v>
      </c>
      <c r="L309" s="2">
        <v>7.13</v>
      </c>
      <c r="M309" s="2">
        <v>0</v>
      </c>
      <c r="N309" s="2">
        <v>0</v>
      </c>
      <c r="O309" t="s">
        <v>53</v>
      </c>
      <c r="P309" t="s">
        <v>54</v>
      </c>
      <c r="Q309">
        <v>673059</v>
      </c>
      <c r="R309" t="s">
        <v>55</v>
      </c>
      <c r="S309" t="s">
        <v>56</v>
      </c>
      <c r="T309" t="s">
        <v>57</v>
      </c>
      <c r="U309" s="1">
        <v>45809</v>
      </c>
      <c r="W309" s="1">
        <v>45992</v>
      </c>
      <c r="X309">
        <v>1</v>
      </c>
      <c r="Y309" t="s">
        <v>58</v>
      </c>
      <c r="Z309" s="2">
        <v>0</v>
      </c>
      <c r="AA309">
        <v>0</v>
      </c>
      <c r="AB309" t="s">
        <v>60</v>
      </c>
      <c r="AC309" t="s">
        <v>61</v>
      </c>
      <c r="AD309">
        <v>0</v>
      </c>
      <c r="AE309" s="2">
        <v>0</v>
      </c>
      <c r="AF309" s="2">
        <v>0</v>
      </c>
      <c r="AG309" s="3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45957</v>
      </c>
      <c r="B310" t="s">
        <v>48</v>
      </c>
      <c r="C310">
        <v>649163</v>
      </c>
      <c r="D310">
        <v>2028897604</v>
      </c>
      <c r="E310" t="s">
        <v>778</v>
      </c>
      <c r="F310" t="s">
        <v>779</v>
      </c>
      <c r="G310" t="s">
        <v>51</v>
      </c>
      <c r="H310" t="s">
        <v>165</v>
      </c>
      <c r="I310" s="2">
        <v>28.38</v>
      </c>
      <c r="J310" t="s">
        <v>59</v>
      </c>
      <c r="K310" s="3">
        <v>0.7</v>
      </c>
      <c r="L310" s="2">
        <v>0</v>
      </c>
      <c r="M310" s="2">
        <v>19.87</v>
      </c>
      <c r="N310" s="2">
        <v>19.87</v>
      </c>
      <c r="O310" t="s">
        <v>53</v>
      </c>
      <c r="P310" t="s">
        <v>54</v>
      </c>
      <c r="Q310">
        <v>856163</v>
      </c>
      <c r="R310" t="s">
        <v>70</v>
      </c>
      <c r="S310" t="s">
        <v>71</v>
      </c>
      <c r="T310" t="s">
        <v>57</v>
      </c>
      <c r="U310" s="1">
        <v>45809</v>
      </c>
      <c r="W310" s="1">
        <v>45992</v>
      </c>
      <c r="X310">
        <v>1</v>
      </c>
      <c r="Y310" t="s">
        <v>58</v>
      </c>
      <c r="Z310" s="2">
        <v>0</v>
      </c>
      <c r="AA310">
        <v>0</v>
      </c>
      <c r="AB310" t="s">
        <v>60</v>
      </c>
      <c r="AC310" t="s">
        <v>61</v>
      </c>
      <c r="AD310">
        <v>0</v>
      </c>
      <c r="AE310" s="2">
        <v>0</v>
      </c>
      <c r="AF310" s="2">
        <v>0</v>
      </c>
      <c r="AG310" s="3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45957</v>
      </c>
      <c r="B311" t="s">
        <v>48</v>
      </c>
      <c r="C311">
        <v>649163</v>
      </c>
      <c r="D311">
        <v>2028898558</v>
      </c>
      <c r="E311" t="s">
        <v>780</v>
      </c>
      <c r="F311" t="s">
        <v>781</v>
      </c>
      <c r="G311" t="s">
        <v>51</v>
      </c>
      <c r="H311" t="s">
        <v>69</v>
      </c>
      <c r="I311" s="2">
        <v>23.85</v>
      </c>
      <c r="J311" t="s">
        <v>59</v>
      </c>
      <c r="K311" s="3">
        <v>0.7</v>
      </c>
      <c r="L311" s="2">
        <v>0</v>
      </c>
      <c r="M311" s="2">
        <v>16.7</v>
      </c>
      <c r="N311" s="2">
        <v>16.7</v>
      </c>
      <c r="O311" t="s">
        <v>53</v>
      </c>
      <c r="P311" t="s">
        <v>54</v>
      </c>
      <c r="Q311">
        <v>824062</v>
      </c>
      <c r="R311" t="s">
        <v>74</v>
      </c>
      <c r="S311" t="s">
        <v>75</v>
      </c>
      <c r="T311" t="s">
        <v>57</v>
      </c>
      <c r="U311" s="1">
        <v>45809</v>
      </c>
      <c r="W311" s="1">
        <v>45992</v>
      </c>
      <c r="X311">
        <v>1</v>
      </c>
      <c r="Y311" t="s">
        <v>58</v>
      </c>
      <c r="Z311" s="2">
        <v>0</v>
      </c>
      <c r="AA311">
        <v>0</v>
      </c>
      <c r="AB311" t="s">
        <v>60</v>
      </c>
      <c r="AC311" t="s">
        <v>61</v>
      </c>
      <c r="AD311">
        <v>0</v>
      </c>
      <c r="AE311" s="2">
        <v>0</v>
      </c>
      <c r="AF311" s="2">
        <v>0</v>
      </c>
      <c r="AG311" s="3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45957</v>
      </c>
      <c r="B312" t="s">
        <v>48</v>
      </c>
      <c r="C312">
        <v>649163</v>
      </c>
      <c r="D312">
        <v>2028899050</v>
      </c>
      <c r="E312" t="s">
        <v>691</v>
      </c>
      <c r="F312" t="s">
        <v>692</v>
      </c>
      <c r="G312" t="s">
        <v>51</v>
      </c>
      <c r="H312" t="s">
        <v>69</v>
      </c>
      <c r="I312" s="2">
        <v>34</v>
      </c>
      <c r="J312" t="s">
        <v>59</v>
      </c>
      <c r="K312" s="3">
        <v>0.7</v>
      </c>
      <c r="L312" s="2">
        <v>23.8</v>
      </c>
      <c r="M312" s="2">
        <v>0</v>
      </c>
      <c r="N312" s="2">
        <v>0</v>
      </c>
      <c r="O312" t="s">
        <v>53</v>
      </c>
      <c r="P312" t="s">
        <v>54</v>
      </c>
      <c r="Q312">
        <v>820873</v>
      </c>
      <c r="R312" t="s">
        <v>447</v>
      </c>
      <c r="S312" t="s">
        <v>448</v>
      </c>
      <c r="T312" t="s">
        <v>57</v>
      </c>
      <c r="U312" s="1">
        <v>45809</v>
      </c>
      <c r="W312" s="1">
        <v>45992</v>
      </c>
      <c r="X312">
        <v>1</v>
      </c>
      <c r="Y312" t="s">
        <v>58</v>
      </c>
      <c r="Z312" s="2">
        <v>0</v>
      </c>
      <c r="AA312">
        <v>0</v>
      </c>
      <c r="AB312" t="s">
        <v>60</v>
      </c>
      <c r="AC312" t="s">
        <v>61</v>
      </c>
      <c r="AD312">
        <v>0</v>
      </c>
      <c r="AE312" s="2">
        <v>0</v>
      </c>
      <c r="AF312" s="2">
        <v>0</v>
      </c>
      <c r="AG312" s="3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45957</v>
      </c>
      <c r="B313" t="s">
        <v>48</v>
      </c>
      <c r="C313">
        <v>649163</v>
      </c>
      <c r="D313">
        <v>2028905068</v>
      </c>
      <c r="E313" t="s">
        <v>782</v>
      </c>
      <c r="F313" t="s">
        <v>783</v>
      </c>
      <c r="G313" t="s">
        <v>51</v>
      </c>
      <c r="H313" t="s">
        <v>165</v>
      </c>
      <c r="I313" s="2">
        <v>49.12</v>
      </c>
      <c r="J313" t="s">
        <v>59</v>
      </c>
      <c r="K313" s="3">
        <v>0.7</v>
      </c>
      <c r="L313" s="2">
        <v>34.380000000000003</v>
      </c>
      <c r="M313" s="2">
        <v>0</v>
      </c>
      <c r="N313" s="2">
        <v>0</v>
      </c>
      <c r="O313" t="s">
        <v>53</v>
      </c>
      <c r="P313" t="s">
        <v>54</v>
      </c>
      <c r="Q313">
        <v>753748</v>
      </c>
      <c r="R313" t="s">
        <v>65</v>
      </c>
      <c r="S313" t="s">
        <v>66</v>
      </c>
      <c r="T313" t="s">
        <v>57</v>
      </c>
      <c r="U313" s="1">
        <v>45809</v>
      </c>
      <c r="W313" s="1">
        <v>45992</v>
      </c>
      <c r="X313">
        <v>1</v>
      </c>
      <c r="Y313" t="s">
        <v>58</v>
      </c>
      <c r="Z313" s="2">
        <v>0</v>
      </c>
      <c r="AA313">
        <v>0</v>
      </c>
      <c r="AB313" t="s">
        <v>60</v>
      </c>
      <c r="AC313" t="s">
        <v>61</v>
      </c>
      <c r="AD313">
        <v>0</v>
      </c>
      <c r="AE313" s="2">
        <v>0</v>
      </c>
      <c r="AF313" s="2">
        <v>0</v>
      </c>
      <c r="AG313" s="3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45957</v>
      </c>
      <c r="B314" t="s">
        <v>48</v>
      </c>
      <c r="C314">
        <v>649163</v>
      </c>
      <c r="D314">
        <v>2028905614</v>
      </c>
      <c r="E314" t="s">
        <v>784</v>
      </c>
      <c r="F314" t="s">
        <v>354</v>
      </c>
      <c r="G314" t="s">
        <v>51</v>
      </c>
      <c r="H314" t="s">
        <v>165</v>
      </c>
      <c r="I314" s="2">
        <v>28.38</v>
      </c>
      <c r="J314" t="s">
        <v>59</v>
      </c>
      <c r="K314" s="3">
        <v>0.7</v>
      </c>
      <c r="L314" s="2">
        <v>19.87</v>
      </c>
      <c r="M314" s="2">
        <v>0</v>
      </c>
      <c r="N314" s="2">
        <v>0</v>
      </c>
      <c r="O314" t="s">
        <v>53</v>
      </c>
      <c r="P314" t="s">
        <v>54</v>
      </c>
      <c r="Q314">
        <v>753748</v>
      </c>
      <c r="R314" t="s">
        <v>65</v>
      </c>
      <c r="S314" t="s">
        <v>66</v>
      </c>
      <c r="T314" t="s">
        <v>57</v>
      </c>
      <c r="U314" s="1">
        <v>45809</v>
      </c>
      <c r="W314" s="1">
        <v>45992</v>
      </c>
      <c r="X314">
        <v>1</v>
      </c>
      <c r="Y314" t="s">
        <v>58</v>
      </c>
      <c r="Z314" s="2">
        <v>0</v>
      </c>
      <c r="AA314">
        <v>0</v>
      </c>
      <c r="AB314" t="s">
        <v>60</v>
      </c>
      <c r="AC314" t="s">
        <v>61</v>
      </c>
      <c r="AD314">
        <v>0</v>
      </c>
      <c r="AE314" s="2">
        <v>0</v>
      </c>
      <c r="AF314" s="2">
        <v>0</v>
      </c>
      <c r="AG314" s="3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45957</v>
      </c>
      <c r="B315" t="s">
        <v>48</v>
      </c>
      <c r="C315">
        <v>649163</v>
      </c>
      <c r="D315">
        <v>2028912169</v>
      </c>
      <c r="E315" t="s">
        <v>934</v>
      </c>
      <c r="F315" t="s">
        <v>935</v>
      </c>
      <c r="G315" t="s">
        <v>51</v>
      </c>
      <c r="H315" t="s">
        <v>52</v>
      </c>
      <c r="I315" s="2">
        <v>33.54</v>
      </c>
      <c r="J315" t="s">
        <v>59</v>
      </c>
      <c r="K315" s="3">
        <v>0.7</v>
      </c>
      <c r="L315" s="2">
        <v>0</v>
      </c>
      <c r="M315" s="2">
        <v>23.48</v>
      </c>
      <c r="N315" s="2">
        <v>23.48</v>
      </c>
      <c r="O315" t="s">
        <v>53</v>
      </c>
      <c r="P315" t="s">
        <v>54</v>
      </c>
      <c r="Q315">
        <v>856824</v>
      </c>
      <c r="R315" t="s">
        <v>175</v>
      </c>
      <c r="S315" t="s">
        <v>176</v>
      </c>
      <c r="T315" t="s">
        <v>57</v>
      </c>
      <c r="U315" s="1">
        <v>45809</v>
      </c>
      <c r="W315" s="1">
        <v>45992</v>
      </c>
      <c r="X315">
        <v>1</v>
      </c>
      <c r="Y315" t="s">
        <v>58</v>
      </c>
      <c r="Z315" s="2">
        <v>0</v>
      </c>
      <c r="AA315">
        <v>0</v>
      </c>
      <c r="AB315" t="s">
        <v>60</v>
      </c>
      <c r="AC315" t="s">
        <v>61</v>
      </c>
      <c r="AD315">
        <v>0</v>
      </c>
      <c r="AE315" s="2">
        <v>0</v>
      </c>
      <c r="AF315" s="2">
        <v>0</v>
      </c>
      <c r="AG315" s="3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45957</v>
      </c>
      <c r="B316" t="s">
        <v>48</v>
      </c>
      <c r="C316">
        <v>649163</v>
      </c>
      <c r="D316">
        <v>2028915915</v>
      </c>
      <c r="E316" t="s">
        <v>113</v>
      </c>
      <c r="F316" t="s">
        <v>1047</v>
      </c>
      <c r="G316" t="s">
        <v>51</v>
      </c>
      <c r="H316" t="s">
        <v>165</v>
      </c>
      <c r="I316" s="2">
        <v>72.400000000000006</v>
      </c>
      <c r="J316" t="s">
        <v>59</v>
      </c>
      <c r="K316" s="3">
        <v>0.7</v>
      </c>
      <c r="L316" s="2">
        <v>0</v>
      </c>
      <c r="M316" s="2">
        <v>50.68</v>
      </c>
      <c r="N316" s="2">
        <v>50.68</v>
      </c>
      <c r="O316" t="s">
        <v>53</v>
      </c>
      <c r="P316" t="s">
        <v>54</v>
      </c>
      <c r="Q316">
        <v>858541</v>
      </c>
      <c r="R316" t="s">
        <v>1048</v>
      </c>
      <c r="S316" t="s">
        <v>1049</v>
      </c>
      <c r="T316" t="s">
        <v>57</v>
      </c>
      <c r="U316" s="1">
        <v>45809</v>
      </c>
      <c r="W316" s="1">
        <v>45992</v>
      </c>
      <c r="X316">
        <v>1</v>
      </c>
      <c r="Y316" t="s">
        <v>58</v>
      </c>
      <c r="Z316" s="2">
        <v>0</v>
      </c>
      <c r="AA316">
        <v>0</v>
      </c>
      <c r="AB316" t="s">
        <v>60</v>
      </c>
      <c r="AC316" t="s">
        <v>61</v>
      </c>
      <c r="AD316">
        <v>0</v>
      </c>
      <c r="AE316" s="2">
        <v>0</v>
      </c>
      <c r="AF316" s="2">
        <v>0</v>
      </c>
      <c r="AG316" s="3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45957</v>
      </c>
      <c r="B317" t="s">
        <v>48</v>
      </c>
      <c r="C317">
        <v>649163</v>
      </c>
      <c r="D317">
        <v>2028923136</v>
      </c>
      <c r="E317" t="s">
        <v>938</v>
      </c>
      <c r="F317" t="s">
        <v>385</v>
      </c>
      <c r="G317" t="s">
        <v>51</v>
      </c>
      <c r="H317" t="s">
        <v>69</v>
      </c>
      <c r="I317" s="2">
        <v>15.75</v>
      </c>
      <c r="J317" t="s">
        <v>59</v>
      </c>
      <c r="K317" s="3">
        <v>0.7</v>
      </c>
      <c r="L317" s="2">
        <v>11.02</v>
      </c>
      <c r="M317" s="2">
        <v>0</v>
      </c>
      <c r="N317" s="2">
        <v>0</v>
      </c>
      <c r="O317" t="s">
        <v>53</v>
      </c>
      <c r="P317" t="s">
        <v>54</v>
      </c>
      <c r="Q317">
        <v>824076</v>
      </c>
      <c r="R317" t="s">
        <v>135</v>
      </c>
      <c r="S317" t="s">
        <v>136</v>
      </c>
      <c r="T317" t="s">
        <v>57</v>
      </c>
      <c r="U317" s="1">
        <v>45809</v>
      </c>
      <c r="W317" s="1">
        <v>45992</v>
      </c>
      <c r="X317">
        <v>1</v>
      </c>
      <c r="Y317" t="s">
        <v>58</v>
      </c>
      <c r="Z317" s="2">
        <v>0</v>
      </c>
      <c r="AA317">
        <v>0</v>
      </c>
      <c r="AB317" t="s">
        <v>60</v>
      </c>
      <c r="AC317" t="s">
        <v>61</v>
      </c>
      <c r="AD317">
        <v>0</v>
      </c>
      <c r="AE317" s="2">
        <v>0</v>
      </c>
      <c r="AF317" s="2">
        <v>0</v>
      </c>
      <c r="AG317" s="3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45957</v>
      </c>
      <c r="B318" t="s">
        <v>48</v>
      </c>
      <c r="C318">
        <v>649163</v>
      </c>
      <c r="D318">
        <v>2028934221</v>
      </c>
      <c r="E318" t="s">
        <v>545</v>
      </c>
      <c r="F318" t="s">
        <v>546</v>
      </c>
      <c r="G318" t="s">
        <v>51</v>
      </c>
      <c r="H318" t="s">
        <v>190</v>
      </c>
      <c r="I318" s="2">
        <v>52.31</v>
      </c>
      <c r="J318" t="s">
        <v>59</v>
      </c>
      <c r="K318" s="3">
        <v>0.7</v>
      </c>
      <c r="L318" s="2">
        <v>36.61</v>
      </c>
      <c r="M318" s="2">
        <v>0.01</v>
      </c>
      <c r="N318" s="2">
        <v>0.01</v>
      </c>
      <c r="O318" t="s">
        <v>53</v>
      </c>
      <c r="P318" t="s">
        <v>54</v>
      </c>
      <c r="Q318">
        <v>673059</v>
      </c>
      <c r="R318" t="s">
        <v>55</v>
      </c>
      <c r="S318" t="s">
        <v>56</v>
      </c>
      <c r="T318" t="s">
        <v>57</v>
      </c>
      <c r="U318" s="1">
        <v>45809</v>
      </c>
      <c r="W318" s="1">
        <v>45992</v>
      </c>
      <c r="X318">
        <v>1</v>
      </c>
      <c r="Y318" t="s">
        <v>58</v>
      </c>
      <c r="Z318" s="2">
        <v>0</v>
      </c>
      <c r="AA318">
        <v>0</v>
      </c>
      <c r="AB318" t="s">
        <v>60</v>
      </c>
      <c r="AC318" t="s">
        <v>61</v>
      </c>
      <c r="AD318">
        <v>0</v>
      </c>
      <c r="AE318" s="2">
        <v>0</v>
      </c>
      <c r="AF318" s="2">
        <v>0</v>
      </c>
      <c r="AG318" s="3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45957</v>
      </c>
      <c r="B319" t="s">
        <v>48</v>
      </c>
      <c r="C319">
        <v>649163</v>
      </c>
      <c r="D319">
        <v>2028938952</v>
      </c>
      <c r="E319" t="s">
        <v>785</v>
      </c>
      <c r="F319" t="s">
        <v>506</v>
      </c>
      <c r="G319" t="s">
        <v>51</v>
      </c>
      <c r="H319" t="s">
        <v>69</v>
      </c>
      <c r="I319" s="2">
        <v>105.02</v>
      </c>
      <c r="J319" t="s">
        <v>59</v>
      </c>
      <c r="K319" s="3">
        <v>0.7</v>
      </c>
      <c r="L319" s="2">
        <v>0</v>
      </c>
      <c r="M319" s="2">
        <v>73.510000000000005</v>
      </c>
      <c r="N319" s="2">
        <v>73.510000000000005</v>
      </c>
      <c r="O319" t="s">
        <v>53</v>
      </c>
      <c r="P319" t="s">
        <v>54</v>
      </c>
      <c r="Q319">
        <v>673059</v>
      </c>
      <c r="R319" t="s">
        <v>55</v>
      </c>
      <c r="S319" t="s">
        <v>56</v>
      </c>
      <c r="T319" t="s">
        <v>57</v>
      </c>
      <c r="U319" s="1">
        <v>45836</v>
      </c>
      <c r="W319" s="1">
        <v>45989</v>
      </c>
      <c r="X319">
        <v>1</v>
      </c>
      <c r="Y319" t="s">
        <v>58</v>
      </c>
      <c r="Z319" s="2">
        <v>0</v>
      </c>
      <c r="AA319">
        <v>0</v>
      </c>
      <c r="AB319" t="s">
        <v>60</v>
      </c>
      <c r="AC319" t="s">
        <v>61</v>
      </c>
      <c r="AD319">
        <v>0</v>
      </c>
      <c r="AE319" s="2">
        <v>0</v>
      </c>
      <c r="AF319" s="2">
        <v>0</v>
      </c>
      <c r="AG319" s="3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45957</v>
      </c>
      <c r="B320" t="s">
        <v>48</v>
      </c>
      <c r="C320">
        <v>649163</v>
      </c>
      <c r="D320">
        <v>2028949436</v>
      </c>
      <c r="E320" t="s">
        <v>786</v>
      </c>
      <c r="F320" t="s">
        <v>787</v>
      </c>
      <c r="G320" t="s">
        <v>51</v>
      </c>
      <c r="H320" t="s">
        <v>69</v>
      </c>
      <c r="I320" s="2">
        <v>35.700000000000003</v>
      </c>
      <c r="J320" t="s">
        <v>59</v>
      </c>
      <c r="K320" s="3">
        <v>0.7</v>
      </c>
      <c r="L320" s="2">
        <v>0</v>
      </c>
      <c r="M320" s="2">
        <v>24.99</v>
      </c>
      <c r="N320" s="2">
        <v>24.99</v>
      </c>
      <c r="O320" t="s">
        <v>53</v>
      </c>
      <c r="P320" t="s">
        <v>54</v>
      </c>
      <c r="Q320">
        <v>824062</v>
      </c>
      <c r="R320" t="s">
        <v>74</v>
      </c>
      <c r="S320" t="s">
        <v>75</v>
      </c>
      <c r="T320" t="s">
        <v>57</v>
      </c>
      <c r="U320" s="1">
        <v>45809</v>
      </c>
      <c r="W320" s="1">
        <v>45992</v>
      </c>
      <c r="X320">
        <v>1</v>
      </c>
      <c r="Y320" t="s">
        <v>58</v>
      </c>
      <c r="Z320" s="2">
        <v>0</v>
      </c>
      <c r="AA320">
        <v>0</v>
      </c>
      <c r="AB320" t="s">
        <v>60</v>
      </c>
      <c r="AC320" t="s">
        <v>61</v>
      </c>
      <c r="AD320">
        <v>0</v>
      </c>
      <c r="AE320" s="2">
        <v>0</v>
      </c>
      <c r="AF320" s="2">
        <v>0</v>
      </c>
      <c r="AG320" s="3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45957</v>
      </c>
      <c r="B321" t="s">
        <v>48</v>
      </c>
      <c r="C321">
        <v>649163</v>
      </c>
      <c r="D321">
        <v>2028952684</v>
      </c>
      <c r="E321" t="s">
        <v>1050</v>
      </c>
      <c r="F321" t="s">
        <v>1051</v>
      </c>
      <c r="G321" t="s">
        <v>51</v>
      </c>
      <c r="H321" t="s">
        <v>145</v>
      </c>
      <c r="I321" s="2">
        <v>70.25</v>
      </c>
      <c r="J321" t="s">
        <v>59</v>
      </c>
      <c r="K321" s="3">
        <v>0.7</v>
      </c>
      <c r="L321" s="2">
        <v>0</v>
      </c>
      <c r="M321" s="2">
        <v>49.18</v>
      </c>
      <c r="N321" s="2">
        <v>49.18</v>
      </c>
      <c r="O321" t="s">
        <v>53</v>
      </c>
      <c r="P321" t="s">
        <v>54</v>
      </c>
      <c r="Q321">
        <v>812656</v>
      </c>
      <c r="R321" t="s">
        <v>82</v>
      </c>
      <c r="S321" t="s">
        <v>83</v>
      </c>
      <c r="T321" t="s">
        <v>57</v>
      </c>
      <c r="U321" s="1">
        <v>45809</v>
      </c>
      <c r="W321" s="1">
        <v>45992</v>
      </c>
      <c r="X321">
        <v>1</v>
      </c>
      <c r="Y321" t="s">
        <v>58</v>
      </c>
      <c r="Z321" s="2">
        <v>0</v>
      </c>
      <c r="AA321">
        <v>0</v>
      </c>
      <c r="AB321" t="s">
        <v>60</v>
      </c>
      <c r="AC321" t="s">
        <v>61</v>
      </c>
      <c r="AD321">
        <v>0</v>
      </c>
      <c r="AE321" s="2">
        <v>0</v>
      </c>
      <c r="AF321" s="2">
        <v>0</v>
      </c>
      <c r="AG321" s="3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45957</v>
      </c>
      <c r="B322" t="s">
        <v>48</v>
      </c>
      <c r="C322">
        <v>649163</v>
      </c>
      <c r="D322">
        <v>2028959745</v>
      </c>
      <c r="E322" t="s">
        <v>1052</v>
      </c>
      <c r="F322" t="s">
        <v>1053</v>
      </c>
      <c r="G322" t="s">
        <v>51</v>
      </c>
      <c r="H322" t="s">
        <v>69</v>
      </c>
      <c r="I322" s="2">
        <v>115.38</v>
      </c>
      <c r="J322" t="s">
        <v>59</v>
      </c>
      <c r="K322" s="3">
        <v>0.7</v>
      </c>
      <c r="L322" s="2">
        <v>0</v>
      </c>
      <c r="M322" s="2">
        <v>80.77</v>
      </c>
      <c r="N322" s="2">
        <v>80.77</v>
      </c>
      <c r="O322" t="s">
        <v>53</v>
      </c>
      <c r="P322" t="s">
        <v>54</v>
      </c>
      <c r="Q322">
        <v>824081</v>
      </c>
      <c r="R322" t="s">
        <v>800</v>
      </c>
      <c r="S322" t="s">
        <v>801</v>
      </c>
      <c r="T322" t="s">
        <v>57</v>
      </c>
      <c r="U322" s="1">
        <v>45809</v>
      </c>
      <c r="W322" s="1">
        <v>45992</v>
      </c>
      <c r="X322">
        <v>1</v>
      </c>
      <c r="Y322" t="s">
        <v>58</v>
      </c>
      <c r="Z322" s="2">
        <v>0</v>
      </c>
      <c r="AA322">
        <v>0</v>
      </c>
      <c r="AB322" t="s">
        <v>60</v>
      </c>
      <c r="AC322" t="s">
        <v>61</v>
      </c>
      <c r="AD322">
        <v>0</v>
      </c>
      <c r="AE322" s="2">
        <v>0</v>
      </c>
      <c r="AF322" s="2">
        <v>0</v>
      </c>
      <c r="AG322" s="3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45957</v>
      </c>
      <c r="B323" t="s">
        <v>48</v>
      </c>
      <c r="C323">
        <v>649163</v>
      </c>
      <c r="D323">
        <v>2028960905</v>
      </c>
      <c r="E323" t="s">
        <v>789</v>
      </c>
      <c r="F323" t="s">
        <v>790</v>
      </c>
      <c r="G323" t="s">
        <v>51</v>
      </c>
      <c r="H323" t="s">
        <v>69</v>
      </c>
      <c r="I323" s="2">
        <v>46.46</v>
      </c>
      <c r="J323" t="s">
        <v>59</v>
      </c>
      <c r="K323" s="3">
        <v>0.7</v>
      </c>
      <c r="L323" s="2">
        <v>32.520000000000003</v>
      </c>
      <c r="M323" s="2">
        <v>0</v>
      </c>
      <c r="N323" s="2">
        <v>0</v>
      </c>
      <c r="O323" t="s">
        <v>53</v>
      </c>
      <c r="P323" t="s">
        <v>54</v>
      </c>
      <c r="Q323">
        <v>856163</v>
      </c>
      <c r="R323" t="s">
        <v>70</v>
      </c>
      <c r="S323" t="s">
        <v>71</v>
      </c>
      <c r="T323" t="s">
        <v>57</v>
      </c>
      <c r="U323" s="1">
        <v>45809</v>
      </c>
      <c r="W323" s="1">
        <v>45992</v>
      </c>
      <c r="X323">
        <v>1</v>
      </c>
      <c r="Y323" t="s">
        <v>58</v>
      </c>
      <c r="Z323" s="2">
        <v>0</v>
      </c>
      <c r="AA323">
        <v>0</v>
      </c>
      <c r="AB323" t="s">
        <v>60</v>
      </c>
      <c r="AC323" t="s">
        <v>61</v>
      </c>
      <c r="AD323">
        <v>0</v>
      </c>
      <c r="AE323" s="2">
        <v>0</v>
      </c>
      <c r="AF323" s="2">
        <v>0</v>
      </c>
      <c r="AG323" s="3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45957</v>
      </c>
      <c r="B324" t="s">
        <v>48</v>
      </c>
      <c r="C324">
        <v>649163</v>
      </c>
      <c r="D324">
        <v>2028965158</v>
      </c>
      <c r="E324" t="s">
        <v>939</v>
      </c>
      <c r="F324" t="s">
        <v>886</v>
      </c>
      <c r="G324" t="s">
        <v>51</v>
      </c>
      <c r="H324" t="s">
        <v>69</v>
      </c>
      <c r="I324" s="2">
        <v>80.16</v>
      </c>
      <c r="J324" t="s">
        <v>59</v>
      </c>
      <c r="K324" s="3">
        <v>0.7</v>
      </c>
      <c r="L324" s="2">
        <v>56.11</v>
      </c>
      <c r="M324" s="2">
        <v>0</v>
      </c>
      <c r="N324" s="2">
        <v>0</v>
      </c>
      <c r="O324" t="s">
        <v>53</v>
      </c>
      <c r="P324" t="s">
        <v>54</v>
      </c>
      <c r="Q324">
        <v>812994</v>
      </c>
      <c r="R324" t="s">
        <v>228</v>
      </c>
      <c r="S324" t="s">
        <v>229</v>
      </c>
      <c r="T324" t="s">
        <v>57</v>
      </c>
      <c r="U324" s="1">
        <v>45809</v>
      </c>
      <c r="W324" s="1">
        <v>45992</v>
      </c>
      <c r="X324">
        <v>1</v>
      </c>
      <c r="Y324" t="s">
        <v>58</v>
      </c>
      <c r="Z324" s="2">
        <v>0</v>
      </c>
      <c r="AA324">
        <v>0</v>
      </c>
      <c r="AB324" t="s">
        <v>60</v>
      </c>
      <c r="AC324" t="s">
        <v>61</v>
      </c>
      <c r="AD324">
        <v>0</v>
      </c>
      <c r="AE324" s="2">
        <v>0</v>
      </c>
      <c r="AF324" s="2">
        <v>0</v>
      </c>
      <c r="AG324" s="3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45957</v>
      </c>
      <c r="B325" t="s">
        <v>48</v>
      </c>
      <c r="C325">
        <v>649163</v>
      </c>
      <c r="D325">
        <v>2028965279</v>
      </c>
      <c r="E325" t="s">
        <v>940</v>
      </c>
      <c r="F325" t="s">
        <v>427</v>
      </c>
      <c r="G325" t="s">
        <v>51</v>
      </c>
      <c r="H325" t="s">
        <v>69</v>
      </c>
      <c r="I325" s="2">
        <v>57.35</v>
      </c>
      <c r="J325" t="s">
        <v>59</v>
      </c>
      <c r="K325" s="3">
        <v>0.7</v>
      </c>
      <c r="L325" s="2">
        <v>0</v>
      </c>
      <c r="M325" s="2">
        <v>40.14</v>
      </c>
      <c r="N325" s="2">
        <v>40.14</v>
      </c>
      <c r="O325" t="s">
        <v>53</v>
      </c>
      <c r="P325" t="s">
        <v>54</v>
      </c>
      <c r="Q325">
        <v>824081</v>
      </c>
      <c r="R325" t="s">
        <v>800</v>
      </c>
      <c r="S325" t="s">
        <v>801</v>
      </c>
      <c r="T325" t="s">
        <v>57</v>
      </c>
      <c r="U325" s="1">
        <v>45809</v>
      </c>
      <c r="W325" s="1">
        <v>45992</v>
      </c>
      <c r="X325">
        <v>1</v>
      </c>
      <c r="Y325" t="s">
        <v>58</v>
      </c>
      <c r="Z325" s="2">
        <v>0</v>
      </c>
      <c r="AA325">
        <v>0</v>
      </c>
      <c r="AB325" t="s">
        <v>60</v>
      </c>
      <c r="AC325" t="s">
        <v>61</v>
      </c>
      <c r="AD325">
        <v>0</v>
      </c>
      <c r="AE325" s="2">
        <v>0</v>
      </c>
      <c r="AF325" s="2">
        <v>0</v>
      </c>
      <c r="AG325" s="3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45957</v>
      </c>
      <c r="B326" t="s">
        <v>48</v>
      </c>
      <c r="C326">
        <v>649163</v>
      </c>
      <c r="D326">
        <v>2028992069</v>
      </c>
      <c r="E326" t="s">
        <v>791</v>
      </c>
      <c r="F326" t="s">
        <v>490</v>
      </c>
      <c r="G326" t="s">
        <v>51</v>
      </c>
      <c r="H326" t="s">
        <v>179</v>
      </c>
      <c r="I326" s="2">
        <v>-9.0500000000000007</v>
      </c>
      <c r="J326" t="s">
        <v>59</v>
      </c>
      <c r="K326" s="3">
        <v>0.7</v>
      </c>
      <c r="L326" s="2">
        <v>0</v>
      </c>
      <c r="M326" s="2">
        <v>-6.34</v>
      </c>
      <c r="N326" s="2">
        <v>-6.34</v>
      </c>
      <c r="O326" t="s">
        <v>53</v>
      </c>
      <c r="P326" t="s">
        <v>54</v>
      </c>
      <c r="Q326">
        <v>753748</v>
      </c>
      <c r="R326" t="s">
        <v>65</v>
      </c>
      <c r="S326" t="s">
        <v>66</v>
      </c>
      <c r="T326" t="s">
        <v>57</v>
      </c>
      <c r="U326" s="1">
        <v>45799</v>
      </c>
      <c r="W326" s="1">
        <v>45983</v>
      </c>
      <c r="X326">
        <v>1</v>
      </c>
      <c r="Y326" t="s">
        <v>58</v>
      </c>
      <c r="Z326" s="2">
        <v>0</v>
      </c>
      <c r="AA326">
        <v>-1</v>
      </c>
      <c r="AB326" t="s">
        <v>60</v>
      </c>
      <c r="AC326" t="s">
        <v>61</v>
      </c>
      <c r="AD326">
        <v>0</v>
      </c>
      <c r="AE326" s="2">
        <v>0</v>
      </c>
      <c r="AF326" s="2">
        <v>0</v>
      </c>
      <c r="AG326" s="3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45957</v>
      </c>
      <c r="B327" t="s">
        <v>48</v>
      </c>
      <c r="C327">
        <v>649163</v>
      </c>
      <c r="D327">
        <v>2029011564</v>
      </c>
      <c r="E327" t="s">
        <v>265</v>
      </c>
      <c r="F327" t="s">
        <v>792</v>
      </c>
      <c r="G327" t="s">
        <v>51</v>
      </c>
      <c r="H327" t="s">
        <v>69</v>
      </c>
      <c r="I327" s="2">
        <v>96</v>
      </c>
      <c r="J327" t="s">
        <v>59</v>
      </c>
      <c r="K327" s="3">
        <v>0.7</v>
      </c>
      <c r="L327" s="2">
        <v>67.2</v>
      </c>
      <c r="M327" s="2">
        <v>0</v>
      </c>
      <c r="N327" s="2">
        <v>0</v>
      </c>
      <c r="O327" t="s">
        <v>53</v>
      </c>
      <c r="P327" t="s">
        <v>54</v>
      </c>
      <c r="Q327">
        <v>673059</v>
      </c>
      <c r="R327" t="s">
        <v>55</v>
      </c>
      <c r="S327" t="s">
        <v>56</v>
      </c>
      <c r="T327" t="s">
        <v>57</v>
      </c>
      <c r="U327" s="1">
        <v>45809</v>
      </c>
      <c r="W327" s="1">
        <v>45992</v>
      </c>
      <c r="X327">
        <v>1</v>
      </c>
      <c r="Y327" t="s">
        <v>58</v>
      </c>
      <c r="Z327" s="2">
        <v>0</v>
      </c>
      <c r="AA327">
        <v>0</v>
      </c>
      <c r="AB327" t="s">
        <v>60</v>
      </c>
      <c r="AC327" t="s">
        <v>61</v>
      </c>
      <c r="AD327">
        <v>0</v>
      </c>
      <c r="AE327" s="2">
        <v>0</v>
      </c>
      <c r="AF327" s="2">
        <v>0</v>
      </c>
      <c r="AG327" s="3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45957</v>
      </c>
      <c r="B328" t="s">
        <v>48</v>
      </c>
      <c r="C328">
        <v>649163</v>
      </c>
      <c r="D328">
        <v>2029014822</v>
      </c>
      <c r="E328" t="s">
        <v>793</v>
      </c>
      <c r="F328" t="s">
        <v>794</v>
      </c>
      <c r="G328" t="s">
        <v>51</v>
      </c>
      <c r="H328" t="s">
        <v>69</v>
      </c>
      <c r="I328" s="2">
        <v>41.95</v>
      </c>
      <c r="J328" t="s">
        <v>59</v>
      </c>
      <c r="K328" s="3">
        <v>0.7</v>
      </c>
      <c r="L328" s="2">
        <v>29.36</v>
      </c>
      <c r="M328" s="2">
        <v>0</v>
      </c>
      <c r="N328" s="2">
        <v>0</v>
      </c>
      <c r="O328" t="s">
        <v>53</v>
      </c>
      <c r="P328" t="s">
        <v>54</v>
      </c>
      <c r="Q328">
        <v>673059</v>
      </c>
      <c r="R328" t="s">
        <v>55</v>
      </c>
      <c r="S328" t="s">
        <v>56</v>
      </c>
      <c r="T328" t="s">
        <v>57</v>
      </c>
      <c r="U328" s="1">
        <v>45809</v>
      </c>
      <c r="W328" s="1">
        <v>45992</v>
      </c>
      <c r="X328">
        <v>1</v>
      </c>
      <c r="Y328" t="s">
        <v>58</v>
      </c>
      <c r="Z328" s="2">
        <v>0</v>
      </c>
      <c r="AA328">
        <v>0</v>
      </c>
      <c r="AB328" t="s">
        <v>60</v>
      </c>
      <c r="AC328" t="s">
        <v>61</v>
      </c>
      <c r="AD328">
        <v>0</v>
      </c>
      <c r="AE328" s="2">
        <v>0</v>
      </c>
      <c r="AF328" s="2">
        <v>0</v>
      </c>
      <c r="AG328" s="3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45957</v>
      </c>
      <c r="B329" t="s">
        <v>48</v>
      </c>
      <c r="C329">
        <v>649163</v>
      </c>
      <c r="D329">
        <v>2029029117</v>
      </c>
      <c r="E329" t="s">
        <v>795</v>
      </c>
      <c r="F329" t="s">
        <v>301</v>
      </c>
      <c r="G329" t="s">
        <v>51</v>
      </c>
      <c r="H329" t="s">
        <v>92</v>
      </c>
      <c r="I329" s="2">
        <v>9.6999999999999993</v>
      </c>
      <c r="J329" t="s">
        <v>59</v>
      </c>
      <c r="K329" s="3">
        <v>0.7</v>
      </c>
      <c r="L329" s="2">
        <v>6.79</v>
      </c>
      <c r="M329" s="2">
        <v>0</v>
      </c>
      <c r="N329" s="2">
        <v>0</v>
      </c>
      <c r="O329" t="s">
        <v>53</v>
      </c>
      <c r="P329" t="s">
        <v>54</v>
      </c>
      <c r="Q329">
        <v>816021</v>
      </c>
      <c r="R329" t="s">
        <v>93</v>
      </c>
      <c r="S329" t="s">
        <v>94</v>
      </c>
      <c r="T329" t="s">
        <v>57</v>
      </c>
      <c r="U329" s="1">
        <v>45809</v>
      </c>
      <c r="W329" s="1">
        <v>45992</v>
      </c>
      <c r="X329">
        <v>1</v>
      </c>
      <c r="Y329" t="s">
        <v>58</v>
      </c>
      <c r="Z329" s="2">
        <v>0</v>
      </c>
      <c r="AA329">
        <v>0</v>
      </c>
      <c r="AB329" t="s">
        <v>60</v>
      </c>
      <c r="AC329" t="s">
        <v>61</v>
      </c>
      <c r="AD329">
        <v>0</v>
      </c>
      <c r="AE329" s="2">
        <v>0</v>
      </c>
      <c r="AF329" s="2">
        <v>0</v>
      </c>
      <c r="AG329" s="3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45957</v>
      </c>
      <c r="B330" t="s">
        <v>48</v>
      </c>
      <c r="C330">
        <v>649163</v>
      </c>
      <c r="D330">
        <v>2029031323</v>
      </c>
      <c r="E330" t="s">
        <v>796</v>
      </c>
      <c r="F330" t="s">
        <v>308</v>
      </c>
      <c r="G330" t="s">
        <v>51</v>
      </c>
      <c r="H330" t="s">
        <v>92</v>
      </c>
      <c r="I330" s="2">
        <v>9.6999999999999993</v>
      </c>
      <c r="J330" t="s">
        <v>59</v>
      </c>
      <c r="K330" s="3">
        <v>0.7</v>
      </c>
      <c r="L330" s="2">
        <v>6.79</v>
      </c>
      <c r="M330" s="2">
        <v>0</v>
      </c>
      <c r="N330" s="2">
        <v>0</v>
      </c>
      <c r="O330" t="s">
        <v>53</v>
      </c>
      <c r="P330" t="s">
        <v>54</v>
      </c>
      <c r="Q330">
        <v>816021</v>
      </c>
      <c r="R330" t="s">
        <v>93</v>
      </c>
      <c r="S330" t="s">
        <v>94</v>
      </c>
      <c r="T330" t="s">
        <v>57</v>
      </c>
      <c r="U330" s="1">
        <v>45809</v>
      </c>
      <c r="W330" s="1">
        <v>45992</v>
      </c>
      <c r="X330">
        <v>1</v>
      </c>
      <c r="Y330" t="s">
        <v>58</v>
      </c>
      <c r="Z330" s="2">
        <v>0</v>
      </c>
      <c r="AA330">
        <v>0</v>
      </c>
      <c r="AB330" t="s">
        <v>60</v>
      </c>
      <c r="AC330" t="s">
        <v>61</v>
      </c>
      <c r="AD330">
        <v>0</v>
      </c>
      <c r="AE330" s="2">
        <v>0</v>
      </c>
      <c r="AF330" s="2">
        <v>0</v>
      </c>
      <c r="AG330" s="3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45957</v>
      </c>
      <c r="B331" t="s">
        <v>48</v>
      </c>
      <c r="C331">
        <v>649163</v>
      </c>
      <c r="D331">
        <v>2029034139</v>
      </c>
      <c r="E331" t="s">
        <v>943</v>
      </c>
      <c r="F331" t="s">
        <v>944</v>
      </c>
      <c r="G331" t="s">
        <v>51</v>
      </c>
      <c r="H331" t="s">
        <v>69</v>
      </c>
      <c r="I331" s="2">
        <v>15.75</v>
      </c>
      <c r="J331" t="s">
        <v>59</v>
      </c>
      <c r="K331" s="3">
        <v>0.7</v>
      </c>
      <c r="L331" s="2">
        <v>11.02</v>
      </c>
      <c r="M331" s="2">
        <v>0</v>
      </c>
      <c r="N331" s="2">
        <v>0</v>
      </c>
      <c r="O331" t="s">
        <v>53</v>
      </c>
      <c r="P331" t="s">
        <v>54</v>
      </c>
      <c r="Q331">
        <v>824062</v>
      </c>
      <c r="R331" t="s">
        <v>74</v>
      </c>
      <c r="S331" t="s">
        <v>75</v>
      </c>
      <c r="T331" t="s">
        <v>57</v>
      </c>
      <c r="U331" s="1">
        <v>45809</v>
      </c>
      <c r="W331" s="1">
        <v>45992</v>
      </c>
      <c r="X331">
        <v>1</v>
      </c>
      <c r="Y331" t="s">
        <v>58</v>
      </c>
      <c r="Z331" s="2">
        <v>0</v>
      </c>
      <c r="AA331">
        <v>0</v>
      </c>
      <c r="AB331" t="s">
        <v>60</v>
      </c>
      <c r="AC331" t="s">
        <v>61</v>
      </c>
      <c r="AD331">
        <v>0</v>
      </c>
      <c r="AE331" s="2">
        <v>0</v>
      </c>
      <c r="AF331" s="2">
        <v>0</v>
      </c>
      <c r="AG331" s="3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45957</v>
      </c>
      <c r="B332" t="s">
        <v>48</v>
      </c>
      <c r="C332">
        <v>649163</v>
      </c>
      <c r="D332">
        <v>2029034660</v>
      </c>
      <c r="E332" t="s">
        <v>265</v>
      </c>
      <c r="F332" t="s">
        <v>797</v>
      </c>
      <c r="G332" t="s">
        <v>51</v>
      </c>
      <c r="H332" t="s">
        <v>69</v>
      </c>
      <c r="I332" s="2">
        <v>33.119999999999997</v>
      </c>
      <c r="J332" t="s">
        <v>59</v>
      </c>
      <c r="K332" s="3">
        <v>0.7</v>
      </c>
      <c r="L332" s="2">
        <v>23.18</v>
      </c>
      <c r="M332" s="2">
        <v>0</v>
      </c>
      <c r="N332" s="2">
        <v>0</v>
      </c>
      <c r="O332" t="s">
        <v>53</v>
      </c>
      <c r="P332" t="s">
        <v>54</v>
      </c>
      <c r="Q332">
        <v>673059</v>
      </c>
      <c r="R332" t="s">
        <v>55</v>
      </c>
      <c r="S332" t="s">
        <v>56</v>
      </c>
      <c r="T332" t="s">
        <v>57</v>
      </c>
      <c r="U332" s="1">
        <v>45809</v>
      </c>
      <c r="W332" s="1">
        <v>45992</v>
      </c>
      <c r="X332">
        <v>1</v>
      </c>
      <c r="Y332" t="s">
        <v>58</v>
      </c>
      <c r="Z332" s="2">
        <v>0</v>
      </c>
      <c r="AA332">
        <v>0</v>
      </c>
      <c r="AB332" t="s">
        <v>60</v>
      </c>
      <c r="AC332" t="s">
        <v>61</v>
      </c>
      <c r="AD332">
        <v>0</v>
      </c>
      <c r="AE332" s="2">
        <v>0</v>
      </c>
      <c r="AF332" s="2">
        <v>0</v>
      </c>
      <c r="AG332" s="3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45957</v>
      </c>
      <c r="B333" t="s">
        <v>48</v>
      </c>
      <c r="C333">
        <v>649163</v>
      </c>
      <c r="D333">
        <v>2029058756</v>
      </c>
      <c r="E333" t="s">
        <v>1054</v>
      </c>
      <c r="F333" t="s">
        <v>1055</v>
      </c>
      <c r="G333" t="s">
        <v>51</v>
      </c>
      <c r="H333" t="s">
        <v>69</v>
      </c>
      <c r="I333" s="2">
        <v>37.18</v>
      </c>
      <c r="J333" t="s">
        <v>59</v>
      </c>
      <c r="K333" s="3">
        <v>0.7</v>
      </c>
      <c r="L333" s="2">
        <v>26.03</v>
      </c>
      <c r="M333" s="2">
        <v>0</v>
      </c>
      <c r="N333" s="2">
        <v>0</v>
      </c>
      <c r="O333" t="s">
        <v>53</v>
      </c>
      <c r="P333" t="s">
        <v>54</v>
      </c>
      <c r="Q333">
        <v>821015</v>
      </c>
      <c r="R333" t="s">
        <v>398</v>
      </c>
      <c r="S333" t="s">
        <v>399</v>
      </c>
      <c r="T333" t="s">
        <v>57</v>
      </c>
      <c r="U333" s="1">
        <v>45809</v>
      </c>
      <c r="W333" s="1">
        <v>45992</v>
      </c>
      <c r="X333">
        <v>1</v>
      </c>
      <c r="Y333" t="s">
        <v>58</v>
      </c>
      <c r="Z333" s="2">
        <v>0</v>
      </c>
      <c r="AA333">
        <v>0</v>
      </c>
      <c r="AB333" t="s">
        <v>60</v>
      </c>
      <c r="AC333" t="s">
        <v>61</v>
      </c>
      <c r="AD333">
        <v>0</v>
      </c>
      <c r="AE333" s="2">
        <v>0</v>
      </c>
      <c r="AF333" s="2">
        <v>0</v>
      </c>
      <c r="AG333" s="3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45957</v>
      </c>
      <c r="B334" t="s">
        <v>48</v>
      </c>
      <c r="C334">
        <v>649163</v>
      </c>
      <c r="D334">
        <v>2029062372</v>
      </c>
      <c r="E334" t="s">
        <v>857</v>
      </c>
      <c r="F334" t="s">
        <v>945</v>
      </c>
      <c r="G334" t="s">
        <v>51</v>
      </c>
      <c r="H334" t="s">
        <v>261</v>
      </c>
      <c r="I334" s="2">
        <v>29.48</v>
      </c>
      <c r="J334" t="s">
        <v>59</v>
      </c>
      <c r="K334" s="3">
        <v>0.7</v>
      </c>
      <c r="L334" s="2">
        <v>0</v>
      </c>
      <c r="M334" s="2">
        <v>20.64</v>
      </c>
      <c r="N334" s="2">
        <v>20.64</v>
      </c>
      <c r="O334" t="s">
        <v>53</v>
      </c>
      <c r="P334" t="s">
        <v>54</v>
      </c>
      <c r="Q334">
        <v>767312</v>
      </c>
      <c r="R334" t="s">
        <v>237</v>
      </c>
      <c r="S334" t="s">
        <v>103</v>
      </c>
      <c r="T334" t="s">
        <v>57</v>
      </c>
      <c r="U334" s="1">
        <v>45800</v>
      </c>
      <c r="W334" s="1">
        <v>45984</v>
      </c>
      <c r="X334">
        <v>1</v>
      </c>
      <c r="Y334" t="s">
        <v>58</v>
      </c>
      <c r="Z334" s="2">
        <v>0</v>
      </c>
      <c r="AA334">
        <v>0</v>
      </c>
      <c r="AB334" t="s">
        <v>60</v>
      </c>
      <c r="AC334" t="s">
        <v>61</v>
      </c>
      <c r="AD334">
        <v>0</v>
      </c>
      <c r="AE334" s="2">
        <v>0</v>
      </c>
      <c r="AF334" s="2">
        <v>0</v>
      </c>
      <c r="AG334" s="3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45957</v>
      </c>
      <c r="B335" t="s">
        <v>48</v>
      </c>
      <c r="C335">
        <v>649163</v>
      </c>
      <c r="D335">
        <v>2029068609</v>
      </c>
      <c r="E335" t="s">
        <v>946</v>
      </c>
      <c r="F335" t="s">
        <v>947</v>
      </c>
      <c r="G335" t="s">
        <v>51</v>
      </c>
      <c r="H335" t="s">
        <v>69</v>
      </c>
      <c r="I335" s="2">
        <v>52</v>
      </c>
      <c r="J335" t="s">
        <v>59</v>
      </c>
      <c r="K335" s="3">
        <v>0.7</v>
      </c>
      <c r="L335" s="2">
        <v>36.4</v>
      </c>
      <c r="M335" s="2">
        <v>0</v>
      </c>
      <c r="N335" s="2">
        <v>0</v>
      </c>
      <c r="O335" t="s">
        <v>53</v>
      </c>
      <c r="P335" t="s">
        <v>54</v>
      </c>
      <c r="Q335">
        <v>812656</v>
      </c>
      <c r="R335" t="s">
        <v>82</v>
      </c>
      <c r="S335" t="s">
        <v>83</v>
      </c>
      <c r="T335" t="s">
        <v>57</v>
      </c>
      <c r="U335" s="1">
        <v>45809</v>
      </c>
      <c r="W335" s="1">
        <v>45992</v>
      </c>
      <c r="X335">
        <v>1</v>
      </c>
      <c r="Y335" t="s">
        <v>58</v>
      </c>
      <c r="Z335" s="2">
        <v>0</v>
      </c>
      <c r="AA335">
        <v>0</v>
      </c>
      <c r="AB335" t="s">
        <v>60</v>
      </c>
      <c r="AC335" t="s">
        <v>61</v>
      </c>
      <c r="AD335">
        <v>0</v>
      </c>
      <c r="AE335" s="2">
        <v>0</v>
      </c>
      <c r="AF335" s="2">
        <v>0</v>
      </c>
      <c r="AG335" s="3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45957</v>
      </c>
      <c r="B336" t="s">
        <v>48</v>
      </c>
      <c r="C336">
        <v>649163</v>
      </c>
      <c r="D336">
        <v>2029089291</v>
      </c>
      <c r="E336" t="s">
        <v>1056</v>
      </c>
      <c r="F336" t="s">
        <v>413</v>
      </c>
      <c r="G336" t="s">
        <v>51</v>
      </c>
      <c r="H336" t="s">
        <v>195</v>
      </c>
      <c r="I336" s="2">
        <v>85.53</v>
      </c>
      <c r="J336" t="s">
        <v>59</v>
      </c>
      <c r="K336" s="3">
        <v>0.7</v>
      </c>
      <c r="L336" s="2">
        <v>59.87</v>
      </c>
      <c r="M336" s="2">
        <v>0</v>
      </c>
      <c r="N336" s="2">
        <v>0</v>
      </c>
      <c r="O336" t="s">
        <v>53</v>
      </c>
      <c r="P336" t="s">
        <v>257</v>
      </c>
      <c r="Q336">
        <v>649247</v>
      </c>
      <c r="R336" t="s">
        <v>321</v>
      </c>
      <c r="S336" t="s">
        <v>322</v>
      </c>
      <c r="T336" t="s">
        <v>57</v>
      </c>
      <c r="U336" s="1">
        <v>45809</v>
      </c>
      <c r="W336" s="1">
        <v>45992</v>
      </c>
      <c r="X336">
        <v>1</v>
      </c>
      <c r="Y336" t="s">
        <v>58</v>
      </c>
      <c r="Z336" s="2">
        <v>0</v>
      </c>
      <c r="AA336">
        <v>0</v>
      </c>
      <c r="AB336" t="s">
        <v>60</v>
      </c>
      <c r="AC336" t="s">
        <v>61</v>
      </c>
      <c r="AD336">
        <v>0</v>
      </c>
      <c r="AE336" s="2">
        <v>0</v>
      </c>
      <c r="AF336" s="2">
        <v>0</v>
      </c>
      <c r="AG336" s="3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45957</v>
      </c>
      <c r="B337" t="s">
        <v>48</v>
      </c>
      <c r="C337">
        <v>649163</v>
      </c>
      <c r="D337">
        <v>2029112078</v>
      </c>
      <c r="E337" t="s">
        <v>1057</v>
      </c>
      <c r="F337" t="s">
        <v>704</v>
      </c>
      <c r="G337" t="s">
        <v>51</v>
      </c>
      <c r="H337" t="s">
        <v>69</v>
      </c>
      <c r="I337" s="2">
        <v>46.08</v>
      </c>
      <c r="J337" t="s">
        <v>59</v>
      </c>
      <c r="K337" s="3">
        <v>0.7</v>
      </c>
      <c r="L337" s="2">
        <v>32.26</v>
      </c>
      <c r="M337" s="2">
        <v>0</v>
      </c>
      <c r="N337" s="2">
        <v>0</v>
      </c>
      <c r="O337" t="s">
        <v>53</v>
      </c>
      <c r="P337" t="s">
        <v>54</v>
      </c>
      <c r="Q337">
        <v>812656</v>
      </c>
      <c r="R337" t="s">
        <v>82</v>
      </c>
      <c r="S337" t="s">
        <v>83</v>
      </c>
      <c r="T337" t="s">
        <v>57</v>
      </c>
      <c r="U337" s="1">
        <v>45802</v>
      </c>
      <c r="W337" s="1">
        <v>45986</v>
      </c>
      <c r="X337">
        <v>1</v>
      </c>
      <c r="Y337" t="s">
        <v>58</v>
      </c>
      <c r="Z337" s="2">
        <v>0</v>
      </c>
      <c r="AA337">
        <v>0</v>
      </c>
      <c r="AB337" t="s">
        <v>60</v>
      </c>
      <c r="AC337" t="s">
        <v>61</v>
      </c>
      <c r="AD337">
        <v>0</v>
      </c>
      <c r="AE337" s="2">
        <v>0</v>
      </c>
      <c r="AF337" s="2">
        <v>0</v>
      </c>
      <c r="AG337" s="3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45957</v>
      </c>
      <c r="B338" t="s">
        <v>48</v>
      </c>
      <c r="C338">
        <v>649163</v>
      </c>
      <c r="D338">
        <v>2029118392</v>
      </c>
      <c r="E338" t="s">
        <v>1058</v>
      </c>
      <c r="F338" t="s">
        <v>1059</v>
      </c>
      <c r="G338" t="s">
        <v>51</v>
      </c>
      <c r="H338" t="s">
        <v>69</v>
      </c>
      <c r="I338" s="2">
        <v>76.709999999999994</v>
      </c>
      <c r="J338" t="s">
        <v>59</v>
      </c>
      <c r="K338" s="3">
        <v>0.7</v>
      </c>
      <c r="L338" s="2">
        <v>53.69</v>
      </c>
      <c r="M338" s="2">
        <v>0.01</v>
      </c>
      <c r="N338" s="2">
        <v>0.01</v>
      </c>
      <c r="O338" t="s">
        <v>53</v>
      </c>
      <c r="P338" t="s">
        <v>54</v>
      </c>
      <c r="Q338">
        <v>807212</v>
      </c>
      <c r="R338" t="s">
        <v>769</v>
      </c>
      <c r="S338" t="s">
        <v>770</v>
      </c>
      <c r="T338" t="s">
        <v>57</v>
      </c>
      <c r="U338" s="1">
        <v>45803</v>
      </c>
      <c r="W338" s="1">
        <v>45987</v>
      </c>
      <c r="X338">
        <v>1</v>
      </c>
      <c r="Y338" t="s">
        <v>58</v>
      </c>
      <c r="Z338" s="2">
        <v>0</v>
      </c>
      <c r="AA338">
        <v>0</v>
      </c>
      <c r="AB338" t="s">
        <v>60</v>
      </c>
      <c r="AC338" t="s">
        <v>61</v>
      </c>
      <c r="AD338">
        <v>0</v>
      </c>
      <c r="AE338" s="2">
        <v>0</v>
      </c>
      <c r="AF338" s="2">
        <v>0</v>
      </c>
      <c r="AG338" s="3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45957</v>
      </c>
      <c r="B339" t="s">
        <v>48</v>
      </c>
      <c r="C339">
        <v>649163</v>
      </c>
      <c r="D339">
        <v>2029118625</v>
      </c>
      <c r="E339" t="s">
        <v>1058</v>
      </c>
      <c r="F339" t="s">
        <v>1060</v>
      </c>
      <c r="G339" t="s">
        <v>51</v>
      </c>
      <c r="H339" t="s">
        <v>69</v>
      </c>
      <c r="I339" s="2">
        <v>51</v>
      </c>
      <c r="J339" t="s">
        <v>59</v>
      </c>
      <c r="K339" s="3">
        <v>0.7</v>
      </c>
      <c r="L339" s="2">
        <v>35.700000000000003</v>
      </c>
      <c r="M339" s="2">
        <v>0</v>
      </c>
      <c r="N339" s="2">
        <v>0</v>
      </c>
      <c r="O339" t="s">
        <v>53</v>
      </c>
      <c r="P339" t="s">
        <v>54</v>
      </c>
      <c r="Q339">
        <v>807212</v>
      </c>
      <c r="R339" t="s">
        <v>769</v>
      </c>
      <c r="S339" t="s">
        <v>770</v>
      </c>
      <c r="T339" t="s">
        <v>57</v>
      </c>
      <c r="U339" s="1">
        <v>45803</v>
      </c>
      <c r="W339" s="1">
        <v>45987</v>
      </c>
      <c r="X339">
        <v>1</v>
      </c>
      <c r="Y339" t="s">
        <v>58</v>
      </c>
      <c r="Z339" s="2">
        <v>0</v>
      </c>
      <c r="AA339">
        <v>0</v>
      </c>
      <c r="AB339" t="s">
        <v>60</v>
      </c>
      <c r="AC339" t="s">
        <v>61</v>
      </c>
      <c r="AD339">
        <v>0</v>
      </c>
      <c r="AE339" s="2">
        <v>0</v>
      </c>
      <c r="AF339" s="2">
        <v>0</v>
      </c>
      <c r="AG339" s="3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45957</v>
      </c>
      <c r="B340" t="s">
        <v>48</v>
      </c>
      <c r="C340">
        <v>649163</v>
      </c>
      <c r="D340">
        <v>2029130570</v>
      </c>
      <c r="E340" t="s">
        <v>1061</v>
      </c>
      <c r="F340" t="s">
        <v>1062</v>
      </c>
      <c r="G340" t="s">
        <v>51</v>
      </c>
      <c r="H340" t="s">
        <v>195</v>
      </c>
      <c r="I340" s="2">
        <v>25.73</v>
      </c>
      <c r="J340" t="s">
        <v>59</v>
      </c>
      <c r="K340" s="3">
        <v>0.7</v>
      </c>
      <c r="L340" s="2">
        <v>18.010000000000002</v>
      </c>
      <c r="M340" s="2">
        <v>0</v>
      </c>
      <c r="N340" s="2">
        <v>0</v>
      </c>
      <c r="O340" t="s">
        <v>53</v>
      </c>
      <c r="P340" t="s">
        <v>257</v>
      </c>
      <c r="Q340">
        <v>649247</v>
      </c>
      <c r="R340" t="s">
        <v>321</v>
      </c>
      <c r="S340" t="s">
        <v>322</v>
      </c>
      <c r="T340" t="s">
        <v>57</v>
      </c>
      <c r="U340" s="1">
        <v>45809</v>
      </c>
      <c r="W340" s="1">
        <v>45992</v>
      </c>
      <c r="X340">
        <v>1</v>
      </c>
      <c r="Y340" t="s">
        <v>58</v>
      </c>
      <c r="Z340" s="2">
        <v>0</v>
      </c>
      <c r="AA340">
        <v>0</v>
      </c>
      <c r="AB340" t="s">
        <v>60</v>
      </c>
      <c r="AC340" t="s">
        <v>61</v>
      </c>
      <c r="AD340">
        <v>0</v>
      </c>
      <c r="AE340" s="2">
        <v>0</v>
      </c>
      <c r="AF340" s="2">
        <v>0</v>
      </c>
      <c r="AG340" s="3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45957</v>
      </c>
      <c r="B341" t="s">
        <v>48</v>
      </c>
      <c r="C341">
        <v>649163</v>
      </c>
      <c r="D341">
        <v>2029145085</v>
      </c>
      <c r="E341" t="s">
        <v>703</v>
      </c>
      <c r="F341" t="s">
        <v>704</v>
      </c>
      <c r="G341" t="s">
        <v>51</v>
      </c>
      <c r="H341" t="s">
        <v>69</v>
      </c>
      <c r="I341" s="2">
        <v>115.38</v>
      </c>
      <c r="J341" t="s">
        <v>59</v>
      </c>
      <c r="K341" s="3">
        <v>0.7</v>
      </c>
      <c r="L341" s="2">
        <v>80.77</v>
      </c>
      <c r="M341" s="2">
        <v>0</v>
      </c>
      <c r="N341" s="2">
        <v>0</v>
      </c>
      <c r="O341" t="s">
        <v>53</v>
      </c>
      <c r="P341" t="s">
        <v>54</v>
      </c>
      <c r="Q341">
        <v>766422</v>
      </c>
      <c r="R341" t="s">
        <v>335</v>
      </c>
      <c r="S341" t="s">
        <v>336</v>
      </c>
      <c r="T341" t="s">
        <v>57</v>
      </c>
      <c r="U341" s="1">
        <v>45805</v>
      </c>
      <c r="W341" s="1">
        <v>45989</v>
      </c>
      <c r="X341">
        <v>1</v>
      </c>
      <c r="Y341" t="s">
        <v>58</v>
      </c>
      <c r="Z341" s="2">
        <v>0</v>
      </c>
      <c r="AA341">
        <v>0</v>
      </c>
      <c r="AB341" t="s">
        <v>60</v>
      </c>
      <c r="AC341" t="s">
        <v>61</v>
      </c>
      <c r="AD341">
        <v>0</v>
      </c>
      <c r="AE341" s="2">
        <v>0</v>
      </c>
      <c r="AF341" s="2">
        <v>0</v>
      </c>
      <c r="AG341" s="3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45957</v>
      </c>
      <c r="B342" t="s">
        <v>48</v>
      </c>
      <c r="C342">
        <v>649163</v>
      </c>
      <c r="D342">
        <v>2029183288</v>
      </c>
      <c r="E342" t="s">
        <v>796</v>
      </c>
      <c r="F342" t="s">
        <v>89</v>
      </c>
      <c r="G342" t="s">
        <v>51</v>
      </c>
      <c r="H342" t="s">
        <v>165</v>
      </c>
      <c r="I342" s="2">
        <v>13</v>
      </c>
      <c r="J342" t="s">
        <v>59</v>
      </c>
      <c r="K342" s="3">
        <v>0.7</v>
      </c>
      <c r="L342" s="2">
        <v>9.1</v>
      </c>
      <c r="M342" s="2">
        <v>0</v>
      </c>
      <c r="N342" s="2">
        <v>0</v>
      </c>
      <c r="O342" t="s">
        <v>53</v>
      </c>
      <c r="P342" t="s">
        <v>54</v>
      </c>
      <c r="Q342">
        <v>806645</v>
      </c>
      <c r="R342" t="s">
        <v>88</v>
      </c>
      <c r="S342" t="s">
        <v>89</v>
      </c>
      <c r="T342" t="s">
        <v>57</v>
      </c>
      <c r="U342" s="1">
        <v>45807</v>
      </c>
      <c r="W342" s="1">
        <v>45991</v>
      </c>
      <c r="X342">
        <v>1</v>
      </c>
      <c r="Y342" t="s">
        <v>58</v>
      </c>
      <c r="Z342" s="2">
        <v>0</v>
      </c>
      <c r="AA342">
        <v>0</v>
      </c>
      <c r="AB342" t="s">
        <v>60</v>
      </c>
      <c r="AC342" t="s">
        <v>61</v>
      </c>
      <c r="AD342">
        <v>0</v>
      </c>
      <c r="AE342" s="2">
        <v>0</v>
      </c>
      <c r="AF342" s="2">
        <v>0</v>
      </c>
      <c r="AG342" s="3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45957</v>
      </c>
      <c r="B343" t="s">
        <v>48</v>
      </c>
      <c r="C343">
        <v>649163</v>
      </c>
      <c r="D343">
        <v>2029189478</v>
      </c>
      <c r="E343" t="s">
        <v>799</v>
      </c>
      <c r="F343" t="s">
        <v>296</v>
      </c>
      <c r="G343" t="s">
        <v>51</v>
      </c>
      <c r="H343" t="s">
        <v>69</v>
      </c>
      <c r="I343" s="2">
        <v>134.43</v>
      </c>
      <c r="J343" t="s">
        <v>59</v>
      </c>
      <c r="K343" s="3">
        <v>0.7</v>
      </c>
      <c r="L343" s="2">
        <v>94.1</v>
      </c>
      <c r="M343" s="2">
        <v>0</v>
      </c>
      <c r="N343" s="2">
        <v>0</v>
      </c>
      <c r="O343" t="s">
        <v>53</v>
      </c>
      <c r="P343" t="s">
        <v>54</v>
      </c>
      <c r="Q343">
        <v>824081</v>
      </c>
      <c r="R343" t="s">
        <v>800</v>
      </c>
      <c r="S343" t="s">
        <v>801</v>
      </c>
      <c r="T343" t="s">
        <v>57</v>
      </c>
      <c r="U343" s="1">
        <v>45809</v>
      </c>
      <c r="W343" s="1">
        <v>45992</v>
      </c>
      <c r="X343">
        <v>1</v>
      </c>
      <c r="Y343" t="s">
        <v>58</v>
      </c>
      <c r="Z343" s="2">
        <v>0</v>
      </c>
      <c r="AA343">
        <v>0</v>
      </c>
      <c r="AB343" t="s">
        <v>60</v>
      </c>
      <c r="AC343" t="s">
        <v>61</v>
      </c>
      <c r="AD343">
        <v>0</v>
      </c>
      <c r="AE343" s="2">
        <v>0</v>
      </c>
      <c r="AF343" s="2">
        <v>0</v>
      </c>
      <c r="AG343" s="3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45957</v>
      </c>
      <c r="B344" t="s">
        <v>48</v>
      </c>
      <c r="C344">
        <v>649163</v>
      </c>
      <c r="D344">
        <v>2029204336</v>
      </c>
      <c r="E344" t="s">
        <v>953</v>
      </c>
      <c r="F344" t="s">
        <v>354</v>
      </c>
      <c r="G344" t="s">
        <v>51</v>
      </c>
      <c r="H344" t="s">
        <v>179</v>
      </c>
      <c r="I344" s="2">
        <v>34.03</v>
      </c>
      <c r="J344" t="s">
        <v>59</v>
      </c>
      <c r="K344" s="3">
        <v>0.7</v>
      </c>
      <c r="L344" s="2">
        <v>23.82</v>
      </c>
      <c r="M344" s="2">
        <v>0</v>
      </c>
      <c r="N344" s="2">
        <v>0</v>
      </c>
      <c r="O344" t="s">
        <v>53</v>
      </c>
      <c r="P344" t="s">
        <v>54</v>
      </c>
      <c r="Q344">
        <v>756418</v>
      </c>
      <c r="R344" t="s">
        <v>191</v>
      </c>
      <c r="S344" t="s">
        <v>192</v>
      </c>
      <c r="T344" t="s">
        <v>57</v>
      </c>
      <c r="U344" s="1">
        <v>45808</v>
      </c>
      <c r="W344" s="1">
        <v>45991</v>
      </c>
      <c r="X344">
        <v>1</v>
      </c>
      <c r="Y344" t="s">
        <v>58</v>
      </c>
      <c r="Z344" s="2">
        <v>0</v>
      </c>
      <c r="AA344">
        <v>0</v>
      </c>
      <c r="AB344" t="s">
        <v>60</v>
      </c>
      <c r="AC344" t="s">
        <v>61</v>
      </c>
      <c r="AD344">
        <v>0</v>
      </c>
      <c r="AE344" s="2">
        <v>0</v>
      </c>
      <c r="AF344" s="2">
        <v>0</v>
      </c>
      <c r="AG344" s="3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45957</v>
      </c>
      <c r="B345" t="s">
        <v>48</v>
      </c>
      <c r="C345">
        <v>649163</v>
      </c>
      <c r="D345">
        <v>2029210003</v>
      </c>
      <c r="E345" t="s">
        <v>255</v>
      </c>
      <c r="F345" t="s">
        <v>404</v>
      </c>
      <c r="G345" t="s">
        <v>51</v>
      </c>
      <c r="H345" t="s">
        <v>81</v>
      </c>
      <c r="I345" s="2">
        <v>85.63</v>
      </c>
      <c r="J345" t="s">
        <v>59</v>
      </c>
      <c r="K345" s="3">
        <v>0.7</v>
      </c>
      <c r="L345" s="2">
        <v>59.94</v>
      </c>
      <c r="M345" s="2">
        <v>0</v>
      </c>
      <c r="N345" s="2">
        <v>0</v>
      </c>
      <c r="O345" t="s">
        <v>53</v>
      </c>
      <c r="P345" t="s">
        <v>54</v>
      </c>
      <c r="Q345">
        <v>856824</v>
      </c>
      <c r="R345" t="s">
        <v>175</v>
      </c>
      <c r="S345" t="s">
        <v>176</v>
      </c>
      <c r="T345" t="s">
        <v>57</v>
      </c>
      <c r="U345" s="1">
        <v>45809</v>
      </c>
      <c r="W345" s="1">
        <v>45992</v>
      </c>
      <c r="X345">
        <v>1</v>
      </c>
      <c r="Y345" t="s">
        <v>58</v>
      </c>
      <c r="Z345" s="2">
        <v>0</v>
      </c>
      <c r="AA345">
        <v>0</v>
      </c>
      <c r="AB345" t="s">
        <v>60</v>
      </c>
      <c r="AC345" t="s">
        <v>61</v>
      </c>
      <c r="AD345">
        <v>0</v>
      </c>
      <c r="AE345" s="2">
        <v>0</v>
      </c>
      <c r="AF345" s="2">
        <v>0</v>
      </c>
      <c r="AG345" s="3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45957</v>
      </c>
      <c r="B346" t="s">
        <v>48</v>
      </c>
      <c r="C346">
        <v>649163</v>
      </c>
      <c r="D346">
        <v>2029215890</v>
      </c>
      <c r="E346" t="s">
        <v>1063</v>
      </c>
      <c r="F346" t="s">
        <v>1064</v>
      </c>
      <c r="G346" t="s">
        <v>51</v>
      </c>
      <c r="H346" t="s">
        <v>52</v>
      </c>
      <c r="I346" s="2">
        <v>77.430000000000007</v>
      </c>
      <c r="J346" t="s">
        <v>59</v>
      </c>
      <c r="K346" s="3">
        <v>0.7</v>
      </c>
      <c r="L346" s="2">
        <v>54.2</v>
      </c>
      <c r="M346" s="2">
        <v>0</v>
      </c>
      <c r="N346" s="2">
        <v>0</v>
      </c>
      <c r="O346" t="s">
        <v>53</v>
      </c>
      <c r="P346" t="s">
        <v>54</v>
      </c>
      <c r="Q346">
        <v>856824</v>
      </c>
      <c r="R346" t="s">
        <v>175</v>
      </c>
      <c r="S346" t="s">
        <v>176</v>
      </c>
      <c r="T346" t="s">
        <v>57</v>
      </c>
      <c r="U346" s="1">
        <v>45809</v>
      </c>
      <c r="W346" s="1">
        <v>45992</v>
      </c>
      <c r="X346">
        <v>1</v>
      </c>
      <c r="Y346" t="s">
        <v>58</v>
      </c>
      <c r="Z346" s="2">
        <v>0</v>
      </c>
      <c r="AA346">
        <v>0</v>
      </c>
      <c r="AB346" t="s">
        <v>60</v>
      </c>
      <c r="AC346" t="s">
        <v>61</v>
      </c>
      <c r="AD346">
        <v>0</v>
      </c>
      <c r="AE346" s="2">
        <v>0</v>
      </c>
      <c r="AF346" s="2">
        <v>0</v>
      </c>
      <c r="AG346" s="3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45957</v>
      </c>
      <c r="B347" t="s">
        <v>48</v>
      </c>
      <c r="C347">
        <v>649163</v>
      </c>
      <c r="D347">
        <v>2029494259</v>
      </c>
      <c r="E347" t="s">
        <v>954</v>
      </c>
      <c r="F347" t="s">
        <v>955</v>
      </c>
      <c r="G347" t="s">
        <v>51</v>
      </c>
      <c r="H347" t="s">
        <v>208</v>
      </c>
      <c r="I347" s="2">
        <v>46.14</v>
      </c>
      <c r="J347" t="s">
        <v>59</v>
      </c>
      <c r="K347" s="3">
        <v>0.7</v>
      </c>
      <c r="L347" s="2">
        <v>32.299999999999997</v>
      </c>
      <c r="M347" s="2">
        <v>0</v>
      </c>
      <c r="N347" s="2">
        <v>0</v>
      </c>
      <c r="O347" t="s">
        <v>53</v>
      </c>
      <c r="P347" t="s">
        <v>54</v>
      </c>
      <c r="Q347">
        <v>792847</v>
      </c>
      <c r="R347" t="s">
        <v>371</v>
      </c>
      <c r="S347" t="s">
        <v>372</v>
      </c>
      <c r="T347" t="s">
        <v>57</v>
      </c>
      <c r="U347" s="1">
        <v>45839</v>
      </c>
      <c r="W347" s="1">
        <v>45962</v>
      </c>
      <c r="X347">
        <v>1</v>
      </c>
      <c r="Y347" t="s">
        <v>58</v>
      </c>
      <c r="Z347" s="2">
        <v>0</v>
      </c>
      <c r="AA347">
        <v>0</v>
      </c>
      <c r="AB347" t="s">
        <v>60</v>
      </c>
      <c r="AC347" t="s">
        <v>61</v>
      </c>
      <c r="AD347">
        <v>0</v>
      </c>
      <c r="AE347" s="2">
        <v>0</v>
      </c>
      <c r="AF347" s="2">
        <v>0</v>
      </c>
      <c r="AG347" s="3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45957</v>
      </c>
      <c r="B348" t="s">
        <v>48</v>
      </c>
      <c r="C348">
        <v>649163</v>
      </c>
      <c r="D348">
        <v>2029620630</v>
      </c>
      <c r="E348" t="s">
        <v>284</v>
      </c>
      <c r="F348" t="s">
        <v>705</v>
      </c>
      <c r="G348" t="s">
        <v>51</v>
      </c>
      <c r="H348" t="s">
        <v>69</v>
      </c>
      <c r="I348" s="2">
        <v>11.5</v>
      </c>
      <c r="J348" t="s">
        <v>59</v>
      </c>
      <c r="K348" s="3">
        <v>0.7</v>
      </c>
      <c r="L348" s="2">
        <v>8.0500000000000007</v>
      </c>
      <c r="M348" s="2">
        <v>0</v>
      </c>
      <c r="N348" s="2">
        <v>0</v>
      </c>
      <c r="O348" t="s">
        <v>53</v>
      </c>
      <c r="P348" t="s">
        <v>54</v>
      </c>
      <c r="Q348">
        <v>824062</v>
      </c>
      <c r="R348" t="s">
        <v>74</v>
      </c>
      <c r="S348" t="s">
        <v>75</v>
      </c>
      <c r="T348" t="s">
        <v>57</v>
      </c>
      <c r="U348" s="1">
        <v>45833</v>
      </c>
      <c r="W348" s="1">
        <v>45986</v>
      </c>
      <c r="X348">
        <v>1</v>
      </c>
      <c r="Y348" t="s">
        <v>58</v>
      </c>
      <c r="Z348" s="2">
        <v>0</v>
      </c>
      <c r="AA348">
        <v>0</v>
      </c>
      <c r="AB348" t="s">
        <v>60</v>
      </c>
      <c r="AC348" t="s">
        <v>61</v>
      </c>
      <c r="AD348">
        <v>0</v>
      </c>
      <c r="AE348" s="2">
        <v>0</v>
      </c>
      <c r="AF348" s="2">
        <v>0</v>
      </c>
      <c r="AG348" s="3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45957</v>
      </c>
      <c r="B349" t="s">
        <v>48</v>
      </c>
      <c r="C349">
        <v>649163</v>
      </c>
      <c r="D349">
        <v>2029623277</v>
      </c>
      <c r="E349" t="s">
        <v>106</v>
      </c>
      <c r="F349" t="s">
        <v>706</v>
      </c>
      <c r="G349" t="s">
        <v>51</v>
      </c>
      <c r="H349" t="s">
        <v>69</v>
      </c>
      <c r="I349" s="2">
        <v>56.5</v>
      </c>
      <c r="J349" t="s">
        <v>59</v>
      </c>
      <c r="K349" s="3">
        <v>0.7</v>
      </c>
      <c r="L349" s="2">
        <v>39.549999999999997</v>
      </c>
      <c r="M349" s="2">
        <v>0</v>
      </c>
      <c r="N349" s="2">
        <v>0</v>
      </c>
      <c r="O349" t="s">
        <v>53</v>
      </c>
      <c r="P349" t="s">
        <v>54</v>
      </c>
      <c r="Q349">
        <v>840313</v>
      </c>
      <c r="R349" t="s">
        <v>159</v>
      </c>
      <c r="S349" t="s">
        <v>160</v>
      </c>
      <c r="T349" t="s">
        <v>57</v>
      </c>
      <c r="U349" s="1">
        <v>45833</v>
      </c>
      <c r="W349" s="1">
        <v>45986</v>
      </c>
      <c r="X349">
        <v>1</v>
      </c>
      <c r="Y349" t="s">
        <v>58</v>
      </c>
      <c r="Z349" s="2">
        <v>0</v>
      </c>
      <c r="AA349">
        <v>0</v>
      </c>
      <c r="AB349" t="s">
        <v>60</v>
      </c>
      <c r="AC349" t="s">
        <v>61</v>
      </c>
      <c r="AD349">
        <v>0</v>
      </c>
      <c r="AE349" s="2">
        <v>0</v>
      </c>
      <c r="AF349" s="2">
        <v>0</v>
      </c>
      <c r="AG349" s="3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45957</v>
      </c>
      <c r="B350" t="s">
        <v>48</v>
      </c>
      <c r="C350">
        <v>649163</v>
      </c>
      <c r="D350">
        <v>2029624410</v>
      </c>
      <c r="E350" t="s">
        <v>956</v>
      </c>
      <c r="F350" t="s">
        <v>485</v>
      </c>
      <c r="G350" t="s">
        <v>51</v>
      </c>
      <c r="H350" t="s">
        <v>261</v>
      </c>
      <c r="I350" s="2">
        <v>49.18</v>
      </c>
      <c r="J350" t="s">
        <v>59</v>
      </c>
      <c r="K350" s="3">
        <v>0.7</v>
      </c>
      <c r="L350" s="2">
        <v>34.43</v>
      </c>
      <c r="M350" s="2">
        <v>0</v>
      </c>
      <c r="N350" s="2">
        <v>0</v>
      </c>
      <c r="O350" t="s">
        <v>53</v>
      </c>
      <c r="P350" t="s">
        <v>54</v>
      </c>
      <c r="Q350">
        <v>822865</v>
      </c>
      <c r="R350" t="s">
        <v>469</v>
      </c>
      <c r="S350" t="s">
        <v>470</v>
      </c>
      <c r="T350" t="s">
        <v>57</v>
      </c>
      <c r="U350" s="1">
        <v>45838</v>
      </c>
      <c r="W350" s="1">
        <v>45991</v>
      </c>
      <c r="X350">
        <v>1</v>
      </c>
      <c r="Y350" t="s">
        <v>58</v>
      </c>
      <c r="Z350" s="2">
        <v>0</v>
      </c>
      <c r="AA350">
        <v>0</v>
      </c>
      <c r="AB350" t="s">
        <v>60</v>
      </c>
      <c r="AC350" t="s">
        <v>61</v>
      </c>
      <c r="AD350">
        <v>0</v>
      </c>
      <c r="AE350" s="2">
        <v>0</v>
      </c>
      <c r="AF350" s="2">
        <v>0</v>
      </c>
      <c r="AG350" s="3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45957</v>
      </c>
      <c r="B351" t="s">
        <v>48</v>
      </c>
      <c r="C351">
        <v>649163</v>
      </c>
      <c r="D351">
        <v>2029665028</v>
      </c>
      <c r="E351" t="s">
        <v>937</v>
      </c>
      <c r="F351" t="s">
        <v>1069</v>
      </c>
      <c r="G351" t="s">
        <v>51</v>
      </c>
      <c r="H351" t="s">
        <v>455</v>
      </c>
      <c r="I351" s="2">
        <v>34</v>
      </c>
      <c r="J351" t="s">
        <v>59</v>
      </c>
      <c r="K351" s="3">
        <v>0.7</v>
      </c>
      <c r="L351" s="2">
        <v>23.8</v>
      </c>
      <c r="M351" s="2">
        <v>0</v>
      </c>
      <c r="N351" s="2">
        <v>0</v>
      </c>
      <c r="O351" t="s">
        <v>53</v>
      </c>
      <c r="P351" t="s">
        <v>54</v>
      </c>
      <c r="Q351">
        <v>812656</v>
      </c>
      <c r="R351" t="s">
        <v>82</v>
      </c>
      <c r="S351" t="s">
        <v>83</v>
      </c>
      <c r="T351" t="s">
        <v>57</v>
      </c>
      <c r="U351" s="1">
        <v>45835</v>
      </c>
      <c r="W351" s="1">
        <v>45988</v>
      </c>
      <c r="X351">
        <v>1</v>
      </c>
      <c r="Y351" t="s">
        <v>58</v>
      </c>
      <c r="Z351" s="2">
        <v>0</v>
      </c>
      <c r="AA351">
        <v>0</v>
      </c>
      <c r="AB351" t="s">
        <v>60</v>
      </c>
      <c r="AC351" t="s">
        <v>61</v>
      </c>
      <c r="AD351">
        <v>0</v>
      </c>
      <c r="AE351" s="2">
        <v>0</v>
      </c>
      <c r="AF351" s="2">
        <v>0</v>
      </c>
      <c r="AG351" s="3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45957</v>
      </c>
      <c r="B352" t="s">
        <v>48</v>
      </c>
      <c r="C352">
        <v>649163</v>
      </c>
      <c r="D352">
        <v>2029690468</v>
      </c>
      <c r="E352" t="s">
        <v>702</v>
      </c>
      <c r="F352" t="s">
        <v>1070</v>
      </c>
      <c r="G352" t="s">
        <v>51</v>
      </c>
      <c r="H352" t="s">
        <v>165</v>
      </c>
      <c r="I352" s="2">
        <v>164.81</v>
      </c>
      <c r="J352" t="s">
        <v>59</v>
      </c>
      <c r="K352" s="3">
        <v>0.7</v>
      </c>
      <c r="L352" s="2">
        <v>115.37</v>
      </c>
      <c r="M352" s="2">
        <v>0</v>
      </c>
      <c r="N352" s="2">
        <v>0</v>
      </c>
      <c r="O352" t="s">
        <v>53</v>
      </c>
      <c r="P352" t="s">
        <v>54</v>
      </c>
      <c r="Q352">
        <v>812994</v>
      </c>
      <c r="R352" t="s">
        <v>228</v>
      </c>
      <c r="S352" t="s">
        <v>229</v>
      </c>
      <c r="T352" t="s">
        <v>57</v>
      </c>
      <c r="U352" s="1">
        <v>45836</v>
      </c>
      <c r="W352" s="1">
        <v>45989</v>
      </c>
      <c r="X352">
        <v>1</v>
      </c>
      <c r="Y352" t="s">
        <v>58</v>
      </c>
      <c r="Z352" s="2">
        <v>0</v>
      </c>
      <c r="AA352">
        <v>0</v>
      </c>
      <c r="AB352" t="s">
        <v>60</v>
      </c>
      <c r="AC352" t="s">
        <v>61</v>
      </c>
      <c r="AD352">
        <v>0</v>
      </c>
      <c r="AE352" s="2">
        <v>0</v>
      </c>
      <c r="AF352" s="2">
        <v>0</v>
      </c>
      <c r="AG352" s="3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45957</v>
      </c>
      <c r="B353" t="s">
        <v>48</v>
      </c>
      <c r="C353">
        <v>649163</v>
      </c>
      <c r="D353">
        <v>2029692901</v>
      </c>
      <c r="E353" t="s">
        <v>314</v>
      </c>
      <c r="F353" t="s">
        <v>1071</v>
      </c>
      <c r="G353" t="s">
        <v>51</v>
      </c>
      <c r="H353" t="s">
        <v>179</v>
      </c>
      <c r="I353" s="2">
        <v>15.18</v>
      </c>
      <c r="J353" t="s">
        <v>59</v>
      </c>
      <c r="K353" s="3">
        <v>0.7</v>
      </c>
      <c r="L353" s="2">
        <v>10.63</v>
      </c>
      <c r="M353" s="2">
        <v>0</v>
      </c>
      <c r="N353" s="2">
        <v>0</v>
      </c>
      <c r="O353" t="s">
        <v>53</v>
      </c>
      <c r="P353" t="s">
        <v>54</v>
      </c>
      <c r="Q353">
        <v>882035</v>
      </c>
      <c r="R353" t="s">
        <v>141</v>
      </c>
      <c r="S353" t="s">
        <v>142</v>
      </c>
      <c r="T353" t="s">
        <v>57</v>
      </c>
      <c r="U353" s="1">
        <v>45836</v>
      </c>
      <c r="W353" s="1">
        <v>45989</v>
      </c>
      <c r="X353">
        <v>1</v>
      </c>
      <c r="Y353" t="s">
        <v>58</v>
      </c>
      <c r="Z353" s="2">
        <v>0</v>
      </c>
      <c r="AA353">
        <v>0</v>
      </c>
      <c r="AB353" t="s">
        <v>60</v>
      </c>
      <c r="AC353" t="s">
        <v>61</v>
      </c>
      <c r="AD353">
        <v>0</v>
      </c>
      <c r="AE353" s="2">
        <v>0</v>
      </c>
      <c r="AF353" s="2">
        <v>0</v>
      </c>
      <c r="AG353" s="3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45957</v>
      </c>
      <c r="B354" t="s">
        <v>48</v>
      </c>
      <c r="C354">
        <v>649163</v>
      </c>
      <c r="D354">
        <v>2029854213</v>
      </c>
      <c r="E354" t="s">
        <v>275</v>
      </c>
      <c r="F354" t="s">
        <v>961</v>
      </c>
      <c r="G354" t="s">
        <v>51</v>
      </c>
      <c r="H354" t="s">
        <v>69</v>
      </c>
      <c r="I354" s="2">
        <v>208.32</v>
      </c>
      <c r="J354" t="s">
        <v>59</v>
      </c>
      <c r="K354" s="3">
        <v>0.7</v>
      </c>
      <c r="L354" s="2">
        <v>145.82</v>
      </c>
      <c r="M354" s="2">
        <v>0</v>
      </c>
      <c r="N354" s="2">
        <v>0</v>
      </c>
      <c r="O354" t="s">
        <v>53</v>
      </c>
      <c r="P354" t="s">
        <v>54</v>
      </c>
      <c r="Q354">
        <v>882035</v>
      </c>
      <c r="R354" t="s">
        <v>141</v>
      </c>
      <c r="S354" t="s">
        <v>142</v>
      </c>
      <c r="T354" t="s">
        <v>57</v>
      </c>
      <c r="U354" s="1">
        <v>45901</v>
      </c>
      <c r="W354" s="1">
        <v>45992</v>
      </c>
      <c r="X354">
        <v>1</v>
      </c>
      <c r="Y354" t="s">
        <v>58</v>
      </c>
      <c r="Z354" s="2">
        <v>0</v>
      </c>
      <c r="AA354">
        <v>0</v>
      </c>
      <c r="AB354" t="s">
        <v>60</v>
      </c>
      <c r="AC354" t="s">
        <v>61</v>
      </c>
      <c r="AD354">
        <v>0</v>
      </c>
      <c r="AE354" s="2">
        <v>0</v>
      </c>
      <c r="AF354" s="2">
        <v>0</v>
      </c>
      <c r="AG354" s="3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45957</v>
      </c>
      <c r="B355" t="s">
        <v>48</v>
      </c>
      <c r="C355">
        <v>649163</v>
      </c>
      <c r="D355">
        <v>2029877050</v>
      </c>
      <c r="E355" t="s">
        <v>551</v>
      </c>
      <c r="F355" t="s">
        <v>552</v>
      </c>
      <c r="G355" t="s">
        <v>51</v>
      </c>
      <c r="H355" t="s">
        <v>129</v>
      </c>
      <c r="I355" s="2">
        <v>122.88</v>
      </c>
      <c r="J355" t="s">
        <v>59</v>
      </c>
      <c r="K355" s="3">
        <v>0.7</v>
      </c>
      <c r="L355" s="2">
        <v>86.02</v>
      </c>
      <c r="M355" s="2">
        <v>0</v>
      </c>
      <c r="N355" s="2">
        <v>0</v>
      </c>
      <c r="O355" t="s">
        <v>53</v>
      </c>
      <c r="P355" t="s">
        <v>54</v>
      </c>
      <c r="Q355">
        <v>673059</v>
      </c>
      <c r="R355" t="s">
        <v>55</v>
      </c>
      <c r="S355" t="s">
        <v>56</v>
      </c>
      <c r="T355" t="s">
        <v>57</v>
      </c>
      <c r="U355" s="1">
        <v>45901</v>
      </c>
      <c r="W355" s="1">
        <v>45992</v>
      </c>
      <c r="X355">
        <v>1</v>
      </c>
      <c r="Y355" t="s">
        <v>58</v>
      </c>
      <c r="Z355" s="2">
        <v>0</v>
      </c>
      <c r="AA355">
        <v>0</v>
      </c>
      <c r="AB355" t="s">
        <v>60</v>
      </c>
      <c r="AC355" t="s">
        <v>61</v>
      </c>
      <c r="AD355">
        <v>0</v>
      </c>
      <c r="AE355" s="2">
        <v>0</v>
      </c>
      <c r="AF355" s="2">
        <v>0</v>
      </c>
      <c r="AG355" s="3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45957</v>
      </c>
      <c r="B356" t="s">
        <v>48</v>
      </c>
      <c r="C356">
        <v>649163</v>
      </c>
      <c r="D356">
        <v>2030114522</v>
      </c>
      <c r="E356" t="s">
        <v>1072</v>
      </c>
      <c r="F356" t="s">
        <v>1073</v>
      </c>
      <c r="G356" t="s">
        <v>51</v>
      </c>
      <c r="H356" t="s">
        <v>69</v>
      </c>
      <c r="I356" s="2">
        <v>207.64</v>
      </c>
      <c r="J356" t="s">
        <v>59</v>
      </c>
      <c r="K356" s="3">
        <v>0.7</v>
      </c>
      <c r="L356" s="2">
        <v>145.35</v>
      </c>
      <c r="M356" s="2">
        <v>0</v>
      </c>
      <c r="N356" s="2">
        <v>0</v>
      </c>
      <c r="O356" t="s">
        <v>53</v>
      </c>
      <c r="P356" t="s">
        <v>54</v>
      </c>
      <c r="Q356">
        <v>839554</v>
      </c>
      <c r="R356" t="s">
        <v>930</v>
      </c>
      <c r="S356" t="s">
        <v>931</v>
      </c>
      <c r="T356" t="s">
        <v>57</v>
      </c>
      <c r="U356" s="1">
        <v>45863</v>
      </c>
      <c r="W356" s="1">
        <v>45986</v>
      </c>
      <c r="X356">
        <v>1</v>
      </c>
      <c r="Y356" t="s">
        <v>58</v>
      </c>
      <c r="Z356" s="2">
        <v>0</v>
      </c>
      <c r="AA356">
        <v>0</v>
      </c>
      <c r="AB356" t="s">
        <v>60</v>
      </c>
      <c r="AC356" t="s">
        <v>61</v>
      </c>
      <c r="AD356">
        <v>0</v>
      </c>
      <c r="AE356" s="2">
        <v>0</v>
      </c>
      <c r="AF356" s="2">
        <v>0</v>
      </c>
      <c r="AG356" s="3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45957</v>
      </c>
      <c r="B357" t="s">
        <v>48</v>
      </c>
      <c r="C357">
        <v>649163</v>
      </c>
      <c r="D357">
        <v>2030125457</v>
      </c>
      <c r="E357" t="s">
        <v>962</v>
      </c>
      <c r="F357" t="s">
        <v>963</v>
      </c>
      <c r="G357" t="s">
        <v>51</v>
      </c>
      <c r="H357" t="s">
        <v>165</v>
      </c>
      <c r="I357" s="2">
        <v>13</v>
      </c>
      <c r="J357" t="s">
        <v>59</v>
      </c>
      <c r="K357" s="3">
        <v>0.7</v>
      </c>
      <c r="L357" s="2">
        <v>9.1</v>
      </c>
      <c r="M357" s="2">
        <v>0</v>
      </c>
      <c r="N357" s="2">
        <v>0</v>
      </c>
      <c r="O357" t="s">
        <v>53</v>
      </c>
      <c r="P357" t="s">
        <v>54</v>
      </c>
      <c r="Q357">
        <v>856163</v>
      </c>
      <c r="R357" t="s">
        <v>70</v>
      </c>
      <c r="S357" t="s">
        <v>71</v>
      </c>
      <c r="T357" t="s">
        <v>57</v>
      </c>
      <c r="U357" s="1">
        <v>45863</v>
      </c>
      <c r="W357" s="1">
        <v>45986</v>
      </c>
      <c r="X357">
        <v>1</v>
      </c>
      <c r="Y357" t="s">
        <v>58</v>
      </c>
      <c r="Z357" s="2">
        <v>0</v>
      </c>
      <c r="AA357">
        <v>0</v>
      </c>
      <c r="AB357" t="s">
        <v>60</v>
      </c>
      <c r="AC357" t="s">
        <v>61</v>
      </c>
      <c r="AD357">
        <v>0</v>
      </c>
      <c r="AE357" s="2">
        <v>0</v>
      </c>
      <c r="AF357" s="2">
        <v>0</v>
      </c>
      <c r="AG357" s="3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45957</v>
      </c>
      <c r="B358" t="s">
        <v>48</v>
      </c>
      <c r="C358">
        <v>649163</v>
      </c>
      <c r="D358">
        <v>2030129459</v>
      </c>
      <c r="E358" t="s">
        <v>612</v>
      </c>
      <c r="F358" t="s">
        <v>415</v>
      </c>
      <c r="G358" t="s">
        <v>51</v>
      </c>
      <c r="H358" t="s">
        <v>64</v>
      </c>
      <c r="I358" s="2">
        <v>30.68</v>
      </c>
      <c r="J358" t="s">
        <v>59</v>
      </c>
      <c r="K358" s="3">
        <v>0.7</v>
      </c>
      <c r="L358" s="2">
        <v>21.48</v>
      </c>
      <c r="M358" s="2">
        <v>0</v>
      </c>
      <c r="N358" s="2">
        <v>0</v>
      </c>
      <c r="O358" t="s">
        <v>53</v>
      </c>
      <c r="P358" t="s">
        <v>54</v>
      </c>
      <c r="Q358">
        <v>822865</v>
      </c>
      <c r="R358" t="s">
        <v>469</v>
      </c>
      <c r="S358" t="s">
        <v>470</v>
      </c>
      <c r="T358" t="s">
        <v>57</v>
      </c>
      <c r="U358" s="1">
        <v>45863</v>
      </c>
      <c r="W358" s="1">
        <v>45986</v>
      </c>
      <c r="X358">
        <v>1</v>
      </c>
      <c r="Y358" t="s">
        <v>58</v>
      </c>
      <c r="Z358" s="2">
        <v>0</v>
      </c>
      <c r="AA358">
        <v>0</v>
      </c>
      <c r="AB358" t="s">
        <v>60</v>
      </c>
      <c r="AC358" t="s">
        <v>61</v>
      </c>
      <c r="AD358">
        <v>0</v>
      </c>
      <c r="AE358" s="2">
        <v>0</v>
      </c>
      <c r="AF358" s="2">
        <v>0</v>
      </c>
      <c r="AG358" s="3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45957</v>
      </c>
      <c r="B359" t="s">
        <v>48</v>
      </c>
      <c r="C359">
        <v>649163</v>
      </c>
      <c r="D359">
        <v>2030145093</v>
      </c>
      <c r="E359" t="s">
        <v>802</v>
      </c>
      <c r="F359" t="s">
        <v>803</v>
      </c>
      <c r="G359" t="s">
        <v>51</v>
      </c>
      <c r="H359" t="s">
        <v>69</v>
      </c>
      <c r="I359" s="2">
        <v>102.7</v>
      </c>
      <c r="J359" t="s">
        <v>59</v>
      </c>
      <c r="K359" s="3">
        <v>0.7</v>
      </c>
      <c r="L359" s="2">
        <v>71.89</v>
      </c>
      <c r="M359" s="2">
        <v>0</v>
      </c>
      <c r="N359" s="2">
        <v>0</v>
      </c>
      <c r="O359" t="s">
        <v>53</v>
      </c>
      <c r="P359" t="s">
        <v>54</v>
      </c>
      <c r="Q359">
        <v>824062</v>
      </c>
      <c r="R359" t="s">
        <v>74</v>
      </c>
      <c r="S359" t="s">
        <v>75</v>
      </c>
      <c r="T359" t="s">
        <v>57</v>
      </c>
      <c r="U359" s="1">
        <v>45864</v>
      </c>
      <c r="W359" s="1">
        <v>45987</v>
      </c>
      <c r="X359">
        <v>1</v>
      </c>
      <c r="Y359" t="s">
        <v>58</v>
      </c>
      <c r="Z359" s="2">
        <v>0</v>
      </c>
      <c r="AA359">
        <v>0</v>
      </c>
      <c r="AB359" t="s">
        <v>60</v>
      </c>
      <c r="AC359" t="s">
        <v>61</v>
      </c>
      <c r="AD359">
        <v>0</v>
      </c>
      <c r="AE359" s="2">
        <v>0</v>
      </c>
      <c r="AF359" s="2">
        <v>0</v>
      </c>
      <c r="AG359" s="3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45957</v>
      </c>
      <c r="B360" t="s">
        <v>48</v>
      </c>
      <c r="C360">
        <v>649163</v>
      </c>
      <c r="D360">
        <v>2030178517</v>
      </c>
      <c r="E360" t="s">
        <v>964</v>
      </c>
      <c r="F360" t="s">
        <v>965</v>
      </c>
      <c r="G360" t="s">
        <v>51</v>
      </c>
      <c r="H360" t="s">
        <v>247</v>
      </c>
      <c r="I360" s="2">
        <v>31.15</v>
      </c>
      <c r="J360" t="s">
        <v>59</v>
      </c>
      <c r="K360" s="3">
        <v>0.7</v>
      </c>
      <c r="L360" s="2">
        <v>21.8</v>
      </c>
      <c r="M360" s="2">
        <v>0</v>
      </c>
      <c r="N360" s="2">
        <v>0</v>
      </c>
      <c r="O360" t="s">
        <v>53</v>
      </c>
      <c r="P360" t="s">
        <v>54</v>
      </c>
      <c r="Q360">
        <v>822865</v>
      </c>
      <c r="R360" t="s">
        <v>469</v>
      </c>
      <c r="S360" t="s">
        <v>470</v>
      </c>
      <c r="T360" t="s">
        <v>57</v>
      </c>
      <c r="U360" s="1">
        <v>45867</v>
      </c>
      <c r="W360" s="1">
        <v>45990</v>
      </c>
      <c r="X360">
        <v>1</v>
      </c>
      <c r="Y360" t="s">
        <v>58</v>
      </c>
      <c r="Z360" s="2">
        <v>0</v>
      </c>
      <c r="AA360">
        <v>0</v>
      </c>
      <c r="AB360" t="s">
        <v>60</v>
      </c>
      <c r="AC360" t="s">
        <v>61</v>
      </c>
      <c r="AD360">
        <v>0</v>
      </c>
      <c r="AE360" s="2">
        <v>0</v>
      </c>
      <c r="AF360" s="2">
        <v>0</v>
      </c>
      <c r="AG360" s="3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45957</v>
      </c>
      <c r="B361" t="s">
        <v>48</v>
      </c>
      <c r="C361">
        <v>649163</v>
      </c>
      <c r="D361">
        <v>2030184968</v>
      </c>
      <c r="E361" t="s">
        <v>1075</v>
      </c>
      <c r="F361" t="s">
        <v>1076</v>
      </c>
      <c r="G361" t="s">
        <v>51</v>
      </c>
      <c r="H361" t="s">
        <v>69</v>
      </c>
      <c r="I361" s="2">
        <v>18.45</v>
      </c>
      <c r="J361" t="s">
        <v>59</v>
      </c>
      <c r="K361" s="3">
        <v>0.7</v>
      </c>
      <c r="L361" s="2">
        <v>12.92</v>
      </c>
      <c r="M361" s="2">
        <v>0</v>
      </c>
      <c r="N361" s="2">
        <v>0</v>
      </c>
      <c r="O361" t="s">
        <v>53</v>
      </c>
      <c r="P361" t="s">
        <v>54</v>
      </c>
      <c r="Q361">
        <v>807212</v>
      </c>
      <c r="R361" t="s">
        <v>769</v>
      </c>
      <c r="S361" t="s">
        <v>770</v>
      </c>
      <c r="T361" t="s">
        <v>57</v>
      </c>
      <c r="U361" s="1">
        <v>45867</v>
      </c>
      <c r="W361" s="1">
        <v>45990</v>
      </c>
      <c r="X361">
        <v>1</v>
      </c>
      <c r="Y361" t="s">
        <v>58</v>
      </c>
      <c r="Z361" s="2">
        <v>0</v>
      </c>
      <c r="AA361">
        <v>0</v>
      </c>
      <c r="AB361" t="s">
        <v>60</v>
      </c>
      <c r="AC361" t="s">
        <v>61</v>
      </c>
      <c r="AD361">
        <v>0</v>
      </c>
      <c r="AE361" s="2">
        <v>0</v>
      </c>
      <c r="AF361" s="2">
        <v>0</v>
      </c>
      <c r="AG361" s="3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45957</v>
      </c>
      <c r="B362" t="s">
        <v>48</v>
      </c>
      <c r="C362">
        <v>649163</v>
      </c>
      <c r="D362">
        <v>2030192580</v>
      </c>
      <c r="E362" t="s">
        <v>1077</v>
      </c>
      <c r="F362" t="s">
        <v>1078</v>
      </c>
      <c r="G362" t="s">
        <v>51</v>
      </c>
      <c r="H362" t="s">
        <v>69</v>
      </c>
      <c r="I362" s="2">
        <v>49.8</v>
      </c>
      <c r="J362" t="s">
        <v>59</v>
      </c>
      <c r="K362" s="3">
        <v>0.7</v>
      </c>
      <c r="L362" s="2">
        <v>34.86</v>
      </c>
      <c r="M362" s="2">
        <v>0</v>
      </c>
      <c r="N362" s="2">
        <v>0</v>
      </c>
      <c r="O362" t="s">
        <v>53</v>
      </c>
      <c r="P362" t="s">
        <v>54</v>
      </c>
      <c r="Q362">
        <v>768271</v>
      </c>
      <c r="R362" t="s">
        <v>973</v>
      </c>
      <c r="S362" t="s">
        <v>413</v>
      </c>
      <c r="T362" t="s">
        <v>57</v>
      </c>
      <c r="U362" s="1">
        <v>45870</v>
      </c>
      <c r="W362" s="1">
        <v>45962</v>
      </c>
      <c r="X362">
        <v>1</v>
      </c>
      <c r="Y362" t="s">
        <v>58</v>
      </c>
      <c r="Z362" s="2">
        <v>0</v>
      </c>
      <c r="AA362">
        <v>0</v>
      </c>
      <c r="AB362" t="s">
        <v>60</v>
      </c>
      <c r="AC362" t="s">
        <v>61</v>
      </c>
      <c r="AD362">
        <v>0</v>
      </c>
      <c r="AE362" s="2">
        <v>0</v>
      </c>
      <c r="AF362" s="2">
        <v>0</v>
      </c>
      <c r="AG362" s="3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45957</v>
      </c>
      <c r="B363" t="s">
        <v>48</v>
      </c>
      <c r="C363">
        <v>649163</v>
      </c>
      <c r="D363">
        <v>2030297553</v>
      </c>
      <c r="E363" t="s">
        <v>236</v>
      </c>
      <c r="F363" t="s">
        <v>56</v>
      </c>
      <c r="G363" t="s">
        <v>51</v>
      </c>
      <c r="H363" t="s">
        <v>165</v>
      </c>
      <c r="I363" s="2">
        <v>28.38</v>
      </c>
      <c r="J363" t="s">
        <v>59</v>
      </c>
      <c r="K363" s="3">
        <v>0.7</v>
      </c>
      <c r="L363" s="2">
        <v>19.87</v>
      </c>
      <c r="M363" s="2">
        <v>0</v>
      </c>
      <c r="N363" s="2">
        <v>0</v>
      </c>
      <c r="O363" t="s">
        <v>53</v>
      </c>
      <c r="P363" t="s">
        <v>54</v>
      </c>
      <c r="Q363">
        <v>856163</v>
      </c>
      <c r="R363" t="s">
        <v>70</v>
      </c>
      <c r="S363" t="s">
        <v>71</v>
      </c>
      <c r="T363" t="s">
        <v>57</v>
      </c>
      <c r="U363" s="1">
        <v>45901</v>
      </c>
      <c r="W363" s="1">
        <v>45962</v>
      </c>
      <c r="X363">
        <v>1</v>
      </c>
      <c r="Y363" t="s">
        <v>58</v>
      </c>
      <c r="Z363" s="2">
        <v>0</v>
      </c>
      <c r="AA363">
        <v>0</v>
      </c>
      <c r="AB363" t="s">
        <v>60</v>
      </c>
      <c r="AC363" t="s">
        <v>61</v>
      </c>
      <c r="AD363">
        <v>0</v>
      </c>
      <c r="AE363" s="2">
        <v>0</v>
      </c>
      <c r="AF363" s="2">
        <v>0</v>
      </c>
      <c r="AG363" s="3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45957</v>
      </c>
      <c r="B364" t="s">
        <v>48</v>
      </c>
      <c r="C364">
        <v>649163</v>
      </c>
      <c r="D364">
        <v>2030297553</v>
      </c>
      <c r="E364" t="s">
        <v>236</v>
      </c>
      <c r="F364" t="s">
        <v>56</v>
      </c>
      <c r="G364" t="s">
        <v>51</v>
      </c>
      <c r="H364" t="s">
        <v>165</v>
      </c>
      <c r="I364" s="2">
        <v>28.38</v>
      </c>
      <c r="J364" t="s">
        <v>59</v>
      </c>
      <c r="K364" s="3">
        <v>0.7</v>
      </c>
      <c r="L364" s="2">
        <v>19.87</v>
      </c>
      <c r="M364" s="2">
        <v>0</v>
      </c>
      <c r="N364" s="2">
        <v>0</v>
      </c>
      <c r="O364" t="s">
        <v>53</v>
      </c>
      <c r="P364" t="s">
        <v>54</v>
      </c>
      <c r="Q364">
        <v>856163</v>
      </c>
      <c r="R364" t="s">
        <v>70</v>
      </c>
      <c r="S364" t="s">
        <v>71</v>
      </c>
      <c r="T364" t="s">
        <v>57</v>
      </c>
      <c r="U364" s="1">
        <v>45901</v>
      </c>
      <c r="W364" s="1">
        <v>45992</v>
      </c>
      <c r="X364">
        <v>1</v>
      </c>
      <c r="Y364" t="s">
        <v>58</v>
      </c>
      <c r="Z364" s="2">
        <v>0</v>
      </c>
      <c r="AA364">
        <v>0</v>
      </c>
      <c r="AB364" t="s">
        <v>60</v>
      </c>
      <c r="AC364" t="s">
        <v>61</v>
      </c>
      <c r="AD364">
        <v>0</v>
      </c>
      <c r="AE364" s="2">
        <v>0</v>
      </c>
      <c r="AF364" s="2">
        <v>0</v>
      </c>
      <c r="AG364" s="3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45957</v>
      </c>
      <c r="B365" t="s">
        <v>48</v>
      </c>
      <c r="C365">
        <v>649163</v>
      </c>
      <c r="D365">
        <v>2030552137</v>
      </c>
      <c r="E365" t="s">
        <v>127</v>
      </c>
      <c r="F365" t="s">
        <v>128</v>
      </c>
      <c r="G365" t="s">
        <v>51</v>
      </c>
      <c r="H365" t="s">
        <v>129</v>
      </c>
      <c r="I365" s="2">
        <v>16.63</v>
      </c>
      <c r="J365" t="s">
        <v>59</v>
      </c>
      <c r="K365" s="3">
        <v>0.9</v>
      </c>
      <c r="L365" s="2">
        <v>14.97</v>
      </c>
      <c r="M365" s="2">
        <v>0</v>
      </c>
      <c r="N365" s="2">
        <v>0</v>
      </c>
      <c r="O365" t="s">
        <v>53</v>
      </c>
      <c r="P365" t="s">
        <v>132</v>
      </c>
      <c r="Q365">
        <v>874230</v>
      </c>
      <c r="R365" t="s">
        <v>130</v>
      </c>
      <c r="S365" t="s">
        <v>131</v>
      </c>
      <c r="T365" t="s">
        <v>57</v>
      </c>
      <c r="U365" s="1">
        <v>45901</v>
      </c>
      <c r="W365" s="1">
        <v>45992</v>
      </c>
      <c r="X365">
        <v>1</v>
      </c>
      <c r="Y365" t="s">
        <v>58</v>
      </c>
      <c r="Z365" s="2">
        <v>0</v>
      </c>
      <c r="AA365">
        <v>0</v>
      </c>
      <c r="AB365" t="s">
        <v>60</v>
      </c>
      <c r="AC365" t="s">
        <v>61</v>
      </c>
      <c r="AD365">
        <v>0</v>
      </c>
      <c r="AE365" s="2">
        <v>0</v>
      </c>
      <c r="AF365" s="2">
        <v>0</v>
      </c>
      <c r="AG365" s="3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45957</v>
      </c>
      <c r="B366" t="s">
        <v>48</v>
      </c>
      <c r="C366">
        <v>649163</v>
      </c>
      <c r="D366">
        <v>2030697182</v>
      </c>
      <c r="E366" t="s">
        <v>193</v>
      </c>
      <c r="F366" t="s">
        <v>194</v>
      </c>
      <c r="G366" t="s">
        <v>51</v>
      </c>
      <c r="H366" t="s">
        <v>195</v>
      </c>
      <c r="I366" s="2">
        <v>68.63</v>
      </c>
      <c r="J366" t="s">
        <v>59</v>
      </c>
      <c r="K366" s="3">
        <v>0.9</v>
      </c>
      <c r="L366" s="2">
        <v>61.77</v>
      </c>
      <c r="M366" s="2">
        <v>0</v>
      </c>
      <c r="N366" s="2">
        <v>0</v>
      </c>
      <c r="O366" t="s">
        <v>53</v>
      </c>
      <c r="P366" t="s">
        <v>132</v>
      </c>
      <c r="Q366">
        <v>885445</v>
      </c>
      <c r="R366" t="s">
        <v>196</v>
      </c>
      <c r="S366" t="s">
        <v>197</v>
      </c>
      <c r="T366" t="s">
        <v>57</v>
      </c>
      <c r="U366" s="1">
        <v>45901</v>
      </c>
      <c r="W366" s="1">
        <v>45992</v>
      </c>
      <c r="X366">
        <v>1</v>
      </c>
      <c r="Y366" t="s">
        <v>58</v>
      </c>
      <c r="Z366" s="2">
        <v>0</v>
      </c>
      <c r="AA366">
        <v>0</v>
      </c>
      <c r="AB366" t="s">
        <v>60</v>
      </c>
      <c r="AC366" t="s">
        <v>61</v>
      </c>
      <c r="AD366">
        <v>0</v>
      </c>
      <c r="AE366" s="2">
        <v>0</v>
      </c>
      <c r="AF366" s="2">
        <v>0</v>
      </c>
      <c r="AG366" s="3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45957</v>
      </c>
      <c r="B367" t="s">
        <v>48</v>
      </c>
      <c r="C367">
        <v>649163</v>
      </c>
      <c r="D367">
        <v>2030743324</v>
      </c>
      <c r="E367" t="s">
        <v>204</v>
      </c>
      <c r="F367" t="s">
        <v>205</v>
      </c>
      <c r="G367" t="s">
        <v>51</v>
      </c>
      <c r="H367" t="s">
        <v>165</v>
      </c>
      <c r="I367" s="2">
        <v>68.75</v>
      </c>
      <c r="J367" t="s">
        <v>59</v>
      </c>
      <c r="K367" s="3">
        <v>0.9</v>
      </c>
      <c r="L367" s="2">
        <v>61.88</v>
      </c>
      <c r="M367" s="2">
        <v>0</v>
      </c>
      <c r="N367" s="2">
        <v>0</v>
      </c>
      <c r="O367" t="s">
        <v>53</v>
      </c>
      <c r="P367" t="s">
        <v>132</v>
      </c>
      <c r="Q367">
        <v>753748</v>
      </c>
      <c r="R367" t="s">
        <v>65</v>
      </c>
      <c r="S367" t="s">
        <v>66</v>
      </c>
      <c r="T367" t="s">
        <v>57</v>
      </c>
      <c r="U367" s="1">
        <v>45901</v>
      </c>
      <c r="W367" s="1">
        <v>45992</v>
      </c>
      <c r="X367">
        <v>1</v>
      </c>
      <c r="Y367" t="s">
        <v>58</v>
      </c>
      <c r="Z367" s="2">
        <v>0</v>
      </c>
      <c r="AA367">
        <v>0</v>
      </c>
      <c r="AB367" t="s">
        <v>60</v>
      </c>
      <c r="AC367" t="s">
        <v>61</v>
      </c>
      <c r="AD367">
        <v>0</v>
      </c>
      <c r="AE367" s="2">
        <v>0</v>
      </c>
      <c r="AF367" s="2">
        <v>0</v>
      </c>
      <c r="AG367" s="3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45957</v>
      </c>
      <c r="B368" t="s">
        <v>48</v>
      </c>
      <c r="C368">
        <v>649163</v>
      </c>
      <c r="D368">
        <v>2030823304</v>
      </c>
      <c r="E368" t="s">
        <v>235</v>
      </c>
      <c r="F368" t="s">
        <v>236</v>
      </c>
      <c r="G368" t="s">
        <v>51</v>
      </c>
      <c r="H368" t="s">
        <v>52</v>
      </c>
      <c r="I368" s="2">
        <v>9.8000000000000007</v>
      </c>
      <c r="J368" t="s">
        <v>238</v>
      </c>
      <c r="K368" s="3">
        <v>0.9</v>
      </c>
      <c r="L368" s="2">
        <v>8.82</v>
      </c>
      <c r="M368" s="2">
        <v>0</v>
      </c>
      <c r="N368" s="2">
        <v>0</v>
      </c>
      <c r="O368" t="s">
        <v>53</v>
      </c>
      <c r="P368" t="s">
        <v>132</v>
      </c>
      <c r="Q368">
        <v>767312</v>
      </c>
      <c r="R368" t="s">
        <v>237</v>
      </c>
      <c r="S368" t="s">
        <v>103</v>
      </c>
      <c r="T368" t="s">
        <v>57</v>
      </c>
      <c r="U368" s="1">
        <v>45927</v>
      </c>
      <c r="W368" s="1">
        <v>45988</v>
      </c>
      <c r="X368">
        <v>1</v>
      </c>
      <c r="Y368" t="s">
        <v>58</v>
      </c>
      <c r="Z368" s="2">
        <v>0</v>
      </c>
      <c r="AA368">
        <v>0</v>
      </c>
      <c r="AB368" t="s">
        <v>60</v>
      </c>
      <c r="AC368" t="s">
        <v>61</v>
      </c>
      <c r="AD368">
        <v>0</v>
      </c>
      <c r="AE368" s="2">
        <v>0</v>
      </c>
      <c r="AF368" s="2">
        <v>0</v>
      </c>
      <c r="AG368" s="3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45957</v>
      </c>
      <c r="B369" t="s">
        <v>48</v>
      </c>
      <c r="C369">
        <v>649163</v>
      </c>
      <c r="D369">
        <v>2026328947</v>
      </c>
      <c r="E369" t="s">
        <v>371</v>
      </c>
      <c r="F369" t="s">
        <v>372</v>
      </c>
      <c r="G369" t="s">
        <v>51</v>
      </c>
      <c r="H369" t="s">
        <v>69</v>
      </c>
      <c r="I369" s="2">
        <v>35.5</v>
      </c>
      <c r="J369" t="s">
        <v>59</v>
      </c>
      <c r="K369" s="3">
        <v>0.9</v>
      </c>
      <c r="L369" s="2">
        <v>0</v>
      </c>
      <c r="M369" s="2">
        <v>31.95</v>
      </c>
      <c r="N369" s="2">
        <v>31.95</v>
      </c>
      <c r="O369" t="s">
        <v>53</v>
      </c>
      <c r="P369" t="s">
        <v>132</v>
      </c>
      <c r="Q369">
        <v>792847</v>
      </c>
      <c r="R369" t="s">
        <v>371</v>
      </c>
      <c r="S369" t="s">
        <v>372</v>
      </c>
      <c r="T369" t="s">
        <v>57</v>
      </c>
      <c r="U369" s="1">
        <v>45689</v>
      </c>
      <c r="W369" s="1">
        <v>45992</v>
      </c>
      <c r="X369">
        <v>1</v>
      </c>
      <c r="Y369" t="s">
        <v>58</v>
      </c>
      <c r="Z369" s="2">
        <v>0</v>
      </c>
      <c r="AA369">
        <v>0</v>
      </c>
      <c r="AB369" t="s">
        <v>60</v>
      </c>
      <c r="AC369" t="s">
        <v>61</v>
      </c>
      <c r="AD369">
        <v>0</v>
      </c>
      <c r="AE369" s="2">
        <v>0</v>
      </c>
      <c r="AF369" s="2">
        <v>0</v>
      </c>
      <c r="AG369" s="3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45957</v>
      </c>
      <c r="B370" t="s">
        <v>48</v>
      </c>
      <c r="C370">
        <v>649163</v>
      </c>
      <c r="D370">
        <v>2027785591</v>
      </c>
      <c r="E370" t="s">
        <v>1012</v>
      </c>
      <c r="F370" t="s">
        <v>1013</v>
      </c>
      <c r="G370" t="s">
        <v>51</v>
      </c>
      <c r="H370" t="s">
        <v>165</v>
      </c>
      <c r="I370" s="2">
        <v>21.6</v>
      </c>
      <c r="J370" t="s">
        <v>59</v>
      </c>
      <c r="K370" s="3">
        <v>0.9</v>
      </c>
      <c r="L370" s="2">
        <v>0</v>
      </c>
      <c r="M370" s="2">
        <v>19.440000000000001</v>
      </c>
      <c r="N370" s="2">
        <v>19.440000000000001</v>
      </c>
      <c r="O370" t="s">
        <v>53</v>
      </c>
      <c r="P370" t="s">
        <v>132</v>
      </c>
      <c r="Q370">
        <v>806645</v>
      </c>
      <c r="R370" t="s">
        <v>88</v>
      </c>
      <c r="S370" t="s">
        <v>89</v>
      </c>
      <c r="T370" t="s">
        <v>57</v>
      </c>
      <c r="U370" s="1">
        <v>45748</v>
      </c>
      <c r="W370" s="1">
        <v>45992</v>
      </c>
      <c r="X370">
        <v>1</v>
      </c>
      <c r="Y370" t="s">
        <v>58</v>
      </c>
      <c r="Z370" s="2">
        <v>0</v>
      </c>
      <c r="AA370">
        <v>0</v>
      </c>
      <c r="AB370" t="s">
        <v>60</v>
      </c>
      <c r="AC370" t="s">
        <v>61</v>
      </c>
      <c r="AD370">
        <v>0</v>
      </c>
      <c r="AE370" s="2">
        <v>0</v>
      </c>
      <c r="AF370" s="2">
        <v>0</v>
      </c>
      <c r="AG370" s="3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45957</v>
      </c>
      <c r="B371" t="s">
        <v>48</v>
      </c>
      <c r="C371">
        <v>649163</v>
      </c>
      <c r="D371">
        <v>2027886965</v>
      </c>
      <c r="E371" t="s">
        <v>1014</v>
      </c>
      <c r="F371" t="s">
        <v>1015</v>
      </c>
      <c r="G371" t="s">
        <v>51</v>
      </c>
      <c r="H371" t="s">
        <v>69</v>
      </c>
      <c r="I371" s="2">
        <v>75.44</v>
      </c>
      <c r="J371" t="s">
        <v>59</v>
      </c>
      <c r="K371" s="3">
        <v>0.9</v>
      </c>
      <c r="L371" s="2">
        <v>0</v>
      </c>
      <c r="M371" s="2">
        <v>67.900000000000006</v>
      </c>
      <c r="N371" s="2">
        <v>67.900000000000006</v>
      </c>
      <c r="O371" t="s">
        <v>53</v>
      </c>
      <c r="P371" t="s">
        <v>132</v>
      </c>
      <c r="Q371">
        <v>840313</v>
      </c>
      <c r="R371" t="s">
        <v>159</v>
      </c>
      <c r="S371" t="s">
        <v>160</v>
      </c>
      <c r="T371" t="s">
        <v>57</v>
      </c>
      <c r="U371" s="1">
        <v>45748</v>
      </c>
      <c r="W371" s="1">
        <v>45992</v>
      </c>
      <c r="X371">
        <v>1</v>
      </c>
      <c r="Y371" t="s">
        <v>58</v>
      </c>
      <c r="Z371" s="2">
        <v>0</v>
      </c>
      <c r="AA371">
        <v>0</v>
      </c>
      <c r="AB371" t="s">
        <v>60</v>
      </c>
      <c r="AC371" t="s">
        <v>61</v>
      </c>
      <c r="AD371">
        <v>0</v>
      </c>
      <c r="AE371" s="2">
        <v>0</v>
      </c>
      <c r="AF371" s="2">
        <v>0</v>
      </c>
      <c r="AG371" s="3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45957</v>
      </c>
      <c r="B372" t="s">
        <v>48</v>
      </c>
      <c r="C372">
        <v>649163</v>
      </c>
      <c r="D372">
        <v>2027904551</v>
      </c>
      <c r="E372" t="s">
        <v>894</v>
      </c>
      <c r="F372" t="s">
        <v>675</v>
      </c>
      <c r="G372" t="s">
        <v>51</v>
      </c>
      <c r="H372" t="s">
        <v>69</v>
      </c>
      <c r="I372" s="2">
        <v>46.42</v>
      </c>
      <c r="J372" t="s">
        <v>59</v>
      </c>
      <c r="K372" s="3">
        <v>0.9</v>
      </c>
      <c r="L372" s="2">
        <v>0</v>
      </c>
      <c r="M372" s="2">
        <v>41.78</v>
      </c>
      <c r="N372" s="2">
        <v>41.78</v>
      </c>
      <c r="O372" t="s">
        <v>53</v>
      </c>
      <c r="P372" t="s">
        <v>132</v>
      </c>
      <c r="Q372">
        <v>813181</v>
      </c>
      <c r="R372" t="s">
        <v>894</v>
      </c>
      <c r="S372" t="s">
        <v>675</v>
      </c>
      <c r="T372" t="s">
        <v>57</v>
      </c>
      <c r="U372" s="1">
        <v>45741</v>
      </c>
      <c r="W372" s="1">
        <v>45986</v>
      </c>
      <c r="X372">
        <v>1</v>
      </c>
      <c r="Y372" t="s">
        <v>58</v>
      </c>
      <c r="Z372" s="2">
        <v>0</v>
      </c>
      <c r="AA372">
        <v>0</v>
      </c>
      <c r="AB372" t="s">
        <v>60</v>
      </c>
      <c r="AC372" t="s">
        <v>61</v>
      </c>
      <c r="AD372">
        <v>0</v>
      </c>
      <c r="AE372" s="2">
        <v>0</v>
      </c>
      <c r="AF372" s="2">
        <v>0</v>
      </c>
      <c r="AG372" s="3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45957</v>
      </c>
      <c r="B373" t="s">
        <v>48</v>
      </c>
      <c r="C373">
        <v>649163</v>
      </c>
      <c r="D373">
        <v>2027957199</v>
      </c>
      <c r="E373" t="s">
        <v>1018</v>
      </c>
      <c r="F373" t="s">
        <v>483</v>
      </c>
      <c r="G373" t="s">
        <v>51</v>
      </c>
      <c r="H373" t="s">
        <v>118</v>
      </c>
      <c r="I373" s="2">
        <v>96.17</v>
      </c>
      <c r="J373" t="s">
        <v>59</v>
      </c>
      <c r="K373" s="3">
        <v>0.9</v>
      </c>
      <c r="L373" s="2">
        <v>0</v>
      </c>
      <c r="M373" s="2">
        <v>86.55</v>
      </c>
      <c r="N373" s="2">
        <v>86.55</v>
      </c>
      <c r="O373" t="s">
        <v>53</v>
      </c>
      <c r="P373" t="s">
        <v>132</v>
      </c>
      <c r="Q373">
        <v>823068</v>
      </c>
      <c r="R373" t="s">
        <v>120</v>
      </c>
      <c r="S373" t="s">
        <v>121</v>
      </c>
      <c r="T373" t="s">
        <v>57</v>
      </c>
      <c r="U373" s="1">
        <v>45743</v>
      </c>
      <c r="W373" s="1">
        <v>45988</v>
      </c>
      <c r="X373">
        <v>1</v>
      </c>
      <c r="Y373" t="s">
        <v>58</v>
      </c>
      <c r="Z373" s="2">
        <v>0</v>
      </c>
      <c r="AA373">
        <v>0</v>
      </c>
      <c r="AB373" t="s">
        <v>60</v>
      </c>
      <c r="AC373" t="s">
        <v>61</v>
      </c>
      <c r="AD373">
        <v>0</v>
      </c>
      <c r="AE373" s="2">
        <v>0</v>
      </c>
      <c r="AF373" s="2">
        <v>0</v>
      </c>
      <c r="AG373" s="3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45957</v>
      </c>
      <c r="B374" t="s">
        <v>48</v>
      </c>
      <c r="C374">
        <v>649163</v>
      </c>
      <c r="D374">
        <v>2028041473</v>
      </c>
      <c r="E374" t="s">
        <v>162</v>
      </c>
      <c r="F374" t="s">
        <v>1028</v>
      </c>
      <c r="G374" t="s">
        <v>51</v>
      </c>
      <c r="H374" t="s">
        <v>195</v>
      </c>
      <c r="I374" s="2">
        <v>99.25</v>
      </c>
      <c r="J374" t="s">
        <v>59</v>
      </c>
      <c r="K374" s="3">
        <v>0.9</v>
      </c>
      <c r="L374" s="2">
        <v>0</v>
      </c>
      <c r="M374" s="2">
        <v>89.32</v>
      </c>
      <c r="N374" s="2">
        <v>89.32</v>
      </c>
      <c r="O374" t="s">
        <v>53</v>
      </c>
      <c r="P374" t="s">
        <v>132</v>
      </c>
      <c r="Q374">
        <v>651818</v>
      </c>
      <c r="R374" t="s">
        <v>560</v>
      </c>
      <c r="S374" t="s">
        <v>336</v>
      </c>
      <c r="T374" t="s">
        <v>57</v>
      </c>
      <c r="U374" s="1">
        <v>45748</v>
      </c>
      <c r="W374" s="1">
        <v>45992</v>
      </c>
      <c r="X374">
        <v>1</v>
      </c>
      <c r="Y374" t="s">
        <v>58</v>
      </c>
      <c r="Z374" s="2">
        <v>0</v>
      </c>
      <c r="AA374">
        <v>0</v>
      </c>
      <c r="AB374" t="s">
        <v>60</v>
      </c>
      <c r="AC374" t="s">
        <v>61</v>
      </c>
      <c r="AD374">
        <v>0</v>
      </c>
      <c r="AE374" s="2">
        <v>0</v>
      </c>
      <c r="AF374" s="2">
        <v>0</v>
      </c>
      <c r="AG374" s="3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45957</v>
      </c>
      <c r="B375" t="s">
        <v>48</v>
      </c>
      <c r="C375">
        <v>649163</v>
      </c>
      <c r="D375">
        <v>2028044364</v>
      </c>
      <c r="E375" t="s">
        <v>280</v>
      </c>
      <c r="F375" t="s">
        <v>907</v>
      </c>
      <c r="G375" t="s">
        <v>51</v>
      </c>
      <c r="H375" t="s">
        <v>69</v>
      </c>
      <c r="I375" s="2">
        <v>96.33</v>
      </c>
      <c r="J375" t="s">
        <v>59</v>
      </c>
      <c r="K375" s="3">
        <v>0.9</v>
      </c>
      <c r="L375" s="2">
        <v>0</v>
      </c>
      <c r="M375" s="2">
        <v>86.7</v>
      </c>
      <c r="N375" s="2">
        <v>86.7</v>
      </c>
      <c r="O375" t="s">
        <v>53</v>
      </c>
      <c r="P375" t="s">
        <v>132</v>
      </c>
      <c r="Q375">
        <v>806645</v>
      </c>
      <c r="R375" t="s">
        <v>88</v>
      </c>
      <c r="S375" t="s">
        <v>89</v>
      </c>
      <c r="T375" t="s">
        <v>57</v>
      </c>
      <c r="U375" s="1">
        <v>45748</v>
      </c>
      <c r="W375" s="1">
        <v>45992</v>
      </c>
      <c r="X375">
        <v>1</v>
      </c>
      <c r="Y375" t="s">
        <v>58</v>
      </c>
      <c r="Z375" s="2">
        <v>0</v>
      </c>
      <c r="AA375">
        <v>0</v>
      </c>
      <c r="AB375" t="s">
        <v>60</v>
      </c>
      <c r="AC375" t="s">
        <v>61</v>
      </c>
      <c r="AD375">
        <v>0</v>
      </c>
      <c r="AE375" s="2">
        <v>0</v>
      </c>
      <c r="AF375" s="2">
        <v>0</v>
      </c>
      <c r="AG375" s="3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45957</v>
      </c>
      <c r="B376" t="s">
        <v>48</v>
      </c>
      <c r="C376">
        <v>649163</v>
      </c>
      <c r="D376">
        <v>2028134803</v>
      </c>
      <c r="E376" t="s">
        <v>56</v>
      </c>
      <c r="F376" t="s">
        <v>1031</v>
      </c>
      <c r="G376" t="s">
        <v>51</v>
      </c>
      <c r="H376" t="s">
        <v>563</v>
      </c>
      <c r="I376" s="2">
        <v>8.7100000000000009</v>
      </c>
      <c r="J376" t="s">
        <v>59</v>
      </c>
      <c r="K376" s="3">
        <v>0.9</v>
      </c>
      <c r="L376" s="2">
        <v>0</v>
      </c>
      <c r="M376" s="2">
        <v>7.84</v>
      </c>
      <c r="N376" s="2">
        <v>7.84</v>
      </c>
      <c r="O376" t="s">
        <v>53</v>
      </c>
      <c r="P376" t="s">
        <v>132</v>
      </c>
      <c r="Q376">
        <v>767312</v>
      </c>
      <c r="R376" t="s">
        <v>237</v>
      </c>
      <c r="S376" t="s">
        <v>103</v>
      </c>
      <c r="T376" t="s">
        <v>57</v>
      </c>
      <c r="U376" s="1">
        <v>45748</v>
      </c>
      <c r="W376" s="1">
        <v>45992</v>
      </c>
      <c r="X376">
        <v>1</v>
      </c>
      <c r="Y376" t="s">
        <v>58</v>
      </c>
      <c r="Z376" s="2">
        <v>0</v>
      </c>
      <c r="AA376">
        <v>0</v>
      </c>
      <c r="AB376" t="s">
        <v>60</v>
      </c>
      <c r="AC376" t="s">
        <v>61</v>
      </c>
      <c r="AD376">
        <v>0</v>
      </c>
      <c r="AE376" s="2">
        <v>0</v>
      </c>
      <c r="AF376" s="2">
        <v>0</v>
      </c>
      <c r="AG376" s="3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45957</v>
      </c>
      <c r="B377" t="s">
        <v>48</v>
      </c>
      <c r="C377">
        <v>649163</v>
      </c>
      <c r="D377">
        <v>2028498801</v>
      </c>
      <c r="E377" t="s">
        <v>629</v>
      </c>
      <c r="F377" t="s">
        <v>232</v>
      </c>
      <c r="G377" t="s">
        <v>51</v>
      </c>
      <c r="H377" t="s">
        <v>179</v>
      </c>
      <c r="I377" s="2">
        <v>56.75</v>
      </c>
      <c r="J377" t="s">
        <v>59</v>
      </c>
      <c r="K377" s="3">
        <v>0.9</v>
      </c>
      <c r="L377" s="2">
        <v>0</v>
      </c>
      <c r="M377" s="2">
        <v>51.08</v>
      </c>
      <c r="N377" s="2">
        <v>51.08</v>
      </c>
      <c r="O377" t="s">
        <v>53</v>
      </c>
      <c r="P377" t="s">
        <v>132</v>
      </c>
      <c r="Q377">
        <v>823350</v>
      </c>
      <c r="R377" t="s">
        <v>70</v>
      </c>
      <c r="S377" t="s">
        <v>183</v>
      </c>
      <c r="T377" t="s">
        <v>57</v>
      </c>
      <c r="U377" s="1">
        <v>45772</v>
      </c>
      <c r="W377" s="1">
        <v>45986</v>
      </c>
      <c r="X377">
        <v>1</v>
      </c>
      <c r="Y377" t="s">
        <v>58</v>
      </c>
      <c r="Z377" s="2">
        <v>0</v>
      </c>
      <c r="AA377">
        <v>0</v>
      </c>
      <c r="AB377" t="s">
        <v>60</v>
      </c>
      <c r="AC377" t="s">
        <v>61</v>
      </c>
      <c r="AD377">
        <v>0</v>
      </c>
      <c r="AE377" s="2">
        <v>0</v>
      </c>
      <c r="AF377" s="2">
        <v>0</v>
      </c>
      <c r="AG377" s="3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45957</v>
      </c>
      <c r="B378" t="s">
        <v>48</v>
      </c>
      <c r="C378">
        <v>649163</v>
      </c>
      <c r="D378">
        <v>2028654839</v>
      </c>
      <c r="E378" t="s">
        <v>920</v>
      </c>
      <c r="F378" t="s">
        <v>921</v>
      </c>
      <c r="G378" t="s">
        <v>51</v>
      </c>
      <c r="H378" t="s">
        <v>52</v>
      </c>
      <c r="I378" s="2">
        <v>43.67</v>
      </c>
      <c r="J378" t="s">
        <v>59</v>
      </c>
      <c r="K378" s="3">
        <v>0.9</v>
      </c>
      <c r="L378" s="2">
        <v>0</v>
      </c>
      <c r="M378" s="2">
        <v>39.299999999999997</v>
      </c>
      <c r="N378" s="2">
        <v>39.299999999999997</v>
      </c>
      <c r="O378" t="s">
        <v>53</v>
      </c>
      <c r="P378" t="s">
        <v>132</v>
      </c>
      <c r="Q378">
        <v>823350</v>
      </c>
      <c r="R378" t="s">
        <v>70</v>
      </c>
      <c r="S378" t="s">
        <v>183</v>
      </c>
      <c r="T378" t="s">
        <v>57</v>
      </c>
      <c r="U378" s="1">
        <v>45776</v>
      </c>
      <c r="W378" s="1">
        <v>45990</v>
      </c>
      <c r="X378">
        <v>1</v>
      </c>
      <c r="Y378" t="s">
        <v>58</v>
      </c>
      <c r="Z378" s="2">
        <v>0</v>
      </c>
      <c r="AA378">
        <v>0</v>
      </c>
      <c r="AB378" t="s">
        <v>60</v>
      </c>
      <c r="AC378" t="s">
        <v>61</v>
      </c>
      <c r="AD378">
        <v>0</v>
      </c>
      <c r="AE378" s="2">
        <v>0</v>
      </c>
      <c r="AF378" s="2">
        <v>0</v>
      </c>
      <c r="AG378" s="3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45957</v>
      </c>
      <c r="B379" t="s">
        <v>48</v>
      </c>
      <c r="C379">
        <v>649163</v>
      </c>
      <c r="D379">
        <v>2028662388</v>
      </c>
      <c r="E379" t="s">
        <v>1036</v>
      </c>
      <c r="F379" t="s">
        <v>1037</v>
      </c>
      <c r="G379" t="s">
        <v>51</v>
      </c>
      <c r="H379" t="s">
        <v>287</v>
      </c>
      <c r="I379" s="2">
        <v>19.28</v>
      </c>
      <c r="J379" t="s">
        <v>59</v>
      </c>
      <c r="K379" s="3">
        <v>0.9</v>
      </c>
      <c r="L379" s="2">
        <v>0</v>
      </c>
      <c r="M379" s="2">
        <v>17.350000000000001</v>
      </c>
      <c r="N379" s="2">
        <v>17.350000000000001</v>
      </c>
      <c r="O379" t="s">
        <v>53</v>
      </c>
      <c r="P379" t="s">
        <v>132</v>
      </c>
      <c r="Q379">
        <v>767312</v>
      </c>
      <c r="R379" t="s">
        <v>237</v>
      </c>
      <c r="S379" t="s">
        <v>103</v>
      </c>
      <c r="T379" t="s">
        <v>57</v>
      </c>
      <c r="U379" s="1">
        <v>45777</v>
      </c>
      <c r="W379" s="1">
        <v>45991</v>
      </c>
      <c r="X379">
        <v>1</v>
      </c>
      <c r="Y379" t="s">
        <v>58</v>
      </c>
      <c r="Z379" s="2">
        <v>0</v>
      </c>
      <c r="AA379">
        <v>0</v>
      </c>
      <c r="AB379" t="s">
        <v>60</v>
      </c>
      <c r="AC379" t="s">
        <v>61</v>
      </c>
      <c r="AD379">
        <v>0</v>
      </c>
      <c r="AE379" s="2">
        <v>0</v>
      </c>
      <c r="AF379" s="2">
        <v>0</v>
      </c>
      <c r="AG379" s="3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45957</v>
      </c>
      <c r="B380" t="s">
        <v>48</v>
      </c>
      <c r="C380">
        <v>649163</v>
      </c>
      <c r="D380">
        <v>2028776890</v>
      </c>
      <c r="E380" t="s">
        <v>635</v>
      </c>
      <c r="F380" t="s">
        <v>354</v>
      </c>
      <c r="G380" t="s">
        <v>51</v>
      </c>
      <c r="H380" t="s">
        <v>636</v>
      </c>
      <c r="I380" s="2">
        <v>49.85</v>
      </c>
      <c r="J380" t="s">
        <v>59</v>
      </c>
      <c r="K380" s="3">
        <v>0.9</v>
      </c>
      <c r="L380" s="2">
        <v>0</v>
      </c>
      <c r="M380" s="2">
        <v>44.86</v>
      </c>
      <c r="N380" s="2">
        <v>44.86</v>
      </c>
      <c r="O380" t="s">
        <v>53</v>
      </c>
      <c r="P380" t="s">
        <v>132</v>
      </c>
      <c r="Q380">
        <v>673059</v>
      </c>
      <c r="R380" t="s">
        <v>55</v>
      </c>
      <c r="S380" t="s">
        <v>56</v>
      </c>
      <c r="T380" t="s">
        <v>57</v>
      </c>
      <c r="U380" s="1">
        <v>45809</v>
      </c>
      <c r="W380" s="1">
        <v>45992</v>
      </c>
      <c r="X380">
        <v>1</v>
      </c>
      <c r="Y380" t="s">
        <v>58</v>
      </c>
      <c r="Z380" s="2">
        <v>0</v>
      </c>
      <c r="AA380">
        <v>0</v>
      </c>
      <c r="AB380" t="s">
        <v>60</v>
      </c>
      <c r="AC380" t="s">
        <v>61</v>
      </c>
      <c r="AD380">
        <v>0</v>
      </c>
      <c r="AE380" s="2">
        <v>0</v>
      </c>
      <c r="AF380" s="2">
        <v>0</v>
      </c>
      <c r="AG380" s="3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45957</v>
      </c>
      <c r="B381" t="s">
        <v>48</v>
      </c>
      <c r="C381">
        <v>649163</v>
      </c>
      <c r="D381">
        <v>2028857839</v>
      </c>
      <c r="E381" t="s">
        <v>422</v>
      </c>
      <c r="F381" t="s">
        <v>638</v>
      </c>
      <c r="G381" t="s">
        <v>51</v>
      </c>
      <c r="H381" t="s">
        <v>613</v>
      </c>
      <c r="I381" s="2">
        <v>51.63</v>
      </c>
      <c r="J381" t="s">
        <v>59</v>
      </c>
      <c r="K381" s="3">
        <v>0.9</v>
      </c>
      <c r="L381" s="2">
        <v>0</v>
      </c>
      <c r="M381" s="2">
        <v>46.47</v>
      </c>
      <c r="N381" s="2">
        <v>46.47</v>
      </c>
      <c r="O381" t="s">
        <v>53</v>
      </c>
      <c r="P381" t="s">
        <v>132</v>
      </c>
      <c r="Q381">
        <v>651818</v>
      </c>
      <c r="R381" t="s">
        <v>560</v>
      </c>
      <c r="S381" t="s">
        <v>336</v>
      </c>
      <c r="T381" t="s">
        <v>57</v>
      </c>
      <c r="U381" s="1">
        <v>45789</v>
      </c>
      <c r="W381" s="1">
        <v>45973</v>
      </c>
      <c r="X381">
        <v>1</v>
      </c>
      <c r="Y381" t="s">
        <v>58</v>
      </c>
      <c r="Z381" s="2">
        <v>0</v>
      </c>
      <c r="AA381">
        <v>0</v>
      </c>
      <c r="AB381" t="s">
        <v>60</v>
      </c>
      <c r="AC381" t="s">
        <v>61</v>
      </c>
      <c r="AD381">
        <v>0</v>
      </c>
      <c r="AE381" s="2">
        <v>0</v>
      </c>
      <c r="AF381" s="2">
        <v>0</v>
      </c>
      <c r="AG381" s="3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45957</v>
      </c>
      <c r="B382" t="s">
        <v>48</v>
      </c>
      <c r="C382">
        <v>649163</v>
      </c>
      <c r="D382">
        <v>2028858330</v>
      </c>
      <c r="E382" t="s">
        <v>929</v>
      </c>
      <c r="F382" t="s">
        <v>103</v>
      </c>
      <c r="G382" t="s">
        <v>51</v>
      </c>
      <c r="H382" t="s">
        <v>69</v>
      </c>
      <c r="I382" s="2">
        <v>47.08</v>
      </c>
      <c r="J382" t="s">
        <v>59</v>
      </c>
      <c r="K382" s="3">
        <v>0.9</v>
      </c>
      <c r="L382" s="2">
        <v>42.37</v>
      </c>
      <c r="M382" s="2">
        <v>0</v>
      </c>
      <c r="N382" s="2">
        <v>0</v>
      </c>
      <c r="O382" t="s">
        <v>53</v>
      </c>
      <c r="P382" t="s">
        <v>132</v>
      </c>
      <c r="Q382">
        <v>839554</v>
      </c>
      <c r="R382" t="s">
        <v>930</v>
      </c>
      <c r="S382" t="s">
        <v>931</v>
      </c>
      <c r="T382" t="s">
        <v>57</v>
      </c>
      <c r="U382" s="1">
        <v>45809</v>
      </c>
      <c r="W382" s="1">
        <v>45992</v>
      </c>
      <c r="X382">
        <v>1</v>
      </c>
      <c r="Y382" t="s">
        <v>58</v>
      </c>
      <c r="Z382" s="2">
        <v>0</v>
      </c>
      <c r="AA382">
        <v>0</v>
      </c>
      <c r="AB382" t="s">
        <v>60</v>
      </c>
      <c r="AC382" t="s">
        <v>61</v>
      </c>
      <c r="AD382">
        <v>0</v>
      </c>
      <c r="AE382" s="2">
        <v>0</v>
      </c>
      <c r="AF382" s="2">
        <v>0</v>
      </c>
      <c r="AG382" s="3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45957</v>
      </c>
      <c r="B383" t="s">
        <v>48</v>
      </c>
      <c r="C383">
        <v>649163</v>
      </c>
      <c r="D383">
        <v>2028960907</v>
      </c>
      <c r="E383" t="s">
        <v>789</v>
      </c>
      <c r="F383" t="s">
        <v>790</v>
      </c>
      <c r="G383" t="s">
        <v>51</v>
      </c>
      <c r="H383" t="s">
        <v>69</v>
      </c>
      <c r="I383" s="2">
        <v>12.92</v>
      </c>
      <c r="J383" t="s">
        <v>59</v>
      </c>
      <c r="K383" s="3">
        <v>0.9</v>
      </c>
      <c r="L383" s="2">
        <v>11.63</v>
      </c>
      <c r="M383" s="2">
        <v>0</v>
      </c>
      <c r="N383" s="2">
        <v>0</v>
      </c>
      <c r="O383" t="s">
        <v>53</v>
      </c>
      <c r="P383" t="s">
        <v>132</v>
      </c>
      <c r="Q383">
        <v>856163</v>
      </c>
      <c r="R383" t="s">
        <v>70</v>
      </c>
      <c r="S383" t="s">
        <v>71</v>
      </c>
      <c r="T383" t="s">
        <v>57</v>
      </c>
      <c r="U383" s="1">
        <v>45809</v>
      </c>
      <c r="W383" s="1">
        <v>45992</v>
      </c>
      <c r="X383">
        <v>1</v>
      </c>
      <c r="Y383" t="s">
        <v>58</v>
      </c>
      <c r="Z383" s="2">
        <v>0</v>
      </c>
      <c r="AA383">
        <v>0</v>
      </c>
      <c r="AB383" t="s">
        <v>60</v>
      </c>
      <c r="AC383" t="s">
        <v>61</v>
      </c>
      <c r="AD383">
        <v>0</v>
      </c>
      <c r="AE383" s="2">
        <v>0</v>
      </c>
      <c r="AF383" s="2">
        <v>0</v>
      </c>
      <c r="AG383" s="3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45957</v>
      </c>
      <c r="B384" t="s">
        <v>48</v>
      </c>
      <c r="C384">
        <v>649163</v>
      </c>
      <c r="D384">
        <v>2029062371</v>
      </c>
      <c r="E384" t="s">
        <v>857</v>
      </c>
      <c r="F384" t="s">
        <v>945</v>
      </c>
      <c r="G384" t="s">
        <v>51</v>
      </c>
      <c r="H384" t="s">
        <v>261</v>
      </c>
      <c r="I384" s="2">
        <v>28.83</v>
      </c>
      <c r="J384" t="s">
        <v>59</v>
      </c>
      <c r="K384" s="3">
        <v>0.9</v>
      </c>
      <c r="L384" s="2">
        <v>0</v>
      </c>
      <c r="M384" s="2">
        <v>25.95</v>
      </c>
      <c r="N384" s="2">
        <v>25.95</v>
      </c>
      <c r="O384" t="s">
        <v>53</v>
      </c>
      <c r="P384" t="s">
        <v>132</v>
      </c>
      <c r="Q384">
        <v>767312</v>
      </c>
      <c r="R384" t="s">
        <v>237</v>
      </c>
      <c r="S384" t="s">
        <v>103</v>
      </c>
      <c r="T384" t="s">
        <v>57</v>
      </c>
      <c r="U384" s="1">
        <v>45800</v>
      </c>
      <c r="W384" s="1">
        <v>45984</v>
      </c>
      <c r="X384">
        <v>1</v>
      </c>
      <c r="Y384" t="s">
        <v>58</v>
      </c>
      <c r="Z384" s="2">
        <v>0</v>
      </c>
      <c r="AA384">
        <v>0</v>
      </c>
      <c r="AB384" t="s">
        <v>60</v>
      </c>
      <c r="AC384" t="s">
        <v>61</v>
      </c>
      <c r="AD384">
        <v>0</v>
      </c>
      <c r="AE384" s="2">
        <v>0</v>
      </c>
      <c r="AF384" s="2">
        <v>0</v>
      </c>
      <c r="AG384" s="3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45957</v>
      </c>
      <c r="B385" t="s">
        <v>48</v>
      </c>
      <c r="C385">
        <v>649163</v>
      </c>
      <c r="D385">
        <v>2029557202</v>
      </c>
      <c r="E385" t="s">
        <v>1065</v>
      </c>
      <c r="F385" t="s">
        <v>1066</v>
      </c>
      <c r="G385" t="s">
        <v>51</v>
      </c>
      <c r="H385" t="s">
        <v>118</v>
      </c>
      <c r="I385" s="2">
        <v>40.18</v>
      </c>
      <c r="J385" t="s">
        <v>59</v>
      </c>
      <c r="K385" s="3">
        <v>0.9</v>
      </c>
      <c r="L385" s="2">
        <v>0</v>
      </c>
      <c r="M385" s="2">
        <v>36.159999999999997</v>
      </c>
      <c r="N385" s="2">
        <v>36.159999999999997</v>
      </c>
      <c r="O385" t="s">
        <v>53</v>
      </c>
      <c r="P385" t="s">
        <v>132</v>
      </c>
      <c r="Q385">
        <v>823068</v>
      </c>
      <c r="R385" t="s">
        <v>120</v>
      </c>
      <c r="S385" t="s">
        <v>121</v>
      </c>
      <c r="T385" t="s">
        <v>57</v>
      </c>
      <c r="U385" s="1">
        <v>45836</v>
      </c>
      <c r="W385" s="1">
        <v>45989</v>
      </c>
      <c r="X385">
        <v>1</v>
      </c>
      <c r="Y385" t="s">
        <v>58</v>
      </c>
      <c r="Z385" s="2">
        <v>0</v>
      </c>
      <c r="AA385">
        <v>0</v>
      </c>
      <c r="AB385" t="s">
        <v>60</v>
      </c>
      <c r="AC385" t="s">
        <v>61</v>
      </c>
      <c r="AD385">
        <v>0</v>
      </c>
      <c r="AE385" s="2">
        <v>0</v>
      </c>
      <c r="AF385" s="2">
        <v>0</v>
      </c>
      <c r="AG385" s="3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45957</v>
      </c>
      <c r="B386" t="s">
        <v>48</v>
      </c>
      <c r="C386">
        <v>649163</v>
      </c>
      <c r="D386">
        <v>2029647651</v>
      </c>
      <c r="E386" t="s">
        <v>1067</v>
      </c>
      <c r="F386" t="s">
        <v>1068</v>
      </c>
      <c r="G386" t="s">
        <v>51</v>
      </c>
      <c r="H386" t="s">
        <v>69</v>
      </c>
      <c r="I386" s="2">
        <v>17.62</v>
      </c>
      <c r="J386" t="s">
        <v>59</v>
      </c>
      <c r="K386" s="3">
        <v>0.9</v>
      </c>
      <c r="L386" s="2">
        <v>15.86</v>
      </c>
      <c r="M386" s="2">
        <v>0</v>
      </c>
      <c r="N386" s="2">
        <v>0</v>
      </c>
      <c r="O386" t="s">
        <v>53</v>
      </c>
      <c r="P386" t="s">
        <v>132</v>
      </c>
      <c r="Q386">
        <v>807212</v>
      </c>
      <c r="R386" t="s">
        <v>769</v>
      </c>
      <c r="S386" t="s">
        <v>770</v>
      </c>
      <c r="T386" t="s">
        <v>57</v>
      </c>
      <c r="U386" s="1">
        <v>45834</v>
      </c>
      <c r="W386" s="1">
        <v>45987</v>
      </c>
      <c r="X386">
        <v>1</v>
      </c>
      <c r="Y386" t="s">
        <v>58</v>
      </c>
      <c r="Z386" s="2">
        <v>0</v>
      </c>
      <c r="AA386">
        <v>0</v>
      </c>
      <c r="AB386" t="s">
        <v>60</v>
      </c>
      <c r="AC386" t="s">
        <v>61</v>
      </c>
      <c r="AD386">
        <v>0</v>
      </c>
      <c r="AE386" s="2">
        <v>0</v>
      </c>
      <c r="AF386" s="2">
        <v>0</v>
      </c>
      <c r="AG386" s="3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45957</v>
      </c>
      <c r="B387" t="s">
        <v>48</v>
      </c>
      <c r="C387">
        <v>649163</v>
      </c>
      <c r="D387">
        <v>2030117415</v>
      </c>
      <c r="E387" t="s">
        <v>278</v>
      </c>
      <c r="F387" t="s">
        <v>1074</v>
      </c>
      <c r="G387" t="s">
        <v>51</v>
      </c>
      <c r="H387" t="s">
        <v>179</v>
      </c>
      <c r="I387" s="2">
        <v>69.08</v>
      </c>
      <c r="J387" t="s">
        <v>59</v>
      </c>
      <c r="K387" s="3">
        <v>0.9</v>
      </c>
      <c r="L387" s="2">
        <v>62.17</v>
      </c>
      <c r="M387" s="2">
        <v>0</v>
      </c>
      <c r="N387" s="2">
        <v>0</v>
      </c>
      <c r="O387" t="s">
        <v>53</v>
      </c>
      <c r="P387" t="s">
        <v>132</v>
      </c>
      <c r="Q387">
        <v>767312</v>
      </c>
      <c r="R387" t="s">
        <v>237</v>
      </c>
      <c r="S387" t="s">
        <v>103</v>
      </c>
      <c r="T387" t="s">
        <v>57</v>
      </c>
      <c r="U387" s="1">
        <v>45863</v>
      </c>
      <c r="W387" s="1">
        <v>45986</v>
      </c>
      <c r="X387">
        <v>1</v>
      </c>
      <c r="Y387" t="s">
        <v>58</v>
      </c>
      <c r="Z387" s="2">
        <v>0</v>
      </c>
      <c r="AA387">
        <v>0</v>
      </c>
      <c r="AB387" t="s">
        <v>60</v>
      </c>
      <c r="AC387" t="s">
        <v>61</v>
      </c>
      <c r="AD387">
        <v>0</v>
      </c>
      <c r="AE387" s="2">
        <v>0</v>
      </c>
      <c r="AF387" s="2">
        <v>0</v>
      </c>
      <c r="AG387" s="3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45957</v>
      </c>
      <c r="B388" t="s">
        <v>48</v>
      </c>
      <c r="C388">
        <v>649163</v>
      </c>
      <c r="D388">
        <v>2024464933</v>
      </c>
      <c r="E388" t="s">
        <v>333</v>
      </c>
      <c r="F388" t="s">
        <v>334</v>
      </c>
      <c r="G388" t="s">
        <v>51</v>
      </c>
      <c r="H388" t="s">
        <v>69</v>
      </c>
      <c r="I388" s="2">
        <v>114.17</v>
      </c>
      <c r="J388" t="s">
        <v>59</v>
      </c>
      <c r="K388" s="3">
        <v>0.26</v>
      </c>
      <c r="L388" s="2">
        <v>0</v>
      </c>
      <c r="M388" s="2">
        <v>29.68</v>
      </c>
      <c r="N388" s="2">
        <v>29.68</v>
      </c>
      <c r="O388" t="s">
        <v>712</v>
      </c>
      <c r="P388" t="s">
        <v>713</v>
      </c>
      <c r="Q388">
        <v>766422</v>
      </c>
      <c r="R388" t="s">
        <v>335</v>
      </c>
      <c r="S388" t="s">
        <v>336</v>
      </c>
      <c r="T388" t="s">
        <v>57</v>
      </c>
      <c r="U388" s="1">
        <v>45527</v>
      </c>
      <c r="W388" s="1">
        <v>45984</v>
      </c>
      <c r="X388">
        <v>1</v>
      </c>
      <c r="Y388" t="s">
        <v>58</v>
      </c>
      <c r="Z388" s="2">
        <v>0</v>
      </c>
      <c r="AA388">
        <v>0</v>
      </c>
      <c r="AB388" t="s">
        <v>264</v>
      </c>
      <c r="AC388" t="s">
        <v>61</v>
      </c>
      <c r="AD388">
        <v>0</v>
      </c>
      <c r="AE388" s="2">
        <v>0</v>
      </c>
      <c r="AF388" s="2">
        <v>0</v>
      </c>
      <c r="AG388" s="3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45957</v>
      </c>
      <c r="B389" t="s">
        <v>48</v>
      </c>
      <c r="C389">
        <v>649163</v>
      </c>
      <c r="D389">
        <v>2022747853</v>
      </c>
      <c r="E389" t="s">
        <v>640</v>
      </c>
      <c r="F389" t="s">
        <v>617</v>
      </c>
      <c r="G389" t="s">
        <v>51</v>
      </c>
      <c r="H389" t="s">
        <v>195</v>
      </c>
      <c r="I389" s="2">
        <v>61.39</v>
      </c>
      <c r="J389" t="s">
        <v>59</v>
      </c>
      <c r="K389" s="3">
        <v>0.1</v>
      </c>
      <c r="L389" s="2">
        <v>0</v>
      </c>
      <c r="M389" s="2">
        <v>6.14</v>
      </c>
      <c r="N389" s="2">
        <v>6.14</v>
      </c>
      <c r="O389" t="s">
        <v>355</v>
      </c>
      <c r="P389" t="s">
        <v>356</v>
      </c>
      <c r="Q389">
        <v>751867</v>
      </c>
      <c r="R389" t="s">
        <v>349</v>
      </c>
      <c r="S389" t="s">
        <v>312</v>
      </c>
      <c r="T389" t="s">
        <v>57</v>
      </c>
      <c r="U389" s="1">
        <v>45413</v>
      </c>
      <c r="W389" s="1">
        <v>45962</v>
      </c>
      <c r="X389">
        <v>1</v>
      </c>
      <c r="Y389" t="s">
        <v>58</v>
      </c>
      <c r="Z389" s="2">
        <v>0</v>
      </c>
      <c r="AA389">
        <v>0</v>
      </c>
      <c r="AB389" t="s">
        <v>264</v>
      </c>
      <c r="AC389" t="s">
        <v>61</v>
      </c>
      <c r="AD389">
        <v>0</v>
      </c>
      <c r="AE389" s="2">
        <v>0</v>
      </c>
      <c r="AF389" s="2">
        <v>0</v>
      </c>
      <c r="AG389" s="3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45957</v>
      </c>
      <c r="B390" t="s">
        <v>48</v>
      </c>
      <c r="C390">
        <v>649163</v>
      </c>
      <c r="D390">
        <v>2022979208</v>
      </c>
      <c r="E390" t="s">
        <v>641</v>
      </c>
      <c r="F390" t="s">
        <v>642</v>
      </c>
      <c r="G390" t="s">
        <v>51</v>
      </c>
      <c r="H390" t="s">
        <v>195</v>
      </c>
      <c r="I390" s="2">
        <v>61.39</v>
      </c>
      <c r="J390" t="s">
        <v>59</v>
      </c>
      <c r="K390" s="3">
        <v>0.1</v>
      </c>
      <c r="L390" s="2">
        <v>0</v>
      </c>
      <c r="M390" s="2">
        <v>6.14</v>
      </c>
      <c r="N390" s="2">
        <v>6.14</v>
      </c>
      <c r="O390" t="s">
        <v>355</v>
      </c>
      <c r="P390" t="s">
        <v>356</v>
      </c>
      <c r="Q390">
        <v>649247</v>
      </c>
      <c r="R390" t="s">
        <v>321</v>
      </c>
      <c r="S390" t="s">
        <v>322</v>
      </c>
      <c r="T390" t="s">
        <v>57</v>
      </c>
      <c r="U390" s="1">
        <v>45444</v>
      </c>
      <c r="W390" s="1">
        <v>45992</v>
      </c>
      <c r="X390">
        <v>1</v>
      </c>
      <c r="Y390" t="s">
        <v>58</v>
      </c>
      <c r="Z390" s="2">
        <v>0</v>
      </c>
      <c r="AA390">
        <v>0</v>
      </c>
      <c r="AB390" t="s">
        <v>264</v>
      </c>
      <c r="AC390" t="s">
        <v>61</v>
      </c>
      <c r="AD390">
        <v>0</v>
      </c>
      <c r="AE390" s="2">
        <v>0</v>
      </c>
      <c r="AF390" s="2">
        <v>0</v>
      </c>
      <c r="AG390" s="3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45957</v>
      </c>
      <c r="B391" t="s">
        <v>48</v>
      </c>
      <c r="C391">
        <v>649163</v>
      </c>
      <c r="D391">
        <v>2023057745</v>
      </c>
      <c r="E391" t="s">
        <v>643</v>
      </c>
      <c r="F391" t="s">
        <v>644</v>
      </c>
      <c r="G391" t="s">
        <v>51</v>
      </c>
      <c r="H391" t="s">
        <v>195</v>
      </c>
      <c r="I391" s="2">
        <v>87.66</v>
      </c>
      <c r="J391" t="s">
        <v>59</v>
      </c>
      <c r="K391" s="3">
        <v>0.1</v>
      </c>
      <c r="L391" s="2">
        <v>0</v>
      </c>
      <c r="M391" s="2">
        <v>8.77</v>
      </c>
      <c r="N391" s="2">
        <v>8.77</v>
      </c>
      <c r="O391" t="s">
        <v>355</v>
      </c>
      <c r="P391" t="s">
        <v>356</v>
      </c>
      <c r="Q391">
        <v>650218</v>
      </c>
      <c r="R391" t="s">
        <v>357</v>
      </c>
      <c r="S391" t="s">
        <v>358</v>
      </c>
      <c r="T391" t="s">
        <v>57</v>
      </c>
      <c r="U391" s="1">
        <v>45444</v>
      </c>
      <c r="W391" s="1">
        <v>45992</v>
      </c>
      <c r="X391">
        <v>1</v>
      </c>
      <c r="Y391" t="s">
        <v>58</v>
      </c>
      <c r="Z391" s="2">
        <v>0</v>
      </c>
      <c r="AA391">
        <v>0</v>
      </c>
      <c r="AB391" t="s">
        <v>264</v>
      </c>
      <c r="AC391" t="s">
        <v>61</v>
      </c>
      <c r="AD391">
        <v>0</v>
      </c>
      <c r="AE391" s="2">
        <v>0</v>
      </c>
      <c r="AF391" s="2">
        <v>0</v>
      </c>
      <c r="AG391" s="3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45957</v>
      </c>
      <c r="B392" t="s">
        <v>48</v>
      </c>
      <c r="C392">
        <v>649163</v>
      </c>
      <c r="D392">
        <v>2023105853</v>
      </c>
      <c r="E392" t="s">
        <v>493</v>
      </c>
      <c r="F392" t="s">
        <v>494</v>
      </c>
      <c r="G392" t="s">
        <v>51</v>
      </c>
      <c r="H392" t="s">
        <v>78</v>
      </c>
      <c r="I392" s="2">
        <v>23.22</v>
      </c>
      <c r="J392" t="s">
        <v>59</v>
      </c>
      <c r="K392" s="3">
        <v>0.1</v>
      </c>
      <c r="L392" s="2">
        <v>0</v>
      </c>
      <c r="M392" s="2">
        <v>2.3199999999999998</v>
      </c>
      <c r="N392" s="2">
        <v>2.3199999999999998</v>
      </c>
      <c r="O392" t="s">
        <v>355</v>
      </c>
      <c r="P392" t="s">
        <v>356</v>
      </c>
      <c r="Q392">
        <v>650218</v>
      </c>
      <c r="R392" t="s">
        <v>357</v>
      </c>
      <c r="S392" t="s">
        <v>358</v>
      </c>
      <c r="T392" t="s">
        <v>57</v>
      </c>
      <c r="U392" s="1">
        <v>45444</v>
      </c>
      <c r="W392" s="1">
        <v>45992</v>
      </c>
      <c r="X392">
        <v>1</v>
      </c>
      <c r="Y392" t="s">
        <v>58</v>
      </c>
      <c r="Z392" s="2">
        <v>0</v>
      </c>
      <c r="AA392">
        <v>0</v>
      </c>
      <c r="AB392" t="s">
        <v>264</v>
      </c>
      <c r="AC392" t="s">
        <v>61</v>
      </c>
      <c r="AD392">
        <v>0</v>
      </c>
      <c r="AE392" s="2">
        <v>0</v>
      </c>
      <c r="AF392" s="2">
        <v>0</v>
      </c>
      <c r="AG392" s="3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45957</v>
      </c>
      <c r="B393" t="s">
        <v>48</v>
      </c>
      <c r="C393">
        <v>649163</v>
      </c>
      <c r="D393">
        <v>2023157516</v>
      </c>
      <c r="E393" t="s">
        <v>645</v>
      </c>
      <c r="F393" t="s">
        <v>268</v>
      </c>
      <c r="G393" t="s">
        <v>51</v>
      </c>
      <c r="H393" t="s">
        <v>195</v>
      </c>
      <c r="I393" s="2">
        <v>53.16</v>
      </c>
      <c r="J393" t="s">
        <v>59</v>
      </c>
      <c r="K393" s="3">
        <v>0.1</v>
      </c>
      <c r="L393" s="2">
        <v>0</v>
      </c>
      <c r="M393" s="2">
        <v>5.32</v>
      </c>
      <c r="N393" s="2">
        <v>5.32</v>
      </c>
      <c r="O393" t="s">
        <v>355</v>
      </c>
      <c r="P393" t="s">
        <v>356</v>
      </c>
      <c r="Q393">
        <v>649247</v>
      </c>
      <c r="R393" t="s">
        <v>321</v>
      </c>
      <c r="S393" t="s">
        <v>322</v>
      </c>
      <c r="T393" t="s">
        <v>57</v>
      </c>
      <c r="U393" s="1">
        <v>45444</v>
      </c>
      <c r="W393" s="1">
        <v>45992</v>
      </c>
      <c r="X393">
        <v>1</v>
      </c>
      <c r="Y393" t="s">
        <v>58</v>
      </c>
      <c r="Z393" s="2">
        <v>0</v>
      </c>
      <c r="AA393">
        <v>0</v>
      </c>
      <c r="AB393" t="s">
        <v>264</v>
      </c>
      <c r="AC393" t="s">
        <v>61</v>
      </c>
      <c r="AD393">
        <v>0</v>
      </c>
      <c r="AE393" s="2">
        <v>0</v>
      </c>
      <c r="AF393" s="2">
        <v>0</v>
      </c>
      <c r="AG393" s="3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45957</v>
      </c>
      <c r="B394" t="s">
        <v>48</v>
      </c>
      <c r="C394">
        <v>649163</v>
      </c>
      <c r="D394">
        <v>2023184837</v>
      </c>
      <c r="E394" t="s">
        <v>646</v>
      </c>
      <c r="F394" t="s">
        <v>647</v>
      </c>
      <c r="G394" t="s">
        <v>51</v>
      </c>
      <c r="H394" t="s">
        <v>195</v>
      </c>
      <c r="I394" s="2">
        <v>21.97</v>
      </c>
      <c r="J394" t="s">
        <v>59</v>
      </c>
      <c r="K394" s="3">
        <v>0.1</v>
      </c>
      <c r="L394" s="2">
        <v>0</v>
      </c>
      <c r="M394" s="2">
        <v>2.2000000000000002</v>
      </c>
      <c r="N394" s="2">
        <v>2.2000000000000002</v>
      </c>
      <c r="O394" t="s">
        <v>355</v>
      </c>
      <c r="P394" t="s">
        <v>356</v>
      </c>
      <c r="Q394">
        <v>649247</v>
      </c>
      <c r="R394" t="s">
        <v>321</v>
      </c>
      <c r="S394" t="s">
        <v>322</v>
      </c>
      <c r="T394" t="s">
        <v>57</v>
      </c>
      <c r="U394" s="1">
        <v>45444</v>
      </c>
      <c r="W394" s="1">
        <v>45992</v>
      </c>
      <c r="X394">
        <v>1</v>
      </c>
      <c r="Y394" t="s">
        <v>58</v>
      </c>
      <c r="Z394" s="2">
        <v>0</v>
      </c>
      <c r="AA394">
        <v>0</v>
      </c>
      <c r="AB394" t="s">
        <v>264</v>
      </c>
      <c r="AC394" t="s">
        <v>61</v>
      </c>
      <c r="AD394">
        <v>0</v>
      </c>
      <c r="AE394" s="2">
        <v>0</v>
      </c>
      <c r="AF394" s="2">
        <v>0</v>
      </c>
      <c r="AG394" s="3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45957</v>
      </c>
      <c r="B395" t="s">
        <v>48</v>
      </c>
      <c r="C395">
        <v>649163</v>
      </c>
      <c r="D395">
        <v>2023215080</v>
      </c>
      <c r="E395" t="s">
        <v>648</v>
      </c>
      <c r="F395" t="s">
        <v>649</v>
      </c>
      <c r="G395" t="s">
        <v>51</v>
      </c>
      <c r="H395" t="s">
        <v>195</v>
      </c>
      <c r="I395" s="2">
        <v>53.16</v>
      </c>
      <c r="J395" t="s">
        <v>59</v>
      </c>
      <c r="K395" s="3">
        <v>0.1</v>
      </c>
      <c r="L395" s="2">
        <v>0</v>
      </c>
      <c r="M395" s="2">
        <v>5.32</v>
      </c>
      <c r="N395" s="2">
        <v>5.32</v>
      </c>
      <c r="O395" t="s">
        <v>355</v>
      </c>
      <c r="P395" t="s">
        <v>356</v>
      </c>
      <c r="Q395">
        <v>650218</v>
      </c>
      <c r="R395" t="s">
        <v>357</v>
      </c>
      <c r="S395" t="s">
        <v>358</v>
      </c>
      <c r="T395" t="s">
        <v>57</v>
      </c>
      <c r="U395" s="1">
        <v>45444</v>
      </c>
      <c r="W395" s="1">
        <v>45992</v>
      </c>
      <c r="X395">
        <v>1</v>
      </c>
      <c r="Y395" t="s">
        <v>58</v>
      </c>
      <c r="Z395" s="2">
        <v>0</v>
      </c>
      <c r="AA395">
        <v>0</v>
      </c>
      <c r="AB395" t="s">
        <v>264</v>
      </c>
      <c r="AC395" t="s">
        <v>61</v>
      </c>
      <c r="AD395">
        <v>0</v>
      </c>
      <c r="AE395" s="2">
        <v>0</v>
      </c>
      <c r="AF395" s="2">
        <v>0</v>
      </c>
      <c r="AG395" s="3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45957</v>
      </c>
      <c r="B396" t="s">
        <v>48</v>
      </c>
      <c r="C396">
        <v>649163</v>
      </c>
      <c r="D396">
        <v>2023252073</v>
      </c>
      <c r="E396" t="s">
        <v>495</v>
      </c>
      <c r="F396" t="s">
        <v>496</v>
      </c>
      <c r="G396" t="s">
        <v>51</v>
      </c>
      <c r="H396" t="s">
        <v>195</v>
      </c>
      <c r="I396" s="2">
        <v>116.64</v>
      </c>
      <c r="J396" t="s">
        <v>59</v>
      </c>
      <c r="K396" s="3">
        <v>0.1</v>
      </c>
      <c r="L396" s="2">
        <v>0</v>
      </c>
      <c r="M396" s="2">
        <v>11.66</v>
      </c>
      <c r="N396" s="2">
        <v>11.66</v>
      </c>
      <c r="O396" t="s">
        <v>355</v>
      </c>
      <c r="P396" t="s">
        <v>356</v>
      </c>
      <c r="Q396">
        <v>650218</v>
      </c>
      <c r="R396" t="s">
        <v>357</v>
      </c>
      <c r="S396" t="s">
        <v>358</v>
      </c>
      <c r="T396" t="s">
        <v>57</v>
      </c>
      <c r="U396" s="1">
        <v>45444</v>
      </c>
      <c r="W396" s="1">
        <v>45992</v>
      </c>
      <c r="X396">
        <v>1</v>
      </c>
      <c r="Y396" t="s">
        <v>58</v>
      </c>
      <c r="Z396" s="2">
        <v>0</v>
      </c>
      <c r="AA396">
        <v>0</v>
      </c>
      <c r="AB396" t="s">
        <v>264</v>
      </c>
      <c r="AC396" t="s">
        <v>61</v>
      </c>
      <c r="AD396">
        <v>0</v>
      </c>
      <c r="AE396" s="2">
        <v>0</v>
      </c>
      <c r="AF396" s="2">
        <v>0</v>
      </c>
      <c r="AG396" s="3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45957</v>
      </c>
      <c r="B397" t="s">
        <v>48</v>
      </c>
      <c r="C397">
        <v>649163</v>
      </c>
      <c r="D397">
        <v>2023296698</v>
      </c>
      <c r="E397" t="s">
        <v>650</v>
      </c>
      <c r="F397" t="s">
        <v>651</v>
      </c>
      <c r="G397" t="s">
        <v>51</v>
      </c>
      <c r="H397" t="s">
        <v>195</v>
      </c>
      <c r="I397" s="2">
        <v>21.97</v>
      </c>
      <c r="J397" t="s">
        <v>59</v>
      </c>
      <c r="K397" s="3">
        <v>0.1</v>
      </c>
      <c r="L397" s="2">
        <v>0</v>
      </c>
      <c r="M397" s="2">
        <v>2.2000000000000002</v>
      </c>
      <c r="N397" s="2">
        <v>2.2000000000000002</v>
      </c>
      <c r="O397" t="s">
        <v>355</v>
      </c>
      <c r="P397" t="s">
        <v>356</v>
      </c>
      <c r="Q397">
        <v>650218</v>
      </c>
      <c r="R397" t="s">
        <v>357</v>
      </c>
      <c r="S397" t="s">
        <v>358</v>
      </c>
      <c r="T397" t="s">
        <v>57</v>
      </c>
      <c r="U397" s="1">
        <v>45444</v>
      </c>
      <c r="W397" s="1">
        <v>45992</v>
      </c>
      <c r="X397">
        <v>1</v>
      </c>
      <c r="Y397" t="s">
        <v>58</v>
      </c>
      <c r="Z397" s="2">
        <v>0</v>
      </c>
      <c r="AA397">
        <v>0</v>
      </c>
      <c r="AB397" t="s">
        <v>264</v>
      </c>
      <c r="AC397" t="s">
        <v>61</v>
      </c>
      <c r="AD397">
        <v>0</v>
      </c>
      <c r="AE397" s="2">
        <v>0</v>
      </c>
      <c r="AF397" s="2">
        <v>0</v>
      </c>
      <c r="AG397" s="3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45957</v>
      </c>
      <c r="B398" t="s">
        <v>48</v>
      </c>
      <c r="C398">
        <v>649163</v>
      </c>
      <c r="D398">
        <v>2024476863</v>
      </c>
      <c r="E398" t="s">
        <v>652</v>
      </c>
      <c r="F398" t="s">
        <v>653</v>
      </c>
      <c r="G398" t="s">
        <v>51</v>
      </c>
      <c r="H398" t="s">
        <v>195</v>
      </c>
      <c r="I398" s="2">
        <v>46.13</v>
      </c>
      <c r="J398" t="s">
        <v>59</v>
      </c>
      <c r="K398" s="3">
        <v>0.1</v>
      </c>
      <c r="L398" s="2">
        <v>0</v>
      </c>
      <c r="M398" s="2">
        <v>4.6100000000000003</v>
      </c>
      <c r="N398" s="2">
        <v>4.6100000000000003</v>
      </c>
      <c r="O398" t="s">
        <v>355</v>
      </c>
      <c r="P398" t="s">
        <v>356</v>
      </c>
      <c r="Q398">
        <v>650218</v>
      </c>
      <c r="R398" t="s">
        <v>357</v>
      </c>
      <c r="S398" t="s">
        <v>358</v>
      </c>
      <c r="T398" t="s">
        <v>57</v>
      </c>
      <c r="U398" s="1">
        <v>45536</v>
      </c>
      <c r="W398" s="1">
        <v>45992</v>
      </c>
      <c r="X398">
        <v>1</v>
      </c>
      <c r="Y398" t="s">
        <v>58</v>
      </c>
      <c r="Z398" s="2">
        <v>0</v>
      </c>
      <c r="AA398">
        <v>0</v>
      </c>
      <c r="AB398" t="s">
        <v>264</v>
      </c>
      <c r="AC398" t="s">
        <v>61</v>
      </c>
      <c r="AD398">
        <v>0</v>
      </c>
      <c r="AE398" s="2">
        <v>0</v>
      </c>
      <c r="AF398" s="2">
        <v>0</v>
      </c>
      <c r="AG398" s="3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45957</v>
      </c>
      <c r="B399" t="s">
        <v>48</v>
      </c>
      <c r="C399">
        <v>649163</v>
      </c>
      <c r="D399">
        <v>2024477616</v>
      </c>
      <c r="E399" t="s">
        <v>654</v>
      </c>
      <c r="F399" t="s">
        <v>66</v>
      </c>
      <c r="G399" t="s">
        <v>51</v>
      </c>
      <c r="H399" t="s">
        <v>195</v>
      </c>
      <c r="I399" s="2">
        <v>38.11</v>
      </c>
      <c r="J399" t="s">
        <v>59</v>
      </c>
      <c r="K399" s="3">
        <v>0.1</v>
      </c>
      <c r="L399" s="2">
        <v>0</v>
      </c>
      <c r="M399" s="2">
        <v>3.81</v>
      </c>
      <c r="N399" s="2">
        <v>3.81</v>
      </c>
      <c r="O399" t="s">
        <v>355</v>
      </c>
      <c r="P399" t="s">
        <v>356</v>
      </c>
      <c r="Q399">
        <v>650218</v>
      </c>
      <c r="R399" t="s">
        <v>357</v>
      </c>
      <c r="S399" t="s">
        <v>358</v>
      </c>
      <c r="T399" t="s">
        <v>57</v>
      </c>
      <c r="U399" s="1">
        <v>45536</v>
      </c>
      <c r="W399" s="1">
        <v>45992</v>
      </c>
      <c r="X399">
        <v>1</v>
      </c>
      <c r="Y399" t="s">
        <v>58</v>
      </c>
      <c r="Z399" s="2">
        <v>0</v>
      </c>
      <c r="AA399">
        <v>0</v>
      </c>
      <c r="AB399" t="s">
        <v>264</v>
      </c>
      <c r="AC399" t="s">
        <v>61</v>
      </c>
      <c r="AD399">
        <v>0</v>
      </c>
      <c r="AE399" s="2">
        <v>0</v>
      </c>
      <c r="AF399" s="2">
        <v>0</v>
      </c>
      <c r="AG399" s="3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45957</v>
      </c>
      <c r="B400" t="s">
        <v>48</v>
      </c>
      <c r="C400">
        <v>649163</v>
      </c>
      <c r="D400">
        <v>2024586356</v>
      </c>
      <c r="E400" t="s">
        <v>655</v>
      </c>
      <c r="F400" t="s">
        <v>387</v>
      </c>
      <c r="G400" t="s">
        <v>51</v>
      </c>
      <c r="H400" t="s">
        <v>195</v>
      </c>
      <c r="I400" s="2">
        <v>38.11</v>
      </c>
      <c r="J400" t="s">
        <v>59</v>
      </c>
      <c r="K400" s="3">
        <v>0.1</v>
      </c>
      <c r="L400" s="2">
        <v>0</v>
      </c>
      <c r="M400" s="2">
        <v>3.81</v>
      </c>
      <c r="N400" s="2">
        <v>3.81</v>
      </c>
      <c r="O400" t="s">
        <v>355</v>
      </c>
      <c r="P400" t="s">
        <v>356</v>
      </c>
      <c r="Q400">
        <v>650218</v>
      </c>
      <c r="R400" t="s">
        <v>357</v>
      </c>
      <c r="S400" t="s">
        <v>358</v>
      </c>
      <c r="T400" t="s">
        <v>57</v>
      </c>
      <c r="U400" s="1">
        <v>45536</v>
      </c>
      <c r="W400" s="1">
        <v>45992</v>
      </c>
      <c r="X400">
        <v>1</v>
      </c>
      <c r="Y400" t="s">
        <v>58</v>
      </c>
      <c r="Z400" s="2">
        <v>0</v>
      </c>
      <c r="AA400">
        <v>0</v>
      </c>
      <c r="AB400" t="s">
        <v>264</v>
      </c>
      <c r="AC400" t="s">
        <v>61</v>
      </c>
      <c r="AD400">
        <v>0</v>
      </c>
      <c r="AE400" s="2">
        <v>0</v>
      </c>
      <c r="AF400" s="2">
        <v>0</v>
      </c>
      <c r="AG400" s="3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45957</v>
      </c>
      <c r="B401" t="s">
        <v>48</v>
      </c>
      <c r="C401">
        <v>649163</v>
      </c>
      <c r="D401">
        <v>2024591189</v>
      </c>
      <c r="E401" t="s">
        <v>656</v>
      </c>
      <c r="F401" t="s">
        <v>657</v>
      </c>
      <c r="G401" t="s">
        <v>51</v>
      </c>
      <c r="H401" t="s">
        <v>195</v>
      </c>
      <c r="I401" s="2">
        <v>53.16</v>
      </c>
      <c r="J401" t="s">
        <v>59</v>
      </c>
      <c r="K401" s="3">
        <v>0.1</v>
      </c>
      <c r="L401" s="2">
        <v>0</v>
      </c>
      <c r="M401" s="2">
        <v>5.32</v>
      </c>
      <c r="N401" s="2">
        <v>5.32</v>
      </c>
      <c r="O401" t="s">
        <v>355</v>
      </c>
      <c r="P401" t="s">
        <v>356</v>
      </c>
      <c r="Q401">
        <v>650218</v>
      </c>
      <c r="R401" t="s">
        <v>357</v>
      </c>
      <c r="S401" t="s">
        <v>358</v>
      </c>
      <c r="T401" t="s">
        <v>57</v>
      </c>
      <c r="U401" s="1">
        <v>45536</v>
      </c>
      <c r="W401" s="1">
        <v>45992</v>
      </c>
      <c r="X401">
        <v>1</v>
      </c>
      <c r="Y401" t="s">
        <v>58</v>
      </c>
      <c r="Z401" s="2">
        <v>0</v>
      </c>
      <c r="AA401">
        <v>0</v>
      </c>
      <c r="AB401" t="s">
        <v>264</v>
      </c>
      <c r="AC401" t="s">
        <v>61</v>
      </c>
      <c r="AD401">
        <v>0</v>
      </c>
      <c r="AE401" s="2">
        <v>0</v>
      </c>
      <c r="AF401" s="2">
        <v>0</v>
      </c>
      <c r="AG401" s="3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45957</v>
      </c>
      <c r="B402" t="s">
        <v>48</v>
      </c>
      <c r="C402">
        <v>649163</v>
      </c>
      <c r="D402">
        <v>2024600969</v>
      </c>
      <c r="E402" t="s">
        <v>658</v>
      </c>
      <c r="F402" t="s">
        <v>62</v>
      </c>
      <c r="G402" t="s">
        <v>51</v>
      </c>
      <c r="H402" t="s">
        <v>195</v>
      </c>
      <c r="I402" s="2">
        <v>61.39</v>
      </c>
      <c r="J402" t="s">
        <v>59</v>
      </c>
      <c r="K402" s="3">
        <v>0.1</v>
      </c>
      <c r="L402" s="2">
        <v>0</v>
      </c>
      <c r="M402" s="2">
        <v>6.14</v>
      </c>
      <c r="N402" s="2">
        <v>6.14</v>
      </c>
      <c r="O402" t="s">
        <v>355</v>
      </c>
      <c r="P402" t="s">
        <v>356</v>
      </c>
      <c r="Q402">
        <v>650218</v>
      </c>
      <c r="R402" t="s">
        <v>357</v>
      </c>
      <c r="S402" t="s">
        <v>358</v>
      </c>
      <c r="T402" t="s">
        <v>57</v>
      </c>
      <c r="U402" s="1">
        <v>45536</v>
      </c>
      <c r="W402" s="1">
        <v>45992</v>
      </c>
      <c r="X402">
        <v>1</v>
      </c>
      <c r="Y402" t="s">
        <v>58</v>
      </c>
      <c r="Z402" s="2">
        <v>0</v>
      </c>
      <c r="AA402">
        <v>0</v>
      </c>
      <c r="AB402" t="s">
        <v>264</v>
      </c>
      <c r="AC402" t="s">
        <v>61</v>
      </c>
      <c r="AD402">
        <v>0</v>
      </c>
      <c r="AE402" s="2">
        <v>0</v>
      </c>
      <c r="AF402" s="2">
        <v>0</v>
      </c>
      <c r="AG402" s="3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45957</v>
      </c>
      <c r="B403" t="s">
        <v>48</v>
      </c>
      <c r="C403">
        <v>649163</v>
      </c>
      <c r="D403">
        <v>2024619101</v>
      </c>
      <c r="E403" t="s">
        <v>659</v>
      </c>
      <c r="F403" t="s">
        <v>577</v>
      </c>
      <c r="G403" t="s">
        <v>51</v>
      </c>
      <c r="H403" t="s">
        <v>195</v>
      </c>
      <c r="I403" s="2">
        <v>53.16</v>
      </c>
      <c r="J403" t="s">
        <v>59</v>
      </c>
      <c r="K403" s="3">
        <v>0.1</v>
      </c>
      <c r="L403" s="2">
        <v>0</v>
      </c>
      <c r="M403" s="2">
        <v>5.32</v>
      </c>
      <c r="N403" s="2">
        <v>5.32</v>
      </c>
      <c r="O403" t="s">
        <v>355</v>
      </c>
      <c r="P403" t="s">
        <v>356</v>
      </c>
      <c r="Q403">
        <v>650218</v>
      </c>
      <c r="R403" t="s">
        <v>357</v>
      </c>
      <c r="S403" t="s">
        <v>358</v>
      </c>
      <c r="T403" t="s">
        <v>57</v>
      </c>
      <c r="U403" s="1">
        <v>45536</v>
      </c>
      <c r="W403" s="1">
        <v>45992</v>
      </c>
      <c r="X403">
        <v>1</v>
      </c>
      <c r="Y403" t="s">
        <v>58</v>
      </c>
      <c r="Z403" s="2">
        <v>0</v>
      </c>
      <c r="AA403">
        <v>0</v>
      </c>
      <c r="AB403" t="s">
        <v>264</v>
      </c>
      <c r="AC403" t="s">
        <v>61</v>
      </c>
      <c r="AD403">
        <v>0</v>
      </c>
      <c r="AE403" s="2">
        <v>0</v>
      </c>
      <c r="AF403" s="2">
        <v>0</v>
      </c>
      <c r="AG403" s="3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45957</v>
      </c>
      <c r="B404" t="s">
        <v>48</v>
      </c>
      <c r="C404">
        <v>649163</v>
      </c>
      <c r="D404">
        <v>2024645160</v>
      </c>
      <c r="E404" t="s">
        <v>660</v>
      </c>
      <c r="F404" t="s">
        <v>661</v>
      </c>
      <c r="G404" t="s">
        <v>51</v>
      </c>
      <c r="H404" t="s">
        <v>195</v>
      </c>
      <c r="I404" s="2">
        <v>13.43</v>
      </c>
      <c r="J404" t="s">
        <v>59</v>
      </c>
      <c r="K404" s="3">
        <v>0.1</v>
      </c>
      <c r="L404" s="2">
        <v>0</v>
      </c>
      <c r="M404" s="2">
        <v>1.34</v>
      </c>
      <c r="N404" s="2">
        <v>1.34</v>
      </c>
      <c r="O404" t="s">
        <v>355</v>
      </c>
      <c r="P404" t="s">
        <v>356</v>
      </c>
      <c r="Q404">
        <v>650218</v>
      </c>
      <c r="R404" t="s">
        <v>357</v>
      </c>
      <c r="S404" t="s">
        <v>358</v>
      </c>
      <c r="T404" t="s">
        <v>57</v>
      </c>
      <c r="U404" s="1">
        <v>45536</v>
      </c>
      <c r="W404" s="1">
        <v>45992</v>
      </c>
      <c r="X404">
        <v>1</v>
      </c>
      <c r="Y404" t="s">
        <v>58</v>
      </c>
      <c r="Z404" s="2">
        <v>0</v>
      </c>
      <c r="AA404">
        <v>0</v>
      </c>
      <c r="AB404" t="s">
        <v>264</v>
      </c>
      <c r="AC404" t="s">
        <v>61</v>
      </c>
      <c r="AD404">
        <v>0</v>
      </c>
      <c r="AE404" s="2">
        <v>0</v>
      </c>
      <c r="AF404" s="2">
        <v>0</v>
      </c>
      <c r="AG404" s="3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45957</v>
      </c>
      <c r="B405" t="s">
        <v>48</v>
      </c>
      <c r="C405">
        <v>649163</v>
      </c>
      <c r="D405">
        <v>2025246360</v>
      </c>
      <c r="E405" t="s">
        <v>662</v>
      </c>
      <c r="F405" t="s">
        <v>663</v>
      </c>
      <c r="G405" t="s">
        <v>51</v>
      </c>
      <c r="H405" t="s">
        <v>195</v>
      </c>
      <c r="I405" s="2">
        <v>69.63</v>
      </c>
      <c r="J405" t="s">
        <v>59</v>
      </c>
      <c r="K405" s="3">
        <v>0.1</v>
      </c>
      <c r="L405" s="2">
        <v>0</v>
      </c>
      <c r="M405" s="2">
        <v>6.96</v>
      </c>
      <c r="N405" s="2">
        <v>6.96</v>
      </c>
      <c r="O405" t="s">
        <v>355</v>
      </c>
      <c r="P405" t="s">
        <v>356</v>
      </c>
      <c r="Q405">
        <v>650218</v>
      </c>
      <c r="R405" t="s">
        <v>357</v>
      </c>
      <c r="S405" t="s">
        <v>358</v>
      </c>
      <c r="T405" t="s">
        <v>57</v>
      </c>
      <c r="U405" s="1">
        <v>45597</v>
      </c>
      <c r="W405" s="1">
        <v>45992</v>
      </c>
      <c r="X405">
        <v>1</v>
      </c>
      <c r="Y405" t="s">
        <v>58</v>
      </c>
      <c r="Z405" s="2">
        <v>0</v>
      </c>
      <c r="AA405">
        <v>0</v>
      </c>
      <c r="AB405" t="s">
        <v>264</v>
      </c>
      <c r="AC405" t="s">
        <v>61</v>
      </c>
      <c r="AD405">
        <v>0</v>
      </c>
      <c r="AE405" s="2">
        <v>0</v>
      </c>
      <c r="AF405" s="2">
        <v>0</v>
      </c>
      <c r="AG405" s="3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45957</v>
      </c>
      <c r="B406" t="s">
        <v>48</v>
      </c>
      <c r="C406">
        <v>649163</v>
      </c>
      <c r="D406">
        <v>2025280496</v>
      </c>
      <c r="E406" t="s">
        <v>664</v>
      </c>
      <c r="F406" t="s">
        <v>665</v>
      </c>
      <c r="G406" t="s">
        <v>51</v>
      </c>
      <c r="H406" t="s">
        <v>195</v>
      </c>
      <c r="I406" s="2">
        <v>19.309999999999999</v>
      </c>
      <c r="J406" t="s">
        <v>59</v>
      </c>
      <c r="K406" s="3">
        <v>0.1</v>
      </c>
      <c r="L406" s="2">
        <v>0</v>
      </c>
      <c r="M406" s="2">
        <v>1.93</v>
      </c>
      <c r="N406" s="2">
        <v>1.93</v>
      </c>
      <c r="O406" t="s">
        <v>355</v>
      </c>
      <c r="P406" t="s">
        <v>356</v>
      </c>
      <c r="Q406">
        <v>650218</v>
      </c>
      <c r="R406" t="s">
        <v>357</v>
      </c>
      <c r="S406" t="s">
        <v>358</v>
      </c>
      <c r="T406" t="s">
        <v>57</v>
      </c>
      <c r="U406" s="1">
        <v>45597</v>
      </c>
      <c r="W406" s="1">
        <v>45992</v>
      </c>
      <c r="X406">
        <v>1</v>
      </c>
      <c r="Y406" t="s">
        <v>58</v>
      </c>
      <c r="Z406" s="2">
        <v>0</v>
      </c>
      <c r="AA406">
        <v>0</v>
      </c>
      <c r="AB406" t="s">
        <v>264</v>
      </c>
      <c r="AC406" t="s">
        <v>61</v>
      </c>
      <c r="AD406">
        <v>0</v>
      </c>
      <c r="AE406" s="2">
        <v>0</v>
      </c>
      <c r="AF406" s="2">
        <v>0</v>
      </c>
      <c r="AG406" s="3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45957</v>
      </c>
      <c r="B407" t="s">
        <v>48</v>
      </c>
      <c r="C407">
        <v>649163</v>
      </c>
      <c r="D407">
        <v>2025303843</v>
      </c>
      <c r="E407" t="s">
        <v>503</v>
      </c>
      <c r="F407" t="s">
        <v>504</v>
      </c>
      <c r="G407" t="s">
        <v>51</v>
      </c>
      <c r="H407" t="s">
        <v>195</v>
      </c>
      <c r="I407" s="2">
        <v>61.39</v>
      </c>
      <c r="J407" t="s">
        <v>59</v>
      </c>
      <c r="K407" s="3">
        <v>0.1</v>
      </c>
      <c r="L407" s="2">
        <v>0</v>
      </c>
      <c r="M407" s="2">
        <v>6.14</v>
      </c>
      <c r="N407" s="2">
        <v>6.14</v>
      </c>
      <c r="O407" t="s">
        <v>355</v>
      </c>
      <c r="P407" t="s">
        <v>356</v>
      </c>
      <c r="Q407">
        <v>650218</v>
      </c>
      <c r="R407" t="s">
        <v>357</v>
      </c>
      <c r="S407" t="s">
        <v>358</v>
      </c>
      <c r="T407" t="s">
        <v>57</v>
      </c>
      <c r="U407" s="1">
        <v>45597</v>
      </c>
      <c r="W407" s="1">
        <v>45992</v>
      </c>
      <c r="X407">
        <v>1</v>
      </c>
      <c r="Y407" t="s">
        <v>58</v>
      </c>
      <c r="Z407" s="2">
        <v>0</v>
      </c>
      <c r="AA407">
        <v>0</v>
      </c>
      <c r="AB407" t="s">
        <v>264</v>
      </c>
      <c r="AC407" t="s">
        <v>61</v>
      </c>
      <c r="AD407">
        <v>0</v>
      </c>
      <c r="AE407" s="2">
        <v>0</v>
      </c>
      <c r="AF407" s="2">
        <v>0</v>
      </c>
      <c r="AG407" s="3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45957</v>
      </c>
      <c r="B408" t="s">
        <v>48</v>
      </c>
      <c r="C408">
        <v>649163</v>
      </c>
      <c r="D408">
        <v>2025320099</v>
      </c>
      <c r="E408" t="s">
        <v>666</v>
      </c>
      <c r="F408" t="s">
        <v>651</v>
      </c>
      <c r="G408" t="s">
        <v>51</v>
      </c>
      <c r="H408" t="s">
        <v>195</v>
      </c>
      <c r="I408" s="2">
        <v>61.39</v>
      </c>
      <c r="J408" t="s">
        <v>59</v>
      </c>
      <c r="K408" s="3">
        <v>0.1</v>
      </c>
      <c r="L408" s="2">
        <v>0</v>
      </c>
      <c r="M408" s="2">
        <v>6.14</v>
      </c>
      <c r="N408" s="2">
        <v>6.14</v>
      </c>
      <c r="O408" t="s">
        <v>355</v>
      </c>
      <c r="P408" t="s">
        <v>356</v>
      </c>
      <c r="Q408">
        <v>650218</v>
      </c>
      <c r="R408" t="s">
        <v>357</v>
      </c>
      <c r="S408" t="s">
        <v>358</v>
      </c>
      <c r="T408" t="s">
        <v>57</v>
      </c>
      <c r="U408" s="1">
        <v>45597</v>
      </c>
      <c r="W408" s="1">
        <v>45992</v>
      </c>
      <c r="X408">
        <v>1</v>
      </c>
      <c r="Y408" t="s">
        <v>58</v>
      </c>
      <c r="Z408" s="2">
        <v>0</v>
      </c>
      <c r="AA408">
        <v>0</v>
      </c>
      <c r="AB408" t="s">
        <v>264</v>
      </c>
      <c r="AC408" t="s">
        <v>61</v>
      </c>
      <c r="AD408">
        <v>0</v>
      </c>
      <c r="AE408" s="2">
        <v>0</v>
      </c>
      <c r="AF408" s="2">
        <v>0</v>
      </c>
      <c r="AG408" s="3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45957</v>
      </c>
      <c r="B409" t="s">
        <v>48</v>
      </c>
      <c r="C409">
        <v>649163</v>
      </c>
      <c r="D409">
        <v>2025366542</v>
      </c>
      <c r="E409" t="s">
        <v>667</v>
      </c>
      <c r="F409" t="s">
        <v>668</v>
      </c>
      <c r="G409" t="s">
        <v>51</v>
      </c>
      <c r="H409" t="s">
        <v>234</v>
      </c>
      <c r="I409" s="2">
        <v>55.07</v>
      </c>
      <c r="J409" t="s">
        <v>59</v>
      </c>
      <c r="K409" s="3">
        <v>0.1</v>
      </c>
      <c r="L409" s="2">
        <v>0</v>
      </c>
      <c r="M409" s="2">
        <v>5.51</v>
      </c>
      <c r="N409" s="2">
        <v>5.51</v>
      </c>
      <c r="O409" t="s">
        <v>355</v>
      </c>
      <c r="P409" t="s">
        <v>356</v>
      </c>
      <c r="Q409">
        <v>756418</v>
      </c>
      <c r="R409" t="s">
        <v>191</v>
      </c>
      <c r="S409" t="s">
        <v>192</v>
      </c>
      <c r="T409" t="s">
        <v>57</v>
      </c>
      <c r="U409" s="1">
        <v>45597</v>
      </c>
      <c r="W409" s="1">
        <v>45992</v>
      </c>
      <c r="X409">
        <v>1</v>
      </c>
      <c r="Y409" t="s">
        <v>58</v>
      </c>
      <c r="Z409" s="2">
        <v>0</v>
      </c>
      <c r="AA409">
        <v>0</v>
      </c>
      <c r="AB409" t="s">
        <v>264</v>
      </c>
      <c r="AC409" t="s">
        <v>61</v>
      </c>
      <c r="AD409">
        <v>0</v>
      </c>
      <c r="AE409" s="2">
        <v>0</v>
      </c>
      <c r="AF409" s="2">
        <v>0</v>
      </c>
      <c r="AG409" s="3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45957</v>
      </c>
      <c r="B410" t="s">
        <v>48</v>
      </c>
      <c r="C410">
        <v>649163</v>
      </c>
      <c r="D410">
        <v>2025378907</v>
      </c>
      <c r="E410" t="s">
        <v>505</v>
      </c>
      <c r="F410" t="s">
        <v>506</v>
      </c>
      <c r="G410" t="s">
        <v>51</v>
      </c>
      <c r="H410" t="s">
        <v>195</v>
      </c>
      <c r="I410" s="2">
        <v>47.17</v>
      </c>
      <c r="J410" t="s">
        <v>59</v>
      </c>
      <c r="K410" s="3">
        <v>0.1</v>
      </c>
      <c r="L410" s="2">
        <v>0</v>
      </c>
      <c r="M410" s="2">
        <v>4.72</v>
      </c>
      <c r="N410" s="2">
        <v>4.72</v>
      </c>
      <c r="O410" t="s">
        <v>355</v>
      </c>
      <c r="P410" t="s">
        <v>356</v>
      </c>
      <c r="Q410">
        <v>650218</v>
      </c>
      <c r="R410" t="s">
        <v>357</v>
      </c>
      <c r="S410" t="s">
        <v>358</v>
      </c>
      <c r="T410" t="s">
        <v>57</v>
      </c>
      <c r="U410" s="1">
        <v>45597</v>
      </c>
      <c r="W410" s="1">
        <v>45992</v>
      </c>
      <c r="X410">
        <v>1</v>
      </c>
      <c r="Y410" t="s">
        <v>58</v>
      </c>
      <c r="Z410" s="2">
        <v>0</v>
      </c>
      <c r="AA410">
        <v>0</v>
      </c>
      <c r="AB410" t="s">
        <v>264</v>
      </c>
      <c r="AC410" t="s">
        <v>61</v>
      </c>
      <c r="AD410">
        <v>0</v>
      </c>
      <c r="AE410" s="2">
        <v>0</v>
      </c>
      <c r="AF410" s="2">
        <v>0</v>
      </c>
      <c r="AG410" s="3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45957</v>
      </c>
      <c r="B411" t="s">
        <v>48</v>
      </c>
      <c r="C411">
        <v>649163</v>
      </c>
      <c r="D411">
        <v>2025422150</v>
      </c>
      <c r="E411" t="s">
        <v>669</v>
      </c>
      <c r="F411" t="s">
        <v>404</v>
      </c>
      <c r="G411" t="s">
        <v>51</v>
      </c>
      <c r="H411" t="s">
        <v>195</v>
      </c>
      <c r="I411" s="2">
        <v>47.17</v>
      </c>
      <c r="J411" t="s">
        <v>59</v>
      </c>
      <c r="K411" s="3">
        <v>0.1</v>
      </c>
      <c r="L411" s="2">
        <v>0</v>
      </c>
      <c r="M411" s="2">
        <v>4.72</v>
      </c>
      <c r="N411" s="2">
        <v>4.72</v>
      </c>
      <c r="O411" t="s">
        <v>355</v>
      </c>
      <c r="P411" t="s">
        <v>356</v>
      </c>
      <c r="Q411">
        <v>650218</v>
      </c>
      <c r="R411" t="s">
        <v>357</v>
      </c>
      <c r="S411" t="s">
        <v>358</v>
      </c>
      <c r="T411" t="s">
        <v>57</v>
      </c>
      <c r="U411" s="1">
        <v>45597</v>
      </c>
      <c r="W411" s="1">
        <v>45992</v>
      </c>
      <c r="X411">
        <v>1</v>
      </c>
      <c r="Y411" t="s">
        <v>58</v>
      </c>
      <c r="Z411" s="2">
        <v>0</v>
      </c>
      <c r="AA411">
        <v>0</v>
      </c>
      <c r="AB411" t="s">
        <v>264</v>
      </c>
      <c r="AC411" t="s">
        <v>61</v>
      </c>
      <c r="AD411">
        <v>0</v>
      </c>
      <c r="AE411" s="2">
        <v>0</v>
      </c>
      <c r="AF411" s="2">
        <v>0</v>
      </c>
      <c r="AG411" s="3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45957</v>
      </c>
      <c r="B412" t="s">
        <v>48</v>
      </c>
      <c r="C412">
        <v>649163</v>
      </c>
      <c r="D412">
        <v>2025466191</v>
      </c>
      <c r="E412" t="s">
        <v>670</v>
      </c>
      <c r="F412" t="s">
        <v>671</v>
      </c>
      <c r="G412" t="s">
        <v>51</v>
      </c>
      <c r="H412" t="s">
        <v>195</v>
      </c>
      <c r="I412" s="2">
        <v>19.309999999999999</v>
      </c>
      <c r="J412" t="s">
        <v>59</v>
      </c>
      <c r="K412" s="3">
        <v>0.1</v>
      </c>
      <c r="L412" s="2">
        <v>0</v>
      </c>
      <c r="M412" s="2">
        <v>1.93</v>
      </c>
      <c r="N412" s="2">
        <v>1.93</v>
      </c>
      <c r="O412" t="s">
        <v>355</v>
      </c>
      <c r="P412" t="s">
        <v>356</v>
      </c>
      <c r="Q412">
        <v>650218</v>
      </c>
      <c r="R412" t="s">
        <v>357</v>
      </c>
      <c r="S412" t="s">
        <v>358</v>
      </c>
      <c r="T412" t="s">
        <v>57</v>
      </c>
      <c r="U412" s="1">
        <v>45597</v>
      </c>
      <c r="W412" s="1">
        <v>45992</v>
      </c>
      <c r="X412">
        <v>1</v>
      </c>
      <c r="Y412" t="s">
        <v>58</v>
      </c>
      <c r="Z412" s="2">
        <v>0</v>
      </c>
      <c r="AA412">
        <v>0</v>
      </c>
      <c r="AB412" t="s">
        <v>264</v>
      </c>
      <c r="AC412" t="s">
        <v>61</v>
      </c>
      <c r="AD412">
        <v>0</v>
      </c>
      <c r="AE412" s="2">
        <v>0</v>
      </c>
      <c r="AF412" s="2">
        <v>0</v>
      </c>
      <c r="AG412" s="3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45957</v>
      </c>
      <c r="B413" t="s">
        <v>48</v>
      </c>
      <c r="C413">
        <v>649163</v>
      </c>
      <c r="D413">
        <v>2025486440</v>
      </c>
      <c r="E413" t="s">
        <v>507</v>
      </c>
      <c r="F413" t="s">
        <v>374</v>
      </c>
      <c r="G413" t="s">
        <v>51</v>
      </c>
      <c r="H413" t="s">
        <v>129</v>
      </c>
      <c r="I413" s="2">
        <v>75.069999999999993</v>
      </c>
      <c r="J413" t="s">
        <v>59</v>
      </c>
      <c r="K413" s="3">
        <v>0.1</v>
      </c>
      <c r="L413" s="2">
        <v>0</v>
      </c>
      <c r="M413" s="2">
        <v>7.51</v>
      </c>
      <c r="N413" s="2">
        <v>7.51</v>
      </c>
      <c r="O413" t="s">
        <v>355</v>
      </c>
      <c r="P413" t="s">
        <v>356</v>
      </c>
      <c r="Q413">
        <v>650218</v>
      </c>
      <c r="R413" t="s">
        <v>357</v>
      </c>
      <c r="S413" t="s">
        <v>358</v>
      </c>
      <c r="T413" t="s">
        <v>57</v>
      </c>
      <c r="U413" s="1">
        <v>45597</v>
      </c>
      <c r="W413" s="1">
        <v>45992</v>
      </c>
      <c r="X413">
        <v>1</v>
      </c>
      <c r="Y413" t="s">
        <v>58</v>
      </c>
      <c r="Z413" s="2">
        <v>0</v>
      </c>
      <c r="AA413">
        <v>0</v>
      </c>
      <c r="AB413" t="s">
        <v>264</v>
      </c>
      <c r="AC413" t="s">
        <v>61</v>
      </c>
      <c r="AD413">
        <v>0</v>
      </c>
      <c r="AE413" s="2">
        <v>0</v>
      </c>
      <c r="AF413" s="2">
        <v>0</v>
      </c>
      <c r="AG413" s="3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45957</v>
      </c>
      <c r="B414" t="s">
        <v>48</v>
      </c>
      <c r="C414">
        <v>649163</v>
      </c>
      <c r="D414">
        <v>2025541353</v>
      </c>
      <c r="E414" t="s">
        <v>672</v>
      </c>
      <c r="F414" t="s">
        <v>673</v>
      </c>
      <c r="G414" t="s">
        <v>51</v>
      </c>
      <c r="H414" t="s">
        <v>208</v>
      </c>
      <c r="I414" s="2">
        <v>18.61</v>
      </c>
      <c r="J414" t="s">
        <v>59</v>
      </c>
      <c r="K414" s="3">
        <v>0.1</v>
      </c>
      <c r="L414" s="2">
        <v>0</v>
      </c>
      <c r="M414" s="2">
        <v>1.86</v>
      </c>
      <c r="N414" s="2">
        <v>1.86</v>
      </c>
      <c r="O414" t="s">
        <v>355</v>
      </c>
      <c r="P414" t="s">
        <v>356</v>
      </c>
      <c r="Q414">
        <v>650218</v>
      </c>
      <c r="R414" t="s">
        <v>357</v>
      </c>
      <c r="S414" t="s">
        <v>358</v>
      </c>
      <c r="T414" t="s">
        <v>57</v>
      </c>
      <c r="U414" s="1">
        <v>45597</v>
      </c>
      <c r="W414" s="1">
        <v>45992</v>
      </c>
      <c r="X414">
        <v>1</v>
      </c>
      <c r="Y414" t="s">
        <v>58</v>
      </c>
      <c r="Z414" s="2">
        <v>0</v>
      </c>
      <c r="AA414">
        <v>0</v>
      </c>
      <c r="AB414" t="s">
        <v>264</v>
      </c>
      <c r="AC414" t="s">
        <v>61</v>
      </c>
      <c r="AD414">
        <v>0</v>
      </c>
      <c r="AE414" s="2">
        <v>0</v>
      </c>
      <c r="AF414" s="2">
        <v>0</v>
      </c>
      <c r="AG414" s="3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45957</v>
      </c>
      <c r="B415" t="s">
        <v>48</v>
      </c>
      <c r="C415">
        <v>649163</v>
      </c>
      <c r="D415">
        <v>2025563319</v>
      </c>
      <c r="E415" t="s">
        <v>674</v>
      </c>
      <c r="F415" t="s">
        <v>675</v>
      </c>
      <c r="G415" t="s">
        <v>51</v>
      </c>
      <c r="H415" t="s">
        <v>78</v>
      </c>
      <c r="I415" s="2">
        <v>33.630000000000003</v>
      </c>
      <c r="J415" t="s">
        <v>59</v>
      </c>
      <c r="K415" s="3">
        <v>0.1</v>
      </c>
      <c r="L415" s="2">
        <v>0</v>
      </c>
      <c r="M415" s="2">
        <v>3.36</v>
      </c>
      <c r="N415" s="2">
        <v>3.36</v>
      </c>
      <c r="O415" t="s">
        <v>355</v>
      </c>
      <c r="P415" t="s">
        <v>356</v>
      </c>
      <c r="Q415">
        <v>650218</v>
      </c>
      <c r="R415" t="s">
        <v>357</v>
      </c>
      <c r="S415" t="s">
        <v>358</v>
      </c>
      <c r="T415" t="s">
        <v>57</v>
      </c>
      <c r="U415" s="1">
        <v>45597</v>
      </c>
      <c r="W415" s="1">
        <v>45992</v>
      </c>
      <c r="X415">
        <v>1</v>
      </c>
      <c r="Y415" t="s">
        <v>58</v>
      </c>
      <c r="Z415" s="2">
        <v>0</v>
      </c>
      <c r="AA415">
        <v>0</v>
      </c>
      <c r="AB415" t="s">
        <v>264</v>
      </c>
      <c r="AC415" t="s">
        <v>61</v>
      </c>
      <c r="AD415">
        <v>0</v>
      </c>
      <c r="AE415" s="2">
        <v>0</v>
      </c>
      <c r="AF415" s="2">
        <v>0</v>
      </c>
      <c r="AG415" s="3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45957</v>
      </c>
      <c r="B416" t="s">
        <v>48</v>
      </c>
      <c r="C416">
        <v>649163</v>
      </c>
      <c r="D416">
        <v>2017517074</v>
      </c>
      <c r="E416" t="s">
        <v>969</v>
      </c>
      <c r="F416" t="s">
        <v>153</v>
      </c>
      <c r="G416" t="s">
        <v>51</v>
      </c>
      <c r="H416" t="s">
        <v>195</v>
      </c>
      <c r="I416" s="2">
        <v>38.11</v>
      </c>
      <c r="J416" t="s">
        <v>59</v>
      </c>
      <c r="K416" s="3">
        <v>0.1</v>
      </c>
      <c r="L416" s="2">
        <v>0</v>
      </c>
      <c r="M416" s="2">
        <v>3.81</v>
      </c>
      <c r="N416" s="2">
        <v>3.81</v>
      </c>
      <c r="O416" t="s">
        <v>355</v>
      </c>
      <c r="P416" t="s">
        <v>356</v>
      </c>
      <c r="Q416">
        <v>649247</v>
      </c>
      <c r="R416" t="s">
        <v>321</v>
      </c>
      <c r="S416" t="s">
        <v>322</v>
      </c>
      <c r="T416" t="s">
        <v>57</v>
      </c>
      <c r="U416" s="1">
        <v>44958</v>
      </c>
      <c r="W416" s="1">
        <v>45992</v>
      </c>
      <c r="X416">
        <v>1</v>
      </c>
      <c r="Y416" t="s">
        <v>58</v>
      </c>
      <c r="Z416" s="2">
        <v>0</v>
      </c>
      <c r="AA416">
        <v>0</v>
      </c>
      <c r="AB416" t="s">
        <v>264</v>
      </c>
      <c r="AC416" t="s">
        <v>61</v>
      </c>
      <c r="AD416">
        <v>0</v>
      </c>
      <c r="AE416" s="2">
        <v>0</v>
      </c>
      <c r="AF416" s="2">
        <v>0</v>
      </c>
      <c r="AG416" s="3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45957</v>
      </c>
      <c r="B417" t="s">
        <v>48</v>
      </c>
      <c r="C417">
        <v>649163</v>
      </c>
      <c r="D417">
        <v>2018114567</v>
      </c>
      <c r="E417" t="s">
        <v>823</v>
      </c>
      <c r="F417" t="s">
        <v>792</v>
      </c>
      <c r="G417" t="s">
        <v>51</v>
      </c>
      <c r="H417" t="s">
        <v>195</v>
      </c>
      <c r="I417" s="2">
        <v>21.97</v>
      </c>
      <c r="J417" t="s">
        <v>59</v>
      </c>
      <c r="K417" s="3">
        <v>0.1</v>
      </c>
      <c r="L417" s="2">
        <v>0</v>
      </c>
      <c r="M417" s="2">
        <v>2.2000000000000002</v>
      </c>
      <c r="N417" s="2">
        <v>2.2000000000000002</v>
      </c>
      <c r="O417" t="s">
        <v>355</v>
      </c>
      <c r="P417" t="s">
        <v>356</v>
      </c>
      <c r="Q417">
        <v>649247</v>
      </c>
      <c r="R417" t="s">
        <v>321</v>
      </c>
      <c r="S417" t="s">
        <v>322</v>
      </c>
      <c r="T417" t="s">
        <v>57</v>
      </c>
      <c r="U417" s="1">
        <v>45017</v>
      </c>
      <c r="W417" s="1">
        <v>45992</v>
      </c>
      <c r="X417">
        <v>1</v>
      </c>
      <c r="Y417" t="s">
        <v>58</v>
      </c>
      <c r="Z417" s="2">
        <v>0</v>
      </c>
      <c r="AA417">
        <v>0</v>
      </c>
      <c r="AB417" t="s">
        <v>264</v>
      </c>
      <c r="AC417" t="s">
        <v>61</v>
      </c>
      <c r="AD417">
        <v>0</v>
      </c>
      <c r="AE417" s="2">
        <v>0</v>
      </c>
      <c r="AF417" s="2">
        <v>0</v>
      </c>
      <c r="AG417" s="3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45957</v>
      </c>
      <c r="B418" t="s">
        <v>48</v>
      </c>
      <c r="C418">
        <v>649163</v>
      </c>
      <c r="D418">
        <v>2022444748</v>
      </c>
      <c r="E418" t="s">
        <v>834</v>
      </c>
      <c r="F418" t="s">
        <v>835</v>
      </c>
      <c r="G418" t="s">
        <v>51</v>
      </c>
      <c r="H418" t="s">
        <v>195</v>
      </c>
      <c r="I418" s="2">
        <v>21.97</v>
      </c>
      <c r="J418" t="s">
        <v>59</v>
      </c>
      <c r="K418" s="3">
        <v>0.1</v>
      </c>
      <c r="L418" s="2">
        <v>0</v>
      </c>
      <c r="M418" s="2">
        <v>2.2000000000000002</v>
      </c>
      <c r="N418" s="2">
        <v>2.2000000000000002</v>
      </c>
      <c r="O418" t="s">
        <v>355</v>
      </c>
      <c r="P418" t="s">
        <v>356</v>
      </c>
      <c r="Q418">
        <v>649247</v>
      </c>
      <c r="R418" t="s">
        <v>321</v>
      </c>
      <c r="S418" t="s">
        <v>322</v>
      </c>
      <c r="T418" t="s">
        <v>57</v>
      </c>
      <c r="U418" s="1">
        <v>45383</v>
      </c>
      <c r="W418" s="1">
        <v>45992</v>
      </c>
      <c r="X418">
        <v>1</v>
      </c>
      <c r="Y418" t="s">
        <v>58</v>
      </c>
      <c r="Z418" s="2">
        <v>0</v>
      </c>
      <c r="AA418">
        <v>0</v>
      </c>
      <c r="AB418" t="s">
        <v>264</v>
      </c>
      <c r="AC418" t="s">
        <v>61</v>
      </c>
      <c r="AD418">
        <v>0</v>
      </c>
      <c r="AE418" s="2">
        <v>0</v>
      </c>
      <c r="AF418" s="2">
        <v>0</v>
      </c>
      <c r="AG418" s="3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45957</v>
      </c>
      <c r="B419" t="s">
        <v>48</v>
      </c>
      <c r="C419">
        <v>649163</v>
      </c>
      <c r="D419">
        <v>2022453568</v>
      </c>
      <c r="E419" t="s">
        <v>970</v>
      </c>
      <c r="F419" t="s">
        <v>103</v>
      </c>
      <c r="G419" t="s">
        <v>51</v>
      </c>
      <c r="H419" t="s">
        <v>195</v>
      </c>
      <c r="I419" s="2">
        <v>21.97</v>
      </c>
      <c r="J419" t="s">
        <v>59</v>
      </c>
      <c r="K419" s="3">
        <v>0.1</v>
      </c>
      <c r="L419" s="2">
        <v>0</v>
      </c>
      <c r="M419" s="2">
        <v>2.2000000000000002</v>
      </c>
      <c r="N419" s="2">
        <v>2.2000000000000002</v>
      </c>
      <c r="O419" t="s">
        <v>355</v>
      </c>
      <c r="P419" t="s">
        <v>356</v>
      </c>
      <c r="Q419">
        <v>649247</v>
      </c>
      <c r="R419" t="s">
        <v>321</v>
      </c>
      <c r="S419" t="s">
        <v>322</v>
      </c>
      <c r="T419" t="s">
        <v>57</v>
      </c>
      <c r="U419" s="1">
        <v>45383</v>
      </c>
      <c r="W419" s="1">
        <v>45992</v>
      </c>
      <c r="X419">
        <v>1</v>
      </c>
      <c r="Y419" t="s">
        <v>58</v>
      </c>
      <c r="Z419" s="2">
        <v>0</v>
      </c>
      <c r="AA419">
        <v>0</v>
      </c>
      <c r="AB419" t="s">
        <v>264</v>
      </c>
      <c r="AC419" t="s">
        <v>61</v>
      </c>
      <c r="AD419">
        <v>0</v>
      </c>
      <c r="AE419" s="2">
        <v>0</v>
      </c>
      <c r="AF419" s="2">
        <v>0</v>
      </c>
      <c r="AG419" s="3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45957</v>
      </c>
      <c r="B420" t="s">
        <v>48</v>
      </c>
      <c r="C420">
        <v>649163</v>
      </c>
      <c r="D420">
        <v>2025934063</v>
      </c>
      <c r="E420" t="s">
        <v>508</v>
      </c>
      <c r="F420" t="s">
        <v>509</v>
      </c>
      <c r="G420" t="s">
        <v>51</v>
      </c>
      <c r="H420" t="s">
        <v>195</v>
      </c>
      <c r="I420" s="2">
        <v>27.15</v>
      </c>
      <c r="J420" t="s">
        <v>59</v>
      </c>
      <c r="K420" s="3">
        <v>0.38</v>
      </c>
      <c r="L420" s="2">
        <v>0</v>
      </c>
      <c r="M420" s="2">
        <v>10.32</v>
      </c>
      <c r="N420" s="2">
        <v>10.32</v>
      </c>
      <c r="O420" t="s">
        <v>355</v>
      </c>
      <c r="P420" t="s">
        <v>356</v>
      </c>
      <c r="Q420">
        <v>751867</v>
      </c>
      <c r="R420" t="s">
        <v>349</v>
      </c>
      <c r="S420" t="s">
        <v>312</v>
      </c>
      <c r="T420" t="s">
        <v>57</v>
      </c>
      <c r="U420" s="1">
        <v>45627</v>
      </c>
      <c r="W420" s="1">
        <v>45962</v>
      </c>
      <c r="X420">
        <v>1</v>
      </c>
      <c r="Y420" t="s">
        <v>58</v>
      </c>
      <c r="Z420" s="2">
        <v>0</v>
      </c>
      <c r="AA420">
        <v>0</v>
      </c>
      <c r="AB420" t="s">
        <v>60</v>
      </c>
      <c r="AC420" t="s">
        <v>61</v>
      </c>
      <c r="AD420">
        <v>0</v>
      </c>
      <c r="AE420" s="2">
        <v>0</v>
      </c>
      <c r="AF420" s="2">
        <v>0</v>
      </c>
      <c r="AG420" s="3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45957</v>
      </c>
      <c r="B421" t="s">
        <v>48</v>
      </c>
      <c r="C421">
        <v>649163</v>
      </c>
      <c r="D421">
        <v>2025967188</v>
      </c>
      <c r="E421" t="s">
        <v>547</v>
      </c>
      <c r="F421" t="s">
        <v>676</v>
      </c>
      <c r="G421" t="s">
        <v>51</v>
      </c>
      <c r="H421" t="s">
        <v>234</v>
      </c>
      <c r="I421" s="2">
        <v>20.97</v>
      </c>
      <c r="J421" t="s">
        <v>59</v>
      </c>
      <c r="K421" s="3">
        <v>0.38</v>
      </c>
      <c r="L421" s="2">
        <v>0</v>
      </c>
      <c r="M421" s="2">
        <v>7.97</v>
      </c>
      <c r="N421" s="2">
        <v>7.97</v>
      </c>
      <c r="O421" t="s">
        <v>355</v>
      </c>
      <c r="P421" t="s">
        <v>356</v>
      </c>
      <c r="Q421">
        <v>756418</v>
      </c>
      <c r="R421" t="s">
        <v>191</v>
      </c>
      <c r="S421" t="s">
        <v>192</v>
      </c>
      <c r="T421" t="s">
        <v>57</v>
      </c>
      <c r="U421" s="1">
        <v>45626</v>
      </c>
      <c r="W421" s="1">
        <v>45991</v>
      </c>
      <c r="X421">
        <v>1</v>
      </c>
      <c r="Y421" t="s">
        <v>58</v>
      </c>
      <c r="Z421" s="2">
        <v>0</v>
      </c>
      <c r="AA421">
        <v>0</v>
      </c>
      <c r="AB421" t="s">
        <v>60</v>
      </c>
      <c r="AC421" t="s">
        <v>61</v>
      </c>
      <c r="AD421">
        <v>0</v>
      </c>
      <c r="AE421" s="2">
        <v>0</v>
      </c>
      <c r="AF421" s="2">
        <v>0</v>
      </c>
      <c r="AG421" s="3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45957</v>
      </c>
      <c r="B422" t="s">
        <v>48</v>
      </c>
      <c r="C422">
        <v>649163</v>
      </c>
      <c r="D422">
        <v>2026262564</v>
      </c>
      <c r="E422" t="s">
        <v>580</v>
      </c>
      <c r="F422" t="s">
        <v>581</v>
      </c>
      <c r="G422" t="s">
        <v>51</v>
      </c>
      <c r="H422" t="s">
        <v>92</v>
      </c>
      <c r="I422" s="2">
        <v>16.91</v>
      </c>
      <c r="J422" t="s">
        <v>59</v>
      </c>
      <c r="K422" s="3">
        <v>0.38</v>
      </c>
      <c r="L422" s="2">
        <v>0</v>
      </c>
      <c r="M422" s="2">
        <v>6.43</v>
      </c>
      <c r="N422" s="2">
        <v>6.43</v>
      </c>
      <c r="O422" t="s">
        <v>355</v>
      </c>
      <c r="P422" t="s">
        <v>356</v>
      </c>
      <c r="Q422">
        <v>816021</v>
      </c>
      <c r="R422" t="s">
        <v>93</v>
      </c>
      <c r="S422" t="s">
        <v>94</v>
      </c>
      <c r="T422" t="s">
        <v>57</v>
      </c>
      <c r="U422" s="1">
        <v>45647</v>
      </c>
      <c r="W422" s="1">
        <v>45982</v>
      </c>
      <c r="X422">
        <v>1</v>
      </c>
      <c r="Y422" t="s">
        <v>58</v>
      </c>
      <c r="Z422" s="2">
        <v>0</v>
      </c>
      <c r="AA422">
        <v>0</v>
      </c>
      <c r="AB422" t="s">
        <v>60</v>
      </c>
      <c r="AC422" t="s">
        <v>61</v>
      </c>
      <c r="AD422">
        <v>0</v>
      </c>
      <c r="AE422" s="2">
        <v>0</v>
      </c>
      <c r="AF422" s="2">
        <v>0</v>
      </c>
      <c r="AG422" s="3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45957</v>
      </c>
      <c r="B423" t="s">
        <v>48</v>
      </c>
      <c r="C423">
        <v>649163</v>
      </c>
      <c r="D423">
        <v>2026510506</v>
      </c>
      <c r="E423" t="s">
        <v>677</v>
      </c>
      <c r="F423" t="s">
        <v>56</v>
      </c>
      <c r="G423" t="s">
        <v>51</v>
      </c>
      <c r="H423" t="s">
        <v>195</v>
      </c>
      <c r="I423" s="2">
        <v>57.53</v>
      </c>
      <c r="J423" t="s">
        <v>59</v>
      </c>
      <c r="K423" s="3">
        <v>0.38</v>
      </c>
      <c r="L423" s="2">
        <v>0</v>
      </c>
      <c r="M423" s="2">
        <v>21.86</v>
      </c>
      <c r="N423" s="2">
        <v>21.86</v>
      </c>
      <c r="O423" t="s">
        <v>355</v>
      </c>
      <c r="P423" t="s">
        <v>356</v>
      </c>
      <c r="Q423">
        <v>650218</v>
      </c>
      <c r="R423" t="s">
        <v>357</v>
      </c>
      <c r="S423" t="s">
        <v>358</v>
      </c>
      <c r="T423" t="s">
        <v>57</v>
      </c>
      <c r="U423" s="1">
        <v>45689</v>
      </c>
      <c r="W423" s="1">
        <v>45992</v>
      </c>
      <c r="X423">
        <v>1</v>
      </c>
      <c r="Y423" t="s">
        <v>58</v>
      </c>
      <c r="Z423" s="2">
        <v>0</v>
      </c>
      <c r="AA423">
        <v>0</v>
      </c>
      <c r="AB423" t="s">
        <v>60</v>
      </c>
      <c r="AC423" t="s">
        <v>61</v>
      </c>
      <c r="AD423">
        <v>0</v>
      </c>
      <c r="AE423" s="2">
        <v>0</v>
      </c>
      <c r="AF423" s="2">
        <v>0</v>
      </c>
      <c r="AG423" s="3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45957</v>
      </c>
      <c r="B424" t="s">
        <v>48</v>
      </c>
      <c r="C424">
        <v>649163</v>
      </c>
      <c r="D424">
        <v>2026541089</v>
      </c>
      <c r="E424" t="s">
        <v>678</v>
      </c>
      <c r="F424" t="s">
        <v>679</v>
      </c>
      <c r="G424" t="s">
        <v>51</v>
      </c>
      <c r="H424" t="s">
        <v>195</v>
      </c>
      <c r="I424" s="2">
        <v>55.16</v>
      </c>
      <c r="J424" t="s">
        <v>59</v>
      </c>
      <c r="K424" s="3">
        <v>0.38</v>
      </c>
      <c r="L424" s="2">
        <v>0</v>
      </c>
      <c r="M424" s="2">
        <v>20.96</v>
      </c>
      <c r="N424" s="2">
        <v>20.96</v>
      </c>
      <c r="O424" t="s">
        <v>355</v>
      </c>
      <c r="P424" t="s">
        <v>356</v>
      </c>
      <c r="Q424">
        <v>650218</v>
      </c>
      <c r="R424" t="s">
        <v>357</v>
      </c>
      <c r="S424" t="s">
        <v>358</v>
      </c>
      <c r="T424" t="s">
        <v>57</v>
      </c>
      <c r="U424" s="1">
        <v>45689</v>
      </c>
      <c r="W424" s="1">
        <v>45992</v>
      </c>
      <c r="X424">
        <v>1</v>
      </c>
      <c r="Y424" t="s">
        <v>58</v>
      </c>
      <c r="Z424" s="2">
        <v>0</v>
      </c>
      <c r="AA424">
        <v>0</v>
      </c>
      <c r="AB424" t="s">
        <v>60</v>
      </c>
      <c r="AC424" t="s">
        <v>61</v>
      </c>
      <c r="AD424">
        <v>0</v>
      </c>
      <c r="AE424" s="2">
        <v>0</v>
      </c>
      <c r="AF424" s="2">
        <v>0</v>
      </c>
      <c r="AG424" s="3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45957</v>
      </c>
      <c r="B425" t="s">
        <v>48</v>
      </c>
      <c r="C425">
        <v>649163</v>
      </c>
      <c r="D425">
        <v>2026610947</v>
      </c>
      <c r="E425" t="s">
        <v>512</v>
      </c>
      <c r="F425" t="s">
        <v>513</v>
      </c>
      <c r="G425" t="s">
        <v>51</v>
      </c>
      <c r="H425" t="s">
        <v>195</v>
      </c>
      <c r="I425" s="2">
        <v>46.13</v>
      </c>
      <c r="J425" t="s">
        <v>59</v>
      </c>
      <c r="K425" s="3">
        <v>0.38</v>
      </c>
      <c r="L425" s="2">
        <v>0</v>
      </c>
      <c r="M425" s="2">
        <v>17.53</v>
      </c>
      <c r="N425" s="2">
        <v>17.53</v>
      </c>
      <c r="O425" t="s">
        <v>355</v>
      </c>
      <c r="P425" t="s">
        <v>356</v>
      </c>
      <c r="Q425">
        <v>751867</v>
      </c>
      <c r="R425" t="s">
        <v>349</v>
      </c>
      <c r="S425" t="s">
        <v>312</v>
      </c>
      <c r="T425" t="s">
        <v>57</v>
      </c>
      <c r="U425" s="1">
        <v>45689</v>
      </c>
      <c r="W425" s="1">
        <v>45992</v>
      </c>
      <c r="X425">
        <v>1</v>
      </c>
      <c r="Y425" t="s">
        <v>58</v>
      </c>
      <c r="Z425" s="2">
        <v>0</v>
      </c>
      <c r="AA425">
        <v>0</v>
      </c>
      <c r="AB425" t="s">
        <v>60</v>
      </c>
      <c r="AC425" t="s">
        <v>61</v>
      </c>
      <c r="AD425">
        <v>0</v>
      </c>
      <c r="AE425" s="2">
        <v>0</v>
      </c>
      <c r="AF425" s="2">
        <v>0</v>
      </c>
      <c r="AG425" s="3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45957</v>
      </c>
      <c r="B426" t="s">
        <v>48</v>
      </c>
      <c r="C426">
        <v>649163</v>
      </c>
      <c r="D426">
        <v>2026615270</v>
      </c>
      <c r="E426" t="s">
        <v>584</v>
      </c>
      <c r="F426" t="s">
        <v>585</v>
      </c>
      <c r="G426" t="s">
        <v>51</v>
      </c>
      <c r="H426" t="s">
        <v>92</v>
      </c>
      <c r="I426" s="2">
        <v>29.31</v>
      </c>
      <c r="J426" t="s">
        <v>59</v>
      </c>
      <c r="K426" s="3">
        <v>0.38</v>
      </c>
      <c r="L426" s="2">
        <v>0</v>
      </c>
      <c r="M426" s="2">
        <v>11.14</v>
      </c>
      <c r="N426" s="2">
        <v>11.14</v>
      </c>
      <c r="O426" t="s">
        <v>355</v>
      </c>
      <c r="P426" t="s">
        <v>356</v>
      </c>
      <c r="Q426">
        <v>816021</v>
      </c>
      <c r="R426" t="s">
        <v>93</v>
      </c>
      <c r="S426" t="s">
        <v>94</v>
      </c>
      <c r="T426" t="s">
        <v>57</v>
      </c>
      <c r="U426" s="1">
        <v>45689</v>
      </c>
      <c r="W426" s="1">
        <v>45992</v>
      </c>
      <c r="X426">
        <v>1</v>
      </c>
      <c r="Y426" t="s">
        <v>58</v>
      </c>
      <c r="Z426" s="2">
        <v>0</v>
      </c>
      <c r="AA426">
        <v>0</v>
      </c>
      <c r="AB426" t="s">
        <v>60</v>
      </c>
      <c r="AC426" t="s">
        <v>61</v>
      </c>
      <c r="AD426">
        <v>0</v>
      </c>
      <c r="AE426" s="2">
        <v>0</v>
      </c>
      <c r="AF426" s="2">
        <v>0</v>
      </c>
      <c r="AG426" s="3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45957</v>
      </c>
      <c r="B427" t="s">
        <v>48</v>
      </c>
      <c r="C427">
        <v>649163</v>
      </c>
      <c r="D427">
        <v>2026649886</v>
      </c>
      <c r="E427" t="s">
        <v>514</v>
      </c>
      <c r="F427" t="s">
        <v>515</v>
      </c>
      <c r="G427" t="s">
        <v>51</v>
      </c>
      <c r="H427" t="s">
        <v>78</v>
      </c>
      <c r="I427" s="2">
        <v>26.12</v>
      </c>
      <c r="J427" t="s">
        <v>59</v>
      </c>
      <c r="K427" s="3">
        <v>0.38</v>
      </c>
      <c r="L427" s="2">
        <v>0</v>
      </c>
      <c r="M427" s="2">
        <v>9.93</v>
      </c>
      <c r="N427" s="2">
        <v>9.93</v>
      </c>
      <c r="O427" t="s">
        <v>355</v>
      </c>
      <c r="P427" t="s">
        <v>356</v>
      </c>
      <c r="Q427">
        <v>650218</v>
      </c>
      <c r="R427" t="s">
        <v>357</v>
      </c>
      <c r="S427" t="s">
        <v>358</v>
      </c>
      <c r="T427" t="s">
        <v>57</v>
      </c>
      <c r="U427" s="1">
        <v>45689</v>
      </c>
      <c r="W427" s="1">
        <v>45992</v>
      </c>
      <c r="X427">
        <v>1</v>
      </c>
      <c r="Y427" t="s">
        <v>58</v>
      </c>
      <c r="Z427" s="2">
        <v>0</v>
      </c>
      <c r="AA427">
        <v>0</v>
      </c>
      <c r="AB427" t="s">
        <v>60</v>
      </c>
      <c r="AC427" t="s">
        <v>61</v>
      </c>
      <c r="AD427">
        <v>0</v>
      </c>
      <c r="AE427" s="2">
        <v>0</v>
      </c>
      <c r="AF427" s="2">
        <v>0</v>
      </c>
      <c r="AG427" s="3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45957</v>
      </c>
      <c r="B428" t="s">
        <v>48</v>
      </c>
      <c r="C428">
        <v>649163</v>
      </c>
      <c r="D428">
        <v>2026740150</v>
      </c>
      <c r="E428" t="s">
        <v>516</v>
      </c>
      <c r="F428" t="s">
        <v>517</v>
      </c>
      <c r="G428" t="s">
        <v>51</v>
      </c>
      <c r="H428" t="s">
        <v>195</v>
      </c>
      <c r="I428" s="2">
        <v>53.16</v>
      </c>
      <c r="J428" t="s">
        <v>59</v>
      </c>
      <c r="K428" s="3">
        <v>0.38</v>
      </c>
      <c r="L428" s="2">
        <v>0</v>
      </c>
      <c r="M428" s="2">
        <v>20.2</v>
      </c>
      <c r="N428" s="2">
        <v>20.2</v>
      </c>
      <c r="O428" t="s">
        <v>355</v>
      </c>
      <c r="P428" t="s">
        <v>356</v>
      </c>
      <c r="Q428">
        <v>650218</v>
      </c>
      <c r="R428" t="s">
        <v>357</v>
      </c>
      <c r="S428" t="s">
        <v>358</v>
      </c>
      <c r="T428" t="s">
        <v>57</v>
      </c>
      <c r="U428" s="1">
        <v>45681</v>
      </c>
      <c r="W428" s="1">
        <v>45985</v>
      </c>
      <c r="X428">
        <v>1</v>
      </c>
      <c r="Y428" t="s">
        <v>58</v>
      </c>
      <c r="Z428" s="2">
        <v>0</v>
      </c>
      <c r="AA428">
        <v>0</v>
      </c>
      <c r="AB428" t="s">
        <v>60</v>
      </c>
      <c r="AC428" t="s">
        <v>61</v>
      </c>
      <c r="AD428">
        <v>0</v>
      </c>
      <c r="AE428" s="2">
        <v>0</v>
      </c>
      <c r="AF428" s="2">
        <v>0</v>
      </c>
      <c r="AG428" s="3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45957</v>
      </c>
      <c r="B429" t="s">
        <v>48</v>
      </c>
      <c r="C429">
        <v>649163</v>
      </c>
      <c r="D429">
        <v>2026805533</v>
      </c>
      <c r="E429" t="s">
        <v>680</v>
      </c>
      <c r="F429" t="s">
        <v>681</v>
      </c>
      <c r="G429" t="s">
        <v>51</v>
      </c>
      <c r="H429" t="s">
        <v>165</v>
      </c>
      <c r="I429" s="2">
        <v>26.12</v>
      </c>
      <c r="J429" t="s">
        <v>59</v>
      </c>
      <c r="K429" s="3">
        <v>0.38</v>
      </c>
      <c r="L429" s="2">
        <v>0</v>
      </c>
      <c r="M429" s="2">
        <v>9.93</v>
      </c>
      <c r="N429" s="2">
        <v>9.93</v>
      </c>
      <c r="O429" t="s">
        <v>355</v>
      </c>
      <c r="P429" t="s">
        <v>356</v>
      </c>
      <c r="Q429">
        <v>650218</v>
      </c>
      <c r="R429" t="s">
        <v>357</v>
      </c>
      <c r="S429" t="s">
        <v>358</v>
      </c>
      <c r="T429" t="s">
        <v>57</v>
      </c>
      <c r="U429" s="1">
        <v>45689</v>
      </c>
      <c r="W429" s="1">
        <v>45992</v>
      </c>
      <c r="X429">
        <v>1</v>
      </c>
      <c r="Y429" t="s">
        <v>58</v>
      </c>
      <c r="Z429" s="2">
        <v>0</v>
      </c>
      <c r="AA429">
        <v>0</v>
      </c>
      <c r="AB429" t="s">
        <v>60</v>
      </c>
      <c r="AC429" t="s">
        <v>61</v>
      </c>
      <c r="AD429">
        <v>0</v>
      </c>
      <c r="AE429" s="2">
        <v>0</v>
      </c>
      <c r="AF429" s="2">
        <v>0</v>
      </c>
      <c r="AG429" s="3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45957</v>
      </c>
      <c r="B430" t="s">
        <v>48</v>
      </c>
      <c r="C430">
        <v>649163</v>
      </c>
      <c r="D430">
        <v>2026812262</v>
      </c>
      <c r="E430" t="s">
        <v>682</v>
      </c>
      <c r="F430" t="s">
        <v>177</v>
      </c>
      <c r="G430" t="s">
        <v>51</v>
      </c>
      <c r="H430" t="s">
        <v>559</v>
      </c>
      <c r="I430" s="2">
        <v>35.94</v>
      </c>
      <c r="J430" t="s">
        <v>59</v>
      </c>
      <c r="K430" s="3">
        <v>0.38</v>
      </c>
      <c r="L430" s="2">
        <v>0</v>
      </c>
      <c r="M430" s="2">
        <v>13.66</v>
      </c>
      <c r="N430" s="2">
        <v>13.66</v>
      </c>
      <c r="O430" t="s">
        <v>355</v>
      </c>
      <c r="P430" t="s">
        <v>356</v>
      </c>
      <c r="Q430">
        <v>650218</v>
      </c>
      <c r="R430" t="s">
        <v>357</v>
      </c>
      <c r="S430" t="s">
        <v>358</v>
      </c>
      <c r="T430" t="s">
        <v>57</v>
      </c>
      <c r="U430" s="1">
        <v>45689</v>
      </c>
      <c r="W430" s="1">
        <v>45992</v>
      </c>
      <c r="X430">
        <v>1</v>
      </c>
      <c r="Y430" t="s">
        <v>58</v>
      </c>
      <c r="Z430" s="2">
        <v>0</v>
      </c>
      <c r="AA430">
        <v>0</v>
      </c>
      <c r="AB430" t="s">
        <v>60</v>
      </c>
      <c r="AC430" t="s">
        <v>61</v>
      </c>
      <c r="AD430">
        <v>0</v>
      </c>
      <c r="AE430" s="2">
        <v>0</v>
      </c>
      <c r="AF430" s="2">
        <v>0</v>
      </c>
      <c r="AG430" s="3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45957</v>
      </c>
      <c r="B431" t="s">
        <v>48</v>
      </c>
      <c r="C431">
        <v>649163</v>
      </c>
      <c r="D431">
        <v>2026812434</v>
      </c>
      <c r="E431" t="s">
        <v>600</v>
      </c>
      <c r="F431" t="s">
        <v>601</v>
      </c>
      <c r="G431" t="s">
        <v>51</v>
      </c>
      <c r="H431" t="s">
        <v>92</v>
      </c>
      <c r="I431" s="2">
        <v>50.18</v>
      </c>
      <c r="J431" t="s">
        <v>59</v>
      </c>
      <c r="K431" s="3">
        <v>0.38</v>
      </c>
      <c r="L431" s="2">
        <v>0</v>
      </c>
      <c r="M431" s="2">
        <v>19.07</v>
      </c>
      <c r="N431" s="2">
        <v>19.07</v>
      </c>
      <c r="O431" t="s">
        <v>355</v>
      </c>
      <c r="P431" t="s">
        <v>356</v>
      </c>
      <c r="Q431">
        <v>816021</v>
      </c>
      <c r="R431" t="s">
        <v>93</v>
      </c>
      <c r="S431" t="s">
        <v>94</v>
      </c>
      <c r="T431" t="s">
        <v>57</v>
      </c>
      <c r="U431" s="1">
        <v>45690</v>
      </c>
      <c r="W431" s="1">
        <v>45993</v>
      </c>
      <c r="X431">
        <v>1</v>
      </c>
      <c r="Y431" t="s">
        <v>58</v>
      </c>
      <c r="Z431" s="2">
        <v>0</v>
      </c>
      <c r="AA431">
        <v>0</v>
      </c>
      <c r="AB431" t="s">
        <v>60</v>
      </c>
      <c r="AC431" t="s">
        <v>61</v>
      </c>
      <c r="AD431">
        <v>0</v>
      </c>
      <c r="AE431" s="2">
        <v>0</v>
      </c>
      <c r="AF431" s="2">
        <v>0</v>
      </c>
      <c r="AG431" s="3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45957</v>
      </c>
      <c r="B432" t="s">
        <v>48</v>
      </c>
      <c r="C432">
        <v>649163</v>
      </c>
      <c r="D432">
        <v>2026874969</v>
      </c>
      <c r="E432" t="s">
        <v>522</v>
      </c>
      <c r="F432" t="s">
        <v>66</v>
      </c>
      <c r="G432" t="s">
        <v>51</v>
      </c>
      <c r="H432" t="s">
        <v>64</v>
      </c>
      <c r="I432" s="2">
        <v>65.989999999999995</v>
      </c>
      <c r="J432" t="s">
        <v>59</v>
      </c>
      <c r="K432" s="3">
        <v>0.38</v>
      </c>
      <c r="L432" s="2">
        <v>0</v>
      </c>
      <c r="M432" s="2">
        <v>25.08</v>
      </c>
      <c r="N432" s="2">
        <v>25.08</v>
      </c>
      <c r="O432" t="s">
        <v>355</v>
      </c>
      <c r="P432" t="s">
        <v>356</v>
      </c>
      <c r="Q432">
        <v>751867</v>
      </c>
      <c r="R432" t="s">
        <v>349</v>
      </c>
      <c r="S432" t="s">
        <v>312</v>
      </c>
      <c r="T432" t="s">
        <v>57</v>
      </c>
      <c r="U432" s="1">
        <v>45689</v>
      </c>
      <c r="W432" s="1">
        <v>45992</v>
      </c>
      <c r="X432">
        <v>1</v>
      </c>
      <c r="Y432" t="s">
        <v>58</v>
      </c>
      <c r="Z432" s="2">
        <v>0</v>
      </c>
      <c r="AA432">
        <v>0</v>
      </c>
      <c r="AB432" t="s">
        <v>60</v>
      </c>
      <c r="AC432" t="s">
        <v>61</v>
      </c>
      <c r="AD432">
        <v>0</v>
      </c>
      <c r="AE432" s="2">
        <v>0</v>
      </c>
      <c r="AF432" s="2">
        <v>0</v>
      </c>
      <c r="AG432" s="3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45957</v>
      </c>
      <c r="B433" t="s">
        <v>48</v>
      </c>
      <c r="C433">
        <v>649163</v>
      </c>
      <c r="D433">
        <v>2027348179</v>
      </c>
      <c r="E433" t="s">
        <v>605</v>
      </c>
      <c r="F433" t="s">
        <v>543</v>
      </c>
      <c r="G433" t="s">
        <v>51</v>
      </c>
      <c r="H433" t="s">
        <v>69</v>
      </c>
      <c r="I433" s="2">
        <v>139</v>
      </c>
      <c r="J433" t="s">
        <v>59</v>
      </c>
      <c r="K433" s="3">
        <v>0.38</v>
      </c>
      <c r="L433" s="2">
        <v>0</v>
      </c>
      <c r="M433" s="2">
        <v>52.82</v>
      </c>
      <c r="N433" s="2">
        <v>52.82</v>
      </c>
      <c r="O433" t="s">
        <v>355</v>
      </c>
      <c r="P433" t="s">
        <v>443</v>
      </c>
      <c r="Q433">
        <v>673059</v>
      </c>
      <c r="R433" t="s">
        <v>55</v>
      </c>
      <c r="S433" t="s">
        <v>56</v>
      </c>
      <c r="T433" t="s">
        <v>57</v>
      </c>
      <c r="U433" s="1">
        <v>45716</v>
      </c>
      <c r="W433" s="1">
        <v>45989</v>
      </c>
      <c r="X433">
        <v>1</v>
      </c>
      <c r="Y433" t="s">
        <v>58</v>
      </c>
      <c r="Z433" s="2">
        <v>0</v>
      </c>
      <c r="AA433">
        <v>0</v>
      </c>
      <c r="AB433" t="s">
        <v>60</v>
      </c>
      <c r="AC433" t="s">
        <v>61</v>
      </c>
      <c r="AD433">
        <v>0</v>
      </c>
      <c r="AE433" s="2">
        <v>0</v>
      </c>
      <c r="AF433" s="2">
        <v>0</v>
      </c>
      <c r="AG433" s="3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45957</v>
      </c>
      <c r="B434" t="s">
        <v>48</v>
      </c>
      <c r="C434">
        <v>649163</v>
      </c>
      <c r="D434">
        <v>2027665173</v>
      </c>
      <c r="E434" t="s">
        <v>523</v>
      </c>
      <c r="F434" t="s">
        <v>524</v>
      </c>
      <c r="G434" t="s">
        <v>51</v>
      </c>
      <c r="H434" t="s">
        <v>52</v>
      </c>
      <c r="I434" s="2">
        <v>13.24</v>
      </c>
      <c r="J434" t="s">
        <v>59</v>
      </c>
      <c r="K434" s="3">
        <v>0.38</v>
      </c>
      <c r="L434" s="2">
        <v>0</v>
      </c>
      <c r="M434" s="2">
        <v>5.03</v>
      </c>
      <c r="N434" s="2">
        <v>5.03</v>
      </c>
      <c r="O434" t="s">
        <v>355</v>
      </c>
      <c r="P434" t="s">
        <v>356</v>
      </c>
      <c r="Q434">
        <v>751867</v>
      </c>
      <c r="R434" t="s">
        <v>349</v>
      </c>
      <c r="S434" t="s">
        <v>312</v>
      </c>
      <c r="T434" t="s">
        <v>57</v>
      </c>
      <c r="U434" s="1">
        <v>45748</v>
      </c>
      <c r="W434" s="1">
        <v>45992</v>
      </c>
      <c r="X434">
        <v>1</v>
      </c>
      <c r="Y434" t="s">
        <v>58</v>
      </c>
      <c r="Z434" s="2">
        <v>0</v>
      </c>
      <c r="AA434">
        <v>0</v>
      </c>
      <c r="AB434" t="s">
        <v>60</v>
      </c>
      <c r="AC434" t="s">
        <v>61</v>
      </c>
      <c r="AD434">
        <v>0</v>
      </c>
      <c r="AE434" s="2">
        <v>0</v>
      </c>
      <c r="AF434" s="2">
        <v>0</v>
      </c>
      <c r="AG434" s="3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45957</v>
      </c>
      <c r="B435" t="s">
        <v>48</v>
      </c>
      <c r="C435">
        <v>649163</v>
      </c>
      <c r="D435">
        <v>2027667427</v>
      </c>
      <c r="E435" t="s">
        <v>683</v>
      </c>
      <c r="F435" t="s">
        <v>684</v>
      </c>
      <c r="G435" t="s">
        <v>51</v>
      </c>
      <c r="H435" t="s">
        <v>195</v>
      </c>
      <c r="I435" s="2">
        <v>46.13</v>
      </c>
      <c r="J435" t="s">
        <v>59</v>
      </c>
      <c r="K435" s="3">
        <v>0.38</v>
      </c>
      <c r="L435" s="2">
        <v>0</v>
      </c>
      <c r="M435" s="2">
        <v>17.53</v>
      </c>
      <c r="N435" s="2">
        <v>17.53</v>
      </c>
      <c r="O435" t="s">
        <v>355</v>
      </c>
      <c r="P435" t="s">
        <v>356</v>
      </c>
      <c r="Q435">
        <v>650218</v>
      </c>
      <c r="R435" t="s">
        <v>357</v>
      </c>
      <c r="S435" t="s">
        <v>358</v>
      </c>
      <c r="T435" t="s">
        <v>57</v>
      </c>
      <c r="U435" s="1">
        <v>45748</v>
      </c>
      <c r="W435" s="1">
        <v>45992</v>
      </c>
      <c r="X435">
        <v>1</v>
      </c>
      <c r="Y435" t="s">
        <v>58</v>
      </c>
      <c r="Z435" s="2">
        <v>0</v>
      </c>
      <c r="AA435">
        <v>0</v>
      </c>
      <c r="AB435" t="s">
        <v>60</v>
      </c>
      <c r="AC435" t="s">
        <v>61</v>
      </c>
      <c r="AD435">
        <v>0</v>
      </c>
      <c r="AE435" s="2">
        <v>0</v>
      </c>
      <c r="AF435" s="2">
        <v>0</v>
      </c>
      <c r="AG435" s="3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45957</v>
      </c>
      <c r="B436" t="s">
        <v>48</v>
      </c>
      <c r="C436">
        <v>649163</v>
      </c>
      <c r="D436">
        <v>2027762074</v>
      </c>
      <c r="E436" t="s">
        <v>528</v>
      </c>
      <c r="F436" t="s">
        <v>529</v>
      </c>
      <c r="G436" t="s">
        <v>51</v>
      </c>
      <c r="H436" t="s">
        <v>195</v>
      </c>
      <c r="I436" s="2">
        <v>63.67</v>
      </c>
      <c r="J436" t="s">
        <v>59</v>
      </c>
      <c r="K436" s="3">
        <v>0.38</v>
      </c>
      <c r="L436" s="2">
        <v>0</v>
      </c>
      <c r="M436" s="2">
        <v>24.19</v>
      </c>
      <c r="N436" s="2">
        <v>24.19</v>
      </c>
      <c r="O436" t="s">
        <v>355</v>
      </c>
      <c r="P436" t="s">
        <v>356</v>
      </c>
      <c r="Q436">
        <v>751867</v>
      </c>
      <c r="R436" t="s">
        <v>349</v>
      </c>
      <c r="S436" t="s">
        <v>312</v>
      </c>
      <c r="T436" t="s">
        <v>57</v>
      </c>
      <c r="U436" s="1">
        <v>45748</v>
      </c>
      <c r="W436" s="1">
        <v>45992</v>
      </c>
      <c r="X436">
        <v>1</v>
      </c>
      <c r="Y436" t="s">
        <v>58</v>
      </c>
      <c r="Z436" s="2">
        <v>0</v>
      </c>
      <c r="AA436">
        <v>0</v>
      </c>
      <c r="AB436" t="s">
        <v>60</v>
      </c>
      <c r="AC436" t="s">
        <v>61</v>
      </c>
      <c r="AD436">
        <v>0</v>
      </c>
      <c r="AE436" s="2">
        <v>0</v>
      </c>
      <c r="AF436" s="2">
        <v>0</v>
      </c>
      <c r="AG436" s="3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45957</v>
      </c>
      <c r="B437" t="s">
        <v>48</v>
      </c>
      <c r="C437">
        <v>649163</v>
      </c>
      <c r="D437">
        <v>2027765154</v>
      </c>
      <c r="E437" t="s">
        <v>685</v>
      </c>
      <c r="F437" t="s">
        <v>686</v>
      </c>
      <c r="G437" t="s">
        <v>51</v>
      </c>
      <c r="H437" t="s">
        <v>195</v>
      </c>
      <c r="I437" s="2">
        <v>30.27</v>
      </c>
      <c r="J437" t="s">
        <v>59</v>
      </c>
      <c r="K437" s="3">
        <v>0.38</v>
      </c>
      <c r="L437" s="2">
        <v>0</v>
      </c>
      <c r="M437" s="2">
        <v>11.5</v>
      </c>
      <c r="N437" s="2">
        <v>11.5</v>
      </c>
      <c r="O437" t="s">
        <v>355</v>
      </c>
      <c r="P437" t="s">
        <v>356</v>
      </c>
      <c r="Q437">
        <v>751867</v>
      </c>
      <c r="R437" t="s">
        <v>349</v>
      </c>
      <c r="S437" t="s">
        <v>312</v>
      </c>
      <c r="T437" t="s">
        <v>57</v>
      </c>
      <c r="U437" s="1">
        <v>45748</v>
      </c>
      <c r="W437" s="1">
        <v>45992</v>
      </c>
      <c r="X437">
        <v>1</v>
      </c>
      <c r="Y437" t="s">
        <v>58</v>
      </c>
      <c r="Z437" s="2">
        <v>0</v>
      </c>
      <c r="AA437">
        <v>0</v>
      </c>
      <c r="AB437" t="s">
        <v>60</v>
      </c>
      <c r="AC437" t="s">
        <v>61</v>
      </c>
      <c r="AD437">
        <v>0</v>
      </c>
      <c r="AE437" s="2">
        <v>0</v>
      </c>
      <c r="AF437" s="2">
        <v>0</v>
      </c>
      <c r="AG437" s="3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45957</v>
      </c>
      <c r="B438" t="s">
        <v>48</v>
      </c>
      <c r="C438">
        <v>649163</v>
      </c>
      <c r="D438">
        <v>2028048850</v>
      </c>
      <c r="E438" t="s">
        <v>533</v>
      </c>
      <c r="F438" t="s">
        <v>110</v>
      </c>
      <c r="G438" t="s">
        <v>51</v>
      </c>
      <c r="H438" t="s">
        <v>247</v>
      </c>
      <c r="I438" s="2">
        <v>37.83</v>
      </c>
      <c r="J438" t="s">
        <v>59</v>
      </c>
      <c r="K438" s="3">
        <v>0.38</v>
      </c>
      <c r="L438" s="2">
        <v>0</v>
      </c>
      <c r="M438" s="2">
        <v>14.38</v>
      </c>
      <c r="N438" s="2">
        <v>14.38</v>
      </c>
      <c r="O438" t="s">
        <v>355</v>
      </c>
      <c r="P438" t="s">
        <v>356</v>
      </c>
      <c r="Q438">
        <v>751867</v>
      </c>
      <c r="R438" t="s">
        <v>349</v>
      </c>
      <c r="S438" t="s">
        <v>312</v>
      </c>
      <c r="T438" t="s">
        <v>57</v>
      </c>
      <c r="U438" s="1">
        <v>45748</v>
      </c>
      <c r="W438" s="1">
        <v>45992</v>
      </c>
      <c r="X438">
        <v>1</v>
      </c>
      <c r="Y438" t="s">
        <v>58</v>
      </c>
      <c r="Z438" s="2">
        <v>0</v>
      </c>
      <c r="AA438">
        <v>0</v>
      </c>
      <c r="AB438" t="s">
        <v>60</v>
      </c>
      <c r="AC438" t="s">
        <v>61</v>
      </c>
      <c r="AD438">
        <v>0</v>
      </c>
      <c r="AE438" s="2">
        <v>0</v>
      </c>
      <c r="AF438" s="2">
        <v>0</v>
      </c>
      <c r="AG438" s="3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45957</v>
      </c>
      <c r="B439" t="s">
        <v>48</v>
      </c>
      <c r="C439">
        <v>649163</v>
      </c>
      <c r="D439">
        <v>2028098327</v>
      </c>
      <c r="E439" t="s">
        <v>687</v>
      </c>
      <c r="F439" t="s">
        <v>688</v>
      </c>
      <c r="G439" t="s">
        <v>51</v>
      </c>
      <c r="H439" t="s">
        <v>195</v>
      </c>
      <c r="I439" s="2">
        <v>47.17</v>
      </c>
      <c r="J439" t="s">
        <v>59</v>
      </c>
      <c r="K439" s="3">
        <v>0.38</v>
      </c>
      <c r="L439" s="2">
        <v>0</v>
      </c>
      <c r="M439" s="2">
        <v>17.920000000000002</v>
      </c>
      <c r="N439" s="2">
        <v>17.920000000000002</v>
      </c>
      <c r="O439" t="s">
        <v>355</v>
      </c>
      <c r="P439" t="s">
        <v>356</v>
      </c>
      <c r="Q439">
        <v>650218</v>
      </c>
      <c r="R439" t="s">
        <v>357</v>
      </c>
      <c r="S439" t="s">
        <v>358</v>
      </c>
      <c r="T439" t="s">
        <v>57</v>
      </c>
      <c r="U439" s="1">
        <v>45748</v>
      </c>
      <c r="W439" s="1">
        <v>45992</v>
      </c>
      <c r="X439">
        <v>1</v>
      </c>
      <c r="Y439" t="s">
        <v>58</v>
      </c>
      <c r="Z439" s="2">
        <v>0</v>
      </c>
      <c r="AA439">
        <v>0</v>
      </c>
      <c r="AB439" t="s">
        <v>60</v>
      </c>
      <c r="AC439" t="s">
        <v>61</v>
      </c>
      <c r="AD439">
        <v>0</v>
      </c>
      <c r="AE439" s="2">
        <v>0</v>
      </c>
      <c r="AF439" s="2">
        <v>0</v>
      </c>
      <c r="AG439" s="3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45957</v>
      </c>
      <c r="B440" t="s">
        <v>48</v>
      </c>
      <c r="C440">
        <v>649163</v>
      </c>
      <c r="D440">
        <v>2028627542</v>
      </c>
      <c r="E440" t="s">
        <v>689</v>
      </c>
      <c r="F440" t="s">
        <v>690</v>
      </c>
      <c r="G440" t="s">
        <v>51</v>
      </c>
      <c r="H440" t="s">
        <v>145</v>
      </c>
      <c r="I440" s="2">
        <v>7.09</v>
      </c>
      <c r="J440" t="s">
        <v>59</v>
      </c>
      <c r="K440" s="3">
        <v>0.38</v>
      </c>
      <c r="L440" s="2">
        <v>0</v>
      </c>
      <c r="M440" s="2">
        <v>2.69</v>
      </c>
      <c r="N440" s="2">
        <v>2.69</v>
      </c>
      <c r="O440" t="s">
        <v>355</v>
      </c>
      <c r="P440" t="s">
        <v>444</v>
      </c>
      <c r="Q440">
        <v>820873</v>
      </c>
      <c r="R440" t="s">
        <v>447</v>
      </c>
      <c r="S440" t="s">
        <v>448</v>
      </c>
      <c r="T440" t="s">
        <v>57</v>
      </c>
      <c r="U440" s="1">
        <v>45774</v>
      </c>
      <c r="W440" s="1">
        <v>45988</v>
      </c>
      <c r="X440">
        <v>1</v>
      </c>
      <c r="Y440" t="s">
        <v>58</v>
      </c>
      <c r="Z440" s="2">
        <v>0</v>
      </c>
      <c r="AA440">
        <v>0</v>
      </c>
      <c r="AB440" t="s">
        <v>60</v>
      </c>
      <c r="AC440" t="s">
        <v>61</v>
      </c>
      <c r="AD440">
        <v>0</v>
      </c>
      <c r="AE440" s="2">
        <v>0</v>
      </c>
      <c r="AF440" s="2">
        <v>0</v>
      </c>
      <c r="AG440" s="3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45957</v>
      </c>
      <c r="B441" t="s">
        <v>48</v>
      </c>
      <c r="C441">
        <v>649163</v>
      </c>
      <c r="D441">
        <v>2028649902</v>
      </c>
      <c r="E441" t="s">
        <v>689</v>
      </c>
      <c r="F441" t="s">
        <v>690</v>
      </c>
      <c r="G441" t="s">
        <v>51</v>
      </c>
      <c r="H441" t="s">
        <v>145</v>
      </c>
      <c r="I441" s="2">
        <v>131.32</v>
      </c>
      <c r="J441" t="s">
        <v>59</v>
      </c>
      <c r="K441" s="3">
        <v>0.38</v>
      </c>
      <c r="L441" s="2">
        <v>0</v>
      </c>
      <c r="M441" s="2">
        <v>49.9</v>
      </c>
      <c r="N441" s="2">
        <v>49.9</v>
      </c>
      <c r="O441" t="s">
        <v>355</v>
      </c>
      <c r="P441" t="s">
        <v>443</v>
      </c>
      <c r="Q441">
        <v>820873</v>
      </c>
      <c r="R441" t="s">
        <v>447</v>
      </c>
      <c r="S441" t="s">
        <v>448</v>
      </c>
      <c r="T441" t="s">
        <v>57</v>
      </c>
      <c r="U441" s="1">
        <v>45776</v>
      </c>
      <c r="W441" s="1">
        <v>45990</v>
      </c>
      <c r="X441">
        <v>1</v>
      </c>
      <c r="Y441" t="s">
        <v>58</v>
      </c>
      <c r="Z441" s="2">
        <v>0</v>
      </c>
      <c r="AA441">
        <v>0</v>
      </c>
      <c r="AB441" t="s">
        <v>60</v>
      </c>
      <c r="AC441" t="s">
        <v>61</v>
      </c>
      <c r="AD441">
        <v>0</v>
      </c>
      <c r="AE441" s="2">
        <v>0</v>
      </c>
      <c r="AF441" s="2">
        <v>0</v>
      </c>
      <c r="AG441" s="3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45957</v>
      </c>
      <c r="B442" t="s">
        <v>48</v>
      </c>
      <c r="C442">
        <v>649163</v>
      </c>
      <c r="D442">
        <v>2028837567</v>
      </c>
      <c r="E442" t="s">
        <v>485</v>
      </c>
      <c r="F442" t="s">
        <v>544</v>
      </c>
      <c r="G442" t="s">
        <v>51</v>
      </c>
      <c r="H442" t="s">
        <v>78</v>
      </c>
      <c r="I442" s="2">
        <v>36.450000000000003</v>
      </c>
      <c r="J442" t="s">
        <v>59</v>
      </c>
      <c r="K442" s="3">
        <v>0.38</v>
      </c>
      <c r="L442" s="2">
        <v>0</v>
      </c>
      <c r="M442" s="2">
        <v>13.85</v>
      </c>
      <c r="N442" s="2">
        <v>13.85</v>
      </c>
      <c r="O442" t="s">
        <v>355</v>
      </c>
      <c r="P442" t="s">
        <v>356</v>
      </c>
      <c r="Q442">
        <v>751867</v>
      </c>
      <c r="R442" t="s">
        <v>349</v>
      </c>
      <c r="S442" t="s">
        <v>312</v>
      </c>
      <c r="T442" t="s">
        <v>57</v>
      </c>
      <c r="U442" s="1">
        <v>45809</v>
      </c>
      <c r="W442" s="1">
        <v>45992</v>
      </c>
      <c r="X442">
        <v>1</v>
      </c>
      <c r="Y442" t="s">
        <v>58</v>
      </c>
      <c r="Z442" s="2">
        <v>0</v>
      </c>
      <c r="AA442">
        <v>0</v>
      </c>
      <c r="AB442" t="s">
        <v>60</v>
      </c>
      <c r="AC442" t="s">
        <v>61</v>
      </c>
      <c r="AD442">
        <v>0</v>
      </c>
      <c r="AE442" s="2">
        <v>0</v>
      </c>
      <c r="AF442" s="2">
        <v>0</v>
      </c>
      <c r="AG442" s="3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45957</v>
      </c>
      <c r="B443" t="s">
        <v>48</v>
      </c>
      <c r="C443">
        <v>649163</v>
      </c>
      <c r="D443">
        <v>2028899052</v>
      </c>
      <c r="E443" t="s">
        <v>691</v>
      </c>
      <c r="F443" t="s">
        <v>692</v>
      </c>
      <c r="G443" t="s">
        <v>51</v>
      </c>
      <c r="H443" t="s">
        <v>69</v>
      </c>
      <c r="I443" s="2">
        <v>5.68</v>
      </c>
      <c r="J443" t="s">
        <v>59</v>
      </c>
      <c r="K443" s="3">
        <v>0.38</v>
      </c>
      <c r="L443" s="2">
        <v>2.16</v>
      </c>
      <c r="M443" s="2">
        <v>0</v>
      </c>
      <c r="N443" s="2">
        <v>0</v>
      </c>
      <c r="O443" t="s">
        <v>355</v>
      </c>
      <c r="P443" t="s">
        <v>356</v>
      </c>
      <c r="Q443">
        <v>820873</v>
      </c>
      <c r="R443" t="s">
        <v>447</v>
      </c>
      <c r="S443" t="s">
        <v>448</v>
      </c>
      <c r="T443" t="s">
        <v>57</v>
      </c>
      <c r="U443" s="1">
        <v>45809</v>
      </c>
      <c r="W443" s="1">
        <v>45992</v>
      </c>
      <c r="X443">
        <v>1</v>
      </c>
      <c r="Y443" t="s">
        <v>58</v>
      </c>
      <c r="Z443" s="2">
        <v>0</v>
      </c>
      <c r="AA443">
        <v>0</v>
      </c>
      <c r="AB443" t="s">
        <v>60</v>
      </c>
      <c r="AC443" t="s">
        <v>61</v>
      </c>
      <c r="AD443">
        <v>0</v>
      </c>
      <c r="AE443" s="2">
        <v>0</v>
      </c>
      <c r="AF443" s="2">
        <v>0</v>
      </c>
      <c r="AG443" s="3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45957</v>
      </c>
      <c r="B444" t="s">
        <v>48</v>
      </c>
      <c r="C444">
        <v>649163</v>
      </c>
      <c r="D444">
        <v>2028901562</v>
      </c>
      <c r="E444" t="s">
        <v>693</v>
      </c>
      <c r="F444" t="s">
        <v>694</v>
      </c>
      <c r="G444" t="s">
        <v>51</v>
      </c>
      <c r="H444" t="s">
        <v>195</v>
      </c>
      <c r="I444" s="2">
        <v>55.16</v>
      </c>
      <c r="J444" t="s">
        <v>59</v>
      </c>
      <c r="K444" s="3">
        <v>0.38</v>
      </c>
      <c r="L444" s="2">
        <v>0</v>
      </c>
      <c r="M444" s="2">
        <v>20.96</v>
      </c>
      <c r="N444" s="2">
        <v>20.96</v>
      </c>
      <c r="O444" t="s">
        <v>355</v>
      </c>
      <c r="P444" t="s">
        <v>356</v>
      </c>
      <c r="Q444">
        <v>751867</v>
      </c>
      <c r="R444" t="s">
        <v>349</v>
      </c>
      <c r="S444" t="s">
        <v>312</v>
      </c>
      <c r="T444" t="s">
        <v>57</v>
      </c>
      <c r="U444" s="1">
        <v>45809</v>
      </c>
      <c r="W444" s="1">
        <v>45992</v>
      </c>
      <c r="X444">
        <v>1</v>
      </c>
      <c r="Y444" t="s">
        <v>58</v>
      </c>
      <c r="Z444" s="2">
        <v>0</v>
      </c>
      <c r="AA444">
        <v>0</v>
      </c>
      <c r="AB444" t="s">
        <v>60</v>
      </c>
      <c r="AC444" t="s">
        <v>61</v>
      </c>
      <c r="AD444">
        <v>0</v>
      </c>
      <c r="AE444" s="2">
        <v>0</v>
      </c>
      <c r="AF444" s="2">
        <v>0</v>
      </c>
      <c r="AG444" s="3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45957</v>
      </c>
      <c r="B445" t="s">
        <v>48</v>
      </c>
      <c r="C445">
        <v>649163</v>
      </c>
      <c r="D445">
        <v>2029037968</v>
      </c>
      <c r="E445" t="s">
        <v>695</v>
      </c>
      <c r="F445" t="s">
        <v>99</v>
      </c>
      <c r="G445" t="s">
        <v>51</v>
      </c>
      <c r="H445" t="s">
        <v>696</v>
      </c>
      <c r="I445" s="2">
        <v>24.22</v>
      </c>
      <c r="J445" t="s">
        <v>59</v>
      </c>
      <c r="K445" s="3">
        <v>0.38</v>
      </c>
      <c r="L445" s="2">
        <v>9.1999999999999993</v>
      </c>
      <c r="M445" s="2">
        <v>0</v>
      </c>
      <c r="N445" s="2">
        <v>0</v>
      </c>
      <c r="O445" t="s">
        <v>355</v>
      </c>
      <c r="P445" t="s">
        <v>356</v>
      </c>
      <c r="Q445">
        <v>862109</v>
      </c>
      <c r="R445" t="s">
        <v>697</v>
      </c>
      <c r="S445" t="s">
        <v>698</v>
      </c>
      <c r="T445" t="s">
        <v>57</v>
      </c>
      <c r="U445" s="1">
        <v>45809</v>
      </c>
      <c r="W445" s="1">
        <v>45992</v>
      </c>
      <c r="X445">
        <v>1</v>
      </c>
      <c r="Y445" t="s">
        <v>58</v>
      </c>
      <c r="Z445" s="2">
        <v>0</v>
      </c>
      <c r="AA445">
        <v>0</v>
      </c>
      <c r="AB445" t="s">
        <v>60</v>
      </c>
      <c r="AC445" t="s">
        <v>61</v>
      </c>
      <c r="AD445">
        <v>0</v>
      </c>
      <c r="AE445" s="2">
        <v>0</v>
      </c>
      <c r="AF445" s="2">
        <v>0</v>
      </c>
      <c r="AG445" s="3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45957</v>
      </c>
      <c r="B446" t="s">
        <v>48</v>
      </c>
      <c r="C446">
        <v>649163</v>
      </c>
      <c r="D446">
        <v>2029056520</v>
      </c>
      <c r="E446" t="s">
        <v>699</v>
      </c>
      <c r="F446" t="s">
        <v>700</v>
      </c>
      <c r="G446" t="s">
        <v>51</v>
      </c>
      <c r="H446" t="s">
        <v>69</v>
      </c>
      <c r="I446" s="2">
        <v>139</v>
      </c>
      <c r="J446" t="s">
        <v>59</v>
      </c>
      <c r="K446" s="3">
        <v>0.38</v>
      </c>
      <c r="L446" s="2">
        <v>52.82</v>
      </c>
      <c r="M446" s="2">
        <v>0</v>
      </c>
      <c r="N446" s="2">
        <v>0</v>
      </c>
      <c r="O446" t="s">
        <v>355</v>
      </c>
      <c r="P446" t="s">
        <v>443</v>
      </c>
      <c r="Q446">
        <v>820873</v>
      </c>
      <c r="R446" t="s">
        <v>447</v>
      </c>
      <c r="S446" t="s">
        <v>448</v>
      </c>
      <c r="T446" t="s">
        <v>57</v>
      </c>
      <c r="U446" s="1">
        <v>45809</v>
      </c>
      <c r="W446" s="1">
        <v>45992</v>
      </c>
      <c r="X446">
        <v>1</v>
      </c>
      <c r="Y446" t="s">
        <v>58</v>
      </c>
      <c r="Z446" s="2">
        <v>0</v>
      </c>
      <c r="AA446">
        <v>0</v>
      </c>
      <c r="AB446" t="s">
        <v>60</v>
      </c>
      <c r="AC446" t="s">
        <v>61</v>
      </c>
      <c r="AD446">
        <v>0</v>
      </c>
      <c r="AE446" s="2">
        <v>0</v>
      </c>
      <c r="AF446" s="2">
        <v>0</v>
      </c>
      <c r="AG446" s="3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45957</v>
      </c>
      <c r="B447" t="s">
        <v>48</v>
      </c>
      <c r="C447">
        <v>649163</v>
      </c>
      <c r="D447">
        <v>2029138757</v>
      </c>
      <c r="E447" t="s">
        <v>701</v>
      </c>
      <c r="F447" t="s">
        <v>702</v>
      </c>
      <c r="G447" t="s">
        <v>51</v>
      </c>
      <c r="H447" t="s">
        <v>287</v>
      </c>
      <c r="I447" s="2">
        <v>88.87</v>
      </c>
      <c r="J447" t="s">
        <v>59</v>
      </c>
      <c r="K447" s="3">
        <v>0.38</v>
      </c>
      <c r="L447" s="2">
        <v>33.770000000000003</v>
      </c>
      <c r="M447" s="2">
        <v>0</v>
      </c>
      <c r="N447" s="2">
        <v>0</v>
      </c>
      <c r="O447" t="s">
        <v>355</v>
      </c>
      <c r="P447" t="s">
        <v>356</v>
      </c>
      <c r="Q447">
        <v>650218</v>
      </c>
      <c r="R447" t="s">
        <v>357</v>
      </c>
      <c r="S447" t="s">
        <v>358</v>
      </c>
      <c r="T447" t="s">
        <v>57</v>
      </c>
      <c r="U447" s="1">
        <v>45809</v>
      </c>
      <c r="W447" s="1">
        <v>45992</v>
      </c>
      <c r="X447">
        <v>1</v>
      </c>
      <c r="Y447" t="s">
        <v>58</v>
      </c>
      <c r="Z447" s="2">
        <v>0</v>
      </c>
      <c r="AA447">
        <v>0</v>
      </c>
      <c r="AB447" t="s">
        <v>60</v>
      </c>
      <c r="AC447" t="s">
        <v>61</v>
      </c>
      <c r="AD447">
        <v>0</v>
      </c>
      <c r="AE447" s="2">
        <v>0</v>
      </c>
      <c r="AF447" s="2">
        <v>0</v>
      </c>
      <c r="AG447" s="3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45957</v>
      </c>
      <c r="B448" t="s">
        <v>48</v>
      </c>
      <c r="C448">
        <v>649163</v>
      </c>
      <c r="D448">
        <v>2029145086</v>
      </c>
      <c r="E448" t="s">
        <v>703</v>
      </c>
      <c r="F448" t="s">
        <v>704</v>
      </c>
      <c r="G448" t="s">
        <v>51</v>
      </c>
      <c r="H448" t="s">
        <v>69</v>
      </c>
      <c r="I448" s="2">
        <v>25.15</v>
      </c>
      <c r="J448" t="s">
        <v>59</v>
      </c>
      <c r="K448" s="3">
        <v>0.38</v>
      </c>
      <c r="L448" s="2">
        <v>9.5500000000000007</v>
      </c>
      <c r="M448" s="2">
        <v>0.01</v>
      </c>
      <c r="N448" s="2">
        <v>0.01</v>
      </c>
      <c r="O448" t="s">
        <v>355</v>
      </c>
      <c r="P448" t="s">
        <v>356</v>
      </c>
      <c r="Q448">
        <v>766422</v>
      </c>
      <c r="R448" t="s">
        <v>335</v>
      </c>
      <c r="S448" t="s">
        <v>336</v>
      </c>
      <c r="T448" t="s">
        <v>57</v>
      </c>
      <c r="U448" s="1">
        <v>45805</v>
      </c>
      <c r="W448" s="1">
        <v>45989</v>
      </c>
      <c r="X448">
        <v>1</v>
      </c>
      <c r="Y448" t="s">
        <v>58</v>
      </c>
      <c r="Z448" s="2">
        <v>0</v>
      </c>
      <c r="AA448">
        <v>0</v>
      </c>
      <c r="AB448" t="s">
        <v>60</v>
      </c>
      <c r="AC448" t="s">
        <v>61</v>
      </c>
      <c r="AD448">
        <v>0</v>
      </c>
      <c r="AE448" s="2">
        <v>0</v>
      </c>
      <c r="AF448" s="2">
        <v>0</v>
      </c>
      <c r="AG448" s="3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45957</v>
      </c>
      <c r="B449" t="s">
        <v>48</v>
      </c>
      <c r="C449">
        <v>649163</v>
      </c>
      <c r="D449">
        <v>2029620627</v>
      </c>
      <c r="E449" t="s">
        <v>284</v>
      </c>
      <c r="F449" t="s">
        <v>705</v>
      </c>
      <c r="G449" t="s">
        <v>51</v>
      </c>
      <c r="H449" t="s">
        <v>69</v>
      </c>
      <c r="I449" s="2">
        <v>226.98</v>
      </c>
      <c r="J449" t="s">
        <v>59</v>
      </c>
      <c r="K449" s="3">
        <v>0.38</v>
      </c>
      <c r="L449" s="2">
        <v>86.25</v>
      </c>
      <c r="M449" s="2">
        <v>0</v>
      </c>
      <c r="N449" s="2">
        <v>0</v>
      </c>
      <c r="O449" t="s">
        <v>355</v>
      </c>
      <c r="P449" t="s">
        <v>443</v>
      </c>
      <c r="Q449">
        <v>824062</v>
      </c>
      <c r="R449" t="s">
        <v>74</v>
      </c>
      <c r="S449" t="s">
        <v>75</v>
      </c>
      <c r="T449" t="s">
        <v>57</v>
      </c>
      <c r="U449" s="1">
        <v>45833</v>
      </c>
      <c r="W449" s="1">
        <v>45986</v>
      </c>
      <c r="X449">
        <v>1</v>
      </c>
      <c r="Y449" t="s">
        <v>58</v>
      </c>
      <c r="Z449" s="2">
        <v>0</v>
      </c>
      <c r="AA449">
        <v>0</v>
      </c>
      <c r="AB449" t="s">
        <v>60</v>
      </c>
      <c r="AC449" t="s">
        <v>61</v>
      </c>
      <c r="AD449">
        <v>0</v>
      </c>
      <c r="AE449" s="2">
        <v>0</v>
      </c>
      <c r="AF449" s="2">
        <v>0</v>
      </c>
      <c r="AG449" s="3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45957</v>
      </c>
      <c r="B450" t="s">
        <v>48</v>
      </c>
      <c r="C450">
        <v>649163</v>
      </c>
      <c r="D450">
        <v>2029620628</v>
      </c>
      <c r="E450" t="s">
        <v>284</v>
      </c>
      <c r="F450" t="s">
        <v>705</v>
      </c>
      <c r="G450" t="s">
        <v>51</v>
      </c>
      <c r="H450" t="s">
        <v>69</v>
      </c>
      <c r="I450" s="2">
        <v>7.09</v>
      </c>
      <c r="J450" t="s">
        <v>59</v>
      </c>
      <c r="K450" s="3">
        <v>0.38</v>
      </c>
      <c r="L450" s="2">
        <v>2.69</v>
      </c>
      <c r="M450" s="2">
        <v>0</v>
      </c>
      <c r="N450" s="2">
        <v>0</v>
      </c>
      <c r="O450" t="s">
        <v>355</v>
      </c>
      <c r="P450" t="s">
        <v>444</v>
      </c>
      <c r="Q450">
        <v>824062</v>
      </c>
      <c r="R450" t="s">
        <v>74</v>
      </c>
      <c r="S450" t="s">
        <v>75</v>
      </c>
      <c r="T450" t="s">
        <v>57</v>
      </c>
      <c r="U450" s="1">
        <v>45833</v>
      </c>
      <c r="W450" s="1">
        <v>45986</v>
      </c>
      <c r="X450">
        <v>1</v>
      </c>
      <c r="Y450" t="s">
        <v>58</v>
      </c>
      <c r="Z450" s="2">
        <v>0</v>
      </c>
      <c r="AA450">
        <v>0</v>
      </c>
      <c r="AB450" t="s">
        <v>60</v>
      </c>
      <c r="AC450" t="s">
        <v>61</v>
      </c>
      <c r="AD450">
        <v>0</v>
      </c>
      <c r="AE450" s="2">
        <v>0</v>
      </c>
      <c r="AF450" s="2">
        <v>0</v>
      </c>
      <c r="AG450" s="3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45957</v>
      </c>
      <c r="B451" t="s">
        <v>48</v>
      </c>
      <c r="C451">
        <v>649163</v>
      </c>
      <c r="D451">
        <v>2029623274</v>
      </c>
      <c r="E451" t="s">
        <v>106</v>
      </c>
      <c r="F451" t="s">
        <v>706</v>
      </c>
      <c r="G451" t="s">
        <v>51</v>
      </c>
      <c r="H451" t="s">
        <v>69</v>
      </c>
      <c r="I451" s="2">
        <v>172.55</v>
      </c>
      <c r="J451" t="s">
        <v>59</v>
      </c>
      <c r="K451" s="3">
        <v>0.38</v>
      </c>
      <c r="L451" s="2">
        <v>65.569999999999993</v>
      </c>
      <c r="M451" s="2">
        <v>0</v>
      </c>
      <c r="N451" s="2">
        <v>0</v>
      </c>
      <c r="O451" t="s">
        <v>355</v>
      </c>
      <c r="P451" t="s">
        <v>443</v>
      </c>
      <c r="Q451">
        <v>840313</v>
      </c>
      <c r="R451" t="s">
        <v>159</v>
      </c>
      <c r="S451" t="s">
        <v>160</v>
      </c>
      <c r="T451" t="s">
        <v>57</v>
      </c>
      <c r="U451" s="1">
        <v>45833</v>
      </c>
      <c r="W451" s="1">
        <v>45986</v>
      </c>
      <c r="X451">
        <v>1</v>
      </c>
      <c r="Y451" t="s">
        <v>58</v>
      </c>
      <c r="Z451" s="2">
        <v>0</v>
      </c>
      <c r="AA451">
        <v>0</v>
      </c>
      <c r="AB451" t="s">
        <v>60</v>
      </c>
      <c r="AC451" t="s">
        <v>61</v>
      </c>
      <c r="AD451">
        <v>0</v>
      </c>
      <c r="AE451" s="2">
        <v>0</v>
      </c>
      <c r="AF451" s="2">
        <v>0</v>
      </c>
      <c r="AG451" s="3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45957</v>
      </c>
      <c r="B452" t="s">
        <v>48</v>
      </c>
      <c r="C452">
        <v>649163</v>
      </c>
      <c r="D452">
        <v>2029623275</v>
      </c>
      <c r="E452" t="s">
        <v>106</v>
      </c>
      <c r="F452" t="s">
        <v>706</v>
      </c>
      <c r="G452" t="s">
        <v>51</v>
      </c>
      <c r="H452" t="s">
        <v>69</v>
      </c>
      <c r="I452" s="2">
        <v>7.09</v>
      </c>
      <c r="J452" t="s">
        <v>59</v>
      </c>
      <c r="K452" s="3">
        <v>0.38</v>
      </c>
      <c r="L452" s="2">
        <v>2.69</v>
      </c>
      <c r="M452" s="2">
        <v>0</v>
      </c>
      <c r="N452" s="2">
        <v>0</v>
      </c>
      <c r="O452" t="s">
        <v>355</v>
      </c>
      <c r="P452" t="s">
        <v>444</v>
      </c>
      <c r="Q452">
        <v>840313</v>
      </c>
      <c r="R452" t="s">
        <v>159</v>
      </c>
      <c r="S452" t="s">
        <v>160</v>
      </c>
      <c r="T452" t="s">
        <v>57</v>
      </c>
      <c r="U452" s="1">
        <v>45833</v>
      </c>
      <c r="W452" s="1">
        <v>45986</v>
      </c>
      <c r="X452">
        <v>1</v>
      </c>
      <c r="Y452" t="s">
        <v>58</v>
      </c>
      <c r="Z452" s="2">
        <v>0</v>
      </c>
      <c r="AA452">
        <v>0</v>
      </c>
      <c r="AB452" t="s">
        <v>60</v>
      </c>
      <c r="AC452" t="s">
        <v>61</v>
      </c>
      <c r="AD452">
        <v>0</v>
      </c>
      <c r="AE452" s="2">
        <v>0</v>
      </c>
      <c r="AF452" s="2">
        <v>0</v>
      </c>
      <c r="AG452" s="3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45957</v>
      </c>
      <c r="B453" t="s">
        <v>48</v>
      </c>
      <c r="C453">
        <v>649163</v>
      </c>
      <c r="D453">
        <v>2029623276</v>
      </c>
      <c r="E453" t="s">
        <v>106</v>
      </c>
      <c r="F453" t="s">
        <v>706</v>
      </c>
      <c r="G453" t="s">
        <v>51</v>
      </c>
      <c r="H453" t="s">
        <v>69</v>
      </c>
      <c r="I453" s="2">
        <v>11.71</v>
      </c>
      <c r="J453" t="s">
        <v>59</v>
      </c>
      <c r="K453" s="3">
        <v>0.38</v>
      </c>
      <c r="L453" s="2">
        <v>4.45</v>
      </c>
      <c r="M453" s="2">
        <v>0</v>
      </c>
      <c r="N453" s="2">
        <v>0</v>
      </c>
      <c r="O453" t="s">
        <v>355</v>
      </c>
      <c r="P453" t="s">
        <v>356</v>
      </c>
      <c r="Q453">
        <v>840313</v>
      </c>
      <c r="R453" t="s">
        <v>159</v>
      </c>
      <c r="S453" t="s">
        <v>160</v>
      </c>
      <c r="T453" t="s">
        <v>57</v>
      </c>
      <c r="U453" s="1">
        <v>45833</v>
      </c>
      <c r="W453" s="1">
        <v>45986</v>
      </c>
      <c r="X453">
        <v>1</v>
      </c>
      <c r="Y453" t="s">
        <v>58</v>
      </c>
      <c r="Z453" s="2">
        <v>0</v>
      </c>
      <c r="AA453">
        <v>0</v>
      </c>
      <c r="AB453" t="s">
        <v>60</v>
      </c>
      <c r="AC453" t="s">
        <v>61</v>
      </c>
      <c r="AD453">
        <v>0</v>
      </c>
      <c r="AE453" s="2">
        <v>0</v>
      </c>
      <c r="AF453" s="2">
        <v>0</v>
      </c>
      <c r="AG453" s="3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45957</v>
      </c>
      <c r="B454" t="s">
        <v>48</v>
      </c>
      <c r="C454">
        <v>649163</v>
      </c>
      <c r="D454">
        <v>2030439491</v>
      </c>
      <c r="E454" t="s">
        <v>84</v>
      </c>
      <c r="F454" t="s">
        <v>85</v>
      </c>
      <c r="G454" t="s">
        <v>51</v>
      </c>
      <c r="H454" t="s">
        <v>69</v>
      </c>
      <c r="I454" s="2">
        <v>13.24</v>
      </c>
      <c r="J454" t="s">
        <v>59</v>
      </c>
      <c r="K454" s="3">
        <v>0.38</v>
      </c>
      <c r="L454" s="2">
        <v>5.03</v>
      </c>
      <c r="M454" s="2">
        <v>0</v>
      </c>
      <c r="N454" s="2">
        <v>0</v>
      </c>
      <c r="O454" t="s">
        <v>355</v>
      </c>
      <c r="P454" t="s">
        <v>356</v>
      </c>
      <c r="Q454">
        <v>673059</v>
      </c>
      <c r="R454" t="s">
        <v>55</v>
      </c>
      <c r="S454" t="s">
        <v>56</v>
      </c>
      <c r="T454" t="s">
        <v>57</v>
      </c>
      <c r="U454" s="1">
        <v>45901</v>
      </c>
      <c r="W454" s="1">
        <v>45992</v>
      </c>
      <c r="X454">
        <v>1</v>
      </c>
      <c r="Y454" t="s">
        <v>58</v>
      </c>
      <c r="Z454" s="2">
        <v>0</v>
      </c>
      <c r="AA454">
        <v>0</v>
      </c>
      <c r="AB454" t="s">
        <v>60</v>
      </c>
      <c r="AC454" t="s">
        <v>61</v>
      </c>
      <c r="AD454">
        <v>0</v>
      </c>
      <c r="AE454" s="2">
        <v>0</v>
      </c>
      <c r="AF454" s="2">
        <v>0</v>
      </c>
      <c r="AG454" s="3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45957</v>
      </c>
      <c r="B455" t="s">
        <v>48</v>
      </c>
      <c r="C455">
        <v>649163</v>
      </c>
      <c r="D455">
        <v>2030625302</v>
      </c>
      <c r="E455" t="s">
        <v>161</v>
      </c>
      <c r="F455" t="s">
        <v>162</v>
      </c>
      <c r="G455" t="s">
        <v>51</v>
      </c>
      <c r="H455" t="s">
        <v>69</v>
      </c>
      <c r="I455" s="2">
        <v>131.32</v>
      </c>
      <c r="J455" t="s">
        <v>59</v>
      </c>
      <c r="K455" s="3">
        <v>0.38</v>
      </c>
      <c r="L455" s="2">
        <v>49.9</v>
      </c>
      <c r="M455" s="2">
        <v>0</v>
      </c>
      <c r="N455" s="2">
        <v>0</v>
      </c>
      <c r="O455" t="s">
        <v>355</v>
      </c>
      <c r="P455" t="s">
        <v>443</v>
      </c>
      <c r="Q455">
        <v>882035</v>
      </c>
      <c r="R455" t="s">
        <v>141</v>
      </c>
      <c r="S455" t="s">
        <v>142</v>
      </c>
      <c r="T455" t="s">
        <v>57</v>
      </c>
      <c r="U455" s="1">
        <v>45901</v>
      </c>
      <c r="W455" s="1">
        <v>45992</v>
      </c>
      <c r="X455">
        <v>1</v>
      </c>
      <c r="Y455" t="s">
        <v>58</v>
      </c>
      <c r="Z455" s="2">
        <v>0</v>
      </c>
      <c r="AA455">
        <v>0</v>
      </c>
      <c r="AB455" t="s">
        <v>60</v>
      </c>
      <c r="AC455" t="s">
        <v>61</v>
      </c>
      <c r="AD455">
        <v>0</v>
      </c>
      <c r="AE455" s="2">
        <v>0</v>
      </c>
      <c r="AF455" s="2">
        <v>0</v>
      </c>
      <c r="AG455" s="3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45957</v>
      </c>
      <c r="B456" t="s">
        <v>48</v>
      </c>
      <c r="C456">
        <v>649163</v>
      </c>
      <c r="D456">
        <v>2030625303</v>
      </c>
      <c r="E456" t="s">
        <v>161</v>
      </c>
      <c r="F456" t="s">
        <v>162</v>
      </c>
      <c r="G456" t="s">
        <v>51</v>
      </c>
      <c r="H456" t="s">
        <v>69</v>
      </c>
      <c r="I456" s="2">
        <v>7.09</v>
      </c>
      <c r="J456" t="s">
        <v>59</v>
      </c>
      <c r="K456" s="3">
        <v>0.38</v>
      </c>
      <c r="L456" s="2">
        <v>2.69</v>
      </c>
      <c r="M456" s="2">
        <v>0</v>
      </c>
      <c r="N456" s="2">
        <v>0</v>
      </c>
      <c r="O456" t="s">
        <v>355</v>
      </c>
      <c r="P456" t="s">
        <v>444</v>
      </c>
      <c r="Q456">
        <v>882035</v>
      </c>
      <c r="R456" t="s">
        <v>141</v>
      </c>
      <c r="S456" t="s">
        <v>142</v>
      </c>
      <c r="T456" t="s">
        <v>57</v>
      </c>
      <c r="U456" s="1">
        <v>45901</v>
      </c>
      <c r="W456" s="1">
        <v>45992</v>
      </c>
      <c r="X456">
        <v>1</v>
      </c>
      <c r="Y456" t="s">
        <v>58</v>
      </c>
      <c r="Z456" s="2">
        <v>0</v>
      </c>
      <c r="AA456">
        <v>0</v>
      </c>
      <c r="AB456" t="s">
        <v>60</v>
      </c>
      <c r="AC456" t="s">
        <v>61</v>
      </c>
      <c r="AD456">
        <v>0</v>
      </c>
      <c r="AE456" s="2">
        <v>0</v>
      </c>
      <c r="AF456" s="2">
        <v>0</v>
      </c>
      <c r="AG456" s="3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45957</v>
      </c>
      <c r="B457" t="s">
        <v>48</v>
      </c>
      <c r="C457">
        <v>649163</v>
      </c>
      <c r="D457">
        <v>2030627972</v>
      </c>
      <c r="E457" t="s">
        <v>707</v>
      </c>
      <c r="F457" t="s">
        <v>708</v>
      </c>
      <c r="G457" t="s">
        <v>51</v>
      </c>
      <c r="H457" t="s">
        <v>195</v>
      </c>
      <c r="I457" s="2">
        <v>104.81</v>
      </c>
      <c r="J457" t="s">
        <v>59</v>
      </c>
      <c r="K457" s="3">
        <v>0.38</v>
      </c>
      <c r="L457" s="2">
        <v>39.83</v>
      </c>
      <c r="M457" s="2">
        <v>0</v>
      </c>
      <c r="N457" s="2">
        <v>0</v>
      </c>
      <c r="O457" t="s">
        <v>355</v>
      </c>
      <c r="P457" t="s">
        <v>356</v>
      </c>
      <c r="Q457">
        <v>885445</v>
      </c>
      <c r="R457" t="s">
        <v>196</v>
      </c>
      <c r="S457" t="s">
        <v>197</v>
      </c>
      <c r="T457" t="s">
        <v>57</v>
      </c>
      <c r="U457" s="1">
        <v>45901</v>
      </c>
      <c r="W457" s="1">
        <v>45992</v>
      </c>
      <c r="X457">
        <v>1</v>
      </c>
      <c r="Y457" t="s">
        <v>58</v>
      </c>
      <c r="Z457" s="2">
        <v>0</v>
      </c>
      <c r="AA457">
        <v>0</v>
      </c>
      <c r="AB457" t="s">
        <v>60</v>
      </c>
      <c r="AC457" t="s">
        <v>61</v>
      </c>
      <c r="AD457">
        <v>0</v>
      </c>
      <c r="AE457" s="2">
        <v>0</v>
      </c>
      <c r="AF457" s="2">
        <v>0</v>
      </c>
      <c r="AG457" s="3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45957</v>
      </c>
      <c r="B458" t="s">
        <v>48</v>
      </c>
      <c r="C458">
        <v>649163</v>
      </c>
      <c r="D458">
        <v>2030670141</v>
      </c>
      <c r="E458" t="s">
        <v>709</v>
      </c>
      <c r="F458" t="s">
        <v>710</v>
      </c>
      <c r="G458" t="s">
        <v>51</v>
      </c>
      <c r="H458" t="s">
        <v>195</v>
      </c>
      <c r="I458" s="2">
        <v>21.97</v>
      </c>
      <c r="J458" t="s">
        <v>59</v>
      </c>
      <c r="K458" s="3">
        <v>0.38</v>
      </c>
      <c r="L458" s="2">
        <v>8.35</v>
      </c>
      <c r="M458" s="2">
        <v>0</v>
      </c>
      <c r="N458" s="2">
        <v>0</v>
      </c>
      <c r="O458" t="s">
        <v>355</v>
      </c>
      <c r="P458" t="s">
        <v>356</v>
      </c>
      <c r="Q458">
        <v>650218</v>
      </c>
      <c r="R458" t="s">
        <v>357</v>
      </c>
      <c r="S458" t="s">
        <v>358</v>
      </c>
      <c r="T458" t="s">
        <v>57</v>
      </c>
      <c r="U458" s="1">
        <v>45895</v>
      </c>
      <c r="W458" s="1">
        <v>45987</v>
      </c>
      <c r="X458">
        <v>1</v>
      </c>
      <c r="Y458" t="s">
        <v>58</v>
      </c>
      <c r="Z458" s="2">
        <v>0</v>
      </c>
      <c r="AA458">
        <v>0</v>
      </c>
      <c r="AB458" t="s">
        <v>60</v>
      </c>
      <c r="AC458" t="s">
        <v>61</v>
      </c>
      <c r="AD458">
        <v>0</v>
      </c>
      <c r="AE458" s="2">
        <v>0</v>
      </c>
      <c r="AF458" s="2">
        <v>0</v>
      </c>
      <c r="AG458" s="3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45957</v>
      </c>
      <c r="B459" t="s">
        <v>48</v>
      </c>
      <c r="C459">
        <v>649163</v>
      </c>
      <c r="D459">
        <v>2030686023</v>
      </c>
      <c r="E459" t="s">
        <v>184</v>
      </c>
      <c r="F459" t="s">
        <v>185</v>
      </c>
      <c r="G459" t="s">
        <v>51</v>
      </c>
      <c r="H459" t="s">
        <v>92</v>
      </c>
      <c r="I459" s="2">
        <v>17.079999999999998</v>
      </c>
      <c r="J459" t="s">
        <v>59</v>
      </c>
      <c r="K459" s="3">
        <v>0.38</v>
      </c>
      <c r="L459" s="2">
        <v>6.49</v>
      </c>
      <c r="M459" s="2">
        <v>0</v>
      </c>
      <c r="N459" s="2">
        <v>0</v>
      </c>
      <c r="O459" t="s">
        <v>355</v>
      </c>
      <c r="P459" t="s">
        <v>356</v>
      </c>
      <c r="Q459">
        <v>816021</v>
      </c>
      <c r="R459" t="s">
        <v>93</v>
      </c>
      <c r="S459" t="s">
        <v>94</v>
      </c>
      <c r="T459" t="s">
        <v>57</v>
      </c>
      <c r="U459" s="1">
        <v>45901</v>
      </c>
      <c r="W459" s="1">
        <v>45992</v>
      </c>
      <c r="X459">
        <v>1</v>
      </c>
      <c r="Y459" t="s">
        <v>58</v>
      </c>
      <c r="Z459" s="2">
        <v>0</v>
      </c>
      <c r="AA459">
        <v>0</v>
      </c>
      <c r="AB459" t="s">
        <v>60</v>
      </c>
      <c r="AC459" t="s">
        <v>61</v>
      </c>
      <c r="AD459">
        <v>0</v>
      </c>
      <c r="AE459" s="2">
        <v>0</v>
      </c>
      <c r="AF459" s="2">
        <v>0</v>
      </c>
      <c r="AG459" s="3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45957</v>
      </c>
      <c r="B460" t="s">
        <v>48</v>
      </c>
      <c r="C460">
        <v>649163</v>
      </c>
      <c r="D460">
        <v>2030693609</v>
      </c>
      <c r="E460" t="s">
        <v>314</v>
      </c>
      <c r="F460" t="s">
        <v>556</v>
      </c>
      <c r="G460" t="s">
        <v>51</v>
      </c>
      <c r="H460" t="s">
        <v>195</v>
      </c>
      <c r="I460" s="2">
        <v>91.37</v>
      </c>
      <c r="J460" t="s">
        <v>59</v>
      </c>
      <c r="K460" s="3">
        <v>0.38</v>
      </c>
      <c r="L460" s="2">
        <v>34.72</v>
      </c>
      <c r="M460" s="2">
        <v>0</v>
      </c>
      <c r="N460" s="2">
        <v>0</v>
      </c>
      <c r="O460" t="s">
        <v>355</v>
      </c>
      <c r="P460" t="s">
        <v>443</v>
      </c>
      <c r="Q460">
        <v>885445</v>
      </c>
      <c r="R460" t="s">
        <v>196</v>
      </c>
      <c r="S460" t="s">
        <v>197</v>
      </c>
      <c r="T460" t="s">
        <v>57</v>
      </c>
      <c r="U460" s="1">
        <v>45901</v>
      </c>
      <c r="W460" s="1">
        <v>45992</v>
      </c>
      <c r="X460">
        <v>1</v>
      </c>
      <c r="Y460" t="s">
        <v>58</v>
      </c>
      <c r="Z460" s="2">
        <v>0</v>
      </c>
      <c r="AA460">
        <v>0</v>
      </c>
      <c r="AB460" t="s">
        <v>60</v>
      </c>
      <c r="AC460" t="s">
        <v>61</v>
      </c>
      <c r="AD460">
        <v>0</v>
      </c>
      <c r="AE460" s="2">
        <v>0</v>
      </c>
      <c r="AF460" s="2">
        <v>0</v>
      </c>
      <c r="AG460" s="3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45957</v>
      </c>
      <c r="B461" t="s">
        <v>48</v>
      </c>
      <c r="C461">
        <v>649163</v>
      </c>
      <c r="D461">
        <v>2030697179</v>
      </c>
      <c r="E461" t="s">
        <v>193</v>
      </c>
      <c r="F461" t="s">
        <v>194</v>
      </c>
      <c r="G461" t="s">
        <v>51</v>
      </c>
      <c r="H461" t="s">
        <v>195</v>
      </c>
      <c r="I461" s="2">
        <v>51.58</v>
      </c>
      <c r="J461" t="s">
        <v>59</v>
      </c>
      <c r="K461" s="3">
        <v>0.38</v>
      </c>
      <c r="L461" s="2">
        <v>19.600000000000001</v>
      </c>
      <c r="M461" s="2">
        <v>0</v>
      </c>
      <c r="N461" s="2">
        <v>0</v>
      </c>
      <c r="O461" t="s">
        <v>355</v>
      </c>
      <c r="P461" t="s">
        <v>356</v>
      </c>
      <c r="Q461">
        <v>885445</v>
      </c>
      <c r="R461" t="s">
        <v>196</v>
      </c>
      <c r="S461" t="s">
        <v>197</v>
      </c>
      <c r="T461" t="s">
        <v>57</v>
      </c>
      <c r="U461" s="1">
        <v>45901</v>
      </c>
      <c r="W461" s="1">
        <v>45992</v>
      </c>
      <c r="X461">
        <v>1</v>
      </c>
      <c r="Y461" t="s">
        <v>58</v>
      </c>
      <c r="Z461" s="2">
        <v>0</v>
      </c>
      <c r="AA461">
        <v>0</v>
      </c>
      <c r="AB461" t="s">
        <v>60</v>
      </c>
      <c r="AC461" t="s">
        <v>61</v>
      </c>
      <c r="AD461">
        <v>0</v>
      </c>
      <c r="AE461" s="2">
        <v>0</v>
      </c>
      <c r="AF461" s="2">
        <v>0</v>
      </c>
      <c r="AG461" s="3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45957</v>
      </c>
      <c r="B462" t="s">
        <v>48</v>
      </c>
      <c r="C462">
        <v>649163</v>
      </c>
      <c r="D462">
        <v>2030699751</v>
      </c>
      <c r="E462" t="s">
        <v>711</v>
      </c>
      <c r="F462" t="s">
        <v>357</v>
      </c>
      <c r="G462" t="s">
        <v>51</v>
      </c>
      <c r="H462" t="s">
        <v>195</v>
      </c>
      <c r="I462" s="2">
        <v>55.16</v>
      </c>
      <c r="J462" t="s">
        <v>59</v>
      </c>
      <c r="K462" s="3">
        <v>0.38</v>
      </c>
      <c r="L462" s="2">
        <v>20.96</v>
      </c>
      <c r="M462" s="2">
        <v>0</v>
      </c>
      <c r="N462" s="2">
        <v>0</v>
      </c>
      <c r="O462" t="s">
        <v>355</v>
      </c>
      <c r="P462" t="s">
        <v>356</v>
      </c>
      <c r="Q462">
        <v>650218</v>
      </c>
      <c r="R462" t="s">
        <v>357</v>
      </c>
      <c r="S462" t="s">
        <v>358</v>
      </c>
      <c r="T462" t="s">
        <v>57</v>
      </c>
      <c r="U462" s="1">
        <v>45901</v>
      </c>
      <c r="W462" s="1">
        <v>45992</v>
      </c>
      <c r="X462">
        <v>1</v>
      </c>
      <c r="Y462" t="s">
        <v>58</v>
      </c>
      <c r="Z462" s="2">
        <v>0</v>
      </c>
      <c r="AA462">
        <v>0</v>
      </c>
      <c r="AB462" t="s">
        <v>60</v>
      </c>
      <c r="AC462" t="s">
        <v>61</v>
      </c>
      <c r="AD462">
        <v>0</v>
      </c>
      <c r="AE462" s="2">
        <v>0</v>
      </c>
      <c r="AF462" s="2">
        <v>0</v>
      </c>
      <c r="AG462" s="3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45957</v>
      </c>
      <c r="B463" t="s">
        <v>48</v>
      </c>
      <c r="C463">
        <v>649163</v>
      </c>
      <c r="D463">
        <v>2030707329</v>
      </c>
      <c r="E463" t="s">
        <v>198</v>
      </c>
      <c r="F463" t="s">
        <v>199</v>
      </c>
      <c r="G463" t="s">
        <v>51</v>
      </c>
      <c r="H463" t="s">
        <v>92</v>
      </c>
      <c r="I463" s="2">
        <v>31.07</v>
      </c>
      <c r="J463" t="s">
        <v>59</v>
      </c>
      <c r="K463" s="3">
        <v>0.38</v>
      </c>
      <c r="L463" s="2">
        <v>11.81</v>
      </c>
      <c r="M463" s="2">
        <v>0</v>
      </c>
      <c r="N463" s="2">
        <v>0</v>
      </c>
      <c r="O463" t="s">
        <v>355</v>
      </c>
      <c r="P463" t="s">
        <v>356</v>
      </c>
      <c r="Q463">
        <v>756418</v>
      </c>
      <c r="R463" t="s">
        <v>191</v>
      </c>
      <c r="S463" t="s">
        <v>192</v>
      </c>
      <c r="T463" t="s">
        <v>57</v>
      </c>
      <c r="U463" s="1">
        <v>45896</v>
      </c>
      <c r="W463" s="1">
        <v>45988</v>
      </c>
      <c r="X463">
        <v>1</v>
      </c>
      <c r="Y463" t="s">
        <v>58</v>
      </c>
      <c r="Z463" s="2">
        <v>0</v>
      </c>
      <c r="AA463">
        <v>0</v>
      </c>
      <c r="AB463" t="s">
        <v>60</v>
      </c>
      <c r="AC463" t="s">
        <v>61</v>
      </c>
      <c r="AD463">
        <v>0</v>
      </c>
      <c r="AE463" s="2">
        <v>0</v>
      </c>
      <c r="AF463" s="2">
        <v>0</v>
      </c>
      <c r="AG463" s="3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45957</v>
      </c>
      <c r="B464" t="s">
        <v>48</v>
      </c>
      <c r="C464">
        <v>649163</v>
      </c>
      <c r="D464">
        <v>2030791104</v>
      </c>
      <c r="E464" t="s">
        <v>192</v>
      </c>
      <c r="F464" t="s">
        <v>557</v>
      </c>
      <c r="G464" t="s">
        <v>51</v>
      </c>
      <c r="H464" t="s">
        <v>195</v>
      </c>
      <c r="I464" s="2">
        <v>91.37</v>
      </c>
      <c r="J464" t="s">
        <v>59</v>
      </c>
      <c r="K464" s="3">
        <v>0.38</v>
      </c>
      <c r="L464" s="2">
        <v>34.72</v>
      </c>
      <c r="M464" s="2">
        <v>0</v>
      </c>
      <c r="N464" s="2">
        <v>0</v>
      </c>
      <c r="O464" t="s">
        <v>355</v>
      </c>
      <c r="P464" t="s">
        <v>443</v>
      </c>
      <c r="Q464">
        <v>885445</v>
      </c>
      <c r="R464" t="s">
        <v>196</v>
      </c>
      <c r="S464" t="s">
        <v>197</v>
      </c>
      <c r="T464" t="s">
        <v>57</v>
      </c>
      <c r="U464" s="1">
        <v>45901</v>
      </c>
      <c r="W464" s="1">
        <v>45992</v>
      </c>
      <c r="X464">
        <v>1</v>
      </c>
      <c r="Y464" t="s">
        <v>58</v>
      </c>
      <c r="Z464" s="2">
        <v>0</v>
      </c>
      <c r="AA464">
        <v>0</v>
      </c>
      <c r="AB464" t="s">
        <v>60</v>
      </c>
      <c r="AC464" t="s">
        <v>61</v>
      </c>
      <c r="AD464">
        <v>0</v>
      </c>
      <c r="AE464" s="2">
        <v>0</v>
      </c>
      <c r="AF464" s="2">
        <v>0</v>
      </c>
      <c r="AG464" s="3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45957</v>
      </c>
      <c r="B465" t="s">
        <v>48</v>
      </c>
      <c r="C465">
        <v>649163</v>
      </c>
      <c r="D465">
        <v>2031255008</v>
      </c>
      <c r="E465" t="s">
        <v>253</v>
      </c>
      <c r="F465" t="s">
        <v>254</v>
      </c>
      <c r="G465" t="s">
        <v>51</v>
      </c>
      <c r="H465" t="s">
        <v>69</v>
      </c>
      <c r="I465" s="2">
        <v>328.85</v>
      </c>
      <c r="J465" t="s">
        <v>238</v>
      </c>
      <c r="K465" s="3">
        <v>0.38</v>
      </c>
      <c r="L465" s="2">
        <v>124.96</v>
      </c>
      <c r="M465" s="2">
        <v>0</v>
      </c>
      <c r="N465" s="2">
        <v>0</v>
      </c>
      <c r="O465" t="s">
        <v>355</v>
      </c>
      <c r="P465" t="s">
        <v>443</v>
      </c>
      <c r="Q465">
        <v>812994</v>
      </c>
      <c r="R465" t="s">
        <v>228</v>
      </c>
      <c r="S465" t="s">
        <v>229</v>
      </c>
      <c r="T465" t="s">
        <v>57</v>
      </c>
      <c r="U465" s="1">
        <v>45925</v>
      </c>
      <c r="W465" s="1">
        <v>45986</v>
      </c>
      <c r="X465">
        <v>1</v>
      </c>
      <c r="Y465" t="s">
        <v>58</v>
      </c>
      <c r="Z465" s="2">
        <v>0</v>
      </c>
      <c r="AA465">
        <v>0</v>
      </c>
      <c r="AB465" t="s">
        <v>60</v>
      </c>
      <c r="AC465" t="s">
        <v>61</v>
      </c>
      <c r="AD465">
        <v>0</v>
      </c>
      <c r="AE465" s="2">
        <v>0</v>
      </c>
      <c r="AF465" s="2">
        <v>0</v>
      </c>
      <c r="AG465" s="3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45957</v>
      </c>
      <c r="B466" t="s">
        <v>48</v>
      </c>
      <c r="C466">
        <v>649163</v>
      </c>
      <c r="D466">
        <v>2031255009</v>
      </c>
      <c r="E466" t="s">
        <v>253</v>
      </c>
      <c r="F466" t="s">
        <v>254</v>
      </c>
      <c r="G466" t="s">
        <v>51</v>
      </c>
      <c r="H466" t="s">
        <v>69</v>
      </c>
      <c r="I466" s="2">
        <v>7.09</v>
      </c>
      <c r="J466" t="s">
        <v>238</v>
      </c>
      <c r="K466" s="3">
        <v>0.38</v>
      </c>
      <c r="L466" s="2">
        <v>2.69</v>
      </c>
      <c r="M466" s="2">
        <v>0</v>
      </c>
      <c r="N466" s="2">
        <v>0</v>
      </c>
      <c r="O466" t="s">
        <v>355</v>
      </c>
      <c r="P466" t="s">
        <v>444</v>
      </c>
      <c r="Q466">
        <v>812994</v>
      </c>
      <c r="R466" t="s">
        <v>228</v>
      </c>
      <c r="S466" t="s">
        <v>229</v>
      </c>
      <c r="T466" t="s">
        <v>57</v>
      </c>
      <c r="U466" s="1">
        <v>45925</v>
      </c>
      <c r="W466" s="1">
        <v>45986</v>
      </c>
      <c r="X466">
        <v>1</v>
      </c>
      <c r="Y466" t="s">
        <v>58</v>
      </c>
      <c r="Z466" s="2">
        <v>0</v>
      </c>
      <c r="AA466">
        <v>0</v>
      </c>
      <c r="AB466" t="s">
        <v>60</v>
      </c>
      <c r="AC466" t="s">
        <v>61</v>
      </c>
      <c r="AD466">
        <v>0</v>
      </c>
      <c r="AE466" s="2">
        <v>0</v>
      </c>
      <c r="AF466" s="2">
        <v>0</v>
      </c>
      <c r="AG466" s="3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45957</v>
      </c>
      <c r="B467" t="s">
        <v>48</v>
      </c>
      <c r="C467">
        <v>649163</v>
      </c>
      <c r="D467">
        <v>2016328595</v>
      </c>
      <c r="E467" t="s">
        <v>558</v>
      </c>
      <c r="F467" t="s">
        <v>342</v>
      </c>
      <c r="G467" t="s">
        <v>51</v>
      </c>
      <c r="H467" t="s">
        <v>559</v>
      </c>
      <c r="I467" s="2">
        <v>42.47</v>
      </c>
      <c r="J467" t="s">
        <v>59</v>
      </c>
      <c r="K467" s="3">
        <v>0.06</v>
      </c>
      <c r="L467" s="2">
        <v>0</v>
      </c>
      <c r="M467" s="2">
        <v>2.5499999999999998</v>
      </c>
      <c r="N467" s="2">
        <v>2.5499999999999998</v>
      </c>
      <c r="O467" t="s">
        <v>378</v>
      </c>
      <c r="P467" t="s">
        <v>379</v>
      </c>
      <c r="Q467">
        <v>651818</v>
      </c>
      <c r="R467" t="s">
        <v>560</v>
      </c>
      <c r="S467" t="s">
        <v>336</v>
      </c>
      <c r="T467" t="s">
        <v>57</v>
      </c>
      <c r="U467" s="1">
        <v>44829</v>
      </c>
      <c r="W467" s="1">
        <v>45986</v>
      </c>
      <c r="X467">
        <v>1</v>
      </c>
      <c r="Y467" t="s">
        <v>58</v>
      </c>
      <c r="Z467" s="2">
        <v>0</v>
      </c>
      <c r="AA467">
        <v>0</v>
      </c>
      <c r="AB467" t="s">
        <v>264</v>
      </c>
      <c r="AC467" t="s">
        <v>61</v>
      </c>
      <c r="AD467">
        <v>0</v>
      </c>
      <c r="AE467" s="2">
        <v>0</v>
      </c>
      <c r="AF467" s="2">
        <v>0</v>
      </c>
      <c r="AG467" s="3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45957</v>
      </c>
      <c r="B468" t="s">
        <v>48</v>
      </c>
      <c r="C468">
        <v>649163</v>
      </c>
      <c r="D468">
        <v>2016956446</v>
      </c>
      <c r="E468" t="s">
        <v>715</v>
      </c>
      <c r="F468" t="s">
        <v>98</v>
      </c>
      <c r="G468" t="s">
        <v>51</v>
      </c>
      <c r="H468" t="s">
        <v>52</v>
      </c>
      <c r="I468" s="2">
        <v>136.49</v>
      </c>
      <c r="J468" t="s">
        <v>59</v>
      </c>
      <c r="K468" s="3">
        <v>0.06</v>
      </c>
      <c r="L468" s="2">
        <v>0</v>
      </c>
      <c r="M468" s="2">
        <v>8.19</v>
      </c>
      <c r="N468" s="2">
        <v>8.19</v>
      </c>
      <c r="O468" t="s">
        <v>378</v>
      </c>
      <c r="P468" t="s">
        <v>379</v>
      </c>
      <c r="Q468">
        <v>649793</v>
      </c>
      <c r="R468" t="s">
        <v>55</v>
      </c>
      <c r="S468" t="s">
        <v>566</v>
      </c>
      <c r="T468" t="s">
        <v>57</v>
      </c>
      <c r="U468" s="1">
        <v>44958</v>
      </c>
      <c r="W468" s="1">
        <v>45992</v>
      </c>
      <c r="X468">
        <v>1</v>
      </c>
      <c r="Y468" t="s">
        <v>58</v>
      </c>
      <c r="Z468" s="2">
        <v>0</v>
      </c>
      <c r="AA468">
        <v>0</v>
      </c>
      <c r="AB468" t="s">
        <v>264</v>
      </c>
      <c r="AC468" t="s">
        <v>61</v>
      </c>
      <c r="AD468">
        <v>0</v>
      </c>
      <c r="AE468" s="2">
        <v>0</v>
      </c>
      <c r="AF468" s="2">
        <v>0</v>
      </c>
      <c r="AG468" s="3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45957</v>
      </c>
      <c r="B469" t="s">
        <v>48</v>
      </c>
      <c r="C469">
        <v>649163</v>
      </c>
      <c r="D469">
        <v>2017340031</v>
      </c>
      <c r="E469" t="s">
        <v>484</v>
      </c>
      <c r="F469" t="s">
        <v>415</v>
      </c>
      <c r="G469" t="s">
        <v>51</v>
      </c>
      <c r="H469" t="s">
        <v>195</v>
      </c>
      <c r="I469" s="2">
        <v>89</v>
      </c>
      <c r="J469" t="s">
        <v>59</v>
      </c>
      <c r="K469" s="3">
        <v>0.06</v>
      </c>
      <c r="L469" s="2">
        <v>0</v>
      </c>
      <c r="M469" s="2">
        <v>5.34</v>
      </c>
      <c r="N469" s="2">
        <v>5.34</v>
      </c>
      <c r="O469" t="s">
        <v>378</v>
      </c>
      <c r="P469" t="s">
        <v>379</v>
      </c>
      <c r="Q469">
        <v>652037</v>
      </c>
      <c r="R469" t="s">
        <v>155</v>
      </c>
      <c r="S469" t="s">
        <v>156</v>
      </c>
      <c r="T469" t="s">
        <v>57</v>
      </c>
      <c r="U469" s="1">
        <v>44958</v>
      </c>
      <c r="W469" s="1">
        <v>45992</v>
      </c>
      <c r="X469">
        <v>1</v>
      </c>
      <c r="Y469" t="s">
        <v>58</v>
      </c>
      <c r="Z469" s="2">
        <v>0</v>
      </c>
      <c r="AA469">
        <v>0</v>
      </c>
      <c r="AB469" t="s">
        <v>264</v>
      </c>
      <c r="AC469" t="s">
        <v>61</v>
      </c>
      <c r="AD469">
        <v>0</v>
      </c>
      <c r="AE469" s="2">
        <v>0</v>
      </c>
      <c r="AF469" s="2">
        <v>0</v>
      </c>
      <c r="AG469" s="3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45957</v>
      </c>
      <c r="B470" t="s">
        <v>48</v>
      </c>
      <c r="C470">
        <v>649163</v>
      </c>
      <c r="D470">
        <v>2017377178</v>
      </c>
      <c r="E470" t="s">
        <v>331</v>
      </c>
      <c r="F470" t="s">
        <v>821</v>
      </c>
      <c r="G470" t="s">
        <v>51</v>
      </c>
      <c r="H470" t="s">
        <v>69</v>
      </c>
      <c r="I470" s="2">
        <v>45.2</v>
      </c>
      <c r="J470" t="s">
        <v>59</v>
      </c>
      <c r="K470" s="3">
        <v>0.06</v>
      </c>
      <c r="L470" s="2">
        <v>0</v>
      </c>
      <c r="M470" s="2">
        <v>2.71</v>
      </c>
      <c r="N470" s="2">
        <v>2.71</v>
      </c>
      <c r="O470" t="s">
        <v>378</v>
      </c>
      <c r="P470" t="s">
        <v>379</v>
      </c>
      <c r="Q470">
        <v>651818</v>
      </c>
      <c r="R470" t="s">
        <v>560</v>
      </c>
      <c r="S470" t="s">
        <v>336</v>
      </c>
      <c r="T470" t="s">
        <v>57</v>
      </c>
      <c r="U470" s="1">
        <v>44958</v>
      </c>
      <c r="W470" s="1">
        <v>45992</v>
      </c>
      <c r="X470">
        <v>1</v>
      </c>
      <c r="Y470" t="s">
        <v>58</v>
      </c>
      <c r="Z470" s="2">
        <v>0</v>
      </c>
      <c r="AA470">
        <v>0</v>
      </c>
      <c r="AB470" t="s">
        <v>264</v>
      </c>
      <c r="AC470" t="s">
        <v>61</v>
      </c>
      <c r="AD470">
        <v>0</v>
      </c>
      <c r="AE470" s="2">
        <v>0</v>
      </c>
      <c r="AF470" s="2">
        <v>0</v>
      </c>
      <c r="AG470" s="3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45957</v>
      </c>
      <c r="B471" t="s">
        <v>48</v>
      </c>
      <c r="C471">
        <v>649163</v>
      </c>
      <c r="D471">
        <v>2017416713</v>
      </c>
      <c r="E471" t="s">
        <v>722</v>
      </c>
      <c r="F471" t="s">
        <v>723</v>
      </c>
      <c r="G471" t="s">
        <v>51</v>
      </c>
      <c r="H471" t="s">
        <v>261</v>
      </c>
      <c r="I471" s="2">
        <v>17.21</v>
      </c>
      <c r="J471" t="s">
        <v>59</v>
      </c>
      <c r="K471" s="3">
        <v>0.06</v>
      </c>
      <c r="L471" s="2">
        <v>0</v>
      </c>
      <c r="M471" s="2">
        <v>1.03</v>
      </c>
      <c r="N471" s="2">
        <v>1.03</v>
      </c>
      <c r="O471" t="s">
        <v>378</v>
      </c>
      <c r="P471" t="s">
        <v>379</v>
      </c>
      <c r="Q471">
        <v>649793</v>
      </c>
      <c r="R471" t="s">
        <v>55</v>
      </c>
      <c r="S471" t="s">
        <v>566</v>
      </c>
      <c r="T471" t="s">
        <v>57</v>
      </c>
      <c r="U471" s="1">
        <v>44958</v>
      </c>
      <c r="W471" s="1">
        <v>45992</v>
      </c>
      <c r="X471">
        <v>1</v>
      </c>
      <c r="Y471" t="s">
        <v>58</v>
      </c>
      <c r="Z471" s="2">
        <v>0</v>
      </c>
      <c r="AA471">
        <v>0</v>
      </c>
      <c r="AB471" t="s">
        <v>264</v>
      </c>
      <c r="AC471" t="s">
        <v>61</v>
      </c>
      <c r="AD471">
        <v>0</v>
      </c>
      <c r="AE471" s="2">
        <v>0</v>
      </c>
      <c r="AF471" s="2">
        <v>0</v>
      </c>
      <c r="AG471" s="3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45957</v>
      </c>
      <c r="B472" t="s">
        <v>48</v>
      </c>
      <c r="C472">
        <v>649163</v>
      </c>
      <c r="D472">
        <v>2017420306</v>
      </c>
      <c r="E472" t="s">
        <v>724</v>
      </c>
      <c r="F472" t="s">
        <v>537</v>
      </c>
      <c r="G472" t="s">
        <v>51</v>
      </c>
      <c r="H472" t="s">
        <v>52</v>
      </c>
      <c r="I472" s="2">
        <v>52.62</v>
      </c>
      <c r="J472" t="s">
        <v>59</v>
      </c>
      <c r="K472" s="3">
        <v>0.06</v>
      </c>
      <c r="L472" s="2">
        <v>0</v>
      </c>
      <c r="M472" s="2">
        <v>3.16</v>
      </c>
      <c r="N472" s="2">
        <v>3.16</v>
      </c>
      <c r="O472" t="s">
        <v>378</v>
      </c>
      <c r="P472" t="s">
        <v>379</v>
      </c>
      <c r="Q472">
        <v>649793</v>
      </c>
      <c r="R472" t="s">
        <v>55</v>
      </c>
      <c r="S472" t="s">
        <v>566</v>
      </c>
      <c r="T472" t="s">
        <v>57</v>
      </c>
      <c r="U472" s="1">
        <v>44958</v>
      </c>
      <c r="W472" s="1">
        <v>45992</v>
      </c>
      <c r="X472">
        <v>1</v>
      </c>
      <c r="Y472" t="s">
        <v>58</v>
      </c>
      <c r="Z472" s="2">
        <v>0</v>
      </c>
      <c r="AA472">
        <v>0</v>
      </c>
      <c r="AB472" t="s">
        <v>264</v>
      </c>
      <c r="AC472" t="s">
        <v>61</v>
      </c>
      <c r="AD472">
        <v>0</v>
      </c>
      <c r="AE472" s="2">
        <v>0</v>
      </c>
      <c r="AF472" s="2">
        <v>0</v>
      </c>
      <c r="AG472" s="3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45957</v>
      </c>
      <c r="B473" t="s">
        <v>48</v>
      </c>
      <c r="C473">
        <v>649163</v>
      </c>
      <c r="D473">
        <v>2017521116</v>
      </c>
      <c r="E473" t="s">
        <v>725</v>
      </c>
      <c r="F473" t="s">
        <v>726</v>
      </c>
      <c r="G473" t="s">
        <v>51</v>
      </c>
      <c r="H473" t="s">
        <v>182</v>
      </c>
      <c r="I473" s="2">
        <v>40.65</v>
      </c>
      <c r="J473" t="s">
        <v>59</v>
      </c>
      <c r="K473" s="3">
        <v>0.06</v>
      </c>
      <c r="L473" s="2">
        <v>0</v>
      </c>
      <c r="M473" s="2">
        <v>2.44</v>
      </c>
      <c r="N473" s="2">
        <v>2.44</v>
      </c>
      <c r="O473" t="s">
        <v>378</v>
      </c>
      <c r="P473" t="s">
        <v>379</v>
      </c>
      <c r="Q473">
        <v>649793</v>
      </c>
      <c r="R473" t="s">
        <v>55</v>
      </c>
      <c r="S473" t="s">
        <v>566</v>
      </c>
      <c r="T473" t="s">
        <v>57</v>
      </c>
      <c r="U473" s="1">
        <v>44958</v>
      </c>
      <c r="W473" s="1">
        <v>45992</v>
      </c>
      <c r="X473">
        <v>1</v>
      </c>
      <c r="Y473" t="s">
        <v>58</v>
      </c>
      <c r="Z473" s="2">
        <v>0</v>
      </c>
      <c r="AA473">
        <v>0</v>
      </c>
      <c r="AB473" t="s">
        <v>264</v>
      </c>
      <c r="AC473" t="s">
        <v>61</v>
      </c>
      <c r="AD473">
        <v>0</v>
      </c>
      <c r="AE473" s="2">
        <v>0</v>
      </c>
      <c r="AF473" s="2">
        <v>0</v>
      </c>
      <c r="AG473" s="3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45957</v>
      </c>
      <c r="B474" t="s">
        <v>48</v>
      </c>
      <c r="C474">
        <v>649163</v>
      </c>
      <c r="D474">
        <v>2018032129</v>
      </c>
      <c r="E474" t="s">
        <v>822</v>
      </c>
      <c r="F474" t="s">
        <v>568</v>
      </c>
      <c r="G474" t="s">
        <v>51</v>
      </c>
      <c r="H474" t="s">
        <v>195</v>
      </c>
      <c r="I474" s="2">
        <v>49.98</v>
      </c>
      <c r="J474" t="s">
        <v>59</v>
      </c>
      <c r="K474" s="3">
        <v>0.06</v>
      </c>
      <c r="L474" s="2">
        <v>0</v>
      </c>
      <c r="M474" s="2">
        <v>3</v>
      </c>
      <c r="N474" s="2">
        <v>3</v>
      </c>
      <c r="O474" t="s">
        <v>378</v>
      </c>
      <c r="P474" t="s">
        <v>379</v>
      </c>
      <c r="Q474">
        <v>649247</v>
      </c>
      <c r="R474" t="s">
        <v>321</v>
      </c>
      <c r="S474" t="s">
        <v>322</v>
      </c>
      <c r="T474" t="s">
        <v>57</v>
      </c>
      <c r="U474" s="1">
        <v>45017</v>
      </c>
      <c r="W474" s="1">
        <v>45992</v>
      </c>
      <c r="X474">
        <v>1</v>
      </c>
      <c r="Y474" t="s">
        <v>58</v>
      </c>
      <c r="Z474" s="2">
        <v>0</v>
      </c>
      <c r="AA474">
        <v>0</v>
      </c>
      <c r="AB474" t="s">
        <v>264</v>
      </c>
      <c r="AC474" t="s">
        <v>61</v>
      </c>
      <c r="AD474">
        <v>0</v>
      </c>
      <c r="AE474" s="2">
        <v>0</v>
      </c>
      <c r="AF474" s="2">
        <v>0</v>
      </c>
      <c r="AG474" s="3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45957</v>
      </c>
      <c r="B475" t="s">
        <v>48</v>
      </c>
      <c r="C475">
        <v>649163</v>
      </c>
      <c r="D475">
        <v>2018114568</v>
      </c>
      <c r="E475" t="s">
        <v>823</v>
      </c>
      <c r="F475" t="s">
        <v>792</v>
      </c>
      <c r="G475" t="s">
        <v>51</v>
      </c>
      <c r="H475" t="s">
        <v>195</v>
      </c>
      <c r="I475" s="2">
        <v>15.88</v>
      </c>
      <c r="J475" t="s">
        <v>59</v>
      </c>
      <c r="K475" s="3">
        <v>0.06</v>
      </c>
      <c r="L475" s="2">
        <v>0</v>
      </c>
      <c r="M475" s="2">
        <v>0.95</v>
      </c>
      <c r="N475" s="2">
        <v>0.95</v>
      </c>
      <c r="O475" t="s">
        <v>378</v>
      </c>
      <c r="P475" t="s">
        <v>379</v>
      </c>
      <c r="Q475">
        <v>649247</v>
      </c>
      <c r="R475" t="s">
        <v>321</v>
      </c>
      <c r="S475" t="s">
        <v>322</v>
      </c>
      <c r="T475" t="s">
        <v>57</v>
      </c>
      <c r="U475" s="1">
        <v>45017</v>
      </c>
      <c r="W475" s="1">
        <v>45992</v>
      </c>
      <c r="X475">
        <v>1</v>
      </c>
      <c r="Y475" t="s">
        <v>58</v>
      </c>
      <c r="Z475" s="2">
        <v>0</v>
      </c>
      <c r="AA475">
        <v>0</v>
      </c>
      <c r="AB475" t="s">
        <v>264</v>
      </c>
      <c r="AC475" t="s">
        <v>61</v>
      </c>
      <c r="AD475">
        <v>0</v>
      </c>
      <c r="AE475" s="2">
        <v>0</v>
      </c>
      <c r="AF475" s="2">
        <v>0</v>
      </c>
      <c r="AG475" s="3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45957</v>
      </c>
      <c r="B476" t="s">
        <v>48</v>
      </c>
      <c r="C476">
        <v>649163</v>
      </c>
      <c r="D476">
        <v>2018491279</v>
      </c>
      <c r="E476" t="s">
        <v>824</v>
      </c>
      <c r="F476" t="s">
        <v>232</v>
      </c>
      <c r="G476" t="s">
        <v>51</v>
      </c>
      <c r="H476" t="s">
        <v>195</v>
      </c>
      <c r="I476" s="2">
        <v>101.58</v>
      </c>
      <c r="J476" t="s">
        <v>59</v>
      </c>
      <c r="K476" s="3">
        <v>0.06</v>
      </c>
      <c r="L476" s="2">
        <v>0</v>
      </c>
      <c r="M476" s="2">
        <v>6.09</v>
      </c>
      <c r="N476" s="2">
        <v>6.09</v>
      </c>
      <c r="O476" t="s">
        <v>378</v>
      </c>
      <c r="P476" t="s">
        <v>379</v>
      </c>
      <c r="Q476">
        <v>678320</v>
      </c>
      <c r="R476" t="s">
        <v>317</v>
      </c>
      <c r="S476" t="s">
        <v>318</v>
      </c>
      <c r="T476" t="s">
        <v>57</v>
      </c>
      <c r="U476" s="1">
        <v>45046</v>
      </c>
      <c r="W476" s="1">
        <v>45991</v>
      </c>
      <c r="X476">
        <v>1</v>
      </c>
      <c r="Y476" t="s">
        <v>58</v>
      </c>
      <c r="Z476" s="2">
        <v>0</v>
      </c>
      <c r="AA476">
        <v>0</v>
      </c>
      <c r="AB476" t="s">
        <v>264</v>
      </c>
      <c r="AC476" t="s">
        <v>61</v>
      </c>
      <c r="AD476">
        <v>0</v>
      </c>
      <c r="AE476" s="2">
        <v>0</v>
      </c>
      <c r="AF476" s="2">
        <v>0</v>
      </c>
      <c r="AG476" s="3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45957</v>
      </c>
      <c r="B477" t="s">
        <v>48</v>
      </c>
      <c r="C477">
        <v>649163</v>
      </c>
      <c r="D477">
        <v>2018749140</v>
      </c>
      <c r="E477" t="s">
        <v>825</v>
      </c>
      <c r="F477" t="s">
        <v>826</v>
      </c>
      <c r="G477" t="s">
        <v>51</v>
      </c>
      <c r="H477" t="s">
        <v>195</v>
      </c>
      <c r="I477" s="2">
        <v>35.979999999999997</v>
      </c>
      <c r="J477" t="s">
        <v>59</v>
      </c>
      <c r="K477" s="3">
        <v>0.06</v>
      </c>
      <c r="L477" s="2">
        <v>0</v>
      </c>
      <c r="M477" s="2">
        <v>2.16</v>
      </c>
      <c r="N477" s="2">
        <v>2.16</v>
      </c>
      <c r="O477" t="s">
        <v>378</v>
      </c>
      <c r="P477" t="s">
        <v>379</v>
      </c>
      <c r="Q477">
        <v>649164</v>
      </c>
      <c r="R477" t="s">
        <v>313</v>
      </c>
      <c r="S477" t="s">
        <v>314</v>
      </c>
      <c r="T477" t="s">
        <v>57</v>
      </c>
      <c r="U477" s="1">
        <v>45078</v>
      </c>
      <c r="W477" s="1">
        <v>45992</v>
      </c>
      <c r="X477">
        <v>1</v>
      </c>
      <c r="Y477" t="s">
        <v>58</v>
      </c>
      <c r="Z477" s="2">
        <v>0</v>
      </c>
      <c r="AA477">
        <v>0</v>
      </c>
      <c r="AB477" t="s">
        <v>264</v>
      </c>
      <c r="AC477" t="s">
        <v>61</v>
      </c>
      <c r="AD477">
        <v>0</v>
      </c>
      <c r="AE477" s="2">
        <v>0</v>
      </c>
      <c r="AF477" s="2">
        <v>0</v>
      </c>
      <c r="AG477" s="3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45957</v>
      </c>
      <c r="B478" t="s">
        <v>48</v>
      </c>
      <c r="C478">
        <v>649163</v>
      </c>
      <c r="D478">
        <v>2019882011</v>
      </c>
      <c r="E478" t="s">
        <v>641</v>
      </c>
      <c r="F478" t="s">
        <v>827</v>
      </c>
      <c r="G478" t="s">
        <v>51</v>
      </c>
      <c r="H478" t="s">
        <v>195</v>
      </c>
      <c r="I478" s="2">
        <v>30.12</v>
      </c>
      <c r="J478" t="s">
        <v>59</v>
      </c>
      <c r="K478" s="3">
        <v>0.06</v>
      </c>
      <c r="L478" s="2">
        <v>0</v>
      </c>
      <c r="M478" s="2">
        <v>1.81</v>
      </c>
      <c r="N478" s="2">
        <v>1.81</v>
      </c>
      <c r="O478" t="s">
        <v>378</v>
      </c>
      <c r="P478" t="s">
        <v>379</v>
      </c>
      <c r="Q478">
        <v>678320</v>
      </c>
      <c r="R478" t="s">
        <v>317</v>
      </c>
      <c r="S478" t="s">
        <v>318</v>
      </c>
      <c r="T478" t="s">
        <v>57</v>
      </c>
      <c r="U478" s="1">
        <v>45170</v>
      </c>
      <c r="W478" s="1">
        <v>45992</v>
      </c>
      <c r="X478">
        <v>1</v>
      </c>
      <c r="Y478" t="s">
        <v>58</v>
      </c>
      <c r="Z478" s="2">
        <v>0</v>
      </c>
      <c r="AA478">
        <v>0</v>
      </c>
      <c r="AB478" t="s">
        <v>264</v>
      </c>
      <c r="AC478" t="s">
        <v>61</v>
      </c>
      <c r="AD478">
        <v>0</v>
      </c>
      <c r="AE478" s="2">
        <v>0</v>
      </c>
      <c r="AF478" s="2">
        <v>0</v>
      </c>
      <c r="AG478" s="3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45957</v>
      </c>
      <c r="B479" t="s">
        <v>48</v>
      </c>
      <c r="C479">
        <v>649163</v>
      </c>
      <c r="D479">
        <v>2019896234</v>
      </c>
      <c r="E479" t="s">
        <v>828</v>
      </c>
      <c r="F479" t="s">
        <v>788</v>
      </c>
      <c r="G479" t="s">
        <v>51</v>
      </c>
      <c r="H479" t="s">
        <v>195</v>
      </c>
      <c r="I479" s="2">
        <v>30.12</v>
      </c>
      <c r="J479" t="s">
        <v>59</v>
      </c>
      <c r="K479" s="3">
        <v>0.06</v>
      </c>
      <c r="L479" s="2">
        <v>0</v>
      </c>
      <c r="M479" s="2">
        <v>1.81</v>
      </c>
      <c r="N479" s="2">
        <v>1.81</v>
      </c>
      <c r="O479" t="s">
        <v>378</v>
      </c>
      <c r="P479" t="s">
        <v>379</v>
      </c>
      <c r="Q479">
        <v>702406</v>
      </c>
      <c r="R479" t="s">
        <v>489</v>
      </c>
      <c r="S479" t="s">
        <v>490</v>
      </c>
      <c r="T479" t="s">
        <v>57</v>
      </c>
      <c r="U479" s="1">
        <v>45169</v>
      </c>
      <c r="W479" s="1">
        <v>45991</v>
      </c>
      <c r="X479">
        <v>1</v>
      </c>
      <c r="Y479" t="s">
        <v>58</v>
      </c>
      <c r="Z479" s="2">
        <v>0</v>
      </c>
      <c r="AA479">
        <v>0</v>
      </c>
      <c r="AB479" t="s">
        <v>264</v>
      </c>
      <c r="AC479" t="s">
        <v>61</v>
      </c>
      <c r="AD479">
        <v>0</v>
      </c>
      <c r="AE479" s="2">
        <v>0</v>
      </c>
      <c r="AF479" s="2">
        <v>0</v>
      </c>
      <c r="AG479" s="3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45957</v>
      </c>
      <c r="B480" t="s">
        <v>48</v>
      </c>
      <c r="C480">
        <v>649163</v>
      </c>
      <c r="D480">
        <v>2019916726</v>
      </c>
      <c r="E480" t="s">
        <v>554</v>
      </c>
      <c r="F480" t="s">
        <v>829</v>
      </c>
      <c r="G480" t="s">
        <v>51</v>
      </c>
      <c r="H480" t="s">
        <v>195</v>
      </c>
      <c r="I480" s="2">
        <v>30.12</v>
      </c>
      <c r="J480" t="s">
        <v>59</v>
      </c>
      <c r="K480" s="3">
        <v>0.06</v>
      </c>
      <c r="L480" s="2">
        <v>0</v>
      </c>
      <c r="M480" s="2">
        <v>1.81</v>
      </c>
      <c r="N480" s="2">
        <v>1.81</v>
      </c>
      <c r="O480" t="s">
        <v>378</v>
      </c>
      <c r="P480" t="s">
        <v>379</v>
      </c>
      <c r="Q480">
        <v>702406</v>
      </c>
      <c r="R480" t="s">
        <v>489</v>
      </c>
      <c r="S480" t="s">
        <v>490</v>
      </c>
      <c r="T480" t="s">
        <v>57</v>
      </c>
      <c r="U480" s="1">
        <v>45170</v>
      </c>
      <c r="W480" s="1">
        <v>45992</v>
      </c>
      <c r="X480">
        <v>1</v>
      </c>
      <c r="Y480" t="s">
        <v>58</v>
      </c>
      <c r="Z480" s="2">
        <v>0</v>
      </c>
      <c r="AA480">
        <v>0</v>
      </c>
      <c r="AB480" t="s">
        <v>264</v>
      </c>
      <c r="AC480" t="s">
        <v>61</v>
      </c>
      <c r="AD480">
        <v>0</v>
      </c>
      <c r="AE480" s="2">
        <v>0</v>
      </c>
      <c r="AF480" s="2">
        <v>0</v>
      </c>
      <c r="AG480" s="3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45957</v>
      </c>
      <c r="B481" t="s">
        <v>48</v>
      </c>
      <c r="C481">
        <v>649163</v>
      </c>
      <c r="D481">
        <v>2019934799</v>
      </c>
      <c r="E481" t="s">
        <v>576</v>
      </c>
      <c r="F481" t="s">
        <v>385</v>
      </c>
      <c r="G481" t="s">
        <v>51</v>
      </c>
      <c r="H481" t="s">
        <v>742</v>
      </c>
      <c r="I481" s="2">
        <v>40.090000000000003</v>
      </c>
      <c r="J481" t="s">
        <v>59</v>
      </c>
      <c r="K481" s="3">
        <v>0.06</v>
      </c>
      <c r="L481" s="2">
        <v>0</v>
      </c>
      <c r="M481" s="2">
        <v>2.41</v>
      </c>
      <c r="N481" s="2">
        <v>2.41</v>
      </c>
      <c r="O481" t="s">
        <v>378</v>
      </c>
      <c r="P481" t="s">
        <v>379</v>
      </c>
      <c r="Q481">
        <v>651818</v>
      </c>
      <c r="R481" t="s">
        <v>560</v>
      </c>
      <c r="S481" t="s">
        <v>336</v>
      </c>
      <c r="T481" t="s">
        <v>57</v>
      </c>
      <c r="U481" s="1">
        <v>45170</v>
      </c>
      <c r="W481" s="1">
        <v>45992</v>
      </c>
      <c r="X481">
        <v>1</v>
      </c>
      <c r="Y481" t="s">
        <v>58</v>
      </c>
      <c r="Z481" s="2">
        <v>0</v>
      </c>
      <c r="AA481">
        <v>0</v>
      </c>
      <c r="AB481" t="s">
        <v>264</v>
      </c>
      <c r="AC481" t="s">
        <v>61</v>
      </c>
      <c r="AD481">
        <v>0</v>
      </c>
      <c r="AE481" s="2">
        <v>0</v>
      </c>
      <c r="AF481" s="2">
        <v>0</v>
      </c>
      <c r="AG481" s="3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45957</v>
      </c>
      <c r="B482" t="s">
        <v>48</v>
      </c>
      <c r="C482">
        <v>649163</v>
      </c>
      <c r="D482">
        <v>2019971559</v>
      </c>
      <c r="E482" t="s">
        <v>830</v>
      </c>
      <c r="F482" t="s">
        <v>831</v>
      </c>
      <c r="G482" t="s">
        <v>51</v>
      </c>
      <c r="H482" t="s">
        <v>195</v>
      </c>
      <c r="I482" s="2">
        <v>49.12</v>
      </c>
      <c r="J482" t="s">
        <v>59</v>
      </c>
      <c r="K482" s="3">
        <v>0.06</v>
      </c>
      <c r="L482" s="2">
        <v>0</v>
      </c>
      <c r="M482" s="2">
        <v>2.95</v>
      </c>
      <c r="N482" s="2">
        <v>2.95</v>
      </c>
      <c r="O482" t="s">
        <v>378</v>
      </c>
      <c r="P482" t="s">
        <v>379</v>
      </c>
      <c r="Q482">
        <v>678320</v>
      </c>
      <c r="R482" t="s">
        <v>317</v>
      </c>
      <c r="S482" t="s">
        <v>318</v>
      </c>
      <c r="T482" t="s">
        <v>57</v>
      </c>
      <c r="U482" s="1">
        <v>45163</v>
      </c>
      <c r="W482" s="1">
        <v>45986</v>
      </c>
      <c r="X482">
        <v>1</v>
      </c>
      <c r="Y482" t="s">
        <v>58</v>
      </c>
      <c r="Z482" s="2">
        <v>0</v>
      </c>
      <c r="AA482">
        <v>0</v>
      </c>
      <c r="AB482" t="s">
        <v>264</v>
      </c>
      <c r="AC482" t="s">
        <v>61</v>
      </c>
      <c r="AD482">
        <v>0</v>
      </c>
      <c r="AE482" s="2">
        <v>0</v>
      </c>
      <c r="AF482" s="2">
        <v>0</v>
      </c>
      <c r="AG482" s="3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45957</v>
      </c>
      <c r="B483" t="s">
        <v>48</v>
      </c>
      <c r="C483">
        <v>649163</v>
      </c>
      <c r="D483">
        <v>2020534056</v>
      </c>
      <c r="E483" t="s">
        <v>488</v>
      </c>
      <c r="F483" t="s">
        <v>98</v>
      </c>
      <c r="G483" t="s">
        <v>51</v>
      </c>
      <c r="H483" t="s">
        <v>195</v>
      </c>
      <c r="I483" s="2">
        <v>32.979999999999997</v>
      </c>
      <c r="J483" t="s">
        <v>59</v>
      </c>
      <c r="K483" s="3">
        <v>0.06</v>
      </c>
      <c r="L483" s="2">
        <v>0</v>
      </c>
      <c r="M483" s="2">
        <v>1.98</v>
      </c>
      <c r="N483" s="2">
        <v>1.98</v>
      </c>
      <c r="O483" t="s">
        <v>378</v>
      </c>
      <c r="P483" t="s">
        <v>379</v>
      </c>
      <c r="Q483">
        <v>702406</v>
      </c>
      <c r="R483" t="s">
        <v>489</v>
      </c>
      <c r="S483" t="s">
        <v>490</v>
      </c>
      <c r="T483" t="s">
        <v>57</v>
      </c>
      <c r="U483" s="1">
        <v>45224</v>
      </c>
      <c r="W483" s="1">
        <v>45986</v>
      </c>
      <c r="X483">
        <v>1</v>
      </c>
      <c r="Y483" t="s">
        <v>58</v>
      </c>
      <c r="Z483" s="2">
        <v>0</v>
      </c>
      <c r="AA483">
        <v>0</v>
      </c>
      <c r="AB483" t="s">
        <v>264</v>
      </c>
      <c r="AC483" t="s">
        <v>61</v>
      </c>
      <c r="AD483">
        <v>0</v>
      </c>
      <c r="AE483" s="2">
        <v>0</v>
      </c>
      <c r="AF483" s="2">
        <v>0</v>
      </c>
      <c r="AG483" s="3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45957</v>
      </c>
      <c r="B484" t="s">
        <v>48</v>
      </c>
      <c r="C484">
        <v>649163</v>
      </c>
      <c r="D484">
        <v>2021427320</v>
      </c>
      <c r="E484" t="s">
        <v>575</v>
      </c>
      <c r="F484" t="s">
        <v>103</v>
      </c>
      <c r="G484" t="s">
        <v>51</v>
      </c>
      <c r="H484" t="s">
        <v>261</v>
      </c>
      <c r="I484" s="2">
        <v>99.77</v>
      </c>
      <c r="J484" t="s">
        <v>59</v>
      </c>
      <c r="K484" s="3">
        <v>0.06</v>
      </c>
      <c r="L484" s="2">
        <v>0</v>
      </c>
      <c r="M484" s="2">
        <v>5.99</v>
      </c>
      <c r="N484" s="2">
        <v>5.99</v>
      </c>
      <c r="O484" t="s">
        <v>378</v>
      </c>
      <c r="P484" t="s">
        <v>379</v>
      </c>
      <c r="Q484">
        <v>673059</v>
      </c>
      <c r="R484" t="s">
        <v>55</v>
      </c>
      <c r="S484" t="s">
        <v>56</v>
      </c>
      <c r="T484" t="s">
        <v>57</v>
      </c>
      <c r="U484" s="1">
        <v>45351</v>
      </c>
      <c r="W484" s="1">
        <v>45990</v>
      </c>
      <c r="X484">
        <v>1</v>
      </c>
      <c r="Y484" t="s">
        <v>58</v>
      </c>
      <c r="Z484" s="2">
        <v>0</v>
      </c>
      <c r="AA484">
        <v>0</v>
      </c>
      <c r="AB484" t="s">
        <v>264</v>
      </c>
      <c r="AC484" t="s">
        <v>61</v>
      </c>
      <c r="AD484">
        <v>0</v>
      </c>
      <c r="AE484" s="2">
        <v>0</v>
      </c>
      <c r="AF484" s="2">
        <v>0</v>
      </c>
      <c r="AG484" s="3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45957</v>
      </c>
      <c r="B485" t="s">
        <v>48</v>
      </c>
      <c r="C485">
        <v>649163</v>
      </c>
      <c r="D485">
        <v>2021544238</v>
      </c>
      <c r="E485" t="s">
        <v>832</v>
      </c>
      <c r="F485" t="s">
        <v>833</v>
      </c>
      <c r="G485" t="s">
        <v>51</v>
      </c>
      <c r="H485" t="s">
        <v>195</v>
      </c>
      <c r="I485" s="2">
        <v>39.979999999999997</v>
      </c>
      <c r="J485" t="s">
        <v>59</v>
      </c>
      <c r="K485" s="3">
        <v>0.06</v>
      </c>
      <c r="L485" s="2">
        <v>0</v>
      </c>
      <c r="M485" s="2">
        <v>2.4</v>
      </c>
      <c r="N485" s="2">
        <v>2.4</v>
      </c>
      <c r="O485" t="s">
        <v>378</v>
      </c>
      <c r="P485" t="s">
        <v>379</v>
      </c>
      <c r="Q485">
        <v>649247</v>
      </c>
      <c r="R485" t="s">
        <v>321</v>
      </c>
      <c r="S485" t="s">
        <v>322</v>
      </c>
      <c r="T485" t="s">
        <v>57</v>
      </c>
      <c r="U485" s="1">
        <v>45317</v>
      </c>
      <c r="W485" s="1">
        <v>45987</v>
      </c>
      <c r="X485">
        <v>1</v>
      </c>
      <c r="Y485" t="s">
        <v>58</v>
      </c>
      <c r="Z485" s="2">
        <v>0</v>
      </c>
      <c r="AA485">
        <v>0</v>
      </c>
      <c r="AB485" t="s">
        <v>264</v>
      </c>
      <c r="AC485" t="s">
        <v>61</v>
      </c>
      <c r="AD485">
        <v>0</v>
      </c>
      <c r="AE485" s="2">
        <v>0</v>
      </c>
      <c r="AF485" s="2">
        <v>0</v>
      </c>
      <c r="AG485" s="3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45957</v>
      </c>
      <c r="B486" t="s">
        <v>48</v>
      </c>
      <c r="C486">
        <v>649163</v>
      </c>
      <c r="D486">
        <v>2022351918</v>
      </c>
      <c r="E486" t="s">
        <v>752</v>
      </c>
      <c r="F486" t="s">
        <v>106</v>
      </c>
      <c r="G486" t="s">
        <v>51</v>
      </c>
      <c r="H486" t="s">
        <v>69</v>
      </c>
      <c r="I486" s="2">
        <v>18.32</v>
      </c>
      <c r="J486" t="s">
        <v>59</v>
      </c>
      <c r="K486" s="3">
        <v>0.06</v>
      </c>
      <c r="L486" s="2">
        <v>0</v>
      </c>
      <c r="M486" s="2">
        <v>1.1000000000000001</v>
      </c>
      <c r="N486" s="2">
        <v>1.1000000000000001</v>
      </c>
      <c r="O486" t="s">
        <v>378</v>
      </c>
      <c r="P486" t="s">
        <v>379</v>
      </c>
      <c r="Q486">
        <v>673059</v>
      </c>
      <c r="R486" t="s">
        <v>55</v>
      </c>
      <c r="S486" t="s">
        <v>56</v>
      </c>
      <c r="T486" t="s">
        <v>57</v>
      </c>
      <c r="U486" s="1">
        <v>45383</v>
      </c>
      <c r="W486" s="1">
        <v>45992</v>
      </c>
      <c r="X486">
        <v>1</v>
      </c>
      <c r="Y486" t="s">
        <v>58</v>
      </c>
      <c r="Z486" s="2">
        <v>0</v>
      </c>
      <c r="AA486">
        <v>0</v>
      </c>
      <c r="AB486" t="s">
        <v>264</v>
      </c>
      <c r="AC486" t="s">
        <v>61</v>
      </c>
      <c r="AD486">
        <v>0</v>
      </c>
      <c r="AE486" s="2">
        <v>0</v>
      </c>
      <c r="AF486" s="2">
        <v>0</v>
      </c>
      <c r="AG486" s="3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45957</v>
      </c>
      <c r="B487" t="s">
        <v>48</v>
      </c>
      <c r="C487">
        <v>649163</v>
      </c>
      <c r="D487">
        <v>2022371780</v>
      </c>
      <c r="E487" t="s">
        <v>672</v>
      </c>
      <c r="F487" t="s">
        <v>524</v>
      </c>
      <c r="G487" t="s">
        <v>51</v>
      </c>
      <c r="H487" t="s">
        <v>52</v>
      </c>
      <c r="I487" s="2">
        <v>51.19</v>
      </c>
      <c r="J487" t="s">
        <v>59</v>
      </c>
      <c r="K487" s="3">
        <v>0.06</v>
      </c>
      <c r="L487" s="2">
        <v>0</v>
      </c>
      <c r="M487" s="2">
        <v>3.07</v>
      </c>
      <c r="N487" s="2">
        <v>3.07</v>
      </c>
      <c r="O487" t="s">
        <v>378</v>
      </c>
      <c r="P487" t="s">
        <v>379</v>
      </c>
      <c r="Q487">
        <v>673059</v>
      </c>
      <c r="R487" t="s">
        <v>55</v>
      </c>
      <c r="S487" t="s">
        <v>56</v>
      </c>
      <c r="T487" t="s">
        <v>57</v>
      </c>
      <c r="U487" s="1">
        <v>45383</v>
      </c>
      <c r="W487" s="1">
        <v>45992</v>
      </c>
      <c r="X487">
        <v>1</v>
      </c>
      <c r="Y487" t="s">
        <v>58</v>
      </c>
      <c r="Z487" s="2">
        <v>0</v>
      </c>
      <c r="AA487">
        <v>0</v>
      </c>
      <c r="AB487" t="s">
        <v>264</v>
      </c>
      <c r="AC487" t="s">
        <v>61</v>
      </c>
      <c r="AD487">
        <v>0</v>
      </c>
      <c r="AE487" s="2">
        <v>0</v>
      </c>
      <c r="AF487" s="2">
        <v>0</v>
      </c>
      <c r="AG487" s="3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45957</v>
      </c>
      <c r="B488" t="s">
        <v>48</v>
      </c>
      <c r="C488">
        <v>649163</v>
      </c>
      <c r="D488">
        <v>2022444747</v>
      </c>
      <c r="E488" t="s">
        <v>834</v>
      </c>
      <c r="F488" t="s">
        <v>835</v>
      </c>
      <c r="G488" t="s">
        <v>51</v>
      </c>
      <c r="H488" t="s">
        <v>195</v>
      </c>
      <c r="I488" s="2">
        <v>35.979999999999997</v>
      </c>
      <c r="J488" t="s">
        <v>59</v>
      </c>
      <c r="K488" s="3">
        <v>0.06</v>
      </c>
      <c r="L488" s="2">
        <v>0</v>
      </c>
      <c r="M488" s="2">
        <v>2.16</v>
      </c>
      <c r="N488" s="2">
        <v>2.16</v>
      </c>
      <c r="O488" t="s">
        <v>378</v>
      </c>
      <c r="P488" t="s">
        <v>379</v>
      </c>
      <c r="Q488">
        <v>649247</v>
      </c>
      <c r="R488" t="s">
        <v>321</v>
      </c>
      <c r="S488" t="s">
        <v>322</v>
      </c>
      <c r="T488" t="s">
        <v>57</v>
      </c>
      <c r="U488" s="1">
        <v>45383</v>
      </c>
      <c r="W488" s="1">
        <v>45992</v>
      </c>
      <c r="X488">
        <v>1</v>
      </c>
      <c r="Y488" t="s">
        <v>58</v>
      </c>
      <c r="Z488" s="2">
        <v>0</v>
      </c>
      <c r="AA488">
        <v>0</v>
      </c>
      <c r="AB488" t="s">
        <v>264</v>
      </c>
      <c r="AC488" t="s">
        <v>61</v>
      </c>
      <c r="AD488">
        <v>0</v>
      </c>
      <c r="AE488" s="2">
        <v>0</v>
      </c>
      <c r="AF488" s="2">
        <v>0</v>
      </c>
      <c r="AG488" s="3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45957</v>
      </c>
      <c r="B489" t="s">
        <v>48</v>
      </c>
      <c r="C489">
        <v>649163</v>
      </c>
      <c r="D489">
        <v>2022747854</v>
      </c>
      <c r="E489" t="s">
        <v>640</v>
      </c>
      <c r="F489" t="s">
        <v>617</v>
      </c>
      <c r="G489" t="s">
        <v>51</v>
      </c>
      <c r="H489" t="s">
        <v>195</v>
      </c>
      <c r="I489" s="2">
        <v>36.11</v>
      </c>
      <c r="J489" t="s">
        <v>59</v>
      </c>
      <c r="K489" s="3">
        <v>0.06</v>
      </c>
      <c r="L489" s="2">
        <v>0</v>
      </c>
      <c r="M489" s="2">
        <v>2.17</v>
      </c>
      <c r="N489" s="2">
        <v>2.17</v>
      </c>
      <c r="O489" t="s">
        <v>378</v>
      </c>
      <c r="P489" t="s">
        <v>379</v>
      </c>
      <c r="Q489">
        <v>751867</v>
      </c>
      <c r="R489" t="s">
        <v>349</v>
      </c>
      <c r="S489" t="s">
        <v>312</v>
      </c>
      <c r="T489" t="s">
        <v>57</v>
      </c>
      <c r="U489" s="1">
        <v>45413</v>
      </c>
      <c r="W489" s="1">
        <v>45962</v>
      </c>
      <c r="X489">
        <v>1</v>
      </c>
      <c r="Y489" t="s">
        <v>58</v>
      </c>
      <c r="Z489" s="2">
        <v>0</v>
      </c>
      <c r="AA489">
        <v>0</v>
      </c>
      <c r="AB489" t="s">
        <v>264</v>
      </c>
      <c r="AC489" t="s">
        <v>61</v>
      </c>
      <c r="AD489">
        <v>0</v>
      </c>
      <c r="AE489" s="2">
        <v>0</v>
      </c>
      <c r="AF489" s="2">
        <v>0</v>
      </c>
      <c r="AG489" s="3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45957</v>
      </c>
      <c r="B490" t="s">
        <v>48</v>
      </c>
      <c r="C490">
        <v>649163</v>
      </c>
      <c r="D490">
        <v>2023105851</v>
      </c>
      <c r="E490" t="s">
        <v>493</v>
      </c>
      <c r="F490" t="s">
        <v>494</v>
      </c>
      <c r="G490" t="s">
        <v>51</v>
      </c>
      <c r="H490" t="s">
        <v>78</v>
      </c>
      <c r="I490" s="2">
        <v>41.66</v>
      </c>
      <c r="J490" t="s">
        <v>59</v>
      </c>
      <c r="K490" s="3">
        <v>0.06</v>
      </c>
      <c r="L490" s="2">
        <v>0</v>
      </c>
      <c r="M490" s="2">
        <v>2.5</v>
      </c>
      <c r="N490" s="2">
        <v>2.5</v>
      </c>
      <c r="O490" t="s">
        <v>378</v>
      </c>
      <c r="P490" t="s">
        <v>379</v>
      </c>
      <c r="Q490">
        <v>650218</v>
      </c>
      <c r="R490" t="s">
        <v>357</v>
      </c>
      <c r="S490" t="s">
        <v>358</v>
      </c>
      <c r="T490" t="s">
        <v>57</v>
      </c>
      <c r="U490" s="1">
        <v>45444</v>
      </c>
      <c r="W490" s="1">
        <v>45992</v>
      </c>
      <c r="X490">
        <v>1</v>
      </c>
      <c r="Y490" t="s">
        <v>58</v>
      </c>
      <c r="Z490" s="2">
        <v>0</v>
      </c>
      <c r="AA490">
        <v>0</v>
      </c>
      <c r="AB490" t="s">
        <v>264</v>
      </c>
      <c r="AC490" t="s">
        <v>61</v>
      </c>
      <c r="AD490">
        <v>0</v>
      </c>
      <c r="AE490" s="2">
        <v>0</v>
      </c>
      <c r="AF490" s="2">
        <v>0</v>
      </c>
      <c r="AG490" s="3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45957</v>
      </c>
      <c r="B491" t="s">
        <v>48</v>
      </c>
      <c r="C491">
        <v>649163</v>
      </c>
      <c r="D491">
        <v>2023157515</v>
      </c>
      <c r="E491" t="s">
        <v>645</v>
      </c>
      <c r="F491" t="s">
        <v>268</v>
      </c>
      <c r="G491" t="s">
        <v>51</v>
      </c>
      <c r="H491" t="s">
        <v>195</v>
      </c>
      <c r="I491" s="2">
        <v>35.979999999999997</v>
      </c>
      <c r="J491" t="s">
        <v>59</v>
      </c>
      <c r="K491" s="3">
        <v>0.06</v>
      </c>
      <c r="L491" s="2">
        <v>0</v>
      </c>
      <c r="M491" s="2">
        <v>2.16</v>
      </c>
      <c r="N491" s="2">
        <v>2.16</v>
      </c>
      <c r="O491" t="s">
        <v>378</v>
      </c>
      <c r="P491" t="s">
        <v>379</v>
      </c>
      <c r="Q491">
        <v>649247</v>
      </c>
      <c r="R491" t="s">
        <v>321</v>
      </c>
      <c r="S491" t="s">
        <v>322</v>
      </c>
      <c r="T491" t="s">
        <v>57</v>
      </c>
      <c r="U491" s="1">
        <v>45444</v>
      </c>
      <c r="W491" s="1">
        <v>45992</v>
      </c>
      <c r="X491">
        <v>1</v>
      </c>
      <c r="Y491" t="s">
        <v>58</v>
      </c>
      <c r="Z491" s="2">
        <v>0</v>
      </c>
      <c r="AA491">
        <v>0</v>
      </c>
      <c r="AB491" t="s">
        <v>264</v>
      </c>
      <c r="AC491" t="s">
        <v>61</v>
      </c>
      <c r="AD491">
        <v>0</v>
      </c>
      <c r="AE491" s="2">
        <v>0</v>
      </c>
      <c r="AF491" s="2">
        <v>0</v>
      </c>
      <c r="AG491" s="3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45957</v>
      </c>
      <c r="B492" t="s">
        <v>48</v>
      </c>
      <c r="C492">
        <v>649163</v>
      </c>
      <c r="D492">
        <v>2023184836</v>
      </c>
      <c r="E492" t="s">
        <v>646</v>
      </c>
      <c r="F492" t="s">
        <v>647</v>
      </c>
      <c r="G492" t="s">
        <v>51</v>
      </c>
      <c r="H492" t="s">
        <v>195</v>
      </c>
      <c r="I492" s="2">
        <v>35.979999999999997</v>
      </c>
      <c r="J492" t="s">
        <v>59</v>
      </c>
      <c r="K492" s="3">
        <v>0.06</v>
      </c>
      <c r="L492" s="2">
        <v>0</v>
      </c>
      <c r="M492" s="2">
        <v>2.16</v>
      </c>
      <c r="N492" s="2">
        <v>2.16</v>
      </c>
      <c r="O492" t="s">
        <v>378</v>
      </c>
      <c r="P492" t="s">
        <v>379</v>
      </c>
      <c r="Q492">
        <v>649247</v>
      </c>
      <c r="R492" t="s">
        <v>321</v>
      </c>
      <c r="S492" t="s">
        <v>322</v>
      </c>
      <c r="T492" t="s">
        <v>57</v>
      </c>
      <c r="U492" s="1">
        <v>45444</v>
      </c>
      <c r="W492" s="1">
        <v>45992</v>
      </c>
      <c r="X492">
        <v>1</v>
      </c>
      <c r="Y492" t="s">
        <v>58</v>
      </c>
      <c r="Z492" s="2">
        <v>0</v>
      </c>
      <c r="AA492">
        <v>0</v>
      </c>
      <c r="AB492" t="s">
        <v>264</v>
      </c>
      <c r="AC492" t="s">
        <v>61</v>
      </c>
      <c r="AD492">
        <v>0</v>
      </c>
      <c r="AE492" s="2">
        <v>0</v>
      </c>
      <c r="AF492" s="2">
        <v>0</v>
      </c>
      <c r="AG492" s="3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45957</v>
      </c>
      <c r="B493" t="s">
        <v>48</v>
      </c>
      <c r="C493">
        <v>649163</v>
      </c>
      <c r="D493">
        <v>2023231878</v>
      </c>
      <c r="E493" t="s">
        <v>836</v>
      </c>
      <c r="F493" t="s">
        <v>837</v>
      </c>
      <c r="G493" t="s">
        <v>51</v>
      </c>
      <c r="H493" t="s">
        <v>195</v>
      </c>
      <c r="I493" s="2">
        <v>49.12</v>
      </c>
      <c r="J493" t="s">
        <v>59</v>
      </c>
      <c r="K493" s="3">
        <v>0.06</v>
      </c>
      <c r="L493" s="2">
        <v>0</v>
      </c>
      <c r="M493" s="2">
        <v>2.95</v>
      </c>
      <c r="N493" s="2">
        <v>2.95</v>
      </c>
      <c r="O493" t="s">
        <v>378</v>
      </c>
      <c r="P493" t="s">
        <v>379</v>
      </c>
      <c r="Q493">
        <v>728134</v>
      </c>
      <c r="R493" t="s">
        <v>325</v>
      </c>
      <c r="S493" t="s">
        <v>326</v>
      </c>
      <c r="T493" t="s">
        <v>57</v>
      </c>
      <c r="U493" s="1">
        <v>45444</v>
      </c>
      <c r="W493" s="1">
        <v>45992</v>
      </c>
      <c r="X493">
        <v>1</v>
      </c>
      <c r="Y493" t="s">
        <v>58</v>
      </c>
      <c r="Z493" s="2">
        <v>0</v>
      </c>
      <c r="AA493">
        <v>0</v>
      </c>
      <c r="AB493" t="s">
        <v>264</v>
      </c>
      <c r="AC493" t="s">
        <v>61</v>
      </c>
      <c r="AD493">
        <v>0</v>
      </c>
      <c r="AE493" s="2">
        <v>0</v>
      </c>
      <c r="AF493" s="2">
        <v>0</v>
      </c>
      <c r="AG493" s="3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45957</v>
      </c>
      <c r="B494" t="s">
        <v>48</v>
      </c>
      <c r="C494">
        <v>649163</v>
      </c>
      <c r="D494">
        <v>2023252074</v>
      </c>
      <c r="E494" t="s">
        <v>495</v>
      </c>
      <c r="F494" t="s">
        <v>496</v>
      </c>
      <c r="G494" t="s">
        <v>51</v>
      </c>
      <c r="H494" t="s">
        <v>195</v>
      </c>
      <c r="I494" s="2">
        <v>82.25</v>
      </c>
      <c r="J494" t="s">
        <v>59</v>
      </c>
      <c r="K494" s="3">
        <v>0.06</v>
      </c>
      <c r="L494" s="2">
        <v>0</v>
      </c>
      <c r="M494" s="2">
        <v>4.9400000000000004</v>
      </c>
      <c r="N494" s="2">
        <v>4.9400000000000004</v>
      </c>
      <c r="O494" t="s">
        <v>378</v>
      </c>
      <c r="P494" t="s">
        <v>379</v>
      </c>
      <c r="Q494">
        <v>650218</v>
      </c>
      <c r="R494" t="s">
        <v>357</v>
      </c>
      <c r="S494" t="s">
        <v>358</v>
      </c>
      <c r="T494" t="s">
        <v>57</v>
      </c>
      <c r="U494" s="1">
        <v>45444</v>
      </c>
      <c r="W494" s="1">
        <v>45992</v>
      </c>
      <c r="X494">
        <v>1</v>
      </c>
      <c r="Y494" t="s">
        <v>58</v>
      </c>
      <c r="Z494" s="2">
        <v>0</v>
      </c>
      <c r="AA494">
        <v>0</v>
      </c>
      <c r="AB494" t="s">
        <v>264</v>
      </c>
      <c r="AC494" t="s">
        <v>61</v>
      </c>
      <c r="AD494">
        <v>0</v>
      </c>
      <c r="AE494" s="2">
        <v>0</v>
      </c>
      <c r="AF494" s="2">
        <v>0</v>
      </c>
      <c r="AG494" s="3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45957</v>
      </c>
      <c r="B495" t="s">
        <v>48</v>
      </c>
      <c r="C495">
        <v>649163</v>
      </c>
      <c r="D495">
        <v>2024136819</v>
      </c>
      <c r="E495" t="s">
        <v>283</v>
      </c>
      <c r="F495" t="s">
        <v>284</v>
      </c>
      <c r="G495" t="s">
        <v>51</v>
      </c>
      <c r="H495" t="s">
        <v>52</v>
      </c>
      <c r="I495" s="2">
        <v>105.67</v>
      </c>
      <c r="J495" t="s">
        <v>59</v>
      </c>
      <c r="K495" s="3">
        <v>0.06</v>
      </c>
      <c r="L495" s="2">
        <v>0</v>
      </c>
      <c r="M495" s="2">
        <v>6.34</v>
      </c>
      <c r="N495" s="2">
        <v>6.34</v>
      </c>
      <c r="O495" t="s">
        <v>378</v>
      </c>
      <c r="P495" t="s">
        <v>379</v>
      </c>
      <c r="Q495">
        <v>673059</v>
      </c>
      <c r="R495" t="s">
        <v>55</v>
      </c>
      <c r="S495" t="s">
        <v>56</v>
      </c>
      <c r="T495" t="s">
        <v>57</v>
      </c>
      <c r="U495" s="1">
        <v>45536</v>
      </c>
      <c r="W495" s="1">
        <v>45992</v>
      </c>
      <c r="X495">
        <v>1</v>
      </c>
      <c r="Y495" t="s">
        <v>58</v>
      </c>
      <c r="Z495" s="2">
        <v>0</v>
      </c>
      <c r="AA495">
        <v>0</v>
      </c>
      <c r="AB495" t="s">
        <v>264</v>
      </c>
      <c r="AC495" t="s">
        <v>61</v>
      </c>
      <c r="AD495">
        <v>0</v>
      </c>
      <c r="AE495" s="2">
        <v>0</v>
      </c>
      <c r="AF495" s="2">
        <v>0</v>
      </c>
      <c r="AG495" s="3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45957</v>
      </c>
      <c r="B496" t="s">
        <v>48</v>
      </c>
      <c r="C496">
        <v>649163</v>
      </c>
      <c r="D496">
        <v>2024307282</v>
      </c>
      <c r="E496" t="s">
        <v>838</v>
      </c>
      <c r="F496" t="s">
        <v>839</v>
      </c>
      <c r="G496" t="s">
        <v>51</v>
      </c>
      <c r="H496" t="s">
        <v>69</v>
      </c>
      <c r="I496" s="2">
        <v>-35.4</v>
      </c>
      <c r="J496" t="s">
        <v>59</v>
      </c>
      <c r="K496" s="3">
        <v>0.06</v>
      </c>
      <c r="L496" s="2">
        <v>0</v>
      </c>
      <c r="M496" s="2">
        <v>-2.12</v>
      </c>
      <c r="N496" s="2">
        <v>-2.12</v>
      </c>
      <c r="O496" t="s">
        <v>378</v>
      </c>
      <c r="P496" t="s">
        <v>379</v>
      </c>
      <c r="Q496">
        <v>669316</v>
      </c>
      <c r="R496" t="s">
        <v>169</v>
      </c>
      <c r="S496" t="s">
        <v>170</v>
      </c>
      <c r="T496" t="s">
        <v>57</v>
      </c>
      <c r="U496" s="1">
        <v>45513</v>
      </c>
      <c r="W496" s="1">
        <v>45970</v>
      </c>
      <c r="X496">
        <v>1</v>
      </c>
      <c r="Y496" t="s">
        <v>58</v>
      </c>
      <c r="Z496" s="2">
        <v>0</v>
      </c>
      <c r="AA496">
        <v>-1</v>
      </c>
      <c r="AB496" t="s">
        <v>264</v>
      </c>
      <c r="AC496" t="s">
        <v>61</v>
      </c>
      <c r="AD496">
        <v>0</v>
      </c>
      <c r="AE496" s="2">
        <v>0</v>
      </c>
      <c r="AF496" s="2">
        <v>0</v>
      </c>
      <c r="AG496" s="3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45957</v>
      </c>
      <c r="B497" t="s">
        <v>48</v>
      </c>
      <c r="C497">
        <v>649163</v>
      </c>
      <c r="D497">
        <v>2024338044</v>
      </c>
      <c r="E497" t="s">
        <v>840</v>
      </c>
      <c r="F497" t="s">
        <v>115</v>
      </c>
      <c r="G497" t="s">
        <v>51</v>
      </c>
      <c r="H497" t="s">
        <v>195</v>
      </c>
      <c r="I497" s="2">
        <v>57.29</v>
      </c>
      <c r="J497" t="s">
        <v>59</v>
      </c>
      <c r="K497" s="3">
        <v>0.06</v>
      </c>
      <c r="L497" s="2">
        <v>0</v>
      </c>
      <c r="M497" s="2">
        <v>3.44</v>
      </c>
      <c r="N497" s="2">
        <v>3.44</v>
      </c>
      <c r="O497" t="s">
        <v>378</v>
      </c>
      <c r="P497" t="s">
        <v>379</v>
      </c>
      <c r="Q497">
        <v>780434</v>
      </c>
      <c r="R497" t="s">
        <v>499</v>
      </c>
      <c r="S497" t="s">
        <v>110</v>
      </c>
      <c r="T497" t="s">
        <v>57</v>
      </c>
      <c r="U497" s="1">
        <v>45536</v>
      </c>
      <c r="W497" s="1">
        <v>45992</v>
      </c>
      <c r="X497">
        <v>1</v>
      </c>
      <c r="Y497" t="s">
        <v>58</v>
      </c>
      <c r="Z497" s="2">
        <v>0</v>
      </c>
      <c r="AA497">
        <v>0</v>
      </c>
      <c r="AB497" t="s">
        <v>264</v>
      </c>
      <c r="AC497" t="s">
        <v>61</v>
      </c>
      <c r="AD497">
        <v>0</v>
      </c>
      <c r="AE497" s="2">
        <v>0</v>
      </c>
      <c r="AF497" s="2">
        <v>0</v>
      </c>
      <c r="AG497" s="3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45957</v>
      </c>
      <c r="B498" t="s">
        <v>48</v>
      </c>
      <c r="C498">
        <v>649163</v>
      </c>
      <c r="D498">
        <v>2024361672</v>
      </c>
      <c r="E498" t="s">
        <v>840</v>
      </c>
      <c r="F498" t="s">
        <v>224</v>
      </c>
      <c r="G498" t="s">
        <v>51</v>
      </c>
      <c r="H498" t="s">
        <v>195</v>
      </c>
      <c r="I498" s="2">
        <v>57.29</v>
      </c>
      <c r="J498" t="s">
        <v>59</v>
      </c>
      <c r="K498" s="3">
        <v>0.06</v>
      </c>
      <c r="L498" s="2">
        <v>0</v>
      </c>
      <c r="M498" s="2">
        <v>3.44</v>
      </c>
      <c r="N498" s="2">
        <v>3.44</v>
      </c>
      <c r="O498" t="s">
        <v>378</v>
      </c>
      <c r="P498" t="s">
        <v>379</v>
      </c>
      <c r="Q498">
        <v>780434</v>
      </c>
      <c r="R498" t="s">
        <v>499</v>
      </c>
      <c r="S498" t="s">
        <v>110</v>
      </c>
      <c r="T498" t="s">
        <v>57</v>
      </c>
      <c r="U498" s="1">
        <v>45536</v>
      </c>
      <c r="W498" s="1">
        <v>45992</v>
      </c>
      <c r="X498">
        <v>1</v>
      </c>
      <c r="Y498" t="s">
        <v>58</v>
      </c>
      <c r="Z498" s="2">
        <v>0</v>
      </c>
      <c r="AA498">
        <v>0</v>
      </c>
      <c r="AB498" t="s">
        <v>264</v>
      </c>
      <c r="AC498" t="s">
        <v>61</v>
      </c>
      <c r="AD498">
        <v>0</v>
      </c>
      <c r="AE498" s="2">
        <v>0</v>
      </c>
      <c r="AF498" s="2">
        <v>0</v>
      </c>
      <c r="AG498" s="3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45957</v>
      </c>
      <c r="B499" t="s">
        <v>48</v>
      </c>
      <c r="C499">
        <v>649163</v>
      </c>
      <c r="D499">
        <v>2024361679</v>
      </c>
      <c r="E499" t="s">
        <v>841</v>
      </c>
      <c r="F499" t="s">
        <v>66</v>
      </c>
      <c r="G499" t="s">
        <v>51</v>
      </c>
      <c r="H499" t="s">
        <v>195</v>
      </c>
      <c r="I499" s="2">
        <v>57.29</v>
      </c>
      <c r="J499" t="s">
        <v>59</v>
      </c>
      <c r="K499" s="3">
        <v>0.06</v>
      </c>
      <c r="L499" s="2">
        <v>0</v>
      </c>
      <c r="M499" s="2">
        <v>3.44</v>
      </c>
      <c r="N499" s="2">
        <v>3.44</v>
      </c>
      <c r="O499" t="s">
        <v>378</v>
      </c>
      <c r="P499" t="s">
        <v>379</v>
      </c>
      <c r="Q499">
        <v>780434</v>
      </c>
      <c r="R499" t="s">
        <v>499</v>
      </c>
      <c r="S499" t="s">
        <v>110</v>
      </c>
      <c r="T499" t="s">
        <v>57</v>
      </c>
      <c r="U499" s="1">
        <v>45536</v>
      </c>
      <c r="W499" s="1">
        <v>45992</v>
      </c>
      <c r="X499">
        <v>1</v>
      </c>
      <c r="Y499" t="s">
        <v>58</v>
      </c>
      <c r="Z499" s="2">
        <v>0</v>
      </c>
      <c r="AA499">
        <v>0</v>
      </c>
      <c r="AB499" t="s">
        <v>264</v>
      </c>
      <c r="AC499" t="s">
        <v>61</v>
      </c>
      <c r="AD499">
        <v>0</v>
      </c>
      <c r="AE499" s="2">
        <v>0</v>
      </c>
      <c r="AF499" s="2">
        <v>0</v>
      </c>
      <c r="AG499" s="3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45957</v>
      </c>
      <c r="B500" t="s">
        <v>48</v>
      </c>
      <c r="C500">
        <v>649163</v>
      </c>
      <c r="D500">
        <v>2024361682</v>
      </c>
      <c r="E500" t="s">
        <v>842</v>
      </c>
      <c r="F500" t="s">
        <v>843</v>
      </c>
      <c r="G500" t="s">
        <v>51</v>
      </c>
      <c r="H500" t="s">
        <v>195</v>
      </c>
      <c r="I500" s="2">
        <v>57.29</v>
      </c>
      <c r="J500" t="s">
        <v>59</v>
      </c>
      <c r="K500" s="3">
        <v>0.06</v>
      </c>
      <c r="L500" s="2">
        <v>0</v>
      </c>
      <c r="M500" s="2">
        <v>3.44</v>
      </c>
      <c r="N500" s="2">
        <v>3.44</v>
      </c>
      <c r="O500" t="s">
        <v>378</v>
      </c>
      <c r="P500" t="s">
        <v>379</v>
      </c>
      <c r="Q500">
        <v>780434</v>
      </c>
      <c r="R500" t="s">
        <v>499</v>
      </c>
      <c r="S500" t="s">
        <v>110</v>
      </c>
      <c r="T500" t="s">
        <v>57</v>
      </c>
      <c r="U500" s="1">
        <v>45536</v>
      </c>
      <c r="W500" s="1">
        <v>45992</v>
      </c>
      <c r="X500">
        <v>1</v>
      </c>
      <c r="Y500" t="s">
        <v>58</v>
      </c>
      <c r="Z500" s="2">
        <v>0</v>
      </c>
      <c r="AA500">
        <v>0</v>
      </c>
      <c r="AB500" t="s">
        <v>264</v>
      </c>
      <c r="AC500" t="s">
        <v>61</v>
      </c>
      <c r="AD500">
        <v>0</v>
      </c>
      <c r="AE500" s="2">
        <v>0</v>
      </c>
      <c r="AF500" s="2">
        <v>0</v>
      </c>
      <c r="AG500" s="3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45957</v>
      </c>
      <c r="B501" t="s">
        <v>48</v>
      </c>
      <c r="C501">
        <v>649163</v>
      </c>
      <c r="D501">
        <v>2024361690</v>
      </c>
      <c r="E501" t="s">
        <v>840</v>
      </c>
      <c r="F501" t="s">
        <v>66</v>
      </c>
      <c r="G501" t="s">
        <v>51</v>
      </c>
      <c r="H501" t="s">
        <v>195</v>
      </c>
      <c r="I501" s="2">
        <v>100.25</v>
      </c>
      <c r="J501" t="s">
        <v>59</v>
      </c>
      <c r="K501" s="3">
        <v>0.06</v>
      </c>
      <c r="L501" s="2">
        <v>0</v>
      </c>
      <c r="M501" s="2">
        <v>6.02</v>
      </c>
      <c r="N501" s="2">
        <v>6.02</v>
      </c>
      <c r="O501" t="s">
        <v>378</v>
      </c>
      <c r="P501" t="s">
        <v>379</v>
      </c>
      <c r="Q501">
        <v>780434</v>
      </c>
      <c r="R501" t="s">
        <v>499</v>
      </c>
      <c r="S501" t="s">
        <v>110</v>
      </c>
      <c r="T501" t="s">
        <v>57</v>
      </c>
      <c r="U501" s="1">
        <v>45536</v>
      </c>
      <c r="W501" s="1">
        <v>45992</v>
      </c>
      <c r="X501">
        <v>1</v>
      </c>
      <c r="Y501" t="s">
        <v>58</v>
      </c>
      <c r="Z501" s="2">
        <v>0</v>
      </c>
      <c r="AA501">
        <v>0</v>
      </c>
      <c r="AB501" t="s">
        <v>264</v>
      </c>
      <c r="AC501" t="s">
        <v>61</v>
      </c>
      <c r="AD501">
        <v>0</v>
      </c>
      <c r="AE501" s="2">
        <v>0</v>
      </c>
      <c r="AF501" s="2">
        <v>0</v>
      </c>
      <c r="AG501" s="3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45957</v>
      </c>
      <c r="B502" t="s">
        <v>48</v>
      </c>
      <c r="C502">
        <v>649163</v>
      </c>
      <c r="D502">
        <v>2024382485</v>
      </c>
      <c r="E502" t="s">
        <v>497</v>
      </c>
      <c r="F502" t="s">
        <v>167</v>
      </c>
      <c r="G502" t="s">
        <v>51</v>
      </c>
      <c r="H502" t="s">
        <v>195</v>
      </c>
      <c r="I502" s="2">
        <v>44.98</v>
      </c>
      <c r="J502" t="s">
        <v>59</v>
      </c>
      <c r="K502" s="3">
        <v>0.06</v>
      </c>
      <c r="L502" s="2">
        <v>0</v>
      </c>
      <c r="M502" s="2">
        <v>2.7</v>
      </c>
      <c r="N502" s="2">
        <v>2.7</v>
      </c>
      <c r="O502" t="s">
        <v>378</v>
      </c>
      <c r="P502" t="s">
        <v>379</v>
      </c>
      <c r="Q502">
        <v>649247</v>
      </c>
      <c r="R502" t="s">
        <v>321</v>
      </c>
      <c r="S502" t="s">
        <v>322</v>
      </c>
      <c r="T502" t="s">
        <v>57</v>
      </c>
      <c r="U502" s="1">
        <v>45536</v>
      </c>
      <c r="W502" s="1">
        <v>45992</v>
      </c>
      <c r="X502">
        <v>1</v>
      </c>
      <c r="Y502" t="s">
        <v>58</v>
      </c>
      <c r="Z502" s="2">
        <v>0</v>
      </c>
      <c r="AA502">
        <v>0</v>
      </c>
      <c r="AB502" t="s">
        <v>264</v>
      </c>
      <c r="AC502" t="s">
        <v>61</v>
      </c>
      <c r="AD502">
        <v>0</v>
      </c>
      <c r="AE502" s="2">
        <v>0</v>
      </c>
      <c r="AF502" s="2">
        <v>0</v>
      </c>
      <c r="AG502" s="3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45957</v>
      </c>
      <c r="B503" t="s">
        <v>48</v>
      </c>
      <c r="C503">
        <v>649163</v>
      </c>
      <c r="D503">
        <v>2024460937</v>
      </c>
      <c r="E503" t="s">
        <v>756</v>
      </c>
      <c r="F503" t="s">
        <v>757</v>
      </c>
      <c r="G503" t="s">
        <v>51</v>
      </c>
      <c r="H503" t="s">
        <v>636</v>
      </c>
      <c r="I503" s="2">
        <v>80.41</v>
      </c>
      <c r="J503" t="s">
        <v>59</v>
      </c>
      <c r="K503" s="3">
        <v>0.06</v>
      </c>
      <c r="L503" s="2">
        <v>0</v>
      </c>
      <c r="M503" s="2">
        <v>4.82</v>
      </c>
      <c r="N503" s="2">
        <v>4.82</v>
      </c>
      <c r="O503" t="s">
        <v>378</v>
      </c>
      <c r="P503" t="s">
        <v>379</v>
      </c>
      <c r="Q503">
        <v>673059</v>
      </c>
      <c r="R503" t="s">
        <v>55</v>
      </c>
      <c r="S503" t="s">
        <v>56</v>
      </c>
      <c r="T503" t="s">
        <v>57</v>
      </c>
      <c r="U503" s="1">
        <v>45536</v>
      </c>
      <c r="W503" s="1">
        <v>45992</v>
      </c>
      <c r="X503">
        <v>1</v>
      </c>
      <c r="Y503" t="s">
        <v>58</v>
      </c>
      <c r="Z503" s="2">
        <v>0</v>
      </c>
      <c r="AA503">
        <v>0</v>
      </c>
      <c r="AB503" t="s">
        <v>264</v>
      </c>
      <c r="AC503" t="s">
        <v>61</v>
      </c>
      <c r="AD503">
        <v>0</v>
      </c>
      <c r="AE503" s="2">
        <v>0</v>
      </c>
      <c r="AF503" s="2">
        <v>0</v>
      </c>
      <c r="AG503" s="3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45957</v>
      </c>
      <c r="B504" t="s">
        <v>48</v>
      </c>
      <c r="C504">
        <v>649163</v>
      </c>
      <c r="D504">
        <v>2024477617</v>
      </c>
      <c r="E504" t="s">
        <v>654</v>
      </c>
      <c r="F504" t="s">
        <v>66</v>
      </c>
      <c r="G504" t="s">
        <v>51</v>
      </c>
      <c r="H504" t="s">
        <v>195</v>
      </c>
      <c r="I504" s="2">
        <v>44.21</v>
      </c>
      <c r="J504" t="s">
        <v>59</v>
      </c>
      <c r="K504" s="3">
        <v>0.06</v>
      </c>
      <c r="L504" s="2">
        <v>0</v>
      </c>
      <c r="M504" s="2">
        <v>2.65</v>
      </c>
      <c r="N504" s="2">
        <v>2.65</v>
      </c>
      <c r="O504" t="s">
        <v>378</v>
      </c>
      <c r="P504" t="s">
        <v>379</v>
      </c>
      <c r="Q504">
        <v>650218</v>
      </c>
      <c r="R504" t="s">
        <v>357</v>
      </c>
      <c r="S504" t="s">
        <v>358</v>
      </c>
      <c r="T504" t="s">
        <v>57</v>
      </c>
      <c r="U504" s="1">
        <v>45536</v>
      </c>
      <c r="W504" s="1">
        <v>45992</v>
      </c>
      <c r="X504">
        <v>1</v>
      </c>
      <c r="Y504" t="s">
        <v>58</v>
      </c>
      <c r="Z504" s="2">
        <v>0</v>
      </c>
      <c r="AA504">
        <v>0</v>
      </c>
      <c r="AB504" t="s">
        <v>264</v>
      </c>
      <c r="AC504" t="s">
        <v>61</v>
      </c>
      <c r="AD504">
        <v>0</v>
      </c>
      <c r="AE504" s="2">
        <v>0</v>
      </c>
      <c r="AF504" s="2">
        <v>0</v>
      </c>
      <c r="AG504" s="3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45957</v>
      </c>
      <c r="B505" t="s">
        <v>48</v>
      </c>
      <c r="C505">
        <v>649163</v>
      </c>
      <c r="D505">
        <v>2024569205</v>
      </c>
      <c r="E505" t="s">
        <v>758</v>
      </c>
      <c r="F505" t="s">
        <v>759</v>
      </c>
      <c r="G505" t="s">
        <v>51</v>
      </c>
      <c r="H505" t="s">
        <v>719</v>
      </c>
      <c r="I505" s="2">
        <v>60.87</v>
      </c>
      <c r="J505" t="s">
        <v>59</v>
      </c>
      <c r="K505" s="3">
        <v>0.06</v>
      </c>
      <c r="L505" s="2">
        <v>0</v>
      </c>
      <c r="M505" s="2">
        <v>3.65</v>
      </c>
      <c r="N505" s="2">
        <v>3.65</v>
      </c>
      <c r="O505" t="s">
        <v>378</v>
      </c>
      <c r="P505" t="s">
        <v>379</v>
      </c>
      <c r="Q505">
        <v>649247</v>
      </c>
      <c r="R505" t="s">
        <v>321</v>
      </c>
      <c r="S505" t="s">
        <v>322</v>
      </c>
      <c r="T505" t="s">
        <v>57</v>
      </c>
      <c r="U505" s="1">
        <v>45531</v>
      </c>
      <c r="W505" s="1">
        <v>45988</v>
      </c>
      <c r="X505">
        <v>1</v>
      </c>
      <c r="Y505" t="s">
        <v>58</v>
      </c>
      <c r="Z505" s="2">
        <v>0</v>
      </c>
      <c r="AA505">
        <v>0</v>
      </c>
      <c r="AB505" t="s">
        <v>264</v>
      </c>
      <c r="AC505" t="s">
        <v>61</v>
      </c>
      <c r="AD505">
        <v>0</v>
      </c>
      <c r="AE505" s="2">
        <v>0</v>
      </c>
      <c r="AF505" s="2">
        <v>0</v>
      </c>
      <c r="AG505" s="3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45957</v>
      </c>
      <c r="B506" t="s">
        <v>48</v>
      </c>
      <c r="C506">
        <v>649163</v>
      </c>
      <c r="D506">
        <v>2024591190</v>
      </c>
      <c r="E506" t="s">
        <v>656</v>
      </c>
      <c r="F506" t="s">
        <v>657</v>
      </c>
      <c r="G506" t="s">
        <v>51</v>
      </c>
      <c r="H506" t="s">
        <v>195</v>
      </c>
      <c r="I506" s="2">
        <v>27.11</v>
      </c>
      <c r="J506" t="s">
        <v>59</v>
      </c>
      <c r="K506" s="3">
        <v>0.06</v>
      </c>
      <c r="L506" s="2">
        <v>0</v>
      </c>
      <c r="M506" s="2">
        <v>1.63</v>
      </c>
      <c r="N506" s="2">
        <v>1.63</v>
      </c>
      <c r="O506" t="s">
        <v>378</v>
      </c>
      <c r="P506" t="s">
        <v>379</v>
      </c>
      <c r="Q506">
        <v>650218</v>
      </c>
      <c r="R506" t="s">
        <v>357</v>
      </c>
      <c r="S506" t="s">
        <v>358</v>
      </c>
      <c r="T506" t="s">
        <v>57</v>
      </c>
      <c r="U506" s="1">
        <v>45536</v>
      </c>
      <c r="W506" s="1">
        <v>45992</v>
      </c>
      <c r="X506">
        <v>1</v>
      </c>
      <c r="Y506" t="s">
        <v>58</v>
      </c>
      <c r="Z506" s="2">
        <v>0</v>
      </c>
      <c r="AA506">
        <v>0</v>
      </c>
      <c r="AB506" t="s">
        <v>264</v>
      </c>
      <c r="AC506" t="s">
        <v>61</v>
      </c>
      <c r="AD506">
        <v>0</v>
      </c>
      <c r="AE506" s="2">
        <v>0</v>
      </c>
      <c r="AF506" s="2">
        <v>0</v>
      </c>
      <c r="AG506" s="3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45957</v>
      </c>
      <c r="B507" t="s">
        <v>48</v>
      </c>
      <c r="C507">
        <v>649163</v>
      </c>
      <c r="D507">
        <v>2024619102</v>
      </c>
      <c r="E507" t="s">
        <v>659</v>
      </c>
      <c r="F507" t="s">
        <v>577</v>
      </c>
      <c r="G507" t="s">
        <v>51</v>
      </c>
      <c r="H507" t="s">
        <v>195</v>
      </c>
      <c r="I507" s="2">
        <v>36.11</v>
      </c>
      <c r="J507" t="s">
        <v>59</v>
      </c>
      <c r="K507" s="3">
        <v>0.06</v>
      </c>
      <c r="L507" s="2">
        <v>0</v>
      </c>
      <c r="M507" s="2">
        <v>2.17</v>
      </c>
      <c r="N507" s="2">
        <v>2.17</v>
      </c>
      <c r="O507" t="s">
        <v>378</v>
      </c>
      <c r="P507" t="s">
        <v>379</v>
      </c>
      <c r="Q507">
        <v>650218</v>
      </c>
      <c r="R507" t="s">
        <v>357</v>
      </c>
      <c r="S507" t="s">
        <v>358</v>
      </c>
      <c r="T507" t="s">
        <v>57</v>
      </c>
      <c r="U507" s="1">
        <v>45536</v>
      </c>
      <c r="W507" s="1">
        <v>45992</v>
      </c>
      <c r="X507">
        <v>1</v>
      </c>
      <c r="Y507" t="s">
        <v>58</v>
      </c>
      <c r="Z507" s="2">
        <v>0</v>
      </c>
      <c r="AA507">
        <v>0</v>
      </c>
      <c r="AB507" t="s">
        <v>264</v>
      </c>
      <c r="AC507" t="s">
        <v>61</v>
      </c>
      <c r="AD507">
        <v>0</v>
      </c>
      <c r="AE507" s="2">
        <v>0</v>
      </c>
      <c r="AF507" s="2">
        <v>0</v>
      </c>
      <c r="AG507" s="3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45957</v>
      </c>
      <c r="B508" t="s">
        <v>48</v>
      </c>
      <c r="C508">
        <v>649163</v>
      </c>
      <c r="D508">
        <v>2024645159</v>
      </c>
      <c r="E508" t="s">
        <v>660</v>
      </c>
      <c r="F508" t="s">
        <v>661</v>
      </c>
      <c r="G508" t="s">
        <v>51</v>
      </c>
      <c r="H508" t="s">
        <v>195</v>
      </c>
      <c r="I508" s="2">
        <v>44.98</v>
      </c>
      <c r="J508" t="s">
        <v>59</v>
      </c>
      <c r="K508" s="3">
        <v>0.06</v>
      </c>
      <c r="L508" s="2">
        <v>0</v>
      </c>
      <c r="M508" s="2">
        <v>2.7</v>
      </c>
      <c r="N508" s="2">
        <v>2.7</v>
      </c>
      <c r="O508" t="s">
        <v>378</v>
      </c>
      <c r="P508" t="s">
        <v>379</v>
      </c>
      <c r="Q508">
        <v>650218</v>
      </c>
      <c r="R508" t="s">
        <v>357</v>
      </c>
      <c r="S508" t="s">
        <v>358</v>
      </c>
      <c r="T508" t="s">
        <v>57</v>
      </c>
      <c r="U508" s="1">
        <v>45536</v>
      </c>
      <c r="W508" s="1">
        <v>45992</v>
      </c>
      <c r="X508">
        <v>1</v>
      </c>
      <c r="Y508" t="s">
        <v>58</v>
      </c>
      <c r="Z508" s="2">
        <v>0</v>
      </c>
      <c r="AA508">
        <v>0</v>
      </c>
      <c r="AB508" t="s">
        <v>264</v>
      </c>
      <c r="AC508" t="s">
        <v>61</v>
      </c>
      <c r="AD508">
        <v>0</v>
      </c>
      <c r="AE508" s="2">
        <v>0</v>
      </c>
      <c r="AF508" s="2">
        <v>0</v>
      </c>
      <c r="AG508" s="3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45957</v>
      </c>
      <c r="B509" t="s">
        <v>48</v>
      </c>
      <c r="C509">
        <v>649163</v>
      </c>
      <c r="D509">
        <v>2025028098</v>
      </c>
      <c r="E509" t="s">
        <v>844</v>
      </c>
      <c r="F509" t="s">
        <v>617</v>
      </c>
      <c r="G509" t="s">
        <v>51</v>
      </c>
      <c r="H509" t="s">
        <v>129</v>
      </c>
      <c r="I509" s="2">
        <v>37.840000000000003</v>
      </c>
      <c r="J509" t="s">
        <v>59</v>
      </c>
      <c r="K509" s="3">
        <v>0.06</v>
      </c>
      <c r="L509" s="2">
        <v>0</v>
      </c>
      <c r="M509" s="2">
        <v>2.27</v>
      </c>
      <c r="N509" s="2">
        <v>2.27</v>
      </c>
      <c r="O509" t="s">
        <v>378</v>
      </c>
      <c r="P509" t="s">
        <v>379</v>
      </c>
      <c r="Q509">
        <v>673059</v>
      </c>
      <c r="R509" t="s">
        <v>55</v>
      </c>
      <c r="S509" t="s">
        <v>56</v>
      </c>
      <c r="T509" t="s">
        <v>57</v>
      </c>
      <c r="U509" s="1">
        <v>45561</v>
      </c>
      <c r="W509" s="1">
        <v>45987</v>
      </c>
      <c r="X509">
        <v>1</v>
      </c>
      <c r="Y509" t="s">
        <v>58</v>
      </c>
      <c r="Z509" s="2">
        <v>0</v>
      </c>
      <c r="AA509">
        <v>0</v>
      </c>
      <c r="AB509" t="s">
        <v>264</v>
      </c>
      <c r="AC509" t="s">
        <v>61</v>
      </c>
      <c r="AD509">
        <v>0</v>
      </c>
      <c r="AE509" s="2">
        <v>0</v>
      </c>
      <c r="AF509" s="2">
        <v>0</v>
      </c>
      <c r="AG509" s="3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45957</v>
      </c>
      <c r="B510" t="s">
        <v>48</v>
      </c>
      <c r="C510">
        <v>649163</v>
      </c>
      <c r="D510">
        <v>2025256823</v>
      </c>
      <c r="E510" t="s">
        <v>762</v>
      </c>
      <c r="F510" t="s">
        <v>763</v>
      </c>
      <c r="G510" t="s">
        <v>51</v>
      </c>
      <c r="H510" t="s">
        <v>69</v>
      </c>
      <c r="I510" s="2">
        <v>47.56</v>
      </c>
      <c r="J510" t="s">
        <v>59</v>
      </c>
      <c r="K510" s="3">
        <v>0.06</v>
      </c>
      <c r="L510" s="2">
        <v>0</v>
      </c>
      <c r="M510" s="2">
        <v>2.85</v>
      </c>
      <c r="N510" s="2">
        <v>2.85</v>
      </c>
      <c r="O510" t="s">
        <v>378</v>
      </c>
      <c r="P510" t="s">
        <v>379</v>
      </c>
      <c r="Q510">
        <v>766747</v>
      </c>
      <c r="R510" t="s">
        <v>97</v>
      </c>
      <c r="S510" t="s">
        <v>98</v>
      </c>
      <c r="T510" t="s">
        <v>57</v>
      </c>
      <c r="U510" s="1">
        <v>45597</v>
      </c>
      <c r="W510" s="1">
        <v>45992</v>
      </c>
      <c r="X510">
        <v>1</v>
      </c>
      <c r="Y510" t="s">
        <v>58</v>
      </c>
      <c r="Z510" s="2">
        <v>0</v>
      </c>
      <c r="AA510">
        <v>0</v>
      </c>
      <c r="AB510" t="s">
        <v>264</v>
      </c>
      <c r="AC510" t="s">
        <v>61</v>
      </c>
      <c r="AD510">
        <v>0</v>
      </c>
      <c r="AE510" s="2">
        <v>0</v>
      </c>
      <c r="AF510" s="2">
        <v>0</v>
      </c>
      <c r="AG510" s="3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45957</v>
      </c>
      <c r="B511" t="s">
        <v>48</v>
      </c>
      <c r="C511">
        <v>649163</v>
      </c>
      <c r="D511">
        <v>2025280495</v>
      </c>
      <c r="E511" t="s">
        <v>664</v>
      </c>
      <c r="F511" t="s">
        <v>665</v>
      </c>
      <c r="G511" t="s">
        <v>51</v>
      </c>
      <c r="H511" t="s">
        <v>195</v>
      </c>
      <c r="I511" s="2">
        <v>27.11</v>
      </c>
      <c r="J511" t="s">
        <v>59</v>
      </c>
      <c r="K511" s="3">
        <v>0.06</v>
      </c>
      <c r="L511" s="2">
        <v>0</v>
      </c>
      <c r="M511" s="2">
        <v>1.63</v>
      </c>
      <c r="N511" s="2">
        <v>1.63</v>
      </c>
      <c r="O511" t="s">
        <v>378</v>
      </c>
      <c r="P511" t="s">
        <v>379</v>
      </c>
      <c r="Q511">
        <v>650218</v>
      </c>
      <c r="R511" t="s">
        <v>357</v>
      </c>
      <c r="S511" t="s">
        <v>358</v>
      </c>
      <c r="T511" t="s">
        <v>57</v>
      </c>
      <c r="U511" s="1">
        <v>45597</v>
      </c>
      <c r="W511" s="1">
        <v>45992</v>
      </c>
      <c r="X511">
        <v>1</v>
      </c>
      <c r="Y511" t="s">
        <v>58</v>
      </c>
      <c r="Z511" s="2">
        <v>0</v>
      </c>
      <c r="AA511">
        <v>0</v>
      </c>
      <c r="AB511" t="s">
        <v>264</v>
      </c>
      <c r="AC511" t="s">
        <v>61</v>
      </c>
      <c r="AD511">
        <v>0</v>
      </c>
      <c r="AE511" s="2">
        <v>0</v>
      </c>
      <c r="AF511" s="2">
        <v>0</v>
      </c>
      <c r="AG511" s="3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45957</v>
      </c>
      <c r="B512" t="s">
        <v>48</v>
      </c>
      <c r="C512">
        <v>649163</v>
      </c>
      <c r="D512">
        <v>2025338057</v>
      </c>
      <c r="E512" t="s">
        <v>845</v>
      </c>
      <c r="F512" t="s">
        <v>846</v>
      </c>
      <c r="G512" t="s">
        <v>51</v>
      </c>
      <c r="H512" t="s">
        <v>69</v>
      </c>
      <c r="I512" s="2">
        <v>37.61</v>
      </c>
      <c r="J512" t="s">
        <v>59</v>
      </c>
      <c r="K512" s="3">
        <v>0.06</v>
      </c>
      <c r="L512" s="2">
        <v>0</v>
      </c>
      <c r="M512" s="2">
        <v>2.2599999999999998</v>
      </c>
      <c r="N512" s="2">
        <v>2.2599999999999998</v>
      </c>
      <c r="O512" t="s">
        <v>378</v>
      </c>
      <c r="P512" t="s">
        <v>379</v>
      </c>
      <c r="Q512">
        <v>673059</v>
      </c>
      <c r="R512" t="s">
        <v>55</v>
      </c>
      <c r="S512" t="s">
        <v>56</v>
      </c>
      <c r="T512" t="s">
        <v>57</v>
      </c>
      <c r="U512" s="1">
        <v>45597</v>
      </c>
      <c r="W512" s="1">
        <v>45992</v>
      </c>
      <c r="X512">
        <v>1</v>
      </c>
      <c r="Y512" t="s">
        <v>58</v>
      </c>
      <c r="Z512" s="2">
        <v>0</v>
      </c>
      <c r="AA512">
        <v>0</v>
      </c>
      <c r="AB512" t="s">
        <v>264</v>
      </c>
      <c r="AC512" t="s">
        <v>61</v>
      </c>
      <c r="AD512">
        <v>0</v>
      </c>
      <c r="AE512" s="2">
        <v>0</v>
      </c>
      <c r="AF512" s="2">
        <v>0</v>
      </c>
      <c r="AG512" s="3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45957</v>
      </c>
      <c r="B513" t="s">
        <v>48</v>
      </c>
      <c r="C513">
        <v>649163</v>
      </c>
      <c r="D513">
        <v>2025422151</v>
      </c>
      <c r="E513" t="s">
        <v>669</v>
      </c>
      <c r="F513" t="s">
        <v>404</v>
      </c>
      <c r="G513" t="s">
        <v>51</v>
      </c>
      <c r="H513" t="s">
        <v>195</v>
      </c>
      <c r="I513" s="2">
        <v>53.08</v>
      </c>
      <c r="J513" t="s">
        <v>59</v>
      </c>
      <c r="K513" s="3">
        <v>0.06</v>
      </c>
      <c r="L513" s="2">
        <v>0</v>
      </c>
      <c r="M513" s="2">
        <v>3.18</v>
      </c>
      <c r="N513" s="2">
        <v>3.18</v>
      </c>
      <c r="O513" t="s">
        <v>378</v>
      </c>
      <c r="P513" t="s">
        <v>379</v>
      </c>
      <c r="Q513">
        <v>650218</v>
      </c>
      <c r="R513" t="s">
        <v>357</v>
      </c>
      <c r="S513" t="s">
        <v>358</v>
      </c>
      <c r="T513" t="s">
        <v>57</v>
      </c>
      <c r="U513" s="1">
        <v>45597</v>
      </c>
      <c r="W513" s="1">
        <v>45992</v>
      </c>
      <c r="X513">
        <v>1</v>
      </c>
      <c r="Y513" t="s">
        <v>58</v>
      </c>
      <c r="Z513" s="2">
        <v>0</v>
      </c>
      <c r="AA513">
        <v>0</v>
      </c>
      <c r="AB513" t="s">
        <v>264</v>
      </c>
      <c r="AC513" t="s">
        <v>61</v>
      </c>
      <c r="AD513">
        <v>0</v>
      </c>
      <c r="AE513" s="2">
        <v>0</v>
      </c>
      <c r="AF513" s="2">
        <v>0</v>
      </c>
      <c r="AG513" s="3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45957</v>
      </c>
      <c r="B514" t="s">
        <v>48</v>
      </c>
      <c r="C514">
        <v>649163</v>
      </c>
      <c r="D514">
        <v>2025510781</v>
      </c>
      <c r="E514" t="s">
        <v>576</v>
      </c>
      <c r="F514" t="s">
        <v>847</v>
      </c>
      <c r="G514" t="s">
        <v>51</v>
      </c>
      <c r="H514" t="s">
        <v>439</v>
      </c>
      <c r="I514" s="2">
        <v>28.66</v>
      </c>
      <c r="J514" t="s">
        <v>59</v>
      </c>
      <c r="K514" s="3">
        <v>0.06</v>
      </c>
      <c r="L514" s="2">
        <v>0</v>
      </c>
      <c r="M514" s="2">
        <v>1.72</v>
      </c>
      <c r="N514" s="2">
        <v>1.72</v>
      </c>
      <c r="O514" t="s">
        <v>378</v>
      </c>
      <c r="P514" t="s">
        <v>379</v>
      </c>
      <c r="Q514">
        <v>767312</v>
      </c>
      <c r="R514" t="s">
        <v>237</v>
      </c>
      <c r="S514" t="s">
        <v>103</v>
      </c>
      <c r="T514" t="s">
        <v>57</v>
      </c>
      <c r="U514" s="1">
        <v>45597</v>
      </c>
      <c r="W514" s="1">
        <v>45992</v>
      </c>
      <c r="X514">
        <v>1</v>
      </c>
      <c r="Y514" t="s">
        <v>58</v>
      </c>
      <c r="Z514" s="2">
        <v>0</v>
      </c>
      <c r="AA514">
        <v>0</v>
      </c>
      <c r="AB514" t="s">
        <v>264</v>
      </c>
      <c r="AC514" t="s">
        <v>61</v>
      </c>
      <c r="AD514">
        <v>0</v>
      </c>
      <c r="AE514" s="2">
        <v>0</v>
      </c>
      <c r="AF514" s="2">
        <v>0</v>
      </c>
      <c r="AG514" s="3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45957</v>
      </c>
      <c r="B515" t="s">
        <v>48</v>
      </c>
      <c r="C515">
        <v>649163</v>
      </c>
      <c r="D515">
        <v>2025525731</v>
      </c>
      <c r="E515" t="s">
        <v>848</v>
      </c>
      <c r="F515" t="s">
        <v>849</v>
      </c>
      <c r="G515" t="s">
        <v>51</v>
      </c>
      <c r="H515" t="s">
        <v>293</v>
      </c>
      <c r="I515" s="2">
        <v>27.04</v>
      </c>
      <c r="J515" t="s">
        <v>59</v>
      </c>
      <c r="K515" s="3">
        <v>0.06</v>
      </c>
      <c r="L515" s="2">
        <v>0</v>
      </c>
      <c r="M515" s="2">
        <v>1.62</v>
      </c>
      <c r="N515" s="2">
        <v>1.62</v>
      </c>
      <c r="O515" t="s">
        <v>378</v>
      </c>
      <c r="P515" t="s">
        <v>379</v>
      </c>
      <c r="Q515">
        <v>767312</v>
      </c>
      <c r="R515" t="s">
        <v>237</v>
      </c>
      <c r="S515" t="s">
        <v>103</v>
      </c>
      <c r="T515" t="s">
        <v>57</v>
      </c>
      <c r="U515" s="1">
        <v>45595</v>
      </c>
      <c r="W515" s="1">
        <v>45991</v>
      </c>
      <c r="X515">
        <v>1</v>
      </c>
      <c r="Y515" t="s">
        <v>58</v>
      </c>
      <c r="Z515" s="2">
        <v>0</v>
      </c>
      <c r="AA515">
        <v>0</v>
      </c>
      <c r="AB515" t="s">
        <v>264</v>
      </c>
      <c r="AC515" t="s">
        <v>61</v>
      </c>
      <c r="AD515">
        <v>0</v>
      </c>
      <c r="AE515" s="2">
        <v>0</v>
      </c>
      <c r="AF515" s="2">
        <v>0</v>
      </c>
      <c r="AG515" s="3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45957</v>
      </c>
      <c r="B516" t="s">
        <v>48</v>
      </c>
      <c r="C516">
        <v>649163</v>
      </c>
      <c r="D516">
        <v>2025535694</v>
      </c>
      <c r="E516" t="s">
        <v>764</v>
      </c>
      <c r="F516" t="s">
        <v>765</v>
      </c>
      <c r="G516" t="s">
        <v>51</v>
      </c>
      <c r="H516" t="s">
        <v>52</v>
      </c>
      <c r="I516" s="2">
        <v>52.6</v>
      </c>
      <c r="J516" t="s">
        <v>59</v>
      </c>
      <c r="K516" s="3">
        <v>0.06</v>
      </c>
      <c r="L516" s="2">
        <v>0</v>
      </c>
      <c r="M516" s="2">
        <v>3.16</v>
      </c>
      <c r="N516" s="2">
        <v>3.16</v>
      </c>
      <c r="O516" t="s">
        <v>378</v>
      </c>
      <c r="P516" t="s">
        <v>379</v>
      </c>
      <c r="Q516">
        <v>756418</v>
      </c>
      <c r="R516" t="s">
        <v>191</v>
      </c>
      <c r="S516" t="s">
        <v>192</v>
      </c>
      <c r="T516" t="s">
        <v>57</v>
      </c>
      <c r="U516" s="1">
        <v>45595</v>
      </c>
      <c r="W516" s="1">
        <v>45991</v>
      </c>
      <c r="X516">
        <v>1</v>
      </c>
      <c r="Y516" t="s">
        <v>58</v>
      </c>
      <c r="Z516" s="2">
        <v>0</v>
      </c>
      <c r="AA516">
        <v>0</v>
      </c>
      <c r="AB516" t="s">
        <v>264</v>
      </c>
      <c r="AC516" t="s">
        <v>61</v>
      </c>
      <c r="AD516">
        <v>0</v>
      </c>
      <c r="AE516" s="2">
        <v>0</v>
      </c>
      <c r="AF516" s="2">
        <v>0</v>
      </c>
      <c r="AG516" s="3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45957</v>
      </c>
      <c r="B517" t="s">
        <v>48</v>
      </c>
      <c r="C517">
        <v>649163</v>
      </c>
      <c r="D517">
        <v>2025541352</v>
      </c>
      <c r="E517" t="s">
        <v>672</v>
      </c>
      <c r="F517" t="s">
        <v>673</v>
      </c>
      <c r="G517" t="s">
        <v>51</v>
      </c>
      <c r="H517" t="s">
        <v>208</v>
      </c>
      <c r="I517" s="2">
        <v>34.049999999999997</v>
      </c>
      <c r="J517" t="s">
        <v>59</v>
      </c>
      <c r="K517" s="3">
        <v>0.06</v>
      </c>
      <c r="L517" s="2">
        <v>0</v>
      </c>
      <c r="M517" s="2">
        <v>2.04</v>
      </c>
      <c r="N517" s="2">
        <v>2.04</v>
      </c>
      <c r="O517" t="s">
        <v>378</v>
      </c>
      <c r="P517" t="s">
        <v>379</v>
      </c>
      <c r="Q517">
        <v>650218</v>
      </c>
      <c r="R517" t="s">
        <v>357</v>
      </c>
      <c r="S517" t="s">
        <v>358</v>
      </c>
      <c r="T517" t="s">
        <v>57</v>
      </c>
      <c r="U517" s="1">
        <v>45597</v>
      </c>
      <c r="W517" s="1">
        <v>45992</v>
      </c>
      <c r="X517">
        <v>1</v>
      </c>
      <c r="Y517" t="s">
        <v>58</v>
      </c>
      <c r="Z517" s="2">
        <v>0</v>
      </c>
      <c r="AA517">
        <v>0</v>
      </c>
      <c r="AB517" t="s">
        <v>264</v>
      </c>
      <c r="AC517" t="s">
        <v>61</v>
      </c>
      <c r="AD517">
        <v>0</v>
      </c>
      <c r="AE517" s="2">
        <v>0</v>
      </c>
      <c r="AF517" s="2">
        <v>0</v>
      </c>
      <c r="AG517" s="3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45957</v>
      </c>
      <c r="B518" t="s">
        <v>48</v>
      </c>
      <c r="C518">
        <v>649163</v>
      </c>
      <c r="D518">
        <v>2025550301</v>
      </c>
      <c r="E518" t="s">
        <v>766</v>
      </c>
      <c r="F518" t="s">
        <v>240</v>
      </c>
      <c r="G518" t="s">
        <v>51</v>
      </c>
      <c r="H518" t="s">
        <v>52</v>
      </c>
      <c r="I518" s="2">
        <v>37.130000000000003</v>
      </c>
      <c r="J518" t="s">
        <v>59</v>
      </c>
      <c r="K518" s="3">
        <v>0.06</v>
      </c>
      <c r="L518" s="2">
        <v>0</v>
      </c>
      <c r="M518" s="2">
        <v>2.23</v>
      </c>
      <c r="N518" s="2">
        <v>2.23</v>
      </c>
      <c r="O518" t="s">
        <v>378</v>
      </c>
      <c r="P518" t="s">
        <v>379</v>
      </c>
      <c r="Q518">
        <v>649164</v>
      </c>
      <c r="R518" t="s">
        <v>313</v>
      </c>
      <c r="S518" t="s">
        <v>314</v>
      </c>
      <c r="T518" t="s">
        <v>57</v>
      </c>
      <c r="U518" s="1">
        <v>45597</v>
      </c>
      <c r="W518" s="1">
        <v>45992</v>
      </c>
      <c r="X518">
        <v>1</v>
      </c>
      <c r="Y518" t="s">
        <v>58</v>
      </c>
      <c r="Z518" s="2">
        <v>0</v>
      </c>
      <c r="AA518">
        <v>0</v>
      </c>
      <c r="AB518" t="s">
        <v>264</v>
      </c>
      <c r="AC518" t="s">
        <v>61</v>
      </c>
      <c r="AD518">
        <v>0</v>
      </c>
      <c r="AE518" s="2">
        <v>0</v>
      </c>
      <c r="AF518" s="2">
        <v>0</v>
      </c>
      <c r="AG518" s="3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45957</v>
      </c>
      <c r="B519" t="s">
        <v>48</v>
      </c>
      <c r="C519">
        <v>649163</v>
      </c>
      <c r="D519">
        <v>2025560708</v>
      </c>
      <c r="E519" t="s">
        <v>850</v>
      </c>
      <c r="F519" t="s">
        <v>110</v>
      </c>
      <c r="G519" t="s">
        <v>51</v>
      </c>
      <c r="H519" t="s">
        <v>195</v>
      </c>
      <c r="I519" s="2">
        <v>200.79</v>
      </c>
      <c r="J519" t="s">
        <v>59</v>
      </c>
      <c r="K519" s="3">
        <v>0.06</v>
      </c>
      <c r="L519" s="2">
        <v>0</v>
      </c>
      <c r="M519" s="2">
        <v>12.05</v>
      </c>
      <c r="N519" s="2">
        <v>12.05</v>
      </c>
      <c r="O519" t="s">
        <v>378</v>
      </c>
      <c r="P519" t="s">
        <v>379</v>
      </c>
      <c r="Q519">
        <v>780434</v>
      </c>
      <c r="R519" t="s">
        <v>499</v>
      </c>
      <c r="S519" t="s">
        <v>110</v>
      </c>
      <c r="T519" t="s">
        <v>57</v>
      </c>
      <c r="U519" s="1">
        <v>45597</v>
      </c>
      <c r="W519" s="1">
        <v>45992</v>
      </c>
      <c r="X519">
        <v>1</v>
      </c>
      <c r="Y519" t="s">
        <v>58</v>
      </c>
      <c r="Z519" s="2">
        <v>0</v>
      </c>
      <c r="AA519">
        <v>0</v>
      </c>
      <c r="AB519" t="s">
        <v>264</v>
      </c>
      <c r="AC519" t="s">
        <v>61</v>
      </c>
      <c r="AD519">
        <v>0</v>
      </c>
      <c r="AE519" s="2">
        <v>0</v>
      </c>
      <c r="AF519" s="2">
        <v>0</v>
      </c>
      <c r="AG519" s="3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45957</v>
      </c>
      <c r="B520" t="s">
        <v>48</v>
      </c>
      <c r="C520">
        <v>649163</v>
      </c>
      <c r="D520">
        <v>2025563318</v>
      </c>
      <c r="E520" t="s">
        <v>674</v>
      </c>
      <c r="F520" t="s">
        <v>675</v>
      </c>
      <c r="G520" t="s">
        <v>51</v>
      </c>
      <c r="H520" t="s">
        <v>78</v>
      </c>
      <c r="I520" s="2">
        <v>33.880000000000003</v>
      </c>
      <c r="J520" t="s">
        <v>59</v>
      </c>
      <c r="K520" s="3">
        <v>0.06</v>
      </c>
      <c r="L520" s="2">
        <v>0</v>
      </c>
      <c r="M520" s="2">
        <v>2.0299999999999998</v>
      </c>
      <c r="N520" s="2">
        <v>2.0299999999999998</v>
      </c>
      <c r="O520" t="s">
        <v>378</v>
      </c>
      <c r="P520" t="s">
        <v>379</v>
      </c>
      <c r="Q520">
        <v>650218</v>
      </c>
      <c r="R520" t="s">
        <v>357</v>
      </c>
      <c r="S520" t="s">
        <v>358</v>
      </c>
      <c r="T520" t="s">
        <v>57</v>
      </c>
      <c r="U520" s="1">
        <v>45597</v>
      </c>
      <c r="W520" s="1">
        <v>45992</v>
      </c>
      <c r="X520">
        <v>1</v>
      </c>
      <c r="Y520" t="s">
        <v>58</v>
      </c>
      <c r="Z520" s="2">
        <v>0</v>
      </c>
      <c r="AA520">
        <v>0</v>
      </c>
      <c r="AB520" t="s">
        <v>264</v>
      </c>
      <c r="AC520" t="s">
        <v>61</v>
      </c>
      <c r="AD520">
        <v>0</v>
      </c>
      <c r="AE520" s="2">
        <v>0</v>
      </c>
      <c r="AF520" s="2">
        <v>0</v>
      </c>
      <c r="AG520" s="3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45957</v>
      </c>
      <c r="B521" t="s">
        <v>48</v>
      </c>
      <c r="C521">
        <v>649163</v>
      </c>
      <c r="D521">
        <v>2029132494</v>
      </c>
      <c r="E521" t="s">
        <v>948</v>
      </c>
      <c r="F521" t="s">
        <v>66</v>
      </c>
      <c r="G521" t="s">
        <v>51</v>
      </c>
      <c r="H521" t="s">
        <v>439</v>
      </c>
      <c r="I521" s="2">
        <v>43.59</v>
      </c>
      <c r="J521" t="s">
        <v>59</v>
      </c>
      <c r="K521" s="4">
        <v>9.5000000000000001E-2</v>
      </c>
      <c r="L521" s="2">
        <v>4.1399999999999997</v>
      </c>
      <c r="M521" s="2">
        <v>0</v>
      </c>
      <c r="N521" s="2">
        <v>0</v>
      </c>
      <c r="O521" t="s">
        <v>378</v>
      </c>
      <c r="P521" t="s">
        <v>379</v>
      </c>
      <c r="Q521">
        <v>820140</v>
      </c>
      <c r="R521" t="s">
        <v>440</v>
      </c>
      <c r="S521" t="s">
        <v>407</v>
      </c>
      <c r="T521" t="s">
        <v>57</v>
      </c>
      <c r="U521" s="1">
        <v>45809</v>
      </c>
      <c r="W521" s="1">
        <v>45992</v>
      </c>
      <c r="X521">
        <v>1</v>
      </c>
      <c r="Y521" t="s">
        <v>58</v>
      </c>
      <c r="Z521" s="2">
        <v>0</v>
      </c>
      <c r="AA521">
        <v>0</v>
      </c>
      <c r="AB521" t="s">
        <v>60</v>
      </c>
      <c r="AC521" t="s">
        <v>61</v>
      </c>
      <c r="AD521">
        <v>0</v>
      </c>
      <c r="AE521" s="2">
        <v>0</v>
      </c>
      <c r="AF521" s="2">
        <v>0</v>
      </c>
      <c r="AG521" s="3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45957</v>
      </c>
      <c r="B522" t="s">
        <v>48</v>
      </c>
      <c r="C522">
        <v>649163</v>
      </c>
      <c r="D522">
        <v>2029140522</v>
      </c>
      <c r="E522" t="s">
        <v>437</v>
      </c>
      <c r="F522" t="s">
        <v>268</v>
      </c>
      <c r="G522" t="s">
        <v>51</v>
      </c>
      <c r="H522" t="s">
        <v>439</v>
      </c>
      <c r="I522" s="2">
        <v>32.43</v>
      </c>
      <c r="J522" t="s">
        <v>59</v>
      </c>
      <c r="K522" s="4">
        <v>9.5000000000000001E-2</v>
      </c>
      <c r="L522" s="2">
        <v>3.08</v>
      </c>
      <c r="M522" s="2">
        <v>0</v>
      </c>
      <c r="N522" s="2">
        <v>0</v>
      </c>
      <c r="O522" t="s">
        <v>378</v>
      </c>
      <c r="P522" t="s">
        <v>379</v>
      </c>
      <c r="Q522">
        <v>820140</v>
      </c>
      <c r="R522" t="s">
        <v>440</v>
      </c>
      <c r="S522" t="s">
        <v>407</v>
      </c>
      <c r="T522" t="s">
        <v>57</v>
      </c>
      <c r="U522" s="1">
        <v>45809</v>
      </c>
      <c r="W522" s="1">
        <v>45992</v>
      </c>
      <c r="X522">
        <v>1</v>
      </c>
      <c r="Y522" t="s">
        <v>58</v>
      </c>
      <c r="Z522" s="2">
        <v>0</v>
      </c>
      <c r="AA522">
        <v>0</v>
      </c>
      <c r="AB522" t="s">
        <v>60</v>
      </c>
      <c r="AC522" t="s">
        <v>61</v>
      </c>
      <c r="AD522">
        <v>0</v>
      </c>
      <c r="AE522" s="2">
        <v>0</v>
      </c>
      <c r="AF522" s="2">
        <v>0</v>
      </c>
      <c r="AG522" s="3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45957</v>
      </c>
      <c r="B523" t="s">
        <v>48</v>
      </c>
      <c r="C523">
        <v>649163</v>
      </c>
      <c r="D523">
        <v>2023980077</v>
      </c>
      <c r="E523" t="s">
        <v>277</v>
      </c>
      <c r="F523" t="s">
        <v>278</v>
      </c>
      <c r="G523" t="s">
        <v>51</v>
      </c>
      <c r="H523" t="s">
        <v>129</v>
      </c>
      <c r="I523" s="2">
        <v>32.74</v>
      </c>
      <c r="J523" t="s">
        <v>59</v>
      </c>
      <c r="K523" s="4">
        <v>0.375</v>
      </c>
      <c r="L523" s="2">
        <v>0</v>
      </c>
      <c r="M523" s="2">
        <v>12.28</v>
      </c>
      <c r="N523" s="2">
        <v>12.28</v>
      </c>
      <c r="O523" t="s">
        <v>378</v>
      </c>
      <c r="P523" t="s">
        <v>379</v>
      </c>
      <c r="Q523">
        <v>673059</v>
      </c>
      <c r="R523" t="s">
        <v>55</v>
      </c>
      <c r="S523" t="s">
        <v>56</v>
      </c>
      <c r="T523" t="s">
        <v>57</v>
      </c>
      <c r="U523" s="1">
        <v>45657</v>
      </c>
      <c r="W523" s="1">
        <v>45991</v>
      </c>
      <c r="X523">
        <v>1</v>
      </c>
      <c r="Y523" t="s">
        <v>58</v>
      </c>
      <c r="Z523" s="2">
        <v>0</v>
      </c>
      <c r="AA523">
        <v>0</v>
      </c>
      <c r="AB523" t="s">
        <v>60</v>
      </c>
      <c r="AC523" t="s">
        <v>61</v>
      </c>
      <c r="AD523">
        <v>0</v>
      </c>
      <c r="AE523" s="2">
        <v>0</v>
      </c>
      <c r="AF523" s="2">
        <v>0</v>
      </c>
      <c r="AG523" s="3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45957</v>
      </c>
      <c r="B524" t="s">
        <v>48</v>
      </c>
      <c r="C524">
        <v>649163</v>
      </c>
      <c r="D524">
        <v>2025639473</v>
      </c>
      <c r="E524" t="s">
        <v>851</v>
      </c>
      <c r="F524" t="s">
        <v>852</v>
      </c>
      <c r="G524" t="s">
        <v>51</v>
      </c>
      <c r="H524" t="s">
        <v>69</v>
      </c>
      <c r="I524" s="2">
        <v>60.94</v>
      </c>
      <c r="J524" t="s">
        <v>59</v>
      </c>
      <c r="K524" s="4">
        <v>0.375</v>
      </c>
      <c r="L524" s="2">
        <v>0</v>
      </c>
      <c r="M524" s="2">
        <v>22.85</v>
      </c>
      <c r="N524" s="2">
        <v>22.85</v>
      </c>
      <c r="O524" t="s">
        <v>378</v>
      </c>
      <c r="P524" t="s">
        <v>379</v>
      </c>
      <c r="Q524">
        <v>789909</v>
      </c>
      <c r="R524" t="s">
        <v>243</v>
      </c>
      <c r="S524" t="s">
        <v>244</v>
      </c>
      <c r="T524" t="s">
        <v>57</v>
      </c>
      <c r="U524" s="1">
        <v>45689</v>
      </c>
      <c r="W524" s="1">
        <v>45992</v>
      </c>
      <c r="X524">
        <v>1</v>
      </c>
      <c r="Y524" t="s">
        <v>58</v>
      </c>
      <c r="Z524" s="2">
        <v>0</v>
      </c>
      <c r="AA524">
        <v>0</v>
      </c>
      <c r="AB524" t="s">
        <v>60</v>
      </c>
      <c r="AC524" t="s">
        <v>61</v>
      </c>
      <c r="AD524">
        <v>0</v>
      </c>
      <c r="AE524" s="2">
        <v>0</v>
      </c>
      <c r="AF524" s="2">
        <v>0</v>
      </c>
      <c r="AG524" s="3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45957</v>
      </c>
      <c r="B525" t="s">
        <v>48</v>
      </c>
      <c r="C525">
        <v>649163</v>
      </c>
      <c r="D525">
        <v>2025934062</v>
      </c>
      <c r="E525" t="s">
        <v>508</v>
      </c>
      <c r="F525" t="s">
        <v>509</v>
      </c>
      <c r="G525" t="s">
        <v>51</v>
      </c>
      <c r="H525" t="s">
        <v>195</v>
      </c>
      <c r="I525" s="2">
        <v>44.98</v>
      </c>
      <c r="J525" t="s">
        <v>59</v>
      </c>
      <c r="K525" s="4">
        <v>0.375</v>
      </c>
      <c r="L525" s="2">
        <v>0</v>
      </c>
      <c r="M525" s="2">
        <v>16.87</v>
      </c>
      <c r="N525" s="2">
        <v>16.87</v>
      </c>
      <c r="O525" t="s">
        <v>378</v>
      </c>
      <c r="P525" t="s">
        <v>379</v>
      </c>
      <c r="Q525">
        <v>751867</v>
      </c>
      <c r="R525" t="s">
        <v>349</v>
      </c>
      <c r="S525" t="s">
        <v>312</v>
      </c>
      <c r="T525" t="s">
        <v>57</v>
      </c>
      <c r="U525" s="1">
        <v>45627</v>
      </c>
      <c r="W525" s="1">
        <v>45962</v>
      </c>
      <c r="X525">
        <v>1</v>
      </c>
      <c r="Y525" t="s">
        <v>58</v>
      </c>
      <c r="Z525" s="2">
        <v>0</v>
      </c>
      <c r="AA525">
        <v>0</v>
      </c>
      <c r="AB525" t="s">
        <v>60</v>
      </c>
      <c r="AC525" t="s">
        <v>61</v>
      </c>
      <c r="AD525">
        <v>0</v>
      </c>
      <c r="AE525" s="2">
        <v>0</v>
      </c>
      <c r="AF525" s="2">
        <v>0</v>
      </c>
      <c r="AG525" s="3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45957</v>
      </c>
      <c r="B526" t="s">
        <v>48</v>
      </c>
      <c r="C526">
        <v>649163</v>
      </c>
      <c r="D526">
        <v>2025967187</v>
      </c>
      <c r="E526" t="s">
        <v>547</v>
      </c>
      <c r="F526" t="s">
        <v>676</v>
      </c>
      <c r="G526" t="s">
        <v>51</v>
      </c>
      <c r="H526" t="s">
        <v>234</v>
      </c>
      <c r="I526" s="2">
        <v>30.46</v>
      </c>
      <c r="J526" t="s">
        <v>59</v>
      </c>
      <c r="K526" s="4">
        <v>0.375</v>
      </c>
      <c r="L526" s="2">
        <v>0</v>
      </c>
      <c r="M526" s="2">
        <v>11.42</v>
      </c>
      <c r="N526" s="2">
        <v>11.42</v>
      </c>
      <c r="O526" t="s">
        <v>378</v>
      </c>
      <c r="P526" t="s">
        <v>379</v>
      </c>
      <c r="Q526">
        <v>756418</v>
      </c>
      <c r="R526" t="s">
        <v>191</v>
      </c>
      <c r="S526" t="s">
        <v>192</v>
      </c>
      <c r="T526" t="s">
        <v>57</v>
      </c>
      <c r="U526" s="1">
        <v>45626</v>
      </c>
      <c r="W526" s="1">
        <v>45991</v>
      </c>
      <c r="X526">
        <v>1</v>
      </c>
      <c r="Y526" t="s">
        <v>58</v>
      </c>
      <c r="Z526" s="2">
        <v>0</v>
      </c>
      <c r="AA526">
        <v>0</v>
      </c>
      <c r="AB526" t="s">
        <v>60</v>
      </c>
      <c r="AC526" t="s">
        <v>61</v>
      </c>
      <c r="AD526">
        <v>0</v>
      </c>
      <c r="AE526" s="2">
        <v>0</v>
      </c>
      <c r="AF526" s="2">
        <v>0</v>
      </c>
      <c r="AG526" s="3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45957</v>
      </c>
      <c r="B527" t="s">
        <v>48</v>
      </c>
      <c r="C527">
        <v>649163</v>
      </c>
      <c r="D527">
        <v>2025997431</v>
      </c>
      <c r="E527" t="s">
        <v>579</v>
      </c>
      <c r="F527" t="s">
        <v>490</v>
      </c>
      <c r="G527" t="s">
        <v>51</v>
      </c>
      <c r="H527" t="s">
        <v>81</v>
      </c>
      <c r="I527" s="2">
        <v>51.57</v>
      </c>
      <c r="J527" t="s">
        <v>59</v>
      </c>
      <c r="K527" s="4">
        <v>0.375</v>
      </c>
      <c r="L527" s="2">
        <v>0</v>
      </c>
      <c r="M527" s="2">
        <v>19.34</v>
      </c>
      <c r="N527" s="2">
        <v>19.34</v>
      </c>
      <c r="O527" t="s">
        <v>378</v>
      </c>
      <c r="P527" t="s">
        <v>379</v>
      </c>
      <c r="Q527">
        <v>673059</v>
      </c>
      <c r="R527" t="s">
        <v>55</v>
      </c>
      <c r="S527" t="s">
        <v>56</v>
      </c>
      <c r="T527" t="s">
        <v>57</v>
      </c>
      <c r="U527" s="1">
        <v>45689</v>
      </c>
      <c r="W527" s="1">
        <v>45992</v>
      </c>
      <c r="X527">
        <v>1</v>
      </c>
      <c r="Y527" t="s">
        <v>58</v>
      </c>
      <c r="Z527" s="2">
        <v>0</v>
      </c>
      <c r="AA527">
        <v>0</v>
      </c>
      <c r="AB527" t="s">
        <v>60</v>
      </c>
      <c r="AC527" t="s">
        <v>61</v>
      </c>
      <c r="AD527">
        <v>0</v>
      </c>
      <c r="AE527" s="2">
        <v>0</v>
      </c>
      <c r="AF527" s="2">
        <v>0</v>
      </c>
      <c r="AG527" s="3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45957</v>
      </c>
      <c r="B528" t="s">
        <v>48</v>
      </c>
      <c r="C528">
        <v>649163</v>
      </c>
      <c r="D528">
        <v>2026006727</v>
      </c>
      <c r="E528" t="s">
        <v>771</v>
      </c>
      <c r="F528" t="s">
        <v>772</v>
      </c>
      <c r="G528" t="s">
        <v>51</v>
      </c>
      <c r="H528" t="s">
        <v>129</v>
      </c>
      <c r="I528" s="2">
        <v>65.989999999999995</v>
      </c>
      <c r="J528" t="s">
        <v>59</v>
      </c>
      <c r="K528" s="4">
        <v>0.375</v>
      </c>
      <c r="L528" s="2">
        <v>0</v>
      </c>
      <c r="M528" s="2">
        <v>24.75</v>
      </c>
      <c r="N528" s="2">
        <v>24.75</v>
      </c>
      <c r="O528" t="s">
        <v>378</v>
      </c>
      <c r="P528" t="s">
        <v>379</v>
      </c>
      <c r="Q528">
        <v>673059</v>
      </c>
      <c r="R528" t="s">
        <v>55</v>
      </c>
      <c r="S528" t="s">
        <v>56</v>
      </c>
      <c r="T528" t="s">
        <v>57</v>
      </c>
      <c r="U528" s="1">
        <v>45655</v>
      </c>
      <c r="W528" s="1">
        <v>45990</v>
      </c>
      <c r="X528">
        <v>1</v>
      </c>
      <c r="Y528" t="s">
        <v>58</v>
      </c>
      <c r="Z528" s="2">
        <v>0</v>
      </c>
      <c r="AA528">
        <v>0</v>
      </c>
      <c r="AB528" t="s">
        <v>60</v>
      </c>
      <c r="AC528" t="s">
        <v>61</v>
      </c>
      <c r="AD528">
        <v>0</v>
      </c>
      <c r="AE528" s="2">
        <v>0</v>
      </c>
      <c r="AF528" s="2">
        <v>0</v>
      </c>
      <c r="AG528" s="3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45957</v>
      </c>
      <c r="B529" t="s">
        <v>48</v>
      </c>
      <c r="C529">
        <v>649163</v>
      </c>
      <c r="D529">
        <v>2026388600</v>
      </c>
      <c r="E529" t="s">
        <v>853</v>
      </c>
      <c r="F529" t="s">
        <v>98</v>
      </c>
      <c r="G529" t="s">
        <v>51</v>
      </c>
      <c r="H529" t="s">
        <v>261</v>
      </c>
      <c r="I529" s="2">
        <v>50.67</v>
      </c>
      <c r="J529" t="s">
        <v>59</v>
      </c>
      <c r="K529" s="4">
        <v>0.375</v>
      </c>
      <c r="L529" s="2">
        <v>0</v>
      </c>
      <c r="M529" s="2">
        <v>19</v>
      </c>
      <c r="N529" s="2">
        <v>19</v>
      </c>
      <c r="O529" t="s">
        <v>378</v>
      </c>
      <c r="P529" t="s">
        <v>379</v>
      </c>
      <c r="Q529">
        <v>673059</v>
      </c>
      <c r="R529" t="s">
        <v>55</v>
      </c>
      <c r="S529" t="s">
        <v>56</v>
      </c>
      <c r="T529" t="s">
        <v>57</v>
      </c>
      <c r="U529" s="1">
        <v>45689</v>
      </c>
      <c r="W529" s="1">
        <v>45992</v>
      </c>
      <c r="X529">
        <v>1</v>
      </c>
      <c r="Y529" t="s">
        <v>58</v>
      </c>
      <c r="Z529" s="2">
        <v>0</v>
      </c>
      <c r="AA529">
        <v>0</v>
      </c>
      <c r="AB529" t="s">
        <v>60</v>
      </c>
      <c r="AC529" t="s">
        <v>61</v>
      </c>
      <c r="AD529">
        <v>0</v>
      </c>
      <c r="AE529" s="2">
        <v>0</v>
      </c>
      <c r="AF529" s="2">
        <v>0</v>
      </c>
      <c r="AG529" s="3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45957</v>
      </c>
      <c r="B530" t="s">
        <v>48</v>
      </c>
      <c r="C530">
        <v>649163</v>
      </c>
      <c r="D530">
        <v>2026421011</v>
      </c>
      <c r="E530" t="s">
        <v>775</v>
      </c>
      <c r="F530" t="s">
        <v>230</v>
      </c>
      <c r="G530" t="s">
        <v>51</v>
      </c>
      <c r="H530" t="s">
        <v>69</v>
      </c>
      <c r="I530" s="2">
        <v>48.61</v>
      </c>
      <c r="J530" t="s">
        <v>59</v>
      </c>
      <c r="K530" s="4">
        <v>0.375</v>
      </c>
      <c r="L530" s="2">
        <v>0</v>
      </c>
      <c r="M530" s="2">
        <v>18.23</v>
      </c>
      <c r="N530" s="2">
        <v>18.23</v>
      </c>
      <c r="O530" t="s">
        <v>378</v>
      </c>
      <c r="P530" t="s">
        <v>379</v>
      </c>
      <c r="Q530">
        <v>766747</v>
      </c>
      <c r="R530" t="s">
        <v>97</v>
      </c>
      <c r="S530" t="s">
        <v>98</v>
      </c>
      <c r="T530" t="s">
        <v>57</v>
      </c>
      <c r="U530" s="1">
        <v>45689</v>
      </c>
      <c r="W530" s="1">
        <v>45992</v>
      </c>
      <c r="X530">
        <v>1</v>
      </c>
      <c r="Y530" t="s">
        <v>58</v>
      </c>
      <c r="Z530" s="2">
        <v>0</v>
      </c>
      <c r="AA530">
        <v>0</v>
      </c>
      <c r="AB530" t="s">
        <v>60</v>
      </c>
      <c r="AC530" t="s">
        <v>61</v>
      </c>
      <c r="AD530">
        <v>0</v>
      </c>
      <c r="AE530" s="2">
        <v>0</v>
      </c>
      <c r="AF530" s="2">
        <v>0</v>
      </c>
      <c r="AG530" s="3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45957</v>
      </c>
      <c r="B531" t="s">
        <v>48</v>
      </c>
      <c r="C531">
        <v>649163</v>
      </c>
      <c r="D531">
        <v>2026471873</v>
      </c>
      <c r="E531" t="s">
        <v>510</v>
      </c>
      <c r="F531" t="s">
        <v>511</v>
      </c>
      <c r="G531" t="s">
        <v>51</v>
      </c>
      <c r="H531" t="s">
        <v>182</v>
      </c>
      <c r="I531" s="2">
        <v>29.32</v>
      </c>
      <c r="J531" t="s">
        <v>59</v>
      </c>
      <c r="K531" s="4">
        <v>0.375</v>
      </c>
      <c r="L531" s="2">
        <v>0</v>
      </c>
      <c r="M531" s="2">
        <v>11</v>
      </c>
      <c r="N531" s="2">
        <v>11</v>
      </c>
      <c r="O531" t="s">
        <v>378</v>
      </c>
      <c r="P531" t="s">
        <v>379</v>
      </c>
      <c r="Q531">
        <v>673059</v>
      </c>
      <c r="R531" t="s">
        <v>55</v>
      </c>
      <c r="S531" t="s">
        <v>56</v>
      </c>
      <c r="T531" t="s">
        <v>57</v>
      </c>
      <c r="U531" s="1">
        <v>45689</v>
      </c>
      <c r="W531" s="1">
        <v>45992</v>
      </c>
      <c r="X531">
        <v>1</v>
      </c>
      <c r="Y531" t="s">
        <v>58</v>
      </c>
      <c r="Z531" s="2">
        <v>0</v>
      </c>
      <c r="AA531">
        <v>0</v>
      </c>
      <c r="AB531" t="s">
        <v>60</v>
      </c>
      <c r="AC531" t="s">
        <v>61</v>
      </c>
      <c r="AD531">
        <v>0</v>
      </c>
      <c r="AE531" s="2">
        <v>0</v>
      </c>
      <c r="AF531" s="2">
        <v>0</v>
      </c>
      <c r="AG531" s="3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45957</v>
      </c>
      <c r="B532" t="s">
        <v>48</v>
      </c>
      <c r="C532">
        <v>649163</v>
      </c>
      <c r="D532">
        <v>2026477627</v>
      </c>
      <c r="E532" t="s">
        <v>776</v>
      </c>
      <c r="F532" t="s">
        <v>777</v>
      </c>
      <c r="G532" t="s">
        <v>51</v>
      </c>
      <c r="H532" t="s">
        <v>165</v>
      </c>
      <c r="I532" s="2">
        <v>27.95</v>
      </c>
      <c r="J532" t="s">
        <v>59</v>
      </c>
      <c r="K532" s="4">
        <v>0.375</v>
      </c>
      <c r="L532" s="2">
        <v>0</v>
      </c>
      <c r="M532" s="2">
        <v>10.48</v>
      </c>
      <c r="N532" s="2">
        <v>10.48</v>
      </c>
      <c r="O532" t="s">
        <v>378</v>
      </c>
      <c r="P532" t="s">
        <v>379</v>
      </c>
      <c r="Q532">
        <v>673059</v>
      </c>
      <c r="R532" t="s">
        <v>55</v>
      </c>
      <c r="S532" t="s">
        <v>56</v>
      </c>
      <c r="T532" t="s">
        <v>57</v>
      </c>
      <c r="U532" s="1">
        <v>45689</v>
      </c>
      <c r="W532" s="1">
        <v>45992</v>
      </c>
      <c r="X532">
        <v>1</v>
      </c>
      <c r="Y532" t="s">
        <v>58</v>
      </c>
      <c r="Z532" s="2">
        <v>0</v>
      </c>
      <c r="AA532">
        <v>0</v>
      </c>
      <c r="AB532" t="s">
        <v>60</v>
      </c>
      <c r="AC532" t="s">
        <v>61</v>
      </c>
      <c r="AD532">
        <v>0</v>
      </c>
      <c r="AE532" s="2">
        <v>0</v>
      </c>
      <c r="AF532" s="2">
        <v>0</v>
      </c>
      <c r="AG532" s="3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45957</v>
      </c>
      <c r="B533" t="s">
        <v>48</v>
      </c>
      <c r="C533">
        <v>649163</v>
      </c>
      <c r="D533">
        <v>2026490244</v>
      </c>
      <c r="E533" t="s">
        <v>854</v>
      </c>
      <c r="F533" t="s">
        <v>855</v>
      </c>
      <c r="G533" t="s">
        <v>51</v>
      </c>
      <c r="H533" t="s">
        <v>69</v>
      </c>
      <c r="I533" s="2">
        <v>22.52</v>
      </c>
      <c r="J533" t="s">
        <v>59</v>
      </c>
      <c r="K533" s="4">
        <v>0.375</v>
      </c>
      <c r="L533" s="2">
        <v>0</v>
      </c>
      <c r="M533" s="2">
        <v>8.44</v>
      </c>
      <c r="N533" s="2">
        <v>8.44</v>
      </c>
      <c r="O533" t="s">
        <v>378</v>
      </c>
      <c r="P533" t="s">
        <v>379</v>
      </c>
      <c r="Q533">
        <v>766747</v>
      </c>
      <c r="R533" t="s">
        <v>97</v>
      </c>
      <c r="S533" t="s">
        <v>98</v>
      </c>
      <c r="T533" t="s">
        <v>57</v>
      </c>
      <c r="U533" s="1">
        <v>45689</v>
      </c>
      <c r="W533" s="1">
        <v>45992</v>
      </c>
      <c r="X533">
        <v>1</v>
      </c>
      <c r="Y533" t="s">
        <v>58</v>
      </c>
      <c r="Z533" s="2">
        <v>0</v>
      </c>
      <c r="AA533">
        <v>0</v>
      </c>
      <c r="AB533" t="s">
        <v>60</v>
      </c>
      <c r="AC533" t="s">
        <v>61</v>
      </c>
      <c r="AD533">
        <v>0</v>
      </c>
      <c r="AE533" s="2">
        <v>0</v>
      </c>
      <c r="AF533" s="2">
        <v>0</v>
      </c>
      <c r="AG533" s="3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45957</v>
      </c>
      <c r="B534" t="s">
        <v>48</v>
      </c>
      <c r="C534">
        <v>649163</v>
      </c>
      <c r="D534">
        <v>2026541090</v>
      </c>
      <c r="E534" t="s">
        <v>678</v>
      </c>
      <c r="F534" t="s">
        <v>679</v>
      </c>
      <c r="G534" t="s">
        <v>51</v>
      </c>
      <c r="H534" t="s">
        <v>195</v>
      </c>
      <c r="I534" s="2">
        <v>53.08</v>
      </c>
      <c r="J534" t="s">
        <v>59</v>
      </c>
      <c r="K534" s="4">
        <v>0.375</v>
      </c>
      <c r="L534" s="2">
        <v>0</v>
      </c>
      <c r="M534" s="2">
        <v>19.899999999999999</v>
      </c>
      <c r="N534" s="2">
        <v>19.899999999999999</v>
      </c>
      <c r="O534" t="s">
        <v>378</v>
      </c>
      <c r="P534" t="s">
        <v>379</v>
      </c>
      <c r="Q534">
        <v>650218</v>
      </c>
      <c r="R534" t="s">
        <v>357</v>
      </c>
      <c r="S534" t="s">
        <v>358</v>
      </c>
      <c r="T534" t="s">
        <v>57</v>
      </c>
      <c r="U534" s="1">
        <v>45689</v>
      </c>
      <c r="W534" s="1">
        <v>45992</v>
      </c>
      <c r="X534">
        <v>1</v>
      </c>
      <c r="Y534" t="s">
        <v>58</v>
      </c>
      <c r="Z534" s="2">
        <v>0</v>
      </c>
      <c r="AA534">
        <v>0</v>
      </c>
      <c r="AB534" t="s">
        <v>60</v>
      </c>
      <c r="AC534" t="s">
        <v>61</v>
      </c>
      <c r="AD534">
        <v>0</v>
      </c>
      <c r="AE534" s="2">
        <v>0</v>
      </c>
      <c r="AF534" s="2">
        <v>0</v>
      </c>
      <c r="AG534" s="3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45957</v>
      </c>
      <c r="B535" t="s">
        <v>48</v>
      </c>
      <c r="C535">
        <v>649163</v>
      </c>
      <c r="D535">
        <v>2026605718</v>
      </c>
      <c r="E535" t="s">
        <v>582</v>
      </c>
      <c r="F535" t="s">
        <v>106</v>
      </c>
      <c r="G535" t="s">
        <v>51</v>
      </c>
      <c r="H535" t="s">
        <v>92</v>
      </c>
      <c r="I535" s="2">
        <v>29.18</v>
      </c>
      <c r="J535" t="s">
        <v>59</v>
      </c>
      <c r="K535" s="4">
        <v>0.375</v>
      </c>
      <c r="L535" s="2">
        <v>0</v>
      </c>
      <c r="M535" s="2">
        <v>10.94</v>
      </c>
      <c r="N535" s="2">
        <v>10.94</v>
      </c>
      <c r="O535" t="s">
        <v>378</v>
      </c>
      <c r="P535" t="s">
        <v>379</v>
      </c>
      <c r="Q535">
        <v>816021</v>
      </c>
      <c r="R535" t="s">
        <v>93</v>
      </c>
      <c r="S535" t="s">
        <v>94</v>
      </c>
      <c r="T535" t="s">
        <v>57</v>
      </c>
      <c r="U535" s="1">
        <v>45689</v>
      </c>
      <c r="W535" s="1">
        <v>45992</v>
      </c>
      <c r="X535">
        <v>1</v>
      </c>
      <c r="Y535" t="s">
        <v>58</v>
      </c>
      <c r="Z535" s="2">
        <v>0</v>
      </c>
      <c r="AA535">
        <v>0</v>
      </c>
      <c r="AB535" t="s">
        <v>60</v>
      </c>
      <c r="AC535" t="s">
        <v>61</v>
      </c>
      <c r="AD535">
        <v>0</v>
      </c>
      <c r="AE535" s="2">
        <v>0</v>
      </c>
      <c r="AF535" s="2">
        <v>0</v>
      </c>
      <c r="AG535" s="3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45957</v>
      </c>
      <c r="B536" t="s">
        <v>48</v>
      </c>
      <c r="C536">
        <v>649163</v>
      </c>
      <c r="D536">
        <v>2026608091</v>
      </c>
      <c r="E536" t="s">
        <v>856</v>
      </c>
      <c r="F536" t="s">
        <v>268</v>
      </c>
      <c r="G536" t="s">
        <v>51</v>
      </c>
      <c r="H536" t="s">
        <v>92</v>
      </c>
      <c r="I536" s="2">
        <v>38.74</v>
      </c>
      <c r="J536" t="s">
        <v>59</v>
      </c>
      <c r="K536" s="4">
        <v>0.375</v>
      </c>
      <c r="L536" s="2">
        <v>0</v>
      </c>
      <c r="M536" s="2">
        <v>14.53</v>
      </c>
      <c r="N536" s="2">
        <v>14.53</v>
      </c>
      <c r="O536" t="s">
        <v>378</v>
      </c>
      <c r="P536" t="s">
        <v>379</v>
      </c>
      <c r="Q536">
        <v>816021</v>
      </c>
      <c r="R536" t="s">
        <v>93</v>
      </c>
      <c r="S536" t="s">
        <v>94</v>
      </c>
      <c r="T536" t="s">
        <v>57</v>
      </c>
      <c r="U536" s="1">
        <v>45689</v>
      </c>
      <c r="W536" s="1">
        <v>45992</v>
      </c>
      <c r="X536">
        <v>1</v>
      </c>
      <c r="Y536" t="s">
        <v>58</v>
      </c>
      <c r="Z536" s="2">
        <v>0</v>
      </c>
      <c r="AA536">
        <v>0</v>
      </c>
      <c r="AB536" t="s">
        <v>60</v>
      </c>
      <c r="AC536" t="s">
        <v>61</v>
      </c>
      <c r="AD536">
        <v>0</v>
      </c>
      <c r="AE536" s="2">
        <v>0</v>
      </c>
      <c r="AF536" s="2">
        <v>0</v>
      </c>
      <c r="AG536" s="3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45957</v>
      </c>
      <c r="B537" t="s">
        <v>48</v>
      </c>
      <c r="C537">
        <v>649163</v>
      </c>
      <c r="D537">
        <v>2026610949</v>
      </c>
      <c r="E537" t="s">
        <v>512</v>
      </c>
      <c r="F537" t="s">
        <v>513</v>
      </c>
      <c r="G537" t="s">
        <v>51</v>
      </c>
      <c r="H537" t="s">
        <v>195</v>
      </c>
      <c r="I537" s="2">
        <v>44.98</v>
      </c>
      <c r="J537" t="s">
        <v>59</v>
      </c>
      <c r="K537" s="4">
        <v>0.375</v>
      </c>
      <c r="L537" s="2">
        <v>0</v>
      </c>
      <c r="M537" s="2">
        <v>16.87</v>
      </c>
      <c r="N537" s="2">
        <v>16.87</v>
      </c>
      <c r="O537" t="s">
        <v>378</v>
      </c>
      <c r="P537" t="s">
        <v>379</v>
      </c>
      <c r="Q537">
        <v>751867</v>
      </c>
      <c r="R537" t="s">
        <v>349</v>
      </c>
      <c r="S537" t="s">
        <v>312</v>
      </c>
      <c r="T537" t="s">
        <v>57</v>
      </c>
      <c r="U537" s="1">
        <v>45689</v>
      </c>
      <c r="W537" s="1">
        <v>45992</v>
      </c>
      <c r="X537">
        <v>1</v>
      </c>
      <c r="Y537" t="s">
        <v>58</v>
      </c>
      <c r="Z537" s="2">
        <v>0</v>
      </c>
      <c r="AA537">
        <v>0</v>
      </c>
      <c r="AB537" t="s">
        <v>60</v>
      </c>
      <c r="AC537" t="s">
        <v>61</v>
      </c>
      <c r="AD537">
        <v>0</v>
      </c>
      <c r="AE537" s="2">
        <v>0</v>
      </c>
      <c r="AF537" s="2">
        <v>0</v>
      </c>
      <c r="AG537" s="3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45957</v>
      </c>
      <c r="B538" t="s">
        <v>48</v>
      </c>
      <c r="C538">
        <v>649163</v>
      </c>
      <c r="D538">
        <v>2026613384</v>
      </c>
      <c r="E538" t="s">
        <v>583</v>
      </c>
      <c r="F538" t="s">
        <v>490</v>
      </c>
      <c r="G538" t="s">
        <v>51</v>
      </c>
      <c r="H538" t="s">
        <v>52</v>
      </c>
      <c r="I538" s="2">
        <v>120.34</v>
      </c>
      <c r="J538" t="s">
        <v>59</v>
      </c>
      <c r="K538" s="4">
        <v>0.375</v>
      </c>
      <c r="L538" s="2">
        <v>0</v>
      </c>
      <c r="M538" s="2">
        <v>45.13</v>
      </c>
      <c r="N538" s="2">
        <v>45.13</v>
      </c>
      <c r="O538" t="s">
        <v>378</v>
      </c>
      <c r="P538" t="s">
        <v>379</v>
      </c>
      <c r="Q538">
        <v>673059</v>
      </c>
      <c r="R538" t="s">
        <v>55</v>
      </c>
      <c r="S538" t="s">
        <v>56</v>
      </c>
      <c r="T538" t="s">
        <v>57</v>
      </c>
      <c r="U538" s="1">
        <v>45689</v>
      </c>
      <c r="W538" s="1">
        <v>45992</v>
      </c>
      <c r="X538">
        <v>1</v>
      </c>
      <c r="Y538" t="s">
        <v>58</v>
      </c>
      <c r="Z538" s="2">
        <v>0</v>
      </c>
      <c r="AA538">
        <v>0</v>
      </c>
      <c r="AB538" t="s">
        <v>60</v>
      </c>
      <c r="AC538" t="s">
        <v>61</v>
      </c>
      <c r="AD538">
        <v>0</v>
      </c>
      <c r="AE538" s="2">
        <v>0</v>
      </c>
      <c r="AF538" s="2">
        <v>0</v>
      </c>
      <c r="AG538" s="3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45957</v>
      </c>
      <c r="B539" t="s">
        <v>48</v>
      </c>
      <c r="C539">
        <v>649163</v>
      </c>
      <c r="D539">
        <v>2026619111</v>
      </c>
      <c r="E539" t="s">
        <v>591</v>
      </c>
      <c r="F539" t="s">
        <v>592</v>
      </c>
      <c r="G539" t="s">
        <v>51</v>
      </c>
      <c r="H539" t="s">
        <v>165</v>
      </c>
      <c r="I539" s="2">
        <v>129.41</v>
      </c>
      <c r="J539" t="s">
        <v>59</v>
      </c>
      <c r="K539" s="4">
        <v>0.375</v>
      </c>
      <c r="L539" s="2">
        <v>0</v>
      </c>
      <c r="M539" s="2">
        <v>48.53</v>
      </c>
      <c r="N539" s="2">
        <v>48.53</v>
      </c>
      <c r="O539" t="s">
        <v>378</v>
      </c>
      <c r="P539" t="s">
        <v>379</v>
      </c>
      <c r="Q539">
        <v>673059</v>
      </c>
      <c r="R539" t="s">
        <v>55</v>
      </c>
      <c r="S539" t="s">
        <v>56</v>
      </c>
      <c r="T539" t="s">
        <v>57</v>
      </c>
      <c r="U539" s="1">
        <v>45689</v>
      </c>
      <c r="W539" s="1">
        <v>45992</v>
      </c>
      <c r="X539">
        <v>1</v>
      </c>
      <c r="Y539" t="s">
        <v>58</v>
      </c>
      <c r="Z539" s="2">
        <v>0</v>
      </c>
      <c r="AA539">
        <v>0</v>
      </c>
      <c r="AB539" t="s">
        <v>60</v>
      </c>
      <c r="AC539" t="s">
        <v>61</v>
      </c>
      <c r="AD539">
        <v>0</v>
      </c>
      <c r="AE539" s="2">
        <v>0</v>
      </c>
      <c r="AF539" s="2">
        <v>0</v>
      </c>
      <c r="AG539" s="3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45957</v>
      </c>
      <c r="B540" t="s">
        <v>48</v>
      </c>
      <c r="C540">
        <v>649163</v>
      </c>
      <c r="D540">
        <v>2026627934</v>
      </c>
      <c r="E540" t="s">
        <v>857</v>
      </c>
      <c r="F540" t="s">
        <v>858</v>
      </c>
      <c r="G540" t="s">
        <v>51</v>
      </c>
      <c r="H540" t="s">
        <v>92</v>
      </c>
      <c r="I540" s="2">
        <v>79.06</v>
      </c>
      <c r="J540" t="s">
        <v>59</v>
      </c>
      <c r="K540" s="4">
        <v>0.375</v>
      </c>
      <c r="L540" s="2">
        <v>0</v>
      </c>
      <c r="M540" s="2">
        <v>29.65</v>
      </c>
      <c r="N540" s="2">
        <v>29.65</v>
      </c>
      <c r="O540" t="s">
        <v>378</v>
      </c>
      <c r="P540" t="s">
        <v>379</v>
      </c>
      <c r="Q540">
        <v>816021</v>
      </c>
      <c r="R540" t="s">
        <v>93</v>
      </c>
      <c r="S540" t="s">
        <v>94</v>
      </c>
      <c r="T540" t="s">
        <v>57</v>
      </c>
      <c r="U540" s="1">
        <v>45689</v>
      </c>
      <c r="W540" s="1">
        <v>45992</v>
      </c>
      <c r="X540">
        <v>1</v>
      </c>
      <c r="Y540" t="s">
        <v>58</v>
      </c>
      <c r="Z540" s="2">
        <v>0</v>
      </c>
      <c r="AA540">
        <v>0</v>
      </c>
      <c r="AB540" t="s">
        <v>60</v>
      </c>
      <c r="AC540" t="s">
        <v>61</v>
      </c>
      <c r="AD540">
        <v>0</v>
      </c>
      <c r="AE540" s="2">
        <v>0</v>
      </c>
      <c r="AF540" s="2">
        <v>0</v>
      </c>
      <c r="AG540" s="3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45957</v>
      </c>
      <c r="B541" t="s">
        <v>48</v>
      </c>
      <c r="C541">
        <v>649163</v>
      </c>
      <c r="D541">
        <v>2026637550</v>
      </c>
      <c r="E541" t="s">
        <v>859</v>
      </c>
      <c r="F541" t="s">
        <v>860</v>
      </c>
      <c r="G541" t="s">
        <v>51</v>
      </c>
      <c r="H541" t="s">
        <v>69</v>
      </c>
      <c r="I541" s="2">
        <v>48.61</v>
      </c>
      <c r="J541" t="s">
        <v>59</v>
      </c>
      <c r="K541" s="4">
        <v>0.375</v>
      </c>
      <c r="L541" s="2">
        <v>0</v>
      </c>
      <c r="M541" s="2">
        <v>18.23</v>
      </c>
      <c r="N541" s="2">
        <v>18.23</v>
      </c>
      <c r="O541" t="s">
        <v>378</v>
      </c>
      <c r="P541" t="s">
        <v>379</v>
      </c>
      <c r="Q541">
        <v>812782</v>
      </c>
      <c r="R541" t="s">
        <v>114</v>
      </c>
      <c r="S541" t="s">
        <v>115</v>
      </c>
      <c r="T541" t="s">
        <v>57</v>
      </c>
      <c r="U541" s="1">
        <v>45689</v>
      </c>
      <c r="W541" s="1">
        <v>45992</v>
      </c>
      <c r="X541">
        <v>1</v>
      </c>
      <c r="Y541" t="s">
        <v>58</v>
      </c>
      <c r="Z541" s="2">
        <v>0</v>
      </c>
      <c r="AA541">
        <v>0</v>
      </c>
      <c r="AB541" t="s">
        <v>60</v>
      </c>
      <c r="AC541" t="s">
        <v>61</v>
      </c>
      <c r="AD541">
        <v>0</v>
      </c>
      <c r="AE541" s="2">
        <v>0</v>
      </c>
      <c r="AF541" s="2">
        <v>0</v>
      </c>
      <c r="AG541" s="3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45957</v>
      </c>
      <c r="B542" t="s">
        <v>48</v>
      </c>
      <c r="C542">
        <v>649163</v>
      </c>
      <c r="D542">
        <v>2026653705</v>
      </c>
      <c r="E542" t="s">
        <v>861</v>
      </c>
      <c r="F542" t="s">
        <v>543</v>
      </c>
      <c r="G542" t="s">
        <v>51</v>
      </c>
      <c r="H542" t="s">
        <v>69</v>
      </c>
      <c r="I542" s="2">
        <v>48.61</v>
      </c>
      <c r="J542" t="s">
        <v>59</v>
      </c>
      <c r="K542" s="4">
        <v>0.375</v>
      </c>
      <c r="L542" s="2">
        <v>0</v>
      </c>
      <c r="M542" s="2">
        <v>18.23</v>
      </c>
      <c r="N542" s="2">
        <v>18.23</v>
      </c>
      <c r="O542" t="s">
        <v>378</v>
      </c>
      <c r="P542" t="s">
        <v>379</v>
      </c>
      <c r="Q542">
        <v>812782</v>
      </c>
      <c r="R542" t="s">
        <v>114</v>
      </c>
      <c r="S542" t="s">
        <v>115</v>
      </c>
      <c r="T542" t="s">
        <v>57</v>
      </c>
      <c r="U542" s="1">
        <v>45689</v>
      </c>
      <c r="W542" s="1">
        <v>45992</v>
      </c>
      <c r="X542">
        <v>1</v>
      </c>
      <c r="Y542" t="s">
        <v>58</v>
      </c>
      <c r="Z542" s="2">
        <v>0</v>
      </c>
      <c r="AA542">
        <v>0</v>
      </c>
      <c r="AB542" t="s">
        <v>60</v>
      </c>
      <c r="AC542" t="s">
        <v>61</v>
      </c>
      <c r="AD542">
        <v>0</v>
      </c>
      <c r="AE542" s="2">
        <v>0</v>
      </c>
      <c r="AF542" s="2">
        <v>0</v>
      </c>
      <c r="AG542" s="3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45957</v>
      </c>
      <c r="B543" t="s">
        <v>48</v>
      </c>
      <c r="C543">
        <v>649163</v>
      </c>
      <c r="D543">
        <v>2026699527</v>
      </c>
      <c r="E543" t="s">
        <v>862</v>
      </c>
      <c r="F543" t="s">
        <v>863</v>
      </c>
      <c r="G543" t="s">
        <v>51</v>
      </c>
      <c r="H543" t="s">
        <v>69</v>
      </c>
      <c r="I543" s="2">
        <v>124.13</v>
      </c>
      <c r="J543" t="s">
        <v>59</v>
      </c>
      <c r="K543" s="4">
        <v>0.375</v>
      </c>
      <c r="L543" s="2">
        <v>0</v>
      </c>
      <c r="M543" s="2">
        <v>46.55</v>
      </c>
      <c r="N543" s="2">
        <v>46.55</v>
      </c>
      <c r="O543" t="s">
        <v>378</v>
      </c>
      <c r="P543" t="s">
        <v>379</v>
      </c>
      <c r="Q543">
        <v>812782</v>
      </c>
      <c r="R543" t="s">
        <v>114</v>
      </c>
      <c r="S543" t="s">
        <v>115</v>
      </c>
      <c r="T543" t="s">
        <v>57</v>
      </c>
      <c r="U543" s="1">
        <v>45689</v>
      </c>
      <c r="W543" s="1">
        <v>45992</v>
      </c>
      <c r="X543">
        <v>1</v>
      </c>
      <c r="Y543" t="s">
        <v>58</v>
      </c>
      <c r="Z543" s="2">
        <v>0</v>
      </c>
      <c r="AA543">
        <v>0</v>
      </c>
      <c r="AB543" t="s">
        <v>60</v>
      </c>
      <c r="AC543" t="s">
        <v>61</v>
      </c>
      <c r="AD543">
        <v>0</v>
      </c>
      <c r="AE543" s="2">
        <v>0</v>
      </c>
      <c r="AF543" s="2">
        <v>0</v>
      </c>
      <c r="AG543" s="3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45957</v>
      </c>
      <c r="B544" t="s">
        <v>48</v>
      </c>
      <c r="C544">
        <v>649163</v>
      </c>
      <c r="D544">
        <v>2026728415</v>
      </c>
      <c r="E544" t="s">
        <v>864</v>
      </c>
      <c r="F544" t="s">
        <v>865</v>
      </c>
      <c r="G544" t="s">
        <v>51</v>
      </c>
      <c r="H544" t="s">
        <v>69</v>
      </c>
      <c r="I544" s="2">
        <v>136.09</v>
      </c>
      <c r="J544" t="s">
        <v>59</v>
      </c>
      <c r="K544" s="4">
        <v>0.375</v>
      </c>
      <c r="L544" s="2">
        <v>0</v>
      </c>
      <c r="M544" s="2">
        <v>51.03</v>
      </c>
      <c r="N544" s="2">
        <v>51.03</v>
      </c>
      <c r="O544" t="s">
        <v>378</v>
      </c>
      <c r="P544" t="s">
        <v>379</v>
      </c>
      <c r="Q544">
        <v>822723</v>
      </c>
      <c r="R544" t="s">
        <v>151</v>
      </c>
      <c r="S544" t="s">
        <v>152</v>
      </c>
      <c r="T544" t="s">
        <v>57</v>
      </c>
      <c r="U544" s="1">
        <v>45689</v>
      </c>
      <c r="W544" s="1">
        <v>45992</v>
      </c>
      <c r="X544">
        <v>1</v>
      </c>
      <c r="Y544" t="s">
        <v>58</v>
      </c>
      <c r="Z544" s="2">
        <v>0</v>
      </c>
      <c r="AA544">
        <v>0</v>
      </c>
      <c r="AB544" t="s">
        <v>60</v>
      </c>
      <c r="AC544" t="s">
        <v>61</v>
      </c>
      <c r="AD544">
        <v>0</v>
      </c>
      <c r="AE544" s="2">
        <v>0</v>
      </c>
      <c r="AF544" s="2">
        <v>0</v>
      </c>
      <c r="AG544" s="3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45957</v>
      </c>
      <c r="B545" t="s">
        <v>48</v>
      </c>
      <c r="C545">
        <v>649163</v>
      </c>
      <c r="D545">
        <v>2026748269</v>
      </c>
      <c r="E545" t="s">
        <v>518</v>
      </c>
      <c r="F545" t="s">
        <v>519</v>
      </c>
      <c r="G545" t="s">
        <v>51</v>
      </c>
      <c r="H545" t="s">
        <v>195</v>
      </c>
      <c r="I545" s="2">
        <v>111.84</v>
      </c>
      <c r="J545" t="s">
        <v>59</v>
      </c>
      <c r="K545" s="4">
        <v>0.375</v>
      </c>
      <c r="L545" s="2">
        <v>0</v>
      </c>
      <c r="M545" s="2">
        <v>41.94</v>
      </c>
      <c r="N545" s="2">
        <v>41.94</v>
      </c>
      <c r="O545" t="s">
        <v>378</v>
      </c>
      <c r="P545" t="s">
        <v>379</v>
      </c>
      <c r="Q545">
        <v>649247</v>
      </c>
      <c r="R545" t="s">
        <v>321</v>
      </c>
      <c r="S545" t="s">
        <v>322</v>
      </c>
      <c r="T545" t="s">
        <v>57</v>
      </c>
      <c r="U545" s="1">
        <v>45689</v>
      </c>
      <c r="W545" s="1">
        <v>45992</v>
      </c>
      <c r="X545">
        <v>1</v>
      </c>
      <c r="Y545" t="s">
        <v>58</v>
      </c>
      <c r="Z545" s="2">
        <v>0</v>
      </c>
      <c r="AA545">
        <v>0</v>
      </c>
      <c r="AB545" t="s">
        <v>60</v>
      </c>
      <c r="AC545" t="s">
        <v>61</v>
      </c>
      <c r="AD545">
        <v>0</v>
      </c>
      <c r="AE545" s="2">
        <v>0</v>
      </c>
      <c r="AF545" s="2">
        <v>0</v>
      </c>
      <c r="AG545" s="3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45957</v>
      </c>
      <c r="B546" t="s">
        <v>48</v>
      </c>
      <c r="C546">
        <v>649163</v>
      </c>
      <c r="D546">
        <v>2026753813</v>
      </c>
      <c r="E546" t="s">
        <v>866</v>
      </c>
      <c r="F546" t="s">
        <v>236</v>
      </c>
      <c r="G546" t="s">
        <v>51</v>
      </c>
      <c r="H546" t="s">
        <v>719</v>
      </c>
      <c r="I546" s="2">
        <v>229.61</v>
      </c>
      <c r="J546" t="s">
        <v>59</v>
      </c>
      <c r="K546" s="4">
        <v>0.375</v>
      </c>
      <c r="L546" s="2">
        <v>0</v>
      </c>
      <c r="M546" s="2">
        <v>86.1</v>
      </c>
      <c r="N546" s="2">
        <v>86.1</v>
      </c>
      <c r="O546" t="s">
        <v>378</v>
      </c>
      <c r="P546" t="s">
        <v>379</v>
      </c>
      <c r="Q546">
        <v>780434</v>
      </c>
      <c r="R546" t="s">
        <v>499</v>
      </c>
      <c r="S546" t="s">
        <v>110</v>
      </c>
      <c r="T546" t="s">
        <v>57</v>
      </c>
      <c r="U546" s="1">
        <v>45689</v>
      </c>
      <c r="W546" s="1">
        <v>45992</v>
      </c>
      <c r="X546">
        <v>1</v>
      </c>
      <c r="Y546" t="s">
        <v>58</v>
      </c>
      <c r="Z546" s="2">
        <v>0</v>
      </c>
      <c r="AA546">
        <v>0</v>
      </c>
      <c r="AB546" t="s">
        <v>60</v>
      </c>
      <c r="AC546" t="s">
        <v>61</v>
      </c>
      <c r="AD546">
        <v>0</v>
      </c>
      <c r="AE546" s="2">
        <v>0</v>
      </c>
      <c r="AF546" s="2">
        <v>0</v>
      </c>
      <c r="AG546" s="3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45957</v>
      </c>
      <c r="B547" t="s">
        <v>48</v>
      </c>
      <c r="C547">
        <v>649163</v>
      </c>
      <c r="D547">
        <v>2026755179</v>
      </c>
      <c r="E547" t="s">
        <v>867</v>
      </c>
      <c r="F547" t="s">
        <v>868</v>
      </c>
      <c r="G547" t="s">
        <v>51</v>
      </c>
      <c r="H547" t="s">
        <v>247</v>
      </c>
      <c r="I547" s="2">
        <v>46.53</v>
      </c>
      <c r="J547" t="s">
        <v>59</v>
      </c>
      <c r="K547" s="4">
        <v>0.375</v>
      </c>
      <c r="L547" s="2">
        <v>0</v>
      </c>
      <c r="M547" s="2">
        <v>17.45</v>
      </c>
      <c r="N547" s="2">
        <v>17.45</v>
      </c>
      <c r="O547" t="s">
        <v>378</v>
      </c>
      <c r="P547" t="s">
        <v>379</v>
      </c>
      <c r="Q547">
        <v>673059</v>
      </c>
      <c r="R547" t="s">
        <v>55</v>
      </c>
      <c r="S547" t="s">
        <v>56</v>
      </c>
      <c r="T547" t="s">
        <v>57</v>
      </c>
      <c r="U547" s="1">
        <v>45689</v>
      </c>
      <c r="W547" s="1">
        <v>45992</v>
      </c>
      <c r="X547">
        <v>1</v>
      </c>
      <c r="Y547" t="s">
        <v>58</v>
      </c>
      <c r="Z547" s="2">
        <v>0</v>
      </c>
      <c r="AA547">
        <v>0</v>
      </c>
      <c r="AB547" t="s">
        <v>60</v>
      </c>
      <c r="AC547" t="s">
        <v>61</v>
      </c>
      <c r="AD547">
        <v>0</v>
      </c>
      <c r="AE547" s="2">
        <v>0</v>
      </c>
      <c r="AF547" s="2">
        <v>0</v>
      </c>
      <c r="AG547" s="3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45957</v>
      </c>
      <c r="B548" t="s">
        <v>48</v>
      </c>
      <c r="C548">
        <v>649163</v>
      </c>
      <c r="D548">
        <v>2026757479</v>
      </c>
      <c r="E548" t="s">
        <v>869</v>
      </c>
      <c r="F548" t="s">
        <v>354</v>
      </c>
      <c r="G548" t="s">
        <v>51</v>
      </c>
      <c r="H548" t="s">
        <v>52</v>
      </c>
      <c r="I548" s="2">
        <v>61.9</v>
      </c>
      <c r="J548" t="s">
        <v>59</v>
      </c>
      <c r="K548" s="4">
        <v>0.375</v>
      </c>
      <c r="L548" s="2">
        <v>0</v>
      </c>
      <c r="M548" s="2">
        <v>23.21</v>
      </c>
      <c r="N548" s="2">
        <v>23.21</v>
      </c>
      <c r="O548" t="s">
        <v>378</v>
      </c>
      <c r="P548" t="s">
        <v>379</v>
      </c>
      <c r="Q548">
        <v>650794</v>
      </c>
      <c r="R548" t="s">
        <v>155</v>
      </c>
      <c r="S548" t="s">
        <v>481</v>
      </c>
      <c r="T548" t="s">
        <v>57</v>
      </c>
      <c r="U548" s="1">
        <v>45682</v>
      </c>
      <c r="W548" s="1">
        <v>45986</v>
      </c>
      <c r="X548">
        <v>1</v>
      </c>
      <c r="Y548" t="s">
        <v>58</v>
      </c>
      <c r="Z548" s="2">
        <v>0</v>
      </c>
      <c r="AA548">
        <v>0</v>
      </c>
      <c r="AB548" t="s">
        <v>60</v>
      </c>
      <c r="AC548" t="s">
        <v>61</v>
      </c>
      <c r="AD548">
        <v>0</v>
      </c>
      <c r="AE548" s="2">
        <v>0</v>
      </c>
      <c r="AF548" s="2">
        <v>0</v>
      </c>
      <c r="AG548" s="3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45957</v>
      </c>
      <c r="B549" t="s">
        <v>48</v>
      </c>
      <c r="C549">
        <v>649163</v>
      </c>
      <c r="D549">
        <v>2026760029</v>
      </c>
      <c r="E549" t="s">
        <v>870</v>
      </c>
      <c r="F549" t="s">
        <v>871</v>
      </c>
      <c r="G549" t="s">
        <v>51</v>
      </c>
      <c r="H549" t="s">
        <v>872</v>
      </c>
      <c r="I549" s="2">
        <v>22.84</v>
      </c>
      <c r="J549" t="s">
        <v>59</v>
      </c>
      <c r="K549" s="4">
        <v>0.375</v>
      </c>
      <c r="L549" s="2">
        <v>0</v>
      </c>
      <c r="M549" s="2">
        <v>8.56</v>
      </c>
      <c r="N549" s="2">
        <v>8.56</v>
      </c>
      <c r="O549" t="s">
        <v>378</v>
      </c>
      <c r="P549" t="s">
        <v>379</v>
      </c>
      <c r="Q549">
        <v>767312</v>
      </c>
      <c r="R549" t="s">
        <v>237</v>
      </c>
      <c r="S549" t="s">
        <v>103</v>
      </c>
      <c r="T549" t="s">
        <v>57</v>
      </c>
      <c r="U549" s="1">
        <v>45682</v>
      </c>
      <c r="W549" s="1">
        <v>45986</v>
      </c>
      <c r="X549">
        <v>1</v>
      </c>
      <c r="Y549" t="s">
        <v>58</v>
      </c>
      <c r="Z549" s="2">
        <v>0</v>
      </c>
      <c r="AA549">
        <v>0</v>
      </c>
      <c r="AB549" t="s">
        <v>60</v>
      </c>
      <c r="AC549" t="s">
        <v>61</v>
      </c>
      <c r="AD549">
        <v>0</v>
      </c>
      <c r="AE549" s="2">
        <v>0</v>
      </c>
      <c r="AF549" s="2">
        <v>0</v>
      </c>
      <c r="AG549" s="3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45957</v>
      </c>
      <c r="B550" t="s">
        <v>48</v>
      </c>
      <c r="C550">
        <v>649163</v>
      </c>
      <c r="D550">
        <v>2026766428</v>
      </c>
      <c r="E550" t="s">
        <v>873</v>
      </c>
      <c r="F550" t="s">
        <v>874</v>
      </c>
      <c r="G550" t="s">
        <v>51</v>
      </c>
      <c r="H550" t="s">
        <v>69</v>
      </c>
      <c r="I550" s="2">
        <v>90.76</v>
      </c>
      <c r="J550" t="s">
        <v>59</v>
      </c>
      <c r="K550" s="4">
        <v>0.375</v>
      </c>
      <c r="L550" s="2">
        <v>0</v>
      </c>
      <c r="M550" s="2">
        <v>34.04</v>
      </c>
      <c r="N550" s="2">
        <v>34.04</v>
      </c>
      <c r="O550" t="s">
        <v>378</v>
      </c>
      <c r="P550" t="s">
        <v>379</v>
      </c>
      <c r="Q550">
        <v>792847</v>
      </c>
      <c r="R550" t="s">
        <v>371</v>
      </c>
      <c r="S550" t="s">
        <v>372</v>
      </c>
      <c r="T550" t="s">
        <v>57</v>
      </c>
      <c r="U550" s="1">
        <v>45689</v>
      </c>
      <c r="W550" s="1">
        <v>45992</v>
      </c>
      <c r="X550">
        <v>1</v>
      </c>
      <c r="Y550" t="s">
        <v>58</v>
      </c>
      <c r="Z550" s="2">
        <v>0</v>
      </c>
      <c r="AA550">
        <v>0</v>
      </c>
      <c r="AB550" t="s">
        <v>60</v>
      </c>
      <c r="AC550" t="s">
        <v>61</v>
      </c>
      <c r="AD550">
        <v>0</v>
      </c>
      <c r="AE550" s="2">
        <v>0</v>
      </c>
      <c r="AF550" s="2">
        <v>0</v>
      </c>
      <c r="AG550" s="3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45957</v>
      </c>
      <c r="B551" t="s">
        <v>48</v>
      </c>
      <c r="C551">
        <v>649163</v>
      </c>
      <c r="D551">
        <v>2026781461</v>
      </c>
      <c r="E551" t="s">
        <v>875</v>
      </c>
      <c r="F551" t="s">
        <v>835</v>
      </c>
      <c r="G551" t="s">
        <v>51</v>
      </c>
      <c r="H551" t="s">
        <v>69</v>
      </c>
      <c r="I551" s="2">
        <v>51.01</v>
      </c>
      <c r="J551" t="s">
        <v>59</v>
      </c>
      <c r="K551" s="4">
        <v>0.375</v>
      </c>
      <c r="L551" s="2">
        <v>0</v>
      </c>
      <c r="M551" s="2">
        <v>19.13</v>
      </c>
      <c r="N551" s="2">
        <v>19.13</v>
      </c>
      <c r="O551" t="s">
        <v>378</v>
      </c>
      <c r="P551" t="s">
        <v>379</v>
      </c>
      <c r="Q551">
        <v>812782</v>
      </c>
      <c r="R551" t="s">
        <v>114</v>
      </c>
      <c r="S551" t="s">
        <v>115</v>
      </c>
      <c r="T551" t="s">
        <v>57</v>
      </c>
      <c r="U551" s="1">
        <v>45689</v>
      </c>
      <c r="W551" s="1">
        <v>45992</v>
      </c>
      <c r="X551">
        <v>1</v>
      </c>
      <c r="Y551" t="s">
        <v>58</v>
      </c>
      <c r="Z551" s="2">
        <v>0</v>
      </c>
      <c r="AA551">
        <v>0</v>
      </c>
      <c r="AB551" t="s">
        <v>60</v>
      </c>
      <c r="AC551" t="s">
        <v>61</v>
      </c>
      <c r="AD551">
        <v>0</v>
      </c>
      <c r="AE551" s="2">
        <v>0</v>
      </c>
      <c r="AF551" s="2">
        <v>0</v>
      </c>
      <c r="AG551" s="3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45957</v>
      </c>
      <c r="B552" t="s">
        <v>48</v>
      </c>
      <c r="C552">
        <v>649163</v>
      </c>
      <c r="D552">
        <v>2026806628</v>
      </c>
      <c r="E552" t="s">
        <v>876</v>
      </c>
      <c r="F552" t="s">
        <v>647</v>
      </c>
      <c r="G552" t="s">
        <v>51</v>
      </c>
      <c r="H552" t="s">
        <v>190</v>
      </c>
      <c r="I552" s="2">
        <v>56.52</v>
      </c>
      <c r="J552" t="s">
        <v>59</v>
      </c>
      <c r="K552" s="4">
        <v>0.375</v>
      </c>
      <c r="L552" s="2">
        <v>0</v>
      </c>
      <c r="M552" s="2">
        <v>21.2</v>
      </c>
      <c r="N552" s="2">
        <v>21.2</v>
      </c>
      <c r="O552" t="s">
        <v>378</v>
      </c>
      <c r="P552" t="s">
        <v>379</v>
      </c>
      <c r="Q552">
        <v>812994</v>
      </c>
      <c r="R552" t="s">
        <v>228</v>
      </c>
      <c r="S552" t="s">
        <v>229</v>
      </c>
      <c r="T552" t="s">
        <v>57</v>
      </c>
      <c r="U552" s="1">
        <v>45689</v>
      </c>
      <c r="W552" s="1">
        <v>45992</v>
      </c>
      <c r="X552">
        <v>1</v>
      </c>
      <c r="Y552" t="s">
        <v>58</v>
      </c>
      <c r="Z552" s="2">
        <v>0</v>
      </c>
      <c r="AA552">
        <v>0</v>
      </c>
      <c r="AB552" t="s">
        <v>60</v>
      </c>
      <c r="AC552" t="s">
        <v>61</v>
      </c>
      <c r="AD552">
        <v>0</v>
      </c>
      <c r="AE552" s="2">
        <v>0</v>
      </c>
      <c r="AF552" s="2">
        <v>0</v>
      </c>
      <c r="AG552" s="3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45957</v>
      </c>
      <c r="B553" t="s">
        <v>48</v>
      </c>
      <c r="C553">
        <v>649163</v>
      </c>
      <c r="D553">
        <v>2026807606</v>
      </c>
      <c r="E553" t="s">
        <v>598</v>
      </c>
      <c r="F553" t="s">
        <v>599</v>
      </c>
      <c r="G553" t="s">
        <v>51</v>
      </c>
      <c r="H553" t="s">
        <v>247</v>
      </c>
      <c r="I553" s="2">
        <v>46.53</v>
      </c>
      <c r="J553" t="s">
        <v>59</v>
      </c>
      <c r="K553" s="4">
        <v>0.375</v>
      </c>
      <c r="L553" s="2">
        <v>0</v>
      </c>
      <c r="M553" s="2">
        <v>17.45</v>
      </c>
      <c r="N553" s="2">
        <v>17.45</v>
      </c>
      <c r="O553" t="s">
        <v>378</v>
      </c>
      <c r="P553" t="s">
        <v>379</v>
      </c>
      <c r="Q553">
        <v>673059</v>
      </c>
      <c r="R553" t="s">
        <v>55</v>
      </c>
      <c r="S553" t="s">
        <v>56</v>
      </c>
      <c r="T553" t="s">
        <v>57</v>
      </c>
      <c r="U553" s="1">
        <v>45689</v>
      </c>
      <c r="W553" s="1">
        <v>45992</v>
      </c>
      <c r="X553">
        <v>1</v>
      </c>
      <c r="Y553" t="s">
        <v>58</v>
      </c>
      <c r="Z553" s="2">
        <v>0</v>
      </c>
      <c r="AA553">
        <v>0</v>
      </c>
      <c r="AB553" t="s">
        <v>60</v>
      </c>
      <c r="AC553" t="s">
        <v>61</v>
      </c>
      <c r="AD553">
        <v>0</v>
      </c>
      <c r="AE553" s="2">
        <v>0</v>
      </c>
      <c r="AF553" s="2">
        <v>0</v>
      </c>
      <c r="AG553" s="3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45957</v>
      </c>
      <c r="B554" t="s">
        <v>48</v>
      </c>
      <c r="C554">
        <v>649163</v>
      </c>
      <c r="D554">
        <v>2026809781</v>
      </c>
      <c r="E554" t="s">
        <v>877</v>
      </c>
      <c r="F554" t="s">
        <v>878</v>
      </c>
      <c r="G554" t="s">
        <v>51</v>
      </c>
      <c r="H554" t="s">
        <v>69</v>
      </c>
      <c r="I554" s="2">
        <v>64.760000000000005</v>
      </c>
      <c r="J554" t="s">
        <v>59</v>
      </c>
      <c r="K554" s="4">
        <v>0.375</v>
      </c>
      <c r="L554" s="2">
        <v>0</v>
      </c>
      <c r="M554" s="2">
        <v>24.28</v>
      </c>
      <c r="N554" s="2">
        <v>24.28</v>
      </c>
      <c r="O554" t="s">
        <v>378</v>
      </c>
      <c r="P554" t="s">
        <v>379</v>
      </c>
      <c r="Q554">
        <v>824062</v>
      </c>
      <c r="R554" t="s">
        <v>74</v>
      </c>
      <c r="S554" t="s">
        <v>75</v>
      </c>
      <c r="T554" t="s">
        <v>57</v>
      </c>
      <c r="U554" s="1">
        <v>45689</v>
      </c>
      <c r="W554" s="1">
        <v>45992</v>
      </c>
      <c r="X554">
        <v>1</v>
      </c>
      <c r="Y554" t="s">
        <v>58</v>
      </c>
      <c r="Z554" s="2">
        <v>0</v>
      </c>
      <c r="AA554">
        <v>0</v>
      </c>
      <c r="AB554" t="s">
        <v>60</v>
      </c>
      <c r="AC554" t="s">
        <v>61</v>
      </c>
      <c r="AD554">
        <v>0</v>
      </c>
      <c r="AE554" s="2">
        <v>0</v>
      </c>
      <c r="AF554" s="2">
        <v>0</v>
      </c>
      <c r="AG554" s="3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45957</v>
      </c>
      <c r="B555" t="s">
        <v>48</v>
      </c>
      <c r="C555">
        <v>649163</v>
      </c>
      <c r="D555">
        <v>2026812431</v>
      </c>
      <c r="E555" t="s">
        <v>600</v>
      </c>
      <c r="F555" t="s">
        <v>601</v>
      </c>
      <c r="G555" t="s">
        <v>51</v>
      </c>
      <c r="H555" t="s">
        <v>92</v>
      </c>
      <c r="I555" s="2">
        <v>158.06</v>
      </c>
      <c r="J555" t="s">
        <v>59</v>
      </c>
      <c r="K555" s="4">
        <v>0.375</v>
      </c>
      <c r="L555" s="2">
        <v>0</v>
      </c>
      <c r="M555" s="2">
        <v>59.27</v>
      </c>
      <c r="N555" s="2">
        <v>59.27</v>
      </c>
      <c r="O555" t="s">
        <v>378</v>
      </c>
      <c r="P555" t="s">
        <v>379</v>
      </c>
      <c r="Q555">
        <v>816021</v>
      </c>
      <c r="R555" t="s">
        <v>93</v>
      </c>
      <c r="S555" t="s">
        <v>94</v>
      </c>
      <c r="T555" t="s">
        <v>57</v>
      </c>
      <c r="U555" s="1">
        <v>45690</v>
      </c>
      <c r="W555" s="1">
        <v>45993</v>
      </c>
      <c r="X555">
        <v>1</v>
      </c>
      <c r="Y555" t="s">
        <v>58</v>
      </c>
      <c r="Z555" s="2">
        <v>0</v>
      </c>
      <c r="AA555">
        <v>0</v>
      </c>
      <c r="AB555" t="s">
        <v>60</v>
      </c>
      <c r="AC555" t="s">
        <v>61</v>
      </c>
      <c r="AD555">
        <v>0</v>
      </c>
      <c r="AE555" s="2">
        <v>0</v>
      </c>
      <c r="AF555" s="2">
        <v>0</v>
      </c>
      <c r="AG555" s="3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45957</v>
      </c>
      <c r="B556" t="s">
        <v>48</v>
      </c>
      <c r="C556">
        <v>649163</v>
      </c>
      <c r="D556">
        <v>2026817011</v>
      </c>
      <c r="E556" t="s">
        <v>602</v>
      </c>
      <c r="F556" t="s">
        <v>603</v>
      </c>
      <c r="G556" t="s">
        <v>51</v>
      </c>
      <c r="H556" t="s">
        <v>92</v>
      </c>
      <c r="I556" s="2">
        <v>53.08</v>
      </c>
      <c r="J556" t="s">
        <v>59</v>
      </c>
      <c r="K556" s="4">
        <v>0.375</v>
      </c>
      <c r="L556" s="2">
        <v>0</v>
      </c>
      <c r="M556" s="2">
        <v>19.899999999999999</v>
      </c>
      <c r="N556" s="2">
        <v>19.899999999999999</v>
      </c>
      <c r="O556" t="s">
        <v>378</v>
      </c>
      <c r="P556" t="s">
        <v>379</v>
      </c>
      <c r="Q556">
        <v>796984</v>
      </c>
      <c r="R556" t="s">
        <v>604</v>
      </c>
      <c r="S556" t="s">
        <v>110</v>
      </c>
      <c r="T556" t="s">
        <v>57</v>
      </c>
      <c r="U556" s="1">
        <v>45689</v>
      </c>
      <c r="W556" s="1">
        <v>45992</v>
      </c>
      <c r="X556">
        <v>1</v>
      </c>
      <c r="Y556" t="s">
        <v>58</v>
      </c>
      <c r="Z556" s="2">
        <v>0</v>
      </c>
      <c r="AA556">
        <v>0</v>
      </c>
      <c r="AB556" t="s">
        <v>60</v>
      </c>
      <c r="AC556" t="s">
        <v>61</v>
      </c>
      <c r="AD556">
        <v>0</v>
      </c>
      <c r="AE556" s="2">
        <v>0</v>
      </c>
      <c r="AF556" s="2">
        <v>0</v>
      </c>
      <c r="AG556" s="3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45957</v>
      </c>
      <c r="B557" t="s">
        <v>48</v>
      </c>
      <c r="C557">
        <v>649163</v>
      </c>
      <c r="D557">
        <v>2026836000</v>
      </c>
      <c r="E557" t="s">
        <v>879</v>
      </c>
      <c r="F557" t="s">
        <v>880</v>
      </c>
      <c r="G557" t="s">
        <v>51</v>
      </c>
      <c r="H557" t="s">
        <v>69</v>
      </c>
      <c r="I557" s="2">
        <v>57.11</v>
      </c>
      <c r="J557" t="s">
        <v>59</v>
      </c>
      <c r="K557" s="4">
        <v>0.375</v>
      </c>
      <c r="L557" s="2">
        <v>0</v>
      </c>
      <c r="M557" s="2">
        <v>21.42</v>
      </c>
      <c r="N557" s="2">
        <v>21.42</v>
      </c>
      <c r="O557" t="s">
        <v>378</v>
      </c>
      <c r="P557" t="s">
        <v>379</v>
      </c>
      <c r="Q557">
        <v>812782</v>
      </c>
      <c r="R557" t="s">
        <v>114</v>
      </c>
      <c r="S557" t="s">
        <v>115</v>
      </c>
      <c r="T557" t="s">
        <v>57</v>
      </c>
      <c r="U557" s="1">
        <v>45689</v>
      </c>
      <c r="W557" s="1">
        <v>45992</v>
      </c>
      <c r="X557">
        <v>1</v>
      </c>
      <c r="Y557" t="s">
        <v>58</v>
      </c>
      <c r="Z557" s="2">
        <v>0</v>
      </c>
      <c r="AA557">
        <v>0</v>
      </c>
      <c r="AB557" t="s">
        <v>60</v>
      </c>
      <c r="AC557" t="s">
        <v>61</v>
      </c>
      <c r="AD557">
        <v>0</v>
      </c>
      <c r="AE557" s="2">
        <v>0</v>
      </c>
      <c r="AF557" s="2">
        <v>0</v>
      </c>
      <c r="AG557" s="3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45957</v>
      </c>
      <c r="B558" t="s">
        <v>48</v>
      </c>
      <c r="C558">
        <v>649163</v>
      </c>
      <c r="D558">
        <v>2026838332</v>
      </c>
      <c r="E558" t="s">
        <v>881</v>
      </c>
      <c r="F558" t="s">
        <v>216</v>
      </c>
      <c r="G558" t="s">
        <v>51</v>
      </c>
      <c r="H558" t="s">
        <v>69</v>
      </c>
      <c r="I558" s="2">
        <v>83.05</v>
      </c>
      <c r="J558" t="s">
        <v>59</v>
      </c>
      <c r="K558" s="4">
        <v>0.375</v>
      </c>
      <c r="L558" s="2">
        <v>0</v>
      </c>
      <c r="M558" s="2">
        <v>31.14</v>
      </c>
      <c r="N558" s="2">
        <v>31.14</v>
      </c>
      <c r="O558" t="s">
        <v>378</v>
      </c>
      <c r="P558" t="s">
        <v>379</v>
      </c>
      <c r="Q558">
        <v>814033</v>
      </c>
      <c r="R558" t="s">
        <v>147</v>
      </c>
      <c r="S558" t="s">
        <v>148</v>
      </c>
      <c r="T558" t="s">
        <v>57</v>
      </c>
      <c r="U558" s="1">
        <v>45689</v>
      </c>
      <c r="W558" s="1">
        <v>45992</v>
      </c>
      <c r="X558">
        <v>1</v>
      </c>
      <c r="Y558" t="s">
        <v>58</v>
      </c>
      <c r="Z558" s="2">
        <v>0</v>
      </c>
      <c r="AA558">
        <v>0</v>
      </c>
      <c r="AB558" t="s">
        <v>60</v>
      </c>
      <c r="AC558" t="s">
        <v>61</v>
      </c>
      <c r="AD558">
        <v>0</v>
      </c>
      <c r="AE558" s="2">
        <v>0</v>
      </c>
      <c r="AF558" s="2">
        <v>0</v>
      </c>
      <c r="AG558" s="3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45957</v>
      </c>
      <c r="B559" t="s">
        <v>48</v>
      </c>
      <c r="C559">
        <v>649163</v>
      </c>
      <c r="D559">
        <v>2026839647</v>
      </c>
      <c r="E559" t="s">
        <v>882</v>
      </c>
      <c r="F559" t="s">
        <v>417</v>
      </c>
      <c r="G559" t="s">
        <v>51</v>
      </c>
      <c r="H559" t="s">
        <v>145</v>
      </c>
      <c r="I559" s="2">
        <v>66.650000000000006</v>
      </c>
      <c r="J559" t="s">
        <v>59</v>
      </c>
      <c r="K559" s="4">
        <v>0.375</v>
      </c>
      <c r="L559" s="2">
        <v>0</v>
      </c>
      <c r="M559" s="2">
        <v>24.99</v>
      </c>
      <c r="N559" s="2">
        <v>24.99</v>
      </c>
      <c r="O559" t="s">
        <v>378</v>
      </c>
      <c r="P559" t="s">
        <v>379</v>
      </c>
      <c r="Q559">
        <v>822723</v>
      </c>
      <c r="R559" t="s">
        <v>151</v>
      </c>
      <c r="S559" t="s">
        <v>152</v>
      </c>
      <c r="T559" t="s">
        <v>57</v>
      </c>
      <c r="U559" s="1">
        <v>45689</v>
      </c>
      <c r="W559" s="1">
        <v>45992</v>
      </c>
      <c r="X559">
        <v>1</v>
      </c>
      <c r="Y559" t="s">
        <v>58</v>
      </c>
      <c r="Z559" s="2">
        <v>0</v>
      </c>
      <c r="AA559">
        <v>0</v>
      </c>
      <c r="AB559" t="s">
        <v>60</v>
      </c>
      <c r="AC559" t="s">
        <v>61</v>
      </c>
      <c r="AD559">
        <v>0</v>
      </c>
      <c r="AE559" s="2">
        <v>0</v>
      </c>
      <c r="AF559" s="2">
        <v>0</v>
      </c>
      <c r="AG559" s="3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45957</v>
      </c>
      <c r="B560" t="s">
        <v>48</v>
      </c>
      <c r="C560">
        <v>649163</v>
      </c>
      <c r="D560">
        <v>2026874971</v>
      </c>
      <c r="E560" t="s">
        <v>522</v>
      </c>
      <c r="F560" t="s">
        <v>66</v>
      </c>
      <c r="G560" t="s">
        <v>51</v>
      </c>
      <c r="H560" t="s">
        <v>64</v>
      </c>
      <c r="I560" s="2">
        <v>140.77000000000001</v>
      </c>
      <c r="J560" t="s">
        <v>59</v>
      </c>
      <c r="K560" s="4">
        <v>0.375</v>
      </c>
      <c r="L560" s="2">
        <v>0</v>
      </c>
      <c r="M560" s="2">
        <v>52.79</v>
      </c>
      <c r="N560" s="2">
        <v>52.79</v>
      </c>
      <c r="O560" t="s">
        <v>378</v>
      </c>
      <c r="P560" t="s">
        <v>379</v>
      </c>
      <c r="Q560">
        <v>751867</v>
      </c>
      <c r="R560" t="s">
        <v>349</v>
      </c>
      <c r="S560" t="s">
        <v>312</v>
      </c>
      <c r="T560" t="s">
        <v>57</v>
      </c>
      <c r="U560" s="1">
        <v>45689</v>
      </c>
      <c r="W560" s="1">
        <v>45992</v>
      </c>
      <c r="X560">
        <v>1</v>
      </c>
      <c r="Y560" t="s">
        <v>58</v>
      </c>
      <c r="Z560" s="2">
        <v>0</v>
      </c>
      <c r="AA560">
        <v>0</v>
      </c>
      <c r="AB560" t="s">
        <v>60</v>
      </c>
      <c r="AC560" t="s">
        <v>61</v>
      </c>
      <c r="AD560">
        <v>0</v>
      </c>
      <c r="AE560" s="2">
        <v>0</v>
      </c>
      <c r="AF560" s="2">
        <v>0</v>
      </c>
      <c r="AG560" s="3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45957</v>
      </c>
      <c r="B561" t="s">
        <v>48</v>
      </c>
      <c r="C561">
        <v>649163</v>
      </c>
      <c r="D561">
        <v>2027321380</v>
      </c>
      <c r="E561" t="s">
        <v>883</v>
      </c>
      <c r="F561" t="s">
        <v>884</v>
      </c>
      <c r="G561" t="s">
        <v>51</v>
      </c>
      <c r="H561" t="s">
        <v>69</v>
      </c>
      <c r="I561" s="2">
        <v>27.64</v>
      </c>
      <c r="J561" t="s">
        <v>59</v>
      </c>
      <c r="K561" s="4">
        <v>0.375</v>
      </c>
      <c r="L561" s="2">
        <v>0</v>
      </c>
      <c r="M561" s="2">
        <v>10.36</v>
      </c>
      <c r="N561" s="2">
        <v>10.36</v>
      </c>
      <c r="O561" t="s">
        <v>378</v>
      </c>
      <c r="P561" t="s">
        <v>379</v>
      </c>
      <c r="Q561">
        <v>673059</v>
      </c>
      <c r="R561" t="s">
        <v>55</v>
      </c>
      <c r="S561" t="s">
        <v>56</v>
      </c>
      <c r="T561" t="s">
        <v>57</v>
      </c>
      <c r="U561" s="1">
        <v>45713</v>
      </c>
      <c r="W561" s="1">
        <v>45986</v>
      </c>
      <c r="X561">
        <v>1</v>
      </c>
      <c r="Y561" t="s">
        <v>58</v>
      </c>
      <c r="Z561" s="2">
        <v>0</v>
      </c>
      <c r="AA561">
        <v>0</v>
      </c>
      <c r="AB561" t="s">
        <v>60</v>
      </c>
      <c r="AC561" t="s">
        <v>61</v>
      </c>
      <c r="AD561">
        <v>0</v>
      </c>
      <c r="AE561" s="2">
        <v>0</v>
      </c>
      <c r="AF561" s="2">
        <v>0</v>
      </c>
      <c r="AG561" s="3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45957</v>
      </c>
      <c r="B562" t="s">
        <v>48</v>
      </c>
      <c r="C562">
        <v>649163</v>
      </c>
      <c r="D562">
        <v>2027343741</v>
      </c>
      <c r="E562" t="s">
        <v>885</v>
      </c>
      <c r="F562" t="s">
        <v>886</v>
      </c>
      <c r="G562" t="s">
        <v>51</v>
      </c>
      <c r="H562" t="s">
        <v>261</v>
      </c>
      <c r="I562" s="2">
        <v>59.58</v>
      </c>
      <c r="J562" t="s">
        <v>59</v>
      </c>
      <c r="K562" s="4">
        <v>0.375</v>
      </c>
      <c r="L562" s="2">
        <v>0</v>
      </c>
      <c r="M562" s="2">
        <v>22.34</v>
      </c>
      <c r="N562" s="2">
        <v>22.34</v>
      </c>
      <c r="O562" t="s">
        <v>378</v>
      </c>
      <c r="P562" t="s">
        <v>379</v>
      </c>
      <c r="Q562">
        <v>673059</v>
      </c>
      <c r="R562" t="s">
        <v>55</v>
      </c>
      <c r="S562" t="s">
        <v>56</v>
      </c>
      <c r="T562" t="s">
        <v>57</v>
      </c>
      <c r="U562" s="1">
        <v>45714</v>
      </c>
      <c r="W562" s="1">
        <v>45987</v>
      </c>
      <c r="X562">
        <v>1</v>
      </c>
      <c r="Y562" t="s">
        <v>58</v>
      </c>
      <c r="Z562" s="2">
        <v>0</v>
      </c>
      <c r="AA562">
        <v>0</v>
      </c>
      <c r="AB562" t="s">
        <v>60</v>
      </c>
      <c r="AC562" t="s">
        <v>61</v>
      </c>
      <c r="AD562">
        <v>0</v>
      </c>
      <c r="AE562" s="2">
        <v>0</v>
      </c>
      <c r="AF562" s="2">
        <v>0</v>
      </c>
      <c r="AG562" s="3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45957</v>
      </c>
      <c r="B563" t="s">
        <v>48</v>
      </c>
      <c r="C563">
        <v>649163</v>
      </c>
      <c r="D563">
        <v>2027398848</v>
      </c>
      <c r="E563" t="s">
        <v>606</v>
      </c>
      <c r="F563" t="s">
        <v>607</v>
      </c>
      <c r="G563" t="s">
        <v>51</v>
      </c>
      <c r="H563" t="s">
        <v>52</v>
      </c>
      <c r="I563" s="2">
        <v>92.08</v>
      </c>
      <c r="J563" t="s">
        <v>59</v>
      </c>
      <c r="K563" s="4">
        <v>0.375</v>
      </c>
      <c r="L563" s="2">
        <v>0</v>
      </c>
      <c r="M563" s="2">
        <v>34.53</v>
      </c>
      <c r="N563" s="2">
        <v>34.53</v>
      </c>
      <c r="O563" t="s">
        <v>378</v>
      </c>
      <c r="P563" t="s">
        <v>379</v>
      </c>
      <c r="Q563">
        <v>673059</v>
      </c>
      <c r="R563" t="s">
        <v>55</v>
      </c>
      <c r="S563" t="s">
        <v>56</v>
      </c>
      <c r="T563" t="s">
        <v>57</v>
      </c>
      <c r="U563" s="1">
        <v>45748</v>
      </c>
      <c r="W563" s="1">
        <v>45992</v>
      </c>
      <c r="X563">
        <v>1</v>
      </c>
      <c r="Y563" t="s">
        <v>58</v>
      </c>
      <c r="Z563" s="2">
        <v>0</v>
      </c>
      <c r="AA563">
        <v>0</v>
      </c>
      <c r="AB563" t="s">
        <v>60</v>
      </c>
      <c r="AC563" t="s">
        <v>61</v>
      </c>
      <c r="AD563">
        <v>0</v>
      </c>
      <c r="AE563" s="2">
        <v>0</v>
      </c>
      <c r="AF563" s="2">
        <v>0</v>
      </c>
      <c r="AG563" s="3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45957</v>
      </c>
      <c r="B564" t="s">
        <v>48</v>
      </c>
      <c r="C564">
        <v>649163</v>
      </c>
      <c r="D564">
        <v>2027430396</v>
      </c>
      <c r="E564" t="s">
        <v>887</v>
      </c>
      <c r="F564" t="s">
        <v>888</v>
      </c>
      <c r="G564" t="s">
        <v>51</v>
      </c>
      <c r="H564" t="s">
        <v>69</v>
      </c>
      <c r="I564" s="2">
        <v>113.66</v>
      </c>
      <c r="J564" t="s">
        <v>59</v>
      </c>
      <c r="K564" s="4">
        <v>0.375</v>
      </c>
      <c r="L564" s="2">
        <v>0</v>
      </c>
      <c r="M564" s="2">
        <v>42.62</v>
      </c>
      <c r="N564" s="2">
        <v>42.62</v>
      </c>
      <c r="O564" t="s">
        <v>378</v>
      </c>
      <c r="P564" t="s">
        <v>379</v>
      </c>
      <c r="Q564">
        <v>807212</v>
      </c>
      <c r="R564" t="s">
        <v>769</v>
      </c>
      <c r="S564" t="s">
        <v>770</v>
      </c>
      <c r="T564" t="s">
        <v>57</v>
      </c>
      <c r="U564" s="1">
        <v>45716</v>
      </c>
      <c r="W564" s="1">
        <v>45989</v>
      </c>
      <c r="X564">
        <v>1</v>
      </c>
      <c r="Y564" t="s">
        <v>58</v>
      </c>
      <c r="Z564" s="2">
        <v>0</v>
      </c>
      <c r="AA564">
        <v>0</v>
      </c>
      <c r="AB564" t="s">
        <v>60</v>
      </c>
      <c r="AC564" t="s">
        <v>61</v>
      </c>
      <c r="AD564">
        <v>0</v>
      </c>
      <c r="AE564" s="2">
        <v>0</v>
      </c>
      <c r="AF564" s="2">
        <v>0</v>
      </c>
      <c r="AG564" s="3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45957</v>
      </c>
      <c r="B565" t="s">
        <v>48</v>
      </c>
      <c r="C565">
        <v>649163</v>
      </c>
      <c r="D565">
        <v>2027431059</v>
      </c>
      <c r="E565" t="s">
        <v>889</v>
      </c>
      <c r="F565" t="s">
        <v>890</v>
      </c>
      <c r="G565" t="s">
        <v>51</v>
      </c>
      <c r="H565" t="s">
        <v>190</v>
      </c>
      <c r="I565" s="2">
        <v>29.06</v>
      </c>
      <c r="J565" t="s">
        <v>59</v>
      </c>
      <c r="K565" s="4">
        <v>0.375</v>
      </c>
      <c r="L565" s="2">
        <v>0</v>
      </c>
      <c r="M565" s="2">
        <v>10.9</v>
      </c>
      <c r="N565" s="2">
        <v>10.9</v>
      </c>
      <c r="O565" t="s">
        <v>378</v>
      </c>
      <c r="P565" t="s">
        <v>379</v>
      </c>
      <c r="Q565">
        <v>767312</v>
      </c>
      <c r="R565" t="s">
        <v>237</v>
      </c>
      <c r="S565" t="s">
        <v>103</v>
      </c>
      <c r="T565" t="s">
        <v>57</v>
      </c>
      <c r="U565" s="1">
        <v>45716</v>
      </c>
      <c r="W565" s="1">
        <v>45989</v>
      </c>
      <c r="X565">
        <v>1</v>
      </c>
      <c r="Y565" t="s">
        <v>58</v>
      </c>
      <c r="Z565" s="2">
        <v>0</v>
      </c>
      <c r="AA565">
        <v>0</v>
      </c>
      <c r="AB565" t="s">
        <v>60</v>
      </c>
      <c r="AC565" t="s">
        <v>61</v>
      </c>
      <c r="AD565">
        <v>0</v>
      </c>
      <c r="AE565" s="2">
        <v>0</v>
      </c>
      <c r="AF565" s="2">
        <v>0</v>
      </c>
      <c r="AG565" s="3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45957</v>
      </c>
      <c r="B566" t="s">
        <v>48</v>
      </c>
      <c r="C566">
        <v>649163</v>
      </c>
      <c r="D566">
        <v>2027741057</v>
      </c>
      <c r="E566" t="s">
        <v>608</v>
      </c>
      <c r="F566" t="s">
        <v>609</v>
      </c>
      <c r="G566" t="s">
        <v>51</v>
      </c>
      <c r="H566" t="s">
        <v>69</v>
      </c>
      <c r="I566" s="2">
        <v>32.67</v>
      </c>
      <c r="J566" t="s">
        <v>59</v>
      </c>
      <c r="K566" s="4">
        <v>0.375</v>
      </c>
      <c r="L566" s="2">
        <v>0</v>
      </c>
      <c r="M566" s="2">
        <v>12.25</v>
      </c>
      <c r="N566" s="2">
        <v>12.25</v>
      </c>
      <c r="O566" t="s">
        <v>378</v>
      </c>
      <c r="P566" t="s">
        <v>379</v>
      </c>
      <c r="Q566">
        <v>766747</v>
      </c>
      <c r="R566" t="s">
        <v>97</v>
      </c>
      <c r="S566" t="s">
        <v>98</v>
      </c>
      <c r="T566" t="s">
        <v>57</v>
      </c>
      <c r="U566" s="1">
        <v>45748</v>
      </c>
      <c r="W566" s="1">
        <v>45992</v>
      </c>
      <c r="X566">
        <v>1</v>
      </c>
      <c r="Y566" t="s">
        <v>58</v>
      </c>
      <c r="Z566" s="2">
        <v>0</v>
      </c>
      <c r="AA566">
        <v>0</v>
      </c>
      <c r="AB566" t="s">
        <v>60</v>
      </c>
      <c r="AC566" t="s">
        <v>61</v>
      </c>
      <c r="AD566">
        <v>0</v>
      </c>
      <c r="AE566" s="2">
        <v>0</v>
      </c>
      <c r="AF566" s="2">
        <v>0</v>
      </c>
      <c r="AG566" s="3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45957</v>
      </c>
      <c r="B567" t="s">
        <v>48</v>
      </c>
      <c r="C567">
        <v>649163</v>
      </c>
      <c r="D567">
        <v>2027743284</v>
      </c>
      <c r="E567" t="s">
        <v>610</v>
      </c>
      <c r="F567" t="s">
        <v>324</v>
      </c>
      <c r="G567" t="s">
        <v>51</v>
      </c>
      <c r="H567" t="s">
        <v>182</v>
      </c>
      <c r="I567" s="2">
        <v>103.95</v>
      </c>
      <c r="J567" t="s">
        <v>59</v>
      </c>
      <c r="K567" s="4">
        <v>0.375</v>
      </c>
      <c r="L567" s="2">
        <v>0</v>
      </c>
      <c r="M567" s="2">
        <v>38.979999999999997</v>
      </c>
      <c r="N567" s="2">
        <v>38.979999999999997</v>
      </c>
      <c r="O567" t="s">
        <v>378</v>
      </c>
      <c r="P567" t="s">
        <v>379</v>
      </c>
      <c r="Q567">
        <v>673059</v>
      </c>
      <c r="R567" t="s">
        <v>55</v>
      </c>
      <c r="S567" t="s">
        <v>56</v>
      </c>
      <c r="T567" t="s">
        <v>57</v>
      </c>
      <c r="U567" s="1">
        <v>45748</v>
      </c>
      <c r="W567" s="1">
        <v>45992</v>
      </c>
      <c r="X567">
        <v>1</v>
      </c>
      <c r="Y567" t="s">
        <v>58</v>
      </c>
      <c r="Z567" s="2">
        <v>0</v>
      </c>
      <c r="AA567">
        <v>0</v>
      </c>
      <c r="AB567" t="s">
        <v>60</v>
      </c>
      <c r="AC567" t="s">
        <v>61</v>
      </c>
      <c r="AD567">
        <v>0</v>
      </c>
      <c r="AE567" s="2">
        <v>0</v>
      </c>
      <c r="AF567" s="2">
        <v>0</v>
      </c>
      <c r="AG567" s="3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45957</v>
      </c>
      <c r="B568" t="s">
        <v>48</v>
      </c>
      <c r="C568">
        <v>649163</v>
      </c>
      <c r="D568">
        <v>2027745348</v>
      </c>
      <c r="E568" t="s">
        <v>526</v>
      </c>
      <c r="F568" t="s">
        <v>527</v>
      </c>
      <c r="G568" t="s">
        <v>51</v>
      </c>
      <c r="H568" t="s">
        <v>276</v>
      </c>
      <c r="I568" s="2">
        <v>45.77</v>
      </c>
      <c r="J568" t="s">
        <v>59</v>
      </c>
      <c r="K568" s="4">
        <v>0.375</v>
      </c>
      <c r="L568" s="2">
        <v>0</v>
      </c>
      <c r="M568" s="2">
        <v>17.16</v>
      </c>
      <c r="N568" s="2">
        <v>17.16</v>
      </c>
      <c r="O568" t="s">
        <v>378</v>
      </c>
      <c r="P568" t="s">
        <v>379</v>
      </c>
      <c r="Q568">
        <v>673059</v>
      </c>
      <c r="R568" t="s">
        <v>55</v>
      </c>
      <c r="S568" t="s">
        <v>56</v>
      </c>
      <c r="T568" t="s">
        <v>57</v>
      </c>
      <c r="U568" s="1">
        <v>45748</v>
      </c>
      <c r="W568" s="1">
        <v>45992</v>
      </c>
      <c r="X568">
        <v>1</v>
      </c>
      <c r="Y568" t="s">
        <v>58</v>
      </c>
      <c r="Z568" s="2">
        <v>0</v>
      </c>
      <c r="AA568">
        <v>0</v>
      </c>
      <c r="AB568" t="s">
        <v>60</v>
      </c>
      <c r="AC568" t="s">
        <v>61</v>
      </c>
      <c r="AD568">
        <v>0</v>
      </c>
      <c r="AE568" s="2">
        <v>0</v>
      </c>
      <c r="AF568" s="2">
        <v>0</v>
      </c>
      <c r="AG568" s="3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45957</v>
      </c>
      <c r="B569" t="s">
        <v>48</v>
      </c>
      <c r="C569">
        <v>649163</v>
      </c>
      <c r="D569">
        <v>2027857788</v>
      </c>
      <c r="E569" t="s">
        <v>891</v>
      </c>
      <c r="F569" t="s">
        <v>892</v>
      </c>
      <c r="G569" t="s">
        <v>51</v>
      </c>
      <c r="H569" t="s">
        <v>165</v>
      </c>
      <c r="I569" s="2">
        <v>37.869999999999997</v>
      </c>
      <c r="J569" t="s">
        <v>59</v>
      </c>
      <c r="K569" s="4">
        <v>0.375</v>
      </c>
      <c r="L569" s="2">
        <v>0</v>
      </c>
      <c r="M569" s="2">
        <v>14.2</v>
      </c>
      <c r="N569" s="2">
        <v>14.2</v>
      </c>
      <c r="O569" t="s">
        <v>378</v>
      </c>
      <c r="P569" t="s">
        <v>379</v>
      </c>
      <c r="Q569">
        <v>822723</v>
      </c>
      <c r="R569" t="s">
        <v>151</v>
      </c>
      <c r="S569" t="s">
        <v>152</v>
      </c>
      <c r="T569" t="s">
        <v>57</v>
      </c>
      <c r="U569" s="1">
        <v>45748</v>
      </c>
      <c r="W569" s="1">
        <v>45992</v>
      </c>
      <c r="X569">
        <v>1</v>
      </c>
      <c r="Y569" t="s">
        <v>58</v>
      </c>
      <c r="Z569" s="2">
        <v>0</v>
      </c>
      <c r="AA569">
        <v>0</v>
      </c>
      <c r="AB569" t="s">
        <v>60</v>
      </c>
      <c r="AC569" t="s">
        <v>61</v>
      </c>
      <c r="AD569">
        <v>0</v>
      </c>
      <c r="AE569" s="2">
        <v>0</v>
      </c>
      <c r="AF569" s="2">
        <v>0</v>
      </c>
      <c r="AG569" s="3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45957</v>
      </c>
      <c r="B570" t="s">
        <v>48</v>
      </c>
      <c r="C570">
        <v>649163</v>
      </c>
      <c r="D570">
        <v>2027858971</v>
      </c>
      <c r="E570" t="s">
        <v>893</v>
      </c>
      <c r="F570" t="s">
        <v>576</v>
      </c>
      <c r="G570" t="s">
        <v>51</v>
      </c>
      <c r="H570" t="s">
        <v>69</v>
      </c>
      <c r="I570" s="2">
        <v>57.11</v>
      </c>
      <c r="J570" t="s">
        <v>59</v>
      </c>
      <c r="K570" s="4">
        <v>0.375</v>
      </c>
      <c r="L570" s="2">
        <v>0</v>
      </c>
      <c r="M570" s="2">
        <v>21.42</v>
      </c>
      <c r="N570" s="2">
        <v>21.42</v>
      </c>
      <c r="O570" t="s">
        <v>378</v>
      </c>
      <c r="P570" t="s">
        <v>379</v>
      </c>
      <c r="Q570">
        <v>813181</v>
      </c>
      <c r="R570" t="s">
        <v>894</v>
      </c>
      <c r="S570" t="s">
        <v>675</v>
      </c>
      <c r="T570" t="s">
        <v>57</v>
      </c>
      <c r="U570" s="1">
        <v>45748</v>
      </c>
      <c r="W570" s="1">
        <v>45992</v>
      </c>
      <c r="X570">
        <v>1</v>
      </c>
      <c r="Y570" t="s">
        <v>58</v>
      </c>
      <c r="Z570" s="2">
        <v>0</v>
      </c>
      <c r="AA570">
        <v>0</v>
      </c>
      <c r="AB570" t="s">
        <v>60</v>
      </c>
      <c r="AC570" t="s">
        <v>61</v>
      </c>
      <c r="AD570">
        <v>0</v>
      </c>
      <c r="AE570" s="2">
        <v>0</v>
      </c>
      <c r="AF570" s="2">
        <v>0</v>
      </c>
      <c r="AG570" s="3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45957</v>
      </c>
      <c r="B571" t="s">
        <v>48</v>
      </c>
      <c r="C571">
        <v>649163</v>
      </c>
      <c r="D571">
        <v>2027868981</v>
      </c>
      <c r="E571" t="s">
        <v>895</v>
      </c>
      <c r="F571" t="s">
        <v>896</v>
      </c>
      <c r="G571" t="s">
        <v>51</v>
      </c>
      <c r="H571" t="s">
        <v>69</v>
      </c>
      <c r="I571" s="2">
        <v>150.44999999999999</v>
      </c>
      <c r="J571" t="s">
        <v>59</v>
      </c>
      <c r="K571" s="4">
        <v>0.375</v>
      </c>
      <c r="L571" s="2">
        <v>0</v>
      </c>
      <c r="M571" s="2">
        <v>56.42</v>
      </c>
      <c r="N571" s="2">
        <v>56.42</v>
      </c>
      <c r="O571" t="s">
        <v>378</v>
      </c>
      <c r="P571" t="s">
        <v>379</v>
      </c>
      <c r="Q571">
        <v>812782</v>
      </c>
      <c r="R571" t="s">
        <v>114</v>
      </c>
      <c r="S571" t="s">
        <v>115</v>
      </c>
      <c r="T571" t="s">
        <v>57</v>
      </c>
      <c r="U571" s="1">
        <v>45748</v>
      </c>
      <c r="W571" s="1">
        <v>45992</v>
      </c>
      <c r="X571">
        <v>1</v>
      </c>
      <c r="Y571" t="s">
        <v>58</v>
      </c>
      <c r="Z571" s="2">
        <v>0</v>
      </c>
      <c r="AA571">
        <v>0</v>
      </c>
      <c r="AB571" t="s">
        <v>60</v>
      </c>
      <c r="AC571" t="s">
        <v>61</v>
      </c>
      <c r="AD571">
        <v>0</v>
      </c>
      <c r="AE571" s="2">
        <v>0</v>
      </c>
      <c r="AF571" s="2">
        <v>0</v>
      </c>
      <c r="AG571" s="3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45957</v>
      </c>
      <c r="B572" t="s">
        <v>48</v>
      </c>
      <c r="C572">
        <v>649163</v>
      </c>
      <c r="D572">
        <v>2027883494</v>
      </c>
      <c r="E572" t="s">
        <v>318</v>
      </c>
      <c r="F572" t="s">
        <v>897</v>
      </c>
      <c r="G572" t="s">
        <v>51</v>
      </c>
      <c r="H572" t="s">
        <v>195</v>
      </c>
      <c r="I572" s="2">
        <v>49.98</v>
      </c>
      <c r="J572" t="s">
        <v>59</v>
      </c>
      <c r="K572" s="4">
        <v>0.375</v>
      </c>
      <c r="L572" s="2">
        <v>0</v>
      </c>
      <c r="M572" s="2">
        <v>18.739999999999998</v>
      </c>
      <c r="N572" s="2">
        <v>18.739999999999998</v>
      </c>
      <c r="O572" t="s">
        <v>378</v>
      </c>
      <c r="P572" t="s">
        <v>379</v>
      </c>
      <c r="Q572">
        <v>728134</v>
      </c>
      <c r="R572" t="s">
        <v>325</v>
      </c>
      <c r="S572" t="s">
        <v>326</v>
      </c>
      <c r="T572" t="s">
        <v>57</v>
      </c>
      <c r="U572" s="1">
        <v>45735</v>
      </c>
      <c r="W572" s="1">
        <v>45980</v>
      </c>
      <c r="X572">
        <v>1</v>
      </c>
      <c r="Y572" t="s">
        <v>58</v>
      </c>
      <c r="Z572" s="2">
        <v>0</v>
      </c>
      <c r="AA572">
        <v>0</v>
      </c>
      <c r="AB572" t="s">
        <v>60</v>
      </c>
      <c r="AC572" t="s">
        <v>61</v>
      </c>
      <c r="AD572">
        <v>0</v>
      </c>
      <c r="AE572" s="2">
        <v>0</v>
      </c>
      <c r="AF572" s="2">
        <v>0</v>
      </c>
      <c r="AG572" s="3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45957</v>
      </c>
      <c r="B573" t="s">
        <v>48</v>
      </c>
      <c r="C573">
        <v>649163</v>
      </c>
      <c r="D573">
        <v>2027916436</v>
      </c>
      <c r="E573" t="s">
        <v>898</v>
      </c>
      <c r="F573" t="s">
        <v>224</v>
      </c>
      <c r="G573" t="s">
        <v>51</v>
      </c>
      <c r="H573" t="s">
        <v>69</v>
      </c>
      <c r="I573" s="2">
        <v>22.52</v>
      </c>
      <c r="J573" t="s">
        <v>59</v>
      </c>
      <c r="K573" s="4">
        <v>0.375</v>
      </c>
      <c r="L573" s="2">
        <v>0</v>
      </c>
      <c r="M573" s="2">
        <v>8.44</v>
      </c>
      <c r="N573" s="2">
        <v>8.44</v>
      </c>
      <c r="O573" t="s">
        <v>378</v>
      </c>
      <c r="P573" t="s">
        <v>379</v>
      </c>
      <c r="Q573">
        <v>856824</v>
      </c>
      <c r="R573" t="s">
        <v>175</v>
      </c>
      <c r="S573" t="s">
        <v>176</v>
      </c>
      <c r="T573" t="s">
        <v>57</v>
      </c>
      <c r="U573" s="1">
        <v>45748</v>
      </c>
      <c r="W573" s="1">
        <v>45992</v>
      </c>
      <c r="X573">
        <v>1</v>
      </c>
      <c r="Y573" t="s">
        <v>58</v>
      </c>
      <c r="Z573" s="2">
        <v>0</v>
      </c>
      <c r="AA573">
        <v>0</v>
      </c>
      <c r="AB573" t="s">
        <v>60</v>
      </c>
      <c r="AC573" t="s">
        <v>61</v>
      </c>
      <c r="AD573">
        <v>0</v>
      </c>
      <c r="AE573" s="2">
        <v>0</v>
      </c>
      <c r="AF573" s="2">
        <v>0</v>
      </c>
      <c r="AG573" s="3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45957</v>
      </c>
      <c r="B574" t="s">
        <v>48</v>
      </c>
      <c r="C574">
        <v>649163</v>
      </c>
      <c r="D574">
        <v>2027920262</v>
      </c>
      <c r="E574" t="s">
        <v>616</v>
      </c>
      <c r="F574" t="s">
        <v>617</v>
      </c>
      <c r="G574" t="s">
        <v>51</v>
      </c>
      <c r="H574" t="s">
        <v>92</v>
      </c>
      <c r="I574" s="2">
        <v>53.08</v>
      </c>
      <c r="J574" t="s">
        <v>59</v>
      </c>
      <c r="K574" s="4">
        <v>0.375</v>
      </c>
      <c r="L574" s="2">
        <v>0</v>
      </c>
      <c r="M574" s="2">
        <v>19.899999999999999</v>
      </c>
      <c r="N574" s="2">
        <v>19.899999999999999</v>
      </c>
      <c r="O574" t="s">
        <v>378</v>
      </c>
      <c r="P574" t="s">
        <v>379</v>
      </c>
      <c r="Q574">
        <v>816021</v>
      </c>
      <c r="R574" t="s">
        <v>93</v>
      </c>
      <c r="S574" t="s">
        <v>94</v>
      </c>
      <c r="T574" t="s">
        <v>57</v>
      </c>
      <c r="U574" s="1">
        <v>45744</v>
      </c>
      <c r="W574" s="1">
        <v>45989</v>
      </c>
      <c r="X574">
        <v>1</v>
      </c>
      <c r="Y574" t="s">
        <v>58</v>
      </c>
      <c r="Z574" s="2">
        <v>0</v>
      </c>
      <c r="AA574">
        <v>0</v>
      </c>
      <c r="AB574" t="s">
        <v>60</v>
      </c>
      <c r="AC574" t="s">
        <v>61</v>
      </c>
      <c r="AD574">
        <v>0</v>
      </c>
      <c r="AE574" s="2">
        <v>0</v>
      </c>
      <c r="AF574" s="2">
        <v>0</v>
      </c>
      <c r="AG574" s="3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45957</v>
      </c>
      <c r="B575" t="s">
        <v>48</v>
      </c>
      <c r="C575">
        <v>649163</v>
      </c>
      <c r="D575">
        <v>2027937825</v>
      </c>
      <c r="E575" t="s">
        <v>899</v>
      </c>
      <c r="F575" t="s">
        <v>900</v>
      </c>
      <c r="G575" t="s">
        <v>51</v>
      </c>
      <c r="H575" t="s">
        <v>636</v>
      </c>
      <c r="I575" s="2">
        <v>43.03</v>
      </c>
      <c r="J575" t="s">
        <v>59</v>
      </c>
      <c r="K575" s="4">
        <v>0.375</v>
      </c>
      <c r="L575" s="2">
        <v>0</v>
      </c>
      <c r="M575" s="2">
        <v>16.14</v>
      </c>
      <c r="N575" s="2">
        <v>16.14</v>
      </c>
      <c r="O575" t="s">
        <v>378</v>
      </c>
      <c r="P575" t="s">
        <v>379</v>
      </c>
      <c r="Q575">
        <v>673059</v>
      </c>
      <c r="R575" t="s">
        <v>55</v>
      </c>
      <c r="S575" t="s">
        <v>56</v>
      </c>
      <c r="T575" t="s">
        <v>57</v>
      </c>
      <c r="U575" s="1">
        <v>45748</v>
      </c>
      <c r="W575" s="1">
        <v>45992</v>
      </c>
      <c r="X575">
        <v>1</v>
      </c>
      <c r="Y575" t="s">
        <v>58</v>
      </c>
      <c r="Z575" s="2">
        <v>0</v>
      </c>
      <c r="AA575">
        <v>0</v>
      </c>
      <c r="AB575" t="s">
        <v>60</v>
      </c>
      <c r="AC575" t="s">
        <v>61</v>
      </c>
      <c r="AD575">
        <v>0</v>
      </c>
      <c r="AE575" s="2">
        <v>0</v>
      </c>
      <c r="AF575" s="2">
        <v>0</v>
      </c>
      <c r="AG575" s="3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45957</v>
      </c>
      <c r="B576" t="s">
        <v>48</v>
      </c>
      <c r="C576">
        <v>649163</v>
      </c>
      <c r="D576">
        <v>2027943424</v>
      </c>
      <c r="E576" t="s">
        <v>901</v>
      </c>
      <c r="F576" t="s">
        <v>902</v>
      </c>
      <c r="G576" t="s">
        <v>51</v>
      </c>
      <c r="H576" t="s">
        <v>69</v>
      </c>
      <c r="I576" s="2">
        <v>22.52</v>
      </c>
      <c r="J576" t="s">
        <v>59</v>
      </c>
      <c r="K576" s="4">
        <v>0.375</v>
      </c>
      <c r="L576" s="2">
        <v>0</v>
      </c>
      <c r="M576" s="2">
        <v>8.44</v>
      </c>
      <c r="N576" s="2">
        <v>8.44</v>
      </c>
      <c r="O576" t="s">
        <v>378</v>
      </c>
      <c r="P576" t="s">
        <v>379</v>
      </c>
      <c r="Q576">
        <v>812782</v>
      </c>
      <c r="R576" t="s">
        <v>114</v>
      </c>
      <c r="S576" t="s">
        <v>115</v>
      </c>
      <c r="T576" t="s">
        <v>57</v>
      </c>
      <c r="U576" s="1">
        <v>45748</v>
      </c>
      <c r="W576" s="1">
        <v>45992</v>
      </c>
      <c r="X576">
        <v>1</v>
      </c>
      <c r="Y576" t="s">
        <v>58</v>
      </c>
      <c r="Z576" s="2">
        <v>0</v>
      </c>
      <c r="AA576">
        <v>0</v>
      </c>
      <c r="AB576" t="s">
        <v>60</v>
      </c>
      <c r="AC576" t="s">
        <v>61</v>
      </c>
      <c r="AD576">
        <v>0</v>
      </c>
      <c r="AE576" s="2">
        <v>0</v>
      </c>
      <c r="AF576" s="2">
        <v>0</v>
      </c>
      <c r="AG576" s="3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45957</v>
      </c>
      <c r="B577" t="s">
        <v>48</v>
      </c>
      <c r="C577">
        <v>649163</v>
      </c>
      <c r="D577">
        <v>2027980064</v>
      </c>
      <c r="E577" t="s">
        <v>903</v>
      </c>
      <c r="F577" t="s">
        <v>342</v>
      </c>
      <c r="G577" t="s">
        <v>51</v>
      </c>
      <c r="H577" t="s">
        <v>69</v>
      </c>
      <c r="I577" s="2">
        <v>48.61</v>
      </c>
      <c r="J577" t="s">
        <v>59</v>
      </c>
      <c r="K577" s="4">
        <v>0.375</v>
      </c>
      <c r="L577" s="2">
        <v>0</v>
      </c>
      <c r="M577" s="2">
        <v>18.23</v>
      </c>
      <c r="N577" s="2">
        <v>18.23</v>
      </c>
      <c r="O577" t="s">
        <v>378</v>
      </c>
      <c r="P577" t="s">
        <v>379</v>
      </c>
      <c r="Q577">
        <v>856824</v>
      </c>
      <c r="R577" t="s">
        <v>175</v>
      </c>
      <c r="S577" t="s">
        <v>176</v>
      </c>
      <c r="T577" t="s">
        <v>57</v>
      </c>
      <c r="U577" s="1">
        <v>45748</v>
      </c>
      <c r="W577" s="1">
        <v>45992</v>
      </c>
      <c r="X577">
        <v>1</v>
      </c>
      <c r="Y577" t="s">
        <v>58</v>
      </c>
      <c r="Z577" s="2">
        <v>0</v>
      </c>
      <c r="AA577">
        <v>0</v>
      </c>
      <c r="AB577" t="s">
        <v>60</v>
      </c>
      <c r="AC577" t="s">
        <v>61</v>
      </c>
      <c r="AD577">
        <v>0</v>
      </c>
      <c r="AE577" s="2">
        <v>0</v>
      </c>
      <c r="AF577" s="2">
        <v>0</v>
      </c>
      <c r="AG577" s="3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45957</v>
      </c>
      <c r="B578" t="s">
        <v>48</v>
      </c>
      <c r="C578">
        <v>649163</v>
      </c>
      <c r="D578">
        <v>2028005040</v>
      </c>
      <c r="E578" t="s">
        <v>904</v>
      </c>
      <c r="F578" t="s">
        <v>905</v>
      </c>
      <c r="G578" t="s">
        <v>51</v>
      </c>
      <c r="H578" t="s">
        <v>69</v>
      </c>
      <c r="I578" s="2">
        <v>184.68</v>
      </c>
      <c r="J578" t="s">
        <v>59</v>
      </c>
      <c r="K578" s="4">
        <v>0.375</v>
      </c>
      <c r="L578" s="2">
        <v>0</v>
      </c>
      <c r="M578" s="2">
        <v>69.260000000000005</v>
      </c>
      <c r="N578" s="2">
        <v>69.260000000000005</v>
      </c>
      <c r="O578" t="s">
        <v>378</v>
      </c>
      <c r="P578" t="s">
        <v>379</v>
      </c>
      <c r="Q578">
        <v>824062</v>
      </c>
      <c r="R578" t="s">
        <v>74</v>
      </c>
      <c r="S578" t="s">
        <v>75</v>
      </c>
      <c r="T578" t="s">
        <v>57</v>
      </c>
      <c r="U578" s="1">
        <v>45741</v>
      </c>
      <c r="W578" s="1">
        <v>45986</v>
      </c>
      <c r="X578">
        <v>1</v>
      </c>
      <c r="Y578" t="s">
        <v>58</v>
      </c>
      <c r="Z578" s="2">
        <v>0</v>
      </c>
      <c r="AA578">
        <v>0</v>
      </c>
      <c r="AB578" t="s">
        <v>60</v>
      </c>
      <c r="AC578" t="s">
        <v>61</v>
      </c>
      <c r="AD578">
        <v>0</v>
      </c>
      <c r="AE578" s="2">
        <v>0</v>
      </c>
      <c r="AF578" s="2">
        <v>0</v>
      </c>
      <c r="AG578" s="3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45957</v>
      </c>
      <c r="B579" t="s">
        <v>48</v>
      </c>
      <c r="C579">
        <v>649163</v>
      </c>
      <c r="D579">
        <v>2028020256</v>
      </c>
      <c r="E579" t="s">
        <v>906</v>
      </c>
      <c r="F579" t="s">
        <v>326</v>
      </c>
      <c r="G579" t="s">
        <v>51</v>
      </c>
      <c r="H579" t="s">
        <v>195</v>
      </c>
      <c r="I579" s="2">
        <v>39.979999999999997</v>
      </c>
      <c r="J579" t="s">
        <v>59</v>
      </c>
      <c r="K579" s="4">
        <v>0.375</v>
      </c>
      <c r="L579" s="2">
        <v>0</v>
      </c>
      <c r="M579" s="2">
        <v>14.99</v>
      </c>
      <c r="N579" s="2">
        <v>14.99</v>
      </c>
      <c r="O579" t="s">
        <v>378</v>
      </c>
      <c r="P579" t="s">
        <v>379</v>
      </c>
      <c r="Q579">
        <v>728134</v>
      </c>
      <c r="R579" t="s">
        <v>325</v>
      </c>
      <c r="S579" t="s">
        <v>326</v>
      </c>
      <c r="T579" t="s">
        <v>57</v>
      </c>
      <c r="U579" s="1">
        <v>45748</v>
      </c>
      <c r="W579" s="1">
        <v>45992</v>
      </c>
      <c r="X579">
        <v>1</v>
      </c>
      <c r="Y579" t="s">
        <v>58</v>
      </c>
      <c r="Z579" s="2">
        <v>0</v>
      </c>
      <c r="AA579">
        <v>0</v>
      </c>
      <c r="AB579" t="s">
        <v>60</v>
      </c>
      <c r="AC579" t="s">
        <v>61</v>
      </c>
      <c r="AD579">
        <v>0</v>
      </c>
      <c r="AE579" s="2">
        <v>0</v>
      </c>
      <c r="AF579" s="2">
        <v>0</v>
      </c>
      <c r="AG579" s="3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45957</v>
      </c>
      <c r="B580" t="s">
        <v>48</v>
      </c>
      <c r="C580">
        <v>649163</v>
      </c>
      <c r="D580">
        <v>2028028176</v>
      </c>
      <c r="E580" t="s">
        <v>531</v>
      </c>
      <c r="F580" t="s">
        <v>532</v>
      </c>
      <c r="G580" t="s">
        <v>51</v>
      </c>
      <c r="H580" t="s">
        <v>195</v>
      </c>
      <c r="I580" s="2">
        <v>27.11</v>
      </c>
      <c r="J580" t="s">
        <v>59</v>
      </c>
      <c r="K580" s="4">
        <v>0.375</v>
      </c>
      <c r="L580" s="2">
        <v>0</v>
      </c>
      <c r="M580" s="2">
        <v>10.17</v>
      </c>
      <c r="N580" s="2">
        <v>10.17</v>
      </c>
      <c r="O580" t="s">
        <v>378</v>
      </c>
      <c r="P580" t="s">
        <v>379</v>
      </c>
      <c r="Q580">
        <v>823068</v>
      </c>
      <c r="R580" t="s">
        <v>120</v>
      </c>
      <c r="S580" t="s">
        <v>121</v>
      </c>
      <c r="T580" t="s">
        <v>57</v>
      </c>
      <c r="U580" s="1">
        <v>45748</v>
      </c>
      <c r="W580" s="1">
        <v>45992</v>
      </c>
      <c r="X580">
        <v>1</v>
      </c>
      <c r="Y580" t="s">
        <v>58</v>
      </c>
      <c r="Z580" s="2">
        <v>0</v>
      </c>
      <c r="AA580">
        <v>0</v>
      </c>
      <c r="AB580" t="s">
        <v>60</v>
      </c>
      <c r="AC580" t="s">
        <v>61</v>
      </c>
      <c r="AD580">
        <v>0</v>
      </c>
      <c r="AE580" s="2">
        <v>0</v>
      </c>
      <c r="AF580" s="2">
        <v>0</v>
      </c>
      <c r="AG580" s="3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45957</v>
      </c>
      <c r="B581" t="s">
        <v>48</v>
      </c>
      <c r="C581">
        <v>649163</v>
      </c>
      <c r="D581">
        <v>2028043911</v>
      </c>
      <c r="E581" t="s">
        <v>280</v>
      </c>
      <c r="F581" t="s">
        <v>907</v>
      </c>
      <c r="G581" t="s">
        <v>51</v>
      </c>
      <c r="H581" t="s">
        <v>69</v>
      </c>
      <c r="I581" s="2">
        <v>90.76</v>
      </c>
      <c r="J581" t="s">
        <v>59</v>
      </c>
      <c r="K581" s="4">
        <v>0.375</v>
      </c>
      <c r="L581" s="2">
        <v>0</v>
      </c>
      <c r="M581" s="2">
        <v>34.04</v>
      </c>
      <c r="N581" s="2">
        <v>34.04</v>
      </c>
      <c r="O581" t="s">
        <v>378</v>
      </c>
      <c r="P581" t="s">
        <v>379</v>
      </c>
      <c r="Q581">
        <v>806645</v>
      </c>
      <c r="R581" t="s">
        <v>88</v>
      </c>
      <c r="S581" t="s">
        <v>89</v>
      </c>
      <c r="T581" t="s">
        <v>57</v>
      </c>
      <c r="U581" s="1">
        <v>45748</v>
      </c>
      <c r="W581" s="1">
        <v>45992</v>
      </c>
      <c r="X581">
        <v>1</v>
      </c>
      <c r="Y581" t="s">
        <v>58</v>
      </c>
      <c r="Z581" s="2">
        <v>0</v>
      </c>
      <c r="AA581">
        <v>0</v>
      </c>
      <c r="AB581" t="s">
        <v>60</v>
      </c>
      <c r="AC581" t="s">
        <v>61</v>
      </c>
      <c r="AD581">
        <v>0</v>
      </c>
      <c r="AE581" s="2">
        <v>0</v>
      </c>
      <c r="AF581" s="2">
        <v>0</v>
      </c>
      <c r="AG581" s="3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45957</v>
      </c>
      <c r="B582" t="s">
        <v>48</v>
      </c>
      <c r="C582">
        <v>649163</v>
      </c>
      <c r="D582">
        <v>2028052820</v>
      </c>
      <c r="E582" t="s">
        <v>624</v>
      </c>
      <c r="F582" t="s">
        <v>625</v>
      </c>
      <c r="G582" t="s">
        <v>51</v>
      </c>
      <c r="H582" t="s">
        <v>165</v>
      </c>
      <c r="I582" s="2">
        <v>132.93</v>
      </c>
      <c r="J582" t="s">
        <v>59</v>
      </c>
      <c r="K582" s="4">
        <v>0.375</v>
      </c>
      <c r="L582" s="2">
        <v>0</v>
      </c>
      <c r="M582" s="2">
        <v>49.85</v>
      </c>
      <c r="N582" s="2">
        <v>49.85</v>
      </c>
      <c r="O582" t="s">
        <v>378</v>
      </c>
      <c r="P582" t="s">
        <v>379</v>
      </c>
      <c r="Q582">
        <v>753748</v>
      </c>
      <c r="R582" t="s">
        <v>65</v>
      </c>
      <c r="S582" t="s">
        <v>66</v>
      </c>
      <c r="T582" t="s">
        <v>57</v>
      </c>
      <c r="U582" s="1">
        <v>45748</v>
      </c>
      <c r="W582" s="1">
        <v>45992</v>
      </c>
      <c r="X582">
        <v>1</v>
      </c>
      <c r="Y582" t="s">
        <v>58</v>
      </c>
      <c r="Z582" s="2">
        <v>0</v>
      </c>
      <c r="AA582">
        <v>0</v>
      </c>
      <c r="AB582" t="s">
        <v>60</v>
      </c>
      <c r="AC582" t="s">
        <v>61</v>
      </c>
      <c r="AD582">
        <v>0</v>
      </c>
      <c r="AE582" s="2">
        <v>0</v>
      </c>
      <c r="AF582" s="2">
        <v>0</v>
      </c>
      <c r="AG582" s="3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45957</v>
      </c>
      <c r="B583" t="s">
        <v>48</v>
      </c>
      <c r="C583">
        <v>649163</v>
      </c>
      <c r="D583">
        <v>2028061836</v>
      </c>
      <c r="E583" t="s">
        <v>908</v>
      </c>
      <c r="F583" t="s">
        <v>67</v>
      </c>
      <c r="G583" t="s">
        <v>51</v>
      </c>
      <c r="H583" t="s">
        <v>69</v>
      </c>
      <c r="I583" s="2">
        <v>67.19</v>
      </c>
      <c r="J583" t="s">
        <v>59</v>
      </c>
      <c r="K583" s="4">
        <v>0.375</v>
      </c>
      <c r="L583" s="2">
        <v>0</v>
      </c>
      <c r="M583" s="2">
        <v>25.2</v>
      </c>
      <c r="N583" s="2">
        <v>25.2</v>
      </c>
      <c r="O583" t="s">
        <v>378</v>
      </c>
      <c r="P583" t="s">
        <v>379</v>
      </c>
      <c r="Q583">
        <v>824062</v>
      </c>
      <c r="R583" t="s">
        <v>74</v>
      </c>
      <c r="S583" t="s">
        <v>75</v>
      </c>
      <c r="T583" t="s">
        <v>57</v>
      </c>
      <c r="U583" s="1">
        <v>45748</v>
      </c>
      <c r="W583" s="1">
        <v>45992</v>
      </c>
      <c r="X583">
        <v>1</v>
      </c>
      <c r="Y583" t="s">
        <v>58</v>
      </c>
      <c r="Z583" s="2">
        <v>0</v>
      </c>
      <c r="AA583">
        <v>0</v>
      </c>
      <c r="AB583" t="s">
        <v>60</v>
      </c>
      <c r="AC583" t="s">
        <v>61</v>
      </c>
      <c r="AD583">
        <v>0</v>
      </c>
      <c r="AE583" s="2">
        <v>0</v>
      </c>
      <c r="AF583" s="2">
        <v>0</v>
      </c>
      <c r="AG583" s="3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45957</v>
      </c>
      <c r="B584" t="s">
        <v>48</v>
      </c>
      <c r="C584">
        <v>649163</v>
      </c>
      <c r="D584">
        <v>2028064455</v>
      </c>
      <c r="E584" t="s">
        <v>909</v>
      </c>
      <c r="F584" t="s">
        <v>312</v>
      </c>
      <c r="G584" t="s">
        <v>51</v>
      </c>
      <c r="H584" t="s">
        <v>81</v>
      </c>
      <c r="I584" s="2">
        <v>69.67</v>
      </c>
      <c r="J584" t="s">
        <v>59</v>
      </c>
      <c r="K584" s="4">
        <v>0.375</v>
      </c>
      <c r="L584" s="2">
        <v>0</v>
      </c>
      <c r="M584" s="2">
        <v>26.13</v>
      </c>
      <c r="N584" s="2">
        <v>26.13</v>
      </c>
      <c r="O584" t="s">
        <v>378</v>
      </c>
      <c r="P584" t="s">
        <v>379</v>
      </c>
      <c r="Q584">
        <v>823350</v>
      </c>
      <c r="R584" t="s">
        <v>70</v>
      </c>
      <c r="S584" t="s">
        <v>183</v>
      </c>
      <c r="T584" t="s">
        <v>57</v>
      </c>
      <c r="U584" s="1">
        <v>45748</v>
      </c>
      <c r="W584" s="1">
        <v>45992</v>
      </c>
      <c r="X584">
        <v>1</v>
      </c>
      <c r="Y584" t="s">
        <v>58</v>
      </c>
      <c r="Z584" s="2">
        <v>0</v>
      </c>
      <c r="AA584">
        <v>0</v>
      </c>
      <c r="AB584" t="s">
        <v>60</v>
      </c>
      <c r="AC584" t="s">
        <v>61</v>
      </c>
      <c r="AD584">
        <v>0</v>
      </c>
      <c r="AE584" s="2">
        <v>0</v>
      </c>
      <c r="AF584" s="2">
        <v>0</v>
      </c>
      <c r="AG584" s="3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45957</v>
      </c>
      <c r="B585" t="s">
        <v>48</v>
      </c>
      <c r="C585">
        <v>649163</v>
      </c>
      <c r="D585">
        <v>2028076165</v>
      </c>
      <c r="E585" t="s">
        <v>910</v>
      </c>
      <c r="F585" t="s">
        <v>911</v>
      </c>
      <c r="G585" t="s">
        <v>51</v>
      </c>
      <c r="H585" t="s">
        <v>261</v>
      </c>
      <c r="I585" s="2">
        <v>55.04</v>
      </c>
      <c r="J585" t="s">
        <v>59</v>
      </c>
      <c r="K585" s="4">
        <v>0.375</v>
      </c>
      <c r="L585" s="2">
        <v>0</v>
      </c>
      <c r="M585" s="2">
        <v>20.64</v>
      </c>
      <c r="N585" s="2">
        <v>20.64</v>
      </c>
      <c r="O585" t="s">
        <v>378</v>
      </c>
      <c r="P585" t="s">
        <v>379</v>
      </c>
      <c r="Q585">
        <v>821015</v>
      </c>
      <c r="R585" t="s">
        <v>398</v>
      </c>
      <c r="S585" t="s">
        <v>399</v>
      </c>
      <c r="T585" t="s">
        <v>57</v>
      </c>
      <c r="U585" s="1">
        <v>45748</v>
      </c>
      <c r="W585" s="1">
        <v>45992</v>
      </c>
      <c r="X585">
        <v>1</v>
      </c>
      <c r="Y585" t="s">
        <v>58</v>
      </c>
      <c r="Z585" s="2">
        <v>0</v>
      </c>
      <c r="AA585">
        <v>0</v>
      </c>
      <c r="AB585" t="s">
        <v>60</v>
      </c>
      <c r="AC585" t="s">
        <v>61</v>
      </c>
      <c r="AD585">
        <v>0</v>
      </c>
      <c r="AE585" s="2">
        <v>0</v>
      </c>
      <c r="AF585" s="2">
        <v>0</v>
      </c>
      <c r="AG585" s="3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45957</v>
      </c>
      <c r="B586" t="s">
        <v>48</v>
      </c>
      <c r="C586">
        <v>649163</v>
      </c>
      <c r="D586">
        <v>2028087322</v>
      </c>
      <c r="E586" t="s">
        <v>912</v>
      </c>
      <c r="F586" t="s">
        <v>913</v>
      </c>
      <c r="G586" t="s">
        <v>51</v>
      </c>
      <c r="H586" t="s">
        <v>69</v>
      </c>
      <c r="I586" s="2">
        <v>22.52</v>
      </c>
      <c r="J586" t="s">
        <v>59</v>
      </c>
      <c r="K586" s="4">
        <v>0.375</v>
      </c>
      <c r="L586" s="2">
        <v>0</v>
      </c>
      <c r="M586" s="2">
        <v>8.44</v>
      </c>
      <c r="N586" s="2">
        <v>8.44</v>
      </c>
      <c r="O586" t="s">
        <v>378</v>
      </c>
      <c r="P586" t="s">
        <v>379</v>
      </c>
      <c r="Q586">
        <v>812782</v>
      </c>
      <c r="R586" t="s">
        <v>114</v>
      </c>
      <c r="S586" t="s">
        <v>115</v>
      </c>
      <c r="T586" t="s">
        <v>57</v>
      </c>
      <c r="U586" s="1">
        <v>45745</v>
      </c>
      <c r="W586" s="1">
        <v>45990</v>
      </c>
      <c r="X586">
        <v>1</v>
      </c>
      <c r="Y586" t="s">
        <v>58</v>
      </c>
      <c r="Z586" s="2">
        <v>0</v>
      </c>
      <c r="AA586">
        <v>0</v>
      </c>
      <c r="AB586" t="s">
        <v>60</v>
      </c>
      <c r="AC586" t="s">
        <v>61</v>
      </c>
      <c r="AD586">
        <v>0</v>
      </c>
      <c r="AE586" s="2">
        <v>0</v>
      </c>
      <c r="AF586" s="2">
        <v>0</v>
      </c>
      <c r="AG586" s="3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45957</v>
      </c>
      <c r="B587" t="s">
        <v>48</v>
      </c>
      <c r="C587">
        <v>649163</v>
      </c>
      <c r="D587">
        <v>2028112436</v>
      </c>
      <c r="E587" t="s">
        <v>914</v>
      </c>
      <c r="F587" t="s">
        <v>374</v>
      </c>
      <c r="G587" t="s">
        <v>51</v>
      </c>
      <c r="H587" t="s">
        <v>165</v>
      </c>
      <c r="I587" s="2">
        <v>49.19</v>
      </c>
      <c r="J587" t="s">
        <v>59</v>
      </c>
      <c r="K587" s="4">
        <v>0.375</v>
      </c>
      <c r="L587" s="2">
        <v>0</v>
      </c>
      <c r="M587" s="2">
        <v>18.45</v>
      </c>
      <c r="N587" s="2">
        <v>18.45</v>
      </c>
      <c r="O587" t="s">
        <v>378</v>
      </c>
      <c r="P587" t="s">
        <v>379</v>
      </c>
      <c r="Q587">
        <v>823350</v>
      </c>
      <c r="R587" t="s">
        <v>70</v>
      </c>
      <c r="S587" t="s">
        <v>183</v>
      </c>
      <c r="T587" t="s">
        <v>57</v>
      </c>
      <c r="U587" s="1">
        <v>45748</v>
      </c>
      <c r="W587" s="1">
        <v>45992</v>
      </c>
      <c r="X587">
        <v>1</v>
      </c>
      <c r="Y587" t="s">
        <v>58</v>
      </c>
      <c r="Z587" s="2">
        <v>0</v>
      </c>
      <c r="AA587">
        <v>0</v>
      </c>
      <c r="AB587" t="s">
        <v>60</v>
      </c>
      <c r="AC587" t="s">
        <v>61</v>
      </c>
      <c r="AD587">
        <v>0</v>
      </c>
      <c r="AE587" s="2">
        <v>0</v>
      </c>
      <c r="AF587" s="2">
        <v>0</v>
      </c>
      <c r="AG587" s="3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45957</v>
      </c>
      <c r="B588" t="s">
        <v>48</v>
      </c>
      <c r="C588">
        <v>649163</v>
      </c>
      <c r="D588">
        <v>2028139273</v>
      </c>
      <c r="E588" t="s">
        <v>915</v>
      </c>
      <c r="F588" t="s">
        <v>312</v>
      </c>
      <c r="G588" t="s">
        <v>51</v>
      </c>
      <c r="H588" t="s">
        <v>261</v>
      </c>
      <c r="I588" s="2">
        <v>18.62</v>
      </c>
      <c r="J588" t="s">
        <v>59</v>
      </c>
      <c r="K588" s="4">
        <v>0.375</v>
      </c>
      <c r="L588" s="2">
        <v>0</v>
      </c>
      <c r="M588" s="2">
        <v>6.98</v>
      </c>
      <c r="N588" s="2">
        <v>6.98</v>
      </c>
      <c r="O588" t="s">
        <v>378</v>
      </c>
      <c r="P588" t="s">
        <v>379</v>
      </c>
      <c r="Q588">
        <v>822865</v>
      </c>
      <c r="R588" t="s">
        <v>469</v>
      </c>
      <c r="S588" t="s">
        <v>470</v>
      </c>
      <c r="T588" t="s">
        <v>57</v>
      </c>
      <c r="U588" s="1">
        <v>45748</v>
      </c>
      <c r="W588" s="1">
        <v>45992</v>
      </c>
      <c r="X588">
        <v>1</v>
      </c>
      <c r="Y588" t="s">
        <v>58</v>
      </c>
      <c r="Z588" s="2">
        <v>0</v>
      </c>
      <c r="AA588">
        <v>0</v>
      </c>
      <c r="AB588" t="s">
        <v>60</v>
      </c>
      <c r="AC588" t="s">
        <v>61</v>
      </c>
      <c r="AD588">
        <v>0</v>
      </c>
      <c r="AE588" s="2">
        <v>0</v>
      </c>
      <c r="AF588" s="2">
        <v>0</v>
      </c>
      <c r="AG588" s="3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45957</v>
      </c>
      <c r="B589" t="s">
        <v>48</v>
      </c>
      <c r="C589">
        <v>649163</v>
      </c>
      <c r="D589">
        <v>2028149728</v>
      </c>
      <c r="E589" t="s">
        <v>916</v>
      </c>
      <c r="F589" t="s">
        <v>917</v>
      </c>
      <c r="G589" t="s">
        <v>51</v>
      </c>
      <c r="H589" t="s">
        <v>52</v>
      </c>
      <c r="I589" s="2">
        <v>16.39</v>
      </c>
      <c r="J589" t="s">
        <v>59</v>
      </c>
      <c r="K589" s="4">
        <v>0.375</v>
      </c>
      <c r="L589" s="2">
        <v>0</v>
      </c>
      <c r="M589" s="2">
        <v>6.15</v>
      </c>
      <c r="N589" s="2">
        <v>6.15</v>
      </c>
      <c r="O589" t="s">
        <v>378</v>
      </c>
      <c r="P589" t="s">
        <v>379</v>
      </c>
      <c r="Q589">
        <v>650218</v>
      </c>
      <c r="R589" t="s">
        <v>357</v>
      </c>
      <c r="S589" t="s">
        <v>358</v>
      </c>
      <c r="T589" t="s">
        <v>57</v>
      </c>
      <c r="U589" s="1">
        <v>45748</v>
      </c>
      <c r="W589" s="1">
        <v>45992</v>
      </c>
      <c r="X589">
        <v>1</v>
      </c>
      <c r="Y589" t="s">
        <v>58</v>
      </c>
      <c r="Z589" s="2">
        <v>0</v>
      </c>
      <c r="AA589">
        <v>0</v>
      </c>
      <c r="AB589" t="s">
        <v>60</v>
      </c>
      <c r="AC589" t="s">
        <v>61</v>
      </c>
      <c r="AD589">
        <v>0</v>
      </c>
      <c r="AE589" s="2">
        <v>0</v>
      </c>
      <c r="AF589" s="2">
        <v>0</v>
      </c>
      <c r="AG589" s="3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45957</v>
      </c>
      <c r="B590" t="s">
        <v>48</v>
      </c>
      <c r="C590">
        <v>649163</v>
      </c>
      <c r="D590">
        <v>2028320247</v>
      </c>
      <c r="E590" t="s">
        <v>534</v>
      </c>
      <c r="F590" t="s">
        <v>535</v>
      </c>
      <c r="G590" t="s">
        <v>51</v>
      </c>
      <c r="H590" t="s">
        <v>190</v>
      </c>
      <c r="I590" s="2">
        <v>66.5</v>
      </c>
      <c r="J590" t="s">
        <v>59</v>
      </c>
      <c r="K590" s="4">
        <v>0.375</v>
      </c>
      <c r="L590" s="2">
        <v>0</v>
      </c>
      <c r="M590" s="2">
        <v>24.94</v>
      </c>
      <c r="N590" s="2">
        <v>24.94</v>
      </c>
      <c r="O590" t="s">
        <v>378</v>
      </c>
      <c r="P590" t="s">
        <v>379</v>
      </c>
      <c r="Q590">
        <v>823350</v>
      </c>
      <c r="R590" t="s">
        <v>70</v>
      </c>
      <c r="S590" t="s">
        <v>183</v>
      </c>
      <c r="T590" t="s">
        <v>57</v>
      </c>
      <c r="U590" s="1">
        <v>45772</v>
      </c>
      <c r="W590" s="1">
        <v>45986</v>
      </c>
      <c r="X590">
        <v>1</v>
      </c>
      <c r="Y590" t="s">
        <v>58</v>
      </c>
      <c r="Z590" s="2">
        <v>0</v>
      </c>
      <c r="AA590">
        <v>0</v>
      </c>
      <c r="AB590" t="s">
        <v>60</v>
      </c>
      <c r="AC590" t="s">
        <v>61</v>
      </c>
      <c r="AD590">
        <v>0</v>
      </c>
      <c r="AE590" s="2">
        <v>0</v>
      </c>
      <c r="AF590" s="2">
        <v>0</v>
      </c>
      <c r="AG590" s="3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45957</v>
      </c>
      <c r="B591" t="s">
        <v>48</v>
      </c>
      <c r="C591">
        <v>649163</v>
      </c>
      <c r="D591">
        <v>2028461881</v>
      </c>
      <c r="E591" t="s">
        <v>627</v>
      </c>
      <c r="F591" t="s">
        <v>628</v>
      </c>
      <c r="G591" t="s">
        <v>51</v>
      </c>
      <c r="H591" t="s">
        <v>145</v>
      </c>
      <c r="I591" s="2">
        <v>78.41</v>
      </c>
      <c r="J591" t="s">
        <v>59</v>
      </c>
      <c r="K591" s="4">
        <v>0.375</v>
      </c>
      <c r="L591" s="2">
        <v>0</v>
      </c>
      <c r="M591" s="2">
        <v>29.4</v>
      </c>
      <c r="N591" s="2">
        <v>29.4</v>
      </c>
      <c r="O591" t="s">
        <v>378</v>
      </c>
      <c r="P591" t="s">
        <v>379</v>
      </c>
      <c r="Q591">
        <v>823350</v>
      </c>
      <c r="R591" t="s">
        <v>70</v>
      </c>
      <c r="S591" t="s">
        <v>183</v>
      </c>
      <c r="T591" t="s">
        <v>57</v>
      </c>
      <c r="U591" s="1">
        <v>45772</v>
      </c>
      <c r="W591" s="1">
        <v>45986</v>
      </c>
      <c r="X591">
        <v>1</v>
      </c>
      <c r="Y591" t="s">
        <v>58</v>
      </c>
      <c r="Z591" s="2">
        <v>0</v>
      </c>
      <c r="AA591">
        <v>0</v>
      </c>
      <c r="AB591" t="s">
        <v>60</v>
      </c>
      <c r="AC591" t="s">
        <v>61</v>
      </c>
      <c r="AD591">
        <v>0</v>
      </c>
      <c r="AE591" s="2">
        <v>0</v>
      </c>
      <c r="AF591" s="2">
        <v>0</v>
      </c>
      <c r="AG591" s="3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45957</v>
      </c>
      <c r="B592" t="s">
        <v>48</v>
      </c>
      <c r="C592">
        <v>649163</v>
      </c>
      <c r="D592">
        <v>2028498798</v>
      </c>
      <c r="E592" t="s">
        <v>629</v>
      </c>
      <c r="F592" t="s">
        <v>232</v>
      </c>
      <c r="G592" t="s">
        <v>51</v>
      </c>
      <c r="H592" t="s">
        <v>179</v>
      </c>
      <c r="I592" s="2">
        <v>58.15</v>
      </c>
      <c r="J592" t="s">
        <v>59</v>
      </c>
      <c r="K592" s="4">
        <v>0.375</v>
      </c>
      <c r="L592" s="2">
        <v>0</v>
      </c>
      <c r="M592" s="2">
        <v>21.81</v>
      </c>
      <c r="N592" s="2">
        <v>21.81</v>
      </c>
      <c r="O592" t="s">
        <v>378</v>
      </c>
      <c r="P592" t="s">
        <v>379</v>
      </c>
      <c r="Q592">
        <v>823350</v>
      </c>
      <c r="R592" t="s">
        <v>70</v>
      </c>
      <c r="S592" t="s">
        <v>183</v>
      </c>
      <c r="T592" t="s">
        <v>57</v>
      </c>
      <c r="U592" s="1">
        <v>45772</v>
      </c>
      <c r="W592" s="1">
        <v>45986</v>
      </c>
      <c r="X592">
        <v>1</v>
      </c>
      <c r="Y592" t="s">
        <v>58</v>
      </c>
      <c r="Z592" s="2">
        <v>0</v>
      </c>
      <c r="AA592">
        <v>0</v>
      </c>
      <c r="AB592" t="s">
        <v>60</v>
      </c>
      <c r="AC592" t="s">
        <v>61</v>
      </c>
      <c r="AD592">
        <v>0</v>
      </c>
      <c r="AE592" s="2">
        <v>0</v>
      </c>
      <c r="AF592" s="2">
        <v>0</v>
      </c>
      <c r="AG592" s="3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45957</v>
      </c>
      <c r="B593" t="s">
        <v>48</v>
      </c>
      <c r="C593">
        <v>649163</v>
      </c>
      <c r="D593">
        <v>2028565273</v>
      </c>
      <c r="E593" t="s">
        <v>538</v>
      </c>
      <c r="F593" t="s">
        <v>539</v>
      </c>
      <c r="G593" t="s">
        <v>51</v>
      </c>
      <c r="H593" t="s">
        <v>190</v>
      </c>
      <c r="I593" s="2">
        <v>57.5</v>
      </c>
      <c r="J593" t="s">
        <v>59</v>
      </c>
      <c r="K593" s="4">
        <v>0.375</v>
      </c>
      <c r="L593" s="2">
        <v>21.56</v>
      </c>
      <c r="M593" s="2">
        <v>0</v>
      </c>
      <c r="N593" s="2">
        <v>0</v>
      </c>
      <c r="O593" t="s">
        <v>378</v>
      </c>
      <c r="P593" t="s">
        <v>379</v>
      </c>
      <c r="Q593">
        <v>673059</v>
      </c>
      <c r="R593" t="s">
        <v>55</v>
      </c>
      <c r="S593" t="s">
        <v>56</v>
      </c>
      <c r="T593" t="s">
        <v>57</v>
      </c>
      <c r="U593" s="1">
        <v>45809</v>
      </c>
      <c r="W593" s="1">
        <v>45992</v>
      </c>
      <c r="X593">
        <v>1</v>
      </c>
      <c r="Y593" t="s">
        <v>58</v>
      </c>
      <c r="Z593" s="2">
        <v>0</v>
      </c>
      <c r="AA593">
        <v>0</v>
      </c>
      <c r="AB593" t="s">
        <v>60</v>
      </c>
      <c r="AC593" t="s">
        <v>61</v>
      </c>
      <c r="AD593">
        <v>0</v>
      </c>
      <c r="AE593" s="2">
        <v>0</v>
      </c>
      <c r="AF593" s="2">
        <v>0</v>
      </c>
      <c r="AG593" s="3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45957</v>
      </c>
      <c r="B594" t="s">
        <v>48</v>
      </c>
      <c r="C594">
        <v>649163</v>
      </c>
      <c r="D594">
        <v>2028584435</v>
      </c>
      <c r="E594" t="s">
        <v>540</v>
      </c>
      <c r="F594" t="s">
        <v>541</v>
      </c>
      <c r="G594" t="s">
        <v>51</v>
      </c>
      <c r="H594" t="s">
        <v>195</v>
      </c>
      <c r="I594" s="2">
        <v>35.979999999999997</v>
      </c>
      <c r="J594" t="s">
        <v>59</v>
      </c>
      <c r="K594" s="4">
        <v>0.375</v>
      </c>
      <c r="L594" s="2">
        <v>0</v>
      </c>
      <c r="M594" s="2">
        <v>13.49</v>
      </c>
      <c r="N594" s="2">
        <v>13.49</v>
      </c>
      <c r="O594" t="s">
        <v>378</v>
      </c>
      <c r="P594" t="s">
        <v>379</v>
      </c>
      <c r="Q594">
        <v>649247</v>
      </c>
      <c r="R594" t="s">
        <v>321</v>
      </c>
      <c r="S594" t="s">
        <v>322</v>
      </c>
      <c r="T594" t="s">
        <v>57</v>
      </c>
      <c r="U594" s="1">
        <v>45778</v>
      </c>
      <c r="W594" s="1">
        <v>45962</v>
      </c>
      <c r="X594">
        <v>1</v>
      </c>
      <c r="Y594" t="s">
        <v>58</v>
      </c>
      <c r="Z594" s="2">
        <v>0</v>
      </c>
      <c r="AA594">
        <v>0</v>
      </c>
      <c r="AB594" t="s">
        <v>60</v>
      </c>
      <c r="AC594" t="s">
        <v>61</v>
      </c>
      <c r="AD594">
        <v>0</v>
      </c>
      <c r="AE594" s="2">
        <v>0</v>
      </c>
      <c r="AF594" s="2">
        <v>0</v>
      </c>
      <c r="AG594" s="3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45957</v>
      </c>
      <c r="B595" t="s">
        <v>48</v>
      </c>
      <c r="C595">
        <v>649163</v>
      </c>
      <c r="D595">
        <v>2028627544</v>
      </c>
      <c r="E595" t="s">
        <v>689</v>
      </c>
      <c r="F595" t="s">
        <v>690</v>
      </c>
      <c r="G595" t="s">
        <v>51</v>
      </c>
      <c r="H595" t="s">
        <v>145</v>
      </c>
      <c r="I595" s="2">
        <v>18.64</v>
      </c>
      <c r="J595" t="s">
        <v>59</v>
      </c>
      <c r="K595" s="4">
        <v>0.375</v>
      </c>
      <c r="L595" s="2">
        <v>0</v>
      </c>
      <c r="M595" s="2">
        <v>6.99</v>
      </c>
      <c r="N595" s="2">
        <v>6.99</v>
      </c>
      <c r="O595" t="s">
        <v>378</v>
      </c>
      <c r="P595" t="s">
        <v>379</v>
      </c>
      <c r="Q595">
        <v>820873</v>
      </c>
      <c r="R595" t="s">
        <v>447</v>
      </c>
      <c r="S595" t="s">
        <v>448</v>
      </c>
      <c r="T595" t="s">
        <v>57</v>
      </c>
      <c r="U595" s="1">
        <v>45774</v>
      </c>
      <c r="W595" s="1">
        <v>45988</v>
      </c>
      <c r="X595">
        <v>1</v>
      </c>
      <c r="Y595" t="s">
        <v>58</v>
      </c>
      <c r="Z595" s="2">
        <v>0</v>
      </c>
      <c r="AA595">
        <v>0</v>
      </c>
      <c r="AB595" t="s">
        <v>60</v>
      </c>
      <c r="AC595" t="s">
        <v>61</v>
      </c>
      <c r="AD595">
        <v>0</v>
      </c>
      <c r="AE595" s="2">
        <v>0</v>
      </c>
      <c r="AF595" s="2">
        <v>0</v>
      </c>
      <c r="AG595" s="3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45957</v>
      </c>
      <c r="B596" t="s">
        <v>48</v>
      </c>
      <c r="C596">
        <v>649163</v>
      </c>
      <c r="D596">
        <v>2028643492</v>
      </c>
      <c r="E596" t="s">
        <v>63</v>
      </c>
      <c r="F596" t="s">
        <v>918</v>
      </c>
      <c r="G596" t="s">
        <v>51</v>
      </c>
      <c r="H596" t="s">
        <v>261</v>
      </c>
      <c r="I596" s="2">
        <v>31.91</v>
      </c>
      <c r="J596" t="s">
        <v>59</v>
      </c>
      <c r="K596" s="4">
        <v>0.375</v>
      </c>
      <c r="L596" s="2">
        <v>0</v>
      </c>
      <c r="M596" s="2">
        <v>11.97</v>
      </c>
      <c r="N596" s="2">
        <v>11.97</v>
      </c>
      <c r="O596" t="s">
        <v>378</v>
      </c>
      <c r="P596" t="s">
        <v>379</v>
      </c>
      <c r="Q596">
        <v>822865</v>
      </c>
      <c r="R596" t="s">
        <v>469</v>
      </c>
      <c r="S596" t="s">
        <v>470</v>
      </c>
      <c r="T596" t="s">
        <v>57</v>
      </c>
      <c r="U596" s="1">
        <v>45776</v>
      </c>
      <c r="W596" s="1">
        <v>45990</v>
      </c>
      <c r="X596">
        <v>1</v>
      </c>
      <c r="Y596" t="s">
        <v>58</v>
      </c>
      <c r="Z596" s="2">
        <v>0</v>
      </c>
      <c r="AA596">
        <v>0</v>
      </c>
      <c r="AB596" t="s">
        <v>60</v>
      </c>
      <c r="AC596" t="s">
        <v>61</v>
      </c>
      <c r="AD596">
        <v>0</v>
      </c>
      <c r="AE596" s="2">
        <v>0</v>
      </c>
      <c r="AF596" s="2">
        <v>0</v>
      </c>
      <c r="AG596" s="3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45957</v>
      </c>
      <c r="B597" t="s">
        <v>48</v>
      </c>
      <c r="C597">
        <v>649163</v>
      </c>
      <c r="D597">
        <v>2028645329</v>
      </c>
      <c r="E597" t="s">
        <v>919</v>
      </c>
      <c r="F597" t="s">
        <v>110</v>
      </c>
      <c r="G597" t="s">
        <v>51</v>
      </c>
      <c r="H597" t="s">
        <v>52</v>
      </c>
      <c r="I597" s="2">
        <v>24.54</v>
      </c>
      <c r="J597" t="s">
        <v>59</v>
      </c>
      <c r="K597" s="4">
        <v>0.375</v>
      </c>
      <c r="L597" s="2">
        <v>0</v>
      </c>
      <c r="M597" s="2">
        <v>9.1999999999999993</v>
      </c>
      <c r="N597" s="2">
        <v>9.1999999999999993</v>
      </c>
      <c r="O597" t="s">
        <v>378</v>
      </c>
      <c r="P597" t="s">
        <v>379</v>
      </c>
      <c r="Q597">
        <v>822865</v>
      </c>
      <c r="R597" t="s">
        <v>469</v>
      </c>
      <c r="S597" t="s">
        <v>470</v>
      </c>
      <c r="T597" t="s">
        <v>57</v>
      </c>
      <c r="U597" s="1">
        <v>45776</v>
      </c>
      <c r="W597" s="1">
        <v>45990</v>
      </c>
      <c r="X597">
        <v>1</v>
      </c>
      <c r="Y597" t="s">
        <v>58</v>
      </c>
      <c r="Z597" s="2">
        <v>0</v>
      </c>
      <c r="AA597">
        <v>0</v>
      </c>
      <c r="AB597" t="s">
        <v>60</v>
      </c>
      <c r="AC597" t="s">
        <v>61</v>
      </c>
      <c r="AD597">
        <v>0</v>
      </c>
      <c r="AE597" s="2">
        <v>0</v>
      </c>
      <c r="AF597" s="2">
        <v>0</v>
      </c>
      <c r="AG597" s="3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45957</v>
      </c>
      <c r="B598" t="s">
        <v>48</v>
      </c>
      <c r="C598">
        <v>649163</v>
      </c>
      <c r="D598">
        <v>2028654837</v>
      </c>
      <c r="E598" t="s">
        <v>920</v>
      </c>
      <c r="F598" t="s">
        <v>921</v>
      </c>
      <c r="G598" t="s">
        <v>51</v>
      </c>
      <c r="H598" t="s">
        <v>52</v>
      </c>
      <c r="I598" s="2">
        <v>102.62</v>
      </c>
      <c r="J598" t="s">
        <v>59</v>
      </c>
      <c r="K598" s="4">
        <v>0.375</v>
      </c>
      <c r="L598" s="2">
        <v>0</v>
      </c>
      <c r="M598" s="2">
        <v>38.479999999999997</v>
      </c>
      <c r="N598" s="2">
        <v>38.479999999999997</v>
      </c>
      <c r="O598" t="s">
        <v>378</v>
      </c>
      <c r="P598" t="s">
        <v>379</v>
      </c>
      <c r="Q598">
        <v>823350</v>
      </c>
      <c r="R598" t="s">
        <v>70</v>
      </c>
      <c r="S598" t="s">
        <v>183</v>
      </c>
      <c r="T598" t="s">
        <v>57</v>
      </c>
      <c r="U598" s="1">
        <v>45776</v>
      </c>
      <c r="W598" s="1">
        <v>45990</v>
      </c>
      <c r="X598">
        <v>1</v>
      </c>
      <c r="Y598" t="s">
        <v>58</v>
      </c>
      <c r="Z598" s="2">
        <v>0</v>
      </c>
      <c r="AA598">
        <v>0</v>
      </c>
      <c r="AB598" t="s">
        <v>60</v>
      </c>
      <c r="AC598" t="s">
        <v>61</v>
      </c>
      <c r="AD598">
        <v>0</v>
      </c>
      <c r="AE598" s="2">
        <v>0</v>
      </c>
      <c r="AF598" s="2">
        <v>0</v>
      </c>
      <c r="AG598" s="3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45957</v>
      </c>
      <c r="B599" t="s">
        <v>48</v>
      </c>
      <c r="C599">
        <v>649163</v>
      </c>
      <c r="D599">
        <v>2028673528</v>
      </c>
      <c r="E599" t="s">
        <v>922</v>
      </c>
      <c r="F599" t="s">
        <v>923</v>
      </c>
      <c r="G599" t="s">
        <v>51</v>
      </c>
      <c r="H599" t="s">
        <v>69</v>
      </c>
      <c r="I599" s="2">
        <v>67.19</v>
      </c>
      <c r="J599" t="s">
        <v>59</v>
      </c>
      <c r="K599" s="4">
        <v>0.375</v>
      </c>
      <c r="L599" s="2">
        <v>25.19</v>
      </c>
      <c r="M599" s="2">
        <v>0.01</v>
      </c>
      <c r="N599" s="2">
        <v>0.01</v>
      </c>
      <c r="O599" t="s">
        <v>378</v>
      </c>
      <c r="P599" t="s">
        <v>379</v>
      </c>
      <c r="Q599">
        <v>840313</v>
      </c>
      <c r="R599" t="s">
        <v>159</v>
      </c>
      <c r="S599" t="s">
        <v>160</v>
      </c>
      <c r="T599" t="s">
        <v>57</v>
      </c>
      <c r="U599" s="1">
        <v>45809</v>
      </c>
      <c r="W599" s="1">
        <v>45992</v>
      </c>
      <c r="X599">
        <v>1</v>
      </c>
      <c r="Y599" t="s">
        <v>58</v>
      </c>
      <c r="Z599" s="2">
        <v>0</v>
      </c>
      <c r="AA599">
        <v>0</v>
      </c>
      <c r="AB599" t="s">
        <v>60</v>
      </c>
      <c r="AC599" t="s">
        <v>61</v>
      </c>
      <c r="AD599">
        <v>0</v>
      </c>
      <c r="AE599" s="2">
        <v>0</v>
      </c>
      <c r="AF599" s="2">
        <v>0</v>
      </c>
      <c r="AG599" s="3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45957</v>
      </c>
      <c r="B600" t="s">
        <v>48</v>
      </c>
      <c r="C600">
        <v>649163</v>
      </c>
      <c r="D600">
        <v>2028695300</v>
      </c>
      <c r="E600" t="s">
        <v>924</v>
      </c>
      <c r="F600" t="s">
        <v>568</v>
      </c>
      <c r="G600" t="s">
        <v>51</v>
      </c>
      <c r="H600" t="s">
        <v>69</v>
      </c>
      <c r="I600" s="2">
        <v>67.19</v>
      </c>
      <c r="J600" t="s">
        <v>59</v>
      </c>
      <c r="K600" s="4">
        <v>0.375</v>
      </c>
      <c r="L600" s="2">
        <v>0</v>
      </c>
      <c r="M600" s="2">
        <v>25.2</v>
      </c>
      <c r="N600" s="2">
        <v>25.2</v>
      </c>
      <c r="O600" t="s">
        <v>378</v>
      </c>
      <c r="P600" t="s">
        <v>379</v>
      </c>
      <c r="Q600">
        <v>824062</v>
      </c>
      <c r="R600" t="s">
        <v>74</v>
      </c>
      <c r="S600" t="s">
        <v>75</v>
      </c>
      <c r="T600" t="s">
        <v>57</v>
      </c>
      <c r="U600" s="1">
        <v>45809</v>
      </c>
      <c r="W600" s="1">
        <v>45992</v>
      </c>
      <c r="X600">
        <v>1</v>
      </c>
      <c r="Y600" t="s">
        <v>58</v>
      </c>
      <c r="Z600" s="2">
        <v>0</v>
      </c>
      <c r="AA600">
        <v>0</v>
      </c>
      <c r="AB600" t="s">
        <v>60</v>
      </c>
      <c r="AC600" t="s">
        <v>61</v>
      </c>
      <c r="AD600">
        <v>0</v>
      </c>
      <c r="AE600" s="2">
        <v>0</v>
      </c>
      <c r="AF600" s="2">
        <v>0</v>
      </c>
      <c r="AG600" s="3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45957</v>
      </c>
      <c r="B601" t="s">
        <v>48</v>
      </c>
      <c r="C601">
        <v>649163</v>
      </c>
      <c r="D601">
        <v>2028736517</v>
      </c>
      <c r="E601" t="s">
        <v>925</v>
      </c>
      <c r="F601" t="s">
        <v>926</v>
      </c>
      <c r="G601" t="s">
        <v>51</v>
      </c>
      <c r="H601" t="s">
        <v>69</v>
      </c>
      <c r="I601" s="2">
        <v>67.19</v>
      </c>
      <c r="J601" t="s">
        <v>59</v>
      </c>
      <c r="K601" s="4">
        <v>0.375</v>
      </c>
      <c r="L601" s="2">
        <v>25.19</v>
      </c>
      <c r="M601" s="2">
        <v>0.01</v>
      </c>
      <c r="N601" s="2">
        <v>0.01</v>
      </c>
      <c r="O601" t="s">
        <v>378</v>
      </c>
      <c r="P601" t="s">
        <v>379</v>
      </c>
      <c r="Q601">
        <v>824062</v>
      </c>
      <c r="R601" t="s">
        <v>74</v>
      </c>
      <c r="S601" t="s">
        <v>75</v>
      </c>
      <c r="T601" t="s">
        <v>57</v>
      </c>
      <c r="U601" s="1">
        <v>45809</v>
      </c>
      <c r="W601" s="1">
        <v>45992</v>
      </c>
      <c r="X601">
        <v>1</v>
      </c>
      <c r="Y601" t="s">
        <v>58</v>
      </c>
      <c r="Z601" s="2">
        <v>0</v>
      </c>
      <c r="AA601">
        <v>0</v>
      </c>
      <c r="AB601" t="s">
        <v>60</v>
      </c>
      <c r="AC601" t="s">
        <v>61</v>
      </c>
      <c r="AD601">
        <v>0</v>
      </c>
      <c r="AE601" s="2">
        <v>0</v>
      </c>
      <c r="AF601" s="2">
        <v>0</v>
      </c>
      <c r="AG601" s="3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45957</v>
      </c>
      <c r="B602" t="s">
        <v>48</v>
      </c>
      <c r="C602">
        <v>649163</v>
      </c>
      <c r="D602">
        <v>2028776891</v>
      </c>
      <c r="E602" t="s">
        <v>635</v>
      </c>
      <c r="F602" t="s">
        <v>354</v>
      </c>
      <c r="G602" t="s">
        <v>51</v>
      </c>
      <c r="H602" t="s">
        <v>636</v>
      </c>
      <c r="I602" s="2">
        <v>34.1</v>
      </c>
      <c r="J602" t="s">
        <v>59</v>
      </c>
      <c r="K602" s="4">
        <v>0.375</v>
      </c>
      <c r="L602" s="2">
        <v>0</v>
      </c>
      <c r="M602" s="2">
        <v>12.79</v>
      </c>
      <c r="N602" s="2">
        <v>12.79</v>
      </c>
      <c r="O602" t="s">
        <v>378</v>
      </c>
      <c r="P602" t="s">
        <v>379</v>
      </c>
      <c r="Q602">
        <v>673059</v>
      </c>
      <c r="R602" t="s">
        <v>55</v>
      </c>
      <c r="S602" t="s">
        <v>56</v>
      </c>
      <c r="T602" t="s">
        <v>57</v>
      </c>
      <c r="U602" s="1">
        <v>45809</v>
      </c>
      <c r="W602" s="1">
        <v>45992</v>
      </c>
      <c r="X602">
        <v>1</v>
      </c>
      <c r="Y602" t="s">
        <v>58</v>
      </c>
      <c r="Z602" s="2">
        <v>0</v>
      </c>
      <c r="AA602">
        <v>0</v>
      </c>
      <c r="AB602" t="s">
        <v>60</v>
      </c>
      <c r="AC602" t="s">
        <v>61</v>
      </c>
      <c r="AD602">
        <v>0</v>
      </c>
      <c r="AE602" s="2">
        <v>0</v>
      </c>
      <c r="AF602" s="2">
        <v>0</v>
      </c>
      <c r="AG602" s="3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45957</v>
      </c>
      <c r="B603" t="s">
        <v>48</v>
      </c>
      <c r="C603">
        <v>649163</v>
      </c>
      <c r="D603">
        <v>2028847738</v>
      </c>
      <c r="E603" t="s">
        <v>927</v>
      </c>
      <c r="F603" t="s">
        <v>928</v>
      </c>
      <c r="G603" t="s">
        <v>51</v>
      </c>
      <c r="H603" t="s">
        <v>165</v>
      </c>
      <c r="I603" s="2">
        <v>27.95</v>
      </c>
      <c r="J603" t="s">
        <v>59</v>
      </c>
      <c r="K603" s="4">
        <v>0.375</v>
      </c>
      <c r="L603" s="2">
        <v>0</v>
      </c>
      <c r="M603" s="2">
        <v>10.48</v>
      </c>
      <c r="N603" s="2">
        <v>10.48</v>
      </c>
      <c r="O603" t="s">
        <v>378</v>
      </c>
      <c r="P603" t="s">
        <v>379</v>
      </c>
      <c r="Q603">
        <v>856824</v>
      </c>
      <c r="R603" t="s">
        <v>175</v>
      </c>
      <c r="S603" t="s">
        <v>176</v>
      </c>
      <c r="T603" t="s">
        <v>57</v>
      </c>
      <c r="U603" s="1">
        <v>45809</v>
      </c>
      <c r="W603" s="1">
        <v>45992</v>
      </c>
      <c r="X603">
        <v>1</v>
      </c>
      <c r="Y603" t="s">
        <v>58</v>
      </c>
      <c r="Z603" s="2">
        <v>0</v>
      </c>
      <c r="AA603">
        <v>0</v>
      </c>
      <c r="AB603" t="s">
        <v>60</v>
      </c>
      <c r="AC603" t="s">
        <v>61</v>
      </c>
      <c r="AD603">
        <v>0</v>
      </c>
      <c r="AE603" s="2">
        <v>0</v>
      </c>
      <c r="AF603" s="2">
        <v>0</v>
      </c>
      <c r="AG603" s="3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45957</v>
      </c>
      <c r="B604" t="s">
        <v>48</v>
      </c>
      <c r="C604">
        <v>649163</v>
      </c>
      <c r="D604">
        <v>2028858329</v>
      </c>
      <c r="E604" t="s">
        <v>929</v>
      </c>
      <c r="F604" t="s">
        <v>103</v>
      </c>
      <c r="G604" t="s">
        <v>51</v>
      </c>
      <c r="H604" t="s">
        <v>69</v>
      </c>
      <c r="I604" s="2">
        <v>217.26</v>
      </c>
      <c r="J604" t="s">
        <v>59</v>
      </c>
      <c r="K604" s="4">
        <v>0.375</v>
      </c>
      <c r="L604" s="2">
        <v>81.47</v>
      </c>
      <c r="M604" s="2">
        <v>0</v>
      </c>
      <c r="N604" s="2">
        <v>0</v>
      </c>
      <c r="O604" t="s">
        <v>378</v>
      </c>
      <c r="P604" t="s">
        <v>379</v>
      </c>
      <c r="Q604">
        <v>839554</v>
      </c>
      <c r="R604" t="s">
        <v>930</v>
      </c>
      <c r="S604" t="s">
        <v>931</v>
      </c>
      <c r="T604" t="s">
        <v>57</v>
      </c>
      <c r="U604" s="1">
        <v>45809</v>
      </c>
      <c r="W604" s="1">
        <v>45992</v>
      </c>
      <c r="X604">
        <v>1</v>
      </c>
      <c r="Y604" t="s">
        <v>58</v>
      </c>
      <c r="Z604" s="2">
        <v>0</v>
      </c>
      <c r="AA604">
        <v>0</v>
      </c>
      <c r="AB604" t="s">
        <v>60</v>
      </c>
      <c r="AC604" t="s">
        <v>61</v>
      </c>
      <c r="AD604">
        <v>0</v>
      </c>
      <c r="AE604" s="2">
        <v>0</v>
      </c>
      <c r="AF604" s="2">
        <v>0</v>
      </c>
      <c r="AG604" s="3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45957</v>
      </c>
      <c r="B605" t="s">
        <v>48</v>
      </c>
      <c r="C605">
        <v>649163</v>
      </c>
      <c r="D605">
        <v>2028899051</v>
      </c>
      <c r="E605" t="s">
        <v>691</v>
      </c>
      <c r="F605" t="s">
        <v>692</v>
      </c>
      <c r="G605" t="s">
        <v>51</v>
      </c>
      <c r="H605" t="s">
        <v>69</v>
      </c>
      <c r="I605" s="2">
        <v>32.67</v>
      </c>
      <c r="J605" t="s">
        <v>59</v>
      </c>
      <c r="K605" s="4">
        <v>0.375</v>
      </c>
      <c r="L605" s="2">
        <v>12.25</v>
      </c>
      <c r="M605" s="2">
        <v>0</v>
      </c>
      <c r="N605" s="2">
        <v>0</v>
      </c>
      <c r="O605" t="s">
        <v>378</v>
      </c>
      <c r="P605" t="s">
        <v>379</v>
      </c>
      <c r="Q605">
        <v>820873</v>
      </c>
      <c r="R605" t="s">
        <v>447</v>
      </c>
      <c r="S605" t="s">
        <v>448</v>
      </c>
      <c r="T605" t="s">
        <v>57</v>
      </c>
      <c r="U605" s="1">
        <v>45809</v>
      </c>
      <c r="W605" s="1">
        <v>45992</v>
      </c>
      <c r="X605">
        <v>1</v>
      </c>
      <c r="Y605" t="s">
        <v>58</v>
      </c>
      <c r="Z605" s="2">
        <v>0</v>
      </c>
      <c r="AA605">
        <v>0</v>
      </c>
      <c r="AB605" t="s">
        <v>60</v>
      </c>
      <c r="AC605" t="s">
        <v>61</v>
      </c>
      <c r="AD605">
        <v>0</v>
      </c>
      <c r="AE605" s="2">
        <v>0</v>
      </c>
      <c r="AF605" s="2">
        <v>0</v>
      </c>
      <c r="AG605" s="3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45957</v>
      </c>
      <c r="B606" t="s">
        <v>48</v>
      </c>
      <c r="C606">
        <v>649163</v>
      </c>
      <c r="D606">
        <v>2028901561</v>
      </c>
      <c r="E606" t="s">
        <v>693</v>
      </c>
      <c r="F606" t="s">
        <v>694</v>
      </c>
      <c r="G606" t="s">
        <v>51</v>
      </c>
      <c r="H606" t="s">
        <v>195</v>
      </c>
      <c r="I606" s="2">
        <v>24.88</v>
      </c>
      <c r="J606" t="s">
        <v>59</v>
      </c>
      <c r="K606" s="4">
        <v>0.375</v>
      </c>
      <c r="L606" s="2">
        <v>0</v>
      </c>
      <c r="M606" s="2">
        <v>9.33</v>
      </c>
      <c r="N606" s="2">
        <v>9.33</v>
      </c>
      <c r="O606" t="s">
        <v>378</v>
      </c>
      <c r="P606" t="s">
        <v>379</v>
      </c>
      <c r="Q606">
        <v>751867</v>
      </c>
      <c r="R606" t="s">
        <v>349</v>
      </c>
      <c r="S606" t="s">
        <v>312</v>
      </c>
      <c r="T606" t="s">
        <v>57</v>
      </c>
      <c r="U606" s="1">
        <v>45809</v>
      </c>
      <c r="W606" s="1">
        <v>45992</v>
      </c>
      <c r="X606">
        <v>1</v>
      </c>
      <c r="Y606" t="s">
        <v>58</v>
      </c>
      <c r="Z606" s="2">
        <v>0</v>
      </c>
      <c r="AA606">
        <v>0</v>
      </c>
      <c r="AB606" t="s">
        <v>60</v>
      </c>
      <c r="AC606" t="s">
        <v>61</v>
      </c>
      <c r="AD606">
        <v>0</v>
      </c>
      <c r="AE606" s="2">
        <v>0</v>
      </c>
      <c r="AF606" s="2">
        <v>0</v>
      </c>
      <c r="AG606" s="3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45957</v>
      </c>
      <c r="B607" t="s">
        <v>48</v>
      </c>
      <c r="C607">
        <v>649163</v>
      </c>
      <c r="D607">
        <v>2028910082</v>
      </c>
      <c r="E607" t="s">
        <v>932</v>
      </c>
      <c r="F607" t="s">
        <v>933</v>
      </c>
      <c r="G607" t="s">
        <v>51</v>
      </c>
      <c r="H607" t="s">
        <v>69</v>
      </c>
      <c r="I607" s="2">
        <v>77.7</v>
      </c>
      <c r="J607" t="s">
        <v>59</v>
      </c>
      <c r="K607" s="4">
        <v>0.375</v>
      </c>
      <c r="L607" s="2">
        <v>29.14</v>
      </c>
      <c r="M607" s="2">
        <v>0</v>
      </c>
      <c r="N607" s="2">
        <v>0</v>
      </c>
      <c r="O607" t="s">
        <v>378</v>
      </c>
      <c r="P607" t="s">
        <v>379</v>
      </c>
      <c r="Q607">
        <v>822733</v>
      </c>
      <c r="R607" t="s">
        <v>380</v>
      </c>
      <c r="S607" t="s">
        <v>381</v>
      </c>
      <c r="T607" t="s">
        <v>57</v>
      </c>
      <c r="U607" s="1">
        <v>45809</v>
      </c>
      <c r="W607" s="1">
        <v>45992</v>
      </c>
      <c r="X607">
        <v>1</v>
      </c>
      <c r="Y607" t="s">
        <v>58</v>
      </c>
      <c r="Z607" s="2">
        <v>0</v>
      </c>
      <c r="AA607">
        <v>0</v>
      </c>
      <c r="AB607" t="s">
        <v>60</v>
      </c>
      <c r="AC607" t="s">
        <v>61</v>
      </c>
      <c r="AD607">
        <v>0</v>
      </c>
      <c r="AE607" s="2">
        <v>0</v>
      </c>
      <c r="AF607" s="2">
        <v>0</v>
      </c>
      <c r="AG607" s="3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45957</v>
      </c>
      <c r="B608" t="s">
        <v>48</v>
      </c>
      <c r="C608">
        <v>649163</v>
      </c>
      <c r="D608">
        <v>2028912170</v>
      </c>
      <c r="E608" t="s">
        <v>934</v>
      </c>
      <c r="F608" t="s">
        <v>935</v>
      </c>
      <c r="G608" t="s">
        <v>51</v>
      </c>
      <c r="H608" t="s">
        <v>52</v>
      </c>
      <c r="I608" s="2">
        <v>65.2</v>
      </c>
      <c r="J608" t="s">
        <v>59</v>
      </c>
      <c r="K608" s="4">
        <v>0.375</v>
      </c>
      <c r="L608" s="2">
        <v>0</v>
      </c>
      <c r="M608" s="2">
        <v>24.45</v>
      </c>
      <c r="N608" s="2">
        <v>24.45</v>
      </c>
      <c r="O608" t="s">
        <v>378</v>
      </c>
      <c r="P608" t="s">
        <v>379</v>
      </c>
      <c r="Q608">
        <v>856824</v>
      </c>
      <c r="R608" t="s">
        <v>175</v>
      </c>
      <c r="S608" t="s">
        <v>176</v>
      </c>
      <c r="T608" t="s">
        <v>57</v>
      </c>
      <c r="U608" s="1">
        <v>45809</v>
      </c>
      <c r="W608" s="1">
        <v>45992</v>
      </c>
      <c r="X608">
        <v>1</v>
      </c>
      <c r="Y608" t="s">
        <v>58</v>
      </c>
      <c r="Z608" s="2">
        <v>0</v>
      </c>
      <c r="AA608">
        <v>0</v>
      </c>
      <c r="AB608" t="s">
        <v>60</v>
      </c>
      <c r="AC608" t="s">
        <v>61</v>
      </c>
      <c r="AD608">
        <v>0</v>
      </c>
      <c r="AE608" s="2">
        <v>0</v>
      </c>
      <c r="AF608" s="2">
        <v>0</v>
      </c>
      <c r="AG608" s="3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45957</v>
      </c>
      <c r="B609" t="s">
        <v>48</v>
      </c>
      <c r="C609">
        <v>649163</v>
      </c>
      <c r="D609">
        <v>2028914240</v>
      </c>
      <c r="E609" t="s">
        <v>936</v>
      </c>
      <c r="F609" t="s">
        <v>937</v>
      </c>
      <c r="G609" t="s">
        <v>51</v>
      </c>
      <c r="H609" t="s">
        <v>69</v>
      </c>
      <c r="I609" s="2">
        <v>38.44</v>
      </c>
      <c r="J609" t="s">
        <v>59</v>
      </c>
      <c r="K609" s="4">
        <v>0.375</v>
      </c>
      <c r="L609" s="2">
        <v>14.41</v>
      </c>
      <c r="M609" s="2">
        <v>0.01</v>
      </c>
      <c r="N609" s="2">
        <v>0.01</v>
      </c>
      <c r="O609" t="s">
        <v>378</v>
      </c>
      <c r="P609" t="s">
        <v>379</v>
      </c>
      <c r="Q609">
        <v>843573</v>
      </c>
      <c r="R609" t="s">
        <v>389</v>
      </c>
      <c r="S609" t="s">
        <v>390</v>
      </c>
      <c r="T609" t="s">
        <v>57</v>
      </c>
      <c r="U609" s="1">
        <v>45809</v>
      </c>
      <c r="W609" s="1">
        <v>45992</v>
      </c>
      <c r="X609">
        <v>1</v>
      </c>
      <c r="Y609" t="s">
        <v>58</v>
      </c>
      <c r="Z609" s="2">
        <v>0</v>
      </c>
      <c r="AA609">
        <v>0</v>
      </c>
      <c r="AB609" t="s">
        <v>60</v>
      </c>
      <c r="AC609" t="s">
        <v>61</v>
      </c>
      <c r="AD609">
        <v>0</v>
      </c>
      <c r="AE609" s="2">
        <v>0</v>
      </c>
      <c r="AF609" s="2">
        <v>0</v>
      </c>
      <c r="AG609" s="3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45957</v>
      </c>
      <c r="B610" t="s">
        <v>48</v>
      </c>
      <c r="C610">
        <v>649163</v>
      </c>
      <c r="D610">
        <v>2028923135</v>
      </c>
      <c r="E610" t="s">
        <v>938</v>
      </c>
      <c r="F610" t="s">
        <v>385</v>
      </c>
      <c r="G610" t="s">
        <v>51</v>
      </c>
      <c r="H610" t="s">
        <v>69</v>
      </c>
      <c r="I610" s="2">
        <v>156.16</v>
      </c>
      <c r="J610" t="s">
        <v>59</v>
      </c>
      <c r="K610" s="4">
        <v>0.375</v>
      </c>
      <c r="L610" s="2">
        <v>58.56</v>
      </c>
      <c r="M610" s="2">
        <v>0</v>
      </c>
      <c r="N610" s="2">
        <v>0</v>
      </c>
      <c r="O610" t="s">
        <v>378</v>
      </c>
      <c r="P610" t="s">
        <v>379</v>
      </c>
      <c r="Q610">
        <v>824076</v>
      </c>
      <c r="R610" t="s">
        <v>135</v>
      </c>
      <c r="S610" t="s">
        <v>136</v>
      </c>
      <c r="T610" t="s">
        <v>57</v>
      </c>
      <c r="U610" s="1">
        <v>45809</v>
      </c>
      <c r="W610" s="1">
        <v>45992</v>
      </c>
      <c r="X610">
        <v>1</v>
      </c>
      <c r="Y610" t="s">
        <v>58</v>
      </c>
      <c r="Z610" s="2">
        <v>0</v>
      </c>
      <c r="AA610">
        <v>0</v>
      </c>
      <c r="AB610" t="s">
        <v>60</v>
      </c>
      <c r="AC610" t="s">
        <v>61</v>
      </c>
      <c r="AD610">
        <v>0</v>
      </c>
      <c r="AE610" s="2">
        <v>0</v>
      </c>
      <c r="AF610" s="2">
        <v>0</v>
      </c>
      <c r="AG610" s="3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45957</v>
      </c>
      <c r="B611" t="s">
        <v>48</v>
      </c>
      <c r="C611">
        <v>649163</v>
      </c>
      <c r="D611">
        <v>2028949434</v>
      </c>
      <c r="E611" t="s">
        <v>786</v>
      </c>
      <c r="F611" t="s">
        <v>787</v>
      </c>
      <c r="G611" t="s">
        <v>51</v>
      </c>
      <c r="H611" t="s">
        <v>69</v>
      </c>
      <c r="I611" s="2">
        <v>41.17</v>
      </c>
      <c r="J611" t="s">
        <v>59</v>
      </c>
      <c r="K611" s="4">
        <v>0.375</v>
      </c>
      <c r="L611" s="2">
        <v>0</v>
      </c>
      <c r="M611" s="2">
        <v>15.44</v>
      </c>
      <c r="N611" s="2">
        <v>15.44</v>
      </c>
      <c r="O611" t="s">
        <v>378</v>
      </c>
      <c r="P611" t="s">
        <v>379</v>
      </c>
      <c r="Q611">
        <v>824062</v>
      </c>
      <c r="R611" t="s">
        <v>74</v>
      </c>
      <c r="S611" t="s">
        <v>75</v>
      </c>
      <c r="T611" t="s">
        <v>57</v>
      </c>
      <c r="U611" s="1">
        <v>45809</v>
      </c>
      <c r="W611" s="1">
        <v>45992</v>
      </c>
      <c r="X611">
        <v>1</v>
      </c>
      <c r="Y611" t="s">
        <v>58</v>
      </c>
      <c r="Z611" s="2">
        <v>0</v>
      </c>
      <c r="AA611">
        <v>0</v>
      </c>
      <c r="AB611" t="s">
        <v>60</v>
      </c>
      <c r="AC611" t="s">
        <v>61</v>
      </c>
      <c r="AD611">
        <v>0</v>
      </c>
      <c r="AE611" s="2">
        <v>0</v>
      </c>
      <c r="AF611" s="2">
        <v>0</v>
      </c>
      <c r="AG611" s="3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45957</v>
      </c>
      <c r="B612" t="s">
        <v>48</v>
      </c>
      <c r="C612">
        <v>649163</v>
      </c>
      <c r="D612">
        <v>2028960908</v>
      </c>
      <c r="E612" t="s">
        <v>789</v>
      </c>
      <c r="F612" t="s">
        <v>790</v>
      </c>
      <c r="G612" t="s">
        <v>51</v>
      </c>
      <c r="H612" t="s">
        <v>69</v>
      </c>
      <c r="I612" s="2">
        <v>41.17</v>
      </c>
      <c r="J612" t="s">
        <v>59</v>
      </c>
      <c r="K612" s="4">
        <v>0.375</v>
      </c>
      <c r="L612" s="2">
        <v>15.43</v>
      </c>
      <c r="M612" s="2">
        <v>0.01</v>
      </c>
      <c r="N612" s="2">
        <v>0.01</v>
      </c>
      <c r="O612" t="s">
        <v>378</v>
      </c>
      <c r="P612" t="s">
        <v>379</v>
      </c>
      <c r="Q612">
        <v>856163</v>
      </c>
      <c r="R612" t="s">
        <v>70</v>
      </c>
      <c r="S612" t="s">
        <v>71</v>
      </c>
      <c r="T612" t="s">
        <v>57</v>
      </c>
      <c r="U612" s="1">
        <v>45809</v>
      </c>
      <c r="W612" s="1">
        <v>45992</v>
      </c>
      <c r="X612">
        <v>1</v>
      </c>
      <c r="Y612" t="s">
        <v>58</v>
      </c>
      <c r="Z612" s="2">
        <v>0</v>
      </c>
      <c r="AA612">
        <v>0</v>
      </c>
      <c r="AB612" t="s">
        <v>60</v>
      </c>
      <c r="AC612" t="s">
        <v>61</v>
      </c>
      <c r="AD612">
        <v>0</v>
      </c>
      <c r="AE612" s="2">
        <v>0</v>
      </c>
      <c r="AF612" s="2">
        <v>0</v>
      </c>
      <c r="AG612" s="3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45957</v>
      </c>
      <c r="B613" t="s">
        <v>48</v>
      </c>
      <c r="C613">
        <v>649163</v>
      </c>
      <c r="D613">
        <v>2028965157</v>
      </c>
      <c r="E613" t="s">
        <v>939</v>
      </c>
      <c r="F613" t="s">
        <v>886</v>
      </c>
      <c r="G613" t="s">
        <v>51</v>
      </c>
      <c r="H613" t="s">
        <v>69</v>
      </c>
      <c r="I613" s="2">
        <v>76.19</v>
      </c>
      <c r="J613" t="s">
        <v>59</v>
      </c>
      <c r="K613" s="4">
        <v>0.375</v>
      </c>
      <c r="L613" s="2">
        <v>28.57</v>
      </c>
      <c r="M613" s="2">
        <v>0</v>
      </c>
      <c r="N613" s="2">
        <v>0</v>
      </c>
      <c r="O613" t="s">
        <v>378</v>
      </c>
      <c r="P613" t="s">
        <v>379</v>
      </c>
      <c r="Q613">
        <v>812994</v>
      </c>
      <c r="R613" t="s">
        <v>228</v>
      </c>
      <c r="S613" t="s">
        <v>229</v>
      </c>
      <c r="T613" t="s">
        <v>57</v>
      </c>
      <c r="U613" s="1">
        <v>45809</v>
      </c>
      <c r="W613" s="1">
        <v>45992</v>
      </c>
      <c r="X613">
        <v>1</v>
      </c>
      <c r="Y613" t="s">
        <v>58</v>
      </c>
      <c r="Z613" s="2">
        <v>0</v>
      </c>
      <c r="AA613">
        <v>0</v>
      </c>
      <c r="AB613" t="s">
        <v>60</v>
      </c>
      <c r="AC613" t="s">
        <v>61</v>
      </c>
      <c r="AD613">
        <v>0</v>
      </c>
      <c r="AE613" s="2">
        <v>0</v>
      </c>
      <c r="AF613" s="2">
        <v>0</v>
      </c>
      <c r="AG613" s="3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45957</v>
      </c>
      <c r="B614" t="s">
        <v>48</v>
      </c>
      <c r="C614">
        <v>649163</v>
      </c>
      <c r="D614">
        <v>2028965280</v>
      </c>
      <c r="E614" t="s">
        <v>940</v>
      </c>
      <c r="F614" t="s">
        <v>427</v>
      </c>
      <c r="G614" t="s">
        <v>51</v>
      </c>
      <c r="H614" t="s">
        <v>69</v>
      </c>
      <c r="I614" s="2">
        <v>43.36</v>
      </c>
      <c r="J614" t="s">
        <v>59</v>
      </c>
      <c r="K614" s="4">
        <v>0.375</v>
      </c>
      <c r="L614" s="2">
        <v>0</v>
      </c>
      <c r="M614" s="2">
        <v>16.260000000000002</v>
      </c>
      <c r="N614" s="2">
        <v>16.260000000000002</v>
      </c>
      <c r="O614" t="s">
        <v>378</v>
      </c>
      <c r="P614" t="s">
        <v>379</v>
      </c>
      <c r="Q614">
        <v>824081</v>
      </c>
      <c r="R614" t="s">
        <v>800</v>
      </c>
      <c r="S614" t="s">
        <v>801</v>
      </c>
      <c r="T614" t="s">
        <v>57</v>
      </c>
      <c r="U614" s="1">
        <v>45809</v>
      </c>
      <c r="W614" s="1">
        <v>45992</v>
      </c>
      <c r="X614">
        <v>1</v>
      </c>
      <c r="Y614" t="s">
        <v>58</v>
      </c>
      <c r="Z614" s="2">
        <v>0</v>
      </c>
      <c r="AA614">
        <v>0</v>
      </c>
      <c r="AB614" t="s">
        <v>60</v>
      </c>
      <c r="AC614" t="s">
        <v>61</v>
      </c>
      <c r="AD614">
        <v>0</v>
      </c>
      <c r="AE614" s="2">
        <v>0</v>
      </c>
      <c r="AF614" s="2">
        <v>0</v>
      </c>
      <c r="AG614" s="3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45957</v>
      </c>
      <c r="B615" t="s">
        <v>48</v>
      </c>
      <c r="C615">
        <v>649163</v>
      </c>
      <c r="D615">
        <v>2029005832</v>
      </c>
      <c r="E615" t="s">
        <v>941</v>
      </c>
      <c r="F615" t="s">
        <v>942</v>
      </c>
      <c r="G615" t="s">
        <v>51</v>
      </c>
      <c r="H615" t="s">
        <v>563</v>
      </c>
      <c r="I615" s="2">
        <v>114.15</v>
      </c>
      <c r="J615" t="s">
        <v>59</v>
      </c>
      <c r="K615" s="4">
        <v>0.375</v>
      </c>
      <c r="L615" s="2">
        <v>42.8</v>
      </c>
      <c r="M615" s="2">
        <v>0.01</v>
      </c>
      <c r="N615" s="2">
        <v>0.01</v>
      </c>
      <c r="O615" t="s">
        <v>378</v>
      </c>
      <c r="P615" t="s">
        <v>379</v>
      </c>
      <c r="Q615">
        <v>840313</v>
      </c>
      <c r="R615" t="s">
        <v>159</v>
      </c>
      <c r="S615" t="s">
        <v>160</v>
      </c>
      <c r="T615" t="s">
        <v>57</v>
      </c>
      <c r="U615" s="1">
        <v>45809</v>
      </c>
      <c r="W615" s="1">
        <v>45992</v>
      </c>
      <c r="X615">
        <v>1</v>
      </c>
      <c r="Y615" t="s">
        <v>58</v>
      </c>
      <c r="Z615" s="2">
        <v>0</v>
      </c>
      <c r="AA615">
        <v>0</v>
      </c>
      <c r="AB615" t="s">
        <v>60</v>
      </c>
      <c r="AC615" t="s">
        <v>61</v>
      </c>
      <c r="AD615">
        <v>0</v>
      </c>
      <c r="AE615" s="2">
        <v>0</v>
      </c>
      <c r="AF615" s="2">
        <v>0</v>
      </c>
      <c r="AG615" s="3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45957</v>
      </c>
      <c r="B616" t="s">
        <v>48</v>
      </c>
      <c r="C616">
        <v>649163</v>
      </c>
      <c r="D616">
        <v>2029011566</v>
      </c>
      <c r="E616" t="s">
        <v>265</v>
      </c>
      <c r="F616" t="s">
        <v>792</v>
      </c>
      <c r="G616" t="s">
        <v>51</v>
      </c>
      <c r="H616" t="s">
        <v>69</v>
      </c>
      <c r="I616" s="2">
        <v>67.19</v>
      </c>
      <c r="J616" t="s">
        <v>59</v>
      </c>
      <c r="K616" s="4">
        <v>0.375</v>
      </c>
      <c r="L616" s="2">
        <v>25.19</v>
      </c>
      <c r="M616" s="2">
        <v>0.01</v>
      </c>
      <c r="N616" s="2">
        <v>0.01</v>
      </c>
      <c r="O616" t="s">
        <v>378</v>
      </c>
      <c r="P616" t="s">
        <v>379</v>
      </c>
      <c r="Q616">
        <v>673059</v>
      </c>
      <c r="R616" t="s">
        <v>55</v>
      </c>
      <c r="S616" t="s">
        <v>56</v>
      </c>
      <c r="T616" t="s">
        <v>57</v>
      </c>
      <c r="U616" s="1">
        <v>45809</v>
      </c>
      <c r="W616" s="1">
        <v>45992</v>
      </c>
      <c r="X616">
        <v>1</v>
      </c>
      <c r="Y616" t="s">
        <v>58</v>
      </c>
      <c r="Z616" s="2">
        <v>0</v>
      </c>
      <c r="AA616">
        <v>0</v>
      </c>
      <c r="AB616" t="s">
        <v>60</v>
      </c>
      <c r="AC616" t="s">
        <v>61</v>
      </c>
      <c r="AD616">
        <v>0</v>
      </c>
      <c r="AE616" s="2">
        <v>0</v>
      </c>
      <c r="AF616" s="2">
        <v>0</v>
      </c>
      <c r="AG616" s="3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45957</v>
      </c>
      <c r="B617" t="s">
        <v>48</v>
      </c>
      <c r="C617">
        <v>649163</v>
      </c>
      <c r="D617">
        <v>2029031322</v>
      </c>
      <c r="E617" t="s">
        <v>796</v>
      </c>
      <c r="F617" t="s">
        <v>308</v>
      </c>
      <c r="G617" t="s">
        <v>51</v>
      </c>
      <c r="H617" t="s">
        <v>92</v>
      </c>
      <c r="I617" s="2">
        <v>62.45</v>
      </c>
      <c r="J617" t="s">
        <v>59</v>
      </c>
      <c r="K617" s="4">
        <v>0.375</v>
      </c>
      <c r="L617" s="2">
        <v>23.41</v>
      </c>
      <c r="M617" s="2">
        <v>0.01</v>
      </c>
      <c r="N617" s="2">
        <v>0.01</v>
      </c>
      <c r="O617" t="s">
        <v>378</v>
      </c>
      <c r="P617" t="s">
        <v>379</v>
      </c>
      <c r="Q617">
        <v>816021</v>
      </c>
      <c r="R617" t="s">
        <v>93</v>
      </c>
      <c r="S617" t="s">
        <v>94</v>
      </c>
      <c r="T617" t="s">
        <v>57</v>
      </c>
      <c r="U617" s="1">
        <v>45809</v>
      </c>
      <c r="W617" s="1">
        <v>45992</v>
      </c>
      <c r="X617">
        <v>1</v>
      </c>
      <c r="Y617" t="s">
        <v>58</v>
      </c>
      <c r="Z617" s="2">
        <v>0</v>
      </c>
      <c r="AA617">
        <v>0</v>
      </c>
      <c r="AB617" t="s">
        <v>60</v>
      </c>
      <c r="AC617" t="s">
        <v>61</v>
      </c>
      <c r="AD617">
        <v>0</v>
      </c>
      <c r="AE617" s="2">
        <v>0</v>
      </c>
      <c r="AF617" s="2">
        <v>0</v>
      </c>
      <c r="AG617" s="3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45957</v>
      </c>
      <c r="B618" t="s">
        <v>48</v>
      </c>
      <c r="C618">
        <v>649163</v>
      </c>
      <c r="D618">
        <v>2029034138</v>
      </c>
      <c r="E618" t="s">
        <v>943</v>
      </c>
      <c r="F618" t="s">
        <v>944</v>
      </c>
      <c r="G618" t="s">
        <v>51</v>
      </c>
      <c r="H618" t="s">
        <v>69</v>
      </c>
      <c r="I618" s="2">
        <v>217.26</v>
      </c>
      <c r="J618" t="s">
        <v>59</v>
      </c>
      <c r="K618" s="4">
        <v>0.375</v>
      </c>
      <c r="L618" s="2">
        <v>81.47</v>
      </c>
      <c r="M618" s="2">
        <v>0</v>
      </c>
      <c r="N618" s="2">
        <v>0</v>
      </c>
      <c r="O618" t="s">
        <v>378</v>
      </c>
      <c r="P618" t="s">
        <v>379</v>
      </c>
      <c r="Q618">
        <v>824062</v>
      </c>
      <c r="R618" t="s">
        <v>74</v>
      </c>
      <c r="S618" t="s">
        <v>75</v>
      </c>
      <c r="T618" t="s">
        <v>57</v>
      </c>
      <c r="U618" s="1">
        <v>45809</v>
      </c>
      <c r="W618" s="1">
        <v>45992</v>
      </c>
      <c r="X618">
        <v>1</v>
      </c>
      <c r="Y618" t="s">
        <v>58</v>
      </c>
      <c r="Z618" s="2">
        <v>0</v>
      </c>
      <c r="AA618">
        <v>0</v>
      </c>
      <c r="AB618" t="s">
        <v>60</v>
      </c>
      <c r="AC618" t="s">
        <v>61</v>
      </c>
      <c r="AD618">
        <v>0</v>
      </c>
      <c r="AE618" s="2">
        <v>0</v>
      </c>
      <c r="AF618" s="2">
        <v>0</v>
      </c>
      <c r="AG618" s="3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45957</v>
      </c>
      <c r="B619" t="s">
        <v>48</v>
      </c>
      <c r="C619">
        <v>649163</v>
      </c>
      <c r="D619">
        <v>2029034662</v>
      </c>
      <c r="E619" t="s">
        <v>265</v>
      </c>
      <c r="F619" t="s">
        <v>797</v>
      </c>
      <c r="G619" t="s">
        <v>51</v>
      </c>
      <c r="H619" t="s">
        <v>69</v>
      </c>
      <c r="I619" s="2">
        <v>27.64</v>
      </c>
      <c r="J619" t="s">
        <v>59</v>
      </c>
      <c r="K619" s="4">
        <v>0.375</v>
      </c>
      <c r="L619" s="2">
        <v>10.36</v>
      </c>
      <c r="M619" s="2">
        <v>0</v>
      </c>
      <c r="N619" s="2">
        <v>0</v>
      </c>
      <c r="O619" t="s">
        <v>378</v>
      </c>
      <c r="P619" t="s">
        <v>379</v>
      </c>
      <c r="Q619">
        <v>673059</v>
      </c>
      <c r="R619" t="s">
        <v>55</v>
      </c>
      <c r="S619" t="s">
        <v>56</v>
      </c>
      <c r="T619" t="s">
        <v>57</v>
      </c>
      <c r="U619" s="1">
        <v>45809</v>
      </c>
      <c r="W619" s="1">
        <v>45992</v>
      </c>
      <c r="X619">
        <v>1</v>
      </c>
      <c r="Y619" t="s">
        <v>58</v>
      </c>
      <c r="Z619" s="2">
        <v>0</v>
      </c>
      <c r="AA619">
        <v>0</v>
      </c>
      <c r="AB619" t="s">
        <v>60</v>
      </c>
      <c r="AC619" t="s">
        <v>61</v>
      </c>
      <c r="AD619">
        <v>0</v>
      </c>
      <c r="AE619" s="2">
        <v>0</v>
      </c>
      <c r="AF619" s="2">
        <v>0</v>
      </c>
      <c r="AG619" s="3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45957</v>
      </c>
      <c r="B620" t="s">
        <v>48</v>
      </c>
      <c r="C620">
        <v>649163</v>
      </c>
      <c r="D620">
        <v>2029062370</v>
      </c>
      <c r="E620" t="s">
        <v>857</v>
      </c>
      <c r="F620" t="s">
        <v>945</v>
      </c>
      <c r="G620" t="s">
        <v>51</v>
      </c>
      <c r="H620" t="s">
        <v>261</v>
      </c>
      <c r="I620" s="2">
        <v>122.99</v>
      </c>
      <c r="J620" t="s">
        <v>59</v>
      </c>
      <c r="K620" s="4">
        <v>0.375</v>
      </c>
      <c r="L620" s="2">
        <v>0</v>
      </c>
      <c r="M620" s="2">
        <v>46.12</v>
      </c>
      <c r="N620" s="2">
        <v>46.12</v>
      </c>
      <c r="O620" t="s">
        <v>378</v>
      </c>
      <c r="P620" t="s">
        <v>379</v>
      </c>
      <c r="Q620">
        <v>767312</v>
      </c>
      <c r="R620" t="s">
        <v>237</v>
      </c>
      <c r="S620" t="s">
        <v>103</v>
      </c>
      <c r="T620" t="s">
        <v>57</v>
      </c>
      <c r="U620" s="1">
        <v>45800</v>
      </c>
      <c r="W620" s="1">
        <v>45984</v>
      </c>
      <c r="X620">
        <v>1</v>
      </c>
      <c r="Y620" t="s">
        <v>58</v>
      </c>
      <c r="Z620" s="2">
        <v>0</v>
      </c>
      <c r="AA620">
        <v>0</v>
      </c>
      <c r="AB620" t="s">
        <v>60</v>
      </c>
      <c r="AC620" t="s">
        <v>61</v>
      </c>
      <c r="AD620">
        <v>0</v>
      </c>
      <c r="AE620" s="2">
        <v>0</v>
      </c>
      <c r="AF620" s="2">
        <v>0</v>
      </c>
      <c r="AG620" s="3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45957</v>
      </c>
      <c r="B621" t="s">
        <v>48</v>
      </c>
      <c r="C621">
        <v>649163</v>
      </c>
      <c r="D621">
        <v>2029068610</v>
      </c>
      <c r="E621" t="s">
        <v>946</v>
      </c>
      <c r="F621" t="s">
        <v>947</v>
      </c>
      <c r="G621" t="s">
        <v>51</v>
      </c>
      <c r="H621" t="s">
        <v>69</v>
      </c>
      <c r="I621" s="2">
        <v>57.19</v>
      </c>
      <c r="J621" t="s">
        <v>59</v>
      </c>
      <c r="K621" s="4">
        <v>0.375</v>
      </c>
      <c r="L621" s="2">
        <v>21.44</v>
      </c>
      <c r="M621" s="2">
        <v>0.01</v>
      </c>
      <c r="N621" s="2">
        <v>0.01</v>
      </c>
      <c r="O621" t="s">
        <v>378</v>
      </c>
      <c r="P621" t="s">
        <v>379</v>
      </c>
      <c r="Q621">
        <v>812656</v>
      </c>
      <c r="R621" t="s">
        <v>82</v>
      </c>
      <c r="S621" t="s">
        <v>83</v>
      </c>
      <c r="T621" t="s">
        <v>57</v>
      </c>
      <c r="U621" s="1">
        <v>45809</v>
      </c>
      <c r="W621" s="1">
        <v>45992</v>
      </c>
      <c r="X621">
        <v>1</v>
      </c>
      <c r="Y621" t="s">
        <v>58</v>
      </c>
      <c r="Z621" s="2">
        <v>0</v>
      </c>
      <c r="AA621">
        <v>0</v>
      </c>
      <c r="AB621" t="s">
        <v>60</v>
      </c>
      <c r="AC621" t="s">
        <v>61</v>
      </c>
      <c r="AD621">
        <v>0</v>
      </c>
      <c r="AE621" s="2">
        <v>0</v>
      </c>
      <c r="AF621" s="2">
        <v>0</v>
      </c>
      <c r="AG621" s="3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45957</v>
      </c>
      <c r="B622" t="s">
        <v>48</v>
      </c>
      <c r="C622">
        <v>649163</v>
      </c>
      <c r="D622">
        <v>2029145084</v>
      </c>
      <c r="E622" t="s">
        <v>703</v>
      </c>
      <c r="F622" t="s">
        <v>704</v>
      </c>
      <c r="G622" t="s">
        <v>51</v>
      </c>
      <c r="H622" t="s">
        <v>69</v>
      </c>
      <c r="I622" s="2">
        <v>27.64</v>
      </c>
      <c r="J622" t="s">
        <v>59</v>
      </c>
      <c r="K622" s="4">
        <v>0.375</v>
      </c>
      <c r="L622" s="2">
        <v>10.36</v>
      </c>
      <c r="M622" s="2">
        <v>0</v>
      </c>
      <c r="N622" s="2">
        <v>0</v>
      </c>
      <c r="O622" t="s">
        <v>378</v>
      </c>
      <c r="P622" t="s">
        <v>379</v>
      </c>
      <c r="Q622">
        <v>766422</v>
      </c>
      <c r="R622" t="s">
        <v>335</v>
      </c>
      <c r="S622" t="s">
        <v>336</v>
      </c>
      <c r="T622" t="s">
        <v>57</v>
      </c>
      <c r="U622" s="1">
        <v>45805</v>
      </c>
      <c r="W622" s="1">
        <v>45989</v>
      </c>
      <c r="X622">
        <v>1</v>
      </c>
      <c r="Y622" t="s">
        <v>58</v>
      </c>
      <c r="Z622" s="2">
        <v>0</v>
      </c>
      <c r="AA622">
        <v>0</v>
      </c>
      <c r="AB622" t="s">
        <v>60</v>
      </c>
      <c r="AC622" t="s">
        <v>61</v>
      </c>
      <c r="AD622">
        <v>0</v>
      </c>
      <c r="AE622" s="2">
        <v>0</v>
      </c>
      <c r="AF622" s="2">
        <v>0</v>
      </c>
      <c r="AG622" s="3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45957</v>
      </c>
      <c r="B623" t="s">
        <v>48</v>
      </c>
      <c r="C623">
        <v>649163</v>
      </c>
      <c r="D623">
        <v>2029158439</v>
      </c>
      <c r="E623" t="s">
        <v>949</v>
      </c>
      <c r="F623" t="s">
        <v>433</v>
      </c>
      <c r="G623" t="s">
        <v>51</v>
      </c>
      <c r="H623" t="s">
        <v>165</v>
      </c>
      <c r="I623" s="2">
        <v>22.88</v>
      </c>
      <c r="J623" t="s">
        <v>59</v>
      </c>
      <c r="K623" s="4">
        <v>0.375</v>
      </c>
      <c r="L623" s="2">
        <v>8.58</v>
      </c>
      <c r="M623" s="2">
        <v>0</v>
      </c>
      <c r="N623" s="2">
        <v>0</v>
      </c>
      <c r="O623" t="s">
        <v>378</v>
      </c>
      <c r="P623" t="s">
        <v>379</v>
      </c>
      <c r="Q623">
        <v>822733</v>
      </c>
      <c r="R623" t="s">
        <v>380</v>
      </c>
      <c r="S623" t="s">
        <v>381</v>
      </c>
      <c r="T623" t="s">
        <v>57</v>
      </c>
      <c r="U623" s="1">
        <v>45809</v>
      </c>
      <c r="W623" s="1">
        <v>45992</v>
      </c>
      <c r="X623">
        <v>1</v>
      </c>
      <c r="Y623" t="s">
        <v>58</v>
      </c>
      <c r="Z623" s="2">
        <v>0</v>
      </c>
      <c r="AA623">
        <v>0</v>
      </c>
      <c r="AB623" t="s">
        <v>60</v>
      </c>
      <c r="AC623" t="s">
        <v>61</v>
      </c>
      <c r="AD623">
        <v>0</v>
      </c>
      <c r="AE623" s="2">
        <v>0</v>
      </c>
      <c r="AF623" s="2">
        <v>0</v>
      </c>
      <c r="AG623" s="3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45957</v>
      </c>
      <c r="B624" t="s">
        <v>48</v>
      </c>
      <c r="C624">
        <v>649163</v>
      </c>
      <c r="D624">
        <v>2029159005</v>
      </c>
      <c r="E624" t="s">
        <v>950</v>
      </c>
      <c r="F624" t="s">
        <v>951</v>
      </c>
      <c r="G624" t="s">
        <v>51</v>
      </c>
      <c r="H624" t="s">
        <v>165</v>
      </c>
      <c r="I624" s="2">
        <v>22.88</v>
      </c>
      <c r="J624" t="s">
        <v>59</v>
      </c>
      <c r="K624" s="4">
        <v>0.375</v>
      </c>
      <c r="L624" s="2">
        <v>8.58</v>
      </c>
      <c r="M624" s="2">
        <v>0</v>
      </c>
      <c r="N624" s="2">
        <v>0</v>
      </c>
      <c r="O624" t="s">
        <v>378</v>
      </c>
      <c r="P624" t="s">
        <v>379</v>
      </c>
      <c r="Q624">
        <v>822865</v>
      </c>
      <c r="R624" t="s">
        <v>469</v>
      </c>
      <c r="S624" t="s">
        <v>470</v>
      </c>
      <c r="T624" t="s">
        <v>57</v>
      </c>
      <c r="U624" s="1">
        <v>45806</v>
      </c>
      <c r="W624" s="1">
        <v>45990</v>
      </c>
      <c r="X624">
        <v>1</v>
      </c>
      <c r="Y624" t="s">
        <v>58</v>
      </c>
      <c r="Z624" s="2">
        <v>0</v>
      </c>
      <c r="AA624">
        <v>0</v>
      </c>
      <c r="AB624" t="s">
        <v>60</v>
      </c>
      <c r="AC624" t="s">
        <v>61</v>
      </c>
      <c r="AD624">
        <v>0</v>
      </c>
      <c r="AE624" s="2">
        <v>0</v>
      </c>
      <c r="AF624" s="2">
        <v>0</v>
      </c>
      <c r="AG624" s="3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45957</v>
      </c>
      <c r="B625" t="s">
        <v>48</v>
      </c>
      <c r="C625">
        <v>649163</v>
      </c>
      <c r="D625">
        <v>2029183289</v>
      </c>
      <c r="E625" t="s">
        <v>796</v>
      </c>
      <c r="F625" t="s">
        <v>89</v>
      </c>
      <c r="G625" t="s">
        <v>51</v>
      </c>
      <c r="H625" t="s">
        <v>165</v>
      </c>
      <c r="I625" s="2">
        <v>49.19</v>
      </c>
      <c r="J625" t="s">
        <v>59</v>
      </c>
      <c r="K625" s="4">
        <v>0.375</v>
      </c>
      <c r="L625" s="2">
        <v>18.440000000000001</v>
      </c>
      <c r="M625" s="2">
        <v>0.01</v>
      </c>
      <c r="N625" s="2">
        <v>0.01</v>
      </c>
      <c r="O625" t="s">
        <v>378</v>
      </c>
      <c r="P625" t="s">
        <v>379</v>
      </c>
      <c r="Q625">
        <v>806645</v>
      </c>
      <c r="R625" t="s">
        <v>88</v>
      </c>
      <c r="S625" t="s">
        <v>89</v>
      </c>
      <c r="T625" t="s">
        <v>57</v>
      </c>
      <c r="U625" s="1">
        <v>45807</v>
      </c>
      <c r="W625" s="1">
        <v>45991</v>
      </c>
      <c r="X625">
        <v>1</v>
      </c>
      <c r="Y625" t="s">
        <v>58</v>
      </c>
      <c r="Z625" s="2">
        <v>0</v>
      </c>
      <c r="AA625">
        <v>0</v>
      </c>
      <c r="AB625" t="s">
        <v>60</v>
      </c>
      <c r="AC625" t="s">
        <v>61</v>
      </c>
      <c r="AD625">
        <v>0</v>
      </c>
      <c r="AE625" s="2">
        <v>0</v>
      </c>
      <c r="AF625" s="2">
        <v>0</v>
      </c>
      <c r="AG625" s="3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45957</v>
      </c>
      <c r="B626" t="s">
        <v>48</v>
      </c>
      <c r="C626">
        <v>649163</v>
      </c>
      <c r="D626">
        <v>2029196871</v>
      </c>
      <c r="E626" t="s">
        <v>952</v>
      </c>
      <c r="F626" t="s">
        <v>797</v>
      </c>
      <c r="G626" t="s">
        <v>51</v>
      </c>
      <c r="H626" t="s">
        <v>208</v>
      </c>
      <c r="I626" s="2">
        <v>28.07</v>
      </c>
      <c r="J626" t="s">
        <v>59</v>
      </c>
      <c r="K626" s="4">
        <v>0.375</v>
      </c>
      <c r="L626" s="2">
        <v>10.52</v>
      </c>
      <c r="M626" s="2">
        <v>0.01</v>
      </c>
      <c r="N626" s="2">
        <v>0.01</v>
      </c>
      <c r="O626" t="s">
        <v>378</v>
      </c>
      <c r="P626" t="s">
        <v>379</v>
      </c>
      <c r="Q626">
        <v>650218</v>
      </c>
      <c r="R626" t="s">
        <v>357</v>
      </c>
      <c r="S626" t="s">
        <v>358</v>
      </c>
      <c r="T626" t="s">
        <v>57</v>
      </c>
      <c r="U626" s="1">
        <v>45809</v>
      </c>
      <c r="W626" s="1">
        <v>45992</v>
      </c>
      <c r="X626">
        <v>1</v>
      </c>
      <c r="Y626" t="s">
        <v>58</v>
      </c>
      <c r="Z626" s="2">
        <v>0</v>
      </c>
      <c r="AA626">
        <v>0</v>
      </c>
      <c r="AB626" t="s">
        <v>60</v>
      </c>
      <c r="AC626" t="s">
        <v>61</v>
      </c>
      <c r="AD626">
        <v>0</v>
      </c>
      <c r="AE626" s="2">
        <v>0</v>
      </c>
      <c r="AF626" s="2">
        <v>0</v>
      </c>
      <c r="AG626" s="3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45957</v>
      </c>
      <c r="B627" t="s">
        <v>48</v>
      </c>
      <c r="C627">
        <v>649163</v>
      </c>
      <c r="D627">
        <v>2029202227</v>
      </c>
      <c r="E627" t="s">
        <v>547</v>
      </c>
      <c r="F627" t="s">
        <v>548</v>
      </c>
      <c r="G627" t="s">
        <v>51</v>
      </c>
      <c r="H627" t="s">
        <v>195</v>
      </c>
      <c r="I627" s="2">
        <v>35.979999999999997</v>
      </c>
      <c r="J627" t="s">
        <v>59</v>
      </c>
      <c r="K627" s="4">
        <v>0.375</v>
      </c>
      <c r="L627" s="2">
        <v>13.49</v>
      </c>
      <c r="M627" s="2">
        <v>0</v>
      </c>
      <c r="N627" s="2">
        <v>0</v>
      </c>
      <c r="O627" t="s">
        <v>378</v>
      </c>
      <c r="P627" t="s">
        <v>379</v>
      </c>
      <c r="Q627">
        <v>649247</v>
      </c>
      <c r="R627" t="s">
        <v>321</v>
      </c>
      <c r="S627" t="s">
        <v>322</v>
      </c>
      <c r="T627" t="s">
        <v>57</v>
      </c>
      <c r="U627" s="1">
        <v>45809</v>
      </c>
      <c r="W627" s="1">
        <v>45992</v>
      </c>
      <c r="X627">
        <v>1</v>
      </c>
      <c r="Y627" t="s">
        <v>58</v>
      </c>
      <c r="Z627" s="2">
        <v>0</v>
      </c>
      <c r="AA627">
        <v>0</v>
      </c>
      <c r="AB627" t="s">
        <v>60</v>
      </c>
      <c r="AC627" t="s">
        <v>61</v>
      </c>
      <c r="AD627">
        <v>0</v>
      </c>
      <c r="AE627" s="2">
        <v>0</v>
      </c>
      <c r="AF627" s="2">
        <v>0</v>
      </c>
      <c r="AG627" s="3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45957</v>
      </c>
      <c r="B628" t="s">
        <v>48</v>
      </c>
      <c r="C628">
        <v>649163</v>
      </c>
      <c r="D628">
        <v>2029204335</v>
      </c>
      <c r="E628" t="s">
        <v>953</v>
      </c>
      <c r="F628" t="s">
        <v>354</v>
      </c>
      <c r="G628" t="s">
        <v>51</v>
      </c>
      <c r="H628" t="s">
        <v>179</v>
      </c>
      <c r="I628" s="2">
        <v>34.28</v>
      </c>
      <c r="J628" t="s">
        <v>59</v>
      </c>
      <c r="K628" s="4">
        <v>0.375</v>
      </c>
      <c r="L628" s="2">
        <v>12.85</v>
      </c>
      <c r="M628" s="2">
        <v>0.01</v>
      </c>
      <c r="N628" s="2">
        <v>0.01</v>
      </c>
      <c r="O628" t="s">
        <v>378</v>
      </c>
      <c r="P628" t="s">
        <v>379</v>
      </c>
      <c r="Q628">
        <v>756418</v>
      </c>
      <c r="R628" t="s">
        <v>191</v>
      </c>
      <c r="S628" t="s">
        <v>192</v>
      </c>
      <c r="T628" t="s">
        <v>57</v>
      </c>
      <c r="U628" s="1">
        <v>45808</v>
      </c>
      <c r="W628" s="1">
        <v>45991</v>
      </c>
      <c r="X628">
        <v>1</v>
      </c>
      <c r="Y628" t="s">
        <v>58</v>
      </c>
      <c r="Z628" s="2">
        <v>0</v>
      </c>
      <c r="AA628">
        <v>0</v>
      </c>
      <c r="AB628" t="s">
        <v>60</v>
      </c>
      <c r="AC628" t="s">
        <v>61</v>
      </c>
      <c r="AD628">
        <v>0</v>
      </c>
      <c r="AE628" s="2">
        <v>0</v>
      </c>
      <c r="AF628" s="2">
        <v>0</v>
      </c>
      <c r="AG628" s="3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45957</v>
      </c>
      <c r="B629" t="s">
        <v>48</v>
      </c>
      <c r="C629">
        <v>649163</v>
      </c>
      <c r="D629">
        <v>2029210002</v>
      </c>
      <c r="E629" t="s">
        <v>255</v>
      </c>
      <c r="F629" t="s">
        <v>404</v>
      </c>
      <c r="G629" t="s">
        <v>51</v>
      </c>
      <c r="H629" t="s">
        <v>81</v>
      </c>
      <c r="I629" s="2">
        <v>50.54</v>
      </c>
      <c r="J629" t="s">
        <v>59</v>
      </c>
      <c r="K629" s="4">
        <v>0.375</v>
      </c>
      <c r="L629" s="2">
        <v>18.95</v>
      </c>
      <c r="M629" s="2">
        <v>0</v>
      </c>
      <c r="N629" s="2">
        <v>0</v>
      </c>
      <c r="O629" t="s">
        <v>378</v>
      </c>
      <c r="P629" t="s">
        <v>379</v>
      </c>
      <c r="Q629">
        <v>856824</v>
      </c>
      <c r="R629" t="s">
        <v>175</v>
      </c>
      <c r="S629" t="s">
        <v>176</v>
      </c>
      <c r="T629" t="s">
        <v>57</v>
      </c>
      <c r="U629" s="1">
        <v>45809</v>
      </c>
      <c r="W629" s="1">
        <v>45992</v>
      </c>
      <c r="X629">
        <v>1</v>
      </c>
      <c r="Y629" t="s">
        <v>58</v>
      </c>
      <c r="Z629" s="2">
        <v>0</v>
      </c>
      <c r="AA629">
        <v>0</v>
      </c>
      <c r="AB629" t="s">
        <v>60</v>
      </c>
      <c r="AC629" t="s">
        <v>61</v>
      </c>
      <c r="AD629">
        <v>0</v>
      </c>
      <c r="AE629" s="2">
        <v>0</v>
      </c>
      <c r="AF629" s="2">
        <v>0</v>
      </c>
      <c r="AG629" s="3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45957</v>
      </c>
      <c r="B630" t="s">
        <v>48</v>
      </c>
      <c r="C630">
        <v>649163</v>
      </c>
      <c r="D630">
        <v>2029494258</v>
      </c>
      <c r="E630" t="s">
        <v>954</v>
      </c>
      <c r="F630" t="s">
        <v>955</v>
      </c>
      <c r="G630" t="s">
        <v>51</v>
      </c>
      <c r="H630" t="s">
        <v>208</v>
      </c>
      <c r="I630" s="2">
        <v>72.37</v>
      </c>
      <c r="J630" t="s">
        <v>59</v>
      </c>
      <c r="K630" s="4">
        <v>0.375</v>
      </c>
      <c r="L630" s="2">
        <v>27.14</v>
      </c>
      <c r="M630" s="2">
        <v>0</v>
      </c>
      <c r="N630" s="2">
        <v>0</v>
      </c>
      <c r="O630" t="s">
        <v>378</v>
      </c>
      <c r="P630" t="s">
        <v>379</v>
      </c>
      <c r="Q630">
        <v>792847</v>
      </c>
      <c r="R630" t="s">
        <v>371</v>
      </c>
      <c r="S630" t="s">
        <v>372</v>
      </c>
      <c r="T630" t="s">
        <v>57</v>
      </c>
      <c r="U630" s="1">
        <v>45839</v>
      </c>
      <c r="W630" s="1">
        <v>45962</v>
      </c>
      <c r="X630">
        <v>1</v>
      </c>
      <c r="Y630" t="s">
        <v>58</v>
      </c>
      <c r="Z630" s="2">
        <v>0</v>
      </c>
      <c r="AA630">
        <v>0</v>
      </c>
      <c r="AB630" t="s">
        <v>60</v>
      </c>
      <c r="AC630" t="s">
        <v>61</v>
      </c>
      <c r="AD630">
        <v>0</v>
      </c>
      <c r="AE630" s="2">
        <v>0</v>
      </c>
      <c r="AF630" s="2">
        <v>0</v>
      </c>
      <c r="AG630" s="3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45957</v>
      </c>
      <c r="B631" t="s">
        <v>48</v>
      </c>
      <c r="C631">
        <v>649163</v>
      </c>
      <c r="D631">
        <v>2029624409</v>
      </c>
      <c r="E631" t="s">
        <v>956</v>
      </c>
      <c r="F631" t="s">
        <v>485</v>
      </c>
      <c r="G631" t="s">
        <v>51</v>
      </c>
      <c r="H631" t="s">
        <v>261</v>
      </c>
      <c r="I631" s="2">
        <v>18.62</v>
      </c>
      <c r="J631" t="s">
        <v>59</v>
      </c>
      <c r="K631" s="4">
        <v>0.375</v>
      </c>
      <c r="L631" s="2">
        <v>6.98</v>
      </c>
      <c r="M631" s="2">
        <v>0</v>
      </c>
      <c r="N631" s="2">
        <v>0</v>
      </c>
      <c r="O631" t="s">
        <v>378</v>
      </c>
      <c r="P631" t="s">
        <v>379</v>
      </c>
      <c r="Q631">
        <v>822865</v>
      </c>
      <c r="R631" t="s">
        <v>469</v>
      </c>
      <c r="S631" t="s">
        <v>470</v>
      </c>
      <c r="T631" t="s">
        <v>57</v>
      </c>
      <c r="U631" s="1">
        <v>45838</v>
      </c>
      <c r="W631" s="1">
        <v>45991</v>
      </c>
      <c r="X631">
        <v>1</v>
      </c>
      <c r="Y631" t="s">
        <v>58</v>
      </c>
      <c r="Z631" s="2">
        <v>0</v>
      </c>
      <c r="AA631">
        <v>0</v>
      </c>
      <c r="AB631" t="s">
        <v>60</v>
      </c>
      <c r="AC631" t="s">
        <v>61</v>
      </c>
      <c r="AD631">
        <v>0</v>
      </c>
      <c r="AE631" s="2">
        <v>0</v>
      </c>
      <c r="AF631" s="2">
        <v>0</v>
      </c>
      <c r="AG631" s="3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45957</v>
      </c>
      <c r="B632" t="s">
        <v>48</v>
      </c>
      <c r="C632">
        <v>649163</v>
      </c>
      <c r="D632">
        <v>2029690054</v>
      </c>
      <c r="E632" t="s">
        <v>957</v>
      </c>
      <c r="F632" t="s">
        <v>958</v>
      </c>
      <c r="G632" t="s">
        <v>51</v>
      </c>
      <c r="H632" t="s">
        <v>195</v>
      </c>
      <c r="I632" s="2">
        <v>58.98</v>
      </c>
      <c r="J632" t="s">
        <v>59</v>
      </c>
      <c r="K632" s="4">
        <v>0.375</v>
      </c>
      <c r="L632" s="2">
        <v>22.12</v>
      </c>
      <c r="M632" s="2">
        <v>0</v>
      </c>
      <c r="N632" s="2">
        <v>0</v>
      </c>
      <c r="O632" t="s">
        <v>378</v>
      </c>
      <c r="P632" t="s">
        <v>379</v>
      </c>
      <c r="Q632">
        <v>702406</v>
      </c>
      <c r="R632" t="s">
        <v>489</v>
      </c>
      <c r="S632" t="s">
        <v>490</v>
      </c>
      <c r="T632" t="s">
        <v>57</v>
      </c>
      <c r="U632" s="1">
        <v>45836</v>
      </c>
      <c r="W632" s="1">
        <v>45989</v>
      </c>
      <c r="X632">
        <v>1</v>
      </c>
      <c r="Y632" t="s">
        <v>58</v>
      </c>
      <c r="Z632" s="2">
        <v>0</v>
      </c>
      <c r="AA632">
        <v>0</v>
      </c>
      <c r="AB632" t="s">
        <v>60</v>
      </c>
      <c r="AC632" t="s">
        <v>61</v>
      </c>
      <c r="AD632">
        <v>0</v>
      </c>
      <c r="AE632" s="2">
        <v>0</v>
      </c>
      <c r="AF632" s="2">
        <v>0</v>
      </c>
      <c r="AG632" s="3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45957</v>
      </c>
      <c r="B633" t="s">
        <v>48</v>
      </c>
      <c r="C633">
        <v>649163</v>
      </c>
      <c r="D633">
        <v>2029694327</v>
      </c>
      <c r="E633" t="s">
        <v>959</v>
      </c>
      <c r="F633" t="s">
        <v>960</v>
      </c>
      <c r="G633" t="s">
        <v>51</v>
      </c>
      <c r="H633" t="s">
        <v>293</v>
      </c>
      <c r="I633" s="2">
        <v>27.04</v>
      </c>
      <c r="J633" t="s">
        <v>59</v>
      </c>
      <c r="K633" s="4">
        <v>0.375</v>
      </c>
      <c r="L633" s="2">
        <v>10.14</v>
      </c>
      <c r="M633" s="2">
        <v>0</v>
      </c>
      <c r="N633" s="2">
        <v>0</v>
      </c>
      <c r="O633" t="s">
        <v>378</v>
      </c>
      <c r="P633" t="s">
        <v>379</v>
      </c>
      <c r="Q633">
        <v>822865</v>
      </c>
      <c r="R633" t="s">
        <v>469</v>
      </c>
      <c r="S633" t="s">
        <v>470</v>
      </c>
      <c r="T633" t="s">
        <v>57</v>
      </c>
      <c r="U633" s="1">
        <v>45837</v>
      </c>
      <c r="W633" s="1">
        <v>45990</v>
      </c>
      <c r="X633">
        <v>1</v>
      </c>
      <c r="Y633" t="s">
        <v>58</v>
      </c>
      <c r="Z633" s="2">
        <v>0</v>
      </c>
      <c r="AA633">
        <v>0</v>
      </c>
      <c r="AB633" t="s">
        <v>60</v>
      </c>
      <c r="AC633" t="s">
        <v>61</v>
      </c>
      <c r="AD633">
        <v>0</v>
      </c>
      <c r="AE633" s="2">
        <v>0</v>
      </c>
      <c r="AF633" s="2">
        <v>0</v>
      </c>
      <c r="AG633" s="3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45957</v>
      </c>
      <c r="B634" t="s">
        <v>48</v>
      </c>
      <c r="C634">
        <v>649163</v>
      </c>
      <c r="D634">
        <v>2029854212</v>
      </c>
      <c r="E634" t="s">
        <v>275</v>
      </c>
      <c r="F634" t="s">
        <v>961</v>
      </c>
      <c r="G634" t="s">
        <v>51</v>
      </c>
      <c r="H634" t="s">
        <v>69</v>
      </c>
      <c r="I634" s="2">
        <v>77.48</v>
      </c>
      <c r="J634" t="s">
        <v>59</v>
      </c>
      <c r="K634" s="4">
        <v>0.375</v>
      </c>
      <c r="L634" s="2">
        <v>29.06</v>
      </c>
      <c r="M634" s="2">
        <v>0</v>
      </c>
      <c r="N634" s="2">
        <v>0</v>
      </c>
      <c r="O634" t="s">
        <v>378</v>
      </c>
      <c r="P634" t="s">
        <v>379</v>
      </c>
      <c r="Q634">
        <v>882035</v>
      </c>
      <c r="R634" t="s">
        <v>141</v>
      </c>
      <c r="S634" t="s">
        <v>142</v>
      </c>
      <c r="T634" t="s">
        <v>57</v>
      </c>
      <c r="U634" s="1">
        <v>45901</v>
      </c>
      <c r="W634" s="1">
        <v>45992</v>
      </c>
      <c r="X634">
        <v>1</v>
      </c>
      <c r="Y634" t="s">
        <v>58</v>
      </c>
      <c r="Z634" s="2">
        <v>0</v>
      </c>
      <c r="AA634">
        <v>0</v>
      </c>
      <c r="AB634" t="s">
        <v>60</v>
      </c>
      <c r="AC634" t="s">
        <v>61</v>
      </c>
      <c r="AD634">
        <v>0</v>
      </c>
      <c r="AE634" s="2">
        <v>0</v>
      </c>
      <c r="AF634" s="2">
        <v>0</v>
      </c>
      <c r="AG634" s="3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45957</v>
      </c>
      <c r="B635" t="s">
        <v>48</v>
      </c>
      <c r="C635">
        <v>649163</v>
      </c>
      <c r="D635">
        <v>2029877052</v>
      </c>
      <c r="E635" t="s">
        <v>551</v>
      </c>
      <c r="F635" t="s">
        <v>552</v>
      </c>
      <c r="G635" t="s">
        <v>51</v>
      </c>
      <c r="H635" t="s">
        <v>129</v>
      </c>
      <c r="I635" s="2">
        <v>57.07</v>
      </c>
      <c r="J635" t="s">
        <v>59</v>
      </c>
      <c r="K635" s="4">
        <v>0.375</v>
      </c>
      <c r="L635" s="2">
        <v>21.4</v>
      </c>
      <c r="M635" s="2">
        <v>0</v>
      </c>
      <c r="N635" s="2">
        <v>0</v>
      </c>
      <c r="O635" t="s">
        <v>378</v>
      </c>
      <c r="P635" t="s">
        <v>379</v>
      </c>
      <c r="Q635">
        <v>673059</v>
      </c>
      <c r="R635" t="s">
        <v>55</v>
      </c>
      <c r="S635" t="s">
        <v>56</v>
      </c>
      <c r="T635" t="s">
        <v>57</v>
      </c>
      <c r="U635" s="1">
        <v>45901</v>
      </c>
      <c r="W635" s="1">
        <v>45992</v>
      </c>
      <c r="X635">
        <v>1</v>
      </c>
      <c r="Y635" t="s">
        <v>58</v>
      </c>
      <c r="Z635" s="2">
        <v>0</v>
      </c>
      <c r="AA635">
        <v>0</v>
      </c>
      <c r="AB635" t="s">
        <v>60</v>
      </c>
      <c r="AC635" t="s">
        <v>61</v>
      </c>
      <c r="AD635">
        <v>0</v>
      </c>
      <c r="AE635" s="2">
        <v>0</v>
      </c>
      <c r="AF635" s="2">
        <v>0</v>
      </c>
      <c r="AG635" s="3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45957</v>
      </c>
      <c r="B636" t="s">
        <v>48</v>
      </c>
      <c r="C636">
        <v>649163</v>
      </c>
      <c r="D636">
        <v>2030125458</v>
      </c>
      <c r="E636" t="s">
        <v>962</v>
      </c>
      <c r="F636" t="s">
        <v>963</v>
      </c>
      <c r="G636" t="s">
        <v>51</v>
      </c>
      <c r="H636" t="s">
        <v>165</v>
      </c>
      <c r="I636" s="2">
        <v>50.3</v>
      </c>
      <c r="J636" t="s">
        <v>59</v>
      </c>
      <c r="K636" s="4">
        <v>0.375</v>
      </c>
      <c r="L636" s="2">
        <v>18.86</v>
      </c>
      <c r="M636" s="2">
        <v>0</v>
      </c>
      <c r="N636" s="2">
        <v>0</v>
      </c>
      <c r="O636" t="s">
        <v>378</v>
      </c>
      <c r="P636" t="s">
        <v>379</v>
      </c>
      <c r="Q636">
        <v>856163</v>
      </c>
      <c r="R636" t="s">
        <v>70</v>
      </c>
      <c r="S636" t="s">
        <v>71</v>
      </c>
      <c r="T636" t="s">
        <v>57</v>
      </c>
      <c r="U636" s="1">
        <v>45863</v>
      </c>
      <c r="W636" s="1">
        <v>45986</v>
      </c>
      <c r="X636">
        <v>1</v>
      </c>
      <c r="Y636" t="s">
        <v>58</v>
      </c>
      <c r="Z636" s="2">
        <v>0</v>
      </c>
      <c r="AA636">
        <v>0</v>
      </c>
      <c r="AB636" t="s">
        <v>60</v>
      </c>
      <c r="AC636" t="s">
        <v>61</v>
      </c>
      <c r="AD636">
        <v>0</v>
      </c>
      <c r="AE636" s="2">
        <v>0</v>
      </c>
      <c r="AF636" s="2">
        <v>0</v>
      </c>
      <c r="AG636" s="3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45957</v>
      </c>
      <c r="B637" t="s">
        <v>48</v>
      </c>
      <c r="C637">
        <v>649163</v>
      </c>
      <c r="D637">
        <v>2030178516</v>
      </c>
      <c r="E637" t="s">
        <v>964</v>
      </c>
      <c r="F637" t="s">
        <v>965</v>
      </c>
      <c r="G637" t="s">
        <v>51</v>
      </c>
      <c r="H637" t="s">
        <v>247</v>
      </c>
      <c r="I637" s="2">
        <v>23.34</v>
      </c>
      <c r="J637" t="s">
        <v>59</v>
      </c>
      <c r="K637" s="4">
        <v>0.375</v>
      </c>
      <c r="L637" s="2">
        <v>8.75</v>
      </c>
      <c r="M637" s="2">
        <v>0</v>
      </c>
      <c r="N637" s="2">
        <v>0</v>
      </c>
      <c r="O637" t="s">
        <v>378</v>
      </c>
      <c r="P637" t="s">
        <v>379</v>
      </c>
      <c r="Q637">
        <v>822865</v>
      </c>
      <c r="R637" t="s">
        <v>469</v>
      </c>
      <c r="S637" t="s">
        <v>470</v>
      </c>
      <c r="T637" t="s">
        <v>57</v>
      </c>
      <c r="U637" s="1">
        <v>45867</v>
      </c>
      <c r="W637" s="1">
        <v>45990</v>
      </c>
      <c r="X637">
        <v>1</v>
      </c>
      <c r="Y637" t="s">
        <v>58</v>
      </c>
      <c r="Z637" s="2">
        <v>0</v>
      </c>
      <c r="AA637">
        <v>0</v>
      </c>
      <c r="AB637" t="s">
        <v>60</v>
      </c>
      <c r="AC637" t="s">
        <v>61</v>
      </c>
      <c r="AD637">
        <v>0</v>
      </c>
      <c r="AE637" s="2">
        <v>0</v>
      </c>
      <c r="AF637" s="2">
        <v>0</v>
      </c>
      <c r="AG637" s="3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45957</v>
      </c>
      <c r="B638" t="s">
        <v>48</v>
      </c>
      <c r="C638">
        <v>649163</v>
      </c>
      <c r="D638">
        <v>2030372673</v>
      </c>
      <c r="E638" t="s">
        <v>72</v>
      </c>
      <c r="F638" t="s">
        <v>73</v>
      </c>
      <c r="G638" t="s">
        <v>51</v>
      </c>
      <c r="H638" t="s">
        <v>69</v>
      </c>
      <c r="I638" s="2">
        <v>61.64</v>
      </c>
      <c r="J638" t="s">
        <v>59</v>
      </c>
      <c r="K638" s="4">
        <v>0.375</v>
      </c>
      <c r="L638" s="2">
        <v>23.12</v>
      </c>
      <c r="M638" s="2">
        <v>0</v>
      </c>
      <c r="N638" s="2">
        <v>0</v>
      </c>
      <c r="O638" t="s">
        <v>378</v>
      </c>
      <c r="P638" t="s">
        <v>379</v>
      </c>
      <c r="Q638">
        <v>824062</v>
      </c>
      <c r="R638" t="s">
        <v>74</v>
      </c>
      <c r="S638" t="s">
        <v>75</v>
      </c>
      <c r="T638" t="s">
        <v>57</v>
      </c>
      <c r="U638" s="1">
        <v>45901</v>
      </c>
      <c r="W638" s="1">
        <v>45992</v>
      </c>
      <c r="X638">
        <v>1</v>
      </c>
      <c r="Y638" t="s">
        <v>58</v>
      </c>
      <c r="Z638" s="2">
        <v>0</v>
      </c>
      <c r="AA638">
        <v>0</v>
      </c>
      <c r="AB638" t="s">
        <v>60</v>
      </c>
      <c r="AC638" t="s">
        <v>61</v>
      </c>
      <c r="AD638">
        <v>0</v>
      </c>
      <c r="AE638" s="2">
        <v>0</v>
      </c>
      <c r="AF638" s="2">
        <v>0</v>
      </c>
      <c r="AG638" s="3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45957</v>
      </c>
      <c r="B639" t="s">
        <v>48</v>
      </c>
      <c r="C639">
        <v>649163</v>
      </c>
      <c r="D639">
        <v>2030400632</v>
      </c>
      <c r="E639" t="s">
        <v>553</v>
      </c>
      <c r="F639" t="s">
        <v>554</v>
      </c>
      <c r="G639" t="s">
        <v>51</v>
      </c>
      <c r="H639" t="s">
        <v>555</v>
      </c>
      <c r="I639" s="2">
        <v>77.47</v>
      </c>
      <c r="J639" t="s">
        <v>59</v>
      </c>
      <c r="K639" s="4">
        <v>0.375</v>
      </c>
      <c r="L639" s="2">
        <v>29.05</v>
      </c>
      <c r="M639" s="2">
        <v>0</v>
      </c>
      <c r="N639" s="2">
        <v>0</v>
      </c>
      <c r="O639" t="s">
        <v>378</v>
      </c>
      <c r="P639" t="s">
        <v>379</v>
      </c>
      <c r="Q639">
        <v>650218</v>
      </c>
      <c r="R639" t="s">
        <v>357</v>
      </c>
      <c r="S639" t="s">
        <v>358</v>
      </c>
      <c r="T639" t="s">
        <v>57</v>
      </c>
      <c r="U639" s="1">
        <v>45901</v>
      </c>
      <c r="W639" s="1">
        <v>45992</v>
      </c>
      <c r="X639">
        <v>1</v>
      </c>
      <c r="Y639" t="s">
        <v>58</v>
      </c>
      <c r="Z639" s="2">
        <v>0</v>
      </c>
      <c r="AA639">
        <v>0</v>
      </c>
      <c r="AB639" t="s">
        <v>60</v>
      </c>
      <c r="AC639" t="s">
        <v>61</v>
      </c>
      <c r="AD639">
        <v>0</v>
      </c>
      <c r="AE639" s="2">
        <v>0</v>
      </c>
      <c r="AF639" s="2">
        <v>0</v>
      </c>
      <c r="AG639" s="3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45957</v>
      </c>
      <c r="B640" t="s">
        <v>48</v>
      </c>
      <c r="C640">
        <v>649163</v>
      </c>
      <c r="D640">
        <v>2030453867</v>
      </c>
      <c r="E640" t="s">
        <v>90</v>
      </c>
      <c r="F640" t="s">
        <v>91</v>
      </c>
      <c r="G640" t="s">
        <v>51</v>
      </c>
      <c r="H640" t="s">
        <v>92</v>
      </c>
      <c r="I640" s="2">
        <v>63.62</v>
      </c>
      <c r="J640" t="s">
        <v>59</v>
      </c>
      <c r="K640" s="4">
        <v>0.375</v>
      </c>
      <c r="L640" s="2">
        <v>23.86</v>
      </c>
      <c r="M640" s="2">
        <v>0</v>
      </c>
      <c r="N640" s="2">
        <v>0</v>
      </c>
      <c r="O640" t="s">
        <v>378</v>
      </c>
      <c r="P640" t="s">
        <v>379</v>
      </c>
      <c r="Q640">
        <v>816021</v>
      </c>
      <c r="R640" t="s">
        <v>93</v>
      </c>
      <c r="S640" t="s">
        <v>94</v>
      </c>
      <c r="T640" t="s">
        <v>57</v>
      </c>
      <c r="U640" s="1">
        <v>45901</v>
      </c>
      <c r="W640" s="1">
        <v>45992</v>
      </c>
      <c r="X640">
        <v>1</v>
      </c>
      <c r="Y640" t="s">
        <v>58</v>
      </c>
      <c r="Z640" s="2">
        <v>0</v>
      </c>
      <c r="AA640">
        <v>0</v>
      </c>
      <c r="AB640" t="s">
        <v>60</v>
      </c>
      <c r="AC640" t="s">
        <v>61</v>
      </c>
      <c r="AD640">
        <v>0</v>
      </c>
      <c r="AE640" s="2">
        <v>0</v>
      </c>
      <c r="AF640" s="2">
        <v>0</v>
      </c>
      <c r="AG640" s="3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45957</v>
      </c>
      <c r="B641" t="s">
        <v>48</v>
      </c>
      <c r="C641">
        <v>649163</v>
      </c>
      <c r="D641">
        <v>2030488469</v>
      </c>
      <c r="E641" t="s">
        <v>102</v>
      </c>
      <c r="F641" t="s">
        <v>103</v>
      </c>
      <c r="G641" t="s">
        <v>51</v>
      </c>
      <c r="H641" t="s">
        <v>69</v>
      </c>
      <c r="I641" s="2">
        <v>53.87</v>
      </c>
      <c r="J641" t="s">
        <v>59</v>
      </c>
      <c r="K641" s="4">
        <v>0.375</v>
      </c>
      <c r="L641" s="2">
        <v>20.2</v>
      </c>
      <c r="M641" s="2">
        <v>0</v>
      </c>
      <c r="N641" s="2">
        <v>0</v>
      </c>
      <c r="O641" t="s">
        <v>378</v>
      </c>
      <c r="P641" t="s">
        <v>379</v>
      </c>
      <c r="Q641">
        <v>867497</v>
      </c>
      <c r="R641" t="s">
        <v>104</v>
      </c>
      <c r="S641" t="s">
        <v>105</v>
      </c>
      <c r="T641" t="s">
        <v>57</v>
      </c>
      <c r="U641" s="1">
        <v>45901</v>
      </c>
      <c r="W641" s="1">
        <v>45992</v>
      </c>
      <c r="X641">
        <v>1</v>
      </c>
      <c r="Y641" t="s">
        <v>58</v>
      </c>
      <c r="Z641" s="2">
        <v>0</v>
      </c>
      <c r="AA641">
        <v>0</v>
      </c>
      <c r="AB641" t="s">
        <v>60</v>
      </c>
      <c r="AC641" t="s">
        <v>61</v>
      </c>
      <c r="AD641">
        <v>0</v>
      </c>
      <c r="AE641" s="2">
        <v>0</v>
      </c>
      <c r="AF641" s="2">
        <v>0</v>
      </c>
      <c r="AG641" s="3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45957</v>
      </c>
      <c r="B642" t="s">
        <v>48</v>
      </c>
      <c r="C642">
        <v>649163</v>
      </c>
      <c r="D642">
        <v>2030491854</v>
      </c>
      <c r="E642" t="s">
        <v>106</v>
      </c>
      <c r="F642" t="s">
        <v>107</v>
      </c>
      <c r="G642" t="s">
        <v>51</v>
      </c>
      <c r="H642" t="s">
        <v>69</v>
      </c>
      <c r="I642" s="2">
        <v>77.48</v>
      </c>
      <c r="J642" t="s">
        <v>59</v>
      </c>
      <c r="K642" s="4">
        <v>0.375</v>
      </c>
      <c r="L642" s="2">
        <v>29.06</v>
      </c>
      <c r="M642" s="2">
        <v>0</v>
      </c>
      <c r="N642" s="2">
        <v>0</v>
      </c>
      <c r="O642" t="s">
        <v>378</v>
      </c>
      <c r="P642" t="s">
        <v>379</v>
      </c>
      <c r="Q642">
        <v>856574</v>
      </c>
      <c r="R642" t="s">
        <v>108</v>
      </c>
      <c r="S642" t="s">
        <v>109</v>
      </c>
      <c r="T642" t="s">
        <v>57</v>
      </c>
      <c r="U642" s="1">
        <v>45901</v>
      </c>
      <c r="W642" s="1">
        <v>45992</v>
      </c>
      <c r="X642">
        <v>1</v>
      </c>
      <c r="Y642" t="s">
        <v>58</v>
      </c>
      <c r="Z642" s="2">
        <v>0</v>
      </c>
      <c r="AA642">
        <v>0</v>
      </c>
      <c r="AB642" t="s">
        <v>60</v>
      </c>
      <c r="AC642" t="s">
        <v>61</v>
      </c>
      <c r="AD642">
        <v>0</v>
      </c>
      <c r="AE642" s="2">
        <v>0</v>
      </c>
      <c r="AF642" s="2">
        <v>0</v>
      </c>
      <c r="AG642" s="3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45957</v>
      </c>
      <c r="B643" t="s">
        <v>48</v>
      </c>
      <c r="C643">
        <v>649163</v>
      </c>
      <c r="D643">
        <v>2030499771</v>
      </c>
      <c r="E643" t="s">
        <v>112</v>
      </c>
      <c r="F643" t="s">
        <v>113</v>
      </c>
      <c r="G643" t="s">
        <v>51</v>
      </c>
      <c r="H643" t="s">
        <v>52</v>
      </c>
      <c r="I643" s="2">
        <v>52.62</v>
      </c>
      <c r="J643" t="s">
        <v>59</v>
      </c>
      <c r="K643" s="4">
        <v>0.375</v>
      </c>
      <c r="L643" s="2">
        <v>19.73</v>
      </c>
      <c r="M643" s="2">
        <v>0</v>
      </c>
      <c r="N643" s="2">
        <v>0</v>
      </c>
      <c r="O643" t="s">
        <v>378</v>
      </c>
      <c r="P643" t="s">
        <v>379</v>
      </c>
      <c r="Q643">
        <v>812782</v>
      </c>
      <c r="R643" t="s">
        <v>114</v>
      </c>
      <c r="S643" t="s">
        <v>115</v>
      </c>
      <c r="T643" t="s">
        <v>57</v>
      </c>
      <c r="U643" s="1">
        <v>45901</v>
      </c>
      <c r="W643" s="1">
        <v>45992</v>
      </c>
      <c r="X643">
        <v>1</v>
      </c>
      <c r="Y643" t="s">
        <v>58</v>
      </c>
      <c r="Z643" s="2">
        <v>0</v>
      </c>
      <c r="AA643">
        <v>0</v>
      </c>
      <c r="AB643" t="s">
        <v>60</v>
      </c>
      <c r="AC643" t="s">
        <v>61</v>
      </c>
      <c r="AD643">
        <v>0</v>
      </c>
      <c r="AE643" s="2">
        <v>0</v>
      </c>
      <c r="AF643" s="2">
        <v>0</v>
      </c>
      <c r="AG643" s="3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45957</v>
      </c>
      <c r="B644" t="s">
        <v>48</v>
      </c>
      <c r="C644">
        <v>649163</v>
      </c>
      <c r="D644">
        <v>2030552139</v>
      </c>
      <c r="E644" t="s">
        <v>127</v>
      </c>
      <c r="F644" t="s">
        <v>128</v>
      </c>
      <c r="G644" t="s">
        <v>51</v>
      </c>
      <c r="H644" t="s">
        <v>129</v>
      </c>
      <c r="I644" s="2">
        <v>54.54</v>
      </c>
      <c r="J644" t="s">
        <v>59</v>
      </c>
      <c r="K644" s="4">
        <v>0.375</v>
      </c>
      <c r="L644" s="2">
        <v>20.45</v>
      </c>
      <c r="M644" s="2">
        <v>0</v>
      </c>
      <c r="N644" s="2">
        <v>0</v>
      </c>
      <c r="O644" t="s">
        <v>378</v>
      </c>
      <c r="P644" t="s">
        <v>379</v>
      </c>
      <c r="Q644">
        <v>874230</v>
      </c>
      <c r="R644" t="s">
        <v>130</v>
      </c>
      <c r="S644" t="s">
        <v>131</v>
      </c>
      <c r="T644" t="s">
        <v>57</v>
      </c>
      <c r="U644" s="1">
        <v>45901</v>
      </c>
      <c r="W644" s="1">
        <v>45992</v>
      </c>
      <c r="X644">
        <v>1</v>
      </c>
      <c r="Y644" t="s">
        <v>58</v>
      </c>
      <c r="Z644" s="2">
        <v>0</v>
      </c>
      <c r="AA644">
        <v>0</v>
      </c>
      <c r="AB644" t="s">
        <v>60</v>
      </c>
      <c r="AC644" t="s">
        <v>61</v>
      </c>
      <c r="AD644">
        <v>0</v>
      </c>
      <c r="AE644" s="2">
        <v>0</v>
      </c>
      <c r="AF644" s="2">
        <v>0</v>
      </c>
      <c r="AG644" s="3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45957</v>
      </c>
      <c r="B645" t="s">
        <v>48</v>
      </c>
      <c r="C645">
        <v>649163</v>
      </c>
      <c r="D645">
        <v>2030560229</v>
      </c>
      <c r="E645" t="s">
        <v>230</v>
      </c>
      <c r="F645" t="s">
        <v>561</v>
      </c>
      <c r="G645" t="s">
        <v>51</v>
      </c>
      <c r="H645" t="s">
        <v>247</v>
      </c>
      <c r="I645" s="2">
        <v>118.71</v>
      </c>
      <c r="J645" t="s">
        <v>59</v>
      </c>
      <c r="K645" s="4">
        <v>0.375</v>
      </c>
      <c r="L645" s="2">
        <v>44.52</v>
      </c>
      <c r="M645" s="2">
        <v>0</v>
      </c>
      <c r="N645" s="2">
        <v>0</v>
      </c>
      <c r="O645" t="s">
        <v>378</v>
      </c>
      <c r="P645" t="s">
        <v>379</v>
      </c>
      <c r="Q645">
        <v>669316</v>
      </c>
      <c r="R645" t="s">
        <v>169</v>
      </c>
      <c r="S645" t="s">
        <v>170</v>
      </c>
      <c r="T645" t="s">
        <v>57</v>
      </c>
      <c r="U645" s="1">
        <v>45901</v>
      </c>
      <c r="W645" s="1">
        <v>45992</v>
      </c>
      <c r="X645">
        <v>1</v>
      </c>
      <c r="Y645" t="s">
        <v>58</v>
      </c>
      <c r="Z645" s="2">
        <v>0</v>
      </c>
      <c r="AA645">
        <v>0</v>
      </c>
      <c r="AB645" t="s">
        <v>60</v>
      </c>
      <c r="AC645" t="s">
        <v>61</v>
      </c>
      <c r="AD645">
        <v>0</v>
      </c>
      <c r="AE645" s="2">
        <v>0</v>
      </c>
      <c r="AF645" s="2">
        <v>0</v>
      </c>
      <c r="AG645" s="3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45957</v>
      </c>
      <c r="B646" t="s">
        <v>48</v>
      </c>
      <c r="C646">
        <v>649163</v>
      </c>
      <c r="D646">
        <v>2030569258</v>
      </c>
      <c r="E646" t="s">
        <v>133</v>
      </c>
      <c r="F646" t="s">
        <v>134</v>
      </c>
      <c r="G646" t="s">
        <v>51</v>
      </c>
      <c r="H646" t="s">
        <v>69</v>
      </c>
      <c r="I646" s="2">
        <v>77.48</v>
      </c>
      <c r="J646" t="s">
        <v>59</v>
      </c>
      <c r="K646" s="4">
        <v>0.375</v>
      </c>
      <c r="L646" s="2">
        <v>29.06</v>
      </c>
      <c r="M646" s="2">
        <v>0</v>
      </c>
      <c r="N646" s="2">
        <v>0</v>
      </c>
      <c r="O646" t="s">
        <v>378</v>
      </c>
      <c r="P646" t="s">
        <v>379</v>
      </c>
      <c r="Q646">
        <v>824076</v>
      </c>
      <c r="R646" t="s">
        <v>135</v>
      </c>
      <c r="S646" t="s">
        <v>136</v>
      </c>
      <c r="T646" t="s">
        <v>57</v>
      </c>
      <c r="U646" s="1">
        <v>45901</v>
      </c>
      <c r="W646" s="1">
        <v>45992</v>
      </c>
      <c r="X646">
        <v>1</v>
      </c>
      <c r="Y646" t="s">
        <v>58</v>
      </c>
      <c r="Z646" s="2">
        <v>0</v>
      </c>
      <c r="AA646">
        <v>0</v>
      </c>
      <c r="AB646" t="s">
        <v>60</v>
      </c>
      <c r="AC646" t="s">
        <v>61</v>
      </c>
      <c r="AD646">
        <v>0</v>
      </c>
      <c r="AE646" s="2">
        <v>0</v>
      </c>
      <c r="AF646" s="2">
        <v>0</v>
      </c>
      <c r="AG646" s="3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45957</v>
      </c>
      <c r="B647" t="s">
        <v>48</v>
      </c>
      <c r="C647">
        <v>649163</v>
      </c>
      <c r="D647">
        <v>2030578218</v>
      </c>
      <c r="E647" t="s">
        <v>139</v>
      </c>
      <c r="F647" t="s">
        <v>140</v>
      </c>
      <c r="G647" t="s">
        <v>51</v>
      </c>
      <c r="H647" t="s">
        <v>69</v>
      </c>
      <c r="I647" s="2">
        <v>77.48</v>
      </c>
      <c r="J647" t="s">
        <v>59</v>
      </c>
      <c r="K647" s="4">
        <v>0.375</v>
      </c>
      <c r="L647" s="2">
        <v>29.06</v>
      </c>
      <c r="M647" s="2">
        <v>0</v>
      </c>
      <c r="N647" s="2">
        <v>0</v>
      </c>
      <c r="O647" t="s">
        <v>378</v>
      </c>
      <c r="P647" t="s">
        <v>379</v>
      </c>
      <c r="Q647">
        <v>882035</v>
      </c>
      <c r="R647" t="s">
        <v>141</v>
      </c>
      <c r="S647" t="s">
        <v>142</v>
      </c>
      <c r="T647" t="s">
        <v>57</v>
      </c>
      <c r="U647" s="1">
        <v>45901</v>
      </c>
      <c r="W647" s="1">
        <v>45992</v>
      </c>
      <c r="X647">
        <v>1</v>
      </c>
      <c r="Y647" t="s">
        <v>58</v>
      </c>
      <c r="Z647" s="2">
        <v>0</v>
      </c>
      <c r="AA647">
        <v>0</v>
      </c>
      <c r="AB647" t="s">
        <v>60</v>
      </c>
      <c r="AC647" t="s">
        <v>61</v>
      </c>
      <c r="AD647">
        <v>0</v>
      </c>
      <c r="AE647" s="2">
        <v>0</v>
      </c>
      <c r="AF647" s="2">
        <v>0</v>
      </c>
      <c r="AG647" s="3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45957</v>
      </c>
      <c r="B648" t="s">
        <v>48</v>
      </c>
      <c r="C648">
        <v>649163</v>
      </c>
      <c r="D648">
        <v>2030594429</v>
      </c>
      <c r="E648" t="s">
        <v>149</v>
      </c>
      <c r="F648" t="s">
        <v>150</v>
      </c>
      <c r="G648" t="s">
        <v>51</v>
      </c>
      <c r="H648" t="s">
        <v>145</v>
      </c>
      <c r="I648" s="2">
        <v>60.74</v>
      </c>
      <c r="J648" t="s">
        <v>59</v>
      </c>
      <c r="K648" s="4">
        <v>0.375</v>
      </c>
      <c r="L648" s="2">
        <v>22.78</v>
      </c>
      <c r="M648" s="2">
        <v>0</v>
      </c>
      <c r="N648" s="2">
        <v>0</v>
      </c>
      <c r="O648" t="s">
        <v>378</v>
      </c>
      <c r="P648" t="s">
        <v>379</v>
      </c>
      <c r="Q648">
        <v>822723</v>
      </c>
      <c r="R648" t="s">
        <v>151</v>
      </c>
      <c r="S648" t="s">
        <v>152</v>
      </c>
      <c r="T648" t="s">
        <v>57</v>
      </c>
      <c r="U648" s="1">
        <v>45898</v>
      </c>
      <c r="W648" s="1">
        <v>45990</v>
      </c>
      <c r="X648">
        <v>1</v>
      </c>
      <c r="Y648" t="s">
        <v>58</v>
      </c>
      <c r="Z648" s="2">
        <v>0</v>
      </c>
      <c r="AA648">
        <v>0</v>
      </c>
      <c r="AB648" t="s">
        <v>60</v>
      </c>
      <c r="AC648" t="s">
        <v>61</v>
      </c>
      <c r="AD648">
        <v>0</v>
      </c>
      <c r="AE648" s="2">
        <v>0</v>
      </c>
      <c r="AF648" s="2">
        <v>0</v>
      </c>
      <c r="AG648" s="3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45957</v>
      </c>
      <c r="B649" t="s">
        <v>48</v>
      </c>
      <c r="C649">
        <v>649163</v>
      </c>
      <c r="D649">
        <v>2030625304</v>
      </c>
      <c r="E649" t="s">
        <v>161</v>
      </c>
      <c r="F649" t="s">
        <v>162</v>
      </c>
      <c r="G649" t="s">
        <v>51</v>
      </c>
      <c r="H649" t="s">
        <v>69</v>
      </c>
      <c r="I649" s="2">
        <v>77.48</v>
      </c>
      <c r="J649" t="s">
        <v>59</v>
      </c>
      <c r="K649" s="4">
        <v>0.375</v>
      </c>
      <c r="L649" s="2">
        <v>29.06</v>
      </c>
      <c r="M649" s="2">
        <v>0</v>
      </c>
      <c r="N649" s="2">
        <v>0</v>
      </c>
      <c r="O649" t="s">
        <v>378</v>
      </c>
      <c r="P649" t="s">
        <v>379</v>
      </c>
      <c r="Q649">
        <v>882035</v>
      </c>
      <c r="R649" t="s">
        <v>141</v>
      </c>
      <c r="S649" t="s">
        <v>142</v>
      </c>
      <c r="T649" t="s">
        <v>57</v>
      </c>
      <c r="U649" s="1">
        <v>45901</v>
      </c>
      <c r="W649" s="1">
        <v>45992</v>
      </c>
      <c r="X649">
        <v>1</v>
      </c>
      <c r="Y649" t="s">
        <v>58</v>
      </c>
      <c r="Z649" s="2">
        <v>0</v>
      </c>
      <c r="AA649">
        <v>0</v>
      </c>
      <c r="AB649" t="s">
        <v>60</v>
      </c>
      <c r="AC649" t="s">
        <v>61</v>
      </c>
      <c r="AD649">
        <v>0</v>
      </c>
      <c r="AE649" s="2">
        <v>0</v>
      </c>
      <c r="AF649" s="2">
        <v>0</v>
      </c>
      <c r="AG649" s="3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45957</v>
      </c>
      <c r="B650" t="s">
        <v>48</v>
      </c>
      <c r="C650">
        <v>649163</v>
      </c>
      <c r="D650">
        <v>2030670142</v>
      </c>
      <c r="E650" t="s">
        <v>709</v>
      </c>
      <c r="F650" t="s">
        <v>710</v>
      </c>
      <c r="G650" t="s">
        <v>51</v>
      </c>
      <c r="H650" t="s">
        <v>195</v>
      </c>
      <c r="I650" s="2">
        <v>36.11</v>
      </c>
      <c r="J650" t="s">
        <v>59</v>
      </c>
      <c r="K650" s="4">
        <v>0.375</v>
      </c>
      <c r="L650" s="2">
        <v>13.54</v>
      </c>
      <c r="M650" s="2">
        <v>0</v>
      </c>
      <c r="N650" s="2">
        <v>0</v>
      </c>
      <c r="O650" t="s">
        <v>378</v>
      </c>
      <c r="P650" t="s">
        <v>379</v>
      </c>
      <c r="Q650">
        <v>650218</v>
      </c>
      <c r="R650" t="s">
        <v>357</v>
      </c>
      <c r="S650" t="s">
        <v>358</v>
      </c>
      <c r="T650" t="s">
        <v>57</v>
      </c>
      <c r="U650" s="1">
        <v>45895</v>
      </c>
      <c r="W650" s="1">
        <v>45987</v>
      </c>
      <c r="X650">
        <v>1</v>
      </c>
      <c r="Y650" t="s">
        <v>58</v>
      </c>
      <c r="Z650" s="2">
        <v>0</v>
      </c>
      <c r="AA650">
        <v>0</v>
      </c>
      <c r="AB650" t="s">
        <v>60</v>
      </c>
      <c r="AC650" t="s">
        <v>61</v>
      </c>
      <c r="AD650">
        <v>0</v>
      </c>
      <c r="AE650" s="2">
        <v>0</v>
      </c>
      <c r="AF650" s="2">
        <v>0</v>
      </c>
      <c r="AG650" s="3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45957</v>
      </c>
      <c r="B651" t="s">
        <v>48</v>
      </c>
      <c r="C651">
        <v>649163</v>
      </c>
      <c r="D651">
        <v>2030670299</v>
      </c>
      <c r="E651" t="s">
        <v>171</v>
      </c>
      <c r="F651" t="s">
        <v>172</v>
      </c>
      <c r="G651" t="s">
        <v>51</v>
      </c>
      <c r="H651" t="s">
        <v>52</v>
      </c>
      <c r="I651" s="2">
        <v>36.119999999999997</v>
      </c>
      <c r="J651" t="s">
        <v>59</v>
      </c>
      <c r="K651" s="4">
        <v>0.375</v>
      </c>
      <c r="L651" s="2">
        <v>13.54</v>
      </c>
      <c r="M651" s="2">
        <v>0</v>
      </c>
      <c r="N651" s="2">
        <v>0</v>
      </c>
      <c r="O651" t="s">
        <v>378</v>
      </c>
      <c r="P651" t="s">
        <v>379</v>
      </c>
      <c r="Q651">
        <v>814033</v>
      </c>
      <c r="R651" t="s">
        <v>147</v>
      </c>
      <c r="S651" t="s">
        <v>148</v>
      </c>
      <c r="T651" t="s">
        <v>57</v>
      </c>
      <c r="U651" s="1">
        <v>45901</v>
      </c>
      <c r="W651" s="1">
        <v>45992</v>
      </c>
      <c r="X651">
        <v>1</v>
      </c>
      <c r="Y651" t="s">
        <v>58</v>
      </c>
      <c r="Z651" s="2">
        <v>0</v>
      </c>
      <c r="AA651">
        <v>0</v>
      </c>
      <c r="AB651" t="s">
        <v>60</v>
      </c>
      <c r="AC651" t="s">
        <v>61</v>
      </c>
      <c r="AD651">
        <v>0</v>
      </c>
      <c r="AE651" s="2">
        <v>0</v>
      </c>
      <c r="AF651" s="2">
        <v>0</v>
      </c>
      <c r="AG651" s="3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45957</v>
      </c>
      <c r="B652" t="s">
        <v>48</v>
      </c>
      <c r="C652">
        <v>649163</v>
      </c>
      <c r="D652">
        <v>2030673652</v>
      </c>
      <c r="E652" t="s">
        <v>177</v>
      </c>
      <c r="F652" t="s">
        <v>178</v>
      </c>
      <c r="G652" t="s">
        <v>51</v>
      </c>
      <c r="H652" t="s">
        <v>179</v>
      </c>
      <c r="I652" s="2">
        <v>48.15</v>
      </c>
      <c r="J652" t="s">
        <v>59</v>
      </c>
      <c r="K652" s="4">
        <v>0.375</v>
      </c>
      <c r="L652" s="2">
        <v>18.059999999999999</v>
      </c>
      <c r="M652" s="2">
        <v>0</v>
      </c>
      <c r="N652" s="2">
        <v>0</v>
      </c>
      <c r="O652" t="s">
        <v>378</v>
      </c>
      <c r="P652" t="s">
        <v>379</v>
      </c>
      <c r="Q652">
        <v>673059</v>
      </c>
      <c r="R652" t="s">
        <v>55</v>
      </c>
      <c r="S652" t="s">
        <v>56</v>
      </c>
      <c r="T652" t="s">
        <v>57</v>
      </c>
      <c r="U652" s="1">
        <v>45901</v>
      </c>
      <c r="W652" s="1">
        <v>45992</v>
      </c>
      <c r="X652">
        <v>1</v>
      </c>
      <c r="Y652" t="s">
        <v>58</v>
      </c>
      <c r="Z652" s="2">
        <v>0</v>
      </c>
      <c r="AA652">
        <v>0</v>
      </c>
      <c r="AB652" t="s">
        <v>60</v>
      </c>
      <c r="AC652" t="s">
        <v>61</v>
      </c>
      <c r="AD652">
        <v>0</v>
      </c>
      <c r="AE652" s="2">
        <v>0</v>
      </c>
      <c r="AF652" s="2">
        <v>0</v>
      </c>
      <c r="AG652" s="3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45957</v>
      </c>
      <c r="B653" t="s">
        <v>48</v>
      </c>
      <c r="C653">
        <v>649163</v>
      </c>
      <c r="D653">
        <v>2030675166</v>
      </c>
      <c r="E653" t="s">
        <v>180</v>
      </c>
      <c r="F653" t="s">
        <v>181</v>
      </c>
      <c r="G653" t="s">
        <v>51</v>
      </c>
      <c r="H653" t="s">
        <v>182</v>
      </c>
      <c r="I653" s="2">
        <v>64.16</v>
      </c>
      <c r="J653" t="s">
        <v>59</v>
      </c>
      <c r="K653" s="4">
        <v>0.375</v>
      </c>
      <c r="L653" s="2">
        <v>24.06</v>
      </c>
      <c r="M653" s="2">
        <v>0</v>
      </c>
      <c r="N653" s="2">
        <v>0</v>
      </c>
      <c r="O653" t="s">
        <v>378</v>
      </c>
      <c r="P653" t="s">
        <v>379</v>
      </c>
      <c r="Q653">
        <v>823350</v>
      </c>
      <c r="R653" t="s">
        <v>70</v>
      </c>
      <c r="S653" t="s">
        <v>183</v>
      </c>
      <c r="T653" t="s">
        <v>57</v>
      </c>
      <c r="U653" s="1">
        <v>45901</v>
      </c>
      <c r="W653" s="1">
        <v>45992</v>
      </c>
      <c r="X653">
        <v>1</v>
      </c>
      <c r="Y653" t="s">
        <v>58</v>
      </c>
      <c r="Z653" s="2">
        <v>0</v>
      </c>
      <c r="AA653">
        <v>0</v>
      </c>
      <c r="AB653" t="s">
        <v>60</v>
      </c>
      <c r="AC653" t="s">
        <v>61</v>
      </c>
      <c r="AD653">
        <v>0</v>
      </c>
      <c r="AE653" s="2">
        <v>0</v>
      </c>
      <c r="AF653" s="2">
        <v>0</v>
      </c>
      <c r="AG653" s="3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45957</v>
      </c>
      <c r="B654" t="s">
        <v>48</v>
      </c>
      <c r="C654">
        <v>649163</v>
      </c>
      <c r="D654">
        <v>2030686024</v>
      </c>
      <c r="E654" t="s">
        <v>184</v>
      </c>
      <c r="F654" t="s">
        <v>185</v>
      </c>
      <c r="G654" t="s">
        <v>51</v>
      </c>
      <c r="H654" t="s">
        <v>92</v>
      </c>
      <c r="I654" s="2">
        <v>39.590000000000003</v>
      </c>
      <c r="J654" t="s">
        <v>59</v>
      </c>
      <c r="K654" s="4">
        <v>0.375</v>
      </c>
      <c r="L654" s="2">
        <v>14.85</v>
      </c>
      <c r="M654" s="2">
        <v>0</v>
      </c>
      <c r="N654" s="2">
        <v>0</v>
      </c>
      <c r="O654" t="s">
        <v>378</v>
      </c>
      <c r="P654" t="s">
        <v>379</v>
      </c>
      <c r="Q654">
        <v>816021</v>
      </c>
      <c r="R654" t="s">
        <v>93</v>
      </c>
      <c r="S654" t="s">
        <v>94</v>
      </c>
      <c r="T654" t="s">
        <v>57</v>
      </c>
      <c r="U654" s="1">
        <v>45901</v>
      </c>
      <c r="W654" s="1">
        <v>45992</v>
      </c>
      <c r="X654">
        <v>1</v>
      </c>
      <c r="Y654" t="s">
        <v>58</v>
      </c>
      <c r="Z654" s="2">
        <v>0</v>
      </c>
      <c r="AA654">
        <v>0</v>
      </c>
      <c r="AB654" t="s">
        <v>60</v>
      </c>
      <c r="AC654" t="s">
        <v>61</v>
      </c>
      <c r="AD654">
        <v>0</v>
      </c>
      <c r="AE654" s="2">
        <v>0</v>
      </c>
      <c r="AF654" s="2">
        <v>0</v>
      </c>
      <c r="AG654" s="3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45957</v>
      </c>
      <c r="B655" t="s">
        <v>48</v>
      </c>
      <c r="C655">
        <v>649163</v>
      </c>
      <c r="D655">
        <v>2030694665</v>
      </c>
      <c r="E655" t="s">
        <v>188</v>
      </c>
      <c r="F655" t="s">
        <v>189</v>
      </c>
      <c r="G655" t="s">
        <v>51</v>
      </c>
      <c r="H655" t="s">
        <v>190</v>
      </c>
      <c r="I655" s="2">
        <v>67.56</v>
      </c>
      <c r="J655" t="s">
        <v>59</v>
      </c>
      <c r="K655" s="4">
        <v>0.375</v>
      </c>
      <c r="L655" s="2">
        <v>25.34</v>
      </c>
      <c r="M655" s="2">
        <v>0</v>
      </c>
      <c r="N655" s="2">
        <v>0</v>
      </c>
      <c r="O655" t="s">
        <v>378</v>
      </c>
      <c r="P655" t="s">
        <v>379</v>
      </c>
      <c r="Q655">
        <v>756418</v>
      </c>
      <c r="R655" t="s">
        <v>191</v>
      </c>
      <c r="S655" t="s">
        <v>192</v>
      </c>
      <c r="T655" t="s">
        <v>57</v>
      </c>
      <c r="U655" s="1">
        <v>45896</v>
      </c>
      <c r="W655" s="1">
        <v>45988</v>
      </c>
      <c r="X655">
        <v>1</v>
      </c>
      <c r="Y655" t="s">
        <v>58</v>
      </c>
      <c r="Z655" s="2">
        <v>0</v>
      </c>
      <c r="AA655">
        <v>0</v>
      </c>
      <c r="AB655" t="s">
        <v>60</v>
      </c>
      <c r="AC655" t="s">
        <v>61</v>
      </c>
      <c r="AD655">
        <v>0</v>
      </c>
      <c r="AE655" s="2">
        <v>0</v>
      </c>
      <c r="AF655" s="2">
        <v>0</v>
      </c>
      <c r="AG655" s="3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45957</v>
      </c>
      <c r="B656" t="s">
        <v>48</v>
      </c>
      <c r="C656">
        <v>649163</v>
      </c>
      <c r="D656">
        <v>2030697180</v>
      </c>
      <c r="E656" t="s">
        <v>193</v>
      </c>
      <c r="F656" t="s">
        <v>194</v>
      </c>
      <c r="G656" t="s">
        <v>51</v>
      </c>
      <c r="H656" t="s">
        <v>195</v>
      </c>
      <c r="I656" s="2">
        <v>89</v>
      </c>
      <c r="J656" t="s">
        <v>59</v>
      </c>
      <c r="K656" s="4">
        <v>0.375</v>
      </c>
      <c r="L656" s="2">
        <v>33.380000000000003</v>
      </c>
      <c r="M656" s="2">
        <v>0</v>
      </c>
      <c r="N656" s="2">
        <v>0</v>
      </c>
      <c r="O656" t="s">
        <v>378</v>
      </c>
      <c r="P656" t="s">
        <v>379</v>
      </c>
      <c r="Q656">
        <v>885445</v>
      </c>
      <c r="R656" t="s">
        <v>196</v>
      </c>
      <c r="S656" t="s">
        <v>197</v>
      </c>
      <c r="T656" t="s">
        <v>57</v>
      </c>
      <c r="U656" s="1">
        <v>45901</v>
      </c>
      <c r="W656" s="1">
        <v>45992</v>
      </c>
      <c r="X656">
        <v>1</v>
      </c>
      <c r="Y656" t="s">
        <v>58</v>
      </c>
      <c r="Z656" s="2">
        <v>0</v>
      </c>
      <c r="AA656">
        <v>0</v>
      </c>
      <c r="AB656" t="s">
        <v>60</v>
      </c>
      <c r="AC656" t="s">
        <v>61</v>
      </c>
      <c r="AD656">
        <v>0</v>
      </c>
      <c r="AE656" s="2">
        <v>0</v>
      </c>
      <c r="AF656" s="2">
        <v>0</v>
      </c>
      <c r="AG656" s="3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45957</v>
      </c>
      <c r="B657" t="s">
        <v>48</v>
      </c>
      <c r="C657">
        <v>649163</v>
      </c>
      <c r="D657">
        <v>2030717366</v>
      </c>
      <c r="E657" t="s">
        <v>617</v>
      </c>
      <c r="F657" t="s">
        <v>966</v>
      </c>
      <c r="G657" t="s">
        <v>51</v>
      </c>
      <c r="H657" t="s">
        <v>64</v>
      </c>
      <c r="I657" s="2">
        <v>55.85</v>
      </c>
      <c r="J657" t="s">
        <v>59</v>
      </c>
      <c r="K657" s="4">
        <v>0.375</v>
      </c>
      <c r="L657" s="2">
        <v>20.94</v>
      </c>
      <c r="M657" s="2">
        <v>0</v>
      </c>
      <c r="N657" s="2">
        <v>0</v>
      </c>
      <c r="O657" t="s">
        <v>378</v>
      </c>
      <c r="P657" t="s">
        <v>379</v>
      </c>
      <c r="Q657">
        <v>856163</v>
      </c>
      <c r="R657" t="s">
        <v>70</v>
      </c>
      <c r="S657" t="s">
        <v>71</v>
      </c>
      <c r="T657" t="s">
        <v>57</v>
      </c>
      <c r="U657" s="1">
        <v>45901</v>
      </c>
      <c r="W657" s="1">
        <v>45992</v>
      </c>
      <c r="X657">
        <v>1</v>
      </c>
      <c r="Y657" t="s">
        <v>58</v>
      </c>
      <c r="Z657" s="2">
        <v>0</v>
      </c>
      <c r="AA657">
        <v>0</v>
      </c>
      <c r="AB657" t="s">
        <v>60</v>
      </c>
      <c r="AC657" t="s">
        <v>61</v>
      </c>
      <c r="AD657">
        <v>0</v>
      </c>
      <c r="AE657" s="2">
        <v>0</v>
      </c>
      <c r="AF657" s="2">
        <v>0</v>
      </c>
      <c r="AG657" s="3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45957</v>
      </c>
      <c r="B658" t="s">
        <v>48</v>
      </c>
      <c r="C658">
        <v>649163</v>
      </c>
      <c r="D658">
        <v>2030720374</v>
      </c>
      <c r="E658" t="s">
        <v>202</v>
      </c>
      <c r="F658" t="s">
        <v>203</v>
      </c>
      <c r="G658" t="s">
        <v>51</v>
      </c>
      <c r="H658" t="s">
        <v>92</v>
      </c>
      <c r="I658" s="2">
        <v>54.2</v>
      </c>
      <c r="J658" t="s">
        <v>59</v>
      </c>
      <c r="K658" s="4">
        <v>0.375</v>
      </c>
      <c r="L658" s="2">
        <v>20.32</v>
      </c>
      <c r="M658" s="2">
        <v>0</v>
      </c>
      <c r="N658" s="2">
        <v>0</v>
      </c>
      <c r="O658" t="s">
        <v>378</v>
      </c>
      <c r="P658" t="s">
        <v>379</v>
      </c>
      <c r="Q658">
        <v>816021</v>
      </c>
      <c r="R658" t="s">
        <v>93</v>
      </c>
      <c r="S658" t="s">
        <v>94</v>
      </c>
      <c r="T658" t="s">
        <v>57</v>
      </c>
      <c r="U658" s="1">
        <v>45901</v>
      </c>
      <c r="W658" s="1">
        <v>45992</v>
      </c>
      <c r="X658">
        <v>1</v>
      </c>
      <c r="Y658" t="s">
        <v>58</v>
      </c>
      <c r="Z658" s="2">
        <v>0</v>
      </c>
      <c r="AA658">
        <v>0</v>
      </c>
      <c r="AB658" t="s">
        <v>60</v>
      </c>
      <c r="AC658" t="s">
        <v>61</v>
      </c>
      <c r="AD658">
        <v>0</v>
      </c>
      <c r="AE658" s="2">
        <v>0</v>
      </c>
      <c r="AF658" s="2">
        <v>0</v>
      </c>
      <c r="AG658" s="3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45957</v>
      </c>
      <c r="B659" t="s">
        <v>48</v>
      </c>
      <c r="C659">
        <v>649163</v>
      </c>
      <c r="D659">
        <v>2030751664</v>
      </c>
      <c r="E659" t="s">
        <v>967</v>
      </c>
      <c r="F659" t="s">
        <v>968</v>
      </c>
      <c r="G659" t="s">
        <v>51</v>
      </c>
      <c r="H659" t="s">
        <v>261</v>
      </c>
      <c r="I659" s="2">
        <v>22.34</v>
      </c>
      <c r="J659" t="s">
        <v>59</v>
      </c>
      <c r="K659" s="4">
        <v>0.375</v>
      </c>
      <c r="L659" s="2">
        <v>8.3800000000000008</v>
      </c>
      <c r="M659" s="2">
        <v>0</v>
      </c>
      <c r="N659" s="2">
        <v>0</v>
      </c>
      <c r="O659" t="s">
        <v>378</v>
      </c>
      <c r="P659" t="s">
        <v>379</v>
      </c>
      <c r="Q659">
        <v>673059</v>
      </c>
      <c r="R659" t="s">
        <v>55</v>
      </c>
      <c r="S659" t="s">
        <v>56</v>
      </c>
      <c r="T659" t="s">
        <v>57</v>
      </c>
      <c r="U659" s="1">
        <v>45898</v>
      </c>
      <c r="W659" s="1">
        <v>45990</v>
      </c>
      <c r="X659">
        <v>1</v>
      </c>
      <c r="Y659" t="s">
        <v>58</v>
      </c>
      <c r="Z659" s="2">
        <v>0</v>
      </c>
      <c r="AA659">
        <v>0</v>
      </c>
      <c r="AB659" t="s">
        <v>60</v>
      </c>
      <c r="AC659" t="s">
        <v>61</v>
      </c>
      <c r="AD659">
        <v>0</v>
      </c>
      <c r="AE659" s="2">
        <v>0</v>
      </c>
      <c r="AF659" s="2">
        <v>0</v>
      </c>
      <c r="AG659" s="3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45957</v>
      </c>
      <c r="B660" t="s">
        <v>48</v>
      </c>
      <c r="C660">
        <v>649163</v>
      </c>
      <c r="D660">
        <v>2030779467</v>
      </c>
      <c r="E660" t="s">
        <v>220</v>
      </c>
      <c r="F660" t="s">
        <v>221</v>
      </c>
      <c r="G660" t="s">
        <v>51</v>
      </c>
      <c r="H660" t="s">
        <v>92</v>
      </c>
      <c r="I660" s="2">
        <v>54.57</v>
      </c>
      <c r="J660" t="s">
        <v>59</v>
      </c>
      <c r="K660" s="4">
        <v>0.375</v>
      </c>
      <c r="L660" s="2">
        <v>20.46</v>
      </c>
      <c r="M660" s="2">
        <v>0</v>
      </c>
      <c r="N660" s="2">
        <v>0</v>
      </c>
      <c r="O660" t="s">
        <v>378</v>
      </c>
      <c r="P660" t="s">
        <v>379</v>
      </c>
      <c r="Q660">
        <v>816021</v>
      </c>
      <c r="R660" t="s">
        <v>93</v>
      </c>
      <c r="S660" t="s">
        <v>94</v>
      </c>
      <c r="T660" t="s">
        <v>57</v>
      </c>
      <c r="U660" s="1">
        <v>45901</v>
      </c>
      <c r="W660" s="1">
        <v>45992</v>
      </c>
      <c r="X660">
        <v>1</v>
      </c>
      <c r="Y660" t="s">
        <v>58</v>
      </c>
      <c r="Z660" s="2">
        <v>0</v>
      </c>
      <c r="AA660">
        <v>0</v>
      </c>
      <c r="AB660" t="s">
        <v>60</v>
      </c>
      <c r="AC660" t="s">
        <v>61</v>
      </c>
      <c r="AD660">
        <v>0</v>
      </c>
      <c r="AE660" s="2">
        <v>0</v>
      </c>
      <c r="AF660" s="2">
        <v>0</v>
      </c>
      <c r="AG660" s="3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45957</v>
      </c>
      <c r="B661" t="s">
        <v>48</v>
      </c>
      <c r="C661">
        <v>649163</v>
      </c>
      <c r="D661">
        <v>2030784685</v>
      </c>
      <c r="E661" t="s">
        <v>222</v>
      </c>
      <c r="F661" t="s">
        <v>223</v>
      </c>
      <c r="G661" t="s">
        <v>51</v>
      </c>
      <c r="H661" t="s">
        <v>101</v>
      </c>
      <c r="I661" s="2">
        <v>171.32</v>
      </c>
      <c r="J661" t="s">
        <v>59</v>
      </c>
      <c r="K661" s="4">
        <v>0.375</v>
      </c>
      <c r="L661" s="2">
        <v>64.239999999999995</v>
      </c>
      <c r="M661" s="2">
        <v>0</v>
      </c>
      <c r="N661" s="2">
        <v>0</v>
      </c>
      <c r="O661" t="s">
        <v>378</v>
      </c>
      <c r="P661" t="s">
        <v>379</v>
      </c>
      <c r="Q661">
        <v>823350</v>
      </c>
      <c r="R661" t="s">
        <v>70</v>
      </c>
      <c r="S661" t="s">
        <v>183</v>
      </c>
      <c r="T661" t="s">
        <v>57</v>
      </c>
      <c r="U661" s="1">
        <v>45901</v>
      </c>
      <c r="W661" s="1">
        <v>45992</v>
      </c>
      <c r="X661">
        <v>1</v>
      </c>
      <c r="Y661" t="s">
        <v>58</v>
      </c>
      <c r="Z661" s="2">
        <v>0</v>
      </c>
      <c r="AA661">
        <v>0</v>
      </c>
      <c r="AB661" t="s">
        <v>60</v>
      </c>
      <c r="AC661" t="s">
        <v>61</v>
      </c>
      <c r="AD661">
        <v>0</v>
      </c>
      <c r="AE661" s="2">
        <v>0</v>
      </c>
      <c r="AF661" s="2">
        <v>0</v>
      </c>
      <c r="AG661" s="3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45957</v>
      </c>
      <c r="B662" t="s">
        <v>48</v>
      </c>
      <c r="C662">
        <v>649163</v>
      </c>
      <c r="D662">
        <v>2030788954</v>
      </c>
      <c r="E662" t="s">
        <v>224</v>
      </c>
      <c r="F662" t="s">
        <v>225</v>
      </c>
      <c r="G662" t="s">
        <v>51</v>
      </c>
      <c r="H662" t="s">
        <v>92</v>
      </c>
      <c r="I662" s="2">
        <v>29.82</v>
      </c>
      <c r="J662" t="s">
        <v>59</v>
      </c>
      <c r="K662" s="4">
        <v>0.375</v>
      </c>
      <c r="L662" s="2">
        <v>11.18</v>
      </c>
      <c r="M662" s="2">
        <v>0</v>
      </c>
      <c r="N662" s="2">
        <v>0</v>
      </c>
      <c r="O662" t="s">
        <v>378</v>
      </c>
      <c r="P662" t="s">
        <v>379</v>
      </c>
      <c r="Q662">
        <v>816021</v>
      </c>
      <c r="R662" t="s">
        <v>93</v>
      </c>
      <c r="S662" t="s">
        <v>94</v>
      </c>
      <c r="T662" t="s">
        <v>57</v>
      </c>
      <c r="U662" s="1">
        <v>45901</v>
      </c>
      <c r="W662" s="1">
        <v>45992</v>
      </c>
      <c r="X662">
        <v>1</v>
      </c>
      <c r="Y662" t="s">
        <v>58</v>
      </c>
      <c r="Z662" s="2">
        <v>0</v>
      </c>
      <c r="AA662">
        <v>0</v>
      </c>
      <c r="AB662" t="s">
        <v>60</v>
      </c>
      <c r="AC662" t="s">
        <v>61</v>
      </c>
      <c r="AD662">
        <v>0</v>
      </c>
      <c r="AE662" s="2">
        <v>0</v>
      </c>
      <c r="AF662" s="2">
        <v>0</v>
      </c>
      <c r="AG662" s="3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45957</v>
      </c>
      <c r="B663" t="s">
        <v>48</v>
      </c>
      <c r="C663">
        <v>649163</v>
      </c>
      <c r="D663">
        <v>2030790525</v>
      </c>
      <c r="E663" t="s">
        <v>226</v>
      </c>
      <c r="F663" t="s">
        <v>227</v>
      </c>
      <c r="G663" t="s">
        <v>51</v>
      </c>
      <c r="H663" t="s">
        <v>69</v>
      </c>
      <c r="I663" s="2">
        <v>77.48</v>
      </c>
      <c r="J663" t="s">
        <v>59</v>
      </c>
      <c r="K663" s="4">
        <v>0.375</v>
      </c>
      <c r="L663" s="2">
        <v>29.06</v>
      </c>
      <c r="M663" s="2">
        <v>0</v>
      </c>
      <c r="N663" s="2">
        <v>0</v>
      </c>
      <c r="O663" t="s">
        <v>378</v>
      </c>
      <c r="P663" t="s">
        <v>379</v>
      </c>
      <c r="Q663">
        <v>812994</v>
      </c>
      <c r="R663" t="s">
        <v>228</v>
      </c>
      <c r="S663" t="s">
        <v>229</v>
      </c>
      <c r="T663" t="s">
        <v>57</v>
      </c>
      <c r="U663" s="1">
        <v>45901</v>
      </c>
      <c r="W663" s="1">
        <v>45992</v>
      </c>
      <c r="X663">
        <v>1</v>
      </c>
      <c r="Y663" t="s">
        <v>58</v>
      </c>
      <c r="Z663" s="2">
        <v>0</v>
      </c>
      <c r="AA663">
        <v>0</v>
      </c>
      <c r="AB663" t="s">
        <v>60</v>
      </c>
      <c r="AC663" t="s">
        <v>61</v>
      </c>
      <c r="AD663">
        <v>0</v>
      </c>
      <c r="AE663" s="2">
        <v>0</v>
      </c>
      <c r="AF663" s="2">
        <v>0</v>
      </c>
      <c r="AG663" s="3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45957</v>
      </c>
      <c r="B664" t="s">
        <v>48</v>
      </c>
      <c r="C664">
        <v>649163</v>
      </c>
      <c r="D664">
        <v>2030791103</v>
      </c>
      <c r="E664" t="s">
        <v>192</v>
      </c>
      <c r="F664" t="s">
        <v>557</v>
      </c>
      <c r="G664" t="s">
        <v>51</v>
      </c>
      <c r="H664" t="s">
        <v>195</v>
      </c>
      <c r="I664" s="2">
        <v>36.11</v>
      </c>
      <c r="J664" t="s">
        <v>59</v>
      </c>
      <c r="K664" s="4">
        <v>0.375</v>
      </c>
      <c r="L664" s="2">
        <v>13.54</v>
      </c>
      <c r="M664" s="2">
        <v>0</v>
      </c>
      <c r="N664" s="2">
        <v>0</v>
      </c>
      <c r="O664" t="s">
        <v>378</v>
      </c>
      <c r="P664" t="s">
        <v>379</v>
      </c>
      <c r="Q664">
        <v>885445</v>
      </c>
      <c r="R664" t="s">
        <v>196</v>
      </c>
      <c r="S664" t="s">
        <v>197</v>
      </c>
      <c r="T664" t="s">
        <v>57</v>
      </c>
      <c r="U664" s="1">
        <v>45901</v>
      </c>
      <c r="W664" s="1">
        <v>45992</v>
      </c>
      <c r="X664">
        <v>1</v>
      </c>
      <c r="Y664" t="s">
        <v>58</v>
      </c>
      <c r="Z664" s="2">
        <v>0</v>
      </c>
      <c r="AA664">
        <v>0</v>
      </c>
      <c r="AB664" t="s">
        <v>60</v>
      </c>
      <c r="AC664" t="s">
        <v>61</v>
      </c>
      <c r="AD664">
        <v>0</v>
      </c>
      <c r="AE664" s="2">
        <v>0</v>
      </c>
      <c r="AF664" s="2">
        <v>0</v>
      </c>
      <c r="AG664" s="3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45957</v>
      </c>
      <c r="B665" t="s">
        <v>48</v>
      </c>
      <c r="C665">
        <v>649163</v>
      </c>
      <c r="D665">
        <v>2030801743</v>
      </c>
      <c r="E665" t="s">
        <v>812</v>
      </c>
      <c r="F665" t="s">
        <v>813</v>
      </c>
      <c r="G665" t="s">
        <v>51</v>
      </c>
      <c r="H665" t="s">
        <v>129</v>
      </c>
      <c r="I665" s="2">
        <v>38.39</v>
      </c>
      <c r="J665" t="s">
        <v>59</v>
      </c>
      <c r="K665" s="4">
        <v>0.375</v>
      </c>
      <c r="L665" s="2">
        <v>14.4</v>
      </c>
      <c r="M665" s="2">
        <v>0</v>
      </c>
      <c r="N665" s="2">
        <v>0</v>
      </c>
      <c r="O665" t="s">
        <v>378</v>
      </c>
      <c r="P665" t="s">
        <v>379</v>
      </c>
      <c r="Q665">
        <v>874230</v>
      </c>
      <c r="R665" t="s">
        <v>130</v>
      </c>
      <c r="S665" t="s">
        <v>131</v>
      </c>
      <c r="T665" t="s">
        <v>57</v>
      </c>
      <c r="U665" s="1">
        <v>45901</v>
      </c>
      <c r="W665" s="1">
        <v>45992</v>
      </c>
      <c r="X665">
        <v>1</v>
      </c>
      <c r="Y665" t="s">
        <v>58</v>
      </c>
      <c r="Z665" s="2">
        <v>0</v>
      </c>
      <c r="AA665">
        <v>0</v>
      </c>
      <c r="AB665" t="s">
        <v>60</v>
      </c>
      <c r="AC665" t="s">
        <v>61</v>
      </c>
      <c r="AD665">
        <v>0</v>
      </c>
      <c r="AE665" s="2">
        <v>0</v>
      </c>
      <c r="AF665" s="2">
        <v>0</v>
      </c>
      <c r="AG665" s="3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45957</v>
      </c>
      <c r="B666" t="s">
        <v>48</v>
      </c>
      <c r="C666">
        <v>649163</v>
      </c>
      <c r="D666">
        <v>2030801811</v>
      </c>
      <c r="E666" t="s">
        <v>232</v>
      </c>
      <c r="F666" t="s">
        <v>233</v>
      </c>
      <c r="G666" t="s">
        <v>51</v>
      </c>
      <c r="H666" t="s">
        <v>234</v>
      </c>
      <c r="I666" s="2">
        <v>14.76</v>
      </c>
      <c r="J666" t="s">
        <v>59</v>
      </c>
      <c r="K666" s="4">
        <v>0.375</v>
      </c>
      <c r="L666" s="2">
        <v>5.54</v>
      </c>
      <c r="M666" s="2">
        <v>0</v>
      </c>
      <c r="N666" s="2">
        <v>0</v>
      </c>
      <c r="O666" t="s">
        <v>378</v>
      </c>
      <c r="P666" t="s">
        <v>379</v>
      </c>
      <c r="Q666">
        <v>652037</v>
      </c>
      <c r="R666" t="s">
        <v>155</v>
      </c>
      <c r="S666" t="s">
        <v>156</v>
      </c>
      <c r="T666" t="s">
        <v>57</v>
      </c>
      <c r="U666" s="1">
        <v>45901</v>
      </c>
      <c r="W666" s="1">
        <v>45992</v>
      </c>
      <c r="X666">
        <v>1</v>
      </c>
      <c r="Y666" t="s">
        <v>58</v>
      </c>
      <c r="Z666" s="2">
        <v>0</v>
      </c>
      <c r="AA666">
        <v>0</v>
      </c>
      <c r="AB666" t="s">
        <v>60</v>
      </c>
      <c r="AC666" t="s">
        <v>61</v>
      </c>
      <c r="AD666">
        <v>0</v>
      </c>
      <c r="AE666" s="2">
        <v>0</v>
      </c>
      <c r="AF666" s="2">
        <v>0</v>
      </c>
      <c r="AG666" s="3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45957</v>
      </c>
      <c r="B667" t="s">
        <v>48</v>
      </c>
      <c r="C667">
        <v>649163</v>
      </c>
      <c r="D667">
        <v>2030823303</v>
      </c>
      <c r="E667" t="s">
        <v>235</v>
      </c>
      <c r="F667" t="s">
        <v>236</v>
      </c>
      <c r="G667" t="s">
        <v>51</v>
      </c>
      <c r="H667" t="s">
        <v>52</v>
      </c>
      <c r="I667" s="2">
        <v>65.2</v>
      </c>
      <c r="J667" t="s">
        <v>238</v>
      </c>
      <c r="K667" s="4">
        <v>0.375</v>
      </c>
      <c r="L667" s="2">
        <v>24.45</v>
      </c>
      <c r="M667" s="2">
        <v>0</v>
      </c>
      <c r="N667" s="2">
        <v>0</v>
      </c>
      <c r="O667" t="s">
        <v>378</v>
      </c>
      <c r="P667" t="s">
        <v>379</v>
      </c>
      <c r="Q667">
        <v>767312</v>
      </c>
      <c r="R667" t="s">
        <v>237</v>
      </c>
      <c r="S667" t="s">
        <v>103</v>
      </c>
      <c r="T667" t="s">
        <v>57</v>
      </c>
      <c r="U667" s="1">
        <v>45927</v>
      </c>
      <c r="W667" s="1">
        <v>45988</v>
      </c>
      <c r="X667">
        <v>1</v>
      </c>
      <c r="Y667" t="s">
        <v>58</v>
      </c>
      <c r="Z667" s="2">
        <v>0</v>
      </c>
      <c r="AA667">
        <v>0</v>
      </c>
      <c r="AB667" t="s">
        <v>60</v>
      </c>
      <c r="AC667" t="s">
        <v>61</v>
      </c>
      <c r="AD667">
        <v>0</v>
      </c>
      <c r="AE667" s="2">
        <v>0</v>
      </c>
      <c r="AF667" s="2">
        <v>0</v>
      </c>
      <c r="AG667" s="3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45957</v>
      </c>
      <c r="B668" t="s">
        <v>48</v>
      </c>
      <c r="C668">
        <v>649163</v>
      </c>
      <c r="D668">
        <v>2030857318</v>
      </c>
      <c r="E668" t="s">
        <v>239</v>
      </c>
      <c r="F668" t="s">
        <v>240</v>
      </c>
      <c r="G668" t="s">
        <v>51</v>
      </c>
      <c r="H668" t="s">
        <v>234</v>
      </c>
      <c r="I668" s="2">
        <v>53.29</v>
      </c>
      <c r="J668" t="s">
        <v>59</v>
      </c>
      <c r="K668" s="4">
        <v>0.375</v>
      </c>
      <c r="L668" s="2">
        <v>19.98</v>
      </c>
      <c r="M668" s="2">
        <v>0</v>
      </c>
      <c r="N668" s="2">
        <v>0</v>
      </c>
      <c r="O668" t="s">
        <v>378</v>
      </c>
      <c r="P668" t="s">
        <v>379</v>
      </c>
      <c r="Q668">
        <v>756418</v>
      </c>
      <c r="R668" t="s">
        <v>191</v>
      </c>
      <c r="S668" t="s">
        <v>192</v>
      </c>
      <c r="T668" t="s">
        <v>57</v>
      </c>
      <c r="U668" s="1">
        <v>45904</v>
      </c>
      <c r="W668" s="1">
        <v>45965</v>
      </c>
      <c r="X668">
        <v>1</v>
      </c>
      <c r="Y668" t="s">
        <v>58</v>
      </c>
      <c r="Z668" s="2">
        <v>0</v>
      </c>
      <c r="AA668">
        <v>0</v>
      </c>
      <c r="AB668" t="s">
        <v>60</v>
      </c>
      <c r="AC668" t="s">
        <v>61</v>
      </c>
      <c r="AD668">
        <v>0</v>
      </c>
      <c r="AE668" s="2">
        <v>0</v>
      </c>
      <c r="AF668" s="2">
        <v>0</v>
      </c>
      <c r="AG668" s="3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45957</v>
      </c>
      <c r="B669" t="s">
        <v>48</v>
      </c>
      <c r="C669">
        <v>649163</v>
      </c>
      <c r="D669">
        <v>2031190207</v>
      </c>
      <c r="E669" t="s">
        <v>245</v>
      </c>
      <c r="F669" t="s">
        <v>246</v>
      </c>
      <c r="G669" t="s">
        <v>51</v>
      </c>
      <c r="H669" t="s">
        <v>247</v>
      </c>
      <c r="I669" s="2">
        <v>63.74</v>
      </c>
      <c r="J669" t="s">
        <v>238</v>
      </c>
      <c r="K669" s="4">
        <v>0.375</v>
      </c>
      <c r="L669" s="2">
        <v>23.9</v>
      </c>
      <c r="M669" s="2">
        <v>0</v>
      </c>
      <c r="N669" s="2">
        <v>0</v>
      </c>
      <c r="O669" t="s">
        <v>378</v>
      </c>
      <c r="P669" t="s">
        <v>379</v>
      </c>
      <c r="Q669">
        <v>823350</v>
      </c>
      <c r="R669" t="s">
        <v>70</v>
      </c>
      <c r="S669" t="s">
        <v>183</v>
      </c>
      <c r="T669" t="s">
        <v>57</v>
      </c>
      <c r="U669" s="1">
        <v>45925</v>
      </c>
      <c r="W669" s="1">
        <v>45986</v>
      </c>
      <c r="X669">
        <v>1</v>
      </c>
      <c r="Y669" t="s">
        <v>58</v>
      </c>
      <c r="Z669" s="2">
        <v>0</v>
      </c>
      <c r="AA669">
        <v>0</v>
      </c>
      <c r="AB669" t="s">
        <v>60</v>
      </c>
      <c r="AC669" t="s">
        <v>61</v>
      </c>
      <c r="AD669">
        <v>0</v>
      </c>
      <c r="AE669" s="2">
        <v>0</v>
      </c>
      <c r="AF669" s="2">
        <v>0</v>
      </c>
      <c r="AG669" s="3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45957</v>
      </c>
      <c r="B670" t="s">
        <v>48</v>
      </c>
      <c r="C670">
        <v>649163</v>
      </c>
      <c r="D670">
        <v>2031249950</v>
      </c>
      <c r="E670" t="s">
        <v>250</v>
      </c>
      <c r="F670" t="s">
        <v>98</v>
      </c>
      <c r="G670" t="s">
        <v>51</v>
      </c>
      <c r="H670" t="s">
        <v>69</v>
      </c>
      <c r="I670" s="2">
        <v>53.87</v>
      </c>
      <c r="J670" t="s">
        <v>238</v>
      </c>
      <c r="K670" s="4">
        <v>0.375</v>
      </c>
      <c r="L670" s="2">
        <v>20.2</v>
      </c>
      <c r="M670" s="2">
        <v>0</v>
      </c>
      <c r="N670" s="2">
        <v>0</v>
      </c>
      <c r="O670" t="s">
        <v>378</v>
      </c>
      <c r="P670" t="s">
        <v>379</v>
      </c>
      <c r="Q670">
        <v>756803</v>
      </c>
      <c r="R670" t="s">
        <v>251</v>
      </c>
      <c r="S670" t="s">
        <v>252</v>
      </c>
      <c r="T670" t="s">
        <v>57</v>
      </c>
      <c r="U670" s="1">
        <v>45925</v>
      </c>
      <c r="W670" s="1">
        <v>45986</v>
      </c>
      <c r="X670">
        <v>1</v>
      </c>
      <c r="Y670" t="s">
        <v>58</v>
      </c>
      <c r="Z670" s="2">
        <v>0</v>
      </c>
      <c r="AA670">
        <v>0</v>
      </c>
      <c r="AB670" t="s">
        <v>60</v>
      </c>
      <c r="AC670" t="s">
        <v>61</v>
      </c>
      <c r="AD670">
        <v>0</v>
      </c>
      <c r="AE670" s="2">
        <v>0</v>
      </c>
      <c r="AF670" s="2">
        <v>0</v>
      </c>
      <c r="AG670" s="3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45957</v>
      </c>
      <c r="B671" t="s">
        <v>48</v>
      </c>
      <c r="C671">
        <v>649163</v>
      </c>
      <c r="D671">
        <v>2031255007</v>
      </c>
      <c r="E671" t="s">
        <v>253</v>
      </c>
      <c r="F671" t="s">
        <v>254</v>
      </c>
      <c r="G671" t="s">
        <v>51</v>
      </c>
      <c r="H671" t="s">
        <v>69</v>
      </c>
      <c r="I671" s="2">
        <v>257.49</v>
      </c>
      <c r="J671" t="s">
        <v>238</v>
      </c>
      <c r="K671" s="4">
        <v>0.375</v>
      </c>
      <c r="L671" s="2">
        <v>96.56</v>
      </c>
      <c r="M671" s="2">
        <v>0</v>
      </c>
      <c r="N671" s="2">
        <v>0</v>
      </c>
      <c r="O671" t="s">
        <v>378</v>
      </c>
      <c r="P671" t="s">
        <v>379</v>
      </c>
      <c r="Q671">
        <v>812994</v>
      </c>
      <c r="R671" t="s">
        <v>228</v>
      </c>
      <c r="S671" t="s">
        <v>229</v>
      </c>
      <c r="T671" t="s">
        <v>57</v>
      </c>
      <c r="U671" s="1">
        <v>45925</v>
      </c>
      <c r="W671" s="1">
        <v>45986</v>
      </c>
      <c r="X671">
        <v>1</v>
      </c>
      <c r="Y671" t="s">
        <v>58</v>
      </c>
      <c r="Z671" s="2">
        <v>0</v>
      </c>
      <c r="AA671">
        <v>0</v>
      </c>
      <c r="AB671" t="s">
        <v>60</v>
      </c>
      <c r="AC671" t="s">
        <v>61</v>
      </c>
      <c r="AD671">
        <v>0</v>
      </c>
      <c r="AE671" s="2">
        <v>0</v>
      </c>
      <c r="AF671" s="2">
        <v>0</v>
      </c>
      <c r="AG671" s="3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45957</v>
      </c>
      <c r="B672" t="s">
        <v>48</v>
      </c>
      <c r="C672">
        <v>649163</v>
      </c>
      <c r="D672">
        <v>2025246361</v>
      </c>
      <c r="E672" t="s">
        <v>662</v>
      </c>
      <c r="F672" t="s">
        <v>663</v>
      </c>
      <c r="G672" t="s">
        <v>51</v>
      </c>
      <c r="H672" t="s">
        <v>195</v>
      </c>
      <c r="I672" s="2">
        <v>15</v>
      </c>
      <c r="J672" t="s">
        <v>59</v>
      </c>
      <c r="K672" s="3">
        <v>0.1</v>
      </c>
      <c r="L672" s="2">
        <v>0</v>
      </c>
      <c r="M672" s="2">
        <v>1.5</v>
      </c>
      <c r="N672" s="2">
        <v>1.5</v>
      </c>
      <c r="O672" t="s">
        <v>361</v>
      </c>
      <c r="P672" t="s">
        <v>362</v>
      </c>
      <c r="Q672">
        <v>650218</v>
      </c>
      <c r="R672" t="s">
        <v>357</v>
      </c>
      <c r="S672" t="s">
        <v>358</v>
      </c>
      <c r="T672" t="s">
        <v>57</v>
      </c>
      <c r="U672" s="1">
        <v>45597</v>
      </c>
      <c r="W672" s="1">
        <v>45992</v>
      </c>
      <c r="X672">
        <v>1</v>
      </c>
      <c r="Y672" t="s">
        <v>58</v>
      </c>
      <c r="Z672" s="2">
        <v>0</v>
      </c>
      <c r="AA672">
        <v>0</v>
      </c>
      <c r="AB672" t="s">
        <v>264</v>
      </c>
      <c r="AC672" t="s">
        <v>61</v>
      </c>
      <c r="AD672">
        <v>0</v>
      </c>
      <c r="AE672" s="2">
        <v>0</v>
      </c>
      <c r="AF672" s="2">
        <v>0</v>
      </c>
      <c r="AG672" s="3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8" x14ac:dyDescent="0.25">
      <c r="A673" s="1">
        <v>45957</v>
      </c>
      <c r="B673" t="s">
        <v>48</v>
      </c>
      <c r="C673">
        <v>649163</v>
      </c>
      <c r="D673">
        <v>2025320100</v>
      </c>
      <c r="E673" t="s">
        <v>666</v>
      </c>
      <c r="F673" t="s">
        <v>651</v>
      </c>
      <c r="G673" t="s">
        <v>51</v>
      </c>
      <c r="H673" t="s">
        <v>195</v>
      </c>
      <c r="I673" s="2">
        <v>15</v>
      </c>
      <c r="J673" t="s">
        <v>59</v>
      </c>
      <c r="K673" s="3">
        <v>0.1</v>
      </c>
      <c r="L673" s="2">
        <v>0</v>
      </c>
      <c r="M673" s="2">
        <v>1.5</v>
      </c>
      <c r="N673" s="2">
        <v>1.5</v>
      </c>
      <c r="O673" t="s">
        <v>361</v>
      </c>
      <c r="P673" t="s">
        <v>362</v>
      </c>
      <c r="Q673">
        <v>650218</v>
      </c>
      <c r="R673" t="s">
        <v>357</v>
      </c>
      <c r="S673" t="s">
        <v>358</v>
      </c>
      <c r="T673" t="s">
        <v>57</v>
      </c>
      <c r="U673" s="1">
        <v>45597</v>
      </c>
      <c r="W673" s="1">
        <v>45992</v>
      </c>
      <c r="X673">
        <v>1</v>
      </c>
      <c r="Y673" t="s">
        <v>58</v>
      </c>
      <c r="Z673" s="2">
        <v>0</v>
      </c>
      <c r="AA673">
        <v>0</v>
      </c>
      <c r="AB673" t="s">
        <v>264</v>
      </c>
      <c r="AC673" t="s">
        <v>61</v>
      </c>
      <c r="AD673">
        <v>0</v>
      </c>
      <c r="AE673" s="2">
        <v>0</v>
      </c>
      <c r="AF673" s="2">
        <v>0</v>
      </c>
      <c r="AG673" s="3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8" x14ac:dyDescent="0.25">
      <c r="A674" s="1">
        <v>45957</v>
      </c>
      <c r="B674" t="s">
        <v>48</v>
      </c>
      <c r="C674">
        <v>649163</v>
      </c>
      <c r="D674">
        <v>2025366543</v>
      </c>
      <c r="E674" t="s">
        <v>667</v>
      </c>
      <c r="F674" t="s">
        <v>668</v>
      </c>
      <c r="G674" t="s">
        <v>51</v>
      </c>
      <c r="H674" t="s">
        <v>234</v>
      </c>
      <c r="I674" s="2">
        <v>15</v>
      </c>
      <c r="J674" t="s">
        <v>59</v>
      </c>
      <c r="K674" s="3">
        <v>0.1</v>
      </c>
      <c r="L674" s="2">
        <v>0</v>
      </c>
      <c r="M674" s="2">
        <v>1.5</v>
      </c>
      <c r="N674" s="2">
        <v>1.5</v>
      </c>
      <c r="O674" t="s">
        <v>361</v>
      </c>
      <c r="P674" t="s">
        <v>362</v>
      </c>
      <c r="Q674">
        <v>756418</v>
      </c>
      <c r="R674" t="s">
        <v>191</v>
      </c>
      <c r="S674" t="s">
        <v>192</v>
      </c>
      <c r="T674" t="s">
        <v>57</v>
      </c>
      <c r="U674" s="1">
        <v>45597</v>
      </c>
      <c r="W674" s="1">
        <v>45992</v>
      </c>
      <c r="X674">
        <v>1</v>
      </c>
      <c r="Y674" t="s">
        <v>58</v>
      </c>
      <c r="Z674" s="2">
        <v>0</v>
      </c>
      <c r="AA674">
        <v>0</v>
      </c>
      <c r="AB674" t="s">
        <v>264</v>
      </c>
      <c r="AC674" t="s">
        <v>61</v>
      </c>
      <c r="AD674">
        <v>0</v>
      </c>
      <c r="AE674" s="2">
        <v>0</v>
      </c>
      <c r="AF674" s="2">
        <v>0</v>
      </c>
      <c r="AG674" s="3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8" x14ac:dyDescent="0.25">
      <c r="A675" s="1">
        <v>45957</v>
      </c>
      <c r="B675" t="s">
        <v>48</v>
      </c>
      <c r="C675">
        <v>649163</v>
      </c>
      <c r="D675">
        <v>2025541354</v>
      </c>
      <c r="E675" t="s">
        <v>672</v>
      </c>
      <c r="F675" t="s">
        <v>673</v>
      </c>
      <c r="G675" t="s">
        <v>51</v>
      </c>
      <c r="H675" t="s">
        <v>208</v>
      </c>
      <c r="I675" s="2">
        <v>15</v>
      </c>
      <c r="J675" t="s">
        <v>59</v>
      </c>
      <c r="K675" s="3">
        <v>0.1</v>
      </c>
      <c r="L675" s="2">
        <v>0</v>
      </c>
      <c r="M675" s="2">
        <v>1.5</v>
      </c>
      <c r="N675" s="2">
        <v>1.5</v>
      </c>
      <c r="O675" t="s">
        <v>361</v>
      </c>
      <c r="P675" t="s">
        <v>362</v>
      </c>
      <c r="Q675">
        <v>650218</v>
      </c>
      <c r="R675" t="s">
        <v>357</v>
      </c>
      <c r="S675" t="s">
        <v>358</v>
      </c>
      <c r="T675" t="s">
        <v>57</v>
      </c>
      <c r="U675" s="1">
        <v>45597</v>
      </c>
      <c r="W675" s="1">
        <v>45992</v>
      </c>
      <c r="X675">
        <v>1</v>
      </c>
      <c r="Y675" t="s">
        <v>58</v>
      </c>
      <c r="Z675" s="2">
        <v>0</v>
      </c>
      <c r="AA675">
        <v>0</v>
      </c>
      <c r="AB675" t="s">
        <v>264</v>
      </c>
      <c r="AC675" t="s">
        <v>61</v>
      </c>
      <c r="AD675">
        <v>0</v>
      </c>
      <c r="AE675" s="2">
        <v>0</v>
      </c>
      <c r="AF675" s="2">
        <v>0</v>
      </c>
      <c r="AG675" s="3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8" x14ac:dyDescent="0.25">
      <c r="A676" s="1">
        <v>45957</v>
      </c>
      <c r="B676" t="s">
        <v>48</v>
      </c>
      <c r="C676">
        <v>649163</v>
      </c>
      <c r="D676">
        <v>2025563320</v>
      </c>
      <c r="E676" t="s">
        <v>674</v>
      </c>
      <c r="F676" t="s">
        <v>675</v>
      </c>
      <c r="G676" t="s">
        <v>51</v>
      </c>
      <c r="H676" t="s">
        <v>78</v>
      </c>
      <c r="I676" s="2">
        <v>15</v>
      </c>
      <c r="J676" t="s">
        <v>59</v>
      </c>
      <c r="K676" s="3">
        <v>0.1</v>
      </c>
      <c r="L676" s="2">
        <v>0</v>
      </c>
      <c r="M676" s="2">
        <v>1.5</v>
      </c>
      <c r="N676" s="2">
        <v>1.5</v>
      </c>
      <c r="O676" t="s">
        <v>361</v>
      </c>
      <c r="P676" t="s">
        <v>362</v>
      </c>
      <c r="Q676">
        <v>650218</v>
      </c>
      <c r="R676" t="s">
        <v>357</v>
      </c>
      <c r="S676" t="s">
        <v>358</v>
      </c>
      <c r="T676" t="s">
        <v>57</v>
      </c>
      <c r="U676" s="1">
        <v>45597</v>
      </c>
      <c r="W676" s="1">
        <v>45992</v>
      </c>
      <c r="X676">
        <v>1</v>
      </c>
      <c r="Y676" t="s">
        <v>58</v>
      </c>
      <c r="Z676" s="2">
        <v>0</v>
      </c>
      <c r="AA676">
        <v>0</v>
      </c>
      <c r="AB676" t="s">
        <v>264</v>
      </c>
      <c r="AC676" t="s">
        <v>61</v>
      </c>
      <c r="AD676">
        <v>0</v>
      </c>
      <c r="AE676" s="2">
        <v>0</v>
      </c>
      <c r="AF676" s="2">
        <v>0</v>
      </c>
      <c r="AG676" s="3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8" x14ac:dyDescent="0.25">
      <c r="A677" s="1">
        <v>45957</v>
      </c>
      <c r="B677" t="s">
        <v>48</v>
      </c>
      <c r="C677">
        <v>649163</v>
      </c>
      <c r="D677">
        <v>2023882013</v>
      </c>
      <c r="E677" t="s">
        <v>267</v>
      </c>
      <c r="F677" t="s">
        <v>268</v>
      </c>
      <c r="G677" t="s">
        <v>51</v>
      </c>
      <c r="H677" t="s">
        <v>129</v>
      </c>
      <c r="I677" s="2">
        <v>15</v>
      </c>
      <c r="J677" t="s">
        <v>59</v>
      </c>
      <c r="K677" s="3">
        <v>0.19</v>
      </c>
      <c r="L677" s="2">
        <v>0</v>
      </c>
      <c r="M677" s="2">
        <v>2.85</v>
      </c>
      <c r="N677" s="2">
        <v>2.85</v>
      </c>
      <c r="O677" t="s">
        <v>361</v>
      </c>
      <c r="P677" t="s">
        <v>817</v>
      </c>
      <c r="Q677">
        <v>673059</v>
      </c>
      <c r="R677" t="s">
        <v>55</v>
      </c>
      <c r="S677" t="s">
        <v>56</v>
      </c>
      <c r="T677" t="s">
        <v>57</v>
      </c>
      <c r="U677" s="1">
        <v>45657</v>
      </c>
      <c r="W677" s="1">
        <v>45991</v>
      </c>
      <c r="X677">
        <v>1</v>
      </c>
      <c r="Y677" t="s">
        <v>58</v>
      </c>
      <c r="Z677" s="2">
        <v>0</v>
      </c>
      <c r="AA677">
        <v>0</v>
      </c>
      <c r="AB677" t="s">
        <v>60</v>
      </c>
      <c r="AC677" t="s">
        <v>61</v>
      </c>
      <c r="AD677">
        <v>0</v>
      </c>
      <c r="AE677" s="2">
        <v>0</v>
      </c>
      <c r="AF677" s="2">
        <v>0</v>
      </c>
      <c r="AG677" s="3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8" x14ac:dyDescent="0.25">
      <c r="A678" s="1">
        <v>45957</v>
      </c>
      <c r="B678" t="s">
        <v>48</v>
      </c>
      <c r="C678">
        <v>649163</v>
      </c>
      <c r="D678">
        <v>2023980079</v>
      </c>
      <c r="E678" t="s">
        <v>277</v>
      </c>
      <c r="F678" t="s">
        <v>278</v>
      </c>
      <c r="G678" t="s">
        <v>51</v>
      </c>
      <c r="H678" t="s">
        <v>129</v>
      </c>
      <c r="I678" s="2">
        <v>15</v>
      </c>
      <c r="J678" t="s">
        <v>59</v>
      </c>
      <c r="K678" s="3">
        <v>0.19</v>
      </c>
      <c r="L678" s="2">
        <v>0</v>
      </c>
      <c r="M678" s="2">
        <v>2.85</v>
      </c>
      <c r="N678" s="2">
        <v>2.85</v>
      </c>
      <c r="O678" t="s">
        <v>361</v>
      </c>
      <c r="P678" t="s">
        <v>817</v>
      </c>
      <c r="Q678">
        <v>673059</v>
      </c>
      <c r="R678" t="s">
        <v>55</v>
      </c>
      <c r="S678" t="s">
        <v>56</v>
      </c>
      <c r="T678" t="s">
        <v>57</v>
      </c>
      <c r="U678" s="1">
        <v>45657</v>
      </c>
      <c r="W678" s="1">
        <v>45991</v>
      </c>
      <c r="X678">
        <v>1</v>
      </c>
      <c r="Y678" t="s">
        <v>58</v>
      </c>
      <c r="Z678" s="2">
        <v>0</v>
      </c>
      <c r="AA678">
        <v>0</v>
      </c>
      <c r="AB678" t="s">
        <v>60</v>
      </c>
      <c r="AC678" t="s">
        <v>61</v>
      </c>
      <c r="AD678">
        <v>0</v>
      </c>
      <c r="AE678" s="2">
        <v>0</v>
      </c>
      <c r="AF678" s="2">
        <v>0</v>
      </c>
      <c r="AG678" s="3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8" x14ac:dyDescent="0.25">
      <c r="A679" s="1">
        <v>45957</v>
      </c>
      <c r="B679" t="s">
        <v>48</v>
      </c>
      <c r="C679">
        <v>649163</v>
      </c>
      <c r="D679">
        <v>2030674188</v>
      </c>
      <c r="E679" t="s">
        <v>301</v>
      </c>
      <c r="F679" t="s">
        <v>302</v>
      </c>
      <c r="G679" t="s">
        <v>51</v>
      </c>
      <c r="H679" t="s">
        <v>129</v>
      </c>
      <c r="I679" s="2">
        <v>15</v>
      </c>
      <c r="J679" t="s">
        <v>59</v>
      </c>
      <c r="K679" s="3">
        <v>0.19</v>
      </c>
      <c r="L679" s="2">
        <v>2.85</v>
      </c>
      <c r="M679" s="2">
        <v>0</v>
      </c>
      <c r="N679" s="2">
        <v>0</v>
      </c>
      <c r="O679" t="s">
        <v>361</v>
      </c>
      <c r="P679" t="s">
        <v>817</v>
      </c>
      <c r="Q679">
        <v>874230</v>
      </c>
      <c r="R679" t="s">
        <v>130</v>
      </c>
      <c r="S679" t="s">
        <v>131</v>
      </c>
      <c r="T679" t="s">
        <v>57</v>
      </c>
      <c r="U679" s="1">
        <v>45901</v>
      </c>
      <c r="W679" s="1">
        <v>45992</v>
      </c>
      <c r="X679">
        <v>1</v>
      </c>
      <c r="Y679" t="s">
        <v>58</v>
      </c>
      <c r="Z679" s="2">
        <v>0</v>
      </c>
      <c r="AA679">
        <v>0</v>
      </c>
      <c r="AB679" t="s">
        <v>60</v>
      </c>
      <c r="AC679" t="s">
        <v>61</v>
      </c>
      <c r="AD679">
        <v>0</v>
      </c>
      <c r="AE679" s="2">
        <v>0</v>
      </c>
      <c r="AF679" s="2">
        <v>0</v>
      </c>
      <c r="AG679" s="3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8" x14ac:dyDescent="0.25">
      <c r="A680" s="1">
        <v>45957</v>
      </c>
      <c r="B680" t="s">
        <v>48</v>
      </c>
      <c r="C680">
        <v>649163</v>
      </c>
      <c r="D680">
        <v>2030694349</v>
      </c>
      <c r="E680" t="s">
        <v>186</v>
      </c>
      <c r="F680" t="s">
        <v>187</v>
      </c>
      <c r="G680" t="s">
        <v>51</v>
      </c>
      <c r="H680" t="s">
        <v>129</v>
      </c>
      <c r="I680" s="2">
        <v>15</v>
      </c>
      <c r="J680" t="s">
        <v>59</v>
      </c>
      <c r="K680" s="3">
        <v>0.19</v>
      </c>
      <c r="L680" s="2">
        <v>2.85</v>
      </c>
      <c r="M680" s="2">
        <v>0</v>
      </c>
      <c r="N680" s="2">
        <v>0</v>
      </c>
      <c r="O680" t="s">
        <v>361</v>
      </c>
      <c r="P680" t="s">
        <v>817</v>
      </c>
      <c r="Q680">
        <v>874230</v>
      </c>
      <c r="R680" t="s">
        <v>130</v>
      </c>
      <c r="S680" t="s">
        <v>131</v>
      </c>
      <c r="T680" t="s">
        <v>57</v>
      </c>
      <c r="U680" s="1">
        <v>45901</v>
      </c>
      <c r="W680" s="1">
        <v>45992</v>
      </c>
      <c r="X680">
        <v>1</v>
      </c>
      <c r="Y680" t="s">
        <v>58</v>
      </c>
      <c r="Z680" s="2">
        <v>0</v>
      </c>
      <c r="AA680">
        <v>0</v>
      </c>
      <c r="AB680" t="s">
        <v>60</v>
      </c>
      <c r="AC680" t="s">
        <v>61</v>
      </c>
      <c r="AD680">
        <v>0</v>
      </c>
      <c r="AE680" s="2">
        <v>0</v>
      </c>
      <c r="AF680" s="2">
        <v>0</v>
      </c>
      <c r="AG680" s="3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8" x14ac:dyDescent="0.25">
      <c r="A681" s="1">
        <v>45957</v>
      </c>
      <c r="B681" t="s">
        <v>48</v>
      </c>
      <c r="C681">
        <v>649163</v>
      </c>
      <c r="D681">
        <v>2030762532</v>
      </c>
      <c r="E681" t="s">
        <v>209</v>
      </c>
      <c r="F681" t="s">
        <v>210</v>
      </c>
      <c r="G681" t="s">
        <v>51</v>
      </c>
      <c r="H681" t="s">
        <v>129</v>
      </c>
      <c r="I681" s="2">
        <v>15</v>
      </c>
      <c r="J681" t="s">
        <v>59</v>
      </c>
      <c r="K681" s="3">
        <v>0.19</v>
      </c>
      <c r="L681" s="2">
        <v>2.85</v>
      </c>
      <c r="M681" s="2">
        <v>0</v>
      </c>
      <c r="N681" s="2">
        <v>0</v>
      </c>
      <c r="O681" t="s">
        <v>361</v>
      </c>
      <c r="P681" t="s">
        <v>817</v>
      </c>
      <c r="Q681">
        <v>888536</v>
      </c>
      <c r="R681" t="s">
        <v>211</v>
      </c>
      <c r="S681" t="s">
        <v>212</v>
      </c>
      <c r="T681" t="s">
        <v>57</v>
      </c>
      <c r="U681" s="1">
        <v>45899</v>
      </c>
      <c r="W681" s="1">
        <v>45991</v>
      </c>
      <c r="X681">
        <v>1</v>
      </c>
      <c r="Y681" t="s">
        <v>58</v>
      </c>
      <c r="Z681" s="2">
        <v>0</v>
      </c>
      <c r="AA681">
        <v>0</v>
      </c>
      <c r="AB681" t="s">
        <v>60</v>
      </c>
      <c r="AC681" t="s">
        <v>61</v>
      </c>
      <c r="AD681">
        <v>0</v>
      </c>
      <c r="AE681" s="2">
        <v>0</v>
      </c>
      <c r="AF681" s="2">
        <v>0</v>
      </c>
      <c r="AG681" s="3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8" x14ac:dyDescent="0.25">
      <c r="A682" s="15">
        <v>45957</v>
      </c>
      <c r="B682" s="16" t="s">
        <v>48</v>
      </c>
      <c r="C682" s="16">
        <v>649163</v>
      </c>
      <c r="D682" s="16">
        <v>2017472584</v>
      </c>
      <c r="E682" s="16" t="s">
        <v>814</v>
      </c>
      <c r="F682" s="16" t="s">
        <v>815</v>
      </c>
      <c r="G682" s="16" t="s">
        <v>51</v>
      </c>
      <c r="H682" s="16" t="s">
        <v>69</v>
      </c>
      <c r="I682" s="17">
        <v>15</v>
      </c>
      <c r="J682" s="16" t="s">
        <v>59</v>
      </c>
      <c r="K682" s="18">
        <v>0.28999999999999998</v>
      </c>
      <c r="L682" s="17">
        <v>0</v>
      </c>
      <c r="M682" s="17">
        <v>4.3499999999999996</v>
      </c>
      <c r="N682" s="17">
        <v>4.3499999999999996</v>
      </c>
      <c r="O682" s="16" t="s">
        <v>361</v>
      </c>
      <c r="P682" s="16" t="s">
        <v>816</v>
      </c>
      <c r="Q682" s="16">
        <v>649793</v>
      </c>
      <c r="R682" s="16" t="s">
        <v>55</v>
      </c>
      <c r="S682" s="16" t="s">
        <v>566</v>
      </c>
      <c r="T682" s="16" t="s">
        <v>57</v>
      </c>
      <c r="U682" s="15">
        <v>44954</v>
      </c>
      <c r="V682" s="16"/>
      <c r="W682" s="15">
        <v>45989</v>
      </c>
      <c r="X682" s="16">
        <v>1</v>
      </c>
      <c r="Y682" s="16" t="s">
        <v>58</v>
      </c>
      <c r="Z682" s="17">
        <v>0</v>
      </c>
      <c r="AA682" s="16">
        <v>0</v>
      </c>
      <c r="AB682" s="16" t="s">
        <v>264</v>
      </c>
      <c r="AC682" s="16" t="s">
        <v>61</v>
      </c>
      <c r="AD682" s="16">
        <v>0</v>
      </c>
      <c r="AE682" s="17">
        <v>0</v>
      </c>
      <c r="AF682" s="17">
        <v>0</v>
      </c>
      <c r="AG682" s="18">
        <v>0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R682" s="16"/>
      <c r="AS682" s="16"/>
      <c r="AT682" s="16"/>
      <c r="AU682" s="16"/>
      <c r="AV682" s="16"/>
    </row>
    <row r="683" spans="1:48" x14ac:dyDescent="0.25">
      <c r="A683" s="15">
        <v>45957</v>
      </c>
      <c r="B683" s="16" t="s">
        <v>48</v>
      </c>
      <c r="C683" s="16">
        <v>649163</v>
      </c>
      <c r="D683" s="16">
        <v>2020392187</v>
      </c>
      <c r="E683" s="16" t="s">
        <v>259</v>
      </c>
      <c r="F683" s="16" t="s">
        <v>260</v>
      </c>
      <c r="G683" s="16" t="s">
        <v>51</v>
      </c>
      <c r="H683" s="16" t="s">
        <v>261</v>
      </c>
      <c r="I683" s="17">
        <v>15</v>
      </c>
      <c r="J683" s="16" t="s">
        <v>59</v>
      </c>
      <c r="K683" s="18">
        <v>0.28999999999999998</v>
      </c>
      <c r="L683" s="17">
        <v>0</v>
      </c>
      <c r="M683" s="17">
        <v>4.3499999999999996</v>
      </c>
      <c r="N683" s="17">
        <v>4.3499999999999996</v>
      </c>
      <c r="O683" s="16" t="s">
        <v>361</v>
      </c>
      <c r="P683" s="16" t="s">
        <v>402</v>
      </c>
      <c r="Q683" s="16">
        <v>673059</v>
      </c>
      <c r="R683" s="16" t="s">
        <v>55</v>
      </c>
      <c r="S683" s="16" t="s">
        <v>56</v>
      </c>
      <c r="T683" s="16" t="s">
        <v>57</v>
      </c>
      <c r="U683" s="15">
        <v>45288</v>
      </c>
      <c r="V683" s="16"/>
      <c r="W683" s="15">
        <v>45989</v>
      </c>
      <c r="X683" s="16">
        <v>1</v>
      </c>
      <c r="Y683" s="16" t="s">
        <v>58</v>
      </c>
      <c r="Z683" s="17">
        <v>0</v>
      </c>
      <c r="AA683" s="16">
        <v>0</v>
      </c>
      <c r="AB683" s="16" t="s">
        <v>264</v>
      </c>
      <c r="AC683" s="16" t="s">
        <v>61</v>
      </c>
      <c r="AD683" s="16">
        <v>0</v>
      </c>
      <c r="AE683" s="17">
        <v>0</v>
      </c>
      <c r="AF683" s="17">
        <v>0</v>
      </c>
      <c r="AG683" s="18">
        <v>0</v>
      </c>
      <c r="AH683" s="17">
        <v>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R683" s="16"/>
      <c r="AS683" s="16"/>
      <c r="AT683" s="16"/>
      <c r="AU683" s="16"/>
      <c r="AV683" s="16"/>
    </row>
    <row r="684" spans="1:48" x14ac:dyDescent="0.25">
      <c r="A684" s="15">
        <v>45957</v>
      </c>
      <c r="B684" s="16" t="s">
        <v>48</v>
      </c>
      <c r="C684" s="16">
        <v>649163</v>
      </c>
      <c r="D684" s="16">
        <v>2024136820</v>
      </c>
      <c r="E684" s="16" t="s">
        <v>283</v>
      </c>
      <c r="F684" s="16" t="s">
        <v>284</v>
      </c>
      <c r="G684" s="16" t="s">
        <v>51</v>
      </c>
      <c r="H684" s="16" t="s">
        <v>52</v>
      </c>
      <c r="I684" s="17">
        <v>15</v>
      </c>
      <c r="J684" s="16" t="s">
        <v>59</v>
      </c>
      <c r="K684" s="18">
        <v>0.28999999999999998</v>
      </c>
      <c r="L684" s="17">
        <v>0</v>
      </c>
      <c r="M684" s="17">
        <v>4.3499999999999996</v>
      </c>
      <c r="N684" s="17">
        <v>4.3499999999999996</v>
      </c>
      <c r="O684" s="16" t="s">
        <v>361</v>
      </c>
      <c r="P684" s="16" t="s">
        <v>402</v>
      </c>
      <c r="Q684" s="16">
        <v>673059</v>
      </c>
      <c r="R684" s="16" t="s">
        <v>55</v>
      </c>
      <c r="S684" s="16" t="s">
        <v>56</v>
      </c>
      <c r="T684" s="16" t="s">
        <v>57</v>
      </c>
      <c r="U684" s="15">
        <v>45536</v>
      </c>
      <c r="V684" s="16"/>
      <c r="W684" s="15">
        <v>45992</v>
      </c>
      <c r="X684" s="16">
        <v>1</v>
      </c>
      <c r="Y684" s="16" t="s">
        <v>58</v>
      </c>
      <c r="Z684" s="17">
        <v>0</v>
      </c>
      <c r="AA684" s="16">
        <v>0</v>
      </c>
      <c r="AB684" s="16" t="s">
        <v>264</v>
      </c>
      <c r="AC684" s="16" t="s">
        <v>61</v>
      </c>
      <c r="AD684" s="16">
        <v>0</v>
      </c>
      <c r="AE684" s="17">
        <v>0</v>
      </c>
      <c r="AF684" s="17">
        <v>0</v>
      </c>
      <c r="AG684" s="18">
        <v>0</v>
      </c>
      <c r="AH684" s="17">
        <v>0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R684" s="16"/>
      <c r="AS684" s="16"/>
      <c r="AT684" s="16"/>
      <c r="AU684" s="16"/>
      <c r="AV684" s="16"/>
    </row>
    <row r="685" spans="1:48" x14ac:dyDescent="0.25">
      <c r="A685" s="15">
        <v>45957</v>
      </c>
      <c r="B685" s="16" t="s">
        <v>48</v>
      </c>
      <c r="C685" s="16">
        <v>649163</v>
      </c>
      <c r="D685" s="16">
        <v>2024267554</v>
      </c>
      <c r="E685" s="16" t="s">
        <v>288</v>
      </c>
      <c r="F685" s="16" t="s">
        <v>66</v>
      </c>
      <c r="G685" s="16" t="s">
        <v>51</v>
      </c>
      <c r="H685" s="16" t="s">
        <v>52</v>
      </c>
      <c r="I685" s="17">
        <v>15</v>
      </c>
      <c r="J685" s="16" t="s">
        <v>59</v>
      </c>
      <c r="K685" s="18">
        <v>0.28999999999999998</v>
      </c>
      <c r="L685" s="17">
        <v>0</v>
      </c>
      <c r="M685" s="17">
        <v>4.3499999999999996</v>
      </c>
      <c r="N685" s="17">
        <v>4.3499999999999996</v>
      </c>
      <c r="O685" s="16" t="s">
        <v>361</v>
      </c>
      <c r="P685" s="16" t="s">
        <v>402</v>
      </c>
      <c r="Q685" s="16">
        <v>768887</v>
      </c>
      <c r="R685" s="16" t="s">
        <v>289</v>
      </c>
      <c r="S685" s="16" t="s">
        <v>290</v>
      </c>
      <c r="T685" s="16" t="s">
        <v>57</v>
      </c>
      <c r="U685" s="15">
        <v>45536</v>
      </c>
      <c r="V685" s="16"/>
      <c r="W685" s="15">
        <v>45992</v>
      </c>
      <c r="X685" s="16">
        <v>1</v>
      </c>
      <c r="Y685" s="16" t="s">
        <v>58</v>
      </c>
      <c r="Z685" s="17">
        <v>0</v>
      </c>
      <c r="AA685" s="16">
        <v>0</v>
      </c>
      <c r="AB685" s="16" t="s">
        <v>264</v>
      </c>
      <c r="AC685" s="16" t="s">
        <v>61</v>
      </c>
      <c r="AD685" s="16">
        <v>0</v>
      </c>
      <c r="AE685" s="17">
        <v>0</v>
      </c>
      <c r="AF685" s="17">
        <v>0</v>
      </c>
      <c r="AG685" s="18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R685" s="16"/>
      <c r="AS685" s="16"/>
      <c r="AT685" s="16"/>
      <c r="AU685" s="16"/>
      <c r="AV685" s="16"/>
    </row>
    <row r="686" spans="1:48" x14ac:dyDescent="0.25">
      <c r="A686" s="15">
        <v>45957</v>
      </c>
      <c r="B686" s="16" t="s">
        <v>48</v>
      </c>
      <c r="C686" s="16">
        <v>649163</v>
      </c>
      <c r="D686" s="16">
        <v>2024433919</v>
      </c>
      <c r="E686" s="16" t="s">
        <v>291</v>
      </c>
      <c r="F686" s="16" t="s">
        <v>292</v>
      </c>
      <c r="G686" s="16" t="s">
        <v>51</v>
      </c>
      <c r="H686" s="16" t="s">
        <v>293</v>
      </c>
      <c r="I686" s="17">
        <v>15</v>
      </c>
      <c r="J686" s="16" t="s">
        <v>59</v>
      </c>
      <c r="K686" s="18">
        <v>0.28999999999999998</v>
      </c>
      <c r="L686" s="17">
        <v>0</v>
      </c>
      <c r="M686" s="17">
        <v>4.3499999999999996</v>
      </c>
      <c r="N686" s="17">
        <v>4.3499999999999996</v>
      </c>
      <c r="O686" s="16" t="s">
        <v>361</v>
      </c>
      <c r="P686" s="16" t="s">
        <v>402</v>
      </c>
      <c r="Q686" s="16">
        <v>753748</v>
      </c>
      <c r="R686" s="16" t="s">
        <v>65</v>
      </c>
      <c r="S686" s="16" t="s">
        <v>66</v>
      </c>
      <c r="T686" s="16" t="s">
        <v>57</v>
      </c>
      <c r="U686" s="15">
        <v>45536</v>
      </c>
      <c r="V686" s="16"/>
      <c r="W686" s="15">
        <v>45992</v>
      </c>
      <c r="X686" s="16">
        <v>1</v>
      </c>
      <c r="Y686" s="16" t="s">
        <v>58</v>
      </c>
      <c r="Z686" s="17">
        <v>0</v>
      </c>
      <c r="AA686" s="16">
        <v>0</v>
      </c>
      <c r="AB686" s="16" t="s">
        <v>264</v>
      </c>
      <c r="AC686" s="16" t="s">
        <v>61</v>
      </c>
      <c r="AD686" s="16">
        <v>0</v>
      </c>
      <c r="AE686" s="17">
        <v>0</v>
      </c>
      <c r="AF686" s="17">
        <v>0</v>
      </c>
      <c r="AG686" s="18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R686" s="16"/>
      <c r="AS686" s="16"/>
      <c r="AT686" s="16"/>
      <c r="AU686" s="16"/>
      <c r="AV686" s="16"/>
    </row>
    <row r="687" spans="1:48" x14ac:dyDescent="0.25">
      <c r="A687" s="15">
        <v>45957</v>
      </c>
      <c r="B687" s="16" t="s">
        <v>48</v>
      </c>
      <c r="C687" s="16">
        <v>649163</v>
      </c>
      <c r="D687" s="16">
        <v>2024626405</v>
      </c>
      <c r="E687" s="16" t="s">
        <v>297</v>
      </c>
      <c r="F687" s="16" t="s">
        <v>296</v>
      </c>
      <c r="G687" s="16" t="s">
        <v>51</v>
      </c>
      <c r="H687" s="16" t="s">
        <v>293</v>
      </c>
      <c r="I687" s="17">
        <v>15</v>
      </c>
      <c r="J687" s="16" t="s">
        <v>59</v>
      </c>
      <c r="K687" s="18">
        <v>0.28999999999999998</v>
      </c>
      <c r="L687" s="17">
        <v>0</v>
      </c>
      <c r="M687" s="17">
        <v>4.3499999999999996</v>
      </c>
      <c r="N687" s="17">
        <v>4.3499999999999996</v>
      </c>
      <c r="O687" s="16" t="s">
        <v>361</v>
      </c>
      <c r="P687" s="16" t="s">
        <v>402</v>
      </c>
      <c r="Q687" s="16">
        <v>669316</v>
      </c>
      <c r="R687" s="16" t="s">
        <v>169</v>
      </c>
      <c r="S687" s="16" t="s">
        <v>170</v>
      </c>
      <c r="T687" s="16" t="s">
        <v>57</v>
      </c>
      <c r="U687" s="15">
        <v>45534</v>
      </c>
      <c r="V687" s="16"/>
      <c r="W687" s="15">
        <v>45991</v>
      </c>
      <c r="X687" s="16">
        <v>1</v>
      </c>
      <c r="Y687" s="16" t="s">
        <v>58</v>
      </c>
      <c r="Z687" s="17">
        <v>0</v>
      </c>
      <c r="AA687" s="16">
        <v>0</v>
      </c>
      <c r="AB687" s="16" t="s">
        <v>264</v>
      </c>
      <c r="AC687" s="16" t="s">
        <v>61</v>
      </c>
      <c r="AD687" s="16">
        <v>0</v>
      </c>
      <c r="AE687" s="17">
        <v>0</v>
      </c>
      <c r="AF687" s="17">
        <v>0</v>
      </c>
      <c r="AG687" s="18">
        <v>0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R687" s="16"/>
      <c r="AS687" s="16"/>
      <c r="AT687" s="16"/>
      <c r="AU687" s="16"/>
      <c r="AV687" s="16"/>
    </row>
    <row r="688" spans="1:48" x14ac:dyDescent="0.25">
      <c r="A688" s="15">
        <v>45957</v>
      </c>
      <c r="B688" s="16" t="s">
        <v>48</v>
      </c>
      <c r="C688" s="16">
        <v>649163</v>
      </c>
      <c r="D688" s="16">
        <v>2024635212</v>
      </c>
      <c r="E688" s="16" t="s">
        <v>299</v>
      </c>
      <c r="F688" s="16" t="s">
        <v>300</v>
      </c>
      <c r="G688" s="16" t="s">
        <v>51</v>
      </c>
      <c r="H688" s="16" t="s">
        <v>52</v>
      </c>
      <c r="I688" s="17">
        <v>15</v>
      </c>
      <c r="J688" s="16" t="s">
        <v>59</v>
      </c>
      <c r="K688" s="18">
        <v>0.28999999999999998</v>
      </c>
      <c r="L688" s="17">
        <v>0</v>
      </c>
      <c r="M688" s="17">
        <v>4.3499999999999996</v>
      </c>
      <c r="N688" s="17">
        <v>4.3499999999999996</v>
      </c>
      <c r="O688" s="16" t="s">
        <v>361</v>
      </c>
      <c r="P688" s="16" t="s">
        <v>402</v>
      </c>
      <c r="Q688" s="16">
        <v>753748</v>
      </c>
      <c r="R688" s="16" t="s">
        <v>65</v>
      </c>
      <c r="S688" s="16" t="s">
        <v>66</v>
      </c>
      <c r="T688" s="16" t="s">
        <v>57</v>
      </c>
      <c r="U688" s="15">
        <v>45536</v>
      </c>
      <c r="V688" s="16"/>
      <c r="W688" s="15">
        <v>45992</v>
      </c>
      <c r="X688" s="16">
        <v>1</v>
      </c>
      <c r="Y688" s="16" t="s">
        <v>58</v>
      </c>
      <c r="Z688" s="17">
        <v>0</v>
      </c>
      <c r="AA688" s="16">
        <v>0</v>
      </c>
      <c r="AB688" s="16" t="s">
        <v>264</v>
      </c>
      <c r="AC688" s="16" t="s">
        <v>61</v>
      </c>
      <c r="AD688" s="16">
        <v>0</v>
      </c>
      <c r="AE688" s="17">
        <v>0</v>
      </c>
      <c r="AF688" s="17">
        <v>0</v>
      </c>
      <c r="AG688" s="18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6"/>
      <c r="AS688" s="16"/>
      <c r="AT688" s="16"/>
      <c r="AU688" s="16"/>
      <c r="AV688" s="16"/>
    </row>
    <row r="689" spans="1:48" x14ac:dyDescent="0.25">
      <c r="A689" s="15">
        <v>45957</v>
      </c>
      <c r="B689" s="16" t="s">
        <v>48</v>
      </c>
      <c r="C689" s="16">
        <v>649163</v>
      </c>
      <c r="D689" s="16">
        <v>2023809266</v>
      </c>
      <c r="E689" s="16" t="s">
        <v>265</v>
      </c>
      <c r="F689" s="16" t="s">
        <v>266</v>
      </c>
      <c r="G689" s="16" t="s">
        <v>51</v>
      </c>
      <c r="H689" s="16" t="s">
        <v>261</v>
      </c>
      <c r="I689" s="17">
        <v>15</v>
      </c>
      <c r="J689" s="16" t="s">
        <v>59</v>
      </c>
      <c r="K689" s="18">
        <v>0.28999999999999998</v>
      </c>
      <c r="L689" s="17">
        <v>0</v>
      </c>
      <c r="M689" s="17">
        <v>4.3499999999999996</v>
      </c>
      <c r="N689" s="17">
        <v>4.3499999999999996</v>
      </c>
      <c r="O689" s="16" t="s">
        <v>361</v>
      </c>
      <c r="P689" s="16" t="s">
        <v>402</v>
      </c>
      <c r="Q689" s="16">
        <v>673059</v>
      </c>
      <c r="R689" s="16" t="s">
        <v>55</v>
      </c>
      <c r="S689" s="16" t="s">
        <v>56</v>
      </c>
      <c r="T689" s="16" t="s">
        <v>57</v>
      </c>
      <c r="U689" s="15">
        <v>45653</v>
      </c>
      <c r="V689" s="16"/>
      <c r="W689" s="15">
        <v>45988</v>
      </c>
      <c r="X689" s="16">
        <v>1</v>
      </c>
      <c r="Y689" s="16" t="s">
        <v>58</v>
      </c>
      <c r="Z689" s="17">
        <v>0</v>
      </c>
      <c r="AA689" s="16">
        <v>0</v>
      </c>
      <c r="AB689" s="16" t="s">
        <v>60</v>
      </c>
      <c r="AC689" s="16" t="s">
        <v>61</v>
      </c>
      <c r="AD689" s="16">
        <v>0</v>
      </c>
      <c r="AE689" s="17">
        <v>0</v>
      </c>
      <c r="AF689" s="17">
        <v>0</v>
      </c>
      <c r="AG689" s="18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R689" s="16"/>
      <c r="AS689" s="16"/>
      <c r="AT689" s="16"/>
      <c r="AU689" s="16"/>
      <c r="AV689" s="16"/>
    </row>
    <row r="690" spans="1:48" x14ac:dyDescent="0.25">
      <c r="A690" s="15">
        <v>45957</v>
      </c>
      <c r="B690" s="16" t="s">
        <v>48</v>
      </c>
      <c r="C690" s="16">
        <v>649163</v>
      </c>
      <c r="D690" s="16">
        <v>2023957696</v>
      </c>
      <c r="E690" s="16" t="s">
        <v>270</v>
      </c>
      <c r="F690" s="16" t="s">
        <v>271</v>
      </c>
      <c r="G690" s="16" t="s">
        <v>51</v>
      </c>
      <c r="H690" s="16" t="s">
        <v>52</v>
      </c>
      <c r="I690" s="17">
        <v>15</v>
      </c>
      <c r="J690" s="16" t="s">
        <v>59</v>
      </c>
      <c r="K690" s="18">
        <v>0.28999999999999998</v>
      </c>
      <c r="L690" s="17">
        <v>0</v>
      </c>
      <c r="M690" s="17">
        <v>4.3499999999999996</v>
      </c>
      <c r="N690" s="17">
        <v>4.3499999999999996</v>
      </c>
      <c r="O690" s="16" t="s">
        <v>361</v>
      </c>
      <c r="P690" s="16" t="s">
        <v>402</v>
      </c>
      <c r="Q690" s="16">
        <v>673059</v>
      </c>
      <c r="R690" s="16" t="s">
        <v>55</v>
      </c>
      <c r="S690" s="16" t="s">
        <v>56</v>
      </c>
      <c r="T690" s="16" t="s">
        <v>57</v>
      </c>
      <c r="U690" s="15">
        <v>45656</v>
      </c>
      <c r="V690" s="16"/>
      <c r="W690" s="15">
        <v>45991</v>
      </c>
      <c r="X690" s="16">
        <v>1</v>
      </c>
      <c r="Y690" s="16" t="s">
        <v>58</v>
      </c>
      <c r="Z690" s="17">
        <v>0</v>
      </c>
      <c r="AA690" s="16">
        <v>0</v>
      </c>
      <c r="AB690" s="16" t="s">
        <v>60</v>
      </c>
      <c r="AC690" s="16" t="s">
        <v>61</v>
      </c>
      <c r="AD690" s="16">
        <v>0</v>
      </c>
      <c r="AE690" s="17">
        <v>0</v>
      </c>
      <c r="AF690" s="17">
        <v>0</v>
      </c>
      <c r="AG690" s="18">
        <v>0</v>
      </c>
      <c r="AH690" s="17">
        <v>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6"/>
      <c r="AS690" s="16"/>
      <c r="AT690" s="16"/>
      <c r="AU690" s="16"/>
      <c r="AV690" s="16"/>
    </row>
    <row r="691" spans="1:48" x14ac:dyDescent="0.25">
      <c r="A691" s="15">
        <v>45957</v>
      </c>
      <c r="B691" s="16" t="s">
        <v>48</v>
      </c>
      <c r="C691" s="16">
        <v>649163</v>
      </c>
      <c r="D691" s="16">
        <v>2023963352</v>
      </c>
      <c r="E691" s="16" t="s">
        <v>272</v>
      </c>
      <c r="F691" s="16" t="s">
        <v>273</v>
      </c>
      <c r="G691" s="16" t="s">
        <v>51</v>
      </c>
      <c r="H691" s="16" t="s">
        <v>52</v>
      </c>
      <c r="I691" s="17">
        <v>15</v>
      </c>
      <c r="J691" s="16" t="s">
        <v>59</v>
      </c>
      <c r="K691" s="18">
        <v>0.28999999999999998</v>
      </c>
      <c r="L691" s="17">
        <v>0</v>
      </c>
      <c r="M691" s="17">
        <v>4.3499999999999996</v>
      </c>
      <c r="N691" s="17">
        <v>4.3499999999999996</v>
      </c>
      <c r="O691" s="16" t="s">
        <v>361</v>
      </c>
      <c r="P691" s="16" t="s">
        <v>402</v>
      </c>
      <c r="Q691" s="16">
        <v>673059</v>
      </c>
      <c r="R691" s="16" t="s">
        <v>55</v>
      </c>
      <c r="S691" s="16" t="s">
        <v>56</v>
      </c>
      <c r="T691" s="16" t="s">
        <v>57</v>
      </c>
      <c r="U691" s="15">
        <v>45656</v>
      </c>
      <c r="V691" s="16"/>
      <c r="W691" s="15">
        <v>45991</v>
      </c>
      <c r="X691" s="16">
        <v>1</v>
      </c>
      <c r="Y691" s="16" t="s">
        <v>58</v>
      </c>
      <c r="Z691" s="17">
        <v>0</v>
      </c>
      <c r="AA691" s="16">
        <v>0</v>
      </c>
      <c r="AB691" s="16" t="s">
        <v>60</v>
      </c>
      <c r="AC691" s="16" t="s">
        <v>61</v>
      </c>
      <c r="AD691" s="16">
        <v>0</v>
      </c>
      <c r="AE691" s="17">
        <v>0</v>
      </c>
      <c r="AF691" s="17">
        <v>0</v>
      </c>
      <c r="AG691" s="18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R691" s="16"/>
      <c r="AS691" s="16"/>
      <c r="AT691" s="16"/>
      <c r="AU691" s="16"/>
      <c r="AV691" s="16"/>
    </row>
    <row r="692" spans="1:48" x14ac:dyDescent="0.25">
      <c r="A692" s="15">
        <v>45957</v>
      </c>
      <c r="B692" s="16" t="s">
        <v>48</v>
      </c>
      <c r="C692" s="16">
        <v>649163</v>
      </c>
      <c r="D692" s="16">
        <v>2023964242</v>
      </c>
      <c r="E692" s="16" t="s">
        <v>274</v>
      </c>
      <c r="F692" s="16" t="s">
        <v>275</v>
      </c>
      <c r="G692" s="16" t="s">
        <v>51</v>
      </c>
      <c r="H692" s="16" t="s">
        <v>276</v>
      </c>
      <c r="I692" s="17">
        <v>15</v>
      </c>
      <c r="J692" s="16" t="s">
        <v>59</v>
      </c>
      <c r="K692" s="18">
        <v>0.28999999999999998</v>
      </c>
      <c r="L692" s="17">
        <v>0</v>
      </c>
      <c r="M692" s="17">
        <v>4.3499999999999996</v>
      </c>
      <c r="N692" s="17">
        <v>4.3499999999999996</v>
      </c>
      <c r="O692" s="16" t="s">
        <v>361</v>
      </c>
      <c r="P692" s="16" t="s">
        <v>402</v>
      </c>
      <c r="Q692" s="16">
        <v>673059</v>
      </c>
      <c r="R692" s="16" t="s">
        <v>55</v>
      </c>
      <c r="S692" s="16" t="s">
        <v>56</v>
      </c>
      <c r="T692" s="16" t="s">
        <v>57</v>
      </c>
      <c r="U692" s="15">
        <v>45656</v>
      </c>
      <c r="V692" s="16"/>
      <c r="W692" s="15">
        <v>45991</v>
      </c>
      <c r="X692" s="16">
        <v>1</v>
      </c>
      <c r="Y692" s="16" t="s">
        <v>58</v>
      </c>
      <c r="Z692" s="17">
        <v>0</v>
      </c>
      <c r="AA692" s="16">
        <v>0</v>
      </c>
      <c r="AB692" s="16" t="s">
        <v>60</v>
      </c>
      <c r="AC692" s="16" t="s">
        <v>61</v>
      </c>
      <c r="AD692" s="16">
        <v>0</v>
      </c>
      <c r="AE692" s="17">
        <v>0</v>
      </c>
      <c r="AF692" s="17">
        <v>0</v>
      </c>
      <c r="AG692" s="18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6"/>
      <c r="AS692" s="16"/>
      <c r="AT692" s="16"/>
      <c r="AU692" s="16"/>
      <c r="AV692" s="16"/>
    </row>
    <row r="693" spans="1:48" x14ac:dyDescent="0.25">
      <c r="A693" s="15">
        <v>45957</v>
      </c>
      <c r="B693" s="16" t="s">
        <v>48</v>
      </c>
      <c r="C693" s="16">
        <v>649163</v>
      </c>
      <c r="D693" s="16">
        <v>2024035178</v>
      </c>
      <c r="E693" s="16" t="s">
        <v>279</v>
      </c>
      <c r="F693" s="16" t="s">
        <v>280</v>
      </c>
      <c r="G693" s="16" t="s">
        <v>51</v>
      </c>
      <c r="H693" s="16" t="s">
        <v>261</v>
      </c>
      <c r="I693" s="17">
        <v>15</v>
      </c>
      <c r="J693" s="16" t="s">
        <v>59</v>
      </c>
      <c r="K693" s="18">
        <v>0.28999999999999998</v>
      </c>
      <c r="L693" s="17">
        <v>0</v>
      </c>
      <c r="M693" s="17">
        <v>4.3499999999999996</v>
      </c>
      <c r="N693" s="17">
        <v>4.3499999999999996</v>
      </c>
      <c r="O693" s="16" t="s">
        <v>361</v>
      </c>
      <c r="P693" s="16" t="s">
        <v>402</v>
      </c>
      <c r="Q693" s="16">
        <v>673059</v>
      </c>
      <c r="R693" s="16" t="s">
        <v>55</v>
      </c>
      <c r="S693" s="16" t="s">
        <v>56</v>
      </c>
      <c r="T693" s="16" t="s">
        <v>57</v>
      </c>
      <c r="U693" s="15">
        <v>45656</v>
      </c>
      <c r="V693" s="16"/>
      <c r="W693" s="15">
        <v>45991</v>
      </c>
      <c r="X693" s="16">
        <v>1</v>
      </c>
      <c r="Y693" s="16" t="s">
        <v>58</v>
      </c>
      <c r="Z693" s="17">
        <v>0</v>
      </c>
      <c r="AA693" s="16">
        <v>0</v>
      </c>
      <c r="AB693" s="16" t="s">
        <v>60</v>
      </c>
      <c r="AC693" s="16" t="s">
        <v>61</v>
      </c>
      <c r="AD693" s="16">
        <v>0</v>
      </c>
      <c r="AE693" s="17">
        <v>0</v>
      </c>
      <c r="AF693" s="17">
        <v>0</v>
      </c>
      <c r="AG693" s="18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R693" s="16"/>
      <c r="AS693" s="16"/>
      <c r="AT693" s="16"/>
      <c r="AU693" s="16"/>
      <c r="AV693" s="16"/>
    </row>
    <row r="694" spans="1:48" x14ac:dyDescent="0.25">
      <c r="A694" s="15">
        <v>45957</v>
      </c>
      <c r="B694" s="16" t="s">
        <v>48</v>
      </c>
      <c r="C694" s="16">
        <v>649163</v>
      </c>
      <c r="D694" s="16">
        <v>2024112404</v>
      </c>
      <c r="E694" s="16" t="s">
        <v>281</v>
      </c>
      <c r="F694" s="16" t="s">
        <v>282</v>
      </c>
      <c r="G694" s="16" t="s">
        <v>51</v>
      </c>
      <c r="H694" s="16" t="s">
        <v>52</v>
      </c>
      <c r="I694" s="17">
        <v>15</v>
      </c>
      <c r="J694" s="16" t="s">
        <v>59</v>
      </c>
      <c r="K694" s="18">
        <v>0.28999999999999998</v>
      </c>
      <c r="L694" s="17">
        <v>0</v>
      </c>
      <c r="M694" s="17">
        <v>4.3499999999999996</v>
      </c>
      <c r="N694" s="17">
        <v>4.3499999999999996</v>
      </c>
      <c r="O694" s="16" t="s">
        <v>361</v>
      </c>
      <c r="P694" s="16" t="s">
        <v>402</v>
      </c>
      <c r="Q694" s="16">
        <v>673059</v>
      </c>
      <c r="R694" s="16" t="s">
        <v>55</v>
      </c>
      <c r="S694" s="16" t="s">
        <v>56</v>
      </c>
      <c r="T694" s="16" t="s">
        <v>57</v>
      </c>
      <c r="U694" s="15">
        <v>45656</v>
      </c>
      <c r="V694" s="16"/>
      <c r="W694" s="15">
        <v>45991</v>
      </c>
      <c r="X694" s="16">
        <v>1</v>
      </c>
      <c r="Y694" s="16" t="s">
        <v>58</v>
      </c>
      <c r="Z694" s="17">
        <v>0</v>
      </c>
      <c r="AA694" s="16">
        <v>0</v>
      </c>
      <c r="AB694" s="16" t="s">
        <v>60</v>
      </c>
      <c r="AC694" s="16" t="s">
        <v>61</v>
      </c>
      <c r="AD694" s="16">
        <v>0</v>
      </c>
      <c r="AE694" s="17">
        <v>0</v>
      </c>
      <c r="AF694" s="17">
        <v>0</v>
      </c>
      <c r="AG694" s="18">
        <v>0</v>
      </c>
      <c r="AH694" s="17">
        <v>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6"/>
      <c r="AS694" s="16"/>
      <c r="AT694" s="16"/>
      <c r="AU694" s="16"/>
      <c r="AV694" s="16"/>
    </row>
    <row r="695" spans="1:48" x14ac:dyDescent="0.25">
      <c r="A695" s="15">
        <v>45957</v>
      </c>
      <c r="B695" s="16" t="s">
        <v>48</v>
      </c>
      <c r="C695" s="16">
        <v>649163</v>
      </c>
      <c r="D695" s="16">
        <v>2024225542</v>
      </c>
      <c r="E695" s="16" t="s">
        <v>285</v>
      </c>
      <c r="F695" s="16" t="s">
        <v>286</v>
      </c>
      <c r="G695" s="16" t="s">
        <v>51</v>
      </c>
      <c r="H695" s="16" t="s">
        <v>287</v>
      </c>
      <c r="I695" s="17">
        <v>15</v>
      </c>
      <c r="J695" s="16" t="s">
        <v>59</v>
      </c>
      <c r="K695" s="18">
        <v>0.28999999999999998</v>
      </c>
      <c r="L695" s="17">
        <v>0</v>
      </c>
      <c r="M695" s="17">
        <v>4.3499999999999996</v>
      </c>
      <c r="N695" s="17">
        <v>4.3499999999999996</v>
      </c>
      <c r="O695" s="16" t="s">
        <v>361</v>
      </c>
      <c r="P695" s="16" t="s">
        <v>402</v>
      </c>
      <c r="Q695" s="16">
        <v>673059</v>
      </c>
      <c r="R695" s="16" t="s">
        <v>55</v>
      </c>
      <c r="S695" s="16" t="s">
        <v>56</v>
      </c>
      <c r="T695" s="16" t="s">
        <v>57</v>
      </c>
      <c r="U695" s="15">
        <v>45656</v>
      </c>
      <c r="V695" s="16"/>
      <c r="W695" s="15">
        <v>45991</v>
      </c>
      <c r="X695" s="16">
        <v>1</v>
      </c>
      <c r="Y695" s="16" t="s">
        <v>58</v>
      </c>
      <c r="Z695" s="17">
        <v>0</v>
      </c>
      <c r="AA695" s="16">
        <v>0</v>
      </c>
      <c r="AB695" s="16" t="s">
        <v>60</v>
      </c>
      <c r="AC695" s="16" t="s">
        <v>61</v>
      </c>
      <c r="AD695" s="16">
        <v>0</v>
      </c>
      <c r="AE695" s="17">
        <v>0</v>
      </c>
      <c r="AF695" s="17">
        <v>0</v>
      </c>
      <c r="AG695" s="18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R695" s="16"/>
      <c r="AS695" s="16"/>
      <c r="AT695" s="16"/>
      <c r="AU695" s="16"/>
      <c r="AV695" s="16"/>
    </row>
    <row r="696" spans="1:48" x14ac:dyDescent="0.25">
      <c r="A696" s="15">
        <v>45957</v>
      </c>
      <c r="B696" s="16" t="s">
        <v>48</v>
      </c>
      <c r="C696" s="16">
        <v>649163</v>
      </c>
      <c r="D696" s="16">
        <v>2024536863</v>
      </c>
      <c r="E696" s="16" t="s">
        <v>294</v>
      </c>
      <c r="F696" s="16" t="s">
        <v>295</v>
      </c>
      <c r="G696" s="16" t="s">
        <v>51</v>
      </c>
      <c r="H696" s="16" t="s">
        <v>52</v>
      </c>
      <c r="I696" s="17">
        <v>15</v>
      </c>
      <c r="J696" s="16" t="s">
        <v>59</v>
      </c>
      <c r="K696" s="18">
        <v>0.28999999999999998</v>
      </c>
      <c r="L696" s="17">
        <v>0</v>
      </c>
      <c r="M696" s="17">
        <v>4.3499999999999996</v>
      </c>
      <c r="N696" s="17">
        <v>4.3499999999999996</v>
      </c>
      <c r="O696" s="16" t="s">
        <v>361</v>
      </c>
      <c r="P696" s="16" t="s">
        <v>402</v>
      </c>
      <c r="Q696" s="16">
        <v>673059</v>
      </c>
      <c r="R696" s="16" t="s">
        <v>55</v>
      </c>
      <c r="S696" s="16" t="s">
        <v>56</v>
      </c>
      <c r="T696" s="16" t="s">
        <v>57</v>
      </c>
      <c r="U696" s="15">
        <v>45656</v>
      </c>
      <c r="V696" s="16"/>
      <c r="W696" s="15">
        <v>45991</v>
      </c>
      <c r="X696" s="16">
        <v>1</v>
      </c>
      <c r="Y696" s="16" t="s">
        <v>58</v>
      </c>
      <c r="Z696" s="17">
        <v>0</v>
      </c>
      <c r="AA696" s="16">
        <v>0</v>
      </c>
      <c r="AB696" s="16" t="s">
        <v>60</v>
      </c>
      <c r="AC696" s="16" t="s">
        <v>61</v>
      </c>
      <c r="AD696" s="16">
        <v>0</v>
      </c>
      <c r="AE696" s="17">
        <v>0</v>
      </c>
      <c r="AF696" s="17">
        <v>0</v>
      </c>
      <c r="AG696" s="18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R696" s="16"/>
      <c r="AS696" s="16"/>
      <c r="AT696" s="16"/>
      <c r="AU696" s="16"/>
      <c r="AV696" s="16"/>
    </row>
    <row r="697" spans="1:48" x14ac:dyDescent="0.25">
      <c r="A697" s="15">
        <v>45957</v>
      </c>
      <c r="B697" s="16" t="s">
        <v>48</v>
      </c>
      <c r="C697" s="16">
        <v>649163</v>
      </c>
      <c r="D697" s="16">
        <v>2030691612</v>
      </c>
      <c r="E697" s="16" t="s">
        <v>303</v>
      </c>
      <c r="F697" s="16" t="s">
        <v>304</v>
      </c>
      <c r="G697" s="16" t="s">
        <v>51</v>
      </c>
      <c r="H697" s="16" t="s">
        <v>52</v>
      </c>
      <c r="I697" s="17">
        <v>15</v>
      </c>
      <c r="J697" s="16" t="s">
        <v>59</v>
      </c>
      <c r="K697" s="18">
        <v>0.28999999999999998</v>
      </c>
      <c r="L697" s="17">
        <v>4.3499999999999996</v>
      </c>
      <c r="M697" s="17">
        <v>0</v>
      </c>
      <c r="N697" s="17">
        <v>0</v>
      </c>
      <c r="O697" s="16" t="s">
        <v>361</v>
      </c>
      <c r="P697" s="16" t="s">
        <v>402</v>
      </c>
      <c r="Q697" s="16">
        <v>673059</v>
      </c>
      <c r="R697" s="16" t="s">
        <v>55</v>
      </c>
      <c r="S697" s="16" t="s">
        <v>56</v>
      </c>
      <c r="T697" s="16" t="s">
        <v>57</v>
      </c>
      <c r="U697" s="15">
        <v>45901</v>
      </c>
      <c r="V697" s="16"/>
      <c r="W697" s="15">
        <v>45992</v>
      </c>
      <c r="X697" s="16">
        <v>1</v>
      </c>
      <c r="Y697" s="16" t="s">
        <v>58</v>
      </c>
      <c r="Z697" s="17">
        <v>0</v>
      </c>
      <c r="AA697" s="16">
        <v>0</v>
      </c>
      <c r="AB697" s="16" t="s">
        <v>60</v>
      </c>
      <c r="AC697" s="16" t="s">
        <v>61</v>
      </c>
      <c r="AD697" s="16">
        <v>0</v>
      </c>
      <c r="AE697" s="17">
        <v>0</v>
      </c>
      <c r="AF697" s="17">
        <v>0</v>
      </c>
      <c r="AG697" s="18">
        <v>0</v>
      </c>
      <c r="AH697" s="17">
        <v>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R697" s="16"/>
      <c r="AS697" s="16"/>
      <c r="AT697" s="16"/>
      <c r="AU697" s="16"/>
      <c r="AV697" s="16"/>
    </row>
    <row r="698" spans="1:48" x14ac:dyDescent="0.25">
      <c r="A698" s="15">
        <v>45957</v>
      </c>
      <c r="B698" s="16" t="s">
        <v>48</v>
      </c>
      <c r="C698" s="16">
        <v>649163</v>
      </c>
      <c r="D698" s="16">
        <v>2030711963</v>
      </c>
      <c r="E698" s="16" t="s">
        <v>818</v>
      </c>
      <c r="F698" s="16" t="s">
        <v>819</v>
      </c>
      <c r="G698" s="16" t="s">
        <v>51</v>
      </c>
      <c r="H698" s="16" t="s">
        <v>52</v>
      </c>
      <c r="I698" s="17">
        <v>15</v>
      </c>
      <c r="J698" s="16" t="s">
        <v>59</v>
      </c>
      <c r="K698" s="18">
        <v>0.28999999999999998</v>
      </c>
      <c r="L698" s="17">
        <v>0</v>
      </c>
      <c r="M698" s="17">
        <v>4.3499999999999996</v>
      </c>
      <c r="N698" s="17">
        <v>4.3499999999999996</v>
      </c>
      <c r="O698" s="16" t="s">
        <v>361</v>
      </c>
      <c r="P698" s="16" t="s">
        <v>402</v>
      </c>
      <c r="Q698" s="16">
        <v>856824</v>
      </c>
      <c r="R698" s="16" t="s">
        <v>175</v>
      </c>
      <c r="S698" s="16" t="s">
        <v>176</v>
      </c>
      <c r="T698" s="16" t="s">
        <v>57</v>
      </c>
      <c r="U698" s="15">
        <v>45901</v>
      </c>
      <c r="V698" s="16"/>
      <c r="W698" s="15">
        <v>45992</v>
      </c>
      <c r="X698" s="16">
        <v>1</v>
      </c>
      <c r="Y698" s="16" t="s">
        <v>58</v>
      </c>
      <c r="Z698" s="17">
        <v>0</v>
      </c>
      <c r="AA698" s="16">
        <v>0</v>
      </c>
      <c r="AB698" s="16" t="s">
        <v>60</v>
      </c>
      <c r="AC698" s="16" t="s">
        <v>61</v>
      </c>
      <c r="AD698" s="16">
        <v>0</v>
      </c>
      <c r="AE698" s="17">
        <v>0</v>
      </c>
      <c r="AF698" s="17">
        <v>0</v>
      </c>
      <c r="AG698" s="18">
        <v>0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R698" s="16"/>
      <c r="AS698" s="16"/>
      <c r="AT698" s="16"/>
      <c r="AU698" s="16"/>
      <c r="AV698" s="16"/>
    </row>
    <row r="699" spans="1:48" x14ac:dyDescent="0.25">
      <c r="A699" s="15">
        <v>45957</v>
      </c>
      <c r="B699" s="16" t="s">
        <v>48</v>
      </c>
      <c r="C699" s="16">
        <v>649163</v>
      </c>
      <c r="D699" s="16">
        <v>2030722442</v>
      </c>
      <c r="E699" s="16" t="s">
        <v>305</v>
      </c>
      <c r="F699" s="16" t="s">
        <v>306</v>
      </c>
      <c r="G699" s="16" t="s">
        <v>51</v>
      </c>
      <c r="H699" s="16" t="s">
        <v>261</v>
      </c>
      <c r="I699" s="17">
        <v>15</v>
      </c>
      <c r="J699" s="16" t="s">
        <v>59</v>
      </c>
      <c r="K699" s="18">
        <v>0.28999999999999998</v>
      </c>
      <c r="L699" s="17">
        <v>4.3499999999999996</v>
      </c>
      <c r="M699" s="17">
        <v>0</v>
      </c>
      <c r="N699" s="17">
        <v>0</v>
      </c>
      <c r="O699" s="16" t="s">
        <v>361</v>
      </c>
      <c r="P699" s="16" t="s">
        <v>402</v>
      </c>
      <c r="Q699" s="16">
        <v>812994</v>
      </c>
      <c r="R699" s="16" t="s">
        <v>228</v>
      </c>
      <c r="S699" s="16" t="s">
        <v>229</v>
      </c>
      <c r="T699" s="16" t="s">
        <v>57</v>
      </c>
      <c r="U699" s="15">
        <v>45897</v>
      </c>
      <c r="V699" s="16"/>
      <c r="W699" s="15">
        <v>45989</v>
      </c>
      <c r="X699" s="16">
        <v>1</v>
      </c>
      <c r="Y699" s="16" t="s">
        <v>58</v>
      </c>
      <c r="Z699" s="17">
        <v>0</v>
      </c>
      <c r="AA699" s="16">
        <v>0</v>
      </c>
      <c r="AB699" s="16" t="s">
        <v>60</v>
      </c>
      <c r="AC699" s="16" t="s">
        <v>61</v>
      </c>
      <c r="AD699" s="16">
        <v>0</v>
      </c>
      <c r="AE699" s="17">
        <v>0</v>
      </c>
      <c r="AF699" s="17">
        <v>0</v>
      </c>
      <c r="AG699" s="18">
        <v>0</v>
      </c>
      <c r="AH699" s="17">
        <v>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R699" s="16"/>
      <c r="AS699" s="16"/>
      <c r="AT699" s="16"/>
      <c r="AU699" s="16"/>
      <c r="AV699" s="16"/>
    </row>
    <row r="700" spans="1:48" x14ac:dyDescent="0.25">
      <c r="A700" s="1">
        <v>45957</v>
      </c>
      <c r="B700" t="s">
        <v>48</v>
      </c>
      <c r="C700">
        <v>649163</v>
      </c>
      <c r="D700">
        <v>2025967189</v>
      </c>
      <c r="E700" t="s">
        <v>547</v>
      </c>
      <c r="F700" t="s">
        <v>676</v>
      </c>
      <c r="G700" t="s">
        <v>51</v>
      </c>
      <c r="H700" t="s">
        <v>234</v>
      </c>
      <c r="I700" s="2">
        <v>15</v>
      </c>
      <c r="J700" t="s">
        <v>59</v>
      </c>
      <c r="K700" s="3">
        <v>0.38</v>
      </c>
      <c r="L700" s="2">
        <v>0</v>
      </c>
      <c r="M700" s="2">
        <v>5.7</v>
      </c>
      <c r="N700" s="2">
        <v>5.7</v>
      </c>
      <c r="O700" t="s">
        <v>361</v>
      </c>
      <c r="P700" t="s">
        <v>362</v>
      </c>
      <c r="Q700">
        <v>756418</v>
      </c>
      <c r="R700" t="s">
        <v>191</v>
      </c>
      <c r="S700" t="s">
        <v>192</v>
      </c>
      <c r="T700" t="s">
        <v>57</v>
      </c>
      <c r="U700" s="1">
        <v>45626</v>
      </c>
      <c r="W700" s="1">
        <v>45991</v>
      </c>
      <c r="X700">
        <v>1</v>
      </c>
      <c r="Y700" t="s">
        <v>58</v>
      </c>
      <c r="Z700" s="2">
        <v>0</v>
      </c>
      <c r="AA700">
        <v>0</v>
      </c>
      <c r="AB700" t="s">
        <v>60</v>
      </c>
      <c r="AC700" t="s">
        <v>61</v>
      </c>
      <c r="AD700">
        <v>0</v>
      </c>
      <c r="AE700" s="2">
        <v>0</v>
      </c>
      <c r="AF700" s="2">
        <v>0</v>
      </c>
      <c r="AG700" s="3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8" x14ac:dyDescent="0.25">
      <c r="A701" s="1">
        <v>45957</v>
      </c>
      <c r="B701" t="s">
        <v>48</v>
      </c>
      <c r="C701">
        <v>649163</v>
      </c>
      <c r="D701">
        <v>2026805534</v>
      </c>
      <c r="E701" t="s">
        <v>680</v>
      </c>
      <c r="F701" t="s">
        <v>681</v>
      </c>
      <c r="G701" t="s">
        <v>51</v>
      </c>
      <c r="H701" t="s">
        <v>165</v>
      </c>
      <c r="I701" s="2">
        <v>15</v>
      </c>
      <c r="J701" t="s">
        <v>59</v>
      </c>
      <c r="K701" s="3">
        <v>0.38</v>
      </c>
      <c r="L701" s="2">
        <v>0</v>
      </c>
      <c r="M701" s="2">
        <v>5.7</v>
      </c>
      <c r="N701" s="2">
        <v>5.7</v>
      </c>
      <c r="O701" t="s">
        <v>361</v>
      </c>
      <c r="P701" t="s">
        <v>362</v>
      </c>
      <c r="Q701">
        <v>650218</v>
      </c>
      <c r="R701" t="s">
        <v>357</v>
      </c>
      <c r="S701" t="s">
        <v>358</v>
      </c>
      <c r="T701" t="s">
        <v>57</v>
      </c>
      <c r="U701" s="1">
        <v>45689</v>
      </c>
      <c r="W701" s="1">
        <v>45992</v>
      </c>
      <c r="X701">
        <v>1</v>
      </c>
      <c r="Y701" t="s">
        <v>58</v>
      </c>
      <c r="Z701" s="2">
        <v>0</v>
      </c>
      <c r="AA701">
        <v>0</v>
      </c>
      <c r="AB701" t="s">
        <v>60</v>
      </c>
      <c r="AC701" t="s">
        <v>61</v>
      </c>
      <c r="AD701">
        <v>0</v>
      </c>
      <c r="AE701" s="2">
        <v>0</v>
      </c>
      <c r="AF701" s="2">
        <v>0</v>
      </c>
      <c r="AG701" s="3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8" x14ac:dyDescent="0.25">
      <c r="A702" s="1">
        <v>45957</v>
      </c>
      <c r="B702" t="s">
        <v>48</v>
      </c>
      <c r="C702">
        <v>649163</v>
      </c>
      <c r="D702">
        <v>2026812263</v>
      </c>
      <c r="E702" t="s">
        <v>682</v>
      </c>
      <c r="F702" t="s">
        <v>177</v>
      </c>
      <c r="G702" t="s">
        <v>51</v>
      </c>
      <c r="H702" t="s">
        <v>559</v>
      </c>
      <c r="I702" s="2">
        <v>15</v>
      </c>
      <c r="J702" t="s">
        <v>59</v>
      </c>
      <c r="K702" s="3">
        <v>0.38</v>
      </c>
      <c r="L702" s="2">
        <v>0</v>
      </c>
      <c r="M702" s="2">
        <v>5.7</v>
      </c>
      <c r="N702" s="2">
        <v>5.7</v>
      </c>
      <c r="O702" t="s">
        <v>361</v>
      </c>
      <c r="P702" t="s">
        <v>362</v>
      </c>
      <c r="Q702">
        <v>650218</v>
      </c>
      <c r="R702" t="s">
        <v>357</v>
      </c>
      <c r="S702" t="s">
        <v>358</v>
      </c>
      <c r="T702" t="s">
        <v>57</v>
      </c>
      <c r="U702" s="1">
        <v>45689</v>
      </c>
      <c r="W702" s="1">
        <v>45992</v>
      </c>
      <c r="X702">
        <v>1</v>
      </c>
      <c r="Y702" t="s">
        <v>58</v>
      </c>
      <c r="Z702" s="2">
        <v>0</v>
      </c>
      <c r="AA702">
        <v>0</v>
      </c>
      <c r="AB702" t="s">
        <v>60</v>
      </c>
      <c r="AC702" t="s">
        <v>61</v>
      </c>
      <c r="AD702">
        <v>0</v>
      </c>
      <c r="AE702" s="2">
        <v>0</v>
      </c>
      <c r="AF702" s="2">
        <v>0</v>
      </c>
      <c r="AG702" s="3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8" x14ac:dyDescent="0.25">
      <c r="A703" s="1">
        <v>45957</v>
      </c>
      <c r="B703" t="s">
        <v>48</v>
      </c>
      <c r="C703">
        <v>649163</v>
      </c>
      <c r="D703">
        <v>2027348182</v>
      </c>
      <c r="E703" t="s">
        <v>605</v>
      </c>
      <c r="F703" t="s">
        <v>543</v>
      </c>
      <c r="G703" t="s">
        <v>51</v>
      </c>
      <c r="H703" t="s">
        <v>69</v>
      </c>
      <c r="I703" s="2">
        <v>15</v>
      </c>
      <c r="J703" t="s">
        <v>59</v>
      </c>
      <c r="K703" s="3">
        <v>0.38</v>
      </c>
      <c r="L703" s="2">
        <v>0</v>
      </c>
      <c r="M703" s="2">
        <v>5.7</v>
      </c>
      <c r="N703" s="2">
        <v>5.7</v>
      </c>
      <c r="O703" t="s">
        <v>361</v>
      </c>
      <c r="P703" t="s">
        <v>430</v>
      </c>
      <c r="Q703">
        <v>673059</v>
      </c>
      <c r="R703" t="s">
        <v>55</v>
      </c>
      <c r="S703" t="s">
        <v>56</v>
      </c>
      <c r="T703" t="s">
        <v>57</v>
      </c>
      <c r="U703" s="1">
        <v>45716</v>
      </c>
      <c r="W703" s="1">
        <v>45989</v>
      </c>
      <c r="X703">
        <v>1</v>
      </c>
      <c r="Y703" t="s">
        <v>58</v>
      </c>
      <c r="Z703" s="2">
        <v>0</v>
      </c>
      <c r="AA703">
        <v>0</v>
      </c>
      <c r="AB703" t="s">
        <v>60</v>
      </c>
      <c r="AC703" t="s">
        <v>61</v>
      </c>
      <c r="AD703">
        <v>0</v>
      </c>
      <c r="AE703" s="2">
        <v>0</v>
      </c>
      <c r="AF703" s="2">
        <v>0</v>
      </c>
      <c r="AG703" s="3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8" x14ac:dyDescent="0.25">
      <c r="A704" s="1">
        <v>45957</v>
      </c>
      <c r="B704" t="s">
        <v>48</v>
      </c>
      <c r="C704">
        <v>649163</v>
      </c>
      <c r="D704">
        <v>2028899054</v>
      </c>
      <c r="E704" t="s">
        <v>691</v>
      </c>
      <c r="F704" t="s">
        <v>692</v>
      </c>
      <c r="G704" t="s">
        <v>51</v>
      </c>
      <c r="H704" t="s">
        <v>69</v>
      </c>
      <c r="I704" s="2">
        <v>15</v>
      </c>
      <c r="J704" t="s">
        <v>59</v>
      </c>
      <c r="K704" s="3">
        <v>0.38</v>
      </c>
      <c r="L704" s="2">
        <v>5.7</v>
      </c>
      <c r="M704" s="2">
        <v>0</v>
      </c>
      <c r="N704" s="2">
        <v>0</v>
      </c>
      <c r="O704" t="s">
        <v>361</v>
      </c>
      <c r="P704" t="s">
        <v>362</v>
      </c>
      <c r="Q704">
        <v>820873</v>
      </c>
      <c r="R704" t="s">
        <v>447</v>
      </c>
      <c r="S704" t="s">
        <v>448</v>
      </c>
      <c r="T704" t="s">
        <v>57</v>
      </c>
      <c r="U704" s="1">
        <v>45809</v>
      </c>
      <c r="W704" s="1">
        <v>45992</v>
      </c>
      <c r="X704">
        <v>1</v>
      </c>
      <c r="Y704" t="s">
        <v>58</v>
      </c>
      <c r="Z704" s="2">
        <v>0</v>
      </c>
      <c r="AA704">
        <v>0</v>
      </c>
      <c r="AB704" t="s">
        <v>60</v>
      </c>
      <c r="AC704" t="s">
        <v>61</v>
      </c>
      <c r="AD704">
        <v>0</v>
      </c>
      <c r="AE704" s="2">
        <v>0</v>
      </c>
      <c r="AF704" s="2">
        <v>0</v>
      </c>
      <c r="AG704" s="3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45957</v>
      </c>
      <c r="B705" t="s">
        <v>48</v>
      </c>
      <c r="C705">
        <v>649163</v>
      </c>
      <c r="D705">
        <v>2029037970</v>
      </c>
      <c r="E705" t="s">
        <v>695</v>
      </c>
      <c r="F705" t="s">
        <v>99</v>
      </c>
      <c r="G705" t="s">
        <v>51</v>
      </c>
      <c r="H705" t="s">
        <v>696</v>
      </c>
      <c r="I705" s="2">
        <v>15</v>
      </c>
      <c r="J705" t="s">
        <v>59</v>
      </c>
      <c r="K705" s="3">
        <v>0.38</v>
      </c>
      <c r="L705" s="2">
        <v>5.7</v>
      </c>
      <c r="M705" s="2">
        <v>0</v>
      </c>
      <c r="N705" s="2">
        <v>0</v>
      </c>
      <c r="O705" t="s">
        <v>361</v>
      </c>
      <c r="P705" t="s">
        <v>362</v>
      </c>
      <c r="Q705">
        <v>862109</v>
      </c>
      <c r="R705" t="s">
        <v>697</v>
      </c>
      <c r="S705" t="s">
        <v>698</v>
      </c>
      <c r="T705" t="s">
        <v>57</v>
      </c>
      <c r="U705" s="1">
        <v>45809</v>
      </c>
      <c r="W705" s="1">
        <v>45992</v>
      </c>
      <c r="X705">
        <v>1</v>
      </c>
      <c r="Y705" t="s">
        <v>58</v>
      </c>
      <c r="Z705" s="2">
        <v>0</v>
      </c>
      <c r="AA705">
        <v>0</v>
      </c>
      <c r="AB705" t="s">
        <v>60</v>
      </c>
      <c r="AC705" t="s">
        <v>61</v>
      </c>
      <c r="AD705">
        <v>0</v>
      </c>
      <c r="AE705" s="2">
        <v>0</v>
      </c>
      <c r="AF705" s="2">
        <v>0</v>
      </c>
      <c r="AG705" s="3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45957</v>
      </c>
      <c r="B706" t="s">
        <v>48</v>
      </c>
      <c r="C706">
        <v>649163</v>
      </c>
      <c r="D706">
        <v>2029056521</v>
      </c>
      <c r="E706" t="s">
        <v>699</v>
      </c>
      <c r="F706" t="s">
        <v>700</v>
      </c>
      <c r="G706" t="s">
        <v>51</v>
      </c>
      <c r="H706" t="s">
        <v>69</v>
      </c>
      <c r="I706" s="2">
        <v>15</v>
      </c>
      <c r="J706" t="s">
        <v>59</v>
      </c>
      <c r="K706" s="3">
        <v>0.38</v>
      </c>
      <c r="L706" s="2">
        <v>5.7</v>
      </c>
      <c r="M706" s="2">
        <v>0</v>
      </c>
      <c r="N706" s="2">
        <v>0</v>
      </c>
      <c r="O706" t="s">
        <v>361</v>
      </c>
      <c r="P706" t="s">
        <v>430</v>
      </c>
      <c r="Q706">
        <v>820873</v>
      </c>
      <c r="R706" t="s">
        <v>447</v>
      </c>
      <c r="S706" t="s">
        <v>448</v>
      </c>
      <c r="T706" t="s">
        <v>57</v>
      </c>
      <c r="U706" s="1">
        <v>45809</v>
      </c>
      <c r="W706" s="1">
        <v>45992</v>
      </c>
      <c r="X706">
        <v>1</v>
      </c>
      <c r="Y706" t="s">
        <v>58</v>
      </c>
      <c r="Z706" s="2">
        <v>0</v>
      </c>
      <c r="AA706">
        <v>0</v>
      </c>
      <c r="AB706" t="s">
        <v>60</v>
      </c>
      <c r="AC706" t="s">
        <v>61</v>
      </c>
      <c r="AD706">
        <v>0</v>
      </c>
      <c r="AE706" s="2">
        <v>0</v>
      </c>
      <c r="AF706" s="2">
        <v>0</v>
      </c>
      <c r="AG706" s="3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45957</v>
      </c>
      <c r="B707" t="s">
        <v>48</v>
      </c>
      <c r="C707">
        <v>649163</v>
      </c>
      <c r="D707">
        <v>2029138758</v>
      </c>
      <c r="E707" t="s">
        <v>701</v>
      </c>
      <c r="F707" t="s">
        <v>702</v>
      </c>
      <c r="G707" t="s">
        <v>51</v>
      </c>
      <c r="H707" t="s">
        <v>287</v>
      </c>
      <c r="I707" s="2">
        <v>15</v>
      </c>
      <c r="J707" t="s">
        <v>59</v>
      </c>
      <c r="K707" s="3">
        <v>0.38</v>
      </c>
      <c r="L707" s="2">
        <v>5.7</v>
      </c>
      <c r="M707" s="2">
        <v>0</v>
      </c>
      <c r="N707" s="2">
        <v>0</v>
      </c>
      <c r="O707" t="s">
        <v>361</v>
      </c>
      <c r="P707" t="s">
        <v>362</v>
      </c>
      <c r="Q707">
        <v>650218</v>
      </c>
      <c r="R707" t="s">
        <v>357</v>
      </c>
      <c r="S707" t="s">
        <v>358</v>
      </c>
      <c r="T707" t="s">
        <v>57</v>
      </c>
      <c r="U707" s="1">
        <v>45809</v>
      </c>
      <c r="W707" s="1">
        <v>45992</v>
      </c>
      <c r="X707">
        <v>1</v>
      </c>
      <c r="Y707" t="s">
        <v>58</v>
      </c>
      <c r="Z707" s="2">
        <v>0</v>
      </c>
      <c r="AA707">
        <v>0</v>
      </c>
      <c r="AB707" t="s">
        <v>60</v>
      </c>
      <c r="AC707" t="s">
        <v>61</v>
      </c>
      <c r="AD707">
        <v>0</v>
      </c>
      <c r="AE707" s="2">
        <v>0</v>
      </c>
      <c r="AF707" s="2">
        <v>0</v>
      </c>
      <c r="AG707" s="3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45957</v>
      </c>
      <c r="B708" t="s">
        <v>48</v>
      </c>
      <c r="C708">
        <v>649163</v>
      </c>
      <c r="D708">
        <v>2029145087</v>
      </c>
      <c r="E708" t="s">
        <v>703</v>
      </c>
      <c r="F708" t="s">
        <v>704</v>
      </c>
      <c r="G708" t="s">
        <v>51</v>
      </c>
      <c r="H708" t="s">
        <v>69</v>
      </c>
      <c r="I708" s="2">
        <v>15</v>
      </c>
      <c r="J708" t="s">
        <v>59</v>
      </c>
      <c r="K708" s="3">
        <v>0.38</v>
      </c>
      <c r="L708" s="2">
        <v>5.7</v>
      </c>
      <c r="M708" s="2">
        <v>0</v>
      </c>
      <c r="N708" s="2">
        <v>0</v>
      </c>
      <c r="O708" t="s">
        <v>361</v>
      </c>
      <c r="P708" t="s">
        <v>362</v>
      </c>
      <c r="Q708">
        <v>766422</v>
      </c>
      <c r="R708" t="s">
        <v>335</v>
      </c>
      <c r="S708" t="s">
        <v>336</v>
      </c>
      <c r="T708" t="s">
        <v>57</v>
      </c>
      <c r="U708" s="1">
        <v>45805</v>
      </c>
      <c r="W708" s="1">
        <v>45989</v>
      </c>
      <c r="X708">
        <v>1</v>
      </c>
      <c r="Y708" t="s">
        <v>58</v>
      </c>
      <c r="Z708" s="2">
        <v>0</v>
      </c>
      <c r="AA708">
        <v>0</v>
      </c>
      <c r="AB708" t="s">
        <v>60</v>
      </c>
      <c r="AC708" t="s">
        <v>61</v>
      </c>
      <c r="AD708">
        <v>0</v>
      </c>
      <c r="AE708" s="2">
        <v>0</v>
      </c>
      <c r="AF708" s="2">
        <v>0</v>
      </c>
      <c r="AG708" s="3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45957</v>
      </c>
      <c r="B709" t="s">
        <v>48</v>
      </c>
      <c r="C709">
        <v>649163</v>
      </c>
      <c r="D709">
        <v>2029620631</v>
      </c>
      <c r="E709" t="s">
        <v>284</v>
      </c>
      <c r="F709" t="s">
        <v>705</v>
      </c>
      <c r="G709" t="s">
        <v>51</v>
      </c>
      <c r="H709" t="s">
        <v>69</v>
      </c>
      <c r="I709" s="2">
        <v>15</v>
      </c>
      <c r="J709" t="s">
        <v>59</v>
      </c>
      <c r="K709" s="3">
        <v>0.38</v>
      </c>
      <c r="L709" s="2">
        <v>5.7</v>
      </c>
      <c r="M709" s="2">
        <v>0</v>
      </c>
      <c r="N709" s="2">
        <v>0</v>
      </c>
      <c r="O709" t="s">
        <v>361</v>
      </c>
      <c r="P709" t="s">
        <v>430</v>
      </c>
      <c r="Q709">
        <v>824062</v>
      </c>
      <c r="R709" t="s">
        <v>74</v>
      </c>
      <c r="S709" t="s">
        <v>75</v>
      </c>
      <c r="T709" t="s">
        <v>57</v>
      </c>
      <c r="U709" s="1">
        <v>45833</v>
      </c>
      <c r="W709" s="1">
        <v>45986</v>
      </c>
      <c r="X709">
        <v>1</v>
      </c>
      <c r="Y709" t="s">
        <v>58</v>
      </c>
      <c r="Z709" s="2">
        <v>0</v>
      </c>
      <c r="AA709">
        <v>0</v>
      </c>
      <c r="AB709" t="s">
        <v>60</v>
      </c>
      <c r="AC709" t="s">
        <v>61</v>
      </c>
      <c r="AD709">
        <v>0</v>
      </c>
      <c r="AE709" s="2">
        <v>0</v>
      </c>
      <c r="AF709" s="2">
        <v>0</v>
      </c>
      <c r="AG709" s="3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45957</v>
      </c>
      <c r="B710" t="s">
        <v>48</v>
      </c>
      <c r="C710">
        <v>649163</v>
      </c>
      <c r="D710">
        <v>2029623278</v>
      </c>
      <c r="E710" t="s">
        <v>106</v>
      </c>
      <c r="F710" t="s">
        <v>706</v>
      </c>
      <c r="G710" t="s">
        <v>51</v>
      </c>
      <c r="H710" t="s">
        <v>69</v>
      </c>
      <c r="I710" s="2">
        <v>15</v>
      </c>
      <c r="J710" t="s">
        <v>59</v>
      </c>
      <c r="K710" s="3">
        <v>0.38</v>
      </c>
      <c r="L710" s="2">
        <v>5.7</v>
      </c>
      <c r="M710" s="2">
        <v>0</v>
      </c>
      <c r="N710" s="2">
        <v>0</v>
      </c>
      <c r="O710" t="s">
        <v>361</v>
      </c>
      <c r="P710" t="s">
        <v>430</v>
      </c>
      <c r="Q710">
        <v>840313</v>
      </c>
      <c r="R710" t="s">
        <v>159</v>
      </c>
      <c r="S710" t="s">
        <v>160</v>
      </c>
      <c r="T710" t="s">
        <v>57</v>
      </c>
      <c r="U710" s="1">
        <v>45833</v>
      </c>
      <c r="W710" s="1">
        <v>45986</v>
      </c>
      <c r="X710">
        <v>1</v>
      </c>
      <c r="Y710" t="s">
        <v>58</v>
      </c>
      <c r="Z710" s="2">
        <v>0</v>
      </c>
      <c r="AA710">
        <v>0</v>
      </c>
      <c r="AB710" t="s">
        <v>60</v>
      </c>
      <c r="AC710" t="s">
        <v>61</v>
      </c>
      <c r="AD710">
        <v>0</v>
      </c>
      <c r="AE710" s="2">
        <v>0</v>
      </c>
      <c r="AF710" s="2">
        <v>0</v>
      </c>
      <c r="AG710" s="3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45957</v>
      </c>
      <c r="B711" t="s">
        <v>48</v>
      </c>
      <c r="C711">
        <v>649163</v>
      </c>
      <c r="D711">
        <v>2030439492</v>
      </c>
      <c r="E711" t="s">
        <v>84</v>
      </c>
      <c r="F711" t="s">
        <v>85</v>
      </c>
      <c r="G711" t="s">
        <v>51</v>
      </c>
      <c r="H711" t="s">
        <v>69</v>
      </c>
      <c r="I711" s="2">
        <v>15</v>
      </c>
      <c r="J711" t="s">
        <v>59</v>
      </c>
      <c r="K711" s="3">
        <v>0.38</v>
      </c>
      <c r="L711" s="2">
        <v>5.7</v>
      </c>
      <c r="M711" s="2">
        <v>0</v>
      </c>
      <c r="N711" s="2">
        <v>0</v>
      </c>
      <c r="O711" t="s">
        <v>361</v>
      </c>
      <c r="P711" t="s">
        <v>362</v>
      </c>
      <c r="Q711">
        <v>673059</v>
      </c>
      <c r="R711" t="s">
        <v>55</v>
      </c>
      <c r="S711" t="s">
        <v>56</v>
      </c>
      <c r="T711" t="s">
        <v>57</v>
      </c>
      <c r="U711" s="1">
        <v>45901</v>
      </c>
      <c r="W711" s="1">
        <v>45992</v>
      </c>
      <c r="X711">
        <v>1</v>
      </c>
      <c r="Y711" t="s">
        <v>58</v>
      </c>
      <c r="Z711" s="2">
        <v>0</v>
      </c>
      <c r="AA711">
        <v>0</v>
      </c>
      <c r="AB711" t="s">
        <v>60</v>
      </c>
      <c r="AC711" t="s">
        <v>61</v>
      </c>
      <c r="AD711">
        <v>0</v>
      </c>
      <c r="AE711" s="2">
        <v>0</v>
      </c>
      <c r="AF711" s="2">
        <v>0</v>
      </c>
      <c r="AG711" s="3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45957</v>
      </c>
      <c r="B712" t="s">
        <v>48</v>
      </c>
      <c r="C712">
        <v>649163</v>
      </c>
      <c r="D712">
        <v>2030625306</v>
      </c>
      <c r="E712" t="s">
        <v>161</v>
      </c>
      <c r="F712" t="s">
        <v>162</v>
      </c>
      <c r="G712" t="s">
        <v>51</v>
      </c>
      <c r="H712" t="s">
        <v>69</v>
      </c>
      <c r="I712" s="2">
        <v>15</v>
      </c>
      <c r="J712" t="s">
        <v>59</v>
      </c>
      <c r="K712" s="3">
        <v>0.38</v>
      </c>
      <c r="L712" s="2">
        <v>5.7</v>
      </c>
      <c r="M712" s="2">
        <v>0</v>
      </c>
      <c r="N712" s="2">
        <v>0</v>
      </c>
      <c r="O712" t="s">
        <v>361</v>
      </c>
      <c r="P712" t="s">
        <v>430</v>
      </c>
      <c r="Q712">
        <v>882035</v>
      </c>
      <c r="R712" t="s">
        <v>141</v>
      </c>
      <c r="S712" t="s">
        <v>142</v>
      </c>
      <c r="T712" t="s">
        <v>57</v>
      </c>
      <c r="U712" s="1">
        <v>45901</v>
      </c>
      <c r="W712" s="1">
        <v>45992</v>
      </c>
      <c r="X712">
        <v>1</v>
      </c>
      <c r="Y712" t="s">
        <v>58</v>
      </c>
      <c r="Z712" s="2">
        <v>0</v>
      </c>
      <c r="AA712">
        <v>0</v>
      </c>
      <c r="AB712" t="s">
        <v>60</v>
      </c>
      <c r="AC712" t="s">
        <v>61</v>
      </c>
      <c r="AD712">
        <v>0</v>
      </c>
      <c r="AE712" s="2">
        <v>0</v>
      </c>
      <c r="AF712" s="2">
        <v>0</v>
      </c>
      <c r="AG712" s="3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45957</v>
      </c>
      <c r="B713" t="s">
        <v>48</v>
      </c>
      <c r="C713">
        <v>649163</v>
      </c>
      <c r="D713">
        <v>2030627973</v>
      </c>
      <c r="E713" t="s">
        <v>707</v>
      </c>
      <c r="F713" t="s">
        <v>708</v>
      </c>
      <c r="G713" t="s">
        <v>51</v>
      </c>
      <c r="H713" t="s">
        <v>195</v>
      </c>
      <c r="I713" s="2">
        <v>15</v>
      </c>
      <c r="J713" t="s">
        <v>59</v>
      </c>
      <c r="K713" s="3">
        <v>0.38</v>
      </c>
      <c r="L713" s="2">
        <v>5.7</v>
      </c>
      <c r="M713" s="2">
        <v>0</v>
      </c>
      <c r="N713" s="2">
        <v>0</v>
      </c>
      <c r="O713" t="s">
        <v>361</v>
      </c>
      <c r="P713" t="s">
        <v>362</v>
      </c>
      <c r="Q713">
        <v>885445</v>
      </c>
      <c r="R713" t="s">
        <v>196</v>
      </c>
      <c r="S713" t="s">
        <v>197</v>
      </c>
      <c r="T713" t="s">
        <v>57</v>
      </c>
      <c r="U713" s="1">
        <v>45901</v>
      </c>
      <c r="W713" s="1">
        <v>45992</v>
      </c>
      <c r="X713">
        <v>1</v>
      </c>
      <c r="Y713" t="s">
        <v>58</v>
      </c>
      <c r="Z713" s="2">
        <v>0</v>
      </c>
      <c r="AA713">
        <v>0</v>
      </c>
      <c r="AB713" t="s">
        <v>60</v>
      </c>
      <c r="AC713" t="s">
        <v>61</v>
      </c>
      <c r="AD713">
        <v>0</v>
      </c>
      <c r="AE713" s="2">
        <v>0</v>
      </c>
      <c r="AF713" s="2">
        <v>0</v>
      </c>
      <c r="AG713" s="3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45957</v>
      </c>
      <c r="B714" t="s">
        <v>48</v>
      </c>
      <c r="C714">
        <v>649163</v>
      </c>
      <c r="D714">
        <v>2031255011</v>
      </c>
      <c r="E714" t="s">
        <v>253</v>
      </c>
      <c r="F714" t="s">
        <v>254</v>
      </c>
      <c r="G714" t="s">
        <v>51</v>
      </c>
      <c r="H714" t="s">
        <v>69</v>
      </c>
      <c r="I714" s="2">
        <v>15</v>
      </c>
      <c r="J714" t="s">
        <v>431</v>
      </c>
      <c r="K714" s="3">
        <v>0.38</v>
      </c>
      <c r="L714" s="2">
        <v>5.7</v>
      </c>
      <c r="M714" s="2">
        <v>0</v>
      </c>
      <c r="N714" s="2">
        <v>0</v>
      </c>
      <c r="O714" t="s">
        <v>361</v>
      </c>
      <c r="P714" t="s">
        <v>430</v>
      </c>
      <c r="Q714">
        <v>812994</v>
      </c>
      <c r="R714" t="s">
        <v>228</v>
      </c>
      <c r="S714" t="s">
        <v>229</v>
      </c>
      <c r="T714" t="s">
        <v>57</v>
      </c>
      <c r="U714" s="1">
        <v>45925</v>
      </c>
      <c r="W714" s="1">
        <v>45986</v>
      </c>
      <c r="X714">
        <v>1</v>
      </c>
      <c r="Y714" t="s">
        <v>58</v>
      </c>
      <c r="Z714" s="2">
        <v>0</v>
      </c>
      <c r="AA714">
        <v>0</v>
      </c>
      <c r="AB714" t="s">
        <v>60</v>
      </c>
      <c r="AC714" t="s">
        <v>61</v>
      </c>
      <c r="AD714">
        <v>0</v>
      </c>
      <c r="AE714" s="2">
        <v>0</v>
      </c>
      <c r="AF714" s="2">
        <v>0</v>
      </c>
      <c r="AG714" s="3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45957</v>
      </c>
      <c r="B715" t="s">
        <v>48</v>
      </c>
      <c r="C715">
        <v>649163</v>
      </c>
      <c r="D715">
        <v>2030801812</v>
      </c>
      <c r="E715" t="s">
        <v>232</v>
      </c>
      <c r="F715" t="s">
        <v>233</v>
      </c>
      <c r="G715" t="s">
        <v>51</v>
      </c>
      <c r="H715" t="s">
        <v>234</v>
      </c>
      <c r="I715" s="2">
        <v>23.05</v>
      </c>
      <c r="J715" t="s">
        <v>59</v>
      </c>
      <c r="K715" s="3">
        <v>0.6</v>
      </c>
      <c r="L715" s="2">
        <v>13.83</v>
      </c>
      <c r="M715" s="2">
        <v>0</v>
      </c>
      <c r="N715" s="2">
        <v>0</v>
      </c>
      <c r="O715" t="s">
        <v>361</v>
      </c>
      <c r="P715" t="s">
        <v>820</v>
      </c>
      <c r="Q715">
        <v>652037</v>
      </c>
      <c r="R715" t="s">
        <v>155</v>
      </c>
      <c r="S715" t="s">
        <v>156</v>
      </c>
      <c r="T715" t="s">
        <v>57</v>
      </c>
      <c r="U715" s="1">
        <v>45901</v>
      </c>
      <c r="W715" s="1">
        <v>45992</v>
      </c>
      <c r="X715">
        <v>1</v>
      </c>
      <c r="Y715" t="s">
        <v>58</v>
      </c>
      <c r="Z715" s="2">
        <v>0</v>
      </c>
      <c r="AA715">
        <v>0</v>
      </c>
      <c r="AB715" t="s">
        <v>60</v>
      </c>
      <c r="AC715" t="s">
        <v>61</v>
      </c>
      <c r="AD715">
        <v>0</v>
      </c>
      <c r="AE715" s="2">
        <v>0</v>
      </c>
      <c r="AF715" s="2">
        <v>0</v>
      </c>
      <c r="AG715" s="3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45957</v>
      </c>
      <c r="B716" t="s">
        <v>48</v>
      </c>
      <c r="C716">
        <v>649163</v>
      </c>
      <c r="D716">
        <v>2016328594</v>
      </c>
      <c r="E716" t="s">
        <v>558</v>
      </c>
      <c r="F716" t="s">
        <v>342</v>
      </c>
      <c r="G716" t="s">
        <v>51</v>
      </c>
      <c r="H716" t="s">
        <v>559</v>
      </c>
      <c r="I716" s="2">
        <v>85.84</v>
      </c>
      <c r="J716" t="s">
        <v>59</v>
      </c>
      <c r="K716" s="3">
        <v>0.1</v>
      </c>
      <c r="L716" s="2">
        <v>0</v>
      </c>
      <c r="M716" s="2">
        <v>8.58</v>
      </c>
      <c r="N716" s="2">
        <v>8.58</v>
      </c>
      <c r="O716" t="s">
        <v>369</v>
      </c>
      <c r="P716" t="s">
        <v>375</v>
      </c>
      <c r="Q716">
        <v>651818</v>
      </c>
      <c r="R716" t="s">
        <v>560</v>
      </c>
      <c r="S716" t="s">
        <v>336</v>
      </c>
      <c r="T716" t="s">
        <v>57</v>
      </c>
      <c r="U716" s="1">
        <v>44829</v>
      </c>
      <c r="W716" s="1">
        <v>45986</v>
      </c>
      <c r="X716">
        <v>1</v>
      </c>
      <c r="Y716" t="s">
        <v>58</v>
      </c>
      <c r="Z716" s="2">
        <v>0</v>
      </c>
      <c r="AA716">
        <v>0</v>
      </c>
      <c r="AB716" t="s">
        <v>264</v>
      </c>
      <c r="AC716" t="s">
        <v>61</v>
      </c>
      <c r="AD716">
        <v>0</v>
      </c>
      <c r="AE716" s="2">
        <v>0</v>
      </c>
      <c r="AF716" s="2">
        <v>0</v>
      </c>
      <c r="AG716" s="3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45957</v>
      </c>
      <c r="B717" t="s">
        <v>48</v>
      </c>
      <c r="C717">
        <v>649163</v>
      </c>
      <c r="D717">
        <v>2016589853</v>
      </c>
      <c r="E717" t="s">
        <v>561</v>
      </c>
      <c r="F717" t="s">
        <v>562</v>
      </c>
      <c r="G717" t="s">
        <v>51</v>
      </c>
      <c r="H717" t="s">
        <v>563</v>
      </c>
      <c r="I717" s="2">
        <v>54.67</v>
      </c>
      <c r="J717" t="s">
        <v>59</v>
      </c>
      <c r="K717" s="3">
        <v>0.1</v>
      </c>
      <c r="L717" s="2">
        <v>0</v>
      </c>
      <c r="M717" s="2">
        <v>5.47</v>
      </c>
      <c r="N717" s="2">
        <v>5.47</v>
      </c>
      <c r="O717" t="s">
        <v>369</v>
      </c>
      <c r="P717" t="s">
        <v>375</v>
      </c>
      <c r="Q717">
        <v>651818</v>
      </c>
      <c r="R717" t="s">
        <v>560</v>
      </c>
      <c r="S717" t="s">
        <v>336</v>
      </c>
      <c r="T717" t="s">
        <v>57</v>
      </c>
      <c r="U717" s="1">
        <v>44866</v>
      </c>
      <c r="W717" s="1">
        <v>45992</v>
      </c>
      <c r="X717">
        <v>1</v>
      </c>
      <c r="Y717" t="s">
        <v>58</v>
      </c>
      <c r="Z717" s="2">
        <v>0</v>
      </c>
      <c r="AA717">
        <v>0</v>
      </c>
      <c r="AB717" t="s">
        <v>264</v>
      </c>
      <c r="AC717" t="s">
        <v>61</v>
      </c>
      <c r="AD717">
        <v>0</v>
      </c>
      <c r="AE717" s="2">
        <v>0</v>
      </c>
      <c r="AF717" s="2">
        <v>0</v>
      </c>
      <c r="AG717" s="3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45957</v>
      </c>
      <c r="B718" t="s">
        <v>48</v>
      </c>
      <c r="C718">
        <v>649163</v>
      </c>
      <c r="D718">
        <v>2016611651</v>
      </c>
      <c r="E718" t="s">
        <v>564</v>
      </c>
      <c r="F718" t="s">
        <v>565</v>
      </c>
      <c r="G718" t="s">
        <v>51</v>
      </c>
      <c r="H718" t="s">
        <v>69</v>
      </c>
      <c r="I718" s="2">
        <v>111.83</v>
      </c>
      <c r="J718" t="s">
        <v>59</v>
      </c>
      <c r="K718" s="3">
        <v>0.1</v>
      </c>
      <c r="L718" s="2">
        <v>0</v>
      </c>
      <c r="M718" s="2">
        <v>11.18</v>
      </c>
      <c r="N718" s="2">
        <v>11.18</v>
      </c>
      <c r="O718" t="s">
        <v>369</v>
      </c>
      <c r="P718" t="s">
        <v>375</v>
      </c>
      <c r="Q718">
        <v>649793</v>
      </c>
      <c r="R718" t="s">
        <v>55</v>
      </c>
      <c r="S718" t="s">
        <v>566</v>
      </c>
      <c r="T718" t="s">
        <v>57</v>
      </c>
      <c r="U718" s="1">
        <v>44866</v>
      </c>
      <c r="W718" s="1">
        <v>45992</v>
      </c>
      <c r="X718">
        <v>1</v>
      </c>
      <c r="Y718" t="s">
        <v>58</v>
      </c>
      <c r="Z718" s="2">
        <v>0</v>
      </c>
      <c r="AA718">
        <v>0</v>
      </c>
      <c r="AB718" t="s">
        <v>264</v>
      </c>
      <c r="AC718" t="s">
        <v>61</v>
      </c>
      <c r="AD718">
        <v>0</v>
      </c>
      <c r="AE718" s="2">
        <v>0</v>
      </c>
      <c r="AF718" s="2">
        <v>0</v>
      </c>
      <c r="AG718" s="3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45957</v>
      </c>
      <c r="B719" t="s">
        <v>48</v>
      </c>
      <c r="C719">
        <v>649163</v>
      </c>
      <c r="D719">
        <v>2016927272</v>
      </c>
      <c r="E719" t="s">
        <v>567</v>
      </c>
      <c r="F719" t="s">
        <v>568</v>
      </c>
      <c r="G719" t="s">
        <v>51</v>
      </c>
      <c r="H719" t="s">
        <v>563</v>
      </c>
      <c r="I719" s="2">
        <v>395.25</v>
      </c>
      <c r="J719" t="s">
        <v>59</v>
      </c>
      <c r="K719" s="3">
        <v>0.1</v>
      </c>
      <c r="L719" s="2">
        <v>0</v>
      </c>
      <c r="M719" s="2">
        <v>39.520000000000003</v>
      </c>
      <c r="N719" s="2">
        <v>39.520000000000003</v>
      </c>
      <c r="O719" t="s">
        <v>369</v>
      </c>
      <c r="P719" t="s">
        <v>375</v>
      </c>
      <c r="Q719">
        <v>651818</v>
      </c>
      <c r="R719" t="s">
        <v>560</v>
      </c>
      <c r="S719" t="s">
        <v>336</v>
      </c>
      <c r="T719" t="s">
        <v>57</v>
      </c>
      <c r="U719" s="1">
        <v>44894</v>
      </c>
      <c r="W719" s="1">
        <v>45990</v>
      </c>
      <c r="X719">
        <v>1</v>
      </c>
      <c r="Y719" t="s">
        <v>58</v>
      </c>
      <c r="Z719" s="2">
        <v>0</v>
      </c>
      <c r="AA719">
        <v>0</v>
      </c>
      <c r="AB719" t="s">
        <v>264</v>
      </c>
      <c r="AC719" t="s">
        <v>61</v>
      </c>
      <c r="AD719">
        <v>0</v>
      </c>
      <c r="AE719" s="2">
        <v>0</v>
      </c>
      <c r="AF719" s="2">
        <v>0</v>
      </c>
      <c r="AG719" s="3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45957</v>
      </c>
      <c r="B720" t="s">
        <v>48</v>
      </c>
      <c r="C720">
        <v>649163</v>
      </c>
      <c r="D720">
        <v>2017333575</v>
      </c>
      <c r="E720" t="s">
        <v>569</v>
      </c>
      <c r="F720" t="s">
        <v>570</v>
      </c>
      <c r="G720" t="s">
        <v>51</v>
      </c>
      <c r="H720" t="s">
        <v>261</v>
      </c>
      <c r="I720" s="2">
        <v>152.54</v>
      </c>
      <c r="J720" t="s">
        <v>59</v>
      </c>
      <c r="K720" s="3">
        <v>0.1</v>
      </c>
      <c r="L720" s="2">
        <v>0</v>
      </c>
      <c r="M720" s="2">
        <v>15.25</v>
      </c>
      <c r="N720" s="2">
        <v>15.25</v>
      </c>
      <c r="O720" t="s">
        <v>369</v>
      </c>
      <c r="P720" t="s">
        <v>375</v>
      </c>
      <c r="Q720">
        <v>649793</v>
      </c>
      <c r="R720" t="s">
        <v>55</v>
      </c>
      <c r="S720" t="s">
        <v>566</v>
      </c>
      <c r="T720" t="s">
        <v>57</v>
      </c>
      <c r="U720" s="1">
        <v>44958</v>
      </c>
      <c r="W720" s="1">
        <v>45992</v>
      </c>
      <c r="X720">
        <v>1</v>
      </c>
      <c r="Y720" t="s">
        <v>58</v>
      </c>
      <c r="Z720" s="2">
        <v>0</v>
      </c>
      <c r="AA720">
        <v>0</v>
      </c>
      <c r="AB720" t="s">
        <v>264</v>
      </c>
      <c r="AC720" t="s">
        <v>61</v>
      </c>
      <c r="AD720">
        <v>0</v>
      </c>
      <c r="AE720" s="2">
        <v>0</v>
      </c>
      <c r="AF720" s="2">
        <v>0</v>
      </c>
      <c r="AG720" s="3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45957</v>
      </c>
      <c r="B721" t="s">
        <v>48</v>
      </c>
      <c r="C721">
        <v>649163</v>
      </c>
      <c r="D721">
        <v>2017351925</v>
      </c>
      <c r="E721" t="s">
        <v>571</v>
      </c>
      <c r="F721" t="s">
        <v>490</v>
      </c>
      <c r="G721" t="s">
        <v>51</v>
      </c>
      <c r="H721" t="s">
        <v>118</v>
      </c>
      <c r="I721" s="2">
        <v>73.08</v>
      </c>
      <c r="J721" t="s">
        <v>59</v>
      </c>
      <c r="K721" s="3">
        <v>0.1</v>
      </c>
      <c r="L721" s="2">
        <v>0</v>
      </c>
      <c r="M721" s="2">
        <v>7.31</v>
      </c>
      <c r="N721" s="2">
        <v>7.31</v>
      </c>
      <c r="O721" t="s">
        <v>369</v>
      </c>
      <c r="P721" t="s">
        <v>375</v>
      </c>
      <c r="Q721">
        <v>652037</v>
      </c>
      <c r="R721" t="s">
        <v>155</v>
      </c>
      <c r="S721" t="s">
        <v>156</v>
      </c>
      <c r="T721" t="s">
        <v>57</v>
      </c>
      <c r="U721" s="1">
        <v>44958</v>
      </c>
      <c r="W721" s="1">
        <v>45992</v>
      </c>
      <c r="X721">
        <v>1</v>
      </c>
      <c r="Y721" t="s">
        <v>58</v>
      </c>
      <c r="Z721" s="2">
        <v>0</v>
      </c>
      <c r="AA721">
        <v>0</v>
      </c>
      <c r="AB721" t="s">
        <v>264</v>
      </c>
      <c r="AC721" t="s">
        <v>61</v>
      </c>
      <c r="AD721">
        <v>0</v>
      </c>
      <c r="AE721" s="2">
        <v>0</v>
      </c>
      <c r="AF721" s="2">
        <v>0</v>
      </c>
      <c r="AG721" s="3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45957</v>
      </c>
      <c r="B722" t="s">
        <v>48</v>
      </c>
      <c r="C722">
        <v>649163</v>
      </c>
      <c r="D722">
        <v>2018077137</v>
      </c>
      <c r="E722" t="s">
        <v>572</v>
      </c>
      <c r="F722" t="s">
        <v>312</v>
      </c>
      <c r="G722" t="s">
        <v>51</v>
      </c>
      <c r="H722" t="s">
        <v>118</v>
      </c>
      <c r="I722" s="2">
        <v>193.83</v>
      </c>
      <c r="J722" t="s">
        <v>59</v>
      </c>
      <c r="K722" s="3">
        <v>0.1</v>
      </c>
      <c r="L722" s="2">
        <v>0</v>
      </c>
      <c r="M722" s="2">
        <v>19.38</v>
      </c>
      <c r="N722" s="2">
        <v>19.38</v>
      </c>
      <c r="O722" t="s">
        <v>369</v>
      </c>
      <c r="P722" t="s">
        <v>375</v>
      </c>
      <c r="Q722">
        <v>652037</v>
      </c>
      <c r="R722" t="s">
        <v>155</v>
      </c>
      <c r="S722" t="s">
        <v>156</v>
      </c>
      <c r="T722" t="s">
        <v>57</v>
      </c>
      <c r="U722" s="1">
        <v>45017</v>
      </c>
      <c r="W722" s="1">
        <v>45992</v>
      </c>
      <c r="X722">
        <v>1</v>
      </c>
      <c r="Y722" t="s">
        <v>58</v>
      </c>
      <c r="Z722" s="2">
        <v>0</v>
      </c>
      <c r="AA722">
        <v>0</v>
      </c>
      <c r="AB722" t="s">
        <v>264</v>
      </c>
      <c r="AC722" t="s">
        <v>61</v>
      </c>
      <c r="AD722">
        <v>0</v>
      </c>
      <c r="AE722" s="2">
        <v>0</v>
      </c>
      <c r="AF722" s="2">
        <v>0</v>
      </c>
      <c r="AG722" s="3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45957</v>
      </c>
      <c r="B723" t="s">
        <v>48</v>
      </c>
      <c r="C723">
        <v>649163</v>
      </c>
      <c r="D723">
        <v>2018192802</v>
      </c>
      <c r="E723" t="s">
        <v>573</v>
      </c>
      <c r="F723" t="s">
        <v>574</v>
      </c>
      <c r="G723" t="s">
        <v>51</v>
      </c>
      <c r="H723" t="s">
        <v>165</v>
      </c>
      <c r="I723" s="2">
        <v>206.88</v>
      </c>
      <c r="J723" t="s">
        <v>59</v>
      </c>
      <c r="K723" s="3">
        <v>0.1</v>
      </c>
      <c r="L723" s="2">
        <v>0</v>
      </c>
      <c r="M723" s="2">
        <v>20.69</v>
      </c>
      <c r="N723" s="2">
        <v>20.69</v>
      </c>
      <c r="O723" t="s">
        <v>369</v>
      </c>
      <c r="P723" t="s">
        <v>370</v>
      </c>
      <c r="Q723">
        <v>651818</v>
      </c>
      <c r="R723" t="s">
        <v>560</v>
      </c>
      <c r="S723" t="s">
        <v>336</v>
      </c>
      <c r="T723" t="s">
        <v>57</v>
      </c>
      <c r="U723" s="1">
        <v>45015</v>
      </c>
      <c r="W723" s="1">
        <v>45991</v>
      </c>
      <c r="X723">
        <v>1</v>
      </c>
      <c r="Y723" t="s">
        <v>58</v>
      </c>
      <c r="Z723" s="2">
        <v>0</v>
      </c>
      <c r="AA723">
        <v>0</v>
      </c>
      <c r="AB723" t="s">
        <v>264</v>
      </c>
      <c r="AC723" t="s">
        <v>61</v>
      </c>
      <c r="AD723">
        <v>0</v>
      </c>
      <c r="AE723" s="2">
        <v>0</v>
      </c>
      <c r="AF723" s="2">
        <v>0</v>
      </c>
      <c r="AG723" s="3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45957</v>
      </c>
      <c r="B724" t="s">
        <v>48</v>
      </c>
      <c r="C724">
        <v>649163</v>
      </c>
      <c r="D724">
        <v>2018621161</v>
      </c>
      <c r="E724" t="s">
        <v>267</v>
      </c>
      <c r="F724" t="s">
        <v>268</v>
      </c>
      <c r="G724" t="s">
        <v>51</v>
      </c>
      <c r="H724" t="s">
        <v>129</v>
      </c>
      <c r="I724" s="2">
        <v>160.83000000000001</v>
      </c>
      <c r="J724" t="s">
        <v>59</v>
      </c>
      <c r="K724" s="3">
        <v>0.1</v>
      </c>
      <c r="L724" s="2">
        <v>0</v>
      </c>
      <c r="M724" s="2">
        <v>16.079999999999998</v>
      </c>
      <c r="N724" s="2">
        <v>16.079999999999998</v>
      </c>
      <c r="O724" t="s">
        <v>369</v>
      </c>
      <c r="P724" t="s">
        <v>370</v>
      </c>
      <c r="Q724">
        <v>673059</v>
      </c>
      <c r="R724" t="s">
        <v>55</v>
      </c>
      <c r="S724" t="s">
        <v>56</v>
      </c>
      <c r="T724" t="s">
        <v>57</v>
      </c>
      <c r="U724" s="1">
        <v>45078</v>
      </c>
      <c r="W724" s="1">
        <v>45992</v>
      </c>
      <c r="X724">
        <v>1</v>
      </c>
      <c r="Y724" t="s">
        <v>58</v>
      </c>
      <c r="Z724" s="2">
        <v>0</v>
      </c>
      <c r="AA724">
        <v>0</v>
      </c>
      <c r="AB724" t="s">
        <v>264</v>
      </c>
      <c r="AC724" t="s">
        <v>61</v>
      </c>
      <c r="AD724">
        <v>0</v>
      </c>
      <c r="AE724" s="2">
        <v>0</v>
      </c>
      <c r="AF724" s="2">
        <v>0</v>
      </c>
      <c r="AG724" s="3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45957</v>
      </c>
      <c r="B725" t="s">
        <v>48</v>
      </c>
      <c r="C725">
        <v>649163</v>
      </c>
      <c r="D725">
        <v>2021427318</v>
      </c>
      <c r="E725" t="s">
        <v>575</v>
      </c>
      <c r="F725" t="s">
        <v>103</v>
      </c>
      <c r="G725" t="s">
        <v>51</v>
      </c>
      <c r="H725" t="s">
        <v>261</v>
      </c>
      <c r="I725" s="2">
        <v>149.51</v>
      </c>
      <c r="J725" t="s">
        <v>59</v>
      </c>
      <c r="K725" s="3">
        <v>0.1</v>
      </c>
      <c r="L725" s="2">
        <v>0</v>
      </c>
      <c r="M725" s="2">
        <v>14.95</v>
      </c>
      <c r="N725" s="2">
        <v>14.95</v>
      </c>
      <c r="O725" t="s">
        <v>369</v>
      </c>
      <c r="P725" t="s">
        <v>370</v>
      </c>
      <c r="Q725">
        <v>673059</v>
      </c>
      <c r="R725" t="s">
        <v>55</v>
      </c>
      <c r="S725" t="s">
        <v>56</v>
      </c>
      <c r="T725" t="s">
        <v>57</v>
      </c>
      <c r="U725" s="1">
        <v>45351</v>
      </c>
      <c r="W725" s="1">
        <v>45990</v>
      </c>
      <c r="X725">
        <v>1</v>
      </c>
      <c r="Y725" t="s">
        <v>58</v>
      </c>
      <c r="Z725" s="2">
        <v>0</v>
      </c>
      <c r="AA725">
        <v>0</v>
      </c>
      <c r="AB725" t="s">
        <v>264</v>
      </c>
      <c r="AC725" t="s">
        <v>61</v>
      </c>
      <c r="AD725">
        <v>0</v>
      </c>
      <c r="AE725" s="2">
        <v>0</v>
      </c>
      <c r="AF725" s="2">
        <v>0</v>
      </c>
      <c r="AG725" s="3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45957</v>
      </c>
      <c r="B726" t="s">
        <v>48</v>
      </c>
      <c r="C726">
        <v>649163</v>
      </c>
      <c r="D726">
        <v>2022762069</v>
      </c>
      <c r="E726" t="s">
        <v>576</v>
      </c>
      <c r="F726" t="s">
        <v>577</v>
      </c>
      <c r="G726" t="s">
        <v>51</v>
      </c>
      <c r="H726" t="s">
        <v>190</v>
      </c>
      <c r="I726" s="2">
        <v>178.58</v>
      </c>
      <c r="J726" t="s">
        <v>59</v>
      </c>
      <c r="K726" s="3">
        <v>0.1</v>
      </c>
      <c r="L726" s="2">
        <v>0</v>
      </c>
      <c r="M726" s="2">
        <v>17.86</v>
      </c>
      <c r="N726" s="2">
        <v>17.86</v>
      </c>
      <c r="O726" t="s">
        <v>369</v>
      </c>
      <c r="P726" t="s">
        <v>375</v>
      </c>
      <c r="Q726">
        <v>651818</v>
      </c>
      <c r="R726" t="s">
        <v>560</v>
      </c>
      <c r="S726" t="s">
        <v>336</v>
      </c>
      <c r="T726" t="s">
        <v>57</v>
      </c>
      <c r="U726" s="1">
        <v>45407</v>
      </c>
      <c r="W726" s="1">
        <v>45986</v>
      </c>
      <c r="X726">
        <v>1</v>
      </c>
      <c r="Y726" t="s">
        <v>58</v>
      </c>
      <c r="Z726" s="2">
        <v>0</v>
      </c>
      <c r="AA726">
        <v>0</v>
      </c>
      <c r="AB726" t="s">
        <v>264</v>
      </c>
      <c r="AC726" t="s">
        <v>61</v>
      </c>
      <c r="AD726">
        <v>0</v>
      </c>
      <c r="AE726" s="2">
        <v>0</v>
      </c>
      <c r="AF726" s="2">
        <v>0</v>
      </c>
      <c r="AG726" s="3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45957</v>
      </c>
      <c r="B727" t="s">
        <v>48</v>
      </c>
      <c r="C727">
        <v>649163</v>
      </c>
      <c r="D727">
        <v>2024136818</v>
      </c>
      <c r="E727" t="s">
        <v>283</v>
      </c>
      <c r="F727" t="s">
        <v>284</v>
      </c>
      <c r="G727" t="s">
        <v>51</v>
      </c>
      <c r="H727" t="s">
        <v>52</v>
      </c>
      <c r="I727" s="2">
        <v>127.15</v>
      </c>
      <c r="J727" t="s">
        <v>59</v>
      </c>
      <c r="K727" s="3">
        <v>0.1</v>
      </c>
      <c r="L727" s="2">
        <v>0</v>
      </c>
      <c r="M727" s="2">
        <v>12.72</v>
      </c>
      <c r="N727" s="2">
        <v>12.72</v>
      </c>
      <c r="O727" t="s">
        <v>369</v>
      </c>
      <c r="P727" t="s">
        <v>418</v>
      </c>
      <c r="Q727">
        <v>673059</v>
      </c>
      <c r="R727" t="s">
        <v>55</v>
      </c>
      <c r="S727" t="s">
        <v>56</v>
      </c>
      <c r="T727" t="s">
        <v>57</v>
      </c>
      <c r="U727" s="1">
        <v>45536</v>
      </c>
      <c r="W727" s="1">
        <v>45992</v>
      </c>
      <c r="X727">
        <v>1</v>
      </c>
      <c r="Y727" t="s">
        <v>58</v>
      </c>
      <c r="Z727" s="2">
        <v>0</v>
      </c>
      <c r="AA727">
        <v>0</v>
      </c>
      <c r="AB727" t="s">
        <v>264</v>
      </c>
      <c r="AC727" t="s">
        <v>61</v>
      </c>
      <c r="AD727">
        <v>0</v>
      </c>
      <c r="AE727" s="2">
        <v>0</v>
      </c>
      <c r="AF727" s="2">
        <v>0</v>
      </c>
      <c r="AG727" s="3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45957</v>
      </c>
      <c r="B728" t="s">
        <v>48</v>
      </c>
      <c r="C728">
        <v>649163</v>
      </c>
      <c r="D728">
        <v>2024384777</v>
      </c>
      <c r="E728" t="s">
        <v>578</v>
      </c>
      <c r="F728" t="s">
        <v>413</v>
      </c>
      <c r="G728" t="s">
        <v>51</v>
      </c>
      <c r="H728" t="s">
        <v>182</v>
      </c>
      <c r="I728" s="2">
        <v>35.5</v>
      </c>
      <c r="J728" t="s">
        <v>59</v>
      </c>
      <c r="K728" s="3">
        <v>0.1</v>
      </c>
      <c r="L728" s="2">
        <v>0</v>
      </c>
      <c r="M728" s="2">
        <v>3.55</v>
      </c>
      <c r="N728" s="2">
        <v>3.55</v>
      </c>
      <c r="O728" t="s">
        <v>369</v>
      </c>
      <c r="P728" t="s">
        <v>418</v>
      </c>
      <c r="Q728">
        <v>673059</v>
      </c>
      <c r="R728" t="s">
        <v>55</v>
      </c>
      <c r="S728" t="s">
        <v>56</v>
      </c>
      <c r="T728" t="s">
        <v>57</v>
      </c>
      <c r="U728" s="1">
        <v>45536</v>
      </c>
      <c r="W728" s="1">
        <v>45992</v>
      </c>
      <c r="X728">
        <v>1</v>
      </c>
      <c r="Y728" t="s">
        <v>58</v>
      </c>
      <c r="Z728" s="2">
        <v>0</v>
      </c>
      <c r="AA728">
        <v>0</v>
      </c>
      <c r="AB728" t="s">
        <v>264</v>
      </c>
      <c r="AC728" t="s">
        <v>61</v>
      </c>
      <c r="AD728">
        <v>0</v>
      </c>
      <c r="AE728" s="2">
        <v>0</v>
      </c>
      <c r="AF728" s="2">
        <v>0</v>
      </c>
      <c r="AG728" s="3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45957</v>
      </c>
      <c r="B729" t="s">
        <v>48</v>
      </c>
      <c r="C729">
        <v>649163</v>
      </c>
      <c r="D729">
        <v>2026471869</v>
      </c>
      <c r="E729" t="s">
        <v>510</v>
      </c>
      <c r="F729" t="s">
        <v>511</v>
      </c>
      <c r="G729" t="s">
        <v>51</v>
      </c>
      <c r="H729" t="s">
        <v>182</v>
      </c>
      <c r="I729" s="2">
        <v>17.25</v>
      </c>
      <c r="J729" t="s">
        <v>59</v>
      </c>
      <c r="K729" s="3">
        <v>0.65</v>
      </c>
      <c r="L729" s="2">
        <v>0</v>
      </c>
      <c r="M729" s="2">
        <v>11.21</v>
      </c>
      <c r="N729" s="2">
        <v>11.21</v>
      </c>
      <c r="O729" t="s">
        <v>369</v>
      </c>
      <c r="P729" t="s">
        <v>418</v>
      </c>
      <c r="Q729">
        <v>673059</v>
      </c>
      <c r="R729" t="s">
        <v>55</v>
      </c>
      <c r="S729" t="s">
        <v>56</v>
      </c>
      <c r="T729" t="s">
        <v>57</v>
      </c>
      <c r="U729" s="1">
        <v>45689</v>
      </c>
      <c r="W729" s="1">
        <v>45992</v>
      </c>
      <c r="X729">
        <v>1</v>
      </c>
      <c r="Y729" t="s">
        <v>58</v>
      </c>
      <c r="Z729" s="2">
        <v>0</v>
      </c>
      <c r="AA729">
        <v>0</v>
      </c>
      <c r="AB729" t="s">
        <v>60</v>
      </c>
      <c r="AC729" t="s">
        <v>61</v>
      </c>
      <c r="AD729">
        <v>0</v>
      </c>
      <c r="AE729" s="2">
        <v>0</v>
      </c>
      <c r="AF729" s="2">
        <v>0</v>
      </c>
      <c r="AG729" s="3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45957</v>
      </c>
      <c r="B730" t="s">
        <v>48</v>
      </c>
      <c r="C730">
        <v>649163</v>
      </c>
      <c r="D730">
        <v>2026605720</v>
      </c>
      <c r="E730" t="s">
        <v>582</v>
      </c>
      <c r="F730" t="s">
        <v>106</v>
      </c>
      <c r="G730" t="s">
        <v>51</v>
      </c>
      <c r="H730" t="s">
        <v>92</v>
      </c>
      <c r="I730" s="2">
        <v>11.98</v>
      </c>
      <c r="J730" t="s">
        <v>59</v>
      </c>
      <c r="K730" s="3">
        <v>0.65</v>
      </c>
      <c r="L730" s="2">
        <v>0</v>
      </c>
      <c r="M730" s="2">
        <v>7.79</v>
      </c>
      <c r="N730" s="2">
        <v>7.79</v>
      </c>
      <c r="O730" t="s">
        <v>369</v>
      </c>
      <c r="P730" t="s">
        <v>418</v>
      </c>
      <c r="Q730">
        <v>816021</v>
      </c>
      <c r="R730" t="s">
        <v>93</v>
      </c>
      <c r="S730" t="s">
        <v>94</v>
      </c>
      <c r="T730" t="s">
        <v>57</v>
      </c>
      <c r="U730" s="1">
        <v>45689</v>
      </c>
      <c r="W730" s="1">
        <v>45992</v>
      </c>
      <c r="X730">
        <v>1</v>
      </c>
      <c r="Y730" t="s">
        <v>58</v>
      </c>
      <c r="Z730" s="2">
        <v>0</v>
      </c>
      <c r="AA730">
        <v>0</v>
      </c>
      <c r="AB730" t="s">
        <v>60</v>
      </c>
      <c r="AC730" t="s">
        <v>61</v>
      </c>
      <c r="AD730">
        <v>0</v>
      </c>
      <c r="AE730" s="2">
        <v>0</v>
      </c>
      <c r="AF730" s="2">
        <v>0</v>
      </c>
      <c r="AG730" s="3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45957</v>
      </c>
      <c r="B731" t="s">
        <v>48</v>
      </c>
      <c r="C731">
        <v>649163</v>
      </c>
      <c r="D731">
        <v>2026613383</v>
      </c>
      <c r="E731" t="s">
        <v>583</v>
      </c>
      <c r="F731" t="s">
        <v>490</v>
      </c>
      <c r="G731" t="s">
        <v>51</v>
      </c>
      <c r="H731" t="s">
        <v>52</v>
      </c>
      <c r="I731" s="2">
        <v>161.66</v>
      </c>
      <c r="J731" t="s">
        <v>59</v>
      </c>
      <c r="K731" s="3">
        <v>0.65</v>
      </c>
      <c r="L731" s="2">
        <v>0</v>
      </c>
      <c r="M731" s="2">
        <v>105.08</v>
      </c>
      <c r="N731" s="2">
        <v>105.08</v>
      </c>
      <c r="O731" t="s">
        <v>369</v>
      </c>
      <c r="P731" t="s">
        <v>418</v>
      </c>
      <c r="Q731">
        <v>673059</v>
      </c>
      <c r="R731" t="s">
        <v>55</v>
      </c>
      <c r="S731" t="s">
        <v>56</v>
      </c>
      <c r="T731" t="s">
        <v>57</v>
      </c>
      <c r="U731" s="1">
        <v>45689</v>
      </c>
      <c r="W731" s="1">
        <v>45992</v>
      </c>
      <c r="X731">
        <v>1</v>
      </c>
      <c r="Y731" t="s">
        <v>58</v>
      </c>
      <c r="Z731" s="2">
        <v>0</v>
      </c>
      <c r="AA731">
        <v>0</v>
      </c>
      <c r="AB731" t="s">
        <v>60</v>
      </c>
      <c r="AC731" t="s">
        <v>61</v>
      </c>
      <c r="AD731">
        <v>0</v>
      </c>
      <c r="AE731" s="2">
        <v>0</v>
      </c>
      <c r="AF731" s="2">
        <v>0</v>
      </c>
      <c r="AG731" s="3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45957</v>
      </c>
      <c r="B732" t="s">
        <v>48</v>
      </c>
      <c r="C732">
        <v>649163</v>
      </c>
      <c r="D732">
        <v>2026615271</v>
      </c>
      <c r="E732" t="s">
        <v>584</v>
      </c>
      <c r="F732" t="s">
        <v>585</v>
      </c>
      <c r="G732" t="s">
        <v>51</v>
      </c>
      <c r="H732" t="s">
        <v>92</v>
      </c>
      <c r="I732" s="2">
        <v>31.48</v>
      </c>
      <c r="J732" t="s">
        <v>59</v>
      </c>
      <c r="K732" s="3">
        <v>0.65</v>
      </c>
      <c r="L732" s="2">
        <v>0</v>
      </c>
      <c r="M732" s="2">
        <v>20.46</v>
      </c>
      <c r="N732" s="2">
        <v>20.46</v>
      </c>
      <c r="O732" t="s">
        <v>369</v>
      </c>
      <c r="P732" t="s">
        <v>418</v>
      </c>
      <c r="Q732">
        <v>816021</v>
      </c>
      <c r="R732" t="s">
        <v>93</v>
      </c>
      <c r="S732" t="s">
        <v>94</v>
      </c>
      <c r="T732" t="s">
        <v>57</v>
      </c>
      <c r="U732" s="1">
        <v>45689</v>
      </c>
      <c r="W732" s="1">
        <v>45992</v>
      </c>
      <c r="X732">
        <v>1</v>
      </c>
      <c r="Y732" t="s">
        <v>58</v>
      </c>
      <c r="Z732" s="2">
        <v>0</v>
      </c>
      <c r="AA732">
        <v>0</v>
      </c>
      <c r="AB732" t="s">
        <v>60</v>
      </c>
      <c r="AC732" t="s">
        <v>61</v>
      </c>
      <c r="AD732">
        <v>0</v>
      </c>
      <c r="AE732" s="2">
        <v>0</v>
      </c>
      <c r="AF732" s="2">
        <v>0</v>
      </c>
      <c r="AG732" s="3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45957</v>
      </c>
      <c r="B733" t="s">
        <v>48</v>
      </c>
      <c r="C733">
        <v>649163</v>
      </c>
      <c r="D733">
        <v>2026734343</v>
      </c>
      <c r="E733" t="s">
        <v>594</v>
      </c>
      <c r="F733" t="s">
        <v>595</v>
      </c>
      <c r="G733" t="s">
        <v>51</v>
      </c>
      <c r="H733" t="s">
        <v>52</v>
      </c>
      <c r="I733" s="2">
        <v>53.56</v>
      </c>
      <c r="J733" t="s">
        <v>59</v>
      </c>
      <c r="K733" s="3">
        <v>0.65</v>
      </c>
      <c r="L733" s="2">
        <v>0</v>
      </c>
      <c r="M733" s="2">
        <v>34.81</v>
      </c>
      <c r="N733" s="2">
        <v>34.81</v>
      </c>
      <c r="O733" t="s">
        <v>369</v>
      </c>
      <c r="P733" t="s">
        <v>418</v>
      </c>
      <c r="Q733">
        <v>768887</v>
      </c>
      <c r="R733" t="s">
        <v>289</v>
      </c>
      <c r="S733" t="s">
        <v>290</v>
      </c>
      <c r="T733" t="s">
        <v>57</v>
      </c>
      <c r="U733" s="1">
        <v>45689</v>
      </c>
      <c r="W733" s="1">
        <v>45992</v>
      </c>
      <c r="X733">
        <v>1</v>
      </c>
      <c r="Y733" t="s">
        <v>58</v>
      </c>
      <c r="Z733" s="2">
        <v>0</v>
      </c>
      <c r="AA733">
        <v>0</v>
      </c>
      <c r="AB733" t="s">
        <v>60</v>
      </c>
      <c r="AC733" t="s">
        <v>61</v>
      </c>
      <c r="AD733">
        <v>0</v>
      </c>
      <c r="AE733" s="2">
        <v>0</v>
      </c>
      <c r="AF733" s="2">
        <v>0</v>
      </c>
      <c r="AG733" s="3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45957</v>
      </c>
      <c r="B734" t="s">
        <v>48</v>
      </c>
      <c r="C734">
        <v>649163</v>
      </c>
      <c r="D734">
        <v>2026735219</v>
      </c>
      <c r="E734" t="s">
        <v>596</v>
      </c>
      <c r="F734" t="s">
        <v>597</v>
      </c>
      <c r="G734" t="s">
        <v>51</v>
      </c>
      <c r="H734" t="s">
        <v>92</v>
      </c>
      <c r="I734" s="2">
        <v>46.03</v>
      </c>
      <c r="J734" t="s">
        <v>59</v>
      </c>
      <c r="K734" s="3">
        <v>0.65</v>
      </c>
      <c r="L734" s="2">
        <v>0</v>
      </c>
      <c r="M734" s="2">
        <v>29.92</v>
      </c>
      <c r="N734" s="2">
        <v>29.92</v>
      </c>
      <c r="O734" t="s">
        <v>369</v>
      </c>
      <c r="P734" t="s">
        <v>418</v>
      </c>
      <c r="Q734">
        <v>816021</v>
      </c>
      <c r="R734" t="s">
        <v>93</v>
      </c>
      <c r="S734" t="s">
        <v>94</v>
      </c>
      <c r="T734" t="s">
        <v>57</v>
      </c>
      <c r="U734" s="1">
        <v>45689</v>
      </c>
      <c r="W734" s="1">
        <v>45992</v>
      </c>
      <c r="X734">
        <v>1</v>
      </c>
      <c r="Y734" t="s">
        <v>58</v>
      </c>
      <c r="Z734" s="2">
        <v>0</v>
      </c>
      <c r="AA734">
        <v>0</v>
      </c>
      <c r="AB734" t="s">
        <v>60</v>
      </c>
      <c r="AC734" t="s">
        <v>61</v>
      </c>
      <c r="AD734">
        <v>0</v>
      </c>
      <c r="AE734" s="2">
        <v>0</v>
      </c>
      <c r="AF734" s="2">
        <v>0</v>
      </c>
      <c r="AG734" s="3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45957</v>
      </c>
      <c r="B735" t="s">
        <v>48</v>
      </c>
      <c r="C735">
        <v>649163</v>
      </c>
      <c r="D735">
        <v>2026812433</v>
      </c>
      <c r="E735" t="s">
        <v>600</v>
      </c>
      <c r="F735" t="s">
        <v>601</v>
      </c>
      <c r="G735" t="s">
        <v>51</v>
      </c>
      <c r="H735" t="s">
        <v>92</v>
      </c>
      <c r="I735" s="2">
        <v>91.88</v>
      </c>
      <c r="J735" t="s">
        <v>59</v>
      </c>
      <c r="K735" s="3">
        <v>0.65</v>
      </c>
      <c r="L735" s="2">
        <v>0</v>
      </c>
      <c r="M735" s="2">
        <v>59.72</v>
      </c>
      <c r="N735" s="2">
        <v>59.72</v>
      </c>
      <c r="O735" t="s">
        <v>369</v>
      </c>
      <c r="P735" t="s">
        <v>418</v>
      </c>
      <c r="Q735">
        <v>816021</v>
      </c>
      <c r="R735" t="s">
        <v>93</v>
      </c>
      <c r="S735" t="s">
        <v>94</v>
      </c>
      <c r="T735" t="s">
        <v>57</v>
      </c>
      <c r="U735" s="1">
        <v>45690</v>
      </c>
      <c r="W735" s="1">
        <v>45993</v>
      </c>
      <c r="X735">
        <v>1</v>
      </c>
      <c r="Y735" t="s">
        <v>58</v>
      </c>
      <c r="Z735" s="2">
        <v>0</v>
      </c>
      <c r="AA735">
        <v>0</v>
      </c>
      <c r="AB735" t="s">
        <v>60</v>
      </c>
      <c r="AC735" t="s">
        <v>61</v>
      </c>
      <c r="AD735">
        <v>0</v>
      </c>
      <c r="AE735" s="2">
        <v>0</v>
      </c>
      <c r="AF735" s="2">
        <v>0</v>
      </c>
      <c r="AG735" s="3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45957</v>
      </c>
      <c r="B736" t="s">
        <v>48</v>
      </c>
      <c r="C736">
        <v>649163</v>
      </c>
      <c r="D736">
        <v>2026817010</v>
      </c>
      <c r="E736" t="s">
        <v>602</v>
      </c>
      <c r="F736" t="s">
        <v>603</v>
      </c>
      <c r="G736" t="s">
        <v>51</v>
      </c>
      <c r="H736" t="s">
        <v>92</v>
      </c>
      <c r="I736" s="2">
        <v>36.18</v>
      </c>
      <c r="J736" t="s">
        <v>59</v>
      </c>
      <c r="K736" s="3">
        <v>0.65</v>
      </c>
      <c r="L736" s="2">
        <v>0</v>
      </c>
      <c r="M736" s="2">
        <v>23.52</v>
      </c>
      <c r="N736" s="2">
        <v>23.52</v>
      </c>
      <c r="O736" t="s">
        <v>369</v>
      </c>
      <c r="P736" t="s">
        <v>418</v>
      </c>
      <c r="Q736">
        <v>796984</v>
      </c>
      <c r="R736" t="s">
        <v>604</v>
      </c>
      <c r="S736" t="s">
        <v>110</v>
      </c>
      <c r="T736" t="s">
        <v>57</v>
      </c>
      <c r="U736" s="1">
        <v>45689</v>
      </c>
      <c r="W736" s="1">
        <v>45992</v>
      </c>
      <c r="X736">
        <v>1</v>
      </c>
      <c r="Y736" t="s">
        <v>58</v>
      </c>
      <c r="Z736" s="2">
        <v>0</v>
      </c>
      <c r="AA736">
        <v>0</v>
      </c>
      <c r="AB736" t="s">
        <v>60</v>
      </c>
      <c r="AC736" t="s">
        <v>61</v>
      </c>
      <c r="AD736">
        <v>0</v>
      </c>
      <c r="AE736" s="2">
        <v>0</v>
      </c>
      <c r="AF736" s="2">
        <v>0</v>
      </c>
      <c r="AG736" s="3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45957</v>
      </c>
      <c r="B737" t="s">
        <v>48</v>
      </c>
      <c r="C737">
        <v>649163</v>
      </c>
      <c r="D737">
        <v>2027398847</v>
      </c>
      <c r="E737" t="s">
        <v>606</v>
      </c>
      <c r="F737" t="s">
        <v>607</v>
      </c>
      <c r="G737" t="s">
        <v>51</v>
      </c>
      <c r="H737" t="s">
        <v>52</v>
      </c>
      <c r="I737" s="2">
        <v>75.010000000000005</v>
      </c>
      <c r="J737" t="s">
        <v>59</v>
      </c>
      <c r="K737" s="3">
        <v>0.65</v>
      </c>
      <c r="L737" s="2">
        <v>0</v>
      </c>
      <c r="M737" s="2">
        <v>48.76</v>
      </c>
      <c r="N737" s="2">
        <v>48.76</v>
      </c>
      <c r="O737" t="s">
        <v>369</v>
      </c>
      <c r="P737" t="s">
        <v>418</v>
      </c>
      <c r="Q737">
        <v>673059</v>
      </c>
      <c r="R737" t="s">
        <v>55</v>
      </c>
      <c r="S737" t="s">
        <v>56</v>
      </c>
      <c r="T737" t="s">
        <v>57</v>
      </c>
      <c r="U737" s="1">
        <v>45748</v>
      </c>
      <c r="W737" s="1">
        <v>45992</v>
      </c>
      <c r="X737">
        <v>1</v>
      </c>
      <c r="Y737" t="s">
        <v>58</v>
      </c>
      <c r="Z737" s="2">
        <v>0</v>
      </c>
      <c r="AA737">
        <v>0</v>
      </c>
      <c r="AB737" t="s">
        <v>60</v>
      </c>
      <c r="AC737" t="s">
        <v>61</v>
      </c>
      <c r="AD737">
        <v>0</v>
      </c>
      <c r="AE737" s="2">
        <v>0</v>
      </c>
      <c r="AF737" s="2">
        <v>0</v>
      </c>
      <c r="AG737" s="3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45957</v>
      </c>
      <c r="B738" t="s">
        <v>48</v>
      </c>
      <c r="C738">
        <v>649163</v>
      </c>
      <c r="D738">
        <v>2027743283</v>
      </c>
      <c r="E738" t="s">
        <v>610</v>
      </c>
      <c r="F738" t="s">
        <v>324</v>
      </c>
      <c r="G738" t="s">
        <v>51</v>
      </c>
      <c r="H738" t="s">
        <v>182</v>
      </c>
      <c r="I738" s="2">
        <v>191.47</v>
      </c>
      <c r="J738" t="s">
        <v>59</v>
      </c>
      <c r="K738" s="3">
        <v>0.65</v>
      </c>
      <c r="L738" s="2">
        <v>0</v>
      </c>
      <c r="M738" s="2">
        <v>124.46</v>
      </c>
      <c r="N738" s="2">
        <v>124.46</v>
      </c>
      <c r="O738" t="s">
        <v>369</v>
      </c>
      <c r="P738" t="s">
        <v>418</v>
      </c>
      <c r="Q738">
        <v>673059</v>
      </c>
      <c r="R738" t="s">
        <v>55</v>
      </c>
      <c r="S738" t="s">
        <v>56</v>
      </c>
      <c r="T738" t="s">
        <v>57</v>
      </c>
      <c r="U738" s="1">
        <v>45748</v>
      </c>
      <c r="W738" s="1">
        <v>45992</v>
      </c>
      <c r="X738">
        <v>1</v>
      </c>
      <c r="Y738" t="s">
        <v>58</v>
      </c>
      <c r="Z738" s="2">
        <v>0</v>
      </c>
      <c r="AA738">
        <v>0</v>
      </c>
      <c r="AB738" t="s">
        <v>60</v>
      </c>
      <c r="AC738" t="s">
        <v>61</v>
      </c>
      <c r="AD738">
        <v>0</v>
      </c>
      <c r="AE738" s="2">
        <v>0</v>
      </c>
      <c r="AF738" s="2">
        <v>0</v>
      </c>
      <c r="AG738" s="3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45957</v>
      </c>
      <c r="B739" t="s">
        <v>48</v>
      </c>
      <c r="C739">
        <v>649163</v>
      </c>
      <c r="D739">
        <v>2027920264</v>
      </c>
      <c r="E739" t="s">
        <v>616</v>
      </c>
      <c r="F739" t="s">
        <v>617</v>
      </c>
      <c r="G739" t="s">
        <v>51</v>
      </c>
      <c r="H739" t="s">
        <v>92</v>
      </c>
      <c r="I739" s="2">
        <v>65.28</v>
      </c>
      <c r="J739" t="s">
        <v>59</v>
      </c>
      <c r="K739" s="3">
        <v>0.65</v>
      </c>
      <c r="L739" s="2">
        <v>0</v>
      </c>
      <c r="M739" s="2">
        <v>42.43</v>
      </c>
      <c r="N739" s="2">
        <v>42.43</v>
      </c>
      <c r="O739" t="s">
        <v>369</v>
      </c>
      <c r="P739" t="s">
        <v>418</v>
      </c>
      <c r="Q739">
        <v>816021</v>
      </c>
      <c r="R739" t="s">
        <v>93</v>
      </c>
      <c r="S739" t="s">
        <v>94</v>
      </c>
      <c r="T739" t="s">
        <v>57</v>
      </c>
      <c r="U739" s="1">
        <v>45744</v>
      </c>
      <c r="W739" s="1">
        <v>45989</v>
      </c>
      <c r="X739">
        <v>1</v>
      </c>
      <c r="Y739" t="s">
        <v>58</v>
      </c>
      <c r="Z739" s="2">
        <v>0</v>
      </c>
      <c r="AA739">
        <v>0</v>
      </c>
      <c r="AB739" t="s">
        <v>60</v>
      </c>
      <c r="AC739" t="s">
        <v>61</v>
      </c>
      <c r="AD739">
        <v>0</v>
      </c>
      <c r="AE739" s="2">
        <v>0</v>
      </c>
      <c r="AF739" s="2">
        <v>0</v>
      </c>
      <c r="AG739" s="3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45957</v>
      </c>
      <c r="B740" t="s">
        <v>48</v>
      </c>
      <c r="C740">
        <v>649163</v>
      </c>
      <c r="D740">
        <v>2027936972</v>
      </c>
      <c r="E740" t="s">
        <v>619</v>
      </c>
      <c r="F740" t="s">
        <v>620</v>
      </c>
      <c r="G740" t="s">
        <v>51</v>
      </c>
      <c r="H740" t="s">
        <v>92</v>
      </c>
      <c r="I740" s="2">
        <v>57.48</v>
      </c>
      <c r="J740" t="s">
        <v>59</v>
      </c>
      <c r="K740" s="3">
        <v>0.65</v>
      </c>
      <c r="L740" s="2">
        <v>0</v>
      </c>
      <c r="M740" s="2">
        <v>37.36</v>
      </c>
      <c r="N740" s="2">
        <v>37.36</v>
      </c>
      <c r="O740" t="s">
        <v>369</v>
      </c>
      <c r="P740" t="s">
        <v>418</v>
      </c>
      <c r="Q740">
        <v>816021</v>
      </c>
      <c r="R740" t="s">
        <v>93</v>
      </c>
      <c r="S740" t="s">
        <v>94</v>
      </c>
      <c r="T740" t="s">
        <v>57</v>
      </c>
      <c r="U740" s="1">
        <v>45748</v>
      </c>
      <c r="W740" s="1">
        <v>45992</v>
      </c>
      <c r="X740">
        <v>1</v>
      </c>
      <c r="Y740" t="s">
        <v>58</v>
      </c>
      <c r="Z740" s="2">
        <v>0</v>
      </c>
      <c r="AA740">
        <v>0</v>
      </c>
      <c r="AB740" t="s">
        <v>60</v>
      </c>
      <c r="AC740" t="s">
        <v>61</v>
      </c>
      <c r="AD740">
        <v>0</v>
      </c>
      <c r="AE740" s="2">
        <v>0</v>
      </c>
      <c r="AF740" s="2">
        <v>0</v>
      </c>
      <c r="AG740" s="3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45957</v>
      </c>
      <c r="B741" t="s">
        <v>48</v>
      </c>
      <c r="C741">
        <v>649163</v>
      </c>
      <c r="D741">
        <v>2027996022</v>
      </c>
      <c r="E741" t="s">
        <v>103</v>
      </c>
      <c r="F741" t="s">
        <v>621</v>
      </c>
      <c r="G741" t="s">
        <v>51</v>
      </c>
      <c r="H741" t="s">
        <v>52</v>
      </c>
      <c r="I741" s="2">
        <v>16.29</v>
      </c>
      <c r="J741" t="s">
        <v>59</v>
      </c>
      <c r="K741" s="3">
        <v>0.65</v>
      </c>
      <c r="L741" s="2">
        <v>0</v>
      </c>
      <c r="M741" s="2">
        <v>10.59</v>
      </c>
      <c r="N741" s="2">
        <v>10.59</v>
      </c>
      <c r="O741" t="s">
        <v>369</v>
      </c>
      <c r="P741" t="s">
        <v>418</v>
      </c>
      <c r="Q741">
        <v>821015</v>
      </c>
      <c r="R741" t="s">
        <v>398</v>
      </c>
      <c r="S741" t="s">
        <v>399</v>
      </c>
      <c r="T741" t="s">
        <v>57</v>
      </c>
      <c r="U741" s="1">
        <v>45743</v>
      </c>
      <c r="W741" s="1">
        <v>45988</v>
      </c>
      <c r="X741">
        <v>1</v>
      </c>
      <c r="Y741" t="s">
        <v>58</v>
      </c>
      <c r="Z741" s="2">
        <v>0</v>
      </c>
      <c r="AA741">
        <v>0</v>
      </c>
      <c r="AB741" t="s">
        <v>60</v>
      </c>
      <c r="AC741" t="s">
        <v>61</v>
      </c>
      <c r="AD741">
        <v>0</v>
      </c>
      <c r="AE741" s="2">
        <v>0</v>
      </c>
      <c r="AF741" s="2">
        <v>0</v>
      </c>
      <c r="AG741" s="3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45957</v>
      </c>
      <c r="B742" t="s">
        <v>48</v>
      </c>
      <c r="C742">
        <v>649163</v>
      </c>
      <c r="D742">
        <v>2028004036</v>
      </c>
      <c r="E742" t="s">
        <v>622</v>
      </c>
      <c r="F742" t="s">
        <v>623</v>
      </c>
      <c r="G742" t="s">
        <v>51</v>
      </c>
      <c r="H742" t="s">
        <v>92</v>
      </c>
      <c r="I742" s="2">
        <v>21.96</v>
      </c>
      <c r="J742" t="s">
        <v>59</v>
      </c>
      <c r="K742" s="3">
        <v>0.65</v>
      </c>
      <c r="L742" s="2">
        <v>0</v>
      </c>
      <c r="M742" s="2">
        <v>14.27</v>
      </c>
      <c r="N742" s="2">
        <v>14.27</v>
      </c>
      <c r="O742" t="s">
        <v>369</v>
      </c>
      <c r="P742" t="s">
        <v>418</v>
      </c>
      <c r="Q742">
        <v>816021</v>
      </c>
      <c r="R742" t="s">
        <v>93</v>
      </c>
      <c r="S742" t="s">
        <v>94</v>
      </c>
      <c r="T742" t="s">
        <v>57</v>
      </c>
      <c r="U742" s="1">
        <v>45741</v>
      </c>
      <c r="W742" s="1">
        <v>45986</v>
      </c>
      <c r="X742">
        <v>1</v>
      </c>
      <c r="Y742" t="s">
        <v>58</v>
      </c>
      <c r="Z742" s="2">
        <v>0</v>
      </c>
      <c r="AA742">
        <v>0</v>
      </c>
      <c r="AB742" t="s">
        <v>60</v>
      </c>
      <c r="AC742" t="s">
        <v>61</v>
      </c>
      <c r="AD742">
        <v>0</v>
      </c>
      <c r="AE742" s="2">
        <v>0</v>
      </c>
      <c r="AF742" s="2">
        <v>0</v>
      </c>
      <c r="AG742" s="3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45957</v>
      </c>
      <c r="B743" t="s">
        <v>48</v>
      </c>
      <c r="C743">
        <v>649163</v>
      </c>
      <c r="D743">
        <v>2029029116</v>
      </c>
      <c r="E743" t="s">
        <v>795</v>
      </c>
      <c r="F743" t="s">
        <v>301</v>
      </c>
      <c r="G743" t="s">
        <v>51</v>
      </c>
      <c r="H743" t="s">
        <v>92</v>
      </c>
      <c r="I743" s="2">
        <v>40.26</v>
      </c>
      <c r="J743" t="s">
        <v>59</v>
      </c>
      <c r="K743" s="3">
        <v>0.65</v>
      </c>
      <c r="L743" s="2">
        <v>26.16</v>
      </c>
      <c r="M743" s="2">
        <v>0.01</v>
      </c>
      <c r="N743" s="2">
        <v>0.01</v>
      </c>
      <c r="O743" t="s">
        <v>369</v>
      </c>
      <c r="P743" t="s">
        <v>418</v>
      </c>
      <c r="Q743">
        <v>816021</v>
      </c>
      <c r="R743" t="s">
        <v>93</v>
      </c>
      <c r="S743" t="s">
        <v>94</v>
      </c>
      <c r="T743" t="s">
        <v>57</v>
      </c>
      <c r="U743" s="1">
        <v>45809</v>
      </c>
      <c r="W743" s="1">
        <v>45992</v>
      </c>
      <c r="X743">
        <v>1</v>
      </c>
      <c r="Y743" t="s">
        <v>58</v>
      </c>
      <c r="Z743" s="2">
        <v>0</v>
      </c>
      <c r="AA743">
        <v>0</v>
      </c>
      <c r="AB743" t="s">
        <v>60</v>
      </c>
      <c r="AC743" t="s">
        <v>61</v>
      </c>
      <c r="AD743">
        <v>0</v>
      </c>
      <c r="AE743" s="2">
        <v>0</v>
      </c>
      <c r="AF743" s="2">
        <v>0</v>
      </c>
      <c r="AG743" s="3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45957</v>
      </c>
      <c r="B744" t="s">
        <v>48</v>
      </c>
      <c r="C744">
        <v>649163</v>
      </c>
      <c r="D744">
        <v>2030720376</v>
      </c>
      <c r="E744" t="s">
        <v>202</v>
      </c>
      <c r="F744" t="s">
        <v>203</v>
      </c>
      <c r="G744" t="s">
        <v>51</v>
      </c>
      <c r="H744" t="s">
        <v>92</v>
      </c>
      <c r="I744" s="2">
        <v>59.03</v>
      </c>
      <c r="J744" t="s">
        <v>59</v>
      </c>
      <c r="K744" s="3">
        <v>0.65</v>
      </c>
      <c r="L744" s="2">
        <v>38.369999999999997</v>
      </c>
      <c r="M744" s="2">
        <v>0</v>
      </c>
      <c r="N744" s="2">
        <v>0</v>
      </c>
      <c r="O744" t="s">
        <v>369</v>
      </c>
      <c r="P744" t="s">
        <v>418</v>
      </c>
      <c r="Q744">
        <v>816021</v>
      </c>
      <c r="R744" t="s">
        <v>93</v>
      </c>
      <c r="S744" t="s">
        <v>94</v>
      </c>
      <c r="T744" t="s">
        <v>57</v>
      </c>
      <c r="U744" s="1">
        <v>45901</v>
      </c>
      <c r="W744" s="1">
        <v>45992</v>
      </c>
      <c r="X744">
        <v>1</v>
      </c>
      <c r="Y744" t="s">
        <v>58</v>
      </c>
      <c r="Z744" s="2">
        <v>0</v>
      </c>
      <c r="AA744">
        <v>0</v>
      </c>
      <c r="AB744" t="s">
        <v>60</v>
      </c>
      <c r="AC744" t="s">
        <v>61</v>
      </c>
      <c r="AD744">
        <v>0</v>
      </c>
      <c r="AE744" s="2">
        <v>0</v>
      </c>
      <c r="AF744" s="2">
        <v>0</v>
      </c>
      <c r="AG744" s="3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45957</v>
      </c>
      <c r="B745" t="s">
        <v>48</v>
      </c>
      <c r="C745">
        <v>649163</v>
      </c>
      <c r="D745">
        <v>2030788953</v>
      </c>
      <c r="E745" t="s">
        <v>224</v>
      </c>
      <c r="F745" t="s">
        <v>225</v>
      </c>
      <c r="G745" t="s">
        <v>51</v>
      </c>
      <c r="H745" t="s">
        <v>92</v>
      </c>
      <c r="I745" s="2">
        <v>9.3800000000000008</v>
      </c>
      <c r="J745" t="s">
        <v>59</v>
      </c>
      <c r="K745" s="3">
        <v>0.65</v>
      </c>
      <c r="L745" s="2">
        <v>6.1</v>
      </c>
      <c r="M745" s="2">
        <v>0</v>
      </c>
      <c r="N745" s="2">
        <v>0</v>
      </c>
      <c r="O745" t="s">
        <v>369</v>
      </c>
      <c r="P745" t="s">
        <v>418</v>
      </c>
      <c r="Q745">
        <v>816021</v>
      </c>
      <c r="R745" t="s">
        <v>93</v>
      </c>
      <c r="S745" t="s">
        <v>94</v>
      </c>
      <c r="T745" t="s">
        <v>57</v>
      </c>
      <c r="U745" s="1">
        <v>45901</v>
      </c>
      <c r="W745" s="1">
        <v>45992</v>
      </c>
      <c r="X745">
        <v>1</v>
      </c>
      <c r="Y745" t="s">
        <v>58</v>
      </c>
      <c r="Z745" s="2">
        <v>0</v>
      </c>
      <c r="AA745">
        <v>0</v>
      </c>
      <c r="AB745" t="s">
        <v>60</v>
      </c>
      <c r="AC745" t="s">
        <v>61</v>
      </c>
      <c r="AD745">
        <v>0</v>
      </c>
      <c r="AE745" s="2">
        <v>0</v>
      </c>
      <c r="AF745" s="2">
        <v>0</v>
      </c>
      <c r="AG745" s="3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45957</v>
      </c>
      <c r="B746" t="s">
        <v>48</v>
      </c>
      <c r="C746">
        <v>649163</v>
      </c>
      <c r="D746">
        <v>2025997429</v>
      </c>
      <c r="E746" t="s">
        <v>579</v>
      </c>
      <c r="F746" t="s">
        <v>490</v>
      </c>
      <c r="G746" t="s">
        <v>51</v>
      </c>
      <c r="H746" t="s">
        <v>81</v>
      </c>
      <c r="I746" s="2">
        <v>224.85</v>
      </c>
      <c r="J746" t="s">
        <v>59</v>
      </c>
      <c r="K746" s="3">
        <v>0.75</v>
      </c>
      <c r="L746" s="2">
        <v>0</v>
      </c>
      <c r="M746" s="2">
        <v>168.64</v>
      </c>
      <c r="N746" s="2">
        <v>168.64</v>
      </c>
      <c r="O746" t="s">
        <v>369</v>
      </c>
      <c r="P746" t="s">
        <v>370</v>
      </c>
      <c r="Q746">
        <v>673059</v>
      </c>
      <c r="R746" t="s">
        <v>55</v>
      </c>
      <c r="S746" t="s">
        <v>56</v>
      </c>
      <c r="T746" t="s">
        <v>57</v>
      </c>
      <c r="U746" s="1">
        <v>45689</v>
      </c>
      <c r="W746" s="1">
        <v>45992</v>
      </c>
      <c r="X746">
        <v>1</v>
      </c>
      <c r="Y746" t="s">
        <v>58</v>
      </c>
      <c r="Z746" s="2">
        <v>0</v>
      </c>
      <c r="AA746">
        <v>0</v>
      </c>
      <c r="AB746" t="s">
        <v>60</v>
      </c>
      <c r="AC746" t="s">
        <v>61</v>
      </c>
      <c r="AD746">
        <v>0</v>
      </c>
      <c r="AE746" s="2">
        <v>0</v>
      </c>
      <c r="AF746" s="2">
        <v>0</v>
      </c>
      <c r="AG746" s="3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45957</v>
      </c>
      <c r="B747" t="s">
        <v>48</v>
      </c>
      <c r="C747">
        <v>649163</v>
      </c>
      <c r="D747">
        <v>2026617313</v>
      </c>
      <c r="E747" t="s">
        <v>587</v>
      </c>
      <c r="F747" t="s">
        <v>588</v>
      </c>
      <c r="G747" t="s">
        <v>51</v>
      </c>
      <c r="H747" t="s">
        <v>64</v>
      </c>
      <c r="I747" s="2">
        <v>78.28</v>
      </c>
      <c r="J747" t="s">
        <v>59</v>
      </c>
      <c r="K747" s="3">
        <v>0.75</v>
      </c>
      <c r="L747" s="2">
        <v>0</v>
      </c>
      <c r="M747" s="2">
        <v>58.71</v>
      </c>
      <c r="N747" s="2">
        <v>58.71</v>
      </c>
      <c r="O747" t="s">
        <v>369</v>
      </c>
      <c r="P747" t="s">
        <v>370</v>
      </c>
      <c r="Q747">
        <v>753748</v>
      </c>
      <c r="R747" t="s">
        <v>65</v>
      </c>
      <c r="S747" t="s">
        <v>66</v>
      </c>
      <c r="T747" t="s">
        <v>57</v>
      </c>
      <c r="U747" s="1">
        <v>45689</v>
      </c>
      <c r="W747" s="1">
        <v>45992</v>
      </c>
      <c r="X747">
        <v>1</v>
      </c>
      <c r="Y747" t="s">
        <v>58</v>
      </c>
      <c r="Z747" s="2">
        <v>0</v>
      </c>
      <c r="AA747">
        <v>0</v>
      </c>
      <c r="AB747" t="s">
        <v>60</v>
      </c>
      <c r="AC747" t="s">
        <v>61</v>
      </c>
      <c r="AD747">
        <v>0</v>
      </c>
      <c r="AE747" s="2">
        <v>0</v>
      </c>
      <c r="AF747" s="2">
        <v>0</v>
      </c>
      <c r="AG747" s="3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45957</v>
      </c>
      <c r="B748" t="s">
        <v>48</v>
      </c>
      <c r="C748">
        <v>649163</v>
      </c>
      <c r="D748">
        <v>2026619110</v>
      </c>
      <c r="E748" t="s">
        <v>591</v>
      </c>
      <c r="F748" t="s">
        <v>592</v>
      </c>
      <c r="G748" t="s">
        <v>51</v>
      </c>
      <c r="H748" t="s">
        <v>165</v>
      </c>
      <c r="I748" s="2">
        <v>168.15</v>
      </c>
      <c r="J748" t="s">
        <v>59</v>
      </c>
      <c r="K748" s="3">
        <v>0.75</v>
      </c>
      <c r="L748" s="2">
        <v>0</v>
      </c>
      <c r="M748" s="2">
        <v>126.11</v>
      </c>
      <c r="N748" s="2">
        <v>126.11</v>
      </c>
      <c r="O748" t="s">
        <v>369</v>
      </c>
      <c r="P748" t="s">
        <v>370</v>
      </c>
      <c r="Q748">
        <v>673059</v>
      </c>
      <c r="R748" t="s">
        <v>55</v>
      </c>
      <c r="S748" t="s">
        <v>56</v>
      </c>
      <c r="T748" t="s">
        <v>57</v>
      </c>
      <c r="U748" s="1">
        <v>45689</v>
      </c>
      <c r="W748" s="1">
        <v>45992</v>
      </c>
      <c r="X748">
        <v>1</v>
      </c>
      <c r="Y748" t="s">
        <v>58</v>
      </c>
      <c r="Z748" s="2">
        <v>0</v>
      </c>
      <c r="AA748">
        <v>0</v>
      </c>
      <c r="AB748" t="s">
        <v>60</v>
      </c>
      <c r="AC748" t="s">
        <v>61</v>
      </c>
      <c r="AD748">
        <v>0</v>
      </c>
      <c r="AE748" s="2">
        <v>0</v>
      </c>
      <c r="AF748" s="2">
        <v>0</v>
      </c>
      <c r="AG748" s="3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45957</v>
      </c>
      <c r="B749" t="s">
        <v>48</v>
      </c>
      <c r="C749">
        <v>649163</v>
      </c>
      <c r="D749">
        <v>2026701619</v>
      </c>
      <c r="E749" t="s">
        <v>593</v>
      </c>
      <c r="F749" t="s">
        <v>90</v>
      </c>
      <c r="G749" t="s">
        <v>51</v>
      </c>
      <c r="H749" t="s">
        <v>69</v>
      </c>
      <c r="I749" s="2">
        <v>141.44999999999999</v>
      </c>
      <c r="J749" t="s">
        <v>59</v>
      </c>
      <c r="K749" s="3">
        <v>0.75</v>
      </c>
      <c r="L749" s="2">
        <v>0</v>
      </c>
      <c r="M749" s="2">
        <v>106.09</v>
      </c>
      <c r="N749" s="2">
        <v>106.09</v>
      </c>
      <c r="O749" t="s">
        <v>369</v>
      </c>
      <c r="P749" t="s">
        <v>370</v>
      </c>
      <c r="Q749">
        <v>753748</v>
      </c>
      <c r="R749" t="s">
        <v>65</v>
      </c>
      <c r="S749" t="s">
        <v>66</v>
      </c>
      <c r="T749" t="s">
        <v>57</v>
      </c>
      <c r="U749" s="1">
        <v>45689</v>
      </c>
      <c r="W749" s="1">
        <v>45992</v>
      </c>
      <c r="X749">
        <v>1</v>
      </c>
      <c r="Y749" t="s">
        <v>58</v>
      </c>
      <c r="Z749" s="2">
        <v>0</v>
      </c>
      <c r="AA749">
        <v>0</v>
      </c>
      <c r="AB749" t="s">
        <v>60</v>
      </c>
      <c r="AC749" t="s">
        <v>61</v>
      </c>
      <c r="AD749">
        <v>0</v>
      </c>
      <c r="AE749" s="2">
        <v>0</v>
      </c>
      <c r="AF749" s="2">
        <v>0</v>
      </c>
      <c r="AG749" s="3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45957</v>
      </c>
      <c r="B750" t="s">
        <v>48</v>
      </c>
      <c r="C750">
        <v>649163</v>
      </c>
      <c r="D750">
        <v>2027741056</v>
      </c>
      <c r="E750" t="s">
        <v>608</v>
      </c>
      <c r="F750" t="s">
        <v>609</v>
      </c>
      <c r="G750" t="s">
        <v>51</v>
      </c>
      <c r="H750" t="s">
        <v>69</v>
      </c>
      <c r="I750" s="2">
        <v>12.08</v>
      </c>
      <c r="J750" t="s">
        <v>59</v>
      </c>
      <c r="K750" s="3">
        <v>0.75</v>
      </c>
      <c r="L750" s="2">
        <v>0</v>
      </c>
      <c r="M750" s="2">
        <v>9.06</v>
      </c>
      <c r="N750" s="2">
        <v>9.06</v>
      </c>
      <c r="O750" t="s">
        <v>369</v>
      </c>
      <c r="P750" t="s">
        <v>370</v>
      </c>
      <c r="Q750">
        <v>766747</v>
      </c>
      <c r="R750" t="s">
        <v>97</v>
      </c>
      <c r="S750" t="s">
        <v>98</v>
      </c>
      <c r="T750" t="s">
        <v>57</v>
      </c>
      <c r="U750" s="1">
        <v>45748</v>
      </c>
      <c r="W750" s="1">
        <v>45992</v>
      </c>
      <c r="X750">
        <v>1</v>
      </c>
      <c r="Y750" t="s">
        <v>58</v>
      </c>
      <c r="Z750" s="2">
        <v>0</v>
      </c>
      <c r="AA750">
        <v>0</v>
      </c>
      <c r="AB750" t="s">
        <v>60</v>
      </c>
      <c r="AC750" t="s">
        <v>61</v>
      </c>
      <c r="AD750">
        <v>0</v>
      </c>
      <c r="AE750" s="2">
        <v>0</v>
      </c>
      <c r="AF750" s="2">
        <v>0</v>
      </c>
      <c r="AG750" s="3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45957</v>
      </c>
      <c r="B751" t="s">
        <v>48</v>
      </c>
      <c r="C751">
        <v>649163</v>
      </c>
      <c r="D751">
        <v>2027855574</v>
      </c>
      <c r="E751" t="s">
        <v>611</v>
      </c>
      <c r="F751" t="s">
        <v>612</v>
      </c>
      <c r="G751" t="s">
        <v>51</v>
      </c>
      <c r="H751" t="s">
        <v>613</v>
      </c>
      <c r="I751" s="2">
        <v>75.8</v>
      </c>
      <c r="J751" t="s">
        <v>59</v>
      </c>
      <c r="K751" s="3">
        <v>0.75</v>
      </c>
      <c r="L751" s="2">
        <v>0</v>
      </c>
      <c r="M751" s="2">
        <v>56.85</v>
      </c>
      <c r="N751" s="2">
        <v>56.85</v>
      </c>
      <c r="O751" t="s">
        <v>369</v>
      </c>
      <c r="P751" t="s">
        <v>370</v>
      </c>
      <c r="Q751">
        <v>651818</v>
      </c>
      <c r="R751" t="s">
        <v>560</v>
      </c>
      <c r="S751" t="s">
        <v>336</v>
      </c>
      <c r="T751" t="s">
        <v>57</v>
      </c>
      <c r="U751" s="1">
        <v>45734</v>
      </c>
      <c r="W751" s="1">
        <v>45979</v>
      </c>
      <c r="X751">
        <v>1</v>
      </c>
      <c r="Y751" t="s">
        <v>58</v>
      </c>
      <c r="Z751" s="2">
        <v>0</v>
      </c>
      <c r="AA751">
        <v>0</v>
      </c>
      <c r="AB751" t="s">
        <v>60</v>
      </c>
      <c r="AC751" t="s">
        <v>61</v>
      </c>
      <c r="AD751">
        <v>0</v>
      </c>
      <c r="AE751" s="2">
        <v>0</v>
      </c>
      <c r="AF751" s="2">
        <v>0</v>
      </c>
      <c r="AG751" s="3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45957</v>
      </c>
      <c r="B752" t="s">
        <v>48</v>
      </c>
      <c r="C752">
        <v>649163</v>
      </c>
      <c r="D752">
        <v>2027865745</v>
      </c>
      <c r="E752" t="s">
        <v>614</v>
      </c>
      <c r="F752" t="s">
        <v>615</v>
      </c>
      <c r="G752" t="s">
        <v>51</v>
      </c>
      <c r="H752" t="s">
        <v>69</v>
      </c>
      <c r="I752" s="2">
        <v>103.83</v>
      </c>
      <c r="J752" t="s">
        <v>59</v>
      </c>
      <c r="K752" s="3">
        <v>0.75</v>
      </c>
      <c r="L752" s="2">
        <v>0</v>
      </c>
      <c r="M752" s="2">
        <v>77.87</v>
      </c>
      <c r="N752" s="2">
        <v>77.87</v>
      </c>
      <c r="O752" t="s">
        <v>369</v>
      </c>
      <c r="P752" t="s">
        <v>370</v>
      </c>
      <c r="Q752">
        <v>757039</v>
      </c>
      <c r="R752" t="s">
        <v>502</v>
      </c>
      <c r="S752" t="s">
        <v>342</v>
      </c>
      <c r="T752" t="s">
        <v>57</v>
      </c>
      <c r="U752" s="1">
        <v>45748</v>
      </c>
      <c r="W752" s="1">
        <v>45992</v>
      </c>
      <c r="X752">
        <v>1</v>
      </c>
      <c r="Y752" t="s">
        <v>58</v>
      </c>
      <c r="Z752" s="2">
        <v>0</v>
      </c>
      <c r="AA752">
        <v>0</v>
      </c>
      <c r="AB752" t="s">
        <v>60</v>
      </c>
      <c r="AC752" t="s">
        <v>61</v>
      </c>
      <c r="AD752">
        <v>0</v>
      </c>
      <c r="AE752" s="2">
        <v>0</v>
      </c>
      <c r="AF752" s="2">
        <v>0</v>
      </c>
      <c r="AG752" s="3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45957</v>
      </c>
      <c r="B753" t="s">
        <v>48</v>
      </c>
      <c r="C753">
        <v>649163</v>
      </c>
      <c r="D753">
        <v>2027933173</v>
      </c>
      <c r="E753" t="s">
        <v>618</v>
      </c>
      <c r="F753" t="s">
        <v>612</v>
      </c>
      <c r="G753" t="s">
        <v>51</v>
      </c>
      <c r="H753" t="s">
        <v>145</v>
      </c>
      <c r="I753" s="2">
        <v>49.93</v>
      </c>
      <c r="J753" t="s">
        <v>59</v>
      </c>
      <c r="K753" s="3">
        <v>0.75</v>
      </c>
      <c r="L753" s="2">
        <v>0</v>
      </c>
      <c r="M753" s="2">
        <v>37.450000000000003</v>
      </c>
      <c r="N753" s="2">
        <v>37.450000000000003</v>
      </c>
      <c r="O753" t="s">
        <v>369</v>
      </c>
      <c r="P753" t="s">
        <v>370</v>
      </c>
      <c r="Q753">
        <v>814033</v>
      </c>
      <c r="R753" t="s">
        <v>147</v>
      </c>
      <c r="S753" t="s">
        <v>148</v>
      </c>
      <c r="T753" t="s">
        <v>57</v>
      </c>
      <c r="U753" s="1">
        <v>45748</v>
      </c>
      <c r="W753" s="1">
        <v>45992</v>
      </c>
      <c r="X753">
        <v>1</v>
      </c>
      <c r="Y753" t="s">
        <v>58</v>
      </c>
      <c r="Z753" s="2">
        <v>0</v>
      </c>
      <c r="AA753">
        <v>0</v>
      </c>
      <c r="AB753" t="s">
        <v>60</v>
      </c>
      <c r="AC753" t="s">
        <v>61</v>
      </c>
      <c r="AD753">
        <v>0</v>
      </c>
      <c r="AE753" s="2">
        <v>0</v>
      </c>
      <c r="AF753" s="2">
        <v>0</v>
      </c>
      <c r="AG753" s="3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45957</v>
      </c>
      <c r="B754" t="s">
        <v>48</v>
      </c>
      <c r="C754">
        <v>649163</v>
      </c>
      <c r="D754">
        <v>2028149310</v>
      </c>
      <c r="E754" t="s">
        <v>626</v>
      </c>
      <c r="F754" t="s">
        <v>98</v>
      </c>
      <c r="G754" t="s">
        <v>51</v>
      </c>
      <c r="H754" t="s">
        <v>69</v>
      </c>
      <c r="I754" s="2">
        <v>36.4</v>
      </c>
      <c r="J754" t="s">
        <v>59</v>
      </c>
      <c r="K754" s="3">
        <v>0.75</v>
      </c>
      <c r="L754" s="2">
        <v>0</v>
      </c>
      <c r="M754" s="2">
        <v>27.3</v>
      </c>
      <c r="N754" s="2">
        <v>27.3</v>
      </c>
      <c r="O754" t="s">
        <v>369</v>
      </c>
      <c r="P754" t="s">
        <v>370</v>
      </c>
      <c r="Q754">
        <v>821015</v>
      </c>
      <c r="R754" t="s">
        <v>398</v>
      </c>
      <c r="S754" t="s">
        <v>399</v>
      </c>
      <c r="T754" t="s">
        <v>57</v>
      </c>
      <c r="U754" s="1">
        <v>45748</v>
      </c>
      <c r="W754" s="1">
        <v>45992</v>
      </c>
      <c r="X754">
        <v>1</v>
      </c>
      <c r="Y754" t="s">
        <v>58</v>
      </c>
      <c r="Z754" s="2">
        <v>0</v>
      </c>
      <c r="AA754">
        <v>0</v>
      </c>
      <c r="AB754" t="s">
        <v>60</v>
      </c>
      <c r="AC754" t="s">
        <v>61</v>
      </c>
      <c r="AD754">
        <v>0</v>
      </c>
      <c r="AE754" s="2">
        <v>0</v>
      </c>
      <c r="AF754" s="2">
        <v>0</v>
      </c>
      <c r="AG754" s="3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45957</v>
      </c>
      <c r="B755" t="s">
        <v>48</v>
      </c>
      <c r="C755">
        <v>649163</v>
      </c>
      <c r="D755">
        <v>2028448241</v>
      </c>
      <c r="E755" t="s">
        <v>536</v>
      </c>
      <c r="F755" t="s">
        <v>537</v>
      </c>
      <c r="G755" t="s">
        <v>51</v>
      </c>
      <c r="H755" t="s">
        <v>179</v>
      </c>
      <c r="I755" s="2">
        <v>75.73</v>
      </c>
      <c r="J755" t="s">
        <v>59</v>
      </c>
      <c r="K755" s="3">
        <v>0.75</v>
      </c>
      <c r="L755" s="2">
        <v>0</v>
      </c>
      <c r="M755" s="2">
        <v>56.8</v>
      </c>
      <c r="N755" s="2">
        <v>56.8</v>
      </c>
      <c r="O755" t="s">
        <v>369</v>
      </c>
      <c r="P755" t="s">
        <v>370</v>
      </c>
      <c r="Q755">
        <v>673059</v>
      </c>
      <c r="R755" t="s">
        <v>55</v>
      </c>
      <c r="S755" t="s">
        <v>56</v>
      </c>
      <c r="T755" t="s">
        <v>57</v>
      </c>
      <c r="U755" s="1">
        <v>45809</v>
      </c>
      <c r="W755" s="1">
        <v>45992</v>
      </c>
      <c r="X755">
        <v>1</v>
      </c>
      <c r="Y755" t="s">
        <v>58</v>
      </c>
      <c r="Z755" s="2">
        <v>0</v>
      </c>
      <c r="AA755">
        <v>0</v>
      </c>
      <c r="AB755" t="s">
        <v>60</v>
      </c>
      <c r="AC755" t="s">
        <v>61</v>
      </c>
      <c r="AD755">
        <v>0</v>
      </c>
      <c r="AE755" s="2">
        <v>0</v>
      </c>
      <c r="AF755" s="2">
        <v>0</v>
      </c>
      <c r="AG755" s="3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45957</v>
      </c>
      <c r="B756" t="s">
        <v>48</v>
      </c>
      <c r="C756">
        <v>649163</v>
      </c>
      <c r="D756">
        <v>2028498800</v>
      </c>
      <c r="E756" t="s">
        <v>629</v>
      </c>
      <c r="F756" t="s">
        <v>232</v>
      </c>
      <c r="G756" t="s">
        <v>51</v>
      </c>
      <c r="H756" t="s">
        <v>179</v>
      </c>
      <c r="I756" s="2">
        <v>28.95</v>
      </c>
      <c r="J756" t="s">
        <v>59</v>
      </c>
      <c r="K756" s="3">
        <v>0.75</v>
      </c>
      <c r="L756" s="2">
        <v>0</v>
      </c>
      <c r="M756" s="2">
        <v>21.71</v>
      </c>
      <c r="N756" s="2">
        <v>21.71</v>
      </c>
      <c r="O756" t="s">
        <v>369</v>
      </c>
      <c r="P756" t="s">
        <v>370</v>
      </c>
      <c r="Q756">
        <v>823350</v>
      </c>
      <c r="R756" t="s">
        <v>70</v>
      </c>
      <c r="S756" t="s">
        <v>183</v>
      </c>
      <c r="T756" t="s">
        <v>57</v>
      </c>
      <c r="U756" s="1">
        <v>45772</v>
      </c>
      <c r="W756" s="1">
        <v>45986</v>
      </c>
      <c r="X756">
        <v>1</v>
      </c>
      <c r="Y756" t="s">
        <v>58</v>
      </c>
      <c r="Z756" s="2">
        <v>0</v>
      </c>
      <c r="AA756">
        <v>0</v>
      </c>
      <c r="AB756" t="s">
        <v>60</v>
      </c>
      <c r="AC756" t="s">
        <v>61</v>
      </c>
      <c r="AD756">
        <v>0</v>
      </c>
      <c r="AE756" s="2">
        <v>0</v>
      </c>
      <c r="AF756" s="2">
        <v>0</v>
      </c>
      <c r="AG756" s="3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45957</v>
      </c>
      <c r="B757" t="s">
        <v>48</v>
      </c>
      <c r="C757">
        <v>649163</v>
      </c>
      <c r="D757">
        <v>2028774076</v>
      </c>
      <c r="E757" t="s">
        <v>633</v>
      </c>
      <c r="F757" t="s">
        <v>634</v>
      </c>
      <c r="G757" t="s">
        <v>51</v>
      </c>
      <c r="H757" t="s">
        <v>145</v>
      </c>
      <c r="I757" s="2">
        <v>73.42</v>
      </c>
      <c r="J757" t="s">
        <v>59</v>
      </c>
      <c r="K757" s="3">
        <v>0.75</v>
      </c>
      <c r="L757" s="2">
        <v>55.06</v>
      </c>
      <c r="M757" s="2">
        <v>0</v>
      </c>
      <c r="N757" s="2">
        <v>0</v>
      </c>
      <c r="O757" t="s">
        <v>369</v>
      </c>
      <c r="P757" t="s">
        <v>370</v>
      </c>
      <c r="Q757">
        <v>822723</v>
      </c>
      <c r="R757" t="s">
        <v>151</v>
      </c>
      <c r="S757" t="s">
        <v>152</v>
      </c>
      <c r="T757" t="s">
        <v>57</v>
      </c>
      <c r="U757" s="1">
        <v>45809</v>
      </c>
      <c r="W757" s="1">
        <v>45992</v>
      </c>
      <c r="X757">
        <v>1</v>
      </c>
      <c r="Y757" t="s">
        <v>58</v>
      </c>
      <c r="Z757" s="2">
        <v>0</v>
      </c>
      <c r="AA757">
        <v>0</v>
      </c>
      <c r="AB757" t="s">
        <v>60</v>
      </c>
      <c r="AC757" t="s">
        <v>61</v>
      </c>
      <c r="AD757">
        <v>0</v>
      </c>
      <c r="AE757" s="2">
        <v>0</v>
      </c>
      <c r="AF757" s="2">
        <v>0</v>
      </c>
      <c r="AG757" s="3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45957</v>
      </c>
      <c r="B758" t="s">
        <v>48</v>
      </c>
      <c r="C758">
        <v>649163</v>
      </c>
      <c r="D758">
        <v>2028774423</v>
      </c>
      <c r="E758" t="s">
        <v>542</v>
      </c>
      <c r="F758" t="s">
        <v>543</v>
      </c>
      <c r="G758" t="s">
        <v>51</v>
      </c>
      <c r="H758" t="s">
        <v>179</v>
      </c>
      <c r="I758" s="2">
        <v>37.75</v>
      </c>
      <c r="J758" t="s">
        <v>59</v>
      </c>
      <c r="K758" s="3">
        <v>0.75</v>
      </c>
      <c r="L758" s="2">
        <v>0</v>
      </c>
      <c r="M758" s="2">
        <v>28.31</v>
      </c>
      <c r="N758" s="2">
        <v>28.31</v>
      </c>
      <c r="O758" t="s">
        <v>369</v>
      </c>
      <c r="P758" t="s">
        <v>370</v>
      </c>
      <c r="Q758">
        <v>673059</v>
      </c>
      <c r="R758" t="s">
        <v>55</v>
      </c>
      <c r="S758" t="s">
        <v>56</v>
      </c>
      <c r="T758" t="s">
        <v>57</v>
      </c>
      <c r="U758" s="1">
        <v>45809</v>
      </c>
      <c r="W758" s="1">
        <v>45992</v>
      </c>
      <c r="X758">
        <v>1</v>
      </c>
      <c r="Y758" t="s">
        <v>58</v>
      </c>
      <c r="Z758" s="2">
        <v>0</v>
      </c>
      <c r="AA758">
        <v>0</v>
      </c>
      <c r="AB758" t="s">
        <v>60</v>
      </c>
      <c r="AC758" t="s">
        <v>61</v>
      </c>
      <c r="AD758">
        <v>0</v>
      </c>
      <c r="AE758" s="2">
        <v>0</v>
      </c>
      <c r="AF758" s="2">
        <v>0</v>
      </c>
      <c r="AG758" s="3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45957</v>
      </c>
      <c r="B759" t="s">
        <v>48</v>
      </c>
      <c r="C759">
        <v>649163</v>
      </c>
      <c r="D759">
        <v>2028799845</v>
      </c>
      <c r="E759" t="s">
        <v>637</v>
      </c>
      <c r="F759" t="s">
        <v>284</v>
      </c>
      <c r="G759" t="s">
        <v>51</v>
      </c>
      <c r="H759" t="s">
        <v>208</v>
      </c>
      <c r="I759" s="2">
        <v>43.18</v>
      </c>
      <c r="J759" t="s">
        <v>59</v>
      </c>
      <c r="K759" s="3">
        <v>0.75</v>
      </c>
      <c r="L759" s="2">
        <v>0</v>
      </c>
      <c r="M759" s="2">
        <v>32.380000000000003</v>
      </c>
      <c r="N759" s="2">
        <v>32.380000000000003</v>
      </c>
      <c r="O759" t="s">
        <v>369</v>
      </c>
      <c r="P759" t="s">
        <v>370</v>
      </c>
      <c r="Q759">
        <v>792847</v>
      </c>
      <c r="R759" t="s">
        <v>371</v>
      </c>
      <c r="S759" t="s">
        <v>372</v>
      </c>
      <c r="T759" t="s">
        <v>57</v>
      </c>
      <c r="U759" s="1">
        <v>45809</v>
      </c>
      <c r="W759" s="1">
        <v>45992</v>
      </c>
      <c r="X759">
        <v>1</v>
      </c>
      <c r="Y759" t="s">
        <v>58</v>
      </c>
      <c r="Z759" s="2">
        <v>0</v>
      </c>
      <c r="AA759">
        <v>0</v>
      </c>
      <c r="AB759" t="s">
        <v>60</v>
      </c>
      <c r="AC759" t="s">
        <v>61</v>
      </c>
      <c r="AD759">
        <v>0</v>
      </c>
      <c r="AE759" s="2">
        <v>0</v>
      </c>
      <c r="AF759" s="2">
        <v>0</v>
      </c>
      <c r="AG759" s="3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45957</v>
      </c>
      <c r="B760" t="s">
        <v>48</v>
      </c>
      <c r="C760">
        <v>649163</v>
      </c>
      <c r="D760">
        <v>2028857840</v>
      </c>
      <c r="E760" t="s">
        <v>422</v>
      </c>
      <c r="F760" t="s">
        <v>638</v>
      </c>
      <c r="G760" t="s">
        <v>51</v>
      </c>
      <c r="H760" t="s">
        <v>613</v>
      </c>
      <c r="I760" s="2">
        <v>68.7</v>
      </c>
      <c r="J760" t="s">
        <v>59</v>
      </c>
      <c r="K760" s="3">
        <v>0.75</v>
      </c>
      <c r="L760" s="2">
        <v>0</v>
      </c>
      <c r="M760" s="2">
        <v>51.52</v>
      </c>
      <c r="N760" s="2">
        <v>51.52</v>
      </c>
      <c r="O760" t="s">
        <v>369</v>
      </c>
      <c r="P760" t="s">
        <v>421</v>
      </c>
      <c r="Q760">
        <v>651818</v>
      </c>
      <c r="R760" t="s">
        <v>560</v>
      </c>
      <c r="S760" t="s">
        <v>336</v>
      </c>
      <c r="T760" t="s">
        <v>57</v>
      </c>
      <c r="U760" s="1">
        <v>45789</v>
      </c>
      <c r="W760" s="1">
        <v>45973</v>
      </c>
      <c r="X760">
        <v>1</v>
      </c>
      <c r="Y760" t="s">
        <v>58</v>
      </c>
      <c r="Z760" s="2">
        <v>0</v>
      </c>
      <c r="AA760">
        <v>0</v>
      </c>
      <c r="AB760" t="s">
        <v>60</v>
      </c>
      <c r="AC760" t="s">
        <v>61</v>
      </c>
      <c r="AD760">
        <v>0</v>
      </c>
      <c r="AE760" s="2">
        <v>0</v>
      </c>
      <c r="AF760" s="2">
        <v>0</v>
      </c>
      <c r="AG760" s="3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45957</v>
      </c>
      <c r="B761" t="s">
        <v>48</v>
      </c>
      <c r="C761">
        <v>649163</v>
      </c>
      <c r="D761">
        <v>2028863859</v>
      </c>
      <c r="E761" t="s">
        <v>639</v>
      </c>
      <c r="F761" t="s">
        <v>338</v>
      </c>
      <c r="G761" t="s">
        <v>51</v>
      </c>
      <c r="H761" t="s">
        <v>261</v>
      </c>
      <c r="I761" s="2">
        <v>126.15</v>
      </c>
      <c r="J761" t="s">
        <v>59</v>
      </c>
      <c r="K761" s="3">
        <v>0.75</v>
      </c>
      <c r="L761" s="2">
        <v>94.61</v>
      </c>
      <c r="M761" s="2">
        <v>0</v>
      </c>
      <c r="N761" s="2">
        <v>0</v>
      </c>
      <c r="O761" t="s">
        <v>369</v>
      </c>
      <c r="P761" t="s">
        <v>370</v>
      </c>
      <c r="Q761">
        <v>753748</v>
      </c>
      <c r="R761" t="s">
        <v>65</v>
      </c>
      <c r="S761" t="s">
        <v>66</v>
      </c>
      <c r="T761" t="s">
        <v>57</v>
      </c>
      <c r="U761" s="1">
        <v>45809</v>
      </c>
      <c r="W761" s="1">
        <v>45992</v>
      </c>
      <c r="X761">
        <v>1</v>
      </c>
      <c r="Y761" t="s">
        <v>58</v>
      </c>
      <c r="Z761" s="2">
        <v>0</v>
      </c>
      <c r="AA761">
        <v>0</v>
      </c>
      <c r="AB761" t="s">
        <v>60</v>
      </c>
      <c r="AC761" t="s">
        <v>61</v>
      </c>
      <c r="AD761">
        <v>0</v>
      </c>
      <c r="AE761" s="2">
        <v>0</v>
      </c>
      <c r="AF761" s="2">
        <v>0</v>
      </c>
      <c r="AG761" s="3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45957</v>
      </c>
      <c r="B762" t="s">
        <v>48</v>
      </c>
      <c r="C762">
        <v>649163</v>
      </c>
      <c r="D762">
        <v>2028897605</v>
      </c>
      <c r="E762" t="s">
        <v>778</v>
      </c>
      <c r="F762" t="s">
        <v>779</v>
      </c>
      <c r="G762" t="s">
        <v>51</v>
      </c>
      <c r="H762" t="s">
        <v>165</v>
      </c>
      <c r="I762" s="2">
        <v>16.7</v>
      </c>
      <c r="J762" t="s">
        <v>59</v>
      </c>
      <c r="K762" s="3">
        <v>0.75</v>
      </c>
      <c r="L762" s="2">
        <v>0</v>
      </c>
      <c r="M762" s="2">
        <v>12.52</v>
      </c>
      <c r="N762" s="2">
        <v>12.52</v>
      </c>
      <c r="O762" t="s">
        <v>369</v>
      </c>
      <c r="P762" t="s">
        <v>421</v>
      </c>
      <c r="Q762">
        <v>856163</v>
      </c>
      <c r="R762" t="s">
        <v>70</v>
      </c>
      <c r="S762" t="s">
        <v>71</v>
      </c>
      <c r="T762" t="s">
        <v>57</v>
      </c>
      <c r="U762" s="1">
        <v>45809</v>
      </c>
      <c r="W762" s="1">
        <v>45992</v>
      </c>
      <c r="X762">
        <v>1</v>
      </c>
      <c r="Y762" t="s">
        <v>58</v>
      </c>
      <c r="Z762" s="2">
        <v>0</v>
      </c>
      <c r="AA762">
        <v>0</v>
      </c>
      <c r="AB762" t="s">
        <v>60</v>
      </c>
      <c r="AC762" t="s">
        <v>61</v>
      </c>
      <c r="AD762">
        <v>0</v>
      </c>
      <c r="AE762" s="2">
        <v>0</v>
      </c>
      <c r="AF762" s="2">
        <v>0</v>
      </c>
      <c r="AG762" s="3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45957</v>
      </c>
      <c r="B763" t="s">
        <v>48</v>
      </c>
      <c r="C763">
        <v>649163</v>
      </c>
      <c r="D763">
        <v>2028899053</v>
      </c>
      <c r="E763" t="s">
        <v>691</v>
      </c>
      <c r="F763" t="s">
        <v>692</v>
      </c>
      <c r="G763" t="s">
        <v>51</v>
      </c>
      <c r="H763" t="s">
        <v>69</v>
      </c>
      <c r="I763" s="2">
        <v>13.75</v>
      </c>
      <c r="J763" t="s">
        <v>59</v>
      </c>
      <c r="K763" s="3">
        <v>0.75</v>
      </c>
      <c r="L763" s="2">
        <v>10.31</v>
      </c>
      <c r="M763" s="2">
        <v>0</v>
      </c>
      <c r="N763" s="2">
        <v>0</v>
      </c>
      <c r="O763" t="s">
        <v>369</v>
      </c>
      <c r="P763" t="s">
        <v>421</v>
      </c>
      <c r="Q763">
        <v>820873</v>
      </c>
      <c r="R763" t="s">
        <v>447</v>
      </c>
      <c r="S763" t="s">
        <v>448</v>
      </c>
      <c r="T763" t="s">
        <v>57</v>
      </c>
      <c r="U763" s="1">
        <v>45809</v>
      </c>
      <c r="W763" s="1">
        <v>45992</v>
      </c>
      <c r="X763">
        <v>1</v>
      </c>
      <c r="Y763" t="s">
        <v>58</v>
      </c>
      <c r="Z763" s="2">
        <v>0</v>
      </c>
      <c r="AA763">
        <v>0</v>
      </c>
      <c r="AB763" t="s">
        <v>60</v>
      </c>
      <c r="AC763" t="s">
        <v>61</v>
      </c>
      <c r="AD763">
        <v>0</v>
      </c>
      <c r="AE763" s="2">
        <v>0</v>
      </c>
      <c r="AF763" s="2">
        <v>0</v>
      </c>
      <c r="AG763" s="3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45957</v>
      </c>
      <c r="B764" t="s">
        <v>48</v>
      </c>
      <c r="C764">
        <v>649163</v>
      </c>
      <c r="D764">
        <v>2028938953</v>
      </c>
      <c r="E764" t="s">
        <v>785</v>
      </c>
      <c r="F764" t="s">
        <v>506</v>
      </c>
      <c r="G764" t="s">
        <v>51</v>
      </c>
      <c r="H764" t="s">
        <v>69</v>
      </c>
      <c r="I764" s="2">
        <v>34.65</v>
      </c>
      <c r="J764" t="s">
        <v>59</v>
      </c>
      <c r="K764" s="3">
        <v>0.75</v>
      </c>
      <c r="L764" s="2">
        <v>0</v>
      </c>
      <c r="M764" s="2">
        <v>25.99</v>
      </c>
      <c r="N764" s="2">
        <v>25.99</v>
      </c>
      <c r="O764" t="s">
        <v>369</v>
      </c>
      <c r="P764" t="s">
        <v>370</v>
      </c>
      <c r="Q764">
        <v>673059</v>
      </c>
      <c r="R764" t="s">
        <v>55</v>
      </c>
      <c r="S764" t="s">
        <v>56</v>
      </c>
      <c r="T764" t="s">
        <v>57</v>
      </c>
      <c r="U764" s="1">
        <v>45836</v>
      </c>
      <c r="W764" s="1">
        <v>45989</v>
      </c>
      <c r="X764">
        <v>1</v>
      </c>
      <c r="Y764" t="s">
        <v>58</v>
      </c>
      <c r="Z764" s="2">
        <v>0</v>
      </c>
      <c r="AA764">
        <v>0</v>
      </c>
      <c r="AB764" t="s">
        <v>60</v>
      </c>
      <c r="AC764" t="s">
        <v>61</v>
      </c>
      <c r="AD764">
        <v>0</v>
      </c>
      <c r="AE764" s="2">
        <v>0</v>
      </c>
      <c r="AF764" s="2">
        <v>0</v>
      </c>
      <c r="AG764" s="3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45957</v>
      </c>
      <c r="B765" t="s">
        <v>48</v>
      </c>
      <c r="C765">
        <v>649163</v>
      </c>
      <c r="D765">
        <v>2028959283</v>
      </c>
      <c r="E765" t="s">
        <v>788</v>
      </c>
      <c r="F765" t="s">
        <v>153</v>
      </c>
      <c r="G765" t="s">
        <v>51</v>
      </c>
      <c r="H765" t="s">
        <v>69</v>
      </c>
      <c r="I765" s="2">
        <v>141.43</v>
      </c>
      <c r="J765" t="s">
        <v>59</v>
      </c>
      <c r="K765" s="3">
        <v>0.75</v>
      </c>
      <c r="L765" s="2">
        <v>106.07</v>
      </c>
      <c r="M765" s="2">
        <v>0</v>
      </c>
      <c r="N765" s="2">
        <v>0</v>
      </c>
      <c r="O765" t="s">
        <v>369</v>
      </c>
      <c r="P765" t="s">
        <v>421</v>
      </c>
      <c r="Q765">
        <v>766747</v>
      </c>
      <c r="R765" t="s">
        <v>97</v>
      </c>
      <c r="S765" t="s">
        <v>98</v>
      </c>
      <c r="T765" t="s">
        <v>57</v>
      </c>
      <c r="U765" s="1">
        <v>45809</v>
      </c>
      <c r="W765" s="1">
        <v>45992</v>
      </c>
      <c r="X765">
        <v>1</v>
      </c>
      <c r="Y765" t="s">
        <v>58</v>
      </c>
      <c r="Z765" s="2">
        <v>0</v>
      </c>
      <c r="AA765">
        <v>0</v>
      </c>
      <c r="AB765" t="s">
        <v>60</v>
      </c>
      <c r="AC765" t="s">
        <v>61</v>
      </c>
      <c r="AD765">
        <v>0</v>
      </c>
      <c r="AE765" s="2">
        <v>0</v>
      </c>
      <c r="AF765" s="2">
        <v>0</v>
      </c>
      <c r="AG765" s="3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45957</v>
      </c>
      <c r="B766" t="s">
        <v>48</v>
      </c>
      <c r="C766">
        <v>649163</v>
      </c>
      <c r="D766">
        <v>2028960906</v>
      </c>
      <c r="E766" t="s">
        <v>789</v>
      </c>
      <c r="F766" t="s">
        <v>790</v>
      </c>
      <c r="G766" t="s">
        <v>51</v>
      </c>
      <c r="H766" t="s">
        <v>69</v>
      </c>
      <c r="I766" s="2">
        <v>13.57</v>
      </c>
      <c r="J766" t="s">
        <v>59</v>
      </c>
      <c r="K766" s="3">
        <v>0.75</v>
      </c>
      <c r="L766" s="2">
        <v>10.18</v>
      </c>
      <c r="M766" s="2">
        <v>0</v>
      </c>
      <c r="N766" s="2">
        <v>0</v>
      </c>
      <c r="O766" t="s">
        <v>369</v>
      </c>
      <c r="P766" t="s">
        <v>421</v>
      </c>
      <c r="Q766">
        <v>856163</v>
      </c>
      <c r="R766" t="s">
        <v>70</v>
      </c>
      <c r="S766" t="s">
        <v>71</v>
      </c>
      <c r="T766" t="s">
        <v>57</v>
      </c>
      <c r="U766" s="1">
        <v>45809</v>
      </c>
      <c r="W766" s="1">
        <v>45992</v>
      </c>
      <c r="X766">
        <v>1</v>
      </c>
      <c r="Y766" t="s">
        <v>58</v>
      </c>
      <c r="Z766" s="2">
        <v>0</v>
      </c>
      <c r="AA766">
        <v>0</v>
      </c>
      <c r="AB766" t="s">
        <v>60</v>
      </c>
      <c r="AC766" t="s">
        <v>61</v>
      </c>
      <c r="AD766">
        <v>0</v>
      </c>
      <c r="AE766" s="2">
        <v>0</v>
      </c>
      <c r="AF766" s="2">
        <v>0</v>
      </c>
      <c r="AG766" s="3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45957</v>
      </c>
      <c r="B767" t="s">
        <v>48</v>
      </c>
      <c r="C767">
        <v>649163</v>
      </c>
      <c r="D767">
        <v>2029011565</v>
      </c>
      <c r="E767" t="s">
        <v>265</v>
      </c>
      <c r="F767" t="s">
        <v>792</v>
      </c>
      <c r="G767" t="s">
        <v>51</v>
      </c>
      <c r="H767" t="s">
        <v>69</v>
      </c>
      <c r="I767" s="2">
        <v>90.49</v>
      </c>
      <c r="J767" t="s">
        <v>59</v>
      </c>
      <c r="K767" s="3">
        <v>0.75</v>
      </c>
      <c r="L767" s="2">
        <v>67.87</v>
      </c>
      <c r="M767" s="2">
        <v>0</v>
      </c>
      <c r="N767" s="2">
        <v>0</v>
      </c>
      <c r="O767" t="s">
        <v>369</v>
      </c>
      <c r="P767" t="s">
        <v>421</v>
      </c>
      <c r="Q767">
        <v>673059</v>
      </c>
      <c r="R767" t="s">
        <v>55</v>
      </c>
      <c r="S767" t="s">
        <v>56</v>
      </c>
      <c r="T767" t="s">
        <v>57</v>
      </c>
      <c r="U767" s="1">
        <v>45809</v>
      </c>
      <c r="W767" s="1">
        <v>45992</v>
      </c>
      <c r="X767">
        <v>1</v>
      </c>
      <c r="Y767" t="s">
        <v>58</v>
      </c>
      <c r="Z767" s="2">
        <v>0</v>
      </c>
      <c r="AA767">
        <v>0</v>
      </c>
      <c r="AB767" t="s">
        <v>60</v>
      </c>
      <c r="AC767" t="s">
        <v>61</v>
      </c>
      <c r="AD767">
        <v>0</v>
      </c>
      <c r="AE767" s="2">
        <v>0</v>
      </c>
      <c r="AF767" s="2">
        <v>0</v>
      </c>
      <c r="AG767" s="3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45957</v>
      </c>
      <c r="B768" t="s">
        <v>48</v>
      </c>
      <c r="C768">
        <v>649163</v>
      </c>
      <c r="D768">
        <v>2029014823</v>
      </c>
      <c r="E768" t="s">
        <v>793</v>
      </c>
      <c r="F768" t="s">
        <v>794</v>
      </c>
      <c r="G768" t="s">
        <v>51</v>
      </c>
      <c r="H768" t="s">
        <v>69</v>
      </c>
      <c r="I768" s="2">
        <v>31.6</v>
      </c>
      <c r="J768" t="s">
        <v>59</v>
      </c>
      <c r="K768" s="3">
        <v>0.75</v>
      </c>
      <c r="L768" s="2">
        <v>23.7</v>
      </c>
      <c r="M768" s="2">
        <v>0</v>
      </c>
      <c r="N768" s="2">
        <v>0</v>
      </c>
      <c r="O768" t="s">
        <v>369</v>
      </c>
      <c r="P768" t="s">
        <v>370</v>
      </c>
      <c r="Q768">
        <v>673059</v>
      </c>
      <c r="R768" t="s">
        <v>55</v>
      </c>
      <c r="S768" t="s">
        <v>56</v>
      </c>
      <c r="T768" t="s">
        <v>57</v>
      </c>
      <c r="U768" s="1">
        <v>45809</v>
      </c>
      <c r="W768" s="1">
        <v>45992</v>
      </c>
      <c r="X768">
        <v>1</v>
      </c>
      <c r="Y768" t="s">
        <v>58</v>
      </c>
      <c r="Z768" s="2">
        <v>0</v>
      </c>
      <c r="AA768">
        <v>0</v>
      </c>
      <c r="AB768" t="s">
        <v>60</v>
      </c>
      <c r="AC768" t="s">
        <v>61</v>
      </c>
      <c r="AD768">
        <v>0</v>
      </c>
      <c r="AE768" s="2">
        <v>0</v>
      </c>
      <c r="AF768" s="2">
        <v>0</v>
      </c>
      <c r="AG768" s="3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45957</v>
      </c>
      <c r="B769" t="s">
        <v>48</v>
      </c>
      <c r="C769">
        <v>649163</v>
      </c>
      <c r="D769">
        <v>2029031324</v>
      </c>
      <c r="E769" t="s">
        <v>796</v>
      </c>
      <c r="F769" t="s">
        <v>308</v>
      </c>
      <c r="G769" t="s">
        <v>51</v>
      </c>
      <c r="H769" t="s">
        <v>92</v>
      </c>
      <c r="I769" s="2">
        <v>13.21</v>
      </c>
      <c r="J769" t="s">
        <v>59</v>
      </c>
      <c r="K769" s="3">
        <v>0.75</v>
      </c>
      <c r="L769" s="2">
        <v>9.91</v>
      </c>
      <c r="M769" s="2">
        <v>0</v>
      </c>
      <c r="N769" s="2">
        <v>0</v>
      </c>
      <c r="O769" t="s">
        <v>369</v>
      </c>
      <c r="P769" t="s">
        <v>421</v>
      </c>
      <c r="Q769">
        <v>816021</v>
      </c>
      <c r="R769" t="s">
        <v>93</v>
      </c>
      <c r="S769" t="s">
        <v>94</v>
      </c>
      <c r="T769" t="s">
        <v>57</v>
      </c>
      <c r="U769" s="1">
        <v>45809</v>
      </c>
      <c r="W769" s="1">
        <v>45992</v>
      </c>
      <c r="X769">
        <v>1</v>
      </c>
      <c r="Y769" t="s">
        <v>58</v>
      </c>
      <c r="Z769" s="2">
        <v>0</v>
      </c>
      <c r="AA769">
        <v>0</v>
      </c>
      <c r="AB769" t="s">
        <v>60</v>
      </c>
      <c r="AC769" t="s">
        <v>61</v>
      </c>
      <c r="AD769">
        <v>0</v>
      </c>
      <c r="AE769" s="2">
        <v>0</v>
      </c>
      <c r="AF769" s="2">
        <v>0</v>
      </c>
      <c r="AG769" s="3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45957</v>
      </c>
      <c r="B770" t="s">
        <v>48</v>
      </c>
      <c r="C770">
        <v>649163</v>
      </c>
      <c r="D770">
        <v>2029189480</v>
      </c>
      <c r="E770" t="s">
        <v>799</v>
      </c>
      <c r="F770" t="s">
        <v>296</v>
      </c>
      <c r="G770" t="s">
        <v>51</v>
      </c>
      <c r="H770" t="s">
        <v>69</v>
      </c>
      <c r="I770" s="2">
        <v>83.55</v>
      </c>
      <c r="J770" t="s">
        <v>59</v>
      </c>
      <c r="K770" s="3">
        <v>0.75</v>
      </c>
      <c r="L770" s="2">
        <v>62.66</v>
      </c>
      <c r="M770" s="2">
        <v>0</v>
      </c>
      <c r="N770" s="2">
        <v>0</v>
      </c>
      <c r="O770" t="s">
        <v>369</v>
      </c>
      <c r="P770" t="s">
        <v>370</v>
      </c>
      <c r="Q770">
        <v>824081</v>
      </c>
      <c r="R770" t="s">
        <v>800</v>
      </c>
      <c r="S770" t="s">
        <v>801</v>
      </c>
      <c r="T770" t="s">
        <v>57</v>
      </c>
      <c r="U770" s="1">
        <v>45809</v>
      </c>
      <c r="W770" s="1">
        <v>45992</v>
      </c>
      <c r="X770">
        <v>1</v>
      </c>
      <c r="Y770" t="s">
        <v>58</v>
      </c>
      <c r="Z770" s="2">
        <v>0</v>
      </c>
      <c r="AA770">
        <v>0</v>
      </c>
      <c r="AB770" t="s">
        <v>60</v>
      </c>
      <c r="AC770" t="s">
        <v>61</v>
      </c>
      <c r="AD770">
        <v>0</v>
      </c>
      <c r="AE770" s="2">
        <v>0</v>
      </c>
      <c r="AF770" s="2">
        <v>0</v>
      </c>
      <c r="AG770" s="3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45957</v>
      </c>
      <c r="B771" t="s">
        <v>48</v>
      </c>
      <c r="C771">
        <v>649163</v>
      </c>
      <c r="D771">
        <v>2030199536</v>
      </c>
      <c r="E771" t="s">
        <v>153</v>
      </c>
      <c r="F771" t="s">
        <v>804</v>
      </c>
      <c r="G771" t="s">
        <v>51</v>
      </c>
      <c r="H771" t="s">
        <v>201</v>
      </c>
      <c r="I771" s="2">
        <v>152.33000000000001</v>
      </c>
      <c r="J771" t="s">
        <v>59</v>
      </c>
      <c r="K771" s="3">
        <v>0.75</v>
      </c>
      <c r="L771" s="2">
        <v>114.25</v>
      </c>
      <c r="M771" s="2">
        <v>0</v>
      </c>
      <c r="N771" s="2">
        <v>0</v>
      </c>
      <c r="O771" t="s">
        <v>369</v>
      </c>
      <c r="P771" t="s">
        <v>421</v>
      </c>
      <c r="Q771">
        <v>756418</v>
      </c>
      <c r="R771" t="s">
        <v>191</v>
      </c>
      <c r="S771" t="s">
        <v>192</v>
      </c>
      <c r="T771" t="s">
        <v>57</v>
      </c>
      <c r="U771" s="1">
        <v>45868</v>
      </c>
      <c r="W771" s="1">
        <v>45991</v>
      </c>
      <c r="X771">
        <v>1</v>
      </c>
      <c r="Y771" t="s">
        <v>58</v>
      </c>
      <c r="Z771" s="2">
        <v>0</v>
      </c>
      <c r="AA771">
        <v>0</v>
      </c>
      <c r="AB771" t="s">
        <v>60</v>
      </c>
      <c r="AC771" t="s">
        <v>61</v>
      </c>
      <c r="AD771">
        <v>0</v>
      </c>
      <c r="AE771" s="2">
        <v>0</v>
      </c>
      <c r="AF771" s="2">
        <v>0</v>
      </c>
      <c r="AG771" s="3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45957</v>
      </c>
      <c r="B772" t="s">
        <v>48</v>
      </c>
      <c r="C772">
        <v>649163</v>
      </c>
      <c r="D772">
        <v>2030297552</v>
      </c>
      <c r="E772" t="s">
        <v>236</v>
      </c>
      <c r="F772" t="s">
        <v>56</v>
      </c>
      <c r="G772" t="s">
        <v>51</v>
      </c>
      <c r="H772" t="s">
        <v>165</v>
      </c>
      <c r="I772" s="2">
        <v>17.170000000000002</v>
      </c>
      <c r="J772" t="s">
        <v>59</v>
      </c>
      <c r="K772" s="3">
        <v>0.75</v>
      </c>
      <c r="L772" s="2">
        <v>12.88</v>
      </c>
      <c r="M772" s="2">
        <v>0</v>
      </c>
      <c r="N772" s="2">
        <v>0</v>
      </c>
      <c r="O772" t="s">
        <v>369</v>
      </c>
      <c r="P772" t="s">
        <v>421</v>
      </c>
      <c r="Q772">
        <v>856163</v>
      </c>
      <c r="R772" t="s">
        <v>70</v>
      </c>
      <c r="S772" t="s">
        <v>71</v>
      </c>
      <c r="T772" t="s">
        <v>57</v>
      </c>
      <c r="U772" s="1">
        <v>45901</v>
      </c>
      <c r="W772" s="1">
        <v>45962</v>
      </c>
      <c r="X772">
        <v>1</v>
      </c>
      <c r="Y772" t="s">
        <v>58</v>
      </c>
      <c r="Z772" s="2">
        <v>0</v>
      </c>
      <c r="AA772">
        <v>0</v>
      </c>
      <c r="AB772" t="s">
        <v>60</v>
      </c>
      <c r="AC772" t="s">
        <v>61</v>
      </c>
      <c r="AD772">
        <v>0</v>
      </c>
      <c r="AE772" s="2">
        <v>0</v>
      </c>
      <c r="AF772" s="2">
        <v>0</v>
      </c>
      <c r="AG772" s="3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45957</v>
      </c>
      <c r="B773" t="s">
        <v>48</v>
      </c>
      <c r="C773">
        <v>649163</v>
      </c>
      <c r="D773">
        <v>2030297552</v>
      </c>
      <c r="E773" t="s">
        <v>236</v>
      </c>
      <c r="F773" t="s">
        <v>56</v>
      </c>
      <c r="G773" t="s">
        <v>51</v>
      </c>
      <c r="H773" t="s">
        <v>165</v>
      </c>
      <c r="I773" s="2">
        <v>17.170000000000002</v>
      </c>
      <c r="J773" t="s">
        <v>59</v>
      </c>
      <c r="K773" s="3">
        <v>0.75</v>
      </c>
      <c r="L773" s="2">
        <v>12.88</v>
      </c>
      <c r="M773" s="2">
        <v>0</v>
      </c>
      <c r="N773" s="2">
        <v>0</v>
      </c>
      <c r="O773" t="s">
        <v>369</v>
      </c>
      <c r="P773" t="s">
        <v>421</v>
      </c>
      <c r="Q773">
        <v>856163</v>
      </c>
      <c r="R773" t="s">
        <v>70</v>
      </c>
      <c r="S773" t="s">
        <v>71</v>
      </c>
      <c r="T773" t="s">
        <v>57</v>
      </c>
      <c r="U773" s="1">
        <v>45901</v>
      </c>
      <c r="W773" s="1">
        <v>45992</v>
      </c>
      <c r="X773">
        <v>1</v>
      </c>
      <c r="Y773" t="s">
        <v>58</v>
      </c>
      <c r="Z773" s="2">
        <v>0</v>
      </c>
      <c r="AA773">
        <v>0</v>
      </c>
      <c r="AB773" t="s">
        <v>60</v>
      </c>
      <c r="AC773" t="s">
        <v>61</v>
      </c>
      <c r="AD773">
        <v>0</v>
      </c>
      <c r="AE773" s="2">
        <v>0</v>
      </c>
      <c r="AF773" s="2">
        <v>0</v>
      </c>
      <c r="AG773" s="3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45957</v>
      </c>
      <c r="B774" t="s">
        <v>48</v>
      </c>
      <c r="C774">
        <v>649163</v>
      </c>
      <c r="D774">
        <v>2030383550</v>
      </c>
      <c r="E774" t="s">
        <v>76</v>
      </c>
      <c r="F774" t="s">
        <v>77</v>
      </c>
      <c r="G774" t="s">
        <v>51</v>
      </c>
      <c r="H774" t="s">
        <v>78</v>
      </c>
      <c r="I774" s="2">
        <v>75.13</v>
      </c>
      <c r="J774" t="s">
        <v>59</v>
      </c>
      <c r="K774" s="3">
        <v>0.75</v>
      </c>
      <c r="L774" s="2">
        <v>56.35</v>
      </c>
      <c r="M774" s="2">
        <v>0</v>
      </c>
      <c r="N774" s="2">
        <v>0</v>
      </c>
      <c r="O774" t="s">
        <v>369</v>
      </c>
      <c r="P774" t="s">
        <v>421</v>
      </c>
      <c r="Q774">
        <v>753748</v>
      </c>
      <c r="R774" t="s">
        <v>65</v>
      </c>
      <c r="S774" t="s">
        <v>66</v>
      </c>
      <c r="T774" t="s">
        <v>57</v>
      </c>
      <c r="U774" s="1">
        <v>45901</v>
      </c>
      <c r="W774" s="1">
        <v>45992</v>
      </c>
      <c r="X774">
        <v>1</v>
      </c>
      <c r="Y774" t="s">
        <v>58</v>
      </c>
      <c r="Z774" s="2">
        <v>0</v>
      </c>
      <c r="AA774">
        <v>0</v>
      </c>
      <c r="AB774" t="s">
        <v>60</v>
      </c>
      <c r="AC774" t="s">
        <v>61</v>
      </c>
      <c r="AD774">
        <v>0</v>
      </c>
      <c r="AE774" s="2">
        <v>0</v>
      </c>
      <c r="AF774" s="2">
        <v>0</v>
      </c>
      <c r="AG774" s="3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45957</v>
      </c>
      <c r="B775" t="s">
        <v>48</v>
      </c>
      <c r="C775">
        <v>649163</v>
      </c>
      <c r="D775">
        <v>2030468292</v>
      </c>
      <c r="E775" t="s">
        <v>99</v>
      </c>
      <c r="F775" t="s">
        <v>100</v>
      </c>
      <c r="G775" t="s">
        <v>51</v>
      </c>
      <c r="H775" t="s">
        <v>101</v>
      </c>
      <c r="I775" s="2">
        <v>69.91</v>
      </c>
      <c r="J775" t="s">
        <v>59</v>
      </c>
      <c r="K775" s="3">
        <v>0.75</v>
      </c>
      <c r="L775" s="2">
        <v>52.43</v>
      </c>
      <c r="M775" s="2">
        <v>0</v>
      </c>
      <c r="N775" s="2">
        <v>0</v>
      </c>
      <c r="O775" t="s">
        <v>369</v>
      </c>
      <c r="P775" t="s">
        <v>421</v>
      </c>
      <c r="Q775">
        <v>753748</v>
      </c>
      <c r="R775" t="s">
        <v>65</v>
      </c>
      <c r="S775" t="s">
        <v>66</v>
      </c>
      <c r="T775" t="s">
        <v>57</v>
      </c>
      <c r="U775" s="1">
        <v>45901</v>
      </c>
      <c r="W775" s="1">
        <v>45992</v>
      </c>
      <c r="X775">
        <v>1</v>
      </c>
      <c r="Y775" t="s">
        <v>58</v>
      </c>
      <c r="Z775" s="2">
        <v>0</v>
      </c>
      <c r="AA775">
        <v>0</v>
      </c>
      <c r="AB775" t="s">
        <v>60</v>
      </c>
      <c r="AC775" t="s">
        <v>61</v>
      </c>
      <c r="AD775">
        <v>0</v>
      </c>
      <c r="AE775" s="2">
        <v>0</v>
      </c>
      <c r="AF775" s="2">
        <v>0</v>
      </c>
      <c r="AG775" s="3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45957</v>
      </c>
      <c r="B776" t="s">
        <v>48</v>
      </c>
      <c r="C776">
        <v>649163</v>
      </c>
      <c r="D776">
        <v>2030493935</v>
      </c>
      <c r="E776" t="s">
        <v>110</v>
      </c>
      <c r="F776" t="s">
        <v>111</v>
      </c>
      <c r="G776" t="s">
        <v>51</v>
      </c>
      <c r="H776" t="s">
        <v>52</v>
      </c>
      <c r="I776" s="2">
        <v>88.54</v>
      </c>
      <c r="J776" t="s">
        <v>59</v>
      </c>
      <c r="K776" s="3">
        <v>0.75</v>
      </c>
      <c r="L776" s="2">
        <v>66.400000000000006</v>
      </c>
      <c r="M776" s="2">
        <v>0</v>
      </c>
      <c r="N776" s="2">
        <v>0</v>
      </c>
      <c r="O776" t="s">
        <v>369</v>
      </c>
      <c r="P776" t="s">
        <v>421</v>
      </c>
      <c r="Q776">
        <v>673059</v>
      </c>
      <c r="R776" t="s">
        <v>55</v>
      </c>
      <c r="S776" t="s">
        <v>56</v>
      </c>
      <c r="T776" t="s">
        <v>57</v>
      </c>
      <c r="U776" s="1">
        <v>45901</v>
      </c>
      <c r="W776" s="1">
        <v>45992</v>
      </c>
      <c r="X776">
        <v>1</v>
      </c>
      <c r="Y776" t="s">
        <v>58</v>
      </c>
      <c r="Z776" s="2">
        <v>0</v>
      </c>
      <c r="AA776">
        <v>0</v>
      </c>
      <c r="AB776" t="s">
        <v>60</v>
      </c>
      <c r="AC776" t="s">
        <v>61</v>
      </c>
      <c r="AD776">
        <v>0</v>
      </c>
      <c r="AE776" s="2">
        <v>0</v>
      </c>
      <c r="AF776" s="2">
        <v>0</v>
      </c>
      <c r="AG776" s="3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45957</v>
      </c>
      <c r="B777" t="s">
        <v>48</v>
      </c>
      <c r="C777">
        <v>649163</v>
      </c>
      <c r="D777">
        <v>2030552094</v>
      </c>
      <c r="E777" t="s">
        <v>125</v>
      </c>
      <c r="F777" t="s">
        <v>126</v>
      </c>
      <c r="G777" t="s">
        <v>51</v>
      </c>
      <c r="H777" t="s">
        <v>101</v>
      </c>
      <c r="I777" s="2">
        <v>196.75</v>
      </c>
      <c r="J777" t="s">
        <v>59</v>
      </c>
      <c r="K777" s="3">
        <v>0.75</v>
      </c>
      <c r="L777" s="2">
        <v>147.56</v>
      </c>
      <c r="M777" s="2">
        <v>0</v>
      </c>
      <c r="N777" s="2">
        <v>0</v>
      </c>
      <c r="O777" t="s">
        <v>369</v>
      </c>
      <c r="P777" t="s">
        <v>370</v>
      </c>
      <c r="Q777">
        <v>753748</v>
      </c>
      <c r="R777" t="s">
        <v>65</v>
      </c>
      <c r="S777" t="s">
        <v>66</v>
      </c>
      <c r="T777" t="s">
        <v>57</v>
      </c>
      <c r="U777" s="1">
        <v>45901</v>
      </c>
      <c r="W777" s="1">
        <v>45992</v>
      </c>
      <c r="X777">
        <v>1</v>
      </c>
      <c r="Y777" t="s">
        <v>58</v>
      </c>
      <c r="Z777" s="2">
        <v>0</v>
      </c>
      <c r="AA777">
        <v>0</v>
      </c>
      <c r="AB777" t="s">
        <v>60</v>
      </c>
      <c r="AC777" t="s">
        <v>61</v>
      </c>
      <c r="AD777">
        <v>0</v>
      </c>
      <c r="AE777" s="2">
        <v>0</v>
      </c>
      <c r="AF777" s="2">
        <v>0</v>
      </c>
      <c r="AG777" s="3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45957</v>
      </c>
      <c r="B778" t="s">
        <v>48</v>
      </c>
      <c r="C778">
        <v>649163</v>
      </c>
      <c r="D778">
        <v>2030552138</v>
      </c>
      <c r="E778" t="s">
        <v>127</v>
      </c>
      <c r="F778" t="s">
        <v>128</v>
      </c>
      <c r="G778" t="s">
        <v>51</v>
      </c>
      <c r="H778" t="s">
        <v>129</v>
      </c>
      <c r="I778" s="2">
        <v>20.6</v>
      </c>
      <c r="J778" t="s">
        <v>59</v>
      </c>
      <c r="K778" s="3">
        <v>0.75</v>
      </c>
      <c r="L778" s="2">
        <v>15.45</v>
      </c>
      <c r="M778" s="2">
        <v>0</v>
      </c>
      <c r="N778" s="2">
        <v>0</v>
      </c>
      <c r="O778" t="s">
        <v>369</v>
      </c>
      <c r="P778" t="s">
        <v>370</v>
      </c>
      <c r="Q778">
        <v>874230</v>
      </c>
      <c r="R778" t="s">
        <v>130</v>
      </c>
      <c r="S778" t="s">
        <v>131</v>
      </c>
      <c r="T778" t="s">
        <v>57</v>
      </c>
      <c r="U778" s="1">
        <v>45901</v>
      </c>
      <c r="W778" s="1">
        <v>45992</v>
      </c>
      <c r="X778">
        <v>1</v>
      </c>
      <c r="Y778" t="s">
        <v>58</v>
      </c>
      <c r="Z778" s="2">
        <v>0</v>
      </c>
      <c r="AA778">
        <v>0</v>
      </c>
      <c r="AB778" t="s">
        <v>60</v>
      </c>
      <c r="AC778" t="s">
        <v>61</v>
      </c>
      <c r="AD778">
        <v>0</v>
      </c>
      <c r="AE778" s="2">
        <v>0</v>
      </c>
      <c r="AF778" s="2">
        <v>0</v>
      </c>
      <c r="AG778" s="3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45957</v>
      </c>
      <c r="B779" t="s">
        <v>48</v>
      </c>
      <c r="C779">
        <v>649163</v>
      </c>
      <c r="D779">
        <v>2030570951</v>
      </c>
      <c r="E779" t="s">
        <v>137</v>
      </c>
      <c r="F779" t="s">
        <v>138</v>
      </c>
      <c r="G779" t="s">
        <v>51</v>
      </c>
      <c r="H779" t="s">
        <v>69</v>
      </c>
      <c r="I779" s="2">
        <v>90.76</v>
      </c>
      <c r="J779" t="s">
        <v>59</v>
      </c>
      <c r="K779" s="3">
        <v>0.75</v>
      </c>
      <c r="L779" s="2">
        <v>68.069999999999993</v>
      </c>
      <c r="M779" s="2">
        <v>0</v>
      </c>
      <c r="N779" s="2">
        <v>0</v>
      </c>
      <c r="O779" t="s">
        <v>369</v>
      </c>
      <c r="P779" t="s">
        <v>421</v>
      </c>
      <c r="Q779">
        <v>856163</v>
      </c>
      <c r="R779" t="s">
        <v>70</v>
      </c>
      <c r="S779" t="s">
        <v>71</v>
      </c>
      <c r="T779" t="s">
        <v>57</v>
      </c>
      <c r="U779" s="1">
        <v>45901</v>
      </c>
      <c r="W779" s="1">
        <v>45992</v>
      </c>
      <c r="X779">
        <v>1</v>
      </c>
      <c r="Y779" t="s">
        <v>58</v>
      </c>
      <c r="Z779" s="2">
        <v>0</v>
      </c>
      <c r="AA779">
        <v>0</v>
      </c>
      <c r="AB779" t="s">
        <v>60</v>
      </c>
      <c r="AC779" t="s">
        <v>61</v>
      </c>
      <c r="AD779">
        <v>0</v>
      </c>
      <c r="AE779" s="2">
        <v>0</v>
      </c>
      <c r="AF779" s="2">
        <v>0</v>
      </c>
      <c r="AG779" s="3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45957</v>
      </c>
      <c r="B780" t="s">
        <v>48</v>
      </c>
      <c r="C780">
        <v>649163</v>
      </c>
      <c r="D780">
        <v>2030638849</v>
      </c>
      <c r="E780" t="s">
        <v>163</v>
      </c>
      <c r="F780" t="s">
        <v>164</v>
      </c>
      <c r="G780" t="s">
        <v>51</v>
      </c>
      <c r="H780" t="s">
        <v>165</v>
      </c>
      <c r="I780" s="2">
        <v>33.58</v>
      </c>
      <c r="J780" t="s">
        <v>59</v>
      </c>
      <c r="K780" s="3">
        <v>0.75</v>
      </c>
      <c r="L780" s="2">
        <v>25.18</v>
      </c>
      <c r="M780" s="2">
        <v>0</v>
      </c>
      <c r="N780" s="2">
        <v>0</v>
      </c>
      <c r="O780" t="s">
        <v>369</v>
      </c>
      <c r="P780" t="s">
        <v>421</v>
      </c>
      <c r="Q780">
        <v>673059</v>
      </c>
      <c r="R780" t="s">
        <v>55</v>
      </c>
      <c r="S780" t="s">
        <v>56</v>
      </c>
      <c r="T780" t="s">
        <v>57</v>
      </c>
      <c r="U780" s="1">
        <v>45901</v>
      </c>
      <c r="W780" s="1">
        <v>45992</v>
      </c>
      <c r="X780">
        <v>1</v>
      </c>
      <c r="Y780" t="s">
        <v>58</v>
      </c>
      <c r="Z780" s="2">
        <v>0</v>
      </c>
      <c r="AA780">
        <v>0</v>
      </c>
      <c r="AB780" t="s">
        <v>60</v>
      </c>
      <c r="AC780" t="s">
        <v>61</v>
      </c>
      <c r="AD780">
        <v>0</v>
      </c>
      <c r="AE780" s="2">
        <v>0</v>
      </c>
      <c r="AF780" s="2">
        <v>0</v>
      </c>
      <c r="AG780" s="3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45957</v>
      </c>
      <c r="B781" t="s">
        <v>48</v>
      </c>
      <c r="C781">
        <v>649163</v>
      </c>
      <c r="D781">
        <v>2030642688</v>
      </c>
      <c r="E781" t="s">
        <v>103</v>
      </c>
      <c r="F781" t="s">
        <v>166</v>
      </c>
      <c r="G781" t="s">
        <v>51</v>
      </c>
      <c r="H781" t="s">
        <v>52</v>
      </c>
      <c r="I781" s="2">
        <v>52.3</v>
      </c>
      <c r="J781" t="s">
        <v>59</v>
      </c>
      <c r="K781" s="3">
        <v>0.75</v>
      </c>
      <c r="L781" s="2">
        <v>39.22</v>
      </c>
      <c r="M781" s="2">
        <v>0</v>
      </c>
      <c r="N781" s="2">
        <v>0</v>
      </c>
      <c r="O781" t="s">
        <v>369</v>
      </c>
      <c r="P781" t="s">
        <v>807</v>
      </c>
      <c r="Q781">
        <v>673059</v>
      </c>
      <c r="R781" t="s">
        <v>55</v>
      </c>
      <c r="S781" t="s">
        <v>56</v>
      </c>
      <c r="T781" t="s">
        <v>57</v>
      </c>
      <c r="U781" s="1">
        <v>45901</v>
      </c>
      <c r="W781" s="1">
        <v>45992</v>
      </c>
      <c r="X781">
        <v>1</v>
      </c>
      <c r="Y781" t="s">
        <v>58</v>
      </c>
      <c r="Z781" s="2">
        <v>0</v>
      </c>
      <c r="AA781">
        <v>0</v>
      </c>
      <c r="AB781" t="s">
        <v>60</v>
      </c>
      <c r="AC781" t="s">
        <v>61</v>
      </c>
      <c r="AD781">
        <v>0</v>
      </c>
      <c r="AE781" s="2">
        <v>0</v>
      </c>
      <c r="AF781" s="2">
        <v>0</v>
      </c>
      <c r="AG781" s="3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45957</v>
      </c>
      <c r="B782" t="s">
        <v>48</v>
      </c>
      <c r="C782">
        <v>649163</v>
      </c>
      <c r="D782">
        <v>2030659852</v>
      </c>
      <c r="E782" t="s">
        <v>167</v>
      </c>
      <c r="F782" t="s">
        <v>168</v>
      </c>
      <c r="G782" t="s">
        <v>51</v>
      </c>
      <c r="H782" t="s">
        <v>69</v>
      </c>
      <c r="I782" s="2">
        <v>136.51</v>
      </c>
      <c r="J782" t="s">
        <v>59</v>
      </c>
      <c r="K782" s="3">
        <v>0.75</v>
      </c>
      <c r="L782" s="2">
        <v>102.38</v>
      </c>
      <c r="M782" s="2">
        <v>0</v>
      </c>
      <c r="N782" s="2">
        <v>0</v>
      </c>
      <c r="O782" t="s">
        <v>369</v>
      </c>
      <c r="P782" t="s">
        <v>421</v>
      </c>
      <c r="Q782">
        <v>669316</v>
      </c>
      <c r="R782" t="s">
        <v>169</v>
      </c>
      <c r="S782" t="s">
        <v>170</v>
      </c>
      <c r="T782" t="s">
        <v>57</v>
      </c>
      <c r="U782" s="1">
        <v>45901</v>
      </c>
      <c r="W782" s="1">
        <v>45992</v>
      </c>
      <c r="X782">
        <v>1</v>
      </c>
      <c r="Y782" t="s">
        <v>58</v>
      </c>
      <c r="Z782" s="2">
        <v>0</v>
      </c>
      <c r="AA782">
        <v>0</v>
      </c>
      <c r="AB782" t="s">
        <v>60</v>
      </c>
      <c r="AC782" t="s">
        <v>61</v>
      </c>
      <c r="AD782">
        <v>0</v>
      </c>
      <c r="AE782" s="2">
        <v>0</v>
      </c>
      <c r="AF782" s="2">
        <v>0</v>
      </c>
      <c r="AG782" s="3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45957</v>
      </c>
      <c r="B783" t="s">
        <v>48</v>
      </c>
      <c r="C783">
        <v>649163</v>
      </c>
      <c r="D783">
        <v>2030673649</v>
      </c>
      <c r="E783" t="s">
        <v>177</v>
      </c>
      <c r="F783" t="s">
        <v>178</v>
      </c>
      <c r="G783" t="s">
        <v>51</v>
      </c>
      <c r="H783" t="s">
        <v>179</v>
      </c>
      <c r="I783" s="2">
        <v>49.37</v>
      </c>
      <c r="J783" t="s">
        <v>59</v>
      </c>
      <c r="K783" s="3">
        <v>0.75</v>
      </c>
      <c r="L783" s="2">
        <v>37.03</v>
      </c>
      <c r="M783" s="2">
        <v>0</v>
      </c>
      <c r="N783" s="2">
        <v>0</v>
      </c>
      <c r="O783" t="s">
        <v>369</v>
      </c>
      <c r="P783" t="s">
        <v>421</v>
      </c>
      <c r="Q783">
        <v>673059</v>
      </c>
      <c r="R783" t="s">
        <v>55</v>
      </c>
      <c r="S783" t="s">
        <v>56</v>
      </c>
      <c r="T783" t="s">
        <v>57</v>
      </c>
      <c r="U783" s="1">
        <v>45901</v>
      </c>
      <c r="W783" s="1">
        <v>45992</v>
      </c>
      <c r="X783">
        <v>1</v>
      </c>
      <c r="Y783" t="s">
        <v>58</v>
      </c>
      <c r="Z783" s="2">
        <v>0</v>
      </c>
      <c r="AA783">
        <v>0</v>
      </c>
      <c r="AB783" t="s">
        <v>60</v>
      </c>
      <c r="AC783" t="s">
        <v>61</v>
      </c>
      <c r="AD783">
        <v>0</v>
      </c>
      <c r="AE783" s="2">
        <v>0</v>
      </c>
      <c r="AF783" s="2">
        <v>0</v>
      </c>
      <c r="AG783" s="3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45957</v>
      </c>
      <c r="B784" t="s">
        <v>48</v>
      </c>
      <c r="C784">
        <v>649163</v>
      </c>
      <c r="D784">
        <v>2030675167</v>
      </c>
      <c r="E784" t="s">
        <v>180</v>
      </c>
      <c r="F784" t="s">
        <v>181</v>
      </c>
      <c r="G784" t="s">
        <v>51</v>
      </c>
      <c r="H784" t="s">
        <v>182</v>
      </c>
      <c r="I784" s="2">
        <v>25.65</v>
      </c>
      <c r="J784" t="s">
        <v>59</v>
      </c>
      <c r="K784" s="3">
        <v>0.75</v>
      </c>
      <c r="L784" s="2">
        <v>19.239999999999998</v>
      </c>
      <c r="M784" s="2">
        <v>0</v>
      </c>
      <c r="N784" s="2">
        <v>0</v>
      </c>
      <c r="O784" t="s">
        <v>369</v>
      </c>
      <c r="P784" t="s">
        <v>807</v>
      </c>
      <c r="Q784">
        <v>823350</v>
      </c>
      <c r="R784" t="s">
        <v>70</v>
      </c>
      <c r="S784" t="s">
        <v>183</v>
      </c>
      <c r="T784" t="s">
        <v>57</v>
      </c>
      <c r="U784" s="1">
        <v>45901</v>
      </c>
      <c r="W784" s="1">
        <v>45992</v>
      </c>
      <c r="X784">
        <v>1</v>
      </c>
      <c r="Y784" t="s">
        <v>58</v>
      </c>
      <c r="Z784" s="2">
        <v>0</v>
      </c>
      <c r="AA784">
        <v>0</v>
      </c>
      <c r="AB784" t="s">
        <v>60</v>
      </c>
      <c r="AC784" t="s">
        <v>61</v>
      </c>
      <c r="AD784">
        <v>0</v>
      </c>
      <c r="AE784" s="2">
        <v>0</v>
      </c>
      <c r="AF784" s="2">
        <v>0</v>
      </c>
      <c r="AG784" s="3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45957</v>
      </c>
      <c r="B785" t="s">
        <v>48</v>
      </c>
      <c r="C785">
        <v>649163</v>
      </c>
      <c r="D785">
        <v>2030694348</v>
      </c>
      <c r="E785" t="s">
        <v>186</v>
      </c>
      <c r="F785" t="s">
        <v>187</v>
      </c>
      <c r="G785" t="s">
        <v>51</v>
      </c>
      <c r="H785" t="s">
        <v>129</v>
      </c>
      <c r="I785" s="2">
        <v>42.28</v>
      </c>
      <c r="J785" t="s">
        <v>59</v>
      </c>
      <c r="K785" s="3">
        <v>0.75</v>
      </c>
      <c r="L785" s="2">
        <v>31.71</v>
      </c>
      <c r="M785" s="2">
        <v>0</v>
      </c>
      <c r="N785" s="2">
        <v>0</v>
      </c>
      <c r="O785" t="s">
        <v>369</v>
      </c>
      <c r="P785" t="s">
        <v>421</v>
      </c>
      <c r="Q785">
        <v>874230</v>
      </c>
      <c r="R785" t="s">
        <v>130</v>
      </c>
      <c r="S785" t="s">
        <v>131</v>
      </c>
      <c r="T785" t="s">
        <v>57</v>
      </c>
      <c r="U785" s="1">
        <v>45901</v>
      </c>
      <c r="W785" s="1">
        <v>45992</v>
      </c>
      <c r="X785">
        <v>1</v>
      </c>
      <c r="Y785" t="s">
        <v>58</v>
      </c>
      <c r="Z785" s="2">
        <v>0</v>
      </c>
      <c r="AA785">
        <v>0</v>
      </c>
      <c r="AB785" t="s">
        <v>60</v>
      </c>
      <c r="AC785" t="s">
        <v>61</v>
      </c>
      <c r="AD785">
        <v>0</v>
      </c>
      <c r="AE785" s="2">
        <v>0</v>
      </c>
      <c r="AF785" s="2">
        <v>0</v>
      </c>
      <c r="AG785" s="3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45957</v>
      </c>
      <c r="B786" t="s">
        <v>48</v>
      </c>
      <c r="C786">
        <v>649163</v>
      </c>
      <c r="D786">
        <v>2030714656</v>
      </c>
      <c r="E786" t="s">
        <v>86</v>
      </c>
      <c r="F786" t="s">
        <v>200</v>
      </c>
      <c r="G786" t="s">
        <v>51</v>
      </c>
      <c r="H786" t="s">
        <v>201</v>
      </c>
      <c r="I786" s="2">
        <v>195.58</v>
      </c>
      <c r="J786" t="s">
        <v>59</v>
      </c>
      <c r="K786" s="3">
        <v>0.75</v>
      </c>
      <c r="L786" s="2">
        <v>146.68</v>
      </c>
      <c r="M786" s="2">
        <v>0</v>
      </c>
      <c r="N786" s="2">
        <v>0</v>
      </c>
      <c r="O786" t="s">
        <v>369</v>
      </c>
      <c r="P786" t="s">
        <v>421</v>
      </c>
      <c r="Q786">
        <v>856824</v>
      </c>
      <c r="R786" t="s">
        <v>175</v>
      </c>
      <c r="S786" t="s">
        <v>176</v>
      </c>
      <c r="T786" t="s">
        <v>57</v>
      </c>
      <c r="U786" s="1">
        <v>45901</v>
      </c>
      <c r="W786" s="1">
        <v>45992</v>
      </c>
      <c r="X786">
        <v>1</v>
      </c>
      <c r="Y786" t="s">
        <v>58</v>
      </c>
      <c r="Z786" s="2">
        <v>0</v>
      </c>
      <c r="AA786">
        <v>0</v>
      </c>
      <c r="AB786" t="s">
        <v>60</v>
      </c>
      <c r="AC786" t="s">
        <v>61</v>
      </c>
      <c r="AD786">
        <v>0</v>
      </c>
      <c r="AE786" s="2">
        <v>0</v>
      </c>
      <c r="AF786" s="2">
        <v>0</v>
      </c>
      <c r="AG786" s="3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45957</v>
      </c>
      <c r="B787" t="s">
        <v>48</v>
      </c>
      <c r="C787">
        <v>649163</v>
      </c>
      <c r="D787">
        <v>2030779466</v>
      </c>
      <c r="E787" t="s">
        <v>220</v>
      </c>
      <c r="F787" t="s">
        <v>221</v>
      </c>
      <c r="G787" t="s">
        <v>51</v>
      </c>
      <c r="H787" t="s">
        <v>92</v>
      </c>
      <c r="I787" s="2">
        <v>33.01</v>
      </c>
      <c r="J787" t="s">
        <v>59</v>
      </c>
      <c r="K787" s="3">
        <v>0.75</v>
      </c>
      <c r="L787" s="2">
        <v>24.76</v>
      </c>
      <c r="M787" s="2">
        <v>0</v>
      </c>
      <c r="N787" s="2">
        <v>0</v>
      </c>
      <c r="O787" t="s">
        <v>369</v>
      </c>
      <c r="P787" t="s">
        <v>421</v>
      </c>
      <c r="Q787">
        <v>816021</v>
      </c>
      <c r="R787" t="s">
        <v>93</v>
      </c>
      <c r="S787" t="s">
        <v>94</v>
      </c>
      <c r="T787" t="s">
        <v>57</v>
      </c>
      <c r="U787" s="1">
        <v>45901</v>
      </c>
      <c r="W787" s="1">
        <v>45992</v>
      </c>
      <c r="X787">
        <v>1</v>
      </c>
      <c r="Y787" t="s">
        <v>58</v>
      </c>
      <c r="Z787" s="2">
        <v>0</v>
      </c>
      <c r="AA787">
        <v>0</v>
      </c>
      <c r="AB787" t="s">
        <v>60</v>
      </c>
      <c r="AC787" t="s">
        <v>61</v>
      </c>
      <c r="AD787">
        <v>0</v>
      </c>
      <c r="AE787" s="2">
        <v>0</v>
      </c>
      <c r="AF787" s="2">
        <v>0</v>
      </c>
      <c r="AG787" s="3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45957</v>
      </c>
      <c r="B788" t="s">
        <v>48</v>
      </c>
      <c r="C788">
        <v>649163</v>
      </c>
      <c r="D788">
        <v>2030801742</v>
      </c>
      <c r="E788" t="s">
        <v>812</v>
      </c>
      <c r="F788" t="s">
        <v>813</v>
      </c>
      <c r="G788" t="s">
        <v>51</v>
      </c>
      <c r="H788" t="s">
        <v>129</v>
      </c>
      <c r="I788" s="2">
        <v>12.64</v>
      </c>
      <c r="J788" t="s">
        <v>59</v>
      </c>
      <c r="K788" s="3">
        <v>0.75</v>
      </c>
      <c r="L788" s="2">
        <v>9.48</v>
      </c>
      <c r="M788" s="2">
        <v>0</v>
      </c>
      <c r="N788" s="2">
        <v>0</v>
      </c>
      <c r="O788" t="s">
        <v>369</v>
      </c>
      <c r="P788" t="s">
        <v>421</v>
      </c>
      <c r="Q788">
        <v>874230</v>
      </c>
      <c r="R788" t="s">
        <v>130</v>
      </c>
      <c r="S788" t="s">
        <v>131</v>
      </c>
      <c r="T788" t="s">
        <v>57</v>
      </c>
      <c r="U788" s="1">
        <v>45901</v>
      </c>
      <c r="W788" s="1">
        <v>45992</v>
      </c>
      <c r="X788">
        <v>1</v>
      </c>
      <c r="Y788" t="s">
        <v>58</v>
      </c>
      <c r="Z788" s="2">
        <v>0</v>
      </c>
      <c r="AA788">
        <v>0</v>
      </c>
      <c r="AB788" t="s">
        <v>60</v>
      </c>
      <c r="AC788" t="s">
        <v>61</v>
      </c>
      <c r="AD788">
        <v>0</v>
      </c>
      <c r="AE788" s="2">
        <v>0</v>
      </c>
      <c r="AF788" s="2">
        <v>0</v>
      </c>
      <c r="AG788" s="3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45957</v>
      </c>
      <c r="B789" t="s">
        <v>48</v>
      </c>
      <c r="C789">
        <v>649163</v>
      </c>
      <c r="D789">
        <v>2031190209</v>
      </c>
      <c r="E789" t="s">
        <v>245</v>
      </c>
      <c r="F789" t="s">
        <v>246</v>
      </c>
      <c r="G789" t="s">
        <v>51</v>
      </c>
      <c r="H789" t="s">
        <v>247</v>
      </c>
      <c r="I789" s="2">
        <v>80.8</v>
      </c>
      <c r="J789" t="s">
        <v>238</v>
      </c>
      <c r="K789" s="3">
        <v>0.75</v>
      </c>
      <c r="L789" s="2">
        <v>60.6</v>
      </c>
      <c r="M789" s="2">
        <v>0</v>
      </c>
      <c r="N789" s="2">
        <v>0</v>
      </c>
      <c r="O789" t="s">
        <v>369</v>
      </c>
      <c r="P789" t="s">
        <v>421</v>
      </c>
      <c r="Q789">
        <v>823350</v>
      </c>
      <c r="R789" t="s">
        <v>70</v>
      </c>
      <c r="S789" t="s">
        <v>183</v>
      </c>
      <c r="T789" t="s">
        <v>57</v>
      </c>
      <c r="U789" s="1">
        <v>45925</v>
      </c>
      <c r="W789" s="1">
        <v>45986</v>
      </c>
      <c r="X789">
        <v>1</v>
      </c>
      <c r="Y789" t="s">
        <v>58</v>
      </c>
      <c r="Z789" s="2">
        <v>0</v>
      </c>
      <c r="AA789">
        <v>0</v>
      </c>
      <c r="AB789" t="s">
        <v>60</v>
      </c>
      <c r="AC789" t="s">
        <v>61</v>
      </c>
      <c r="AD789">
        <v>0</v>
      </c>
      <c r="AE789" s="2">
        <v>0</v>
      </c>
      <c r="AF789" s="2">
        <v>0</v>
      </c>
      <c r="AG789" s="3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45957</v>
      </c>
      <c r="B790" t="s">
        <v>48</v>
      </c>
      <c r="C790">
        <v>649163</v>
      </c>
      <c r="D790">
        <v>2031242401</v>
      </c>
      <c r="E790" t="s">
        <v>248</v>
      </c>
      <c r="F790" t="s">
        <v>249</v>
      </c>
      <c r="G790" t="s">
        <v>51</v>
      </c>
      <c r="H790" t="s">
        <v>92</v>
      </c>
      <c r="I790" s="2">
        <v>40.06</v>
      </c>
      <c r="J790" t="s">
        <v>238</v>
      </c>
      <c r="K790" s="3">
        <v>0.75</v>
      </c>
      <c r="L790" s="2">
        <v>30.04</v>
      </c>
      <c r="M790" s="2">
        <v>0</v>
      </c>
      <c r="N790" s="2">
        <v>0</v>
      </c>
      <c r="O790" t="s">
        <v>369</v>
      </c>
      <c r="P790" t="s">
        <v>421</v>
      </c>
      <c r="Q790">
        <v>816021</v>
      </c>
      <c r="R790" t="s">
        <v>93</v>
      </c>
      <c r="S790" t="s">
        <v>94</v>
      </c>
      <c r="T790" t="s">
        <v>57</v>
      </c>
      <c r="U790" s="1">
        <v>45925</v>
      </c>
      <c r="W790" s="1">
        <v>45986</v>
      </c>
      <c r="X790">
        <v>1</v>
      </c>
      <c r="Y790" t="s">
        <v>58</v>
      </c>
      <c r="Z790" s="2">
        <v>0</v>
      </c>
      <c r="AA790">
        <v>0</v>
      </c>
      <c r="AB790" t="s">
        <v>60</v>
      </c>
      <c r="AC790" t="s">
        <v>61</v>
      </c>
      <c r="AD790">
        <v>0</v>
      </c>
      <c r="AE790" s="2">
        <v>0</v>
      </c>
      <c r="AF790" s="2">
        <v>0</v>
      </c>
      <c r="AG790" s="3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45957</v>
      </c>
      <c r="B791" t="s">
        <v>48</v>
      </c>
      <c r="C791">
        <v>649163</v>
      </c>
      <c r="D791">
        <v>2026262566</v>
      </c>
      <c r="E791" t="s">
        <v>580</v>
      </c>
      <c r="F791" t="s">
        <v>581</v>
      </c>
      <c r="G791" t="s">
        <v>51</v>
      </c>
      <c r="H791" t="s">
        <v>92</v>
      </c>
      <c r="I791" s="2">
        <v>31.71</v>
      </c>
      <c r="J791" t="s">
        <v>59</v>
      </c>
      <c r="K791" s="3">
        <v>0.9</v>
      </c>
      <c r="L791" s="2">
        <v>0</v>
      </c>
      <c r="M791" s="2">
        <v>28.54</v>
      </c>
      <c r="N791" s="2">
        <v>28.54</v>
      </c>
      <c r="O791" t="s">
        <v>369</v>
      </c>
      <c r="P791" t="s">
        <v>375</v>
      </c>
      <c r="Q791">
        <v>816021</v>
      </c>
      <c r="R791" t="s">
        <v>93</v>
      </c>
      <c r="S791" t="s">
        <v>94</v>
      </c>
      <c r="T791" t="s">
        <v>57</v>
      </c>
      <c r="U791" s="1">
        <v>45647</v>
      </c>
      <c r="W791" s="1">
        <v>45982</v>
      </c>
      <c r="X791">
        <v>1</v>
      </c>
      <c r="Y791" t="s">
        <v>58</v>
      </c>
      <c r="Z791" s="2">
        <v>0</v>
      </c>
      <c r="AA791">
        <v>0</v>
      </c>
      <c r="AB791" t="s">
        <v>60</v>
      </c>
      <c r="AC791" t="s">
        <v>61</v>
      </c>
      <c r="AD791">
        <v>0</v>
      </c>
      <c r="AE791" s="2">
        <v>0</v>
      </c>
      <c r="AF791" s="2">
        <v>0</v>
      </c>
      <c r="AG791" s="3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45957</v>
      </c>
      <c r="B792" t="s">
        <v>48</v>
      </c>
      <c r="C792">
        <v>649163</v>
      </c>
      <c r="D792">
        <v>2026616495</v>
      </c>
      <c r="E792" t="s">
        <v>586</v>
      </c>
      <c r="F792" t="s">
        <v>354</v>
      </c>
      <c r="G792" t="s">
        <v>51</v>
      </c>
      <c r="H792" t="s">
        <v>182</v>
      </c>
      <c r="I792" s="2">
        <v>60.43</v>
      </c>
      <c r="J792" t="s">
        <v>59</v>
      </c>
      <c r="K792" s="3">
        <v>0.9</v>
      </c>
      <c r="L792" s="2">
        <v>0</v>
      </c>
      <c r="M792" s="2">
        <v>54.39</v>
      </c>
      <c r="N792" s="2">
        <v>54.39</v>
      </c>
      <c r="O792" t="s">
        <v>369</v>
      </c>
      <c r="P792" t="s">
        <v>375</v>
      </c>
      <c r="Q792">
        <v>673059</v>
      </c>
      <c r="R792" t="s">
        <v>55</v>
      </c>
      <c r="S792" t="s">
        <v>56</v>
      </c>
      <c r="T792" t="s">
        <v>57</v>
      </c>
      <c r="U792" s="1">
        <v>45689</v>
      </c>
      <c r="W792" s="1">
        <v>45992</v>
      </c>
      <c r="X792">
        <v>1</v>
      </c>
      <c r="Y792" t="s">
        <v>58</v>
      </c>
      <c r="Z792" s="2">
        <v>0</v>
      </c>
      <c r="AA792">
        <v>0</v>
      </c>
      <c r="AB792" t="s">
        <v>60</v>
      </c>
      <c r="AC792" t="s">
        <v>61</v>
      </c>
      <c r="AD792">
        <v>0</v>
      </c>
      <c r="AE792" s="2">
        <v>0</v>
      </c>
      <c r="AF792" s="2">
        <v>0</v>
      </c>
      <c r="AG792" s="3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45957</v>
      </c>
      <c r="B793" t="s">
        <v>48</v>
      </c>
      <c r="C793">
        <v>649163</v>
      </c>
      <c r="D793">
        <v>2026618580</v>
      </c>
      <c r="E793" t="s">
        <v>589</v>
      </c>
      <c r="F793" t="s">
        <v>590</v>
      </c>
      <c r="G793" t="s">
        <v>51</v>
      </c>
      <c r="H793" t="s">
        <v>64</v>
      </c>
      <c r="I793" s="2">
        <v>81.5</v>
      </c>
      <c r="J793" t="s">
        <v>59</v>
      </c>
      <c r="K793" s="3">
        <v>0.9</v>
      </c>
      <c r="L793" s="2">
        <v>0</v>
      </c>
      <c r="M793" s="2">
        <v>73.349999999999994</v>
      </c>
      <c r="N793" s="2">
        <v>73.349999999999994</v>
      </c>
      <c r="O793" t="s">
        <v>369</v>
      </c>
      <c r="P793" t="s">
        <v>375</v>
      </c>
      <c r="Q793">
        <v>753748</v>
      </c>
      <c r="R793" t="s">
        <v>65</v>
      </c>
      <c r="S793" t="s">
        <v>66</v>
      </c>
      <c r="T793" t="s">
        <v>57</v>
      </c>
      <c r="U793" s="1">
        <v>45689</v>
      </c>
      <c r="W793" s="1">
        <v>45992</v>
      </c>
      <c r="X793">
        <v>1</v>
      </c>
      <c r="Y793" t="s">
        <v>58</v>
      </c>
      <c r="Z793" s="2">
        <v>0</v>
      </c>
      <c r="AA793">
        <v>0</v>
      </c>
      <c r="AB793" t="s">
        <v>60</v>
      </c>
      <c r="AC793" t="s">
        <v>61</v>
      </c>
      <c r="AD793">
        <v>0</v>
      </c>
      <c r="AE793" s="2">
        <v>0</v>
      </c>
      <c r="AF793" s="2">
        <v>0</v>
      </c>
      <c r="AG793" s="3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45957</v>
      </c>
      <c r="B794" t="s">
        <v>48</v>
      </c>
      <c r="C794">
        <v>649163</v>
      </c>
      <c r="D794">
        <v>2026807603</v>
      </c>
      <c r="E794" t="s">
        <v>598</v>
      </c>
      <c r="F794" t="s">
        <v>599</v>
      </c>
      <c r="G794" t="s">
        <v>51</v>
      </c>
      <c r="H794" t="s">
        <v>247</v>
      </c>
      <c r="I794" s="2">
        <v>92.46</v>
      </c>
      <c r="J794" t="s">
        <v>59</v>
      </c>
      <c r="K794" s="3">
        <v>0.9</v>
      </c>
      <c r="L794" s="2">
        <v>0</v>
      </c>
      <c r="M794" s="2">
        <v>83.21</v>
      </c>
      <c r="N794" s="2">
        <v>83.21</v>
      </c>
      <c r="O794" t="s">
        <v>369</v>
      </c>
      <c r="P794" t="s">
        <v>375</v>
      </c>
      <c r="Q794">
        <v>673059</v>
      </c>
      <c r="R794" t="s">
        <v>55</v>
      </c>
      <c r="S794" t="s">
        <v>56</v>
      </c>
      <c r="T794" t="s">
        <v>57</v>
      </c>
      <c r="U794" s="1">
        <v>45689</v>
      </c>
      <c r="W794" s="1">
        <v>45992</v>
      </c>
      <c r="X794">
        <v>1</v>
      </c>
      <c r="Y794" t="s">
        <v>58</v>
      </c>
      <c r="Z794" s="2">
        <v>0</v>
      </c>
      <c r="AA794">
        <v>0</v>
      </c>
      <c r="AB794" t="s">
        <v>60</v>
      </c>
      <c r="AC794" t="s">
        <v>61</v>
      </c>
      <c r="AD794">
        <v>0</v>
      </c>
      <c r="AE794" s="2">
        <v>0</v>
      </c>
      <c r="AF794" s="2">
        <v>0</v>
      </c>
      <c r="AG794" s="3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45957</v>
      </c>
      <c r="B795" t="s">
        <v>48</v>
      </c>
      <c r="C795">
        <v>649163</v>
      </c>
      <c r="D795">
        <v>2027348180</v>
      </c>
      <c r="E795" t="s">
        <v>605</v>
      </c>
      <c r="F795" t="s">
        <v>543</v>
      </c>
      <c r="G795" t="s">
        <v>51</v>
      </c>
      <c r="H795" t="s">
        <v>69</v>
      </c>
      <c r="I795" s="2">
        <v>41.61</v>
      </c>
      <c r="J795" t="s">
        <v>59</v>
      </c>
      <c r="K795" s="3">
        <v>0.9</v>
      </c>
      <c r="L795" s="2">
        <v>0</v>
      </c>
      <c r="M795" s="2">
        <v>37.450000000000003</v>
      </c>
      <c r="N795" s="2">
        <v>37.450000000000003</v>
      </c>
      <c r="O795" t="s">
        <v>369</v>
      </c>
      <c r="P795" t="s">
        <v>375</v>
      </c>
      <c r="Q795">
        <v>673059</v>
      </c>
      <c r="R795" t="s">
        <v>55</v>
      </c>
      <c r="S795" t="s">
        <v>56</v>
      </c>
      <c r="T795" t="s">
        <v>57</v>
      </c>
      <c r="U795" s="1">
        <v>45716</v>
      </c>
      <c r="W795" s="1">
        <v>45989</v>
      </c>
      <c r="X795">
        <v>1</v>
      </c>
      <c r="Y795" t="s">
        <v>58</v>
      </c>
      <c r="Z795" s="2">
        <v>0</v>
      </c>
      <c r="AA795">
        <v>0</v>
      </c>
      <c r="AB795" t="s">
        <v>60</v>
      </c>
      <c r="AC795" t="s">
        <v>61</v>
      </c>
      <c r="AD795">
        <v>0</v>
      </c>
      <c r="AE795" s="2">
        <v>0</v>
      </c>
      <c r="AF795" s="2">
        <v>0</v>
      </c>
      <c r="AG795" s="3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45957</v>
      </c>
      <c r="B796" t="s">
        <v>48</v>
      </c>
      <c r="C796">
        <v>649163</v>
      </c>
      <c r="D796">
        <v>2028052819</v>
      </c>
      <c r="E796" t="s">
        <v>624</v>
      </c>
      <c r="F796" t="s">
        <v>625</v>
      </c>
      <c r="G796" t="s">
        <v>51</v>
      </c>
      <c r="H796" t="s">
        <v>165</v>
      </c>
      <c r="I796" s="2">
        <v>164.84</v>
      </c>
      <c r="J796" t="s">
        <v>59</v>
      </c>
      <c r="K796" s="3">
        <v>0.9</v>
      </c>
      <c r="L796" s="2">
        <v>0</v>
      </c>
      <c r="M796" s="2">
        <v>148.36000000000001</v>
      </c>
      <c r="N796" s="2">
        <v>148.36000000000001</v>
      </c>
      <c r="O796" t="s">
        <v>369</v>
      </c>
      <c r="P796" t="s">
        <v>375</v>
      </c>
      <c r="Q796">
        <v>753748</v>
      </c>
      <c r="R796" t="s">
        <v>65</v>
      </c>
      <c r="S796" t="s">
        <v>66</v>
      </c>
      <c r="T796" t="s">
        <v>57</v>
      </c>
      <c r="U796" s="1">
        <v>45748</v>
      </c>
      <c r="W796" s="1">
        <v>45992</v>
      </c>
      <c r="X796">
        <v>1</v>
      </c>
      <c r="Y796" t="s">
        <v>58</v>
      </c>
      <c r="Z796" s="2">
        <v>0</v>
      </c>
      <c r="AA796">
        <v>0</v>
      </c>
      <c r="AB796" t="s">
        <v>60</v>
      </c>
      <c r="AC796" t="s">
        <v>61</v>
      </c>
      <c r="AD796">
        <v>0</v>
      </c>
      <c r="AE796" s="2">
        <v>0</v>
      </c>
      <c r="AF796" s="2">
        <v>0</v>
      </c>
      <c r="AG796" s="3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45957</v>
      </c>
      <c r="B797" t="s">
        <v>48</v>
      </c>
      <c r="C797">
        <v>649163</v>
      </c>
      <c r="D797">
        <v>2028461883</v>
      </c>
      <c r="E797" t="s">
        <v>627</v>
      </c>
      <c r="F797" t="s">
        <v>628</v>
      </c>
      <c r="G797" t="s">
        <v>51</v>
      </c>
      <c r="H797" t="s">
        <v>145</v>
      </c>
      <c r="I797" s="2">
        <v>36.82</v>
      </c>
      <c r="J797" t="s">
        <v>59</v>
      </c>
      <c r="K797" s="3">
        <v>0.9</v>
      </c>
      <c r="L797" s="2">
        <v>0</v>
      </c>
      <c r="M797" s="2">
        <v>33.14</v>
      </c>
      <c r="N797" s="2">
        <v>33.14</v>
      </c>
      <c r="O797" t="s">
        <v>369</v>
      </c>
      <c r="P797" t="s">
        <v>375</v>
      </c>
      <c r="Q797">
        <v>823350</v>
      </c>
      <c r="R797" t="s">
        <v>70</v>
      </c>
      <c r="S797" t="s">
        <v>183</v>
      </c>
      <c r="T797" t="s">
        <v>57</v>
      </c>
      <c r="U797" s="1">
        <v>45772</v>
      </c>
      <c r="W797" s="1">
        <v>45986</v>
      </c>
      <c r="X797">
        <v>1</v>
      </c>
      <c r="Y797" t="s">
        <v>58</v>
      </c>
      <c r="Z797" s="2">
        <v>0</v>
      </c>
      <c r="AA797">
        <v>0</v>
      </c>
      <c r="AB797" t="s">
        <v>60</v>
      </c>
      <c r="AC797" t="s">
        <v>61</v>
      </c>
      <c r="AD797">
        <v>0</v>
      </c>
      <c r="AE797" s="2">
        <v>0</v>
      </c>
      <c r="AF797" s="2">
        <v>0</v>
      </c>
      <c r="AG797" s="3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45957</v>
      </c>
      <c r="B798" t="s">
        <v>48</v>
      </c>
      <c r="C798">
        <v>649163</v>
      </c>
      <c r="D798">
        <v>2028769444</v>
      </c>
      <c r="E798" t="s">
        <v>630</v>
      </c>
      <c r="F798" t="s">
        <v>631</v>
      </c>
      <c r="G798" t="s">
        <v>51</v>
      </c>
      <c r="H798" t="s">
        <v>118</v>
      </c>
      <c r="I798" s="2">
        <v>65.58</v>
      </c>
      <c r="J798" t="s">
        <v>59</v>
      </c>
      <c r="K798" s="3">
        <v>0.9</v>
      </c>
      <c r="L798" s="2">
        <v>0</v>
      </c>
      <c r="M798" s="2">
        <v>59.02</v>
      </c>
      <c r="N798" s="2">
        <v>59.02</v>
      </c>
      <c r="O798" t="s">
        <v>369</v>
      </c>
      <c r="P798" t="s">
        <v>375</v>
      </c>
      <c r="Q798">
        <v>823068</v>
      </c>
      <c r="R798" t="s">
        <v>120</v>
      </c>
      <c r="S798" t="s">
        <v>121</v>
      </c>
      <c r="T798" t="s">
        <v>57</v>
      </c>
      <c r="U798" s="1">
        <v>45809</v>
      </c>
      <c r="W798" s="1">
        <v>45992</v>
      </c>
      <c r="X798">
        <v>1</v>
      </c>
      <c r="Y798" t="s">
        <v>58</v>
      </c>
      <c r="Z798" s="2">
        <v>0</v>
      </c>
      <c r="AA798">
        <v>0</v>
      </c>
      <c r="AB798" t="s">
        <v>60</v>
      </c>
      <c r="AC798" t="s">
        <v>61</v>
      </c>
      <c r="AD798">
        <v>0</v>
      </c>
      <c r="AE798" s="2">
        <v>0</v>
      </c>
      <c r="AF798" s="2">
        <v>0</v>
      </c>
      <c r="AG798" s="3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45957</v>
      </c>
      <c r="B799" t="s">
        <v>48</v>
      </c>
      <c r="C799">
        <v>649163</v>
      </c>
      <c r="D799">
        <v>2028773698</v>
      </c>
      <c r="E799" t="s">
        <v>542</v>
      </c>
      <c r="F799" t="s">
        <v>632</v>
      </c>
      <c r="G799" t="s">
        <v>51</v>
      </c>
      <c r="H799" t="s">
        <v>179</v>
      </c>
      <c r="I799" s="2">
        <v>55.75</v>
      </c>
      <c r="J799" t="s">
        <v>59</v>
      </c>
      <c r="K799" s="3">
        <v>0.9</v>
      </c>
      <c r="L799" s="2">
        <v>0</v>
      </c>
      <c r="M799" s="2">
        <v>50.18</v>
      </c>
      <c r="N799" s="2">
        <v>50.18</v>
      </c>
      <c r="O799" t="s">
        <v>369</v>
      </c>
      <c r="P799" t="s">
        <v>375</v>
      </c>
      <c r="Q799">
        <v>673059</v>
      </c>
      <c r="R799" t="s">
        <v>55</v>
      </c>
      <c r="S799" t="s">
        <v>56</v>
      </c>
      <c r="T799" t="s">
        <v>57</v>
      </c>
      <c r="U799" s="1">
        <v>45809</v>
      </c>
      <c r="W799" s="1">
        <v>45992</v>
      </c>
      <c r="X799">
        <v>1</v>
      </c>
      <c r="Y799" t="s">
        <v>58</v>
      </c>
      <c r="Z799" s="2">
        <v>0</v>
      </c>
      <c r="AA799">
        <v>0</v>
      </c>
      <c r="AB799" t="s">
        <v>60</v>
      </c>
      <c r="AC799" t="s">
        <v>61</v>
      </c>
      <c r="AD799">
        <v>0</v>
      </c>
      <c r="AE799" s="2">
        <v>0</v>
      </c>
      <c r="AF799" s="2">
        <v>0</v>
      </c>
      <c r="AG799" s="3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45957</v>
      </c>
      <c r="B800" t="s">
        <v>48</v>
      </c>
      <c r="C800">
        <v>649163</v>
      </c>
      <c r="D800">
        <v>2028776888</v>
      </c>
      <c r="E800" t="s">
        <v>635</v>
      </c>
      <c r="F800" t="s">
        <v>354</v>
      </c>
      <c r="G800" t="s">
        <v>51</v>
      </c>
      <c r="H800" t="s">
        <v>636</v>
      </c>
      <c r="I800" s="2">
        <v>226.66</v>
      </c>
      <c r="J800" t="s">
        <v>59</v>
      </c>
      <c r="K800" s="3">
        <v>0.9</v>
      </c>
      <c r="L800" s="2">
        <v>0</v>
      </c>
      <c r="M800" s="2">
        <v>203.99</v>
      </c>
      <c r="N800" s="2">
        <v>203.99</v>
      </c>
      <c r="O800" t="s">
        <v>369</v>
      </c>
      <c r="P800" t="s">
        <v>375</v>
      </c>
      <c r="Q800">
        <v>673059</v>
      </c>
      <c r="R800" t="s">
        <v>55</v>
      </c>
      <c r="S800" t="s">
        <v>56</v>
      </c>
      <c r="T800" t="s">
        <v>57</v>
      </c>
      <c r="U800" s="1">
        <v>45809</v>
      </c>
      <c r="W800" s="1">
        <v>45992</v>
      </c>
      <c r="X800">
        <v>1</v>
      </c>
      <c r="Y800" t="s">
        <v>58</v>
      </c>
      <c r="Z800" s="2">
        <v>0</v>
      </c>
      <c r="AA800">
        <v>0</v>
      </c>
      <c r="AB800" t="s">
        <v>60</v>
      </c>
      <c r="AC800" t="s">
        <v>61</v>
      </c>
      <c r="AD800">
        <v>0</v>
      </c>
      <c r="AE800" s="2">
        <v>0</v>
      </c>
      <c r="AF800" s="2">
        <v>0</v>
      </c>
      <c r="AG800" s="3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45957</v>
      </c>
      <c r="B801" t="s">
        <v>48</v>
      </c>
      <c r="C801">
        <v>649163</v>
      </c>
      <c r="D801">
        <v>2028898559</v>
      </c>
      <c r="E801" t="s">
        <v>780</v>
      </c>
      <c r="F801" t="s">
        <v>781</v>
      </c>
      <c r="G801" t="s">
        <v>51</v>
      </c>
      <c r="H801" t="s">
        <v>69</v>
      </c>
      <c r="I801" s="2">
        <v>56.08</v>
      </c>
      <c r="J801" t="s">
        <v>59</v>
      </c>
      <c r="K801" s="3">
        <v>0.9</v>
      </c>
      <c r="L801" s="2">
        <v>0</v>
      </c>
      <c r="M801" s="2">
        <v>50.47</v>
      </c>
      <c r="N801" s="2">
        <v>50.47</v>
      </c>
      <c r="O801" t="s">
        <v>369</v>
      </c>
      <c r="P801" t="s">
        <v>375</v>
      </c>
      <c r="Q801">
        <v>824062</v>
      </c>
      <c r="R801" t="s">
        <v>74</v>
      </c>
      <c r="S801" t="s">
        <v>75</v>
      </c>
      <c r="T801" t="s">
        <v>57</v>
      </c>
      <c r="U801" s="1">
        <v>45809</v>
      </c>
      <c r="W801" s="1">
        <v>45992</v>
      </c>
      <c r="X801">
        <v>1</v>
      </c>
      <c r="Y801" t="s">
        <v>58</v>
      </c>
      <c r="Z801" s="2">
        <v>0</v>
      </c>
      <c r="AA801">
        <v>0</v>
      </c>
      <c r="AB801" t="s">
        <v>60</v>
      </c>
      <c r="AC801" t="s">
        <v>61</v>
      </c>
      <c r="AD801">
        <v>0</v>
      </c>
      <c r="AE801" s="2">
        <v>0</v>
      </c>
      <c r="AF801" s="2">
        <v>0</v>
      </c>
      <c r="AG801" s="3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45957</v>
      </c>
      <c r="B802" t="s">
        <v>48</v>
      </c>
      <c r="C802">
        <v>649163</v>
      </c>
      <c r="D802">
        <v>2028905067</v>
      </c>
      <c r="E802" t="s">
        <v>782</v>
      </c>
      <c r="F802" t="s">
        <v>783</v>
      </c>
      <c r="G802" t="s">
        <v>51</v>
      </c>
      <c r="H802" t="s">
        <v>165</v>
      </c>
      <c r="I802" s="2">
        <v>140.58000000000001</v>
      </c>
      <c r="J802" t="s">
        <v>59</v>
      </c>
      <c r="K802" s="3">
        <v>0.9</v>
      </c>
      <c r="L802" s="2">
        <v>126.52</v>
      </c>
      <c r="M802" s="2">
        <v>0</v>
      </c>
      <c r="N802" s="2">
        <v>0</v>
      </c>
      <c r="O802" t="s">
        <v>369</v>
      </c>
      <c r="P802" t="s">
        <v>375</v>
      </c>
      <c r="Q802">
        <v>753748</v>
      </c>
      <c r="R802" t="s">
        <v>65</v>
      </c>
      <c r="S802" t="s">
        <v>66</v>
      </c>
      <c r="T802" t="s">
        <v>57</v>
      </c>
      <c r="U802" s="1">
        <v>45809</v>
      </c>
      <c r="W802" s="1">
        <v>45992</v>
      </c>
      <c r="X802">
        <v>1</v>
      </c>
      <c r="Y802" t="s">
        <v>58</v>
      </c>
      <c r="Z802" s="2">
        <v>0</v>
      </c>
      <c r="AA802">
        <v>0</v>
      </c>
      <c r="AB802" t="s">
        <v>60</v>
      </c>
      <c r="AC802" t="s">
        <v>61</v>
      </c>
      <c r="AD802">
        <v>0</v>
      </c>
      <c r="AE802" s="2">
        <v>0</v>
      </c>
      <c r="AF802" s="2">
        <v>0</v>
      </c>
      <c r="AG802" s="3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45957</v>
      </c>
      <c r="B803" t="s">
        <v>48</v>
      </c>
      <c r="C803">
        <v>649163</v>
      </c>
      <c r="D803">
        <v>2028905613</v>
      </c>
      <c r="E803" t="s">
        <v>784</v>
      </c>
      <c r="F803" t="s">
        <v>354</v>
      </c>
      <c r="G803" t="s">
        <v>51</v>
      </c>
      <c r="H803" t="s">
        <v>165</v>
      </c>
      <c r="I803" s="2">
        <v>108.16</v>
      </c>
      <c r="J803" t="s">
        <v>59</v>
      </c>
      <c r="K803" s="3">
        <v>0.9</v>
      </c>
      <c r="L803" s="2">
        <v>97.34</v>
      </c>
      <c r="M803" s="2">
        <v>0</v>
      </c>
      <c r="N803" s="2">
        <v>0</v>
      </c>
      <c r="O803" t="s">
        <v>369</v>
      </c>
      <c r="P803" t="s">
        <v>375</v>
      </c>
      <c r="Q803">
        <v>753748</v>
      </c>
      <c r="R803" t="s">
        <v>65</v>
      </c>
      <c r="S803" t="s">
        <v>66</v>
      </c>
      <c r="T803" t="s">
        <v>57</v>
      </c>
      <c r="U803" s="1">
        <v>45809</v>
      </c>
      <c r="W803" s="1">
        <v>45992</v>
      </c>
      <c r="X803">
        <v>1</v>
      </c>
      <c r="Y803" t="s">
        <v>58</v>
      </c>
      <c r="Z803" s="2">
        <v>0</v>
      </c>
      <c r="AA803">
        <v>0</v>
      </c>
      <c r="AB803" t="s">
        <v>60</v>
      </c>
      <c r="AC803" t="s">
        <v>61</v>
      </c>
      <c r="AD803">
        <v>0</v>
      </c>
      <c r="AE803" s="2">
        <v>0</v>
      </c>
      <c r="AF803" s="2">
        <v>0</v>
      </c>
      <c r="AG803" s="3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45957</v>
      </c>
      <c r="B804" t="s">
        <v>48</v>
      </c>
      <c r="C804">
        <v>649163</v>
      </c>
      <c r="D804">
        <v>2028938954</v>
      </c>
      <c r="E804" t="s">
        <v>785</v>
      </c>
      <c r="F804" t="s">
        <v>506</v>
      </c>
      <c r="G804" t="s">
        <v>51</v>
      </c>
      <c r="H804" t="s">
        <v>69</v>
      </c>
      <c r="I804" s="2">
        <v>61.13</v>
      </c>
      <c r="J804" t="s">
        <v>59</v>
      </c>
      <c r="K804" s="3">
        <v>0.9</v>
      </c>
      <c r="L804" s="2">
        <v>0</v>
      </c>
      <c r="M804" s="2">
        <v>55.02</v>
      </c>
      <c r="N804" s="2">
        <v>55.02</v>
      </c>
      <c r="O804" t="s">
        <v>369</v>
      </c>
      <c r="P804" t="s">
        <v>375</v>
      </c>
      <c r="Q804">
        <v>673059</v>
      </c>
      <c r="R804" t="s">
        <v>55</v>
      </c>
      <c r="S804" t="s">
        <v>56</v>
      </c>
      <c r="T804" t="s">
        <v>57</v>
      </c>
      <c r="U804" s="1">
        <v>45836</v>
      </c>
      <c r="W804" s="1">
        <v>45989</v>
      </c>
      <c r="X804">
        <v>1</v>
      </c>
      <c r="Y804" t="s">
        <v>58</v>
      </c>
      <c r="Z804" s="2">
        <v>0</v>
      </c>
      <c r="AA804">
        <v>0</v>
      </c>
      <c r="AB804" t="s">
        <v>60</v>
      </c>
      <c r="AC804" t="s">
        <v>61</v>
      </c>
      <c r="AD804">
        <v>0</v>
      </c>
      <c r="AE804" s="2">
        <v>0</v>
      </c>
      <c r="AF804" s="2">
        <v>0</v>
      </c>
      <c r="AG804" s="3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45957</v>
      </c>
      <c r="B805" t="s">
        <v>48</v>
      </c>
      <c r="C805">
        <v>649163</v>
      </c>
      <c r="D805">
        <v>2028949435</v>
      </c>
      <c r="E805" t="s">
        <v>786</v>
      </c>
      <c r="F805" t="s">
        <v>787</v>
      </c>
      <c r="G805" t="s">
        <v>51</v>
      </c>
      <c r="H805" t="s">
        <v>69</v>
      </c>
      <c r="I805" s="2">
        <v>44.33</v>
      </c>
      <c r="J805" t="s">
        <v>59</v>
      </c>
      <c r="K805" s="3">
        <v>0.9</v>
      </c>
      <c r="L805" s="2">
        <v>0</v>
      </c>
      <c r="M805" s="2">
        <v>39.9</v>
      </c>
      <c r="N805" s="2">
        <v>39.9</v>
      </c>
      <c r="O805" t="s">
        <v>369</v>
      </c>
      <c r="P805" t="s">
        <v>375</v>
      </c>
      <c r="Q805">
        <v>824062</v>
      </c>
      <c r="R805" t="s">
        <v>74</v>
      </c>
      <c r="S805" t="s">
        <v>75</v>
      </c>
      <c r="T805" t="s">
        <v>57</v>
      </c>
      <c r="U805" s="1">
        <v>45809</v>
      </c>
      <c r="W805" s="1">
        <v>45992</v>
      </c>
      <c r="X805">
        <v>1</v>
      </c>
      <c r="Y805" t="s">
        <v>58</v>
      </c>
      <c r="Z805" s="2">
        <v>0</v>
      </c>
      <c r="AA805">
        <v>0</v>
      </c>
      <c r="AB805" t="s">
        <v>60</v>
      </c>
      <c r="AC805" t="s">
        <v>61</v>
      </c>
      <c r="AD805">
        <v>0</v>
      </c>
      <c r="AE805" s="2">
        <v>0</v>
      </c>
      <c r="AF805" s="2">
        <v>0</v>
      </c>
      <c r="AG805" s="3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45957</v>
      </c>
      <c r="B806" t="s">
        <v>48</v>
      </c>
      <c r="C806">
        <v>649163</v>
      </c>
      <c r="D806">
        <v>2028992070</v>
      </c>
      <c r="E806" t="s">
        <v>791</v>
      </c>
      <c r="F806" t="s">
        <v>490</v>
      </c>
      <c r="G806" t="s">
        <v>51</v>
      </c>
      <c r="H806" t="s">
        <v>179</v>
      </c>
      <c r="I806" s="2">
        <v>-78.150000000000006</v>
      </c>
      <c r="J806" t="s">
        <v>59</v>
      </c>
      <c r="K806" s="3">
        <v>0.9</v>
      </c>
      <c r="L806" s="2">
        <v>0</v>
      </c>
      <c r="M806" s="2">
        <v>-70.34</v>
      </c>
      <c r="N806" s="2">
        <v>-70.34</v>
      </c>
      <c r="O806" t="s">
        <v>369</v>
      </c>
      <c r="P806" t="s">
        <v>375</v>
      </c>
      <c r="Q806">
        <v>753748</v>
      </c>
      <c r="R806" t="s">
        <v>65</v>
      </c>
      <c r="S806" t="s">
        <v>66</v>
      </c>
      <c r="T806" t="s">
        <v>57</v>
      </c>
      <c r="U806" s="1">
        <v>45799</v>
      </c>
      <c r="W806" s="1">
        <v>45983</v>
      </c>
      <c r="X806">
        <v>1</v>
      </c>
      <c r="Y806" t="s">
        <v>58</v>
      </c>
      <c r="Z806" s="2">
        <v>0</v>
      </c>
      <c r="AA806">
        <v>-1</v>
      </c>
      <c r="AB806" t="s">
        <v>60</v>
      </c>
      <c r="AC806" t="s">
        <v>61</v>
      </c>
      <c r="AD806">
        <v>0</v>
      </c>
      <c r="AE806" s="2">
        <v>0</v>
      </c>
      <c r="AF806" s="2">
        <v>0</v>
      </c>
      <c r="AG806" s="3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45957</v>
      </c>
      <c r="B807" t="s">
        <v>48</v>
      </c>
      <c r="C807">
        <v>649163</v>
      </c>
      <c r="D807">
        <v>2029034661</v>
      </c>
      <c r="E807" t="s">
        <v>265</v>
      </c>
      <c r="F807" t="s">
        <v>797</v>
      </c>
      <c r="G807" t="s">
        <v>51</v>
      </c>
      <c r="H807" t="s">
        <v>69</v>
      </c>
      <c r="I807" s="2">
        <v>18.79</v>
      </c>
      <c r="J807" t="s">
        <v>59</v>
      </c>
      <c r="K807" s="3">
        <v>0.9</v>
      </c>
      <c r="L807" s="2">
        <v>16.91</v>
      </c>
      <c r="M807" s="2">
        <v>0</v>
      </c>
      <c r="N807" s="2">
        <v>0</v>
      </c>
      <c r="O807" t="s">
        <v>369</v>
      </c>
      <c r="P807" t="s">
        <v>375</v>
      </c>
      <c r="Q807">
        <v>673059</v>
      </c>
      <c r="R807" t="s">
        <v>55</v>
      </c>
      <c r="S807" t="s">
        <v>56</v>
      </c>
      <c r="T807" t="s">
        <v>57</v>
      </c>
      <c r="U807" s="1">
        <v>45809</v>
      </c>
      <c r="W807" s="1">
        <v>45992</v>
      </c>
      <c r="X807">
        <v>1</v>
      </c>
      <c r="Y807" t="s">
        <v>58</v>
      </c>
      <c r="Z807" s="2">
        <v>0</v>
      </c>
      <c r="AA807">
        <v>0</v>
      </c>
      <c r="AB807" t="s">
        <v>60</v>
      </c>
      <c r="AC807" t="s">
        <v>61</v>
      </c>
      <c r="AD807">
        <v>0</v>
      </c>
      <c r="AE807" s="2">
        <v>0</v>
      </c>
      <c r="AF807" s="2">
        <v>0</v>
      </c>
      <c r="AG807" s="3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45957</v>
      </c>
      <c r="B808" t="s">
        <v>48</v>
      </c>
      <c r="C808">
        <v>649163</v>
      </c>
      <c r="D808">
        <v>2029037969</v>
      </c>
      <c r="E808" t="s">
        <v>695</v>
      </c>
      <c r="F808" t="s">
        <v>99</v>
      </c>
      <c r="G808" t="s">
        <v>51</v>
      </c>
      <c r="H808" t="s">
        <v>696</v>
      </c>
      <c r="I808" s="2">
        <v>104.44</v>
      </c>
      <c r="J808" t="s">
        <v>59</v>
      </c>
      <c r="K808" s="3">
        <v>0.9</v>
      </c>
      <c r="L808" s="2">
        <v>94</v>
      </c>
      <c r="M808" s="2">
        <v>0</v>
      </c>
      <c r="N808" s="2">
        <v>0</v>
      </c>
      <c r="O808" t="s">
        <v>369</v>
      </c>
      <c r="P808" t="s">
        <v>375</v>
      </c>
      <c r="Q808">
        <v>862109</v>
      </c>
      <c r="R808" t="s">
        <v>697</v>
      </c>
      <c r="S808" t="s">
        <v>698</v>
      </c>
      <c r="T808" t="s">
        <v>57</v>
      </c>
      <c r="U808" s="1">
        <v>45809</v>
      </c>
      <c r="W808" s="1">
        <v>45992</v>
      </c>
      <c r="X808">
        <v>1</v>
      </c>
      <c r="Y808" t="s">
        <v>58</v>
      </c>
      <c r="Z808" s="2">
        <v>0</v>
      </c>
      <c r="AA808">
        <v>0</v>
      </c>
      <c r="AB808" t="s">
        <v>60</v>
      </c>
      <c r="AC808" t="s">
        <v>61</v>
      </c>
      <c r="AD808">
        <v>0</v>
      </c>
      <c r="AE808" s="2">
        <v>0</v>
      </c>
      <c r="AF808" s="2">
        <v>0</v>
      </c>
      <c r="AG808" s="3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45957</v>
      </c>
      <c r="B809" t="s">
        <v>48</v>
      </c>
      <c r="C809">
        <v>649163</v>
      </c>
      <c r="D809">
        <v>2029169957</v>
      </c>
      <c r="E809" t="s">
        <v>798</v>
      </c>
      <c r="F809" t="s">
        <v>62</v>
      </c>
      <c r="G809" t="s">
        <v>51</v>
      </c>
      <c r="H809" t="s">
        <v>261</v>
      </c>
      <c r="I809" s="2">
        <v>128.61000000000001</v>
      </c>
      <c r="J809" t="s">
        <v>59</v>
      </c>
      <c r="K809" s="3">
        <v>0.9</v>
      </c>
      <c r="L809" s="2">
        <v>115.74</v>
      </c>
      <c r="M809" s="2">
        <v>0.01</v>
      </c>
      <c r="N809" s="2">
        <v>0.01</v>
      </c>
      <c r="O809" t="s">
        <v>369</v>
      </c>
      <c r="P809" t="s">
        <v>375</v>
      </c>
      <c r="Q809">
        <v>753748</v>
      </c>
      <c r="R809" t="s">
        <v>65</v>
      </c>
      <c r="S809" t="s">
        <v>66</v>
      </c>
      <c r="T809" t="s">
        <v>57</v>
      </c>
      <c r="U809" s="1">
        <v>45809</v>
      </c>
      <c r="W809" s="1">
        <v>45992</v>
      </c>
      <c r="X809">
        <v>1</v>
      </c>
      <c r="Y809" t="s">
        <v>58</v>
      </c>
      <c r="Z809" s="2">
        <v>0</v>
      </c>
      <c r="AA809">
        <v>0</v>
      </c>
      <c r="AB809" t="s">
        <v>60</v>
      </c>
      <c r="AC809" t="s">
        <v>61</v>
      </c>
      <c r="AD809">
        <v>0</v>
      </c>
      <c r="AE809" s="2">
        <v>0</v>
      </c>
      <c r="AF809" s="2">
        <v>0</v>
      </c>
      <c r="AG809" s="3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45957</v>
      </c>
      <c r="B810" t="s">
        <v>48</v>
      </c>
      <c r="C810">
        <v>649163</v>
      </c>
      <c r="D810">
        <v>2029620629</v>
      </c>
      <c r="E810" t="s">
        <v>284</v>
      </c>
      <c r="F810" t="s">
        <v>705</v>
      </c>
      <c r="G810" t="s">
        <v>51</v>
      </c>
      <c r="H810" t="s">
        <v>69</v>
      </c>
      <c r="I810" s="2">
        <v>145.06</v>
      </c>
      <c r="J810" t="s">
        <v>59</v>
      </c>
      <c r="K810" s="3">
        <v>0.9</v>
      </c>
      <c r="L810" s="2">
        <v>130.55000000000001</v>
      </c>
      <c r="M810" s="2">
        <v>0</v>
      </c>
      <c r="N810" s="2">
        <v>0</v>
      </c>
      <c r="O810" t="s">
        <v>369</v>
      </c>
      <c r="P810" t="s">
        <v>375</v>
      </c>
      <c r="Q810">
        <v>824062</v>
      </c>
      <c r="R810" t="s">
        <v>74</v>
      </c>
      <c r="S810" t="s">
        <v>75</v>
      </c>
      <c r="T810" t="s">
        <v>57</v>
      </c>
      <c r="U810" s="1">
        <v>45833</v>
      </c>
      <c r="W810" s="1">
        <v>45986</v>
      </c>
      <c r="X810">
        <v>1</v>
      </c>
      <c r="Y810" t="s">
        <v>58</v>
      </c>
      <c r="Z810" s="2">
        <v>0</v>
      </c>
      <c r="AA810">
        <v>0</v>
      </c>
      <c r="AB810" t="s">
        <v>60</v>
      </c>
      <c r="AC810" t="s">
        <v>61</v>
      </c>
      <c r="AD810">
        <v>0</v>
      </c>
      <c r="AE810" s="2">
        <v>0</v>
      </c>
      <c r="AF810" s="2">
        <v>0</v>
      </c>
      <c r="AG810" s="3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45957</v>
      </c>
      <c r="B811" t="s">
        <v>48</v>
      </c>
      <c r="C811">
        <v>649163</v>
      </c>
      <c r="D811">
        <v>2030145092</v>
      </c>
      <c r="E811" t="s">
        <v>802</v>
      </c>
      <c r="F811" t="s">
        <v>803</v>
      </c>
      <c r="G811" t="s">
        <v>51</v>
      </c>
      <c r="H811" t="s">
        <v>69</v>
      </c>
      <c r="I811" s="2">
        <v>62.71</v>
      </c>
      <c r="J811" t="s">
        <v>59</v>
      </c>
      <c r="K811" s="3">
        <v>0.9</v>
      </c>
      <c r="L811" s="2">
        <v>56.44</v>
      </c>
      <c r="M811" s="2">
        <v>0</v>
      </c>
      <c r="N811" s="2">
        <v>0</v>
      </c>
      <c r="O811" t="s">
        <v>369</v>
      </c>
      <c r="P811" t="s">
        <v>375</v>
      </c>
      <c r="Q811">
        <v>824062</v>
      </c>
      <c r="R811" t="s">
        <v>74</v>
      </c>
      <c r="S811" t="s">
        <v>75</v>
      </c>
      <c r="T811" t="s">
        <v>57</v>
      </c>
      <c r="U811" s="1">
        <v>45864</v>
      </c>
      <c r="W811" s="1">
        <v>45987</v>
      </c>
      <c r="X811">
        <v>1</v>
      </c>
      <c r="Y811" t="s">
        <v>58</v>
      </c>
      <c r="Z811" s="2">
        <v>0</v>
      </c>
      <c r="AA811">
        <v>0</v>
      </c>
      <c r="AB811" t="s">
        <v>60</v>
      </c>
      <c r="AC811" t="s">
        <v>61</v>
      </c>
      <c r="AD811">
        <v>0</v>
      </c>
      <c r="AE811" s="2">
        <v>0</v>
      </c>
      <c r="AF811" s="2">
        <v>0</v>
      </c>
      <c r="AG811" s="3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45957</v>
      </c>
      <c r="B812" t="s">
        <v>48</v>
      </c>
      <c r="C812">
        <v>649163</v>
      </c>
      <c r="D812">
        <v>2030372675</v>
      </c>
      <c r="E812" t="s">
        <v>72</v>
      </c>
      <c r="F812" t="s">
        <v>73</v>
      </c>
      <c r="G812" t="s">
        <v>51</v>
      </c>
      <c r="H812" t="s">
        <v>69</v>
      </c>
      <c r="I812" s="2">
        <v>156.38</v>
      </c>
      <c r="J812" t="s">
        <v>59</v>
      </c>
      <c r="K812" s="3">
        <v>0.9</v>
      </c>
      <c r="L812" s="2">
        <v>140.74</v>
      </c>
      <c r="M812" s="2">
        <v>0</v>
      </c>
      <c r="N812" s="2">
        <v>0</v>
      </c>
      <c r="O812" t="s">
        <v>369</v>
      </c>
      <c r="P812" t="s">
        <v>375</v>
      </c>
      <c r="Q812">
        <v>824062</v>
      </c>
      <c r="R812" t="s">
        <v>74</v>
      </c>
      <c r="S812" t="s">
        <v>75</v>
      </c>
      <c r="T812" t="s">
        <v>57</v>
      </c>
      <c r="U812" s="1">
        <v>45901</v>
      </c>
      <c r="W812" s="1">
        <v>45992</v>
      </c>
      <c r="X812">
        <v>1</v>
      </c>
      <c r="Y812" t="s">
        <v>58</v>
      </c>
      <c r="Z812" s="2">
        <v>0</v>
      </c>
      <c r="AA812">
        <v>0</v>
      </c>
      <c r="AB812" t="s">
        <v>60</v>
      </c>
      <c r="AC812" t="s">
        <v>61</v>
      </c>
      <c r="AD812">
        <v>0</v>
      </c>
      <c r="AE812" s="2">
        <v>0</v>
      </c>
      <c r="AF812" s="2">
        <v>0</v>
      </c>
      <c r="AG812" s="3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45957</v>
      </c>
      <c r="B813" t="s">
        <v>48</v>
      </c>
      <c r="C813">
        <v>649163</v>
      </c>
      <c r="D813">
        <v>2030397202</v>
      </c>
      <c r="E813" t="s">
        <v>336</v>
      </c>
      <c r="F813" t="s">
        <v>107</v>
      </c>
      <c r="G813" t="s">
        <v>51</v>
      </c>
      <c r="H813" t="s">
        <v>118</v>
      </c>
      <c r="I813" s="2">
        <v>138.61000000000001</v>
      </c>
      <c r="J813" t="s">
        <v>59</v>
      </c>
      <c r="K813" s="3">
        <v>0.9</v>
      </c>
      <c r="L813" s="2">
        <v>124.75</v>
      </c>
      <c r="M813" s="2">
        <v>0</v>
      </c>
      <c r="N813" s="2">
        <v>0</v>
      </c>
      <c r="O813" t="s">
        <v>369</v>
      </c>
      <c r="P813" t="s">
        <v>375</v>
      </c>
      <c r="Q813">
        <v>652037</v>
      </c>
      <c r="R813" t="s">
        <v>155</v>
      </c>
      <c r="S813" t="s">
        <v>156</v>
      </c>
      <c r="T813" t="s">
        <v>57</v>
      </c>
      <c r="U813" s="1">
        <v>45901</v>
      </c>
      <c r="W813" s="1">
        <v>45992</v>
      </c>
      <c r="X813">
        <v>1</v>
      </c>
      <c r="Y813" t="s">
        <v>58</v>
      </c>
      <c r="Z813" s="2">
        <v>0</v>
      </c>
      <c r="AA813">
        <v>0</v>
      </c>
      <c r="AB813" t="s">
        <v>60</v>
      </c>
      <c r="AC813" t="s">
        <v>61</v>
      </c>
      <c r="AD813">
        <v>0</v>
      </c>
      <c r="AE813" s="2">
        <v>0</v>
      </c>
      <c r="AF813" s="2">
        <v>0</v>
      </c>
      <c r="AG813" s="3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45957</v>
      </c>
      <c r="B814" t="s">
        <v>48</v>
      </c>
      <c r="C814">
        <v>649163</v>
      </c>
      <c r="D814">
        <v>2030469387</v>
      </c>
      <c r="E814" t="s">
        <v>805</v>
      </c>
      <c r="F814" t="s">
        <v>806</v>
      </c>
      <c r="G814" t="s">
        <v>51</v>
      </c>
      <c r="H814" t="s">
        <v>118</v>
      </c>
      <c r="I814" s="2">
        <v>35.17</v>
      </c>
      <c r="J814" t="s">
        <v>59</v>
      </c>
      <c r="K814" s="3">
        <v>0.9</v>
      </c>
      <c r="L814" s="2">
        <v>31.65</v>
      </c>
      <c r="M814" s="2">
        <v>0</v>
      </c>
      <c r="N814" s="2">
        <v>0</v>
      </c>
      <c r="O814" t="s">
        <v>369</v>
      </c>
      <c r="P814" t="s">
        <v>375</v>
      </c>
      <c r="Q814">
        <v>823068</v>
      </c>
      <c r="R814" t="s">
        <v>120</v>
      </c>
      <c r="S814" t="s">
        <v>121</v>
      </c>
      <c r="T814" t="s">
        <v>57</v>
      </c>
      <c r="U814" s="1">
        <v>45901</v>
      </c>
      <c r="W814" s="1">
        <v>45992</v>
      </c>
      <c r="X814">
        <v>1</v>
      </c>
      <c r="Y814" t="s">
        <v>58</v>
      </c>
      <c r="Z814" s="2">
        <v>0</v>
      </c>
      <c r="AA814">
        <v>0</v>
      </c>
      <c r="AB814" t="s">
        <v>60</v>
      </c>
      <c r="AC814" t="s">
        <v>61</v>
      </c>
      <c r="AD814">
        <v>0</v>
      </c>
      <c r="AE814" s="2">
        <v>0</v>
      </c>
      <c r="AF814" s="2">
        <v>0</v>
      </c>
      <c r="AG814" s="3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45957</v>
      </c>
      <c r="B815" t="s">
        <v>48</v>
      </c>
      <c r="C815">
        <v>649163</v>
      </c>
      <c r="D815">
        <v>2030500326</v>
      </c>
      <c r="E815" t="s">
        <v>116</v>
      </c>
      <c r="F815" t="s">
        <v>117</v>
      </c>
      <c r="G815" t="s">
        <v>51</v>
      </c>
      <c r="H815" t="s">
        <v>118</v>
      </c>
      <c r="I815" s="2">
        <v>52.06</v>
      </c>
      <c r="J815" t="s">
        <v>59</v>
      </c>
      <c r="K815" s="3">
        <v>0.9</v>
      </c>
      <c r="L815" s="2">
        <v>46.85</v>
      </c>
      <c r="M815" s="2">
        <v>0</v>
      </c>
      <c r="N815" s="2">
        <v>0</v>
      </c>
      <c r="O815" t="s">
        <v>369</v>
      </c>
      <c r="P815" t="s">
        <v>375</v>
      </c>
      <c r="Q815">
        <v>823068</v>
      </c>
      <c r="R815" t="s">
        <v>120</v>
      </c>
      <c r="S815" t="s">
        <v>121</v>
      </c>
      <c r="T815" t="s">
        <v>57</v>
      </c>
      <c r="U815" s="1">
        <v>45901</v>
      </c>
      <c r="W815" s="1">
        <v>45992</v>
      </c>
      <c r="X815">
        <v>1</v>
      </c>
      <c r="Y815" t="s">
        <v>58</v>
      </c>
      <c r="Z815" s="2">
        <v>0</v>
      </c>
      <c r="AA815">
        <v>0</v>
      </c>
      <c r="AB815" t="s">
        <v>60</v>
      </c>
      <c r="AC815" t="s">
        <v>61</v>
      </c>
      <c r="AD815">
        <v>0</v>
      </c>
      <c r="AE815" s="2">
        <v>0</v>
      </c>
      <c r="AF815" s="2">
        <v>0</v>
      </c>
      <c r="AG815" s="3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45957</v>
      </c>
      <c r="B816" t="s">
        <v>48</v>
      </c>
      <c r="C816">
        <v>649163</v>
      </c>
      <c r="D816">
        <v>2030500797</v>
      </c>
      <c r="E816" t="s">
        <v>123</v>
      </c>
      <c r="F816" t="s">
        <v>124</v>
      </c>
      <c r="G816" t="s">
        <v>51</v>
      </c>
      <c r="H816" t="s">
        <v>69</v>
      </c>
      <c r="I816" s="2">
        <v>68.08</v>
      </c>
      <c r="J816" t="s">
        <v>59</v>
      </c>
      <c r="K816" s="3">
        <v>0.9</v>
      </c>
      <c r="L816" s="2">
        <v>61.27</v>
      </c>
      <c r="M816" s="2">
        <v>0</v>
      </c>
      <c r="N816" s="2">
        <v>0</v>
      </c>
      <c r="O816" t="s">
        <v>369</v>
      </c>
      <c r="P816" t="s">
        <v>375</v>
      </c>
      <c r="Q816">
        <v>673059</v>
      </c>
      <c r="R816" t="s">
        <v>55</v>
      </c>
      <c r="S816" t="s">
        <v>56</v>
      </c>
      <c r="T816" t="s">
        <v>57</v>
      </c>
      <c r="U816" s="1">
        <v>45901</v>
      </c>
      <c r="W816" s="1">
        <v>45992</v>
      </c>
      <c r="X816">
        <v>1</v>
      </c>
      <c r="Y816" t="s">
        <v>58</v>
      </c>
      <c r="Z816" s="2">
        <v>0</v>
      </c>
      <c r="AA816">
        <v>0</v>
      </c>
      <c r="AB816" t="s">
        <v>60</v>
      </c>
      <c r="AC816" t="s">
        <v>61</v>
      </c>
      <c r="AD816">
        <v>0</v>
      </c>
      <c r="AE816" s="2">
        <v>0</v>
      </c>
      <c r="AF816" s="2">
        <v>0</v>
      </c>
      <c r="AG816" s="3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45957</v>
      </c>
      <c r="B817" t="s">
        <v>48</v>
      </c>
      <c r="C817">
        <v>649163</v>
      </c>
      <c r="D817">
        <v>2030597036</v>
      </c>
      <c r="E817" t="s">
        <v>153</v>
      </c>
      <c r="F817" t="s">
        <v>154</v>
      </c>
      <c r="G817" t="s">
        <v>51</v>
      </c>
      <c r="H817" t="s">
        <v>118</v>
      </c>
      <c r="I817" s="2">
        <v>89.88</v>
      </c>
      <c r="J817" t="s">
        <v>59</v>
      </c>
      <c r="K817" s="3">
        <v>0.9</v>
      </c>
      <c r="L817" s="2">
        <v>80.89</v>
      </c>
      <c r="M817" s="2">
        <v>0</v>
      </c>
      <c r="N817" s="2">
        <v>0</v>
      </c>
      <c r="O817" t="s">
        <v>369</v>
      </c>
      <c r="P817" t="s">
        <v>375</v>
      </c>
      <c r="Q817">
        <v>652037</v>
      </c>
      <c r="R817" t="s">
        <v>155</v>
      </c>
      <c r="S817" t="s">
        <v>156</v>
      </c>
      <c r="T817" t="s">
        <v>57</v>
      </c>
      <c r="U817" s="1">
        <v>45901</v>
      </c>
      <c r="W817" s="1">
        <v>45992</v>
      </c>
      <c r="X817">
        <v>1</v>
      </c>
      <c r="Y817" t="s">
        <v>58</v>
      </c>
      <c r="Z817" s="2">
        <v>0</v>
      </c>
      <c r="AA817">
        <v>0</v>
      </c>
      <c r="AB817" t="s">
        <v>60</v>
      </c>
      <c r="AC817" t="s">
        <v>61</v>
      </c>
      <c r="AD817">
        <v>0</v>
      </c>
      <c r="AE817" s="2">
        <v>0</v>
      </c>
      <c r="AF817" s="2">
        <v>0</v>
      </c>
      <c r="AG817" s="3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45957</v>
      </c>
      <c r="B818" t="s">
        <v>48</v>
      </c>
      <c r="C818">
        <v>649163</v>
      </c>
      <c r="D818">
        <v>2030684987</v>
      </c>
      <c r="E818" t="s">
        <v>808</v>
      </c>
      <c r="F818" t="s">
        <v>809</v>
      </c>
      <c r="G818" t="s">
        <v>51</v>
      </c>
      <c r="H818" t="s">
        <v>563</v>
      </c>
      <c r="I818" s="2">
        <v>122.75</v>
      </c>
      <c r="J818" t="s">
        <v>59</v>
      </c>
      <c r="K818" s="3">
        <v>0.9</v>
      </c>
      <c r="L818" s="2">
        <v>110.48</v>
      </c>
      <c r="M818" s="2">
        <v>0</v>
      </c>
      <c r="N818" s="2">
        <v>0</v>
      </c>
      <c r="O818" t="s">
        <v>369</v>
      </c>
      <c r="P818" t="s">
        <v>375</v>
      </c>
      <c r="Q818">
        <v>753748</v>
      </c>
      <c r="R818" t="s">
        <v>65</v>
      </c>
      <c r="S818" t="s">
        <v>66</v>
      </c>
      <c r="T818" t="s">
        <v>57</v>
      </c>
      <c r="U818" s="1">
        <v>45901</v>
      </c>
      <c r="W818" s="1">
        <v>45992</v>
      </c>
      <c r="X818">
        <v>1</v>
      </c>
      <c r="Y818" t="s">
        <v>58</v>
      </c>
      <c r="Z818" s="2">
        <v>0</v>
      </c>
      <c r="AA818">
        <v>0</v>
      </c>
      <c r="AB818" t="s">
        <v>60</v>
      </c>
      <c r="AC818" t="s">
        <v>61</v>
      </c>
      <c r="AD818">
        <v>0</v>
      </c>
      <c r="AE818" s="2">
        <v>0</v>
      </c>
      <c r="AF818" s="2">
        <v>0</v>
      </c>
      <c r="AG818" s="3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45957</v>
      </c>
      <c r="B819" t="s">
        <v>48</v>
      </c>
      <c r="C819">
        <v>649163</v>
      </c>
      <c r="D819">
        <v>2030686026</v>
      </c>
      <c r="E819" t="s">
        <v>184</v>
      </c>
      <c r="F819" t="s">
        <v>185</v>
      </c>
      <c r="G819" t="s">
        <v>51</v>
      </c>
      <c r="H819" t="s">
        <v>92</v>
      </c>
      <c r="I819" s="2">
        <v>39.17</v>
      </c>
      <c r="J819" t="s">
        <v>59</v>
      </c>
      <c r="K819" s="3">
        <v>0.9</v>
      </c>
      <c r="L819" s="2">
        <v>35.25</v>
      </c>
      <c r="M819" s="2">
        <v>0</v>
      </c>
      <c r="N819" s="2">
        <v>0</v>
      </c>
      <c r="O819" t="s">
        <v>369</v>
      </c>
      <c r="P819" t="s">
        <v>375</v>
      </c>
      <c r="Q819">
        <v>816021</v>
      </c>
      <c r="R819" t="s">
        <v>93</v>
      </c>
      <c r="S819" t="s">
        <v>94</v>
      </c>
      <c r="T819" t="s">
        <v>57</v>
      </c>
      <c r="U819" s="1">
        <v>45901</v>
      </c>
      <c r="W819" s="1">
        <v>45992</v>
      </c>
      <c r="X819">
        <v>1</v>
      </c>
      <c r="Y819" t="s">
        <v>58</v>
      </c>
      <c r="Z819" s="2">
        <v>0</v>
      </c>
      <c r="AA819">
        <v>0</v>
      </c>
      <c r="AB819" t="s">
        <v>60</v>
      </c>
      <c r="AC819" t="s">
        <v>61</v>
      </c>
      <c r="AD819">
        <v>0</v>
      </c>
      <c r="AE819" s="2">
        <v>0</v>
      </c>
      <c r="AF819" s="2">
        <v>0</v>
      </c>
      <c r="AG819" s="3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45957</v>
      </c>
      <c r="B820" t="s">
        <v>48</v>
      </c>
      <c r="C820">
        <v>649163</v>
      </c>
      <c r="D820">
        <v>2030701199</v>
      </c>
      <c r="E820" t="s">
        <v>779</v>
      </c>
      <c r="F820" t="s">
        <v>810</v>
      </c>
      <c r="G820" t="s">
        <v>51</v>
      </c>
      <c r="H820" t="s">
        <v>118</v>
      </c>
      <c r="I820" s="2">
        <v>84.26</v>
      </c>
      <c r="J820" t="s">
        <v>59</v>
      </c>
      <c r="K820" s="3">
        <v>0.9</v>
      </c>
      <c r="L820" s="2">
        <v>75.83</v>
      </c>
      <c r="M820" s="2">
        <v>0</v>
      </c>
      <c r="N820" s="2">
        <v>0</v>
      </c>
      <c r="O820" t="s">
        <v>369</v>
      </c>
      <c r="P820" t="s">
        <v>375</v>
      </c>
      <c r="Q820">
        <v>652037</v>
      </c>
      <c r="R820" t="s">
        <v>155</v>
      </c>
      <c r="S820" t="s">
        <v>156</v>
      </c>
      <c r="T820" t="s">
        <v>57</v>
      </c>
      <c r="U820" s="1">
        <v>45901</v>
      </c>
      <c r="W820" s="1">
        <v>45992</v>
      </c>
      <c r="X820">
        <v>1</v>
      </c>
      <c r="Y820" t="s">
        <v>58</v>
      </c>
      <c r="Z820" s="2">
        <v>0</v>
      </c>
      <c r="AA820">
        <v>0</v>
      </c>
      <c r="AB820" t="s">
        <v>60</v>
      </c>
      <c r="AC820" t="s">
        <v>61</v>
      </c>
      <c r="AD820">
        <v>0</v>
      </c>
      <c r="AE820" s="2">
        <v>0</v>
      </c>
      <c r="AF820" s="2">
        <v>0</v>
      </c>
      <c r="AG820" s="3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45957</v>
      </c>
      <c r="B821" t="s">
        <v>48</v>
      </c>
      <c r="C821">
        <v>649163</v>
      </c>
      <c r="D821">
        <v>2030707327</v>
      </c>
      <c r="E821" t="s">
        <v>198</v>
      </c>
      <c r="F821" t="s">
        <v>199</v>
      </c>
      <c r="G821" t="s">
        <v>51</v>
      </c>
      <c r="H821" t="s">
        <v>92</v>
      </c>
      <c r="I821" s="2">
        <v>54.21</v>
      </c>
      <c r="J821" t="s">
        <v>59</v>
      </c>
      <c r="K821" s="3">
        <v>0.9</v>
      </c>
      <c r="L821" s="2">
        <v>48.79</v>
      </c>
      <c r="M821" s="2">
        <v>0</v>
      </c>
      <c r="N821" s="2">
        <v>0</v>
      </c>
      <c r="O821" t="s">
        <v>369</v>
      </c>
      <c r="P821" t="s">
        <v>375</v>
      </c>
      <c r="Q821">
        <v>756418</v>
      </c>
      <c r="R821" t="s">
        <v>191</v>
      </c>
      <c r="S821" t="s">
        <v>192</v>
      </c>
      <c r="T821" t="s">
        <v>57</v>
      </c>
      <c r="U821" s="1">
        <v>45896</v>
      </c>
      <c r="W821" s="1">
        <v>45988</v>
      </c>
      <c r="X821">
        <v>1</v>
      </c>
      <c r="Y821" t="s">
        <v>58</v>
      </c>
      <c r="Z821" s="2">
        <v>0</v>
      </c>
      <c r="AA821">
        <v>0</v>
      </c>
      <c r="AB821" t="s">
        <v>60</v>
      </c>
      <c r="AC821" t="s">
        <v>61</v>
      </c>
      <c r="AD821">
        <v>0</v>
      </c>
      <c r="AE821" s="2">
        <v>0</v>
      </c>
      <c r="AF821" s="2">
        <v>0</v>
      </c>
      <c r="AG821" s="3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45957</v>
      </c>
      <c r="B822" t="s">
        <v>48</v>
      </c>
      <c r="C822">
        <v>649163</v>
      </c>
      <c r="D822">
        <v>2030770954</v>
      </c>
      <c r="E822" t="s">
        <v>202</v>
      </c>
      <c r="F822" t="s">
        <v>213</v>
      </c>
      <c r="G822" t="s">
        <v>51</v>
      </c>
      <c r="H822" t="s">
        <v>118</v>
      </c>
      <c r="I822" s="2">
        <v>192</v>
      </c>
      <c r="J822" t="s">
        <v>59</v>
      </c>
      <c r="K822" s="3">
        <v>0.9</v>
      </c>
      <c r="L822" s="2">
        <v>172.8</v>
      </c>
      <c r="M822" s="2">
        <v>0</v>
      </c>
      <c r="N822" s="2">
        <v>0</v>
      </c>
      <c r="O822" t="s">
        <v>369</v>
      </c>
      <c r="P822" t="s">
        <v>375</v>
      </c>
      <c r="Q822">
        <v>652037</v>
      </c>
      <c r="R822" t="s">
        <v>155</v>
      </c>
      <c r="S822" t="s">
        <v>156</v>
      </c>
      <c r="T822" t="s">
        <v>57</v>
      </c>
      <c r="U822" s="1">
        <v>45901</v>
      </c>
      <c r="W822" s="1">
        <v>45992</v>
      </c>
      <c r="X822">
        <v>1</v>
      </c>
      <c r="Y822" t="s">
        <v>58</v>
      </c>
      <c r="Z822" s="2">
        <v>0</v>
      </c>
      <c r="AA822">
        <v>0</v>
      </c>
      <c r="AB822" t="s">
        <v>60</v>
      </c>
      <c r="AC822" t="s">
        <v>61</v>
      </c>
      <c r="AD822">
        <v>0</v>
      </c>
      <c r="AE822" s="2">
        <v>0</v>
      </c>
      <c r="AF822" s="2">
        <v>0</v>
      </c>
      <c r="AG822" s="3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45957</v>
      </c>
      <c r="B823" t="s">
        <v>48</v>
      </c>
      <c r="C823">
        <v>649163</v>
      </c>
      <c r="D823">
        <v>2030779110</v>
      </c>
      <c r="E823" t="s">
        <v>230</v>
      </c>
      <c r="F823" t="s">
        <v>811</v>
      </c>
      <c r="G823" t="s">
        <v>51</v>
      </c>
      <c r="H823" t="s">
        <v>563</v>
      </c>
      <c r="I823" s="2">
        <v>122.57</v>
      </c>
      <c r="J823" t="s">
        <v>59</v>
      </c>
      <c r="K823" s="3">
        <v>0.9</v>
      </c>
      <c r="L823" s="2">
        <v>110.31</v>
      </c>
      <c r="M823" s="2">
        <v>0</v>
      </c>
      <c r="N823" s="2">
        <v>0</v>
      </c>
      <c r="O823" t="s">
        <v>369</v>
      </c>
      <c r="P823" t="s">
        <v>375</v>
      </c>
      <c r="Q823">
        <v>753748</v>
      </c>
      <c r="R823" t="s">
        <v>65</v>
      </c>
      <c r="S823" t="s">
        <v>66</v>
      </c>
      <c r="T823" t="s">
        <v>57</v>
      </c>
      <c r="U823" s="1">
        <v>45901</v>
      </c>
      <c r="W823" s="1">
        <v>45992</v>
      </c>
      <c r="X823">
        <v>1</v>
      </c>
      <c r="Y823" t="s">
        <v>58</v>
      </c>
      <c r="Z823" s="2">
        <v>0</v>
      </c>
      <c r="AA823">
        <v>0</v>
      </c>
      <c r="AB823" t="s">
        <v>60</v>
      </c>
      <c r="AC823" t="s">
        <v>61</v>
      </c>
      <c r="AD823">
        <v>0</v>
      </c>
      <c r="AE823" s="2">
        <v>0</v>
      </c>
      <c r="AF823" s="2">
        <v>0</v>
      </c>
      <c r="AG823" s="3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45957</v>
      </c>
      <c r="B824" t="s">
        <v>48</v>
      </c>
      <c r="C824">
        <v>649163</v>
      </c>
      <c r="D824">
        <v>2016670253</v>
      </c>
      <c r="E824" t="s">
        <v>479</v>
      </c>
      <c r="F824" t="s">
        <v>480</v>
      </c>
      <c r="G824" t="s">
        <v>51</v>
      </c>
      <c r="H824" t="s">
        <v>195</v>
      </c>
      <c r="I824" s="2">
        <v>68.52</v>
      </c>
      <c r="J824" t="s">
        <v>59</v>
      </c>
      <c r="K824" s="4">
        <v>6.5000000000000002E-2</v>
      </c>
      <c r="L824" s="2">
        <v>0</v>
      </c>
      <c r="M824" s="2">
        <v>4.45</v>
      </c>
      <c r="N824" s="2">
        <v>4.45</v>
      </c>
      <c r="O824" t="s">
        <v>395</v>
      </c>
      <c r="P824" t="s">
        <v>411</v>
      </c>
      <c r="Q824">
        <v>650794</v>
      </c>
      <c r="R824" t="s">
        <v>155</v>
      </c>
      <c r="S824" t="s">
        <v>481</v>
      </c>
      <c r="T824" t="s">
        <v>57</v>
      </c>
      <c r="U824" s="1">
        <v>44863</v>
      </c>
      <c r="W824" s="1">
        <v>45990</v>
      </c>
      <c r="X824">
        <v>1</v>
      </c>
      <c r="Y824" t="s">
        <v>58</v>
      </c>
      <c r="Z824" s="2">
        <v>0</v>
      </c>
      <c r="AA824">
        <v>0</v>
      </c>
      <c r="AB824" t="s">
        <v>264</v>
      </c>
      <c r="AC824" t="s">
        <v>61</v>
      </c>
      <c r="AD824">
        <v>0</v>
      </c>
      <c r="AE824" s="2">
        <v>0</v>
      </c>
      <c r="AF824" s="2">
        <v>0</v>
      </c>
      <c r="AG824" s="3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45957</v>
      </c>
      <c r="B825" t="s">
        <v>48</v>
      </c>
      <c r="C825">
        <v>649163</v>
      </c>
      <c r="D825">
        <v>2017126555</v>
      </c>
      <c r="E825" t="s">
        <v>482</v>
      </c>
      <c r="F825" t="s">
        <v>483</v>
      </c>
      <c r="G825" t="s">
        <v>51</v>
      </c>
      <c r="H825" t="s">
        <v>195</v>
      </c>
      <c r="I825" s="2">
        <v>92.55</v>
      </c>
      <c r="J825" t="s">
        <v>59</v>
      </c>
      <c r="K825" s="4">
        <v>6.5000000000000002E-2</v>
      </c>
      <c r="L825" s="2">
        <v>0</v>
      </c>
      <c r="M825" s="2">
        <v>6.02</v>
      </c>
      <c r="N825" s="2">
        <v>6.02</v>
      </c>
      <c r="O825" t="s">
        <v>395</v>
      </c>
      <c r="P825" t="s">
        <v>396</v>
      </c>
      <c r="Q825">
        <v>649164</v>
      </c>
      <c r="R825" t="s">
        <v>313</v>
      </c>
      <c r="S825" t="s">
        <v>314</v>
      </c>
      <c r="T825" t="s">
        <v>57</v>
      </c>
      <c r="U825" s="1">
        <v>44958</v>
      </c>
      <c r="W825" s="1">
        <v>45992</v>
      </c>
      <c r="X825">
        <v>1</v>
      </c>
      <c r="Y825" t="s">
        <v>58</v>
      </c>
      <c r="Z825" s="2">
        <v>0</v>
      </c>
      <c r="AA825">
        <v>0</v>
      </c>
      <c r="AB825" t="s">
        <v>264</v>
      </c>
      <c r="AC825" t="s">
        <v>61</v>
      </c>
      <c r="AD825">
        <v>0</v>
      </c>
      <c r="AE825" s="2">
        <v>0</v>
      </c>
      <c r="AF825" s="2">
        <v>0</v>
      </c>
      <c r="AG825" s="3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45957</v>
      </c>
      <c r="B826" t="s">
        <v>48</v>
      </c>
      <c r="C826">
        <v>649163</v>
      </c>
      <c r="D826">
        <v>2017340029</v>
      </c>
      <c r="E826" t="s">
        <v>484</v>
      </c>
      <c r="F826" t="s">
        <v>415</v>
      </c>
      <c r="G826" t="s">
        <v>51</v>
      </c>
      <c r="H826" t="s">
        <v>195</v>
      </c>
      <c r="I826" s="2">
        <v>71.69</v>
      </c>
      <c r="J826" t="s">
        <v>59</v>
      </c>
      <c r="K826" s="4">
        <v>6.5000000000000002E-2</v>
      </c>
      <c r="L826" s="2">
        <v>0</v>
      </c>
      <c r="M826" s="2">
        <v>4.66</v>
      </c>
      <c r="N826" s="2">
        <v>4.66</v>
      </c>
      <c r="O826" t="s">
        <v>395</v>
      </c>
      <c r="P826" t="s">
        <v>411</v>
      </c>
      <c r="Q826">
        <v>652037</v>
      </c>
      <c r="R826" t="s">
        <v>155</v>
      </c>
      <c r="S826" t="s">
        <v>156</v>
      </c>
      <c r="T826" t="s">
        <v>57</v>
      </c>
      <c r="U826" s="1">
        <v>44958</v>
      </c>
      <c r="W826" s="1">
        <v>45992</v>
      </c>
      <c r="X826">
        <v>1</v>
      </c>
      <c r="Y826" t="s">
        <v>58</v>
      </c>
      <c r="Z826" s="2">
        <v>0</v>
      </c>
      <c r="AA826">
        <v>0</v>
      </c>
      <c r="AB826" t="s">
        <v>264</v>
      </c>
      <c r="AC826" t="s">
        <v>61</v>
      </c>
      <c r="AD826">
        <v>0</v>
      </c>
      <c r="AE826" s="2">
        <v>0</v>
      </c>
      <c r="AF826" s="2">
        <v>0</v>
      </c>
      <c r="AG826" s="3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45957</v>
      </c>
      <c r="B827" t="s">
        <v>48</v>
      </c>
      <c r="C827">
        <v>649163</v>
      </c>
      <c r="D827">
        <v>2019754489</v>
      </c>
      <c r="E827" t="s">
        <v>80</v>
      </c>
      <c r="F827" t="s">
        <v>485</v>
      </c>
      <c r="G827" t="s">
        <v>51</v>
      </c>
      <c r="H827" t="s">
        <v>195</v>
      </c>
      <c r="I827" s="2">
        <v>52.69</v>
      </c>
      <c r="J827" t="s">
        <v>59</v>
      </c>
      <c r="K827" s="4">
        <v>6.5000000000000002E-2</v>
      </c>
      <c r="L827" s="2">
        <v>0</v>
      </c>
      <c r="M827" s="2">
        <v>3.42</v>
      </c>
      <c r="N827" s="2">
        <v>3.42</v>
      </c>
      <c r="O827" t="s">
        <v>395</v>
      </c>
      <c r="P827" t="s">
        <v>396</v>
      </c>
      <c r="Q827">
        <v>649164</v>
      </c>
      <c r="R827" t="s">
        <v>313</v>
      </c>
      <c r="S827" t="s">
        <v>314</v>
      </c>
      <c r="T827" t="s">
        <v>57</v>
      </c>
      <c r="U827" s="1">
        <v>45170</v>
      </c>
      <c r="W827" s="1">
        <v>45992</v>
      </c>
      <c r="X827">
        <v>1</v>
      </c>
      <c r="Y827" t="s">
        <v>58</v>
      </c>
      <c r="Z827" s="2">
        <v>0</v>
      </c>
      <c r="AA827">
        <v>0</v>
      </c>
      <c r="AB827" t="s">
        <v>264</v>
      </c>
      <c r="AC827" t="s">
        <v>61</v>
      </c>
      <c r="AD827">
        <v>0</v>
      </c>
      <c r="AE827" s="2">
        <v>0</v>
      </c>
      <c r="AF827" s="2">
        <v>0</v>
      </c>
      <c r="AG827" s="3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45957</v>
      </c>
      <c r="B828" t="s">
        <v>48</v>
      </c>
      <c r="C828">
        <v>649163</v>
      </c>
      <c r="D828">
        <v>2020393565</v>
      </c>
      <c r="E828" t="s">
        <v>486</v>
      </c>
      <c r="F828" t="s">
        <v>487</v>
      </c>
      <c r="G828" t="s">
        <v>51</v>
      </c>
      <c r="H828" t="s">
        <v>276</v>
      </c>
      <c r="I828" s="2">
        <v>75.75</v>
      </c>
      <c r="J828" t="s">
        <v>59</v>
      </c>
      <c r="K828" s="4">
        <v>6.5000000000000002E-2</v>
      </c>
      <c r="L828" s="2">
        <v>0</v>
      </c>
      <c r="M828" s="2">
        <v>4.92</v>
      </c>
      <c r="N828" s="2">
        <v>4.92</v>
      </c>
      <c r="O828" t="s">
        <v>395</v>
      </c>
      <c r="P828" t="s">
        <v>396</v>
      </c>
      <c r="Q828">
        <v>673059</v>
      </c>
      <c r="R828" t="s">
        <v>55</v>
      </c>
      <c r="S828" t="s">
        <v>56</v>
      </c>
      <c r="T828" t="s">
        <v>57</v>
      </c>
      <c r="U828" s="1">
        <v>45231</v>
      </c>
      <c r="W828" s="1">
        <v>45992</v>
      </c>
      <c r="X828">
        <v>1</v>
      </c>
      <c r="Y828" t="s">
        <v>58</v>
      </c>
      <c r="Z828" s="2">
        <v>0</v>
      </c>
      <c r="AA828">
        <v>0</v>
      </c>
      <c r="AB828" t="s">
        <v>264</v>
      </c>
      <c r="AC828" t="s">
        <v>61</v>
      </c>
      <c r="AD828">
        <v>0</v>
      </c>
      <c r="AE828" s="2">
        <v>0</v>
      </c>
      <c r="AF828" s="2">
        <v>0</v>
      </c>
      <c r="AG828" s="3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45957</v>
      </c>
      <c r="B829" t="s">
        <v>48</v>
      </c>
      <c r="C829">
        <v>649163</v>
      </c>
      <c r="D829">
        <v>2020534057</v>
      </c>
      <c r="E829" t="s">
        <v>488</v>
      </c>
      <c r="F829" t="s">
        <v>98</v>
      </c>
      <c r="G829" t="s">
        <v>51</v>
      </c>
      <c r="H829" t="s">
        <v>195</v>
      </c>
      <c r="I829" s="2">
        <v>42.45</v>
      </c>
      <c r="J829" t="s">
        <v>59</v>
      </c>
      <c r="K829" s="4">
        <v>6.5000000000000002E-2</v>
      </c>
      <c r="L829" s="2">
        <v>0</v>
      </c>
      <c r="M829" s="2">
        <v>2.76</v>
      </c>
      <c r="N829" s="2">
        <v>2.76</v>
      </c>
      <c r="O829" t="s">
        <v>395</v>
      </c>
      <c r="P829" t="s">
        <v>396</v>
      </c>
      <c r="Q829">
        <v>702406</v>
      </c>
      <c r="R829" t="s">
        <v>489</v>
      </c>
      <c r="S829" t="s">
        <v>490</v>
      </c>
      <c r="T829" t="s">
        <v>57</v>
      </c>
      <c r="U829" s="1">
        <v>45224</v>
      </c>
      <c r="W829" s="1">
        <v>45986</v>
      </c>
      <c r="X829">
        <v>1</v>
      </c>
      <c r="Y829" t="s">
        <v>58</v>
      </c>
      <c r="Z829" s="2">
        <v>0</v>
      </c>
      <c r="AA829">
        <v>0</v>
      </c>
      <c r="AB829" t="s">
        <v>264</v>
      </c>
      <c r="AC829" t="s">
        <v>61</v>
      </c>
      <c r="AD829">
        <v>0</v>
      </c>
      <c r="AE829" s="2">
        <v>0</v>
      </c>
      <c r="AF829" s="2">
        <v>0</v>
      </c>
      <c r="AG829" s="3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45957</v>
      </c>
      <c r="B830" t="s">
        <v>48</v>
      </c>
      <c r="C830">
        <v>649163</v>
      </c>
      <c r="D830">
        <v>2021515733</v>
      </c>
      <c r="E830" t="s">
        <v>319</v>
      </c>
      <c r="F830" t="s">
        <v>320</v>
      </c>
      <c r="G830" t="s">
        <v>51</v>
      </c>
      <c r="H830" t="s">
        <v>195</v>
      </c>
      <c r="I830" s="2">
        <v>42.45</v>
      </c>
      <c r="J830" t="s">
        <v>59</v>
      </c>
      <c r="K830" s="4">
        <v>6.5000000000000002E-2</v>
      </c>
      <c r="L830" s="2">
        <v>0</v>
      </c>
      <c r="M830" s="2">
        <v>2.76</v>
      </c>
      <c r="N830" s="2">
        <v>2.76</v>
      </c>
      <c r="O830" t="s">
        <v>395</v>
      </c>
      <c r="P830" t="s">
        <v>396</v>
      </c>
      <c r="Q830">
        <v>649247</v>
      </c>
      <c r="R830" t="s">
        <v>321</v>
      </c>
      <c r="S830" t="s">
        <v>322</v>
      </c>
      <c r="T830" t="s">
        <v>57</v>
      </c>
      <c r="U830" s="1">
        <v>45315</v>
      </c>
      <c r="W830" s="1">
        <v>45985</v>
      </c>
      <c r="X830">
        <v>1</v>
      </c>
      <c r="Y830" t="s">
        <v>58</v>
      </c>
      <c r="Z830" s="2">
        <v>0</v>
      </c>
      <c r="AA830">
        <v>0</v>
      </c>
      <c r="AB830" t="s">
        <v>264</v>
      </c>
      <c r="AC830" t="s">
        <v>61</v>
      </c>
      <c r="AD830">
        <v>0</v>
      </c>
      <c r="AE830" s="2">
        <v>0</v>
      </c>
      <c r="AF830" s="2">
        <v>0</v>
      </c>
      <c r="AG830" s="3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45957</v>
      </c>
      <c r="B831" t="s">
        <v>48</v>
      </c>
      <c r="C831">
        <v>649163</v>
      </c>
      <c r="D831">
        <v>2022933292</v>
      </c>
      <c r="E831" t="s">
        <v>491</v>
      </c>
      <c r="F831" t="s">
        <v>492</v>
      </c>
      <c r="G831" t="s">
        <v>51</v>
      </c>
      <c r="H831" t="s">
        <v>195</v>
      </c>
      <c r="I831" s="2">
        <v>75.75</v>
      </c>
      <c r="J831" t="s">
        <v>59</v>
      </c>
      <c r="K831" s="4">
        <v>6.5000000000000002E-2</v>
      </c>
      <c r="L831" s="2">
        <v>0</v>
      </c>
      <c r="M831" s="2">
        <v>4.92</v>
      </c>
      <c r="N831" s="2">
        <v>4.92</v>
      </c>
      <c r="O831" t="s">
        <v>395</v>
      </c>
      <c r="P831" t="s">
        <v>396</v>
      </c>
      <c r="Q831">
        <v>649164</v>
      </c>
      <c r="R831" t="s">
        <v>313</v>
      </c>
      <c r="S831" t="s">
        <v>314</v>
      </c>
      <c r="T831" t="s">
        <v>57</v>
      </c>
      <c r="U831" s="1">
        <v>45444</v>
      </c>
      <c r="W831" s="1">
        <v>45992</v>
      </c>
      <c r="X831">
        <v>1</v>
      </c>
      <c r="Y831" t="s">
        <v>58</v>
      </c>
      <c r="Z831" s="2">
        <v>0</v>
      </c>
      <c r="AA831">
        <v>0</v>
      </c>
      <c r="AB831" t="s">
        <v>264</v>
      </c>
      <c r="AC831" t="s">
        <v>61</v>
      </c>
      <c r="AD831">
        <v>0</v>
      </c>
      <c r="AE831" s="2">
        <v>0</v>
      </c>
      <c r="AF831" s="2">
        <v>0</v>
      </c>
      <c r="AG831" s="3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45957</v>
      </c>
      <c r="B832" t="s">
        <v>48</v>
      </c>
      <c r="C832">
        <v>649163</v>
      </c>
      <c r="D832">
        <v>2023105852</v>
      </c>
      <c r="E832" t="s">
        <v>493</v>
      </c>
      <c r="F832" t="s">
        <v>494</v>
      </c>
      <c r="G832" t="s">
        <v>51</v>
      </c>
      <c r="H832" t="s">
        <v>78</v>
      </c>
      <c r="I832" s="2">
        <v>46.45</v>
      </c>
      <c r="J832" t="s">
        <v>59</v>
      </c>
      <c r="K832" s="4">
        <v>6.5000000000000002E-2</v>
      </c>
      <c r="L832" s="2">
        <v>0</v>
      </c>
      <c r="M832" s="2">
        <v>3.02</v>
      </c>
      <c r="N832" s="2">
        <v>3.02</v>
      </c>
      <c r="O832" t="s">
        <v>395</v>
      </c>
      <c r="P832" t="s">
        <v>396</v>
      </c>
      <c r="Q832">
        <v>650218</v>
      </c>
      <c r="R832" t="s">
        <v>357</v>
      </c>
      <c r="S832" t="s">
        <v>358</v>
      </c>
      <c r="T832" t="s">
        <v>57</v>
      </c>
      <c r="U832" s="1">
        <v>45444</v>
      </c>
      <c r="W832" s="1">
        <v>45992</v>
      </c>
      <c r="X832">
        <v>1</v>
      </c>
      <c r="Y832" t="s">
        <v>58</v>
      </c>
      <c r="Z832" s="2">
        <v>0</v>
      </c>
      <c r="AA832">
        <v>0</v>
      </c>
      <c r="AB832" t="s">
        <v>264</v>
      </c>
      <c r="AC832" t="s">
        <v>61</v>
      </c>
      <c r="AD832">
        <v>0</v>
      </c>
      <c r="AE832" s="2">
        <v>0</v>
      </c>
      <c r="AF832" s="2">
        <v>0</v>
      </c>
      <c r="AG832" s="3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45957</v>
      </c>
      <c r="B833" t="s">
        <v>48</v>
      </c>
      <c r="C833">
        <v>649163</v>
      </c>
      <c r="D833">
        <v>2023252075</v>
      </c>
      <c r="E833" t="s">
        <v>495</v>
      </c>
      <c r="F833" t="s">
        <v>496</v>
      </c>
      <c r="G833" t="s">
        <v>51</v>
      </c>
      <c r="H833" t="s">
        <v>195</v>
      </c>
      <c r="I833" s="2">
        <v>62.54</v>
      </c>
      <c r="J833" t="s">
        <v>59</v>
      </c>
      <c r="K833" s="4">
        <v>6.5000000000000002E-2</v>
      </c>
      <c r="L833" s="2">
        <v>0</v>
      </c>
      <c r="M833" s="2">
        <v>4.07</v>
      </c>
      <c r="N833" s="2">
        <v>4.07</v>
      </c>
      <c r="O833" t="s">
        <v>395</v>
      </c>
      <c r="P833" t="s">
        <v>396</v>
      </c>
      <c r="Q833">
        <v>650218</v>
      </c>
      <c r="R833" t="s">
        <v>357</v>
      </c>
      <c r="S833" t="s">
        <v>358</v>
      </c>
      <c r="T833" t="s">
        <v>57</v>
      </c>
      <c r="U833" s="1">
        <v>45444</v>
      </c>
      <c r="W833" s="1">
        <v>45992</v>
      </c>
      <c r="X833">
        <v>1</v>
      </c>
      <c r="Y833" t="s">
        <v>58</v>
      </c>
      <c r="Z833" s="2">
        <v>0</v>
      </c>
      <c r="AA833">
        <v>0</v>
      </c>
      <c r="AB833" t="s">
        <v>264</v>
      </c>
      <c r="AC833" t="s">
        <v>61</v>
      </c>
      <c r="AD833">
        <v>0</v>
      </c>
      <c r="AE833" s="2">
        <v>0</v>
      </c>
      <c r="AF833" s="2">
        <v>0</v>
      </c>
      <c r="AG833" s="3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45957</v>
      </c>
      <c r="B834" t="s">
        <v>48</v>
      </c>
      <c r="C834">
        <v>649163</v>
      </c>
      <c r="D834">
        <v>2024382486</v>
      </c>
      <c r="E834" t="s">
        <v>497</v>
      </c>
      <c r="F834" t="s">
        <v>167</v>
      </c>
      <c r="G834" t="s">
        <v>51</v>
      </c>
      <c r="H834" t="s">
        <v>195</v>
      </c>
      <c r="I834" s="2">
        <v>42.45</v>
      </c>
      <c r="J834" t="s">
        <v>59</v>
      </c>
      <c r="K834" s="4">
        <v>6.5000000000000002E-2</v>
      </c>
      <c r="L834" s="2">
        <v>0</v>
      </c>
      <c r="M834" s="2">
        <v>2.76</v>
      </c>
      <c r="N834" s="2">
        <v>2.76</v>
      </c>
      <c r="O834" t="s">
        <v>395</v>
      </c>
      <c r="P834" t="s">
        <v>396</v>
      </c>
      <c r="Q834">
        <v>649247</v>
      </c>
      <c r="R834" t="s">
        <v>321</v>
      </c>
      <c r="S834" t="s">
        <v>322</v>
      </c>
      <c r="T834" t="s">
        <v>57</v>
      </c>
      <c r="U834" s="1">
        <v>45536</v>
      </c>
      <c r="W834" s="1">
        <v>45992</v>
      </c>
      <c r="X834">
        <v>1</v>
      </c>
      <c r="Y834" t="s">
        <v>58</v>
      </c>
      <c r="Z834" s="2">
        <v>0</v>
      </c>
      <c r="AA834">
        <v>0</v>
      </c>
      <c r="AB834" t="s">
        <v>264</v>
      </c>
      <c r="AC834" t="s">
        <v>61</v>
      </c>
      <c r="AD834">
        <v>0</v>
      </c>
      <c r="AE834" s="2">
        <v>0</v>
      </c>
      <c r="AF834" s="2">
        <v>0</v>
      </c>
      <c r="AG834" s="3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45957</v>
      </c>
      <c r="B835" t="s">
        <v>48</v>
      </c>
      <c r="C835">
        <v>649163</v>
      </c>
      <c r="D835">
        <v>2024417985</v>
      </c>
      <c r="E835" t="s">
        <v>498</v>
      </c>
      <c r="F835" t="s">
        <v>56</v>
      </c>
      <c r="G835" t="s">
        <v>51</v>
      </c>
      <c r="H835" t="s">
        <v>195</v>
      </c>
      <c r="I835" s="2">
        <v>52.69</v>
      </c>
      <c r="J835" t="s">
        <v>59</v>
      </c>
      <c r="K835" s="4">
        <v>6.5000000000000002E-2</v>
      </c>
      <c r="L835" s="2">
        <v>0</v>
      </c>
      <c r="M835" s="2">
        <v>3.42</v>
      </c>
      <c r="N835" s="2">
        <v>3.42</v>
      </c>
      <c r="O835" t="s">
        <v>395</v>
      </c>
      <c r="P835" t="s">
        <v>396</v>
      </c>
      <c r="Q835">
        <v>780434</v>
      </c>
      <c r="R835" t="s">
        <v>499</v>
      </c>
      <c r="S835" t="s">
        <v>110</v>
      </c>
      <c r="T835" t="s">
        <v>57</v>
      </c>
      <c r="U835" s="1">
        <v>45536</v>
      </c>
      <c r="W835" s="1">
        <v>45992</v>
      </c>
      <c r="X835">
        <v>1</v>
      </c>
      <c r="Y835" t="s">
        <v>58</v>
      </c>
      <c r="Z835" s="2">
        <v>0</v>
      </c>
      <c r="AA835">
        <v>0</v>
      </c>
      <c r="AB835" t="s">
        <v>264</v>
      </c>
      <c r="AC835" t="s">
        <v>61</v>
      </c>
      <c r="AD835">
        <v>0</v>
      </c>
      <c r="AE835" s="2">
        <v>0</v>
      </c>
      <c r="AF835" s="2">
        <v>0</v>
      </c>
      <c r="AG835" s="3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45957</v>
      </c>
      <c r="B836" t="s">
        <v>48</v>
      </c>
      <c r="C836">
        <v>649163</v>
      </c>
      <c r="D836">
        <v>2024662994</v>
      </c>
      <c r="E836" t="s">
        <v>500</v>
      </c>
      <c r="F836" t="s">
        <v>501</v>
      </c>
      <c r="G836" t="s">
        <v>51</v>
      </c>
      <c r="H836" t="s">
        <v>69</v>
      </c>
      <c r="I836" s="2">
        <v>52.69</v>
      </c>
      <c r="J836" t="s">
        <v>59</v>
      </c>
      <c r="K836" s="4">
        <v>6.5000000000000002E-2</v>
      </c>
      <c r="L836" s="2">
        <v>0</v>
      </c>
      <c r="M836" s="2">
        <v>3.42</v>
      </c>
      <c r="N836" s="2">
        <v>3.42</v>
      </c>
      <c r="O836" t="s">
        <v>395</v>
      </c>
      <c r="P836" t="s">
        <v>396</v>
      </c>
      <c r="Q836">
        <v>757039</v>
      </c>
      <c r="R836" t="s">
        <v>502</v>
      </c>
      <c r="S836" t="s">
        <v>342</v>
      </c>
      <c r="T836" t="s">
        <v>57</v>
      </c>
      <c r="U836" s="1">
        <v>45536</v>
      </c>
      <c r="W836" s="1">
        <v>45992</v>
      </c>
      <c r="X836">
        <v>1</v>
      </c>
      <c r="Y836" t="s">
        <v>58</v>
      </c>
      <c r="Z836" s="2">
        <v>0</v>
      </c>
      <c r="AA836">
        <v>0</v>
      </c>
      <c r="AB836" t="s">
        <v>264</v>
      </c>
      <c r="AC836" t="s">
        <v>61</v>
      </c>
      <c r="AD836">
        <v>0</v>
      </c>
      <c r="AE836" s="2">
        <v>0</v>
      </c>
      <c r="AF836" s="2">
        <v>0</v>
      </c>
      <c r="AG836" s="3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45957</v>
      </c>
      <c r="B837" t="s">
        <v>48</v>
      </c>
      <c r="C837">
        <v>649163</v>
      </c>
      <c r="D837">
        <v>2025303844</v>
      </c>
      <c r="E837" t="s">
        <v>503</v>
      </c>
      <c r="F837" t="s">
        <v>504</v>
      </c>
      <c r="G837" t="s">
        <v>51</v>
      </c>
      <c r="H837" t="s">
        <v>195</v>
      </c>
      <c r="I837" s="2">
        <v>56.69</v>
      </c>
      <c r="J837" t="s">
        <v>59</v>
      </c>
      <c r="K837" s="4">
        <v>6.5000000000000002E-2</v>
      </c>
      <c r="L837" s="2">
        <v>0</v>
      </c>
      <c r="M837" s="2">
        <v>3.68</v>
      </c>
      <c r="N837" s="2">
        <v>3.68</v>
      </c>
      <c r="O837" t="s">
        <v>395</v>
      </c>
      <c r="P837" t="s">
        <v>396</v>
      </c>
      <c r="Q837">
        <v>650218</v>
      </c>
      <c r="R837" t="s">
        <v>357</v>
      </c>
      <c r="S837" t="s">
        <v>358</v>
      </c>
      <c r="T837" t="s">
        <v>57</v>
      </c>
      <c r="U837" s="1">
        <v>45597</v>
      </c>
      <c r="W837" s="1">
        <v>45992</v>
      </c>
      <c r="X837">
        <v>1</v>
      </c>
      <c r="Y837" t="s">
        <v>58</v>
      </c>
      <c r="Z837" s="2">
        <v>0</v>
      </c>
      <c r="AA837">
        <v>0</v>
      </c>
      <c r="AB837" t="s">
        <v>264</v>
      </c>
      <c r="AC837" t="s">
        <v>61</v>
      </c>
      <c r="AD837">
        <v>0</v>
      </c>
      <c r="AE837" s="2">
        <v>0</v>
      </c>
      <c r="AF837" s="2">
        <v>0</v>
      </c>
      <c r="AG837" s="3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45957</v>
      </c>
      <c r="B838" t="s">
        <v>48</v>
      </c>
      <c r="C838">
        <v>649163</v>
      </c>
      <c r="D838">
        <v>2025378908</v>
      </c>
      <c r="E838" t="s">
        <v>505</v>
      </c>
      <c r="F838" t="s">
        <v>506</v>
      </c>
      <c r="G838" t="s">
        <v>51</v>
      </c>
      <c r="H838" t="s">
        <v>195</v>
      </c>
      <c r="I838" s="2">
        <v>40.159999999999997</v>
      </c>
      <c r="J838" t="s">
        <v>59</v>
      </c>
      <c r="K838" s="4">
        <v>6.5000000000000002E-2</v>
      </c>
      <c r="L838" s="2">
        <v>0</v>
      </c>
      <c r="M838" s="2">
        <v>2.61</v>
      </c>
      <c r="N838" s="2">
        <v>2.61</v>
      </c>
      <c r="O838" t="s">
        <v>395</v>
      </c>
      <c r="P838" t="s">
        <v>396</v>
      </c>
      <c r="Q838">
        <v>650218</v>
      </c>
      <c r="R838" t="s">
        <v>357</v>
      </c>
      <c r="S838" t="s">
        <v>358</v>
      </c>
      <c r="T838" t="s">
        <v>57</v>
      </c>
      <c r="U838" s="1">
        <v>45597</v>
      </c>
      <c r="W838" s="1">
        <v>45992</v>
      </c>
      <c r="X838">
        <v>1</v>
      </c>
      <c r="Y838" t="s">
        <v>58</v>
      </c>
      <c r="Z838" s="2">
        <v>0</v>
      </c>
      <c r="AA838">
        <v>0</v>
      </c>
      <c r="AB838" t="s">
        <v>264</v>
      </c>
      <c r="AC838" t="s">
        <v>61</v>
      </c>
      <c r="AD838">
        <v>0</v>
      </c>
      <c r="AE838" s="2">
        <v>0</v>
      </c>
      <c r="AF838" s="2">
        <v>0</v>
      </c>
      <c r="AG838" s="3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45957</v>
      </c>
      <c r="B839" t="s">
        <v>48</v>
      </c>
      <c r="C839">
        <v>649163</v>
      </c>
      <c r="D839">
        <v>2025486441</v>
      </c>
      <c r="E839" t="s">
        <v>507</v>
      </c>
      <c r="F839" t="s">
        <v>374</v>
      </c>
      <c r="G839" t="s">
        <v>51</v>
      </c>
      <c r="H839" t="s">
        <v>129</v>
      </c>
      <c r="I839" s="2">
        <v>94.37</v>
      </c>
      <c r="J839" t="s">
        <v>59</v>
      </c>
      <c r="K839" s="4">
        <v>6.5000000000000002E-2</v>
      </c>
      <c r="L839" s="2">
        <v>0</v>
      </c>
      <c r="M839" s="2">
        <v>6.13</v>
      </c>
      <c r="N839" s="2">
        <v>6.13</v>
      </c>
      <c r="O839" t="s">
        <v>395</v>
      </c>
      <c r="P839" t="s">
        <v>396</v>
      </c>
      <c r="Q839">
        <v>650218</v>
      </c>
      <c r="R839" t="s">
        <v>357</v>
      </c>
      <c r="S839" t="s">
        <v>358</v>
      </c>
      <c r="T839" t="s">
        <v>57</v>
      </c>
      <c r="U839" s="1">
        <v>45597</v>
      </c>
      <c r="W839" s="1">
        <v>45992</v>
      </c>
      <c r="X839">
        <v>1</v>
      </c>
      <c r="Y839" t="s">
        <v>58</v>
      </c>
      <c r="Z839" s="2">
        <v>0</v>
      </c>
      <c r="AA839">
        <v>0</v>
      </c>
      <c r="AB839" t="s">
        <v>264</v>
      </c>
      <c r="AC839" t="s">
        <v>61</v>
      </c>
      <c r="AD839">
        <v>0</v>
      </c>
      <c r="AE839" s="2">
        <v>0</v>
      </c>
      <c r="AF839" s="2">
        <v>0</v>
      </c>
      <c r="AG839" s="3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45957</v>
      </c>
      <c r="B840" t="s">
        <v>48</v>
      </c>
      <c r="C840">
        <v>649163</v>
      </c>
      <c r="D840">
        <v>2025934064</v>
      </c>
      <c r="E840" t="s">
        <v>508</v>
      </c>
      <c r="F840" t="s">
        <v>509</v>
      </c>
      <c r="G840" t="s">
        <v>51</v>
      </c>
      <c r="H840" t="s">
        <v>195</v>
      </c>
      <c r="I840" s="2">
        <v>56.69</v>
      </c>
      <c r="J840" t="s">
        <v>59</v>
      </c>
      <c r="K840" s="3">
        <v>0.6</v>
      </c>
      <c r="L840" s="2">
        <v>0</v>
      </c>
      <c r="M840" s="2">
        <v>34.01</v>
      </c>
      <c r="N840" s="2">
        <v>34.01</v>
      </c>
      <c r="O840" t="s">
        <v>395</v>
      </c>
      <c r="P840" t="s">
        <v>396</v>
      </c>
      <c r="Q840">
        <v>751867</v>
      </c>
      <c r="R840" t="s">
        <v>349</v>
      </c>
      <c r="S840" t="s">
        <v>312</v>
      </c>
      <c r="T840" t="s">
        <v>57</v>
      </c>
      <c r="U840" s="1">
        <v>45627</v>
      </c>
      <c r="W840" s="1">
        <v>45962</v>
      </c>
      <c r="X840">
        <v>1</v>
      </c>
      <c r="Y840" t="s">
        <v>58</v>
      </c>
      <c r="Z840" s="2">
        <v>0</v>
      </c>
      <c r="AA840">
        <v>0</v>
      </c>
      <c r="AB840" t="s">
        <v>60</v>
      </c>
      <c r="AC840" t="s">
        <v>61</v>
      </c>
      <c r="AD840">
        <v>0</v>
      </c>
      <c r="AE840" s="2">
        <v>0</v>
      </c>
      <c r="AF840" s="2">
        <v>0</v>
      </c>
      <c r="AG840" s="3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45957</v>
      </c>
      <c r="B841" t="s">
        <v>48</v>
      </c>
      <c r="C841">
        <v>649163</v>
      </c>
      <c r="D841">
        <v>2026471872</v>
      </c>
      <c r="E841" t="s">
        <v>510</v>
      </c>
      <c r="F841" t="s">
        <v>511</v>
      </c>
      <c r="G841" t="s">
        <v>51</v>
      </c>
      <c r="H841" t="s">
        <v>182</v>
      </c>
      <c r="I841" s="2">
        <v>37.81</v>
      </c>
      <c r="J841" t="s">
        <v>59</v>
      </c>
      <c r="K841" s="3">
        <v>0.6</v>
      </c>
      <c r="L841" s="2">
        <v>0</v>
      </c>
      <c r="M841" s="2">
        <v>22.69</v>
      </c>
      <c r="N841" s="2">
        <v>22.69</v>
      </c>
      <c r="O841" t="s">
        <v>395</v>
      </c>
      <c r="P841" t="s">
        <v>405</v>
      </c>
      <c r="Q841">
        <v>673059</v>
      </c>
      <c r="R841" t="s">
        <v>55</v>
      </c>
      <c r="S841" t="s">
        <v>56</v>
      </c>
      <c r="T841" t="s">
        <v>57</v>
      </c>
      <c r="U841" s="1">
        <v>45689</v>
      </c>
      <c r="W841" s="1">
        <v>45992</v>
      </c>
      <c r="X841">
        <v>1</v>
      </c>
      <c r="Y841" t="s">
        <v>58</v>
      </c>
      <c r="Z841" s="2">
        <v>0</v>
      </c>
      <c r="AA841">
        <v>0</v>
      </c>
      <c r="AB841" t="s">
        <v>60</v>
      </c>
      <c r="AC841" t="s">
        <v>61</v>
      </c>
      <c r="AD841">
        <v>0</v>
      </c>
      <c r="AE841" s="2">
        <v>0</v>
      </c>
      <c r="AF841" s="2">
        <v>0</v>
      </c>
      <c r="AG841" s="3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45957</v>
      </c>
      <c r="B842" t="s">
        <v>48</v>
      </c>
      <c r="C842">
        <v>649163</v>
      </c>
      <c r="D842">
        <v>2026610948</v>
      </c>
      <c r="E842" t="s">
        <v>512</v>
      </c>
      <c r="F842" t="s">
        <v>513</v>
      </c>
      <c r="G842" t="s">
        <v>51</v>
      </c>
      <c r="H842" t="s">
        <v>195</v>
      </c>
      <c r="I842" s="2">
        <v>46.45</v>
      </c>
      <c r="J842" t="s">
        <v>59</v>
      </c>
      <c r="K842" s="3">
        <v>0.6</v>
      </c>
      <c r="L842" s="2">
        <v>0</v>
      </c>
      <c r="M842" s="2">
        <v>27.87</v>
      </c>
      <c r="N842" s="2">
        <v>27.87</v>
      </c>
      <c r="O842" t="s">
        <v>395</v>
      </c>
      <c r="P842" t="s">
        <v>396</v>
      </c>
      <c r="Q842">
        <v>751867</v>
      </c>
      <c r="R842" t="s">
        <v>349</v>
      </c>
      <c r="S842" t="s">
        <v>312</v>
      </c>
      <c r="T842" t="s">
        <v>57</v>
      </c>
      <c r="U842" s="1">
        <v>45689</v>
      </c>
      <c r="W842" s="1">
        <v>45992</v>
      </c>
      <c r="X842">
        <v>1</v>
      </c>
      <c r="Y842" t="s">
        <v>58</v>
      </c>
      <c r="Z842" s="2">
        <v>0</v>
      </c>
      <c r="AA842">
        <v>0</v>
      </c>
      <c r="AB842" t="s">
        <v>60</v>
      </c>
      <c r="AC842" t="s">
        <v>61</v>
      </c>
      <c r="AD842">
        <v>0</v>
      </c>
      <c r="AE842" s="2">
        <v>0</v>
      </c>
      <c r="AF842" s="2">
        <v>0</v>
      </c>
      <c r="AG842" s="3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45957</v>
      </c>
      <c r="B843" t="s">
        <v>48</v>
      </c>
      <c r="C843">
        <v>649163</v>
      </c>
      <c r="D843">
        <v>2026649887</v>
      </c>
      <c r="E843" t="s">
        <v>514</v>
      </c>
      <c r="F843" t="s">
        <v>515</v>
      </c>
      <c r="G843" t="s">
        <v>51</v>
      </c>
      <c r="H843" t="s">
        <v>78</v>
      </c>
      <c r="I843" s="2">
        <v>56.69</v>
      </c>
      <c r="J843" t="s">
        <v>59</v>
      </c>
      <c r="K843" s="3">
        <v>0.6</v>
      </c>
      <c r="L843" s="2">
        <v>0</v>
      </c>
      <c r="M843" s="2">
        <v>34.01</v>
      </c>
      <c r="N843" s="2">
        <v>34.01</v>
      </c>
      <c r="O843" t="s">
        <v>395</v>
      </c>
      <c r="P843" t="s">
        <v>396</v>
      </c>
      <c r="Q843">
        <v>650218</v>
      </c>
      <c r="R843" t="s">
        <v>357</v>
      </c>
      <c r="S843" t="s">
        <v>358</v>
      </c>
      <c r="T843" t="s">
        <v>57</v>
      </c>
      <c r="U843" s="1">
        <v>45689</v>
      </c>
      <c r="W843" s="1">
        <v>45992</v>
      </c>
      <c r="X843">
        <v>1</v>
      </c>
      <c r="Y843" t="s">
        <v>58</v>
      </c>
      <c r="Z843" s="2">
        <v>0</v>
      </c>
      <c r="AA843">
        <v>0</v>
      </c>
      <c r="AB843" t="s">
        <v>60</v>
      </c>
      <c r="AC843" t="s">
        <v>61</v>
      </c>
      <c r="AD843">
        <v>0</v>
      </c>
      <c r="AE843" s="2">
        <v>0</v>
      </c>
      <c r="AF843" s="2">
        <v>0</v>
      </c>
      <c r="AG843" s="3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45957</v>
      </c>
      <c r="B844" t="s">
        <v>48</v>
      </c>
      <c r="C844">
        <v>649163</v>
      </c>
      <c r="D844">
        <v>2026740151</v>
      </c>
      <c r="E844" t="s">
        <v>516</v>
      </c>
      <c r="F844" t="s">
        <v>517</v>
      </c>
      <c r="G844" t="s">
        <v>51</v>
      </c>
      <c r="H844" t="s">
        <v>195</v>
      </c>
      <c r="I844" s="2">
        <v>40.159999999999997</v>
      </c>
      <c r="J844" t="s">
        <v>59</v>
      </c>
      <c r="K844" s="3">
        <v>0.6</v>
      </c>
      <c r="L844" s="2">
        <v>0</v>
      </c>
      <c r="M844" s="2">
        <v>24.1</v>
      </c>
      <c r="N844" s="2">
        <v>24.1</v>
      </c>
      <c r="O844" t="s">
        <v>395</v>
      </c>
      <c r="P844" t="s">
        <v>396</v>
      </c>
      <c r="Q844">
        <v>650218</v>
      </c>
      <c r="R844" t="s">
        <v>357</v>
      </c>
      <c r="S844" t="s">
        <v>358</v>
      </c>
      <c r="T844" t="s">
        <v>57</v>
      </c>
      <c r="U844" s="1">
        <v>45681</v>
      </c>
      <c r="W844" s="1">
        <v>45985</v>
      </c>
      <c r="X844">
        <v>1</v>
      </c>
      <c r="Y844" t="s">
        <v>58</v>
      </c>
      <c r="Z844" s="2">
        <v>0</v>
      </c>
      <c r="AA844">
        <v>0</v>
      </c>
      <c r="AB844" t="s">
        <v>60</v>
      </c>
      <c r="AC844" t="s">
        <v>61</v>
      </c>
      <c r="AD844">
        <v>0</v>
      </c>
      <c r="AE844" s="2">
        <v>0</v>
      </c>
      <c r="AF844" s="2">
        <v>0</v>
      </c>
      <c r="AG844" s="3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45957</v>
      </c>
      <c r="B845" t="s">
        <v>48</v>
      </c>
      <c r="C845">
        <v>649163</v>
      </c>
      <c r="D845">
        <v>2026748270</v>
      </c>
      <c r="E845" t="s">
        <v>518</v>
      </c>
      <c r="F845" t="s">
        <v>519</v>
      </c>
      <c r="G845" t="s">
        <v>51</v>
      </c>
      <c r="H845" t="s">
        <v>195</v>
      </c>
      <c r="I845" s="2">
        <v>71.510000000000005</v>
      </c>
      <c r="J845" t="s">
        <v>59</v>
      </c>
      <c r="K845" s="3">
        <v>0.6</v>
      </c>
      <c r="L845" s="2">
        <v>0</v>
      </c>
      <c r="M845" s="2">
        <v>42.91</v>
      </c>
      <c r="N845" s="2">
        <v>42.91</v>
      </c>
      <c r="O845" t="s">
        <v>395</v>
      </c>
      <c r="P845" t="s">
        <v>396</v>
      </c>
      <c r="Q845">
        <v>649247</v>
      </c>
      <c r="R845" t="s">
        <v>321</v>
      </c>
      <c r="S845" t="s">
        <v>322</v>
      </c>
      <c r="T845" t="s">
        <v>57</v>
      </c>
      <c r="U845" s="1">
        <v>45689</v>
      </c>
      <c r="W845" s="1">
        <v>45992</v>
      </c>
      <c r="X845">
        <v>1</v>
      </c>
      <c r="Y845" t="s">
        <v>58</v>
      </c>
      <c r="Z845" s="2">
        <v>0</v>
      </c>
      <c r="AA845">
        <v>0</v>
      </c>
      <c r="AB845" t="s">
        <v>60</v>
      </c>
      <c r="AC845" t="s">
        <v>61</v>
      </c>
      <c r="AD845">
        <v>0</v>
      </c>
      <c r="AE845" s="2">
        <v>0</v>
      </c>
      <c r="AF845" s="2">
        <v>0</v>
      </c>
      <c r="AG845" s="3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45957</v>
      </c>
      <c r="B846" t="s">
        <v>48</v>
      </c>
      <c r="C846">
        <v>649163</v>
      </c>
      <c r="D846">
        <v>2026848726</v>
      </c>
      <c r="E846" t="s">
        <v>520</v>
      </c>
      <c r="F846" t="s">
        <v>521</v>
      </c>
      <c r="G846" t="s">
        <v>51</v>
      </c>
      <c r="H846" t="s">
        <v>195</v>
      </c>
      <c r="I846" s="2">
        <v>52.69</v>
      </c>
      <c r="J846" t="s">
        <v>59</v>
      </c>
      <c r="K846" s="3">
        <v>0.6</v>
      </c>
      <c r="L846" s="2">
        <v>0</v>
      </c>
      <c r="M846" s="2">
        <v>31.61</v>
      </c>
      <c r="N846" s="2">
        <v>31.61</v>
      </c>
      <c r="O846" t="s">
        <v>395</v>
      </c>
      <c r="P846" t="s">
        <v>396</v>
      </c>
      <c r="Q846">
        <v>751867</v>
      </c>
      <c r="R846" t="s">
        <v>349</v>
      </c>
      <c r="S846" t="s">
        <v>312</v>
      </c>
      <c r="T846" t="s">
        <v>57</v>
      </c>
      <c r="U846" s="1">
        <v>45689</v>
      </c>
      <c r="W846" s="1">
        <v>45992</v>
      </c>
      <c r="X846">
        <v>1</v>
      </c>
      <c r="Y846" t="s">
        <v>58</v>
      </c>
      <c r="Z846" s="2">
        <v>0</v>
      </c>
      <c r="AA846">
        <v>0</v>
      </c>
      <c r="AB846" t="s">
        <v>60</v>
      </c>
      <c r="AC846" t="s">
        <v>61</v>
      </c>
      <c r="AD846">
        <v>0</v>
      </c>
      <c r="AE846" s="2">
        <v>0</v>
      </c>
      <c r="AF846" s="2">
        <v>0</v>
      </c>
      <c r="AG846" s="3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45957</v>
      </c>
      <c r="B847" t="s">
        <v>48</v>
      </c>
      <c r="C847">
        <v>649163</v>
      </c>
      <c r="D847">
        <v>2026874970</v>
      </c>
      <c r="E847" t="s">
        <v>522</v>
      </c>
      <c r="F847" t="s">
        <v>66</v>
      </c>
      <c r="G847" t="s">
        <v>51</v>
      </c>
      <c r="H847" t="s">
        <v>64</v>
      </c>
      <c r="I847" s="2">
        <v>61.53</v>
      </c>
      <c r="J847" t="s">
        <v>59</v>
      </c>
      <c r="K847" s="3">
        <v>0.6</v>
      </c>
      <c r="L847" s="2">
        <v>0</v>
      </c>
      <c r="M847" s="2">
        <v>36.92</v>
      </c>
      <c r="N847" s="2">
        <v>36.92</v>
      </c>
      <c r="O847" t="s">
        <v>395</v>
      </c>
      <c r="P847" t="s">
        <v>396</v>
      </c>
      <c r="Q847">
        <v>751867</v>
      </c>
      <c r="R847" t="s">
        <v>349</v>
      </c>
      <c r="S847" t="s">
        <v>312</v>
      </c>
      <c r="T847" t="s">
        <v>57</v>
      </c>
      <c r="U847" s="1">
        <v>45689</v>
      </c>
      <c r="W847" s="1">
        <v>45992</v>
      </c>
      <c r="X847">
        <v>1</v>
      </c>
      <c r="Y847" t="s">
        <v>58</v>
      </c>
      <c r="Z847" s="2">
        <v>0</v>
      </c>
      <c r="AA847">
        <v>0</v>
      </c>
      <c r="AB847" t="s">
        <v>60</v>
      </c>
      <c r="AC847" t="s">
        <v>61</v>
      </c>
      <c r="AD847">
        <v>0</v>
      </c>
      <c r="AE847" s="2">
        <v>0</v>
      </c>
      <c r="AF847" s="2">
        <v>0</v>
      </c>
      <c r="AG847" s="3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45957</v>
      </c>
      <c r="B848" t="s">
        <v>48</v>
      </c>
      <c r="C848">
        <v>649163</v>
      </c>
      <c r="D848">
        <v>2027665174</v>
      </c>
      <c r="E848" t="s">
        <v>523</v>
      </c>
      <c r="F848" t="s">
        <v>524</v>
      </c>
      <c r="G848" t="s">
        <v>51</v>
      </c>
      <c r="H848" t="s">
        <v>52</v>
      </c>
      <c r="I848" s="2">
        <v>46.45</v>
      </c>
      <c r="J848" t="s">
        <v>59</v>
      </c>
      <c r="K848" s="3">
        <v>0.6</v>
      </c>
      <c r="L848" s="2">
        <v>0</v>
      </c>
      <c r="M848" s="2">
        <v>27.87</v>
      </c>
      <c r="N848" s="2">
        <v>27.87</v>
      </c>
      <c r="O848" t="s">
        <v>395</v>
      </c>
      <c r="P848" t="s">
        <v>396</v>
      </c>
      <c r="Q848">
        <v>751867</v>
      </c>
      <c r="R848" t="s">
        <v>349</v>
      </c>
      <c r="S848" t="s">
        <v>312</v>
      </c>
      <c r="T848" t="s">
        <v>57</v>
      </c>
      <c r="U848" s="1">
        <v>45748</v>
      </c>
      <c r="W848" s="1">
        <v>45992</v>
      </c>
      <c r="X848">
        <v>1</v>
      </c>
      <c r="Y848" t="s">
        <v>58</v>
      </c>
      <c r="Z848" s="2">
        <v>0</v>
      </c>
      <c r="AA848">
        <v>0</v>
      </c>
      <c r="AB848" t="s">
        <v>60</v>
      </c>
      <c r="AC848" t="s">
        <v>61</v>
      </c>
      <c r="AD848">
        <v>0</v>
      </c>
      <c r="AE848" s="2">
        <v>0</v>
      </c>
      <c r="AF848" s="2">
        <v>0</v>
      </c>
      <c r="AG848" s="3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45957</v>
      </c>
      <c r="B849" t="s">
        <v>48</v>
      </c>
      <c r="C849">
        <v>649163</v>
      </c>
      <c r="D849">
        <v>2027740289</v>
      </c>
      <c r="E849" t="s">
        <v>525</v>
      </c>
      <c r="F849" t="s">
        <v>62</v>
      </c>
      <c r="G849" t="s">
        <v>51</v>
      </c>
      <c r="H849" t="s">
        <v>195</v>
      </c>
      <c r="I849" s="2">
        <v>69.260000000000005</v>
      </c>
      <c r="J849" t="s">
        <v>59</v>
      </c>
      <c r="K849" s="3">
        <v>0.6</v>
      </c>
      <c r="L849" s="2">
        <v>0</v>
      </c>
      <c r="M849" s="2">
        <v>41.56</v>
      </c>
      <c r="N849" s="2">
        <v>41.56</v>
      </c>
      <c r="O849" t="s">
        <v>395</v>
      </c>
      <c r="P849" t="s">
        <v>405</v>
      </c>
      <c r="Q849">
        <v>649247</v>
      </c>
      <c r="R849" t="s">
        <v>321</v>
      </c>
      <c r="S849" t="s">
        <v>322</v>
      </c>
      <c r="T849" t="s">
        <v>57</v>
      </c>
      <c r="U849" s="1">
        <v>45748</v>
      </c>
      <c r="W849" s="1">
        <v>45992</v>
      </c>
      <c r="X849">
        <v>1</v>
      </c>
      <c r="Y849" t="s">
        <v>58</v>
      </c>
      <c r="Z849" s="2">
        <v>0</v>
      </c>
      <c r="AA849">
        <v>0</v>
      </c>
      <c r="AB849" t="s">
        <v>60</v>
      </c>
      <c r="AC849" t="s">
        <v>61</v>
      </c>
      <c r="AD849">
        <v>0</v>
      </c>
      <c r="AE849" s="2">
        <v>0</v>
      </c>
      <c r="AF849" s="2">
        <v>0</v>
      </c>
      <c r="AG849" s="3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45957</v>
      </c>
      <c r="B850" t="s">
        <v>48</v>
      </c>
      <c r="C850">
        <v>649163</v>
      </c>
      <c r="D850">
        <v>2027745346</v>
      </c>
      <c r="E850" t="s">
        <v>526</v>
      </c>
      <c r="F850" t="s">
        <v>527</v>
      </c>
      <c r="G850" t="s">
        <v>51</v>
      </c>
      <c r="H850" t="s">
        <v>276</v>
      </c>
      <c r="I850" s="2">
        <v>90.95</v>
      </c>
      <c r="J850" t="s">
        <v>59</v>
      </c>
      <c r="K850" s="3">
        <v>0.6</v>
      </c>
      <c r="L850" s="2">
        <v>0</v>
      </c>
      <c r="M850" s="2">
        <v>54.57</v>
      </c>
      <c r="N850" s="2">
        <v>54.57</v>
      </c>
      <c r="O850" t="s">
        <v>395</v>
      </c>
      <c r="P850" t="s">
        <v>411</v>
      </c>
      <c r="Q850">
        <v>673059</v>
      </c>
      <c r="R850" t="s">
        <v>55</v>
      </c>
      <c r="S850" t="s">
        <v>56</v>
      </c>
      <c r="T850" t="s">
        <v>57</v>
      </c>
      <c r="U850" s="1">
        <v>45748</v>
      </c>
      <c r="W850" s="1">
        <v>45992</v>
      </c>
      <c r="X850">
        <v>1</v>
      </c>
      <c r="Y850" t="s">
        <v>58</v>
      </c>
      <c r="Z850" s="2">
        <v>0</v>
      </c>
      <c r="AA850">
        <v>0</v>
      </c>
      <c r="AB850" t="s">
        <v>60</v>
      </c>
      <c r="AC850" t="s">
        <v>61</v>
      </c>
      <c r="AD850">
        <v>0</v>
      </c>
      <c r="AE850" s="2">
        <v>0</v>
      </c>
      <c r="AF850" s="2">
        <v>0</v>
      </c>
      <c r="AG850" s="3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45957</v>
      </c>
      <c r="B851" t="s">
        <v>48</v>
      </c>
      <c r="C851">
        <v>649163</v>
      </c>
      <c r="D851">
        <v>2027762075</v>
      </c>
      <c r="E851" t="s">
        <v>528</v>
      </c>
      <c r="F851" t="s">
        <v>529</v>
      </c>
      <c r="G851" t="s">
        <v>51</v>
      </c>
      <c r="H851" t="s">
        <v>195</v>
      </c>
      <c r="I851" s="2">
        <v>62.54</v>
      </c>
      <c r="J851" t="s">
        <v>59</v>
      </c>
      <c r="K851" s="3">
        <v>0.6</v>
      </c>
      <c r="L851" s="2">
        <v>0</v>
      </c>
      <c r="M851" s="2">
        <v>37.520000000000003</v>
      </c>
      <c r="N851" s="2">
        <v>37.520000000000003</v>
      </c>
      <c r="O851" t="s">
        <v>395</v>
      </c>
      <c r="P851" t="s">
        <v>396</v>
      </c>
      <c r="Q851">
        <v>751867</v>
      </c>
      <c r="R851" t="s">
        <v>349</v>
      </c>
      <c r="S851" t="s">
        <v>312</v>
      </c>
      <c r="T851" t="s">
        <v>57</v>
      </c>
      <c r="U851" s="1">
        <v>45748</v>
      </c>
      <c r="W851" s="1">
        <v>45992</v>
      </c>
      <c r="X851">
        <v>1</v>
      </c>
      <c r="Y851" t="s">
        <v>58</v>
      </c>
      <c r="Z851" s="2">
        <v>0</v>
      </c>
      <c r="AA851">
        <v>0</v>
      </c>
      <c r="AB851" t="s">
        <v>60</v>
      </c>
      <c r="AC851" t="s">
        <v>61</v>
      </c>
      <c r="AD851">
        <v>0</v>
      </c>
      <c r="AE851" s="2">
        <v>0</v>
      </c>
      <c r="AF851" s="2">
        <v>0</v>
      </c>
      <c r="AG851" s="3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45957</v>
      </c>
      <c r="B852" t="s">
        <v>48</v>
      </c>
      <c r="C852">
        <v>649163</v>
      </c>
      <c r="D852">
        <v>2028015540</v>
      </c>
      <c r="E852" t="s">
        <v>530</v>
      </c>
      <c r="F852" t="s">
        <v>156</v>
      </c>
      <c r="G852" t="s">
        <v>51</v>
      </c>
      <c r="H852" t="s">
        <v>195</v>
      </c>
      <c r="I852" s="2">
        <v>92.55</v>
      </c>
      <c r="J852" t="s">
        <v>59</v>
      </c>
      <c r="K852" s="3">
        <v>0.6</v>
      </c>
      <c r="L852" s="2">
        <v>0</v>
      </c>
      <c r="M852" s="2">
        <v>55.53</v>
      </c>
      <c r="N852" s="2">
        <v>55.53</v>
      </c>
      <c r="O852" t="s">
        <v>395</v>
      </c>
      <c r="P852" t="s">
        <v>396</v>
      </c>
      <c r="Q852">
        <v>649164</v>
      </c>
      <c r="R852" t="s">
        <v>313</v>
      </c>
      <c r="S852" t="s">
        <v>314</v>
      </c>
      <c r="T852" t="s">
        <v>57</v>
      </c>
      <c r="U852" s="1">
        <v>45748</v>
      </c>
      <c r="W852" s="1">
        <v>45992</v>
      </c>
      <c r="X852">
        <v>1</v>
      </c>
      <c r="Y852" t="s">
        <v>58</v>
      </c>
      <c r="Z852" s="2">
        <v>0</v>
      </c>
      <c r="AA852">
        <v>0</v>
      </c>
      <c r="AB852" t="s">
        <v>60</v>
      </c>
      <c r="AC852" t="s">
        <v>61</v>
      </c>
      <c r="AD852">
        <v>0</v>
      </c>
      <c r="AE852" s="2">
        <v>0</v>
      </c>
      <c r="AF852" s="2">
        <v>0</v>
      </c>
      <c r="AG852" s="3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45957</v>
      </c>
      <c r="B853" t="s">
        <v>48</v>
      </c>
      <c r="C853">
        <v>649163</v>
      </c>
      <c r="D853">
        <v>2028028178</v>
      </c>
      <c r="E853" t="s">
        <v>531</v>
      </c>
      <c r="F853" t="s">
        <v>532</v>
      </c>
      <c r="G853" t="s">
        <v>51</v>
      </c>
      <c r="H853" t="s">
        <v>195</v>
      </c>
      <c r="I853" s="2">
        <v>36.159999999999997</v>
      </c>
      <c r="J853" t="s">
        <v>59</v>
      </c>
      <c r="K853" s="3">
        <v>0.6</v>
      </c>
      <c r="L853" s="2">
        <v>0</v>
      </c>
      <c r="M853" s="2">
        <v>21.7</v>
      </c>
      <c r="N853" s="2">
        <v>21.7</v>
      </c>
      <c r="O853" t="s">
        <v>395</v>
      </c>
      <c r="P853" t="s">
        <v>396</v>
      </c>
      <c r="Q853">
        <v>823068</v>
      </c>
      <c r="R853" t="s">
        <v>120</v>
      </c>
      <c r="S853" t="s">
        <v>121</v>
      </c>
      <c r="T853" t="s">
        <v>57</v>
      </c>
      <c r="U853" s="1">
        <v>45748</v>
      </c>
      <c r="W853" s="1">
        <v>45992</v>
      </c>
      <c r="X853">
        <v>1</v>
      </c>
      <c r="Y853" t="s">
        <v>58</v>
      </c>
      <c r="Z853" s="2">
        <v>0</v>
      </c>
      <c r="AA853">
        <v>0</v>
      </c>
      <c r="AB853" t="s">
        <v>60</v>
      </c>
      <c r="AC853" t="s">
        <v>61</v>
      </c>
      <c r="AD853">
        <v>0</v>
      </c>
      <c r="AE853" s="2">
        <v>0</v>
      </c>
      <c r="AF853" s="2">
        <v>0</v>
      </c>
      <c r="AG853" s="3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45957</v>
      </c>
      <c r="B854" t="s">
        <v>48</v>
      </c>
      <c r="C854">
        <v>649163</v>
      </c>
      <c r="D854">
        <v>2028048849</v>
      </c>
      <c r="E854" t="s">
        <v>533</v>
      </c>
      <c r="F854" t="s">
        <v>110</v>
      </c>
      <c r="G854" t="s">
        <v>51</v>
      </c>
      <c r="H854" t="s">
        <v>247</v>
      </c>
      <c r="I854" s="2">
        <v>46.45</v>
      </c>
      <c r="J854" t="s">
        <v>59</v>
      </c>
      <c r="K854" s="3">
        <v>0.6</v>
      </c>
      <c r="L854" s="2">
        <v>0</v>
      </c>
      <c r="M854" s="2">
        <v>27.87</v>
      </c>
      <c r="N854" s="2">
        <v>27.87</v>
      </c>
      <c r="O854" t="s">
        <v>395</v>
      </c>
      <c r="P854" t="s">
        <v>396</v>
      </c>
      <c r="Q854">
        <v>751867</v>
      </c>
      <c r="R854" t="s">
        <v>349</v>
      </c>
      <c r="S854" t="s">
        <v>312</v>
      </c>
      <c r="T854" t="s">
        <v>57</v>
      </c>
      <c r="U854" s="1">
        <v>45748</v>
      </c>
      <c r="W854" s="1">
        <v>45992</v>
      </c>
      <c r="X854">
        <v>1</v>
      </c>
      <c r="Y854" t="s">
        <v>58</v>
      </c>
      <c r="Z854" s="2">
        <v>0</v>
      </c>
      <c r="AA854">
        <v>0</v>
      </c>
      <c r="AB854" t="s">
        <v>60</v>
      </c>
      <c r="AC854" t="s">
        <v>61</v>
      </c>
      <c r="AD854">
        <v>0</v>
      </c>
      <c r="AE854" s="2">
        <v>0</v>
      </c>
      <c r="AF854" s="2">
        <v>0</v>
      </c>
      <c r="AG854" s="3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45957</v>
      </c>
      <c r="B855" t="s">
        <v>48</v>
      </c>
      <c r="C855">
        <v>649163</v>
      </c>
      <c r="D855">
        <v>2028320246</v>
      </c>
      <c r="E855" t="s">
        <v>534</v>
      </c>
      <c r="F855" t="s">
        <v>535</v>
      </c>
      <c r="G855" t="s">
        <v>51</v>
      </c>
      <c r="H855" t="s">
        <v>190</v>
      </c>
      <c r="I855" s="2">
        <v>68.52</v>
      </c>
      <c r="J855" t="s">
        <v>59</v>
      </c>
      <c r="K855" s="3">
        <v>0.6</v>
      </c>
      <c r="L855" s="2">
        <v>0</v>
      </c>
      <c r="M855" s="2">
        <v>41.11</v>
      </c>
      <c r="N855" s="2">
        <v>41.11</v>
      </c>
      <c r="O855" t="s">
        <v>395</v>
      </c>
      <c r="P855" t="s">
        <v>411</v>
      </c>
      <c r="Q855">
        <v>823350</v>
      </c>
      <c r="R855" t="s">
        <v>70</v>
      </c>
      <c r="S855" t="s">
        <v>183</v>
      </c>
      <c r="T855" t="s">
        <v>57</v>
      </c>
      <c r="U855" s="1">
        <v>45772</v>
      </c>
      <c r="W855" s="1">
        <v>45986</v>
      </c>
      <c r="X855">
        <v>1</v>
      </c>
      <c r="Y855" t="s">
        <v>58</v>
      </c>
      <c r="Z855" s="2">
        <v>0</v>
      </c>
      <c r="AA855">
        <v>0</v>
      </c>
      <c r="AB855" t="s">
        <v>60</v>
      </c>
      <c r="AC855" t="s">
        <v>61</v>
      </c>
      <c r="AD855">
        <v>0</v>
      </c>
      <c r="AE855" s="2">
        <v>0</v>
      </c>
      <c r="AF855" s="2">
        <v>0</v>
      </c>
      <c r="AG855" s="3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45957</v>
      </c>
      <c r="B856" t="s">
        <v>48</v>
      </c>
      <c r="C856">
        <v>649163</v>
      </c>
      <c r="D856">
        <v>2028448244</v>
      </c>
      <c r="E856" t="s">
        <v>536</v>
      </c>
      <c r="F856" t="s">
        <v>537</v>
      </c>
      <c r="G856" t="s">
        <v>51</v>
      </c>
      <c r="H856" t="s">
        <v>179</v>
      </c>
      <c r="I856" s="2">
        <v>41.73</v>
      </c>
      <c r="J856" t="s">
        <v>59</v>
      </c>
      <c r="K856" s="3">
        <v>0.6</v>
      </c>
      <c r="L856" s="2">
        <v>0</v>
      </c>
      <c r="M856" s="2">
        <v>25.04</v>
      </c>
      <c r="N856" s="2">
        <v>25.04</v>
      </c>
      <c r="O856" t="s">
        <v>395</v>
      </c>
      <c r="P856" t="s">
        <v>405</v>
      </c>
      <c r="Q856">
        <v>673059</v>
      </c>
      <c r="R856" t="s">
        <v>55</v>
      </c>
      <c r="S856" t="s">
        <v>56</v>
      </c>
      <c r="T856" t="s">
        <v>57</v>
      </c>
      <c r="U856" s="1">
        <v>45809</v>
      </c>
      <c r="W856" s="1">
        <v>45992</v>
      </c>
      <c r="X856">
        <v>1</v>
      </c>
      <c r="Y856" t="s">
        <v>58</v>
      </c>
      <c r="Z856" s="2">
        <v>0</v>
      </c>
      <c r="AA856">
        <v>0</v>
      </c>
      <c r="AB856" t="s">
        <v>60</v>
      </c>
      <c r="AC856" t="s">
        <v>61</v>
      </c>
      <c r="AD856">
        <v>0</v>
      </c>
      <c r="AE856" s="2">
        <v>0</v>
      </c>
      <c r="AF856" s="2">
        <v>0</v>
      </c>
      <c r="AG856" s="3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45957</v>
      </c>
      <c r="B857" t="s">
        <v>48</v>
      </c>
      <c r="C857">
        <v>649163</v>
      </c>
      <c r="D857">
        <v>2028565272</v>
      </c>
      <c r="E857" t="s">
        <v>538</v>
      </c>
      <c r="F857" t="s">
        <v>539</v>
      </c>
      <c r="G857" t="s">
        <v>51</v>
      </c>
      <c r="H857" t="s">
        <v>190</v>
      </c>
      <c r="I857" s="2">
        <v>52.69</v>
      </c>
      <c r="J857" t="s">
        <v>59</v>
      </c>
      <c r="K857" s="3">
        <v>0.6</v>
      </c>
      <c r="L857" s="2">
        <v>31.61</v>
      </c>
      <c r="M857" s="2">
        <v>0</v>
      </c>
      <c r="N857" s="2">
        <v>0</v>
      </c>
      <c r="O857" t="s">
        <v>395</v>
      </c>
      <c r="P857" t="s">
        <v>396</v>
      </c>
      <c r="Q857">
        <v>673059</v>
      </c>
      <c r="R857" t="s">
        <v>55</v>
      </c>
      <c r="S857" t="s">
        <v>56</v>
      </c>
      <c r="T857" t="s">
        <v>57</v>
      </c>
      <c r="U857" s="1">
        <v>45809</v>
      </c>
      <c r="W857" s="1">
        <v>45992</v>
      </c>
      <c r="X857">
        <v>1</v>
      </c>
      <c r="Y857" t="s">
        <v>58</v>
      </c>
      <c r="Z857" s="2">
        <v>0</v>
      </c>
      <c r="AA857">
        <v>0</v>
      </c>
      <c r="AB857" t="s">
        <v>60</v>
      </c>
      <c r="AC857" t="s">
        <v>61</v>
      </c>
      <c r="AD857">
        <v>0</v>
      </c>
      <c r="AE857" s="2">
        <v>0</v>
      </c>
      <c r="AF857" s="2">
        <v>0</v>
      </c>
      <c r="AG857" s="3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45957</v>
      </c>
      <c r="B858" t="s">
        <v>48</v>
      </c>
      <c r="C858">
        <v>649163</v>
      </c>
      <c r="D858">
        <v>2028584436</v>
      </c>
      <c r="E858" t="s">
        <v>540</v>
      </c>
      <c r="F858" t="s">
        <v>541</v>
      </c>
      <c r="G858" t="s">
        <v>51</v>
      </c>
      <c r="H858" t="s">
        <v>195</v>
      </c>
      <c r="I858" s="2">
        <v>52.69</v>
      </c>
      <c r="J858" t="s">
        <v>59</v>
      </c>
      <c r="K858" s="3">
        <v>0.6</v>
      </c>
      <c r="L858" s="2">
        <v>0</v>
      </c>
      <c r="M858" s="2">
        <v>31.61</v>
      </c>
      <c r="N858" s="2">
        <v>31.61</v>
      </c>
      <c r="O858" t="s">
        <v>395</v>
      </c>
      <c r="P858" t="s">
        <v>396</v>
      </c>
      <c r="Q858">
        <v>649247</v>
      </c>
      <c r="R858" t="s">
        <v>321</v>
      </c>
      <c r="S858" t="s">
        <v>322</v>
      </c>
      <c r="T858" t="s">
        <v>57</v>
      </c>
      <c r="U858" s="1">
        <v>45778</v>
      </c>
      <c r="W858" s="1">
        <v>45962</v>
      </c>
      <c r="X858">
        <v>1</v>
      </c>
      <c r="Y858" t="s">
        <v>58</v>
      </c>
      <c r="Z858" s="2">
        <v>0</v>
      </c>
      <c r="AA858">
        <v>0</v>
      </c>
      <c r="AB858" t="s">
        <v>60</v>
      </c>
      <c r="AC858" t="s">
        <v>61</v>
      </c>
      <c r="AD858">
        <v>0</v>
      </c>
      <c r="AE858" s="2">
        <v>0</v>
      </c>
      <c r="AF858" s="2">
        <v>0</v>
      </c>
      <c r="AG858" s="3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45957</v>
      </c>
      <c r="B859" t="s">
        <v>48</v>
      </c>
      <c r="C859">
        <v>649163</v>
      </c>
      <c r="D859">
        <v>2028774422</v>
      </c>
      <c r="E859" t="s">
        <v>542</v>
      </c>
      <c r="F859" t="s">
        <v>543</v>
      </c>
      <c r="G859" t="s">
        <v>51</v>
      </c>
      <c r="H859" t="s">
        <v>179</v>
      </c>
      <c r="I859" s="2">
        <v>42.18</v>
      </c>
      <c r="J859" t="s">
        <v>59</v>
      </c>
      <c r="K859" s="3">
        <v>0.6</v>
      </c>
      <c r="L859" s="2">
        <v>0</v>
      </c>
      <c r="M859" s="2">
        <v>25.31</v>
      </c>
      <c r="N859" s="2">
        <v>25.31</v>
      </c>
      <c r="O859" t="s">
        <v>395</v>
      </c>
      <c r="P859" t="s">
        <v>396</v>
      </c>
      <c r="Q859">
        <v>673059</v>
      </c>
      <c r="R859" t="s">
        <v>55</v>
      </c>
      <c r="S859" t="s">
        <v>56</v>
      </c>
      <c r="T859" t="s">
        <v>57</v>
      </c>
      <c r="U859" s="1">
        <v>45809</v>
      </c>
      <c r="W859" s="1">
        <v>45992</v>
      </c>
      <c r="X859">
        <v>1</v>
      </c>
      <c r="Y859" t="s">
        <v>58</v>
      </c>
      <c r="Z859" s="2">
        <v>0</v>
      </c>
      <c r="AA859">
        <v>0</v>
      </c>
      <c r="AB859" t="s">
        <v>60</v>
      </c>
      <c r="AC859" t="s">
        <v>61</v>
      </c>
      <c r="AD859">
        <v>0</v>
      </c>
      <c r="AE859" s="2">
        <v>0</v>
      </c>
      <c r="AF859" s="2">
        <v>0</v>
      </c>
      <c r="AG859" s="3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45957</v>
      </c>
      <c r="B860" t="s">
        <v>48</v>
      </c>
      <c r="C860">
        <v>649163</v>
      </c>
      <c r="D860">
        <v>2028837568</v>
      </c>
      <c r="E860" t="s">
        <v>485</v>
      </c>
      <c r="F860" t="s">
        <v>544</v>
      </c>
      <c r="G860" t="s">
        <v>51</v>
      </c>
      <c r="H860" t="s">
        <v>78</v>
      </c>
      <c r="I860" s="2">
        <v>40.159999999999997</v>
      </c>
      <c r="J860" t="s">
        <v>59</v>
      </c>
      <c r="K860" s="3">
        <v>0.6</v>
      </c>
      <c r="L860" s="2">
        <v>0</v>
      </c>
      <c r="M860" s="2">
        <v>24.1</v>
      </c>
      <c r="N860" s="2">
        <v>24.1</v>
      </c>
      <c r="O860" t="s">
        <v>395</v>
      </c>
      <c r="P860" t="s">
        <v>396</v>
      </c>
      <c r="Q860">
        <v>751867</v>
      </c>
      <c r="R860" t="s">
        <v>349</v>
      </c>
      <c r="S860" t="s">
        <v>312</v>
      </c>
      <c r="T860" t="s">
        <v>57</v>
      </c>
      <c r="U860" s="1">
        <v>45809</v>
      </c>
      <c r="W860" s="1">
        <v>45992</v>
      </c>
      <c r="X860">
        <v>1</v>
      </c>
      <c r="Y860" t="s">
        <v>58</v>
      </c>
      <c r="Z860" s="2">
        <v>0</v>
      </c>
      <c r="AA860">
        <v>0</v>
      </c>
      <c r="AB860" t="s">
        <v>60</v>
      </c>
      <c r="AC860" t="s">
        <v>61</v>
      </c>
      <c r="AD860">
        <v>0</v>
      </c>
      <c r="AE860" s="2">
        <v>0</v>
      </c>
      <c r="AF860" s="2">
        <v>0</v>
      </c>
      <c r="AG860" s="3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45957</v>
      </c>
      <c r="B861" t="s">
        <v>48</v>
      </c>
      <c r="C861">
        <v>649163</v>
      </c>
      <c r="D861">
        <v>2028934222</v>
      </c>
      <c r="E861" t="s">
        <v>545</v>
      </c>
      <c r="F861" t="s">
        <v>546</v>
      </c>
      <c r="G861" t="s">
        <v>51</v>
      </c>
      <c r="H861" t="s">
        <v>190</v>
      </c>
      <c r="I861" s="2">
        <v>152.6</v>
      </c>
      <c r="J861" t="s">
        <v>59</v>
      </c>
      <c r="K861" s="3">
        <v>0.6</v>
      </c>
      <c r="L861" s="2">
        <v>91.56</v>
      </c>
      <c r="M861" s="2">
        <v>0</v>
      </c>
      <c r="N861" s="2">
        <v>0</v>
      </c>
      <c r="O861" t="s">
        <v>395</v>
      </c>
      <c r="P861" t="s">
        <v>411</v>
      </c>
      <c r="Q861">
        <v>673059</v>
      </c>
      <c r="R861" t="s">
        <v>55</v>
      </c>
      <c r="S861" t="s">
        <v>56</v>
      </c>
      <c r="T861" t="s">
        <v>57</v>
      </c>
      <c r="U861" s="1">
        <v>45809</v>
      </c>
      <c r="W861" s="1">
        <v>45992</v>
      </c>
      <c r="X861">
        <v>1</v>
      </c>
      <c r="Y861" t="s">
        <v>58</v>
      </c>
      <c r="Z861" s="2">
        <v>0</v>
      </c>
      <c r="AA861">
        <v>0</v>
      </c>
      <c r="AB861" t="s">
        <v>60</v>
      </c>
      <c r="AC861" t="s">
        <v>61</v>
      </c>
      <c r="AD861">
        <v>0</v>
      </c>
      <c r="AE861" s="2">
        <v>0</v>
      </c>
      <c r="AF861" s="2">
        <v>0</v>
      </c>
      <c r="AG861" s="3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45957</v>
      </c>
      <c r="B862" t="s">
        <v>48</v>
      </c>
      <c r="C862">
        <v>649163</v>
      </c>
      <c r="D862">
        <v>2029202228</v>
      </c>
      <c r="E862" t="s">
        <v>547</v>
      </c>
      <c r="F862" t="s">
        <v>548</v>
      </c>
      <c r="G862" t="s">
        <v>51</v>
      </c>
      <c r="H862" t="s">
        <v>195</v>
      </c>
      <c r="I862" s="2">
        <v>52.69</v>
      </c>
      <c r="J862" t="s">
        <v>59</v>
      </c>
      <c r="K862" s="3">
        <v>0.6</v>
      </c>
      <c r="L862" s="2">
        <v>31.61</v>
      </c>
      <c r="M862" s="2">
        <v>0</v>
      </c>
      <c r="N862" s="2">
        <v>0</v>
      </c>
      <c r="O862" t="s">
        <v>395</v>
      </c>
      <c r="P862" t="s">
        <v>396</v>
      </c>
      <c r="Q862">
        <v>649247</v>
      </c>
      <c r="R862" t="s">
        <v>321</v>
      </c>
      <c r="S862" t="s">
        <v>322</v>
      </c>
      <c r="T862" t="s">
        <v>57</v>
      </c>
      <c r="U862" s="1">
        <v>45809</v>
      </c>
      <c r="W862" s="1">
        <v>45992</v>
      </c>
      <c r="X862">
        <v>1</v>
      </c>
      <c r="Y862" t="s">
        <v>58</v>
      </c>
      <c r="Z862" s="2">
        <v>0</v>
      </c>
      <c r="AA862">
        <v>0</v>
      </c>
      <c r="AB862" t="s">
        <v>60</v>
      </c>
      <c r="AC862" t="s">
        <v>61</v>
      </c>
      <c r="AD862">
        <v>0</v>
      </c>
      <c r="AE862" s="2">
        <v>0</v>
      </c>
      <c r="AF862" s="2">
        <v>0</v>
      </c>
      <c r="AG862" s="3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45957</v>
      </c>
      <c r="B863" t="s">
        <v>48</v>
      </c>
      <c r="C863">
        <v>649163</v>
      </c>
      <c r="D863">
        <v>2029207836</v>
      </c>
      <c r="E863" t="s">
        <v>549</v>
      </c>
      <c r="F863" t="s">
        <v>550</v>
      </c>
      <c r="G863" t="s">
        <v>51</v>
      </c>
      <c r="H863" t="s">
        <v>195</v>
      </c>
      <c r="I863" s="2">
        <v>71.510000000000005</v>
      </c>
      <c r="J863" t="s">
        <v>59</v>
      </c>
      <c r="K863" s="3">
        <v>0.6</v>
      </c>
      <c r="L863" s="2">
        <v>42.91</v>
      </c>
      <c r="M863" s="2">
        <v>0</v>
      </c>
      <c r="N863" s="2">
        <v>0</v>
      </c>
      <c r="O863" t="s">
        <v>395</v>
      </c>
      <c r="P863" t="s">
        <v>396</v>
      </c>
      <c r="Q863">
        <v>649247</v>
      </c>
      <c r="R863" t="s">
        <v>321</v>
      </c>
      <c r="S863" t="s">
        <v>322</v>
      </c>
      <c r="T863" t="s">
        <v>57</v>
      </c>
      <c r="U863" s="1">
        <v>45809</v>
      </c>
      <c r="W863" s="1">
        <v>45992</v>
      </c>
      <c r="X863">
        <v>1</v>
      </c>
      <c r="Y863" t="s">
        <v>58</v>
      </c>
      <c r="Z863" s="2">
        <v>0</v>
      </c>
      <c r="AA863">
        <v>0</v>
      </c>
      <c r="AB863" t="s">
        <v>60</v>
      </c>
      <c r="AC863" t="s">
        <v>61</v>
      </c>
      <c r="AD863">
        <v>0</v>
      </c>
      <c r="AE863" s="2">
        <v>0</v>
      </c>
      <c r="AF863" s="2">
        <v>0</v>
      </c>
      <c r="AG863" s="3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45957</v>
      </c>
      <c r="B864" t="s">
        <v>48</v>
      </c>
      <c r="C864">
        <v>649163</v>
      </c>
      <c r="D864">
        <v>2029877051</v>
      </c>
      <c r="E864" t="s">
        <v>551</v>
      </c>
      <c r="F864" t="s">
        <v>552</v>
      </c>
      <c r="G864" t="s">
        <v>51</v>
      </c>
      <c r="H864" t="s">
        <v>129</v>
      </c>
      <c r="I864" s="2">
        <v>54.66</v>
      </c>
      <c r="J864" t="s">
        <v>59</v>
      </c>
      <c r="K864" s="3">
        <v>0.6</v>
      </c>
      <c r="L864" s="2">
        <v>32.799999999999997</v>
      </c>
      <c r="M864" s="2">
        <v>0</v>
      </c>
      <c r="N864" s="2">
        <v>0</v>
      </c>
      <c r="O864" t="s">
        <v>395</v>
      </c>
      <c r="P864" t="s">
        <v>396</v>
      </c>
      <c r="Q864">
        <v>673059</v>
      </c>
      <c r="R864" t="s">
        <v>55</v>
      </c>
      <c r="S864" t="s">
        <v>56</v>
      </c>
      <c r="T864" t="s">
        <v>57</v>
      </c>
      <c r="U864" s="1">
        <v>45901</v>
      </c>
      <c r="W864" s="1">
        <v>45992</v>
      </c>
      <c r="X864">
        <v>1</v>
      </c>
      <c r="Y864" t="s">
        <v>58</v>
      </c>
      <c r="Z864" s="2">
        <v>0</v>
      </c>
      <c r="AA864">
        <v>0</v>
      </c>
      <c r="AB864" t="s">
        <v>60</v>
      </c>
      <c r="AC864" t="s">
        <v>61</v>
      </c>
      <c r="AD864">
        <v>0</v>
      </c>
      <c r="AE864" s="2">
        <v>0</v>
      </c>
      <c r="AF864" s="2">
        <v>0</v>
      </c>
      <c r="AG864" s="3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45957</v>
      </c>
      <c r="B865" t="s">
        <v>48</v>
      </c>
      <c r="C865">
        <v>649163</v>
      </c>
      <c r="D865">
        <v>2030400631</v>
      </c>
      <c r="E865" t="s">
        <v>553</v>
      </c>
      <c r="F865" t="s">
        <v>554</v>
      </c>
      <c r="G865" t="s">
        <v>51</v>
      </c>
      <c r="H865" t="s">
        <v>555</v>
      </c>
      <c r="I865" s="2">
        <v>71.510000000000005</v>
      </c>
      <c r="J865" t="s">
        <v>59</v>
      </c>
      <c r="K865" s="3">
        <v>0.6</v>
      </c>
      <c r="L865" s="2">
        <v>42.91</v>
      </c>
      <c r="M865" s="2">
        <v>0</v>
      </c>
      <c r="N865" s="2">
        <v>0</v>
      </c>
      <c r="O865" t="s">
        <v>395</v>
      </c>
      <c r="P865" t="s">
        <v>396</v>
      </c>
      <c r="Q865">
        <v>650218</v>
      </c>
      <c r="R865" t="s">
        <v>357</v>
      </c>
      <c r="S865" t="s">
        <v>358</v>
      </c>
      <c r="T865" t="s">
        <v>57</v>
      </c>
      <c r="U865" s="1">
        <v>45901</v>
      </c>
      <c r="W865" s="1">
        <v>45992</v>
      </c>
      <c r="X865">
        <v>1</v>
      </c>
      <c r="Y865" t="s">
        <v>58</v>
      </c>
      <c r="Z865" s="2">
        <v>0</v>
      </c>
      <c r="AA865">
        <v>0</v>
      </c>
      <c r="AB865" t="s">
        <v>60</v>
      </c>
      <c r="AC865" t="s">
        <v>61</v>
      </c>
      <c r="AD865">
        <v>0</v>
      </c>
      <c r="AE865" s="2">
        <v>0</v>
      </c>
      <c r="AF865" s="2">
        <v>0</v>
      </c>
      <c r="AG865" s="3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45957</v>
      </c>
      <c r="B866" t="s">
        <v>48</v>
      </c>
      <c r="C866">
        <v>649163</v>
      </c>
      <c r="D866">
        <v>2030693610</v>
      </c>
      <c r="E866" t="s">
        <v>314</v>
      </c>
      <c r="F866" t="s">
        <v>556</v>
      </c>
      <c r="G866" t="s">
        <v>51</v>
      </c>
      <c r="H866" t="s">
        <v>195</v>
      </c>
      <c r="I866" s="2">
        <v>41.81</v>
      </c>
      <c r="J866" t="s">
        <v>59</v>
      </c>
      <c r="K866" s="3">
        <v>0.6</v>
      </c>
      <c r="L866" s="2">
        <v>25.09</v>
      </c>
      <c r="M866" s="2">
        <v>0</v>
      </c>
      <c r="N866" s="2">
        <v>0</v>
      </c>
      <c r="O866" t="s">
        <v>395</v>
      </c>
      <c r="P866" t="s">
        <v>405</v>
      </c>
      <c r="Q866">
        <v>885445</v>
      </c>
      <c r="R866" t="s">
        <v>196</v>
      </c>
      <c r="S866" t="s">
        <v>197</v>
      </c>
      <c r="T866" t="s">
        <v>57</v>
      </c>
      <c r="U866" s="1">
        <v>45901</v>
      </c>
      <c r="W866" s="1">
        <v>45992</v>
      </c>
      <c r="X866">
        <v>1</v>
      </c>
      <c r="Y866" t="s">
        <v>58</v>
      </c>
      <c r="Z866" s="2">
        <v>0</v>
      </c>
      <c r="AA866">
        <v>0</v>
      </c>
      <c r="AB866" t="s">
        <v>60</v>
      </c>
      <c r="AC866" t="s">
        <v>61</v>
      </c>
      <c r="AD866">
        <v>0</v>
      </c>
      <c r="AE866" s="2">
        <v>0</v>
      </c>
      <c r="AF866" s="2">
        <v>0</v>
      </c>
      <c r="AG866" s="3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45957</v>
      </c>
      <c r="B867" t="s">
        <v>48</v>
      </c>
      <c r="C867">
        <v>649163</v>
      </c>
      <c r="D867">
        <v>2030697181</v>
      </c>
      <c r="E867" t="s">
        <v>193</v>
      </c>
      <c r="F867" t="s">
        <v>194</v>
      </c>
      <c r="G867" t="s">
        <v>51</v>
      </c>
      <c r="H867" t="s">
        <v>195</v>
      </c>
      <c r="I867" s="2">
        <v>75.69</v>
      </c>
      <c r="J867" t="s">
        <v>59</v>
      </c>
      <c r="K867" s="3">
        <v>0.6</v>
      </c>
      <c r="L867" s="2">
        <v>45.41</v>
      </c>
      <c r="M867" s="2">
        <v>0</v>
      </c>
      <c r="N867" s="2">
        <v>0</v>
      </c>
      <c r="O867" t="s">
        <v>395</v>
      </c>
      <c r="P867" t="s">
        <v>411</v>
      </c>
      <c r="Q867">
        <v>885445</v>
      </c>
      <c r="R867" t="s">
        <v>196</v>
      </c>
      <c r="S867" t="s">
        <v>197</v>
      </c>
      <c r="T867" t="s">
        <v>57</v>
      </c>
      <c r="U867" s="1">
        <v>45901</v>
      </c>
      <c r="W867" s="1">
        <v>45992</v>
      </c>
      <c r="X867">
        <v>1</v>
      </c>
      <c r="Y867" t="s">
        <v>58</v>
      </c>
      <c r="Z867" s="2">
        <v>0</v>
      </c>
      <c r="AA867">
        <v>0</v>
      </c>
      <c r="AB867" t="s">
        <v>60</v>
      </c>
      <c r="AC867" t="s">
        <v>61</v>
      </c>
      <c r="AD867">
        <v>0</v>
      </c>
      <c r="AE867" s="2">
        <v>0</v>
      </c>
      <c r="AF867" s="2">
        <v>0</v>
      </c>
      <c r="AG867" s="3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45957</v>
      </c>
      <c r="B868" t="s">
        <v>48</v>
      </c>
      <c r="C868">
        <v>649163</v>
      </c>
      <c r="D868">
        <v>2030791105</v>
      </c>
      <c r="E868" t="s">
        <v>192</v>
      </c>
      <c r="F868" t="s">
        <v>557</v>
      </c>
      <c r="G868" t="s">
        <v>51</v>
      </c>
      <c r="H868" t="s">
        <v>195</v>
      </c>
      <c r="I868" s="2">
        <v>41.81</v>
      </c>
      <c r="J868" t="s">
        <v>59</v>
      </c>
      <c r="K868" s="3">
        <v>0.6</v>
      </c>
      <c r="L868" s="2">
        <v>25.09</v>
      </c>
      <c r="M868" s="2">
        <v>0</v>
      </c>
      <c r="N868" s="2">
        <v>0</v>
      </c>
      <c r="O868" t="s">
        <v>395</v>
      </c>
      <c r="P868" t="s">
        <v>405</v>
      </c>
      <c r="Q868">
        <v>885445</v>
      </c>
      <c r="R868" t="s">
        <v>196</v>
      </c>
      <c r="S868" t="s">
        <v>197</v>
      </c>
      <c r="T868" t="s">
        <v>57</v>
      </c>
      <c r="U868" s="1">
        <v>45901</v>
      </c>
      <c r="W868" s="1">
        <v>45992</v>
      </c>
      <c r="X868">
        <v>1</v>
      </c>
      <c r="Y868" t="s">
        <v>58</v>
      </c>
      <c r="Z868" s="2">
        <v>0</v>
      </c>
      <c r="AA868">
        <v>0</v>
      </c>
      <c r="AB868" t="s">
        <v>60</v>
      </c>
      <c r="AC868" t="s">
        <v>61</v>
      </c>
      <c r="AD868">
        <v>0</v>
      </c>
      <c r="AE868" s="2">
        <v>0</v>
      </c>
      <c r="AF868" s="2">
        <v>0</v>
      </c>
      <c r="AG868" s="3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45957</v>
      </c>
      <c r="B869" t="s">
        <v>48</v>
      </c>
      <c r="C869">
        <v>649163</v>
      </c>
      <c r="D869">
        <v>2030801809</v>
      </c>
      <c r="E869" t="s">
        <v>232</v>
      </c>
      <c r="F869" t="s">
        <v>233</v>
      </c>
      <c r="G869" t="s">
        <v>51</v>
      </c>
      <c r="H869" t="s">
        <v>234</v>
      </c>
      <c r="I869" s="2">
        <v>19.91</v>
      </c>
      <c r="J869" t="s">
        <v>59</v>
      </c>
      <c r="K869" s="3">
        <v>0.6</v>
      </c>
      <c r="L869" s="2">
        <v>11.95</v>
      </c>
      <c r="M869" s="2">
        <v>0</v>
      </c>
      <c r="N869" s="2">
        <v>0</v>
      </c>
      <c r="O869" t="s">
        <v>395</v>
      </c>
      <c r="P869" t="s">
        <v>411</v>
      </c>
      <c r="Q869">
        <v>652037</v>
      </c>
      <c r="R869" t="s">
        <v>155</v>
      </c>
      <c r="S869" t="s">
        <v>156</v>
      </c>
      <c r="T869" t="s">
        <v>57</v>
      </c>
      <c r="U869" s="1">
        <v>45901</v>
      </c>
      <c r="W869" s="1">
        <v>45992</v>
      </c>
      <c r="X869">
        <v>1</v>
      </c>
      <c r="Y869" t="s">
        <v>58</v>
      </c>
      <c r="Z869" s="2">
        <v>0</v>
      </c>
      <c r="AA869">
        <v>0</v>
      </c>
      <c r="AB869" t="s">
        <v>60</v>
      </c>
      <c r="AC869" t="s">
        <v>61</v>
      </c>
      <c r="AD869">
        <v>0</v>
      </c>
      <c r="AE869" s="2">
        <v>0</v>
      </c>
      <c r="AF869" s="2">
        <v>0</v>
      </c>
      <c r="AG869" s="3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</sheetData>
  <autoFilter ref="A1:AV869" xr:uid="{1BED4921-AACF-46AF-B0F2-6FE5C7E6C4B0}">
    <sortState xmlns:xlrd2="http://schemas.microsoft.com/office/spreadsheetml/2017/richdata2" ref="A2:AV869">
      <sortCondition descending="1" ref="O1:O869"/>
    </sortState>
  </autoFilter>
  <sortState xmlns:xlrd2="http://schemas.microsoft.com/office/spreadsheetml/2017/richdata2" ref="A2:AV930">
    <sortCondition descending="1" ref="T2:T9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1E39-C3BB-4188-BE1D-D374005C7EF5}">
  <dimension ref="A1:Z869"/>
  <sheetViews>
    <sheetView topLeftCell="C848" workbookViewId="0">
      <selection activeCell="E2" sqref="E2:E869"/>
    </sheetView>
  </sheetViews>
  <sheetFormatPr defaultRowHeight="15" x14ac:dyDescent="0.25"/>
  <cols>
    <col min="1" max="1" width="11" bestFit="1" customWidth="1"/>
    <col min="2" max="2" width="11.85546875" customWidth="1"/>
    <col min="3" max="3" width="12.140625" customWidth="1"/>
    <col min="4" max="4" width="13.5703125" bestFit="1" customWidth="1"/>
    <col min="5" max="5" width="5.5703125" bestFit="1" customWidth="1"/>
    <col min="6" max="6" width="9.28515625" customWidth="1"/>
    <col min="7" max="7" width="25.28515625" customWidth="1"/>
    <col min="8" max="8" width="9.28515625" customWidth="1"/>
    <col min="9" max="9" width="13.42578125" customWidth="1"/>
    <col min="10" max="10" width="11.85546875" customWidth="1"/>
    <col min="11" max="11" width="14.42578125" bestFit="1" customWidth="1"/>
    <col min="12" max="12" width="9.42578125" customWidth="1"/>
    <col min="13" max="13" width="10.85546875" customWidth="1"/>
    <col min="14" max="14" width="12" bestFit="1" customWidth="1"/>
    <col min="15" max="15" width="10.140625" customWidth="1"/>
    <col min="16" max="16" width="7.42578125" bestFit="1" customWidth="1"/>
    <col min="17" max="18" width="7.42578125" customWidth="1"/>
    <col min="19" max="19" width="12.7109375" bestFit="1" customWidth="1"/>
    <col min="20" max="20" width="7" customWidth="1"/>
    <col min="21" max="21" width="6.5703125" customWidth="1"/>
    <col min="22" max="22" width="6.140625" customWidth="1"/>
    <col min="23" max="23" width="8.5703125" customWidth="1"/>
    <col min="24" max="24" width="9.28515625" customWidth="1"/>
    <col min="25" max="25" width="8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37</v>
      </c>
      <c r="X1" t="s">
        <v>38</v>
      </c>
      <c r="Y1" t="s">
        <v>39</v>
      </c>
    </row>
    <row r="2" spans="1:26" s="5" customFormat="1" x14ac:dyDescent="0.25">
      <c r="A2" s="5">
        <v>2026262567</v>
      </c>
      <c r="B2" s="5" t="s">
        <v>580</v>
      </c>
      <c r="C2" s="5" t="s">
        <v>581</v>
      </c>
      <c r="D2" s="5" t="str">
        <f>CONCATENATE(B2, " ",C2)</f>
        <v>RIZO ESTEBAN</v>
      </c>
      <c r="E2" s="5" t="s">
        <v>92</v>
      </c>
      <c r="F2" s="5" t="s">
        <v>53</v>
      </c>
      <c r="G2" s="5" t="s">
        <v>119</v>
      </c>
      <c r="H2" s="5">
        <v>16865615</v>
      </c>
      <c r="I2" s="5" t="s">
        <v>93</v>
      </c>
      <c r="J2" s="5" t="s">
        <v>94</v>
      </c>
      <c r="K2" s="5" t="str">
        <f t="shared" ref="K2:K65" si="0">CONCATENATE(J2, " ",I2)</f>
        <v>Heather Geske</v>
      </c>
      <c r="L2" s="5" t="s">
        <v>57</v>
      </c>
      <c r="M2" s="6">
        <v>45647</v>
      </c>
      <c r="N2" s="6">
        <v>45982</v>
      </c>
      <c r="O2" s="7">
        <v>6.3</v>
      </c>
      <c r="P2" s="5">
        <f t="shared" ref="P2:P65" si="1">DATEDIF(M2,N2,"M")</f>
        <v>11</v>
      </c>
      <c r="Q2" s="5" t="s">
        <v>264</v>
      </c>
      <c r="R2" s="5" t="s">
        <v>1086</v>
      </c>
      <c r="S2" s="5" t="s">
        <v>58</v>
      </c>
      <c r="T2" s="8">
        <v>0.7</v>
      </c>
      <c r="U2" s="5" t="s">
        <v>60</v>
      </c>
      <c r="V2" s="5" t="s">
        <v>61</v>
      </c>
      <c r="W2" s="7">
        <v>0</v>
      </c>
      <c r="X2" s="7">
        <v>4.41</v>
      </c>
      <c r="Y2" s="7">
        <v>4.41</v>
      </c>
      <c r="Z2" s="5" t="s">
        <v>119</v>
      </c>
    </row>
    <row r="3" spans="1:26" s="5" customFormat="1" x14ac:dyDescent="0.25">
      <c r="A3">
        <v>2030770955</v>
      </c>
      <c r="B3" t="s">
        <v>202</v>
      </c>
      <c r="C3" t="s">
        <v>213</v>
      </c>
      <c r="D3" s="5" t="str">
        <f t="shared" ref="D3:D66" si="2">CONCATENATE(B3, " ",C3)</f>
        <v>LAURA ABENDROTH</v>
      </c>
      <c r="E3" t="s">
        <v>118</v>
      </c>
      <c r="F3" t="s">
        <v>53</v>
      </c>
      <c r="G3" t="s">
        <v>119</v>
      </c>
      <c r="H3">
        <v>9079571</v>
      </c>
      <c r="I3" t="s">
        <v>155</v>
      </c>
      <c r="J3" t="s">
        <v>156</v>
      </c>
      <c r="K3" t="str">
        <f t="shared" si="0"/>
        <v>ADAM RICHTER</v>
      </c>
      <c r="L3" t="s">
        <v>57</v>
      </c>
      <c r="M3" s="1">
        <v>45901</v>
      </c>
      <c r="N3" s="1">
        <v>45992</v>
      </c>
      <c r="O3" s="2">
        <v>78.97</v>
      </c>
      <c r="P3">
        <f t="shared" si="1"/>
        <v>3</v>
      </c>
      <c r="Q3" t="s">
        <v>264</v>
      </c>
      <c r="R3" t="s">
        <v>1086</v>
      </c>
      <c r="S3" t="s">
        <v>58</v>
      </c>
      <c r="T3" s="3">
        <v>0.7</v>
      </c>
      <c r="U3" t="s">
        <v>60</v>
      </c>
      <c r="V3" t="s">
        <v>61</v>
      </c>
      <c r="W3" s="2">
        <v>55.28</v>
      </c>
      <c r="X3" s="2">
        <v>0</v>
      </c>
      <c r="Y3" s="2">
        <v>55.28</v>
      </c>
      <c r="Z3" s="5" t="s">
        <v>119</v>
      </c>
    </row>
    <row r="4" spans="1:26" s="5" customFormat="1" x14ac:dyDescent="0.25">
      <c r="A4">
        <v>2030597037</v>
      </c>
      <c r="B4" t="s">
        <v>153</v>
      </c>
      <c r="C4" t="s">
        <v>154</v>
      </c>
      <c r="D4" s="5" t="str">
        <f t="shared" si="2"/>
        <v>DAVID MERDIAN</v>
      </c>
      <c r="E4" t="s">
        <v>118</v>
      </c>
      <c r="F4" t="s">
        <v>53</v>
      </c>
      <c r="G4" t="s">
        <v>119</v>
      </c>
      <c r="H4">
        <v>9079571</v>
      </c>
      <c r="I4" t="s">
        <v>155</v>
      </c>
      <c r="J4" t="s">
        <v>156</v>
      </c>
      <c r="K4" t="str">
        <f t="shared" si="0"/>
        <v>ADAM RICHTER</v>
      </c>
      <c r="L4" t="s">
        <v>57</v>
      </c>
      <c r="M4" s="1">
        <v>45901</v>
      </c>
      <c r="N4" s="1">
        <v>45992</v>
      </c>
      <c r="O4" s="2">
        <v>24.61</v>
      </c>
      <c r="P4">
        <f t="shared" si="1"/>
        <v>3</v>
      </c>
      <c r="Q4" t="s">
        <v>264</v>
      </c>
      <c r="R4" t="s">
        <v>1086</v>
      </c>
      <c r="S4" t="s">
        <v>58</v>
      </c>
      <c r="T4" s="3">
        <v>0.7</v>
      </c>
      <c r="U4" t="s">
        <v>60</v>
      </c>
      <c r="V4" t="s">
        <v>61</v>
      </c>
      <c r="W4" s="2">
        <v>17.23</v>
      </c>
      <c r="X4" s="2">
        <v>0</v>
      </c>
      <c r="Y4" s="2">
        <v>17.23</v>
      </c>
      <c r="Z4" s="5" t="s">
        <v>119</v>
      </c>
    </row>
    <row r="5" spans="1:26" s="5" customFormat="1" x14ac:dyDescent="0.25">
      <c r="A5">
        <v>2030500325</v>
      </c>
      <c r="B5" t="s">
        <v>116</v>
      </c>
      <c r="C5" t="s">
        <v>117</v>
      </c>
      <c r="D5" s="5" t="str">
        <f t="shared" si="2"/>
        <v>ROCHELLE VARGAS</v>
      </c>
      <c r="E5" t="s">
        <v>118</v>
      </c>
      <c r="F5" t="s">
        <v>53</v>
      </c>
      <c r="G5" t="s">
        <v>119</v>
      </c>
      <c r="H5">
        <v>5442438</v>
      </c>
      <c r="I5" t="s">
        <v>120</v>
      </c>
      <c r="J5" t="s">
        <v>121</v>
      </c>
      <c r="K5" t="str">
        <f t="shared" si="0"/>
        <v>Ronald Max</v>
      </c>
      <c r="L5" t="s">
        <v>57</v>
      </c>
      <c r="M5" s="1">
        <v>45901</v>
      </c>
      <c r="N5" s="1">
        <v>45992</v>
      </c>
      <c r="O5" s="2">
        <v>55.58</v>
      </c>
      <c r="P5">
        <f t="shared" si="1"/>
        <v>3</v>
      </c>
      <c r="Q5" t="s">
        <v>264</v>
      </c>
      <c r="R5" t="s">
        <v>1086</v>
      </c>
      <c r="S5" t="s">
        <v>58</v>
      </c>
      <c r="T5" s="3">
        <v>0.7</v>
      </c>
      <c r="U5" t="s">
        <v>60</v>
      </c>
      <c r="V5" t="s">
        <v>61</v>
      </c>
      <c r="W5" s="2">
        <v>38.909999999999997</v>
      </c>
      <c r="X5" s="2">
        <v>0</v>
      </c>
      <c r="Y5" s="2">
        <v>38.909999999999997</v>
      </c>
      <c r="Z5" s="5" t="s">
        <v>119</v>
      </c>
    </row>
    <row r="6" spans="1:26" s="5" customFormat="1" x14ac:dyDescent="0.25">
      <c r="A6">
        <v>2030673651</v>
      </c>
      <c r="B6" t="s">
        <v>177</v>
      </c>
      <c r="C6" t="s">
        <v>178</v>
      </c>
      <c r="D6" s="5" t="str">
        <f t="shared" si="2"/>
        <v>JODI DEBERARD</v>
      </c>
      <c r="E6" t="s">
        <v>179</v>
      </c>
      <c r="F6" t="s">
        <v>53</v>
      </c>
      <c r="G6" t="s">
        <v>119</v>
      </c>
      <c r="H6">
        <v>8977234</v>
      </c>
      <c r="I6" t="s">
        <v>55</v>
      </c>
      <c r="J6" t="s">
        <v>56</v>
      </c>
      <c r="K6" t="str">
        <f t="shared" si="0"/>
        <v>RYAN CALTAGIRONE</v>
      </c>
      <c r="L6" t="s">
        <v>57</v>
      </c>
      <c r="M6" s="1">
        <v>45901</v>
      </c>
      <c r="N6" s="1">
        <v>45992</v>
      </c>
      <c r="O6" s="2">
        <v>8.3699999999999992</v>
      </c>
      <c r="P6">
        <f t="shared" si="1"/>
        <v>3</v>
      </c>
      <c r="Q6" t="s">
        <v>264</v>
      </c>
      <c r="R6" t="s">
        <v>1086</v>
      </c>
      <c r="S6" t="s">
        <v>58</v>
      </c>
      <c r="T6" s="3">
        <v>0.7</v>
      </c>
      <c r="U6" t="s">
        <v>60</v>
      </c>
      <c r="V6" t="s">
        <v>61</v>
      </c>
      <c r="W6" s="2">
        <v>5.86</v>
      </c>
      <c r="X6" s="2">
        <v>0</v>
      </c>
      <c r="Y6" s="2">
        <v>5.86</v>
      </c>
      <c r="Z6" s="5" t="s">
        <v>119</v>
      </c>
    </row>
    <row r="7" spans="1:26" s="5" customFormat="1" x14ac:dyDescent="0.25">
      <c r="A7">
        <v>2028769445</v>
      </c>
      <c r="B7" t="s">
        <v>630</v>
      </c>
      <c r="C7" t="s">
        <v>631</v>
      </c>
      <c r="D7" s="5" t="str">
        <f t="shared" si="2"/>
        <v>SALES JOANNA</v>
      </c>
      <c r="E7" t="s">
        <v>118</v>
      </c>
      <c r="F7" t="s">
        <v>53</v>
      </c>
      <c r="G7" t="s">
        <v>119</v>
      </c>
      <c r="H7">
        <v>5442438</v>
      </c>
      <c r="I7" t="s">
        <v>120</v>
      </c>
      <c r="J7" t="s">
        <v>121</v>
      </c>
      <c r="K7" t="str">
        <f t="shared" si="0"/>
        <v>Ronald Max</v>
      </c>
      <c r="L7" t="s">
        <v>57</v>
      </c>
      <c r="M7" s="1">
        <v>45809</v>
      </c>
      <c r="N7" s="1">
        <v>45992</v>
      </c>
      <c r="O7" s="2">
        <v>24.61</v>
      </c>
      <c r="P7">
        <f t="shared" si="1"/>
        <v>6</v>
      </c>
      <c r="Q7" t="s">
        <v>264</v>
      </c>
      <c r="R7" t="s">
        <v>1086</v>
      </c>
      <c r="S7" t="s">
        <v>58</v>
      </c>
      <c r="T7" s="3">
        <v>0.7</v>
      </c>
      <c r="U7" t="s">
        <v>60</v>
      </c>
      <c r="V7" t="s">
        <v>61</v>
      </c>
      <c r="W7" s="2">
        <v>0</v>
      </c>
      <c r="X7" s="2">
        <v>17.23</v>
      </c>
      <c r="Y7" s="2">
        <v>17.23</v>
      </c>
      <c r="Z7" s="5" t="s">
        <v>119</v>
      </c>
    </row>
    <row r="8" spans="1:26" s="5" customFormat="1" x14ac:dyDescent="0.25">
      <c r="A8">
        <v>2028448243</v>
      </c>
      <c r="B8" t="s">
        <v>536</v>
      </c>
      <c r="C8" t="s">
        <v>537</v>
      </c>
      <c r="D8" s="5" t="str">
        <f t="shared" si="2"/>
        <v>HUNT SUSAN</v>
      </c>
      <c r="E8" t="s">
        <v>179</v>
      </c>
      <c r="F8" t="s">
        <v>53</v>
      </c>
      <c r="G8" t="s">
        <v>119</v>
      </c>
      <c r="H8">
        <v>8977234</v>
      </c>
      <c r="I8" t="s">
        <v>55</v>
      </c>
      <c r="J8" t="s">
        <v>56</v>
      </c>
      <c r="K8" t="str">
        <f t="shared" si="0"/>
        <v>RYAN CALTAGIRONE</v>
      </c>
      <c r="L8" t="s">
        <v>57</v>
      </c>
      <c r="M8" s="1">
        <v>45809</v>
      </c>
      <c r="N8" s="1">
        <v>45992</v>
      </c>
      <c r="O8" s="2">
        <v>8.3699999999999992</v>
      </c>
      <c r="P8">
        <f t="shared" si="1"/>
        <v>6</v>
      </c>
      <c r="Q8" t="s">
        <v>264</v>
      </c>
      <c r="R8" t="s">
        <v>1086</v>
      </c>
      <c r="S8" t="s">
        <v>58</v>
      </c>
      <c r="T8" s="3">
        <v>0.7</v>
      </c>
      <c r="U8" t="s">
        <v>60</v>
      </c>
      <c r="V8" t="s">
        <v>61</v>
      </c>
      <c r="W8" s="2">
        <v>0</v>
      </c>
      <c r="X8" s="2">
        <v>5.86</v>
      </c>
      <c r="Y8" s="2">
        <v>5.86</v>
      </c>
      <c r="Z8" s="5" t="s">
        <v>119</v>
      </c>
    </row>
    <row r="9" spans="1:26" s="5" customFormat="1" x14ac:dyDescent="0.25">
      <c r="A9">
        <v>2028773697</v>
      </c>
      <c r="B9" t="s">
        <v>542</v>
      </c>
      <c r="C9" t="s">
        <v>632</v>
      </c>
      <c r="D9" s="5" t="str">
        <f t="shared" si="2"/>
        <v>KISSEL SETH</v>
      </c>
      <c r="E9" t="s">
        <v>179</v>
      </c>
      <c r="F9" t="s">
        <v>53</v>
      </c>
      <c r="G9" t="s">
        <v>119</v>
      </c>
      <c r="H9">
        <v>8977234</v>
      </c>
      <c r="I9" t="s">
        <v>55</v>
      </c>
      <c r="J9" t="s">
        <v>56</v>
      </c>
      <c r="K9" t="str">
        <f t="shared" si="0"/>
        <v>RYAN CALTAGIRONE</v>
      </c>
      <c r="L9" t="s">
        <v>57</v>
      </c>
      <c r="M9" s="1">
        <v>45809</v>
      </c>
      <c r="N9" s="1">
        <v>45992</v>
      </c>
      <c r="O9" s="2">
        <v>8.3699999999999992</v>
      </c>
      <c r="P9">
        <f t="shared" si="1"/>
        <v>6</v>
      </c>
      <c r="Q9" t="s">
        <v>264</v>
      </c>
      <c r="R9" t="s">
        <v>1086</v>
      </c>
      <c r="S9" t="s">
        <v>58</v>
      </c>
      <c r="T9" s="3">
        <v>0.7</v>
      </c>
      <c r="U9" t="s">
        <v>60</v>
      </c>
      <c r="V9" t="s">
        <v>61</v>
      </c>
      <c r="W9" s="2">
        <v>0</v>
      </c>
      <c r="X9" s="2">
        <v>5.86</v>
      </c>
      <c r="Y9" s="2">
        <v>5.86</v>
      </c>
      <c r="Z9" s="5" t="s">
        <v>119</v>
      </c>
    </row>
    <row r="10" spans="1:26" s="5" customFormat="1" x14ac:dyDescent="0.25">
      <c r="A10">
        <v>2028774421</v>
      </c>
      <c r="B10" t="s">
        <v>542</v>
      </c>
      <c r="C10" t="s">
        <v>543</v>
      </c>
      <c r="D10" s="5" t="str">
        <f t="shared" si="2"/>
        <v>KISSEL AMY</v>
      </c>
      <c r="E10" t="s">
        <v>179</v>
      </c>
      <c r="F10" t="s">
        <v>53</v>
      </c>
      <c r="G10" t="s">
        <v>119</v>
      </c>
      <c r="H10">
        <v>8977234</v>
      </c>
      <c r="I10" t="s">
        <v>55</v>
      </c>
      <c r="J10" t="s">
        <v>56</v>
      </c>
      <c r="K10" t="str">
        <f t="shared" si="0"/>
        <v>RYAN CALTAGIRONE</v>
      </c>
      <c r="L10" t="s">
        <v>57</v>
      </c>
      <c r="M10" s="1">
        <v>45809</v>
      </c>
      <c r="N10" s="1">
        <v>45992</v>
      </c>
      <c r="O10" s="2">
        <v>16.73</v>
      </c>
      <c r="P10">
        <f t="shared" si="1"/>
        <v>6</v>
      </c>
      <c r="Q10" t="s">
        <v>264</v>
      </c>
      <c r="R10" t="s">
        <v>1086</v>
      </c>
      <c r="S10" t="s">
        <v>58</v>
      </c>
      <c r="T10" s="3">
        <v>0.7</v>
      </c>
      <c r="U10" t="s">
        <v>60</v>
      </c>
      <c r="V10" t="s">
        <v>61</v>
      </c>
      <c r="W10" s="2">
        <v>0</v>
      </c>
      <c r="X10" s="2">
        <v>11.71</v>
      </c>
      <c r="Y10" s="2">
        <v>11.71</v>
      </c>
      <c r="Z10" s="5" t="s">
        <v>119</v>
      </c>
    </row>
    <row r="11" spans="1:26" s="5" customFormat="1" x14ac:dyDescent="0.25">
      <c r="A11">
        <v>2028149729</v>
      </c>
      <c r="B11" t="s">
        <v>916</v>
      </c>
      <c r="C11" t="s">
        <v>917</v>
      </c>
      <c r="D11" s="5" t="str">
        <f t="shared" si="2"/>
        <v>KRAMER-KAHNY RUSSELL</v>
      </c>
      <c r="E11" t="s">
        <v>52</v>
      </c>
      <c r="F11" t="s">
        <v>53</v>
      </c>
      <c r="G11" t="s">
        <v>119</v>
      </c>
      <c r="H11">
        <v>17425766</v>
      </c>
      <c r="I11" t="s">
        <v>357</v>
      </c>
      <c r="J11" t="s">
        <v>358</v>
      </c>
      <c r="K11" t="str">
        <f t="shared" si="0"/>
        <v>CAROL FOLEY</v>
      </c>
      <c r="L11" t="s">
        <v>57</v>
      </c>
      <c r="M11" s="1">
        <v>45748</v>
      </c>
      <c r="N11" s="1">
        <v>45992</v>
      </c>
      <c r="O11" s="2">
        <v>25.73</v>
      </c>
      <c r="P11">
        <f t="shared" si="1"/>
        <v>8</v>
      </c>
      <c r="Q11" t="s">
        <v>264</v>
      </c>
      <c r="R11" t="s">
        <v>1086</v>
      </c>
      <c r="S11" t="s">
        <v>58</v>
      </c>
      <c r="T11" s="3">
        <v>0.7</v>
      </c>
      <c r="U11" t="s">
        <v>60</v>
      </c>
      <c r="V11" t="s">
        <v>61</v>
      </c>
      <c r="W11" s="2">
        <v>0</v>
      </c>
      <c r="X11" s="2">
        <v>18.010000000000002</v>
      </c>
      <c r="Y11" s="2">
        <v>18.010000000000002</v>
      </c>
      <c r="Z11" s="5" t="s">
        <v>119</v>
      </c>
    </row>
    <row r="12" spans="1:26" s="5" customFormat="1" x14ac:dyDescent="0.25">
      <c r="A12">
        <v>2027765153</v>
      </c>
      <c r="B12" t="s">
        <v>685</v>
      </c>
      <c r="C12" t="s">
        <v>686</v>
      </c>
      <c r="D12" s="5" t="str">
        <f t="shared" si="2"/>
        <v>WAKELEY FELICHA</v>
      </c>
      <c r="E12" t="s">
        <v>195</v>
      </c>
      <c r="F12" t="s">
        <v>53</v>
      </c>
      <c r="G12" t="s">
        <v>119</v>
      </c>
      <c r="H12">
        <v>18781057</v>
      </c>
      <c r="I12" t="s">
        <v>349</v>
      </c>
      <c r="J12" t="s">
        <v>312</v>
      </c>
      <c r="K12" t="str">
        <f t="shared" si="0"/>
        <v>JOHN ROKEN</v>
      </c>
      <c r="L12" t="s">
        <v>57</v>
      </c>
      <c r="M12" s="1">
        <v>45748</v>
      </c>
      <c r="N12" s="1">
        <v>45992</v>
      </c>
      <c r="O12" s="2">
        <v>25.73</v>
      </c>
      <c r="P12">
        <f t="shared" si="1"/>
        <v>8</v>
      </c>
      <c r="Q12" t="s">
        <v>264</v>
      </c>
      <c r="R12" t="s">
        <v>1086</v>
      </c>
      <c r="S12" t="s">
        <v>58</v>
      </c>
      <c r="T12" s="3">
        <v>0.7</v>
      </c>
      <c r="U12" t="s">
        <v>60</v>
      </c>
      <c r="V12" t="s">
        <v>61</v>
      </c>
      <c r="W12" s="2">
        <v>0</v>
      </c>
      <c r="X12" s="2">
        <v>18.010000000000002</v>
      </c>
      <c r="Y12" s="2">
        <v>18.010000000000002</v>
      </c>
      <c r="Z12" s="5" t="s">
        <v>119</v>
      </c>
    </row>
    <row r="13" spans="1:26" s="5" customFormat="1" x14ac:dyDescent="0.25">
      <c r="A13">
        <v>2028028177</v>
      </c>
      <c r="B13" t="s">
        <v>531</v>
      </c>
      <c r="C13" t="s">
        <v>532</v>
      </c>
      <c r="D13" s="5" t="str">
        <f t="shared" si="2"/>
        <v>GAMBAL DION</v>
      </c>
      <c r="E13" t="s">
        <v>195</v>
      </c>
      <c r="F13" t="s">
        <v>53</v>
      </c>
      <c r="G13" t="s">
        <v>119</v>
      </c>
      <c r="H13">
        <v>5442438</v>
      </c>
      <c r="I13" t="s">
        <v>120</v>
      </c>
      <c r="J13" t="s">
        <v>121</v>
      </c>
      <c r="K13" t="str">
        <f t="shared" si="0"/>
        <v>Ronald Max</v>
      </c>
      <c r="L13" t="s">
        <v>57</v>
      </c>
      <c r="M13" s="1">
        <v>45748</v>
      </c>
      <c r="N13" s="1">
        <v>45992</v>
      </c>
      <c r="O13" s="2">
        <v>25.73</v>
      </c>
      <c r="P13">
        <f t="shared" si="1"/>
        <v>8</v>
      </c>
      <c r="Q13" t="s">
        <v>264</v>
      </c>
      <c r="R13" t="s">
        <v>1086</v>
      </c>
      <c r="S13" t="s">
        <v>58</v>
      </c>
      <c r="T13" s="3">
        <v>0.7</v>
      </c>
      <c r="U13" t="s">
        <v>60</v>
      </c>
      <c r="V13" t="s">
        <v>61</v>
      </c>
      <c r="W13" s="2">
        <v>0</v>
      </c>
      <c r="X13" s="2">
        <v>18.010000000000002</v>
      </c>
      <c r="Y13" s="2">
        <v>18.010000000000002</v>
      </c>
      <c r="Z13" s="5" t="s">
        <v>119</v>
      </c>
    </row>
    <row r="14" spans="1:26" s="5" customFormat="1" x14ac:dyDescent="0.25">
      <c r="A14">
        <v>2027743282</v>
      </c>
      <c r="B14" t="s">
        <v>610</v>
      </c>
      <c r="C14" t="s">
        <v>324</v>
      </c>
      <c r="D14" s="5" t="str">
        <f t="shared" si="2"/>
        <v>SZYMANSKI KATHLEEN</v>
      </c>
      <c r="E14" t="s">
        <v>182</v>
      </c>
      <c r="F14" t="s">
        <v>53</v>
      </c>
      <c r="G14" t="s">
        <v>119</v>
      </c>
      <c r="H14">
        <v>8977234</v>
      </c>
      <c r="I14" t="s">
        <v>55</v>
      </c>
      <c r="J14" t="s">
        <v>56</v>
      </c>
      <c r="K14" t="str">
        <f t="shared" si="0"/>
        <v>RYAN CALTAGIRONE</v>
      </c>
      <c r="L14" t="s">
        <v>57</v>
      </c>
      <c r="M14" s="1">
        <v>45748</v>
      </c>
      <c r="N14" s="1">
        <v>45992</v>
      </c>
      <c r="O14" s="2">
        <v>51.46</v>
      </c>
      <c r="P14">
        <f t="shared" si="1"/>
        <v>8</v>
      </c>
      <c r="Q14" t="s">
        <v>264</v>
      </c>
      <c r="R14" t="s">
        <v>1086</v>
      </c>
      <c r="S14" t="s">
        <v>58</v>
      </c>
      <c r="T14" s="3">
        <v>0.7</v>
      </c>
      <c r="U14" t="s">
        <v>60</v>
      </c>
      <c r="V14" t="s">
        <v>61</v>
      </c>
      <c r="W14" s="2">
        <v>0</v>
      </c>
      <c r="X14" s="2">
        <v>36.020000000000003</v>
      </c>
      <c r="Y14" s="2">
        <v>36.020000000000003</v>
      </c>
      <c r="Z14" s="5" t="s">
        <v>119</v>
      </c>
    </row>
    <row r="15" spans="1:26" s="5" customFormat="1" x14ac:dyDescent="0.25">
      <c r="A15">
        <v>2027745347</v>
      </c>
      <c r="B15" t="s">
        <v>526</v>
      </c>
      <c r="C15" t="s">
        <v>527</v>
      </c>
      <c r="D15" s="5" t="str">
        <f t="shared" si="2"/>
        <v>ENGLE FORRY</v>
      </c>
      <c r="E15" t="s">
        <v>276</v>
      </c>
      <c r="F15" t="s">
        <v>53</v>
      </c>
      <c r="G15" t="s">
        <v>119</v>
      </c>
      <c r="H15">
        <v>8977234</v>
      </c>
      <c r="I15" t="s">
        <v>55</v>
      </c>
      <c r="J15" t="s">
        <v>56</v>
      </c>
      <c r="K15" t="str">
        <f t="shared" si="0"/>
        <v>RYAN CALTAGIRONE</v>
      </c>
      <c r="L15" t="s">
        <v>57</v>
      </c>
      <c r="M15" s="1">
        <v>45748</v>
      </c>
      <c r="N15" s="1">
        <v>45992</v>
      </c>
      <c r="O15" s="2">
        <v>21.44</v>
      </c>
      <c r="P15">
        <f t="shared" si="1"/>
        <v>8</v>
      </c>
      <c r="Q15" t="s">
        <v>264</v>
      </c>
      <c r="R15" t="s">
        <v>1086</v>
      </c>
      <c r="S15" t="s">
        <v>58</v>
      </c>
      <c r="T15" s="3">
        <v>0.7</v>
      </c>
      <c r="U15" t="s">
        <v>60</v>
      </c>
      <c r="V15" t="s">
        <v>61</v>
      </c>
      <c r="W15" s="2">
        <v>0</v>
      </c>
      <c r="X15" s="2">
        <v>15.01</v>
      </c>
      <c r="Y15" s="2">
        <v>15.01</v>
      </c>
      <c r="Z15" s="5" t="s">
        <v>119</v>
      </c>
    </row>
    <row r="16" spans="1:26" s="5" customFormat="1" x14ac:dyDescent="0.25">
      <c r="A16">
        <v>2026878482</v>
      </c>
      <c r="B16" t="s">
        <v>996</v>
      </c>
      <c r="C16" t="s">
        <v>997</v>
      </c>
      <c r="D16" s="5" t="str">
        <f t="shared" si="2"/>
        <v>FLYNN BRION</v>
      </c>
      <c r="E16" t="s">
        <v>195</v>
      </c>
      <c r="F16" t="s">
        <v>53</v>
      </c>
      <c r="G16" t="s">
        <v>119</v>
      </c>
      <c r="H16">
        <v>19278370</v>
      </c>
      <c r="I16" t="s">
        <v>321</v>
      </c>
      <c r="J16" t="s">
        <v>322</v>
      </c>
      <c r="K16" t="str">
        <f t="shared" si="0"/>
        <v>ANNE MARIE KOZACHECK</v>
      </c>
      <c r="L16" t="s">
        <v>57</v>
      </c>
      <c r="M16" s="1">
        <v>45689</v>
      </c>
      <c r="N16" s="1">
        <v>45992</v>
      </c>
      <c r="O16" s="2">
        <v>25.73</v>
      </c>
      <c r="P16">
        <f t="shared" si="1"/>
        <v>10</v>
      </c>
      <c r="Q16" t="s">
        <v>264</v>
      </c>
      <c r="R16" t="s">
        <v>1086</v>
      </c>
      <c r="S16" t="s">
        <v>58</v>
      </c>
      <c r="T16" s="3">
        <v>0.7</v>
      </c>
      <c r="U16" t="s">
        <v>60</v>
      </c>
      <c r="V16" t="s">
        <v>61</v>
      </c>
      <c r="W16" s="2">
        <v>0</v>
      </c>
      <c r="X16" s="2">
        <v>18.010000000000002</v>
      </c>
      <c r="Y16" s="2">
        <v>18.010000000000002</v>
      </c>
      <c r="Z16" s="5" t="s">
        <v>119</v>
      </c>
    </row>
    <row r="17" spans="1:26" s="5" customFormat="1" x14ac:dyDescent="0.25">
      <c r="A17">
        <v>2026471871</v>
      </c>
      <c r="B17" t="s">
        <v>510</v>
      </c>
      <c r="C17" t="s">
        <v>511</v>
      </c>
      <c r="D17" s="5" t="str">
        <f t="shared" si="2"/>
        <v>STEHLIK NATHAN</v>
      </c>
      <c r="E17" t="s">
        <v>182</v>
      </c>
      <c r="F17" t="s">
        <v>53</v>
      </c>
      <c r="G17" t="s">
        <v>119</v>
      </c>
      <c r="H17">
        <v>8977234</v>
      </c>
      <c r="I17" t="s">
        <v>55</v>
      </c>
      <c r="J17" t="s">
        <v>56</v>
      </c>
      <c r="K17" t="str">
        <f t="shared" si="0"/>
        <v>RYAN CALTAGIRONE</v>
      </c>
      <c r="L17" t="s">
        <v>57</v>
      </c>
      <c r="M17" s="1">
        <v>45689</v>
      </c>
      <c r="N17" s="1">
        <v>45992</v>
      </c>
      <c r="O17" s="2">
        <v>25.73</v>
      </c>
      <c r="P17">
        <f t="shared" si="1"/>
        <v>10</v>
      </c>
      <c r="Q17" t="s">
        <v>264</v>
      </c>
      <c r="R17" t="s">
        <v>1086</v>
      </c>
      <c r="S17" t="s">
        <v>58</v>
      </c>
      <c r="T17" s="3">
        <v>0.7</v>
      </c>
      <c r="U17" t="s">
        <v>60</v>
      </c>
      <c r="V17" t="s">
        <v>61</v>
      </c>
      <c r="W17" s="2">
        <v>0</v>
      </c>
      <c r="X17" s="2">
        <v>18.010000000000002</v>
      </c>
      <c r="Y17" s="2">
        <v>18.010000000000002</v>
      </c>
      <c r="Z17" s="5" t="s">
        <v>119</v>
      </c>
    </row>
    <row r="18" spans="1:26" s="5" customFormat="1" x14ac:dyDescent="0.25">
      <c r="A18">
        <v>2026477625</v>
      </c>
      <c r="B18" t="s">
        <v>776</v>
      </c>
      <c r="C18" t="s">
        <v>777</v>
      </c>
      <c r="D18" s="5" t="str">
        <f t="shared" si="2"/>
        <v>REPPAL RAMEEM</v>
      </c>
      <c r="E18" t="s">
        <v>165</v>
      </c>
      <c r="F18" t="s">
        <v>53</v>
      </c>
      <c r="G18" t="s">
        <v>119</v>
      </c>
      <c r="H18">
        <v>8977234</v>
      </c>
      <c r="I18" t="s">
        <v>55</v>
      </c>
      <c r="J18" t="s">
        <v>56</v>
      </c>
      <c r="K18" t="str">
        <f t="shared" si="0"/>
        <v>RYAN CALTAGIRONE</v>
      </c>
      <c r="L18" t="s">
        <v>57</v>
      </c>
      <c r="M18" s="1">
        <v>45689</v>
      </c>
      <c r="N18" s="1">
        <v>45992</v>
      </c>
      <c r="O18" s="2">
        <v>25.73</v>
      </c>
      <c r="P18">
        <f t="shared" si="1"/>
        <v>10</v>
      </c>
      <c r="Q18" t="s">
        <v>264</v>
      </c>
      <c r="R18" t="s">
        <v>1086</v>
      </c>
      <c r="S18" t="s">
        <v>58</v>
      </c>
      <c r="T18" s="3">
        <v>0.7</v>
      </c>
      <c r="U18" t="s">
        <v>60</v>
      </c>
      <c r="V18" t="s">
        <v>61</v>
      </c>
      <c r="W18" s="2">
        <v>0</v>
      </c>
      <c r="X18" s="2">
        <v>18.010000000000002</v>
      </c>
      <c r="Y18" s="2">
        <v>18.010000000000002</v>
      </c>
      <c r="Z18" s="5" t="s">
        <v>119</v>
      </c>
    </row>
    <row r="19" spans="1:26" s="5" customFormat="1" x14ac:dyDescent="0.25">
      <c r="A19">
        <v>2026568843</v>
      </c>
      <c r="B19" t="s">
        <v>976</v>
      </c>
      <c r="C19" t="s">
        <v>535</v>
      </c>
      <c r="D19" s="5" t="str">
        <f t="shared" si="2"/>
        <v>SERRANO MAGDALENA</v>
      </c>
      <c r="E19" t="s">
        <v>129</v>
      </c>
      <c r="F19" t="s">
        <v>53</v>
      </c>
      <c r="G19" t="s">
        <v>119</v>
      </c>
      <c r="H19">
        <v>8977234</v>
      </c>
      <c r="I19" t="s">
        <v>55</v>
      </c>
      <c r="J19" t="s">
        <v>56</v>
      </c>
      <c r="K19" t="str">
        <f t="shared" si="0"/>
        <v>RYAN CALTAGIRONE</v>
      </c>
      <c r="L19" t="s">
        <v>57</v>
      </c>
      <c r="M19" s="1">
        <v>45689</v>
      </c>
      <c r="N19" s="1">
        <v>45992</v>
      </c>
      <c r="O19" s="2">
        <v>21.44</v>
      </c>
      <c r="P19">
        <f t="shared" si="1"/>
        <v>10</v>
      </c>
      <c r="Q19" t="s">
        <v>264</v>
      </c>
      <c r="R19" t="s">
        <v>1086</v>
      </c>
      <c r="S19" t="s">
        <v>58</v>
      </c>
      <c r="T19" s="3">
        <v>0.7</v>
      </c>
      <c r="U19" t="s">
        <v>60</v>
      </c>
      <c r="V19" t="s">
        <v>61</v>
      </c>
      <c r="W19" s="2">
        <v>0</v>
      </c>
      <c r="X19" s="2">
        <v>15.01</v>
      </c>
      <c r="Y19" s="2">
        <v>15.01</v>
      </c>
      <c r="Z19" s="5" t="s">
        <v>119</v>
      </c>
    </row>
    <row r="20" spans="1:26" s="5" customFormat="1" x14ac:dyDescent="0.25">
      <c r="A20">
        <v>2026613382</v>
      </c>
      <c r="B20" t="s">
        <v>583</v>
      </c>
      <c r="C20" t="s">
        <v>490</v>
      </c>
      <c r="D20" s="5" t="str">
        <f t="shared" si="2"/>
        <v>KELLOGG SCOTT</v>
      </c>
      <c r="E20" t="s">
        <v>52</v>
      </c>
      <c r="F20" t="s">
        <v>53</v>
      </c>
      <c r="G20" t="s">
        <v>119</v>
      </c>
      <c r="H20">
        <v>8977234</v>
      </c>
      <c r="I20" t="s">
        <v>55</v>
      </c>
      <c r="J20" t="s">
        <v>56</v>
      </c>
      <c r="K20" t="str">
        <f t="shared" si="0"/>
        <v>RYAN CALTAGIRONE</v>
      </c>
      <c r="L20" t="s">
        <v>57</v>
      </c>
      <c r="M20" s="1">
        <v>45689</v>
      </c>
      <c r="N20" s="1">
        <v>45992</v>
      </c>
      <c r="O20" s="2">
        <v>51.46</v>
      </c>
      <c r="P20">
        <f t="shared" si="1"/>
        <v>10</v>
      </c>
      <c r="Q20" t="s">
        <v>264</v>
      </c>
      <c r="R20" t="s">
        <v>1086</v>
      </c>
      <c r="S20" t="s">
        <v>58</v>
      </c>
      <c r="T20" s="3">
        <v>0.7</v>
      </c>
      <c r="U20" t="s">
        <v>60</v>
      </c>
      <c r="V20" t="s">
        <v>61</v>
      </c>
      <c r="W20" s="2">
        <v>0</v>
      </c>
      <c r="X20" s="2">
        <v>36.020000000000003</v>
      </c>
      <c r="Y20" s="2">
        <v>36.020000000000003</v>
      </c>
      <c r="Z20" s="5" t="s">
        <v>119</v>
      </c>
    </row>
    <row r="21" spans="1:26" s="5" customFormat="1" x14ac:dyDescent="0.25">
      <c r="A21">
        <v>2026616497</v>
      </c>
      <c r="B21" t="s">
        <v>586</v>
      </c>
      <c r="C21" t="s">
        <v>354</v>
      </c>
      <c r="D21" s="5" t="str">
        <f t="shared" si="2"/>
        <v>RAGGETT JAMES</v>
      </c>
      <c r="E21" t="s">
        <v>182</v>
      </c>
      <c r="F21" t="s">
        <v>53</v>
      </c>
      <c r="G21" t="s">
        <v>119</v>
      </c>
      <c r="H21">
        <v>8977234</v>
      </c>
      <c r="I21" t="s">
        <v>55</v>
      </c>
      <c r="J21" t="s">
        <v>56</v>
      </c>
      <c r="K21" t="str">
        <f t="shared" si="0"/>
        <v>RYAN CALTAGIRONE</v>
      </c>
      <c r="L21" t="s">
        <v>57</v>
      </c>
      <c r="M21" s="1">
        <v>45689</v>
      </c>
      <c r="N21" s="1">
        <v>45992</v>
      </c>
      <c r="O21" s="2">
        <v>25.73</v>
      </c>
      <c r="P21">
        <f t="shared" si="1"/>
        <v>10</v>
      </c>
      <c r="Q21" t="s">
        <v>264</v>
      </c>
      <c r="R21" t="s">
        <v>1086</v>
      </c>
      <c r="S21" t="s">
        <v>58</v>
      </c>
      <c r="T21" s="3">
        <v>0.7</v>
      </c>
      <c r="U21" t="s">
        <v>60</v>
      </c>
      <c r="V21" t="s">
        <v>61</v>
      </c>
      <c r="W21" s="2">
        <v>0</v>
      </c>
      <c r="X21" s="2">
        <v>18.010000000000002</v>
      </c>
      <c r="Y21" s="2">
        <v>18.010000000000002</v>
      </c>
      <c r="Z21" s="5" t="s">
        <v>119</v>
      </c>
    </row>
    <row r="22" spans="1:26" s="5" customFormat="1" x14ac:dyDescent="0.25">
      <c r="A22">
        <v>2026619109</v>
      </c>
      <c r="B22" t="s">
        <v>591</v>
      </c>
      <c r="C22" t="s">
        <v>592</v>
      </c>
      <c r="D22" s="5" t="str">
        <f t="shared" si="2"/>
        <v>BRUCK MAX</v>
      </c>
      <c r="E22" t="s">
        <v>165</v>
      </c>
      <c r="F22" t="s">
        <v>53</v>
      </c>
      <c r="G22" t="s">
        <v>119</v>
      </c>
      <c r="H22">
        <v>8977234</v>
      </c>
      <c r="I22" t="s">
        <v>55</v>
      </c>
      <c r="J22" t="s">
        <v>56</v>
      </c>
      <c r="K22" t="str">
        <f t="shared" si="0"/>
        <v>RYAN CALTAGIRONE</v>
      </c>
      <c r="L22" t="s">
        <v>57</v>
      </c>
      <c r="M22" s="1">
        <v>45689</v>
      </c>
      <c r="N22" s="1">
        <v>45992</v>
      </c>
      <c r="O22" s="2">
        <v>85.53</v>
      </c>
      <c r="P22">
        <f t="shared" si="1"/>
        <v>10</v>
      </c>
      <c r="Q22" t="s">
        <v>264</v>
      </c>
      <c r="R22" t="s">
        <v>1086</v>
      </c>
      <c r="S22" t="s">
        <v>58</v>
      </c>
      <c r="T22" s="3">
        <v>0.7</v>
      </c>
      <c r="U22" t="s">
        <v>60</v>
      </c>
      <c r="V22" t="s">
        <v>61</v>
      </c>
      <c r="W22" s="2">
        <v>0</v>
      </c>
      <c r="X22" s="2">
        <v>59.87</v>
      </c>
      <c r="Y22" s="2">
        <v>59.87</v>
      </c>
      <c r="Z22" s="5" t="s">
        <v>119</v>
      </c>
    </row>
    <row r="23" spans="1:26" s="5" customFormat="1" x14ac:dyDescent="0.25">
      <c r="A23">
        <v>2026807604</v>
      </c>
      <c r="B23" t="s">
        <v>598</v>
      </c>
      <c r="C23" t="s">
        <v>599</v>
      </c>
      <c r="D23" s="5" t="str">
        <f t="shared" si="2"/>
        <v>HEON AUDREY</v>
      </c>
      <c r="E23" t="s">
        <v>247</v>
      </c>
      <c r="F23" t="s">
        <v>53</v>
      </c>
      <c r="G23" t="s">
        <v>119</v>
      </c>
      <c r="H23">
        <v>8977234</v>
      </c>
      <c r="I23" t="s">
        <v>55</v>
      </c>
      <c r="J23" t="s">
        <v>56</v>
      </c>
      <c r="K23" t="str">
        <f t="shared" si="0"/>
        <v>RYAN CALTAGIRONE</v>
      </c>
      <c r="L23" t="s">
        <v>57</v>
      </c>
      <c r="M23" s="1">
        <v>45689</v>
      </c>
      <c r="N23" s="1">
        <v>45992</v>
      </c>
      <c r="O23" s="2">
        <v>23.39</v>
      </c>
      <c r="P23">
        <f t="shared" si="1"/>
        <v>10</v>
      </c>
      <c r="Q23" t="s">
        <v>264</v>
      </c>
      <c r="R23" t="s">
        <v>1086</v>
      </c>
      <c r="S23" t="s">
        <v>58</v>
      </c>
      <c r="T23" s="3">
        <v>0.7</v>
      </c>
      <c r="U23" t="s">
        <v>60</v>
      </c>
      <c r="V23" t="s">
        <v>61</v>
      </c>
      <c r="W23" s="2">
        <v>0</v>
      </c>
      <c r="X23" s="2">
        <v>16.37</v>
      </c>
      <c r="Y23" s="2">
        <v>16.37</v>
      </c>
      <c r="Z23" s="5" t="s">
        <v>119</v>
      </c>
    </row>
    <row r="24" spans="1:26" s="5" customFormat="1" x14ac:dyDescent="0.25">
      <c r="A24">
        <v>2025934065</v>
      </c>
      <c r="B24" t="s">
        <v>508</v>
      </c>
      <c r="C24" t="s">
        <v>509</v>
      </c>
      <c r="D24" s="5" t="str">
        <f t="shared" si="2"/>
        <v>BOJAZI GIANNA</v>
      </c>
      <c r="E24" t="s">
        <v>195</v>
      </c>
      <c r="F24" t="s">
        <v>53</v>
      </c>
      <c r="G24" t="s">
        <v>119</v>
      </c>
      <c r="H24">
        <v>18781057</v>
      </c>
      <c r="I24" t="s">
        <v>349</v>
      </c>
      <c r="J24" t="s">
        <v>312</v>
      </c>
      <c r="K24" t="str">
        <f t="shared" si="0"/>
        <v>JOHN ROKEN</v>
      </c>
      <c r="L24" t="s">
        <v>57</v>
      </c>
      <c r="M24" s="1">
        <v>45627</v>
      </c>
      <c r="N24" s="1">
        <v>45962</v>
      </c>
      <c r="O24" s="2">
        <v>25.73</v>
      </c>
      <c r="P24">
        <f t="shared" si="1"/>
        <v>11</v>
      </c>
      <c r="Q24" t="s">
        <v>264</v>
      </c>
      <c r="R24" t="s">
        <v>1086</v>
      </c>
      <c r="S24" t="s">
        <v>58</v>
      </c>
      <c r="T24" s="3">
        <v>0.7</v>
      </c>
      <c r="U24" t="s">
        <v>60</v>
      </c>
      <c r="V24" t="s">
        <v>61</v>
      </c>
      <c r="W24" s="2">
        <v>0</v>
      </c>
      <c r="X24" s="2">
        <v>18.010000000000002</v>
      </c>
      <c r="Y24" s="2">
        <v>18.010000000000002</v>
      </c>
      <c r="Z24" s="5" t="s">
        <v>119</v>
      </c>
    </row>
    <row r="25" spans="1:26" s="5" customFormat="1" x14ac:dyDescent="0.25">
      <c r="A25">
        <v>2025303845</v>
      </c>
      <c r="B25" t="s">
        <v>503</v>
      </c>
      <c r="C25" t="s">
        <v>504</v>
      </c>
      <c r="D25" s="5" t="str">
        <f t="shared" si="2"/>
        <v>HUANG JERRY</v>
      </c>
      <c r="E25" t="s">
        <v>195</v>
      </c>
      <c r="F25" t="s">
        <v>53</v>
      </c>
      <c r="G25" t="s">
        <v>119</v>
      </c>
      <c r="H25">
        <v>17425766</v>
      </c>
      <c r="I25" t="s">
        <v>357</v>
      </c>
      <c r="J25" t="s">
        <v>358</v>
      </c>
      <c r="K25" t="str">
        <f t="shared" si="0"/>
        <v>CAROL FOLEY</v>
      </c>
      <c r="L25" t="s">
        <v>57</v>
      </c>
      <c r="M25" s="1">
        <v>45597</v>
      </c>
      <c r="N25" s="1">
        <v>45992</v>
      </c>
      <c r="O25" s="2">
        <v>25.73</v>
      </c>
      <c r="P25">
        <f t="shared" si="1"/>
        <v>13</v>
      </c>
      <c r="Q25" t="s">
        <v>264</v>
      </c>
      <c r="R25" t="s">
        <v>1086</v>
      </c>
      <c r="S25" t="s">
        <v>58</v>
      </c>
      <c r="T25" s="3">
        <v>0.15</v>
      </c>
      <c r="U25" t="s">
        <v>264</v>
      </c>
      <c r="V25" t="s">
        <v>61</v>
      </c>
      <c r="W25" s="2">
        <v>0</v>
      </c>
      <c r="X25" s="2">
        <v>3.86</v>
      </c>
      <c r="Y25" s="2">
        <v>3.86</v>
      </c>
      <c r="Z25" s="5" t="s">
        <v>119</v>
      </c>
    </row>
    <row r="26" spans="1:26" s="5" customFormat="1" x14ac:dyDescent="0.25">
      <c r="A26">
        <v>2025466192</v>
      </c>
      <c r="B26" t="s">
        <v>670</v>
      </c>
      <c r="C26" t="s">
        <v>671</v>
      </c>
      <c r="D26" s="5" t="str">
        <f t="shared" si="2"/>
        <v>PEGLER ABIGAIL</v>
      </c>
      <c r="E26" t="s">
        <v>195</v>
      </c>
      <c r="F26" t="s">
        <v>53</v>
      </c>
      <c r="G26" t="s">
        <v>119</v>
      </c>
      <c r="H26">
        <v>17425766</v>
      </c>
      <c r="I26" t="s">
        <v>357</v>
      </c>
      <c r="J26" t="s">
        <v>358</v>
      </c>
      <c r="K26" t="str">
        <f t="shared" si="0"/>
        <v>CAROL FOLEY</v>
      </c>
      <c r="L26" t="s">
        <v>57</v>
      </c>
      <c r="M26" s="1">
        <v>45597</v>
      </c>
      <c r="N26" s="1">
        <v>45992</v>
      </c>
      <c r="O26" s="2">
        <v>25.73</v>
      </c>
      <c r="P26">
        <f t="shared" si="1"/>
        <v>13</v>
      </c>
      <c r="Q26" t="s">
        <v>264</v>
      </c>
      <c r="R26" t="s">
        <v>1086</v>
      </c>
      <c r="S26" t="s">
        <v>58</v>
      </c>
      <c r="T26" s="3">
        <v>0.15</v>
      </c>
      <c r="U26" t="s">
        <v>264</v>
      </c>
      <c r="V26" t="s">
        <v>61</v>
      </c>
      <c r="W26" s="2">
        <v>0</v>
      </c>
      <c r="X26" s="2">
        <v>3.86</v>
      </c>
      <c r="Y26" s="2">
        <v>3.86</v>
      </c>
      <c r="Z26" s="5" t="s">
        <v>119</v>
      </c>
    </row>
    <row r="27" spans="1:26" s="5" customFormat="1" x14ac:dyDescent="0.25">
      <c r="A27">
        <v>2024384776</v>
      </c>
      <c r="B27" t="s">
        <v>578</v>
      </c>
      <c r="C27" t="s">
        <v>413</v>
      </c>
      <c r="D27" s="5" t="str">
        <f t="shared" si="2"/>
        <v>BUSCHELL BRIAN</v>
      </c>
      <c r="E27" t="s">
        <v>182</v>
      </c>
      <c r="F27" t="s">
        <v>53</v>
      </c>
      <c r="G27" t="s">
        <v>119</v>
      </c>
      <c r="H27">
        <v>8977234</v>
      </c>
      <c r="I27" t="s">
        <v>55</v>
      </c>
      <c r="J27" t="s">
        <v>56</v>
      </c>
      <c r="K27" t="str">
        <f t="shared" si="0"/>
        <v>RYAN CALTAGIRONE</v>
      </c>
      <c r="L27" t="s">
        <v>57</v>
      </c>
      <c r="M27" s="1">
        <v>45536</v>
      </c>
      <c r="N27" s="1">
        <v>45992</v>
      </c>
      <c r="O27" s="2">
        <v>25.73</v>
      </c>
      <c r="P27">
        <f t="shared" si="1"/>
        <v>15</v>
      </c>
      <c r="Q27" t="s">
        <v>264</v>
      </c>
      <c r="R27" t="s">
        <v>1086</v>
      </c>
      <c r="S27" t="s">
        <v>58</v>
      </c>
      <c r="T27" s="3">
        <v>0.15</v>
      </c>
      <c r="U27" t="s">
        <v>264</v>
      </c>
      <c r="V27" t="s">
        <v>61</v>
      </c>
      <c r="W27" s="2">
        <v>0</v>
      </c>
      <c r="X27" s="2">
        <v>3.86</v>
      </c>
      <c r="Y27" s="2">
        <v>3.86</v>
      </c>
      <c r="Z27" s="5" t="s">
        <v>119</v>
      </c>
    </row>
    <row r="28" spans="1:26" s="5" customFormat="1" x14ac:dyDescent="0.25">
      <c r="A28">
        <v>2024460936</v>
      </c>
      <c r="B28" t="s">
        <v>756</v>
      </c>
      <c r="C28" t="s">
        <v>757</v>
      </c>
      <c r="D28" s="5" t="str">
        <f t="shared" si="2"/>
        <v>CULLIMORE SHAYLEE</v>
      </c>
      <c r="E28" t="s">
        <v>636</v>
      </c>
      <c r="F28" t="s">
        <v>53</v>
      </c>
      <c r="G28" t="s">
        <v>119</v>
      </c>
      <c r="H28">
        <v>8977234</v>
      </c>
      <c r="I28" t="s">
        <v>55</v>
      </c>
      <c r="J28" t="s">
        <v>56</v>
      </c>
      <c r="K28" t="str">
        <f t="shared" si="0"/>
        <v>RYAN CALTAGIRONE</v>
      </c>
      <c r="L28" t="s">
        <v>57</v>
      </c>
      <c r="M28" s="1">
        <v>45536</v>
      </c>
      <c r="N28" s="1">
        <v>45992</v>
      </c>
      <c r="O28" s="2">
        <v>59.8</v>
      </c>
      <c r="P28">
        <f t="shared" si="1"/>
        <v>15</v>
      </c>
      <c r="Q28" t="s">
        <v>264</v>
      </c>
      <c r="R28" t="s">
        <v>1086</v>
      </c>
      <c r="S28" t="s">
        <v>58</v>
      </c>
      <c r="T28" s="3">
        <v>0.15</v>
      </c>
      <c r="U28" t="s">
        <v>264</v>
      </c>
      <c r="V28" t="s">
        <v>61</v>
      </c>
      <c r="W28" s="2">
        <v>0</v>
      </c>
      <c r="X28" s="2">
        <v>8.9700000000000006</v>
      </c>
      <c r="Y28" s="2">
        <v>8.9700000000000006</v>
      </c>
      <c r="Z28" s="5" t="s">
        <v>119</v>
      </c>
    </row>
    <row r="29" spans="1:26" s="5" customFormat="1" x14ac:dyDescent="0.25">
      <c r="A29">
        <v>2024417986</v>
      </c>
      <c r="B29" t="s">
        <v>498</v>
      </c>
      <c r="C29" t="s">
        <v>56</v>
      </c>
      <c r="D29" s="5" t="str">
        <f t="shared" si="2"/>
        <v>DEHART RYAN</v>
      </c>
      <c r="E29" t="s">
        <v>195</v>
      </c>
      <c r="F29" t="s">
        <v>53</v>
      </c>
      <c r="G29" t="s">
        <v>119</v>
      </c>
      <c r="H29">
        <v>18010408</v>
      </c>
      <c r="I29" t="s">
        <v>499</v>
      </c>
      <c r="J29" t="s">
        <v>110</v>
      </c>
      <c r="K29" t="str">
        <f t="shared" si="0"/>
        <v>WILLIAM SCHAEFFER</v>
      </c>
      <c r="L29" t="s">
        <v>57</v>
      </c>
      <c r="M29" s="1">
        <v>45536</v>
      </c>
      <c r="N29" s="1">
        <v>45992</v>
      </c>
      <c r="O29" s="2">
        <v>25.73</v>
      </c>
      <c r="P29">
        <f t="shared" si="1"/>
        <v>15</v>
      </c>
      <c r="Q29" t="s">
        <v>264</v>
      </c>
      <c r="R29" t="s">
        <v>1086</v>
      </c>
      <c r="S29" t="s">
        <v>58</v>
      </c>
      <c r="T29" s="3">
        <v>0.15</v>
      </c>
      <c r="U29" t="s">
        <v>264</v>
      </c>
      <c r="V29" t="s">
        <v>61</v>
      </c>
      <c r="W29" s="2">
        <v>0</v>
      </c>
      <c r="X29" s="2">
        <v>3.86</v>
      </c>
      <c r="Y29" s="2">
        <v>3.86</v>
      </c>
      <c r="Z29" s="5" t="s">
        <v>119</v>
      </c>
    </row>
    <row r="30" spans="1:26" s="5" customFormat="1" x14ac:dyDescent="0.25">
      <c r="A30">
        <v>2022351916</v>
      </c>
      <c r="B30" t="s">
        <v>752</v>
      </c>
      <c r="C30" t="s">
        <v>106</v>
      </c>
      <c r="D30" s="5" t="str">
        <f t="shared" si="2"/>
        <v>FARNAM ETHAN</v>
      </c>
      <c r="E30" t="s">
        <v>69</v>
      </c>
      <c r="F30" t="s">
        <v>53</v>
      </c>
      <c r="G30" t="s">
        <v>119</v>
      </c>
      <c r="H30">
        <v>8977234</v>
      </c>
      <c r="I30" t="s">
        <v>55</v>
      </c>
      <c r="J30" t="s">
        <v>56</v>
      </c>
      <c r="K30" t="str">
        <f t="shared" si="0"/>
        <v>RYAN CALTAGIRONE</v>
      </c>
      <c r="L30" t="s">
        <v>57</v>
      </c>
      <c r="M30" s="1">
        <v>45383</v>
      </c>
      <c r="N30" s="1">
        <v>45992</v>
      </c>
      <c r="O30" s="2">
        <v>25.73</v>
      </c>
      <c r="P30">
        <f t="shared" si="1"/>
        <v>20</v>
      </c>
      <c r="Q30" t="s">
        <v>264</v>
      </c>
      <c r="R30" t="s">
        <v>1086</v>
      </c>
      <c r="S30" t="s">
        <v>58</v>
      </c>
      <c r="T30" s="3">
        <v>0.15</v>
      </c>
      <c r="U30" t="s">
        <v>264</v>
      </c>
      <c r="V30" t="s">
        <v>61</v>
      </c>
      <c r="W30" s="2">
        <v>0</v>
      </c>
      <c r="X30" s="2">
        <v>3.86</v>
      </c>
      <c r="Y30" s="2">
        <v>3.86</v>
      </c>
      <c r="Z30" s="5" t="s">
        <v>119</v>
      </c>
    </row>
    <row r="31" spans="1:26" s="5" customFormat="1" x14ac:dyDescent="0.25">
      <c r="A31">
        <v>2022371781</v>
      </c>
      <c r="B31" t="s">
        <v>672</v>
      </c>
      <c r="C31" t="s">
        <v>524</v>
      </c>
      <c r="D31" s="5" t="str">
        <f t="shared" si="2"/>
        <v>MURPHY SHAWN</v>
      </c>
      <c r="E31" t="s">
        <v>52</v>
      </c>
      <c r="F31" t="s">
        <v>53</v>
      </c>
      <c r="G31" t="s">
        <v>119</v>
      </c>
      <c r="H31">
        <v>8977234</v>
      </c>
      <c r="I31" t="s">
        <v>55</v>
      </c>
      <c r="J31" t="s">
        <v>56</v>
      </c>
      <c r="K31" t="str">
        <f t="shared" si="0"/>
        <v>RYAN CALTAGIRONE</v>
      </c>
      <c r="L31" t="s">
        <v>57</v>
      </c>
      <c r="M31" s="1">
        <v>45383</v>
      </c>
      <c r="N31" s="1">
        <v>45992</v>
      </c>
      <c r="O31" s="2">
        <v>51.46</v>
      </c>
      <c r="P31">
        <f t="shared" si="1"/>
        <v>20</v>
      </c>
      <c r="Q31" t="s">
        <v>264</v>
      </c>
      <c r="R31" t="s">
        <v>1086</v>
      </c>
      <c r="S31" t="s">
        <v>58</v>
      </c>
      <c r="T31" s="3">
        <v>0.15</v>
      </c>
      <c r="U31" t="s">
        <v>264</v>
      </c>
      <c r="V31" t="s">
        <v>61</v>
      </c>
      <c r="W31" s="2">
        <v>0</v>
      </c>
      <c r="X31" s="2">
        <v>7.72</v>
      </c>
      <c r="Y31" s="2">
        <v>7.72</v>
      </c>
      <c r="Z31" s="5" t="s">
        <v>119</v>
      </c>
    </row>
    <row r="32" spans="1:26" s="5" customFormat="1" x14ac:dyDescent="0.25">
      <c r="A32">
        <v>2021137941</v>
      </c>
      <c r="B32" t="s">
        <v>745</v>
      </c>
      <c r="C32" t="s">
        <v>746</v>
      </c>
      <c r="D32" s="5" t="str">
        <f t="shared" si="2"/>
        <v>STEAD PAUL</v>
      </c>
      <c r="E32" t="s">
        <v>195</v>
      </c>
      <c r="F32" t="s">
        <v>53</v>
      </c>
      <c r="G32" t="s">
        <v>119</v>
      </c>
      <c r="H32">
        <v>15278437</v>
      </c>
      <c r="I32" t="s">
        <v>313</v>
      </c>
      <c r="J32" t="s">
        <v>314</v>
      </c>
      <c r="K32" t="str">
        <f t="shared" si="0"/>
        <v>JASON HOFFMANN</v>
      </c>
      <c r="L32" t="s">
        <v>57</v>
      </c>
      <c r="M32" s="1">
        <v>45323</v>
      </c>
      <c r="N32" s="1">
        <v>45992</v>
      </c>
      <c r="O32" s="2">
        <v>25.73</v>
      </c>
      <c r="P32">
        <f t="shared" si="1"/>
        <v>22</v>
      </c>
      <c r="Q32" t="s">
        <v>264</v>
      </c>
      <c r="R32" t="s">
        <v>1086</v>
      </c>
      <c r="S32" t="s">
        <v>58</v>
      </c>
      <c r="T32" s="3">
        <v>0.15</v>
      </c>
      <c r="U32" t="s">
        <v>264</v>
      </c>
      <c r="V32" t="s">
        <v>61</v>
      </c>
      <c r="W32" s="2">
        <v>0</v>
      </c>
      <c r="X32" s="2">
        <v>3.86</v>
      </c>
      <c r="Y32" s="2">
        <v>3.86</v>
      </c>
      <c r="Z32" s="5" t="s">
        <v>119</v>
      </c>
    </row>
    <row r="33" spans="1:26" s="5" customFormat="1" x14ac:dyDescent="0.25">
      <c r="A33">
        <v>2021537049</v>
      </c>
      <c r="B33" t="s">
        <v>749</v>
      </c>
      <c r="C33" t="s">
        <v>415</v>
      </c>
      <c r="D33" s="5" t="str">
        <f t="shared" si="2"/>
        <v>HUMPHRIES BENJAMIN</v>
      </c>
      <c r="E33" t="s">
        <v>247</v>
      </c>
      <c r="F33" t="s">
        <v>53</v>
      </c>
      <c r="G33" t="s">
        <v>119</v>
      </c>
      <c r="H33">
        <v>8977234</v>
      </c>
      <c r="I33" t="s">
        <v>55</v>
      </c>
      <c r="J33" t="s">
        <v>56</v>
      </c>
      <c r="K33" t="str">
        <f t="shared" si="0"/>
        <v>RYAN CALTAGIRONE</v>
      </c>
      <c r="L33" t="s">
        <v>57</v>
      </c>
      <c r="M33" s="1">
        <v>45323</v>
      </c>
      <c r="N33" s="1">
        <v>45992</v>
      </c>
      <c r="O33" s="2">
        <v>46.78</v>
      </c>
      <c r="P33">
        <f t="shared" si="1"/>
        <v>22</v>
      </c>
      <c r="Q33" t="s">
        <v>264</v>
      </c>
      <c r="R33" t="s">
        <v>1086</v>
      </c>
      <c r="S33" t="s">
        <v>58</v>
      </c>
      <c r="T33" s="3">
        <v>0.15</v>
      </c>
      <c r="U33" t="s">
        <v>264</v>
      </c>
      <c r="V33" t="s">
        <v>61</v>
      </c>
      <c r="W33" s="2">
        <v>0</v>
      </c>
      <c r="X33" s="2">
        <v>7.02</v>
      </c>
      <c r="Y33" s="2">
        <v>7.02</v>
      </c>
      <c r="Z33" s="5" t="s">
        <v>119</v>
      </c>
    </row>
    <row r="34" spans="1:26" s="5" customFormat="1" x14ac:dyDescent="0.25">
      <c r="A34">
        <v>2020393564</v>
      </c>
      <c r="B34" t="s">
        <v>486</v>
      </c>
      <c r="C34" t="s">
        <v>487</v>
      </c>
      <c r="D34" s="5" t="str">
        <f t="shared" si="2"/>
        <v>SHEFFIELD LOIS</v>
      </c>
      <c r="E34" t="s">
        <v>276</v>
      </c>
      <c r="F34" t="s">
        <v>53</v>
      </c>
      <c r="G34" t="s">
        <v>119</v>
      </c>
      <c r="H34">
        <v>8977234</v>
      </c>
      <c r="I34" t="s">
        <v>55</v>
      </c>
      <c r="J34" t="s">
        <v>56</v>
      </c>
      <c r="K34" t="str">
        <f t="shared" si="0"/>
        <v>RYAN CALTAGIRONE</v>
      </c>
      <c r="L34" t="s">
        <v>57</v>
      </c>
      <c r="M34" s="1">
        <v>45231</v>
      </c>
      <c r="N34" s="1">
        <v>45992</v>
      </c>
      <c r="O34" s="2">
        <v>42.88</v>
      </c>
      <c r="P34">
        <f t="shared" si="1"/>
        <v>25</v>
      </c>
      <c r="Q34" t="s">
        <v>264</v>
      </c>
      <c r="R34" t="s">
        <v>1086</v>
      </c>
      <c r="S34" t="s">
        <v>58</v>
      </c>
      <c r="T34" s="3">
        <v>0.15</v>
      </c>
      <c r="U34" t="s">
        <v>264</v>
      </c>
      <c r="V34" t="s">
        <v>61</v>
      </c>
      <c r="W34" s="2">
        <v>0</v>
      </c>
      <c r="X34" s="2">
        <v>6.43</v>
      </c>
      <c r="Y34" s="2">
        <v>6.43</v>
      </c>
      <c r="Z34" s="5" t="s">
        <v>119</v>
      </c>
    </row>
    <row r="35" spans="1:26" s="5" customFormat="1" x14ac:dyDescent="0.25">
      <c r="A35">
        <v>2019690812</v>
      </c>
      <c r="B35" t="s">
        <v>658</v>
      </c>
      <c r="C35" t="s">
        <v>366</v>
      </c>
      <c r="D35" s="5" t="str">
        <f t="shared" si="2"/>
        <v>MOONEY GALEN</v>
      </c>
      <c r="E35" t="s">
        <v>118</v>
      </c>
      <c r="F35" t="s">
        <v>53</v>
      </c>
      <c r="G35" t="s">
        <v>119</v>
      </c>
      <c r="H35">
        <v>9079571</v>
      </c>
      <c r="I35" t="s">
        <v>155</v>
      </c>
      <c r="J35" t="s">
        <v>156</v>
      </c>
      <c r="K35" t="str">
        <f t="shared" si="0"/>
        <v>ADAM RICHTER</v>
      </c>
      <c r="L35" t="s">
        <v>57</v>
      </c>
      <c r="M35" s="1">
        <v>45170</v>
      </c>
      <c r="N35" s="1">
        <v>45992</v>
      </c>
      <c r="O35" s="2">
        <v>24.61</v>
      </c>
      <c r="P35">
        <f t="shared" si="1"/>
        <v>27</v>
      </c>
      <c r="Q35" t="s">
        <v>264</v>
      </c>
      <c r="R35" t="s">
        <v>1086</v>
      </c>
      <c r="S35" t="s">
        <v>58</v>
      </c>
      <c r="T35" s="3">
        <v>0.15</v>
      </c>
      <c r="U35" t="s">
        <v>264</v>
      </c>
      <c r="V35" t="s">
        <v>61</v>
      </c>
      <c r="W35" s="2">
        <v>0</v>
      </c>
      <c r="X35" s="2">
        <v>3.69</v>
      </c>
      <c r="Y35" s="2">
        <v>3.69</v>
      </c>
      <c r="Z35" s="5" t="s">
        <v>119</v>
      </c>
    </row>
    <row r="36" spans="1:26" s="5" customFormat="1" x14ac:dyDescent="0.25">
      <c r="A36">
        <v>2018617831</v>
      </c>
      <c r="B36" t="s">
        <v>56</v>
      </c>
      <c r="C36" t="s">
        <v>732</v>
      </c>
      <c r="D36" s="5" t="str">
        <f t="shared" si="2"/>
        <v>RYAN RAVEN</v>
      </c>
      <c r="E36"/>
      <c r="F36" t="s">
        <v>53</v>
      </c>
      <c r="G36" t="s">
        <v>119</v>
      </c>
      <c r="H36">
        <v>9079571</v>
      </c>
      <c r="I36" t="s">
        <v>155</v>
      </c>
      <c r="J36" t="s">
        <v>156</v>
      </c>
      <c r="K36" t="str">
        <f t="shared" si="0"/>
        <v>ADAM RICHTER</v>
      </c>
      <c r="L36" t="s">
        <v>57</v>
      </c>
      <c r="M36" s="1">
        <v>45078</v>
      </c>
      <c r="N36" s="1">
        <v>45992</v>
      </c>
      <c r="O36" s="2">
        <v>24.61</v>
      </c>
      <c r="P36">
        <f t="shared" si="1"/>
        <v>30</v>
      </c>
      <c r="Q36" t="s">
        <v>264</v>
      </c>
      <c r="R36" t="s">
        <v>1086</v>
      </c>
      <c r="S36" t="s">
        <v>58</v>
      </c>
      <c r="T36" s="3">
        <v>0.15</v>
      </c>
      <c r="U36" t="s">
        <v>264</v>
      </c>
      <c r="V36" t="s">
        <v>61</v>
      </c>
      <c r="W36" s="2">
        <v>0</v>
      </c>
      <c r="X36" s="2">
        <v>3.69</v>
      </c>
      <c r="Y36" s="2">
        <v>3.69</v>
      </c>
      <c r="Z36" s="5" t="s">
        <v>119</v>
      </c>
    </row>
    <row r="37" spans="1:26" s="5" customFormat="1" x14ac:dyDescent="0.25">
      <c r="A37">
        <v>2018717243</v>
      </c>
      <c r="B37" t="s">
        <v>733</v>
      </c>
      <c r="C37" t="s">
        <v>167</v>
      </c>
      <c r="D37" s="5" t="str">
        <f t="shared" si="2"/>
        <v>LAIOS CHARLES</v>
      </c>
      <c r="E37"/>
      <c r="F37" t="s">
        <v>53</v>
      </c>
      <c r="G37" t="s">
        <v>119</v>
      </c>
      <c r="H37">
        <v>9079571</v>
      </c>
      <c r="I37" t="s">
        <v>155</v>
      </c>
      <c r="J37" t="s">
        <v>156</v>
      </c>
      <c r="K37" t="str">
        <f t="shared" si="0"/>
        <v>ADAM RICHTER</v>
      </c>
      <c r="L37" t="s">
        <v>57</v>
      </c>
      <c r="M37" s="1">
        <v>45078</v>
      </c>
      <c r="N37" s="1">
        <v>45992</v>
      </c>
      <c r="O37" s="2">
        <v>24.61</v>
      </c>
      <c r="P37">
        <f t="shared" si="1"/>
        <v>30</v>
      </c>
      <c r="Q37" t="s">
        <v>264</v>
      </c>
      <c r="R37" t="s">
        <v>1086</v>
      </c>
      <c r="S37" t="s">
        <v>58</v>
      </c>
      <c r="T37" s="3">
        <v>0.15</v>
      </c>
      <c r="U37" t="s">
        <v>264</v>
      </c>
      <c r="V37" t="s">
        <v>61</v>
      </c>
      <c r="W37" s="2">
        <v>0</v>
      </c>
      <c r="X37" s="2">
        <v>3.69</v>
      </c>
      <c r="Y37" s="2">
        <v>3.69</v>
      </c>
      <c r="Z37" s="5" t="s">
        <v>119</v>
      </c>
    </row>
    <row r="38" spans="1:26" s="5" customFormat="1" x14ac:dyDescent="0.25">
      <c r="A38">
        <v>2018036451</v>
      </c>
      <c r="B38" t="s">
        <v>695</v>
      </c>
      <c r="C38" t="s">
        <v>727</v>
      </c>
      <c r="D38" s="5" t="str">
        <f t="shared" si="2"/>
        <v>KIRSCH NEAL</v>
      </c>
      <c r="E38" t="s">
        <v>118</v>
      </c>
      <c r="F38" t="s">
        <v>53</v>
      </c>
      <c r="G38" t="s">
        <v>119</v>
      </c>
      <c r="H38">
        <v>9079571</v>
      </c>
      <c r="I38" t="s">
        <v>155</v>
      </c>
      <c r="J38" t="s">
        <v>156</v>
      </c>
      <c r="K38" t="str">
        <f t="shared" si="0"/>
        <v>ADAM RICHTER</v>
      </c>
      <c r="L38" t="s">
        <v>57</v>
      </c>
      <c r="M38" s="1">
        <v>45017</v>
      </c>
      <c r="N38" s="1">
        <v>45992</v>
      </c>
      <c r="O38" s="2">
        <v>24.61</v>
      </c>
      <c r="P38">
        <f t="shared" si="1"/>
        <v>32</v>
      </c>
      <c r="Q38" t="s">
        <v>264</v>
      </c>
      <c r="R38" t="s">
        <v>1086</v>
      </c>
      <c r="S38" t="s">
        <v>58</v>
      </c>
      <c r="T38" s="3">
        <v>0.15</v>
      </c>
      <c r="U38" t="s">
        <v>264</v>
      </c>
      <c r="V38" t="s">
        <v>61</v>
      </c>
      <c r="W38" s="2">
        <v>0</v>
      </c>
      <c r="X38" s="2">
        <v>3.69</v>
      </c>
      <c r="Y38" s="2">
        <v>3.69</v>
      </c>
      <c r="Z38" s="5" t="s">
        <v>119</v>
      </c>
    </row>
    <row r="39" spans="1:26" s="5" customFormat="1" x14ac:dyDescent="0.25">
      <c r="A39">
        <v>2018214085</v>
      </c>
      <c r="B39" t="s">
        <v>730</v>
      </c>
      <c r="C39" t="s">
        <v>731</v>
      </c>
      <c r="D39" s="5" t="str">
        <f t="shared" si="2"/>
        <v>BURZO CONCETTA</v>
      </c>
      <c r="E39" t="s">
        <v>118</v>
      </c>
      <c r="F39" t="s">
        <v>53</v>
      </c>
      <c r="G39" t="s">
        <v>119</v>
      </c>
      <c r="H39">
        <v>9079571</v>
      </c>
      <c r="I39" t="s">
        <v>155</v>
      </c>
      <c r="J39" t="s">
        <v>156</v>
      </c>
      <c r="K39" t="str">
        <f t="shared" si="0"/>
        <v>ADAM RICHTER</v>
      </c>
      <c r="L39" t="s">
        <v>57</v>
      </c>
      <c r="M39" s="1">
        <v>45017</v>
      </c>
      <c r="N39" s="1">
        <v>45992</v>
      </c>
      <c r="O39" s="2">
        <v>24.61</v>
      </c>
      <c r="P39">
        <f t="shared" si="1"/>
        <v>32</v>
      </c>
      <c r="Q39" t="s">
        <v>264</v>
      </c>
      <c r="R39" t="s">
        <v>1086</v>
      </c>
      <c r="S39" t="s">
        <v>58</v>
      </c>
      <c r="T39" s="3">
        <v>0.15</v>
      </c>
      <c r="U39" t="s">
        <v>264</v>
      </c>
      <c r="V39" t="s">
        <v>61</v>
      </c>
      <c r="W39" s="2">
        <v>0</v>
      </c>
      <c r="X39" s="2">
        <v>3.69</v>
      </c>
      <c r="Y39" s="2">
        <v>3.69</v>
      </c>
      <c r="Z39" s="5" t="s">
        <v>119</v>
      </c>
    </row>
    <row r="40" spans="1:26" s="5" customFormat="1" x14ac:dyDescent="0.25">
      <c r="A40">
        <v>2017340028</v>
      </c>
      <c r="B40" t="s">
        <v>484</v>
      </c>
      <c r="C40" t="s">
        <v>415</v>
      </c>
      <c r="D40" s="5" t="str">
        <f t="shared" si="2"/>
        <v>LANDER BENJAMIN</v>
      </c>
      <c r="E40" t="s">
        <v>195</v>
      </c>
      <c r="F40" t="s">
        <v>53</v>
      </c>
      <c r="G40" t="s">
        <v>119</v>
      </c>
      <c r="H40">
        <v>9079571</v>
      </c>
      <c r="I40" t="s">
        <v>155</v>
      </c>
      <c r="J40" t="s">
        <v>156</v>
      </c>
      <c r="K40" t="str">
        <f t="shared" si="0"/>
        <v>ADAM RICHTER</v>
      </c>
      <c r="L40" t="s">
        <v>57</v>
      </c>
      <c r="M40" s="1">
        <v>44958</v>
      </c>
      <c r="N40" s="1">
        <v>45992</v>
      </c>
      <c r="O40" s="2">
        <v>51.46</v>
      </c>
      <c r="P40">
        <f t="shared" si="1"/>
        <v>34</v>
      </c>
      <c r="Q40" t="s">
        <v>264</v>
      </c>
      <c r="R40" t="s">
        <v>1086</v>
      </c>
      <c r="S40" t="s">
        <v>58</v>
      </c>
      <c r="T40" s="3">
        <v>0.15</v>
      </c>
      <c r="U40" t="s">
        <v>264</v>
      </c>
      <c r="V40" t="s">
        <v>61</v>
      </c>
      <c r="W40" s="2">
        <v>0</v>
      </c>
      <c r="X40" s="2">
        <v>7.72</v>
      </c>
      <c r="Y40" s="2">
        <v>7.72</v>
      </c>
      <c r="Z40" s="5" t="s">
        <v>119</v>
      </c>
    </row>
    <row r="41" spans="1:26" s="5" customFormat="1" x14ac:dyDescent="0.25">
      <c r="A41">
        <v>2017351926</v>
      </c>
      <c r="B41" t="s">
        <v>571</v>
      </c>
      <c r="C41" t="s">
        <v>490</v>
      </c>
      <c r="D41" s="5" t="str">
        <f t="shared" si="2"/>
        <v>PHILBRICK SCOTT</v>
      </c>
      <c r="E41" t="s">
        <v>118</v>
      </c>
      <c r="F41" t="s">
        <v>53</v>
      </c>
      <c r="G41" t="s">
        <v>119</v>
      </c>
      <c r="H41">
        <v>9079571</v>
      </c>
      <c r="I41" t="s">
        <v>155</v>
      </c>
      <c r="J41" t="s">
        <v>156</v>
      </c>
      <c r="K41" t="str">
        <f t="shared" si="0"/>
        <v>ADAM RICHTER</v>
      </c>
      <c r="L41" t="s">
        <v>57</v>
      </c>
      <c r="M41" s="1">
        <v>44958</v>
      </c>
      <c r="N41" s="1">
        <v>45992</v>
      </c>
      <c r="O41" s="2">
        <v>24.61</v>
      </c>
      <c r="P41">
        <f t="shared" si="1"/>
        <v>34</v>
      </c>
      <c r="Q41" t="s">
        <v>264</v>
      </c>
      <c r="R41" t="s">
        <v>1086</v>
      </c>
      <c r="S41" t="s">
        <v>58</v>
      </c>
      <c r="T41" s="3">
        <v>0.15</v>
      </c>
      <c r="U41" t="s">
        <v>264</v>
      </c>
      <c r="V41" t="s">
        <v>61</v>
      </c>
      <c r="W41" s="2">
        <v>0</v>
      </c>
      <c r="X41" s="2">
        <v>3.69</v>
      </c>
      <c r="Y41" s="2">
        <v>3.69</v>
      </c>
      <c r="Z41" s="5" t="s">
        <v>119</v>
      </c>
    </row>
    <row r="42" spans="1:26" s="5" customFormat="1" x14ac:dyDescent="0.25">
      <c r="A42">
        <v>2017327782</v>
      </c>
      <c r="B42" t="s">
        <v>716</v>
      </c>
      <c r="C42" t="s">
        <v>374</v>
      </c>
      <c r="D42" s="5" t="str">
        <f t="shared" si="2"/>
        <v>OFZKY ROBERT</v>
      </c>
      <c r="E42" t="s">
        <v>129</v>
      </c>
      <c r="F42" t="s">
        <v>53</v>
      </c>
      <c r="G42" t="s">
        <v>119</v>
      </c>
      <c r="H42">
        <v>20436896</v>
      </c>
      <c r="I42" t="s">
        <v>55</v>
      </c>
      <c r="J42" t="s">
        <v>566</v>
      </c>
      <c r="K42" t="str">
        <f t="shared" si="0"/>
        <v>KATELENN CALTAGIRONE</v>
      </c>
      <c r="L42" t="s">
        <v>57</v>
      </c>
      <c r="M42" s="1">
        <v>44958</v>
      </c>
      <c r="N42" s="1">
        <v>45992</v>
      </c>
      <c r="O42" s="2">
        <v>42.88</v>
      </c>
      <c r="P42">
        <f t="shared" si="1"/>
        <v>34</v>
      </c>
      <c r="Q42" t="s">
        <v>264</v>
      </c>
      <c r="R42" t="s">
        <v>1086</v>
      </c>
      <c r="S42" t="s">
        <v>58</v>
      </c>
      <c r="T42" s="3">
        <v>0.15</v>
      </c>
      <c r="U42" t="s">
        <v>264</v>
      </c>
      <c r="V42" t="s">
        <v>61</v>
      </c>
      <c r="W42" s="2">
        <v>0</v>
      </c>
      <c r="X42" s="2">
        <v>6.43</v>
      </c>
      <c r="Y42" s="2">
        <v>6.43</v>
      </c>
      <c r="Z42" s="5" t="s">
        <v>119</v>
      </c>
    </row>
    <row r="43" spans="1:26" s="5" customFormat="1" x14ac:dyDescent="0.25">
      <c r="A43">
        <v>2017416712</v>
      </c>
      <c r="B43" t="s">
        <v>722</v>
      </c>
      <c r="C43" t="s">
        <v>723</v>
      </c>
      <c r="D43" s="5" t="str">
        <f t="shared" si="2"/>
        <v>BISCHOFFER CHESTER</v>
      </c>
      <c r="E43" t="s">
        <v>261</v>
      </c>
      <c r="F43" t="s">
        <v>53</v>
      </c>
      <c r="G43" t="s">
        <v>119</v>
      </c>
      <c r="H43">
        <v>20436896</v>
      </c>
      <c r="I43" t="s">
        <v>55</v>
      </c>
      <c r="J43" t="s">
        <v>566</v>
      </c>
      <c r="K43" t="str">
        <f t="shared" si="0"/>
        <v>KATELENN CALTAGIRONE</v>
      </c>
      <c r="L43" t="s">
        <v>57</v>
      </c>
      <c r="M43" s="1">
        <v>44958</v>
      </c>
      <c r="N43" s="1">
        <v>45992</v>
      </c>
      <c r="O43" s="2">
        <v>25.73</v>
      </c>
      <c r="P43">
        <f t="shared" si="1"/>
        <v>34</v>
      </c>
      <c r="Q43" t="s">
        <v>264</v>
      </c>
      <c r="R43" t="s">
        <v>1086</v>
      </c>
      <c r="S43" t="s">
        <v>58</v>
      </c>
      <c r="T43" s="3">
        <v>0.15</v>
      </c>
      <c r="U43" t="s">
        <v>264</v>
      </c>
      <c r="V43" t="s">
        <v>61</v>
      </c>
      <c r="W43" s="2">
        <v>0</v>
      </c>
      <c r="X43" s="2">
        <v>3.86</v>
      </c>
      <c r="Y43" s="2">
        <v>3.86</v>
      </c>
      <c r="Z43" s="5" t="s">
        <v>119</v>
      </c>
    </row>
    <row r="44" spans="1:26" s="5" customFormat="1" x14ac:dyDescent="0.25">
      <c r="A44">
        <v>2017420304</v>
      </c>
      <c r="B44" t="s">
        <v>724</v>
      </c>
      <c r="C44" t="s">
        <v>537</v>
      </c>
      <c r="D44" s="5" t="str">
        <f t="shared" si="2"/>
        <v>FULLER SUSAN</v>
      </c>
      <c r="E44" t="s">
        <v>52</v>
      </c>
      <c r="F44" t="s">
        <v>53</v>
      </c>
      <c r="G44" t="s">
        <v>119</v>
      </c>
      <c r="H44">
        <v>20436896</v>
      </c>
      <c r="I44" t="s">
        <v>55</v>
      </c>
      <c r="J44" t="s">
        <v>566</v>
      </c>
      <c r="K44" t="str">
        <f t="shared" si="0"/>
        <v>KATELENN CALTAGIRONE</v>
      </c>
      <c r="L44" t="s">
        <v>57</v>
      </c>
      <c r="M44" s="1">
        <v>44958</v>
      </c>
      <c r="N44" s="1">
        <v>45992</v>
      </c>
      <c r="O44" s="2">
        <v>25.73</v>
      </c>
      <c r="P44">
        <f t="shared" si="1"/>
        <v>34</v>
      </c>
      <c r="Q44" t="s">
        <v>264</v>
      </c>
      <c r="R44" t="s">
        <v>1086</v>
      </c>
      <c r="S44" t="s">
        <v>58</v>
      </c>
      <c r="T44" s="3">
        <v>0.15</v>
      </c>
      <c r="U44" t="s">
        <v>264</v>
      </c>
      <c r="V44" t="s">
        <v>61</v>
      </c>
      <c r="W44" s="2">
        <v>0</v>
      </c>
      <c r="X44" s="2">
        <v>3.86</v>
      </c>
      <c r="Y44" s="2">
        <v>3.86</v>
      </c>
      <c r="Z44" s="5" t="s">
        <v>119</v>
      </c>
    </row>
    <row r="45" spans="1:26" s="5" customFormat="1" x14ac:dyDescent="0.25">
      <c r="A45">
        <v>2016589854</v>
      </c>
      <c r="B45" t="s">
        <v>561</v>
      </c>
      <c r="C45" t="s">
        <v>562</v>
      </c>
      <c r="D45" s="5" t="str">
        <f t="shared" si="2"/>
        <v>POWELL LUCAS</v>
      </c>
      <c r="E45" t="s">
        <v>563</v>
      </c>
      <c r="F45" t="s">
        <v>53</v>
      </c>
      <c r="G45" t="s">
        <v>119</v>
      </c>
      <c r="H45">
        <v>8307933</v>
      </c>
      <c r="I45" t="s">
        <v>560</v>
      </c>
      <c r="J45" t="s">
        <v>336</v>
      </c>
      <c r="K45" t="str">
        <f t="shared" si="0"/>
        <v>GREGORY TEIPEL</v>
      </c>
      <c r="L45" t="s">
        <v>57</v>
      </c>
      <c r="M45" s="1">
        <v>44866</v>
      </c>
      <c r="N45" s="1">
        <v>45992</v>
      </c>
      <c r="O45" s="2">
        <v>25.73</v>
      </c>
      <c r="P45">
        <f t="shared" si="1"/>
        <v>37</v>
      </c>
      <c r="Q45" t="s">
        <v>264</v>
      </c>
      <c r="R45" t="s">
        <v>1086</v>
      </c>
      <c r="S45" t="s">
        <v>58</v>
      </c>
      <c r="T45" s="3">
        <v>0.15</v>
      </c>
      <c r="U45" t="s">
        <v>264</v>
      </c>
      <c r="V45" t="s">
        <v>61</v>
      </c>
      <c r="W45" s="2">
        <v>0</v>
      </c>
      <c r="X45" s="2">
        <v>3.86</v>
      </c>
      <c r="Y45" s="2">
        <v>3.86</v>
      </c>
      <c r="Z45" s="5" t="s">
        <v>119</v>
      </c>
    </row>
    <row r="46" spans="1:26" s="5" customFormat="1" x14ac:dyDescent="0.25">
      <c r="A46">
        <v>2016502599</v>
      </c>
      <c r="B46" t="s">
        <v>714</v>
      </c>
      <c r="C46" t="s">
        <v>577</v>
      </c>
      <c r="D46" s="5" t="str">
        <f t="shared" si="2"/>
        <v>WEAVER RICHARD</v>
      </c>
      <c r="E46" t="s">
        <v>52</v>
      </c>
      <c r="F46" t="s">
        <v>53</v>
      </c>
      <c r="G46" t="s">
        <v>119</v>
      </c>
      <c r="H46">
        <v>20436896</v>
      </c>
      <c r="I46" t="s">
        <v>55</v>
      </c>
      <c r="J46" t="s">
        <v>566</v>
      </c>
      <c r="K46" t="str">
        <f t="shared" si="0"/>
        <v>KATELENN CALTAGIRONE</v>
      </c>
      <c r="L46" t="s">
        <v>57</v>
      </c>
      <c r="M46" s="1">
        <v>44866</v>
      </c>
      <c r="N46" s="1">
        <v>45992</v>
      </c>
      <c r="O46" s="2">
        <v>25.73</v>
      </c>
      <c r="P46">
        <f t="shared" si="1"/>
        <v>37</v>
      </c>
      <c r="Q46" t="s">
        <v>264</v>
      </c>
      <c r="R46" t="s">
        <v>1086</v>
      </c>
      <c r="S46" t="s">
        <v>58</v>
      </c>
      <c r="T46" s="3">
        <v>0.15</v>
      </c>
      <c r="U46" t="s">
        <v>264</v>
      </c>
      <c r="V46" t="s">
        <v>61</v>
      </c>
      <c r="W46" s="2">
        <v>0</v>
      </c>
      <c r="X46" s="2">
        <v>3.86</v>
      </c>
      <c r="Y46" s="2">
        <v>3.86</v>
      </c>
      <c r="Z46" s="5" t="s">
        <v>119</v>
      </c>
    </row>
    <row r="47" spans="1:26" s="5" customFormat="1" x14ac:dyDescent="0.25">
      <c r="A47">
        <v>2031266652</v>
      </c>
      <c r="B47" t="s">
        <v>255</v>
      </c>
      <c r="C47" t="s">
        <v>256</v>
      </c>
      <c r="D47" s="5" t="str">
        <f t="shared" si="2"/>
        <v>LESTER SAVANNAH</v>
      </c>
      <c r="E47" t="s">
        <v>190</v>
      </c>
      <c r="F47" t="s">
        <v>53</v>
      </c>
      <c r="G47" t="s">
        <v>257</v>
      </c>
      <c r="H47" t="s">
        <v>1081</v>
      </c>
      <c r="I47" t="s">
        <v>191</v>
      </c>
      <c r="J47" t="s">
        <v>192</v>
      </c>
      <c r="K47" t="str">
        <f t="shared" si="0"/>
        <v>JARED KINYUA</v>
      </c>
      <c r="L47" t="s">
        <v>57</v>
      </c>
      <c r="M47" s="1">
        <v>45926</v>
      </c>
      <c r="N47" s="1">
        <v>45987</v>
      </c>
      <c r="O47" s="2">
        <v>25.73</v>
      </c>
      <c r="P47">
        <f t="shared" si="1"/>
        <v>2</v>
      </c>
      <c r="Q47" t="s">
        <v>264</v>
      </c>
      <c r="R47" t="s">
        <v>1086</v>
      </c>
      <c r="S47" t="s">
        <v>58</v>
      </c>
      <c r="T47" s="3">
        <v>0.7</v>
      </c>
      <c r="U47" t="s">
        <v>60</v>
      </c>
      <c r="V47" t="s">
        <v>61</v>
      </c>
      <c r="W47" s="2">
        <v>18.010000000000002</v>
      </c>
      <c r="X47" s="2">
        <v>0</v>
      </c>
      <c r="Y47" s="2">
        <v>18.010000000000002</v>
      </c>
      <c r="Z47" s="5" t="s">
        <v>119</v>
      </c>
    </row>
    <row r="48" spans="1:26" s="5" customFormat="1" x14ac:dyDescent="0.25">
      <c r="A48">
        <v>2029089291</v>
      </c>
      <c r="B48" t="s">
        <v>1056</v>
      </c>
      <c r="C48" t="s">
        <v>413</v>
      </c>
      <c r="D48" s="5" t="str">
        <f t="shared" si="2"/>
        <v>SCHREINER BRIAN</v>
      </c>
      <c r="E48" t="s">
        <v>195</v>
      </c>
      <c r="F48" t="s">
        <v>53</v>
      </c>
      <c r="G48" t="s">
        <v>257</v>
      </c>
      <c r="H48">
        <v>19278370</v>
      </c>
      <c r="I48" t="s">
        <v>321</v>
      </c>
      <c r="J48" t="s">
        <v>322</v>
      </c>
      <c r="K48" t="str">
        <f t="shared" si="0"/>
        <v>ANNE MARIE KOZACHECK</v>
      </c>
      <c r="L48" t="s">
        <v>57</v>
      </c>
      <c r="M48" s="1">
        <v>45809</v>
      </c>
      <c r="N48" s="1">
        <v>45992</v>
      </c>
      <c r="O48" s="2">
        <v>85.53</v>
      </c>
      <c r="P48">
        <f t="shared" si="1"/>
        <v>6</v>
      </c>
      <c r="Q48" t="s">
        <v>264</v>
      </c>
      <c r="R48" t="s">
        <v>1086</v>
      </c>
      <c r="S48" t="s">
        <v>58</v>
      </c>
      <c r="T48" s="3">
        <v>0.7</v>
      </c>
      <c r="U48" t="s">
        <v>60</v>
      </c>
      <c r="V48" t="s">
        <v>61</v>
      </c>
      <c r="W48" s="2">
        <v>59.87</v>
      </c>
      <c r="X48" s="2">
        <v>0</v>
      </c>
      <c r="Y48" s="2">
        <v>59.87</v>
      </c>
      <c r="Z48" s="5" t="s">
        <v>119</v>
      </c>
    </row>
    <row r="49" spans="1:26" s="5" customFormat="1" x14ac:dyDescent="0.25">
      <c r="A49">
        <v>2029130570</v>
      </c>
      <c r="B49" t="s">
        <v>1061</v>
      </c>
      <c r="C49" t="s">
        <v>1062</v>
      </c>
      <c r="D49" s="5" t="str">
        <f t="shared" si="2"/>
        <v>LEON JENNIFER</v>
      </c>
      <c r="E49" t="s">
        <v>195</v>
      </c>
      <c r="F49" t="s">
        <v>53</v>
      </c>
      <c r="G49" t="s">
        <v>257</v>
      </c>
      <c r="H49">
        <v>19278370</v>
      </c>
      <c r="I49" t="s">
        <v>321</v>
      </c>
      <c r="J49" t="s">
        <v>322</v>
      </c>
      <c r="K49" t="str">
        <f t="shared" si="0"/>
        <v>ANNE MARIE KOZACHECK</v>
      </c>
      <c r="L49" t="s">
        <v>57</v>
      </c>
      <c r="M49" s="1">
        <v>45809</v>
      </c>
      <c r="N49" s="1">
        <v>45992</v>
      </c>
      <c r="O49" s="2">
        <v>25.73</v>
      </c>
      <c r="P49">
        <f t="shared" si="1"/>
        <v>6</v>
      </c>
      <c r="Q49" t="s">
        <v>264</v>
      </c>
      <c r="R49" t="s">
        <v>1086</v>
      </c>
      <c r="S49" t="s">
        <v>58</v>
      </c>
      <c r="T49" s="3">
        <v>0.7</v>
      </c>
      <c r="U49" t="s">
        <v>60</v>
      </c>
      <c r="V49" t="s">
        <v>61</v>
      </c>
      <c r="W49" s="2">
        <v>18.010000000000002</v>
      </c>
      <c r="X49" s="2">
        <v>0</v>
      </c>
      <c r="Y49" s="2">
        <v>18.010000000000002</v>
      </c>
      <c r="Z49" s="5" t="s">
        <v>119</v>
      </c>
    </row>
    <row r="50" spans="1:26" s="5" customFormat="1" x14ac:dyDescent="0.25">
      <c r="A50" s="5">
        <v>2031255008</v>
      </c>
      <c r="B50" s="5" t="s">
        <v>253</v>
      </c>
      <c r="C50" s="5" t="s">
        <v>254</v>
      </c>
      <c r="D50" s="5" t="str">
        <f t="shared" si="2"/>
        <v>SALMETE ACE</v>
      </c>
      <c r="E50" s="5" t="s">
        <v>69</v>
      </c>
      <c r="F50" s="5" t="s">
        <v>355</v>
      </c>
      <c r="G50" s="5" t="s">
        <v>443</v>
      </c>
      <c r="H50" s="5">
        <v>19200754</v>
      </c>
      <c r="I50" s="5" t="s">
        <v>228</v>
      </c>
      <c r="J50" s="5" t="s">
        <v>229</v>
      </c>
      <c r="K50" s="5" t="str">
        <f t="shared" si="0"/>
        <v>RICARDO SANTOS</v>
      </c>
      <c r="L50" s="5" t="s">
        <v>57</v>
      </c>
      <c r="M50" s="6">
        <v>45925</v>
      </c>
      <c r="N50" s="6">
        <v>45986</v>
      </c>
      <c r="O50" s="7">
        <v>328.85</v>
      </c>
      <c r="P50" s="5">
        <f t="shared" si="1"/>
        <v>2</v>
      </c>
      <c r="Q50" s="5" t="s">
        <v>264</v>
      </c>
      <c r="R50" s="5" t="s">
        <v>1085</v>
      </c>
      <c r="S50" s="5" t="s">
        <v>58</v>
      </c>
      <c r="T50" s="8">
        <v>0.38</v>
      </c>
      <c r="U50" s="5" t="s">
        <v>60</v>
      </c>
      <c r="V50" s="5" t="s">
        <v>61</v>
      </c>
      <c r="W50" s="7">
        <v>124.96</v>
      </c>
      <c r="X50" s="7">
        <v>0</v>
      </c>
      <c r="Y50" s="7">
        <v>124.96</v>
      </c>
      <c r="Z50" s="5" t="s">
        <v>443</v>
      </c>
    </row>
    <row r="51" spans="1:26" s="5" customFormat="1" x14ac:dyDescent="0.25">
      <c r="A51" s="5">
        <v>2029620627</v>
      </c>
      <c r="B51" s="5" t="s">
        <v>284</v>
      </c>
      <c r="C51" s="5" t="s">
        <v>705</v>
      </c>
      <c r="D51" s="5" t="str">
        <f t="shared" si="2"/>
        <v>CARLOS CETRE</v>
      </c>
      <c r="E51" s="5" t="s">
        <v>69</v>
      </c>
      <c r="F51" s="5" t="s">
        <v>355</v>
      </c>
      <c r="G51" s="5" t="s">
        <v>443</v>
      </c>
      <c r="H51" s="5">
        <v>7470776</v>
      </c>
      <c r="I51" s="5" t="s">
        <v>74</v>
      </c>
      <c r="J51" s="5" t="s">
        <v>75</v>
      </c>
      <c r="K51" s="5" t="str">
        <f t="shared" si="0"/>
        <v>Andrew Choi</v>
      </c>
      <c r="L51" s="5" t="s">
        <v>57</v>
      </c>
      <c r="M51" s="6">
        <v>45833</v>
      </c>
      <c r="N51" s="6">
        <v>45986</v>
      </c>
      <c r="O51" s="7">
        <v>226.98</v>
      </c>
      <c r="P51" s="5">
        <f t="shared" si="1"/>
        <v>5</v>
      </c>
      <c r="Q51" s="5" t="s">
        <v>264</v>
      </c>
      <c r="R51" s="5" t="s">
        <v>1085</v>
      </c>
      <c r="S51" s="5" t="s">
        <v>58</v>
      </c>
      <c r="T51" s="8">
        <v>0.38</v>
      </c>
      <c r="U51" s="5" t="s">
        <v>60</v>
      </c>
      <c r="V51" s="5" t="s">
        <v>61</v>
      </c>
      <c r="W51" s="7">
        <v>86.25</v>
      </c>
      <c r="X51" s="7">
        <v>0</v>
      </c>
      <c r="Y51" s="7">
        <v>86.25</v>
      </c>
      <c r="Z51" s="5" t="s">
        <v>443</v>
      </c>
    </row>
    <row r="52" spans="1:26" s="5" customFormat="1" x14ac:dyDescent="0.25">
      <c r="A52" s="5">
        <v>2029623274</v>
      </c>
      <c r="B52" s="5" t="s">
        <v>106</v>
      </c>
      <c r="C52" s="5" t="s">
        <v>706</v>
      </c>
      <c r="D52" s="5" t="str">
        <f t="shared" si="2"/>
        <v>ETHAN KNOEBEL</v>
      </c>
      <c r="E52" s="5" t="s">
        <v>69</v>
      </c>
      <c r="F52" s="5" t="s">
        <v>355</v>
      </c>
      <c r="G52" s="5" t="s">
        <v>443</v>
      </c>
      <c r="H52" s="5">
        <v>7146581</v>
      </c>
      <c r="I52" s="5" t="s">
        <v>159</v>
      </c>
      <c r="J52" s="5" t="s">
        <v>160</v>
      </c>
      <c r="K52" s="5" t="str">
        <f t="shared" si="0"/>
        <v>Anthony Hunsberger</v>
      </c>
      <c r="L52" s="5" t="s">
        <v>57</v>
      </c>
      <c r="M52" s="6">
        <v>45833</v>
      </c>
      <c r="N52" s="6">
        <v>45986</v>
      </c>
      <c r="O52" s="7">
        <v>172.55</v>
      </c>
      <c r="P52" s="5">
        <f t="shared" si="1"/>
        <v>5</v>
      </c>
      <c r="Q52" s="5" t="s">
        <v>264</v>
      </c>
      <c r="R52" s="5" t="s">
        <v>1085</v>
      </c>
      <c r="S52" s="5" t="s">
        <v>58</v>
      </c>
      <c r="T52" s="8">
        <v>0.38</v>
      </c>
      <c r="U52" s="5" t="s">
        <v>60</v>
      </c>
      <c r="V52" s="5" t="s">
        <v>61</v>
      </c>
      <c r="W52" s="7">
        <v>65.569999999999993</v>
      </c>
      <c r="X52" s="7">
        <v>0</v>
      </c>
      <c r="Y52" s="7">
        <v>65.569999999999993</v>
      </c>
      <c r="Z52" s="5" t="s">
        <v>443</v>
      </c>
    </row>
    <row r="53" spans="1:26" s="5" customFormat="1" x14ac:dyDescent="0.25">
      <c r="A53" s="5">
        <v>2029056520</v>
      </c>
      <c r="B53" s="5" t="s">
        <v>699</v>
      </c>
      <c r="C53" s="5" t="s">
        <v>700</v>
      </c>
      <c r="D53" s="5" t="str">
        <f t="shared" si="2"/>
        <v>WALENGA DALE</v>
      </c>
      <c r="E53" s="5" t="s">
        <v>69</v>
      </c>
      <c r="F53" s="5" t="s">
        <v>355</v>
      </c>
      <c r="G53" s="5" t="s">
        <v>443</v>
      </c>
      <c r="H53" s="5">
        <v>8325282</v>
      </c>
      <c r="I53" s="5" t="s">
        <v>447</v>
      </c>
      <c r="J53" s="5" t="s">
        <v>448</v>
      </c>
      <c r="K53" s="5" t="str">
        <f t="shared" si="0"/>
        <v>Dale Walenga</v>
      </c>
      <c r="L53" s="5" t="s">
        <v>57</v>
      </c>
      <c r="M53" s="6">
        <v>45809</v>
      </c>
      <c r="N53" s="6">
        <v>45992</v>
      </c>
      <c r="O53" s="7">
        <v>139</v>
      </c>
      <c r="P53" s="5">
        <f t="shared" si="1"/>
        <v>6</v>
      </c>
      <c r="Q53" s="5" t="s">
        <v>264</v>
      </c>
      <c r="R53" s="5" t="s">
        <v>1086</v>
      </c>
      <c r="S53" s="5" t="s">
        <v>58</v>
      </c>
      <c r="T53" s="8">
        <v>0.38</v>
      </c>
      <c r="U53" s="5" t="s">
        <v>60</v>
      </c>
      <c r="V53" s="5" t="s">
        <v>61</v>
      </c>
      <c r="W53" s="7">
        <v>52.82</v>
      </c>
      <c r="X53" s="7">
        <v>0</v>
      </c>
      <c r="Y53" s="7">
        <v>52.82</v>
      </c>
      <c r="Z53" s="5" t="s">
        <v>443</v>
      </c>
    </row>
    <row r="54" spans="1:26" s="5" customFormat="1" x14ac:dyDescent="0.25">
      <c r="A54" s="5">
        <v>2028649902</v>
      </c>
      <c r="B54" s="5" t="s">
        <v>689</v>
      </c>
      <c r="C54" s="5" t="s">
        <v>690</v>
      </c>
      <c r="D54" s="5" t="str">
        <f t="shared" si="2"/>
        <v>DIAZ DELIA</v>
      </c>
      <c r="E54" s="5" t="s">
        <v>145</v>
      </c>
      <c r="F54" s="5" t="s">
        <v>355</v>
      </c>
      <c r="G54" s="5" t="s">
        <v>443</v>
      </c>
      <c r="H54" s="5">
        <v>8325282</v>
      </c>
      <c r="I54" s="5" t="s">
        <v>447</v>
      </c>
      <c r="J54" s="5" t="s">
        <v>448</v>
      </c>
      <c r="K54" s="5" t="str">
        <f t="shared" si="0"/>
        <v>Dale Walenga</v>
      </c>
      <c r="L54" s="5" t="s">
        <v>57</v>
      </c>
      <c r="M54" s="6">
        <v>45776</v>
      </c>
      <c r="N54" s="6">
        <v>45990</v>
      </c>
      <c r="O54" s="7">
        <v>131.32</v>
      </c>
      <c r="P54" s="5">
        <f t="shared" si="1"/>
        <v>7</v>
      </c>
      <c r="Q54" s="5" t="s">
        <v>264</v>
      </c>
      <c r="R54" s="5" t="s">
        <v>1086</v>
      </c>
      <c r="S54" s="5" t="s">
        <v>58</v>
      </c>
      <c r="T54" s="8">
        <v>0.38</v>
      </c>
      <c r="U54" s="5" t="s">
        <v>60</v>
      </c>
      <c r="V54" s="5" t="s">
        <v>61</v>
      </c>
      <c r="W54" s="7">
        <v>0</v>
      </c>
      <c r="X54" s="7">
        <v>49.9</v>
      </c>
      <c r="Y54" s="7">
        <v>49.9</v>
      </c>
      <c r="Z54" s="5" t="s">
        <v>443</v>
      </c>
    </row>
    <row r="55" spans="1:26" s="5" customFormat="1" x14ac:dyDescent="0.25">
      <c r="A55">
        <v>2030625302</v>
      </c>
      <c r="B55" t="s">
        <v>161</v>
      </c>
      <c r="C55" t="s">
        <v>162</v>
      </c>
      <c r="D55" s="5" t="str">
        <f t="shared" si="2"/>
        <v>BRAXTON HART</v>
      </c>
      <c r="E55" t="s">
        <v>69</v>
      </c>
      <c r="F55" t="s">
        <v>355</v>
      </c>
      <c r="G55" t="s">
        <v>443</v>
      </c>
      <c r="H55">
        <v>16228684</v>
      </c>
      <c r="I55" t="s">
        <v>141</v>
      </c>
      <c r="J55" t="s">
        <v>142</v>
      </c>
      <c r="K55" t="str">
        <f t="shared" si="0"/>
        <v>Jason Roller</v>
      </c>
      <c r="L55" t="s">
        <v>57</v>
      </c>
      <c r="M55" s="1">
        <v>45901</v>
      </c>
      <c r="N55" s="1">
        <v>45992</v>
      </c>
      <c r="O55" s="2">
        <v>131.32</v>
      </c>
      <c r="P55">
        <f t="shared" si="1"/>
        <v>3</v>
      </c>
      <c r="Q55" t="s">
        <v>264</v>
      </c>
      <c r="R55" t="s">
        <v>1086</v>
      </c>
      <c r="S55" t="s">
        <v>58</v>
      </c>
      <c r="T55" s="3">
        <v>0.38</v>
      </c>
      <c r="U55" t="s">
        <v>60</v>
      </c>
      <c r="V55" t="s">
        <v>61</v>
      </c>
      <c r="W55" s="2">
        <v>49.9</v>
      </c>
      <c r="X55" s="2">
        <v>0</v>
      </c>
      <c r="Y55" s="2">
        <v>49.9</v>
      </c>
      <c r="Z55" s="5" t="s">
        <v>443</v>
      </c>
    </row>
    <row r="56" spans="1:26" s="5" customFormat="1" x14ac:dyDescent="0.25">
      <c r="A56">
        <v>2030693609</v>
      </c>
      <c r="B56" t="s">
        <v>314</v>
      </c>
      <c r="C56" t="s">
        <v>556</v>
      </c>
      <c r="D56" s="5" t="str">
        <f t="shared" si="2"/>
        <v>JASON WINTERS</v>
      </c>
      <c r="E56" t="s">
        <v>195</v>
      </c>
      <c r="F56" t="s">
        <v>355</v>
      </c>
      <c r="G56" t="s">
        <v>443</v>
      </c>
      <c r="H56">
        <v>15950276</v>
      </c>
      <c r="I56" t="s">
        <v>196</v>
      </c>
      <c r="J56" t="s">
        <v>197</v>
      </c>
      <c r="K56" t="str">
        <f t="shared" si="0"/>
        <v>Ryan Stocker</v>
      </c>
      <c r="L56" t="s">
        <v>57</v>
      </c>
      <c r="M56" s="1">
        <v>45901</v>
      </c>
      <c r="N56" s="1">
        <v>45992</v>
      </c>
      <c r="O56" s="2">
        <v>91.37</v>
      </c>
      <c r="P56">
        <f t="shared" si="1"/>
        <v>3</v>
      </c>
      <c r="Q56" t="s">
        <v>264</v>
      </c>
      <c r="R56" t="s">
        <v>1086</v>
      </c>
      <c r="S56" t="s">
        <v>58</v>
      </c>
      <c r="T56" s="3">
        <v>0.38</v>
      </c>
      <c r="U56" t="s">
        <v>60</v>
      </c>
      <c r="V56" t="s">
        <v>61</v>
      </c>
      <c r="W56" s="2">
        <v>34.72</v>
      </c>
      <c r="X56" s="2">
        <v>0</v>
      </c>
      <c r="Y56" s="2">
        <v>34.72</v>
      </c>
      <c r="Z56" s="5" t="s">
        <v>443</v>
      </c>
    </row>
    <row r="57" spans="1:26" s="5" customFormat="1" x14ac:dyDescent="0.25">
      <c r="A57">
        <v>2030791104</v>
      </c>
      <c r="B57" t="s">
        <v>192</v>
      </c>
      <c r="C57" t="s">
        <v>557</v>
      </c>
      <c r="D57" s="5" t="str">
        <f t="shared" si="2"/>
        <v>JARED BROWN</v>
      </c>
      <c r="E57" t="s">
        <v>195</v>
      </c>
      <c r="F57" t="s">
        <v>355</v>
      </c>
      <c r="G57" t="s">
        <v>443</v>
      </c>
      <c r="H57">
        <v>15950276</v>
      </c>
      <c r="I57" t="s">
        <v>196</v>
      </c>
      <c r="J57" t="s">
        <v>197</v>
      </c>
      <c r="K57" t="str">
        <f t="shared" si="0"/>
        <v>Ryan Stocker</v>
      </c>
      <c r="L57" t="s">
        <v>57</v>
      </c>
      <c r="M57" s="1">
        <v>45901</v>
      </c>
      <c r="N57" s="1">
        <v>45992</v>
      </c>
      <c r="O57" s="2">
        <v>91.37</v>
      </c>
      <c r="P57">
        <f t="shared" si="1"/>
        <v>3</v>
      </c>
      <c r="Q57" t="s">
        <v>264</v>
      </c>
      <c r="R57" t="s">
        <v>1086</v>
      </c>
      <c r="S57" t="s">
        <v>58</v>
      </c>
      <c r="T57" s="3">
        <v>0.38</v>
      </c>
      <c r="U57" t="s">
        <v>60</v>
      </c>
      <c r="V57" t="s">
        <v>61</v>
      </c>
      <c r="W57" s="2">
        <v>34.72</v>
      </c>
      <c r="X57" s="2">
        <v>0</v>
      </c>
      <c r="Y57" s="2">
        <v>34.72</v>
      </c>
      <c r="Z57" s="5" t="s">
        <v>443</v>
      </c>
    </row>
    <row r="58" spans="1:26" s="5" customFormat="1" x14ac:dyDescent="0.25">
      <c r="A58">
        <v>2027348179</v>
      </c>
      <c r="B58" t="s">
        <v>605</v>
      </c>
      <c r="C58" t="s">
        <v>543</v>
      </c>
      <c r="D58" s="5" t="str">
        <f t="shared" si="2"/>
        <v>DUARTE AMY</v>
      </c>
      <c r="E58" t="s">
        <v>69</v>
      </c>
      <c r="F58" t="s">
        <v>355</v>
      </c>
      <c r="G58" t="s">
        <v>443</v>
      </c>
      <c r="H58">
        <v>8977234</v>
      </c>
      <c r="I58" t="s">
        <v>55</v>
      </c>
      <c r="J58" t="s">
        <v>56</v>
      </c>
      <c r="K58" t="str">
        <f t="shared" si="0"/>
        <v>RYAN CALTAGIRONE</v>
      </c>
      <c r="L58" t="s">
        <v>57</v>
      </c>
      <c r="M58" s="1">
        <v>45716</v>
      </c>
      <c r="N58" s="1">
        <v>45989</v>
      </c>
      <c r="O58" s="2">
        <v>139</v>
      </c>
      <c r="P58">
        <f t="shared" si="1"/>
        <v>9</v>
      </c>
      <c r="Q58" t="s">
        <v>264</v>
      </c>
      <c r="R58" t="s">
        <v>1086</v>
      </c>
      <c r="S58" t="s">
        <v>58</v>
      </c>
      <c r="T58" s="3">
        <v>0.38</v>
      </c>
      <c r="U58" t="s">
        <v>60</v>
      </c>
      <c r="V58" t="s">
        <v>61</v>
      </c>
      <c r="W58" s="2">
        <v>0</v>
      </c>
      <c r="X58" s="2">
        <v>52.82</v>
      </c>
      <c r="Y58" s="2">
        <v>52.82</v>
      </c>
      <c r="Z58" s="5" t="s">
        <v>443</v>
      </c>
    </row>
    <row r="59" spans="1:26" s="5" customFormat="1" x14ac:dyDescent="0.25">
      <c r="A59" s="5">
        <v>2030675167</v>
      </c>
      <c r="B59" s="5" t="s">
        <v>180</v>
      </c>
      <c r="C59" s="5" t="s">
        <v>181</v>
      </c>
      <c r="D59" s="5" t="str">
        <f t="shared" si="2"/>
        <v>MELANIE KRAUTER</v>
      </c>
      <c r="E59" s="5" t="s">
        <v>182</v>
      </c>
      <c r="F59" s="5" t="s">
        <v>369</v>
      </c>
      <c r="G59" s="5" t="s">
        <v>807</v>
      </c>
      <c r="H59" s="5">
        <v>16633294</v>
      </c>
      <c r="I59" s="5" t="s">
        <v>70</v>
      </c>
      <c r="J59" s="5" t="s">
        <v>183</v>
      </c>
      <c r="K59" s="5" t="str">
        <f t="shared" si="0"/>
        <v>Richard Yale</v>
      </c>
      <c r="L59" s="5" t="s">
        <v>57</v>
      </c>
      <c r="M59" s="6">
        <v>45901</v>
      </c>
      <c r="N59" s="6">
        <v>45992</v>
      </c>
      <c r="O59" s="7">
        <v>25.65</v>
      </c>
      <c r="P59" s="5">
        <f t="shared" si="1"/>
        <v>3</v>
      </c>
      <c r="Q59" s="5" t="s">
        <v>264</v>
      </c>
      <c r="R59" s="5" t="s">
        <v>1085</v>
      </c>
      <c r="S59" s="5" t="s">
        <v>58</v>
      </c>
      <c r="T59" s="8">
        <v>0.75</v>
      </c>
      <c r="U59" s="5" t="s">
        <v>60</v>
      </c>
      <c r="V59" s="5" t="s">
        <v>61</v>
      </c>
      <c r="W59" s="7">
        <v>19.239999999999998</v>
      </c>
      <c r="X59" s="7">
        <v>0</v>
      </c>
      <c r="Y59" s="7">
        <v>19.239999999999998</v>
      </c>
      <c r="Z59" s="5" t="s">
        <v>1089</v>
      </c>
    </row>
    <row r="60" spans="1:26" s="5" customFormat="1" x14ac:dyDescent="0.25">
      <c r="A60">
        <v>2030642688</v>
      </c>
      <c r="B60" t="s">
        <v>103</v>
      </c>
      <c r="C60" t="s">
        <v>166</v>
      </c>
      <c r="D60" s="5" t="str">
        <f t="shared" si="2"/>
        <v>THOMAS MARSICO</v>
      </c>
      <c r="E60" t="s">
        <v>52</v>
      </c>
      <c r="F60" t="s">
        <v>369</v>
      </c>
      <c r="G60" t="s">
        <v>807</v>
      </c>
      <c r="H60">
        <v>8977234</v>
      </c>
      <c r="I60" t="s">
        <v>55</v>
      </c>
      <c r="J60" t="s">
        <v>56</v>
      </c>
      <c r="K60" t="str">
        <f t="shared" si="0"/>
        <v>RYAN CALTAGIRONE</v>
      </c>
      <c r="L60" t="s">
        <v>57</v>
      </c>
      <c r="M60" s="1">
        <v>45901</v>
      </c>
      <c r="N60" s="1">
        <v>45992</v>
      </c>
      <c r="O60" s="2">
        <v>52.3</v>
      </c>
      <c r="P60">
        <f t="shared" si="1"/>
        <v>3</v>
      </c>
      <c r="Q60" t="s">
        <v>264</v>
      </c>
      <c r="R60" t="s">
        <v>1086</v>
      </c>
      <c r="S60" t="s">
        <v>58</v>
      </c>
      <c r="T60" s="3">
        <v>0.75</v>
      </c>
      <c r="U60" t="s">
        <v>60</v>
      </c>
      <c r="V60" t="s">
        <v>61</v>
      </c>
      <c r="W60" s="2">
        <v>39.22</v>
      </c>
      <c r="X60" s="2">
        <v>0</v>
      </c>
      <c r="Y60" s="2">
        <v>39.22</v>
      </c>
      <c r="Z60" s="5" t="s">
        <v>1089</v>
      </c>
    </row>
    <row r="61" spans="1:26" s="5" customFormat="1" x14ac:dyDescent="0.25">
      <c r="A61" s="5">
        <v>2031255009</v>
      </c>
      <c r="B61" s="5" t="s">
        <v>253</v>
      </c>
      <c r="C61" s="5" t="s">
        <v>254</v>
      </c>
      <c r="D61" s="5" t="str">
        <f t="shared" si="2"/>
        <v>SALMETE ACE</v>
      </c>
      <c r="E61" s="5" t="s">
        <v>69</v>
      </c>
      <c r="F61" s="5" t="s">
        <v>355</v>
      </c>
      <c r="G61" s="5" t="s">
        <v>444</v>
      </c>
      <c r="H61" s="5">
        <v>19200754</v>
      </c>
      <c r="I61" s="5" t="s">
        <v>228</v>
      </c>
      <c r="J61" s="5" t="s">
        <v>229</v>
      </c>
      <c r="K61" s="5" t="str">
        <f t="shared" si="0"/>
        <v>RICARDO SANTOS</v>
      </c>
      <c r="L61" s="5" t="s">
        <v>57</v>
      </c>
      <c r="M61" s="6">
        <v>45925</v>
      </c>
      <c r="N61" s="6">
        <v>45986</v>
      </c>
      <c r="O61" s="7">
        <v>7.09</v>
      </c>
      <c r="P61" s="5">
        <f t="shared" si="1"/>
        <v>2</v>
      </c>
      <c r="Q61" s="5" t="s">
        <v>264</v>
      </c>
      <c r="R61" s="5" t="s">
        <v>1085</v>
      </c>
      <c r="S61" s="5" t="s">
        <v>58</v>
      </c>
      <c r="T61" s="8">
        <v>0.38</v>
      </c>
      <c r="U61" s="5" t="s">
        <v>60</v>
      </c>
      <c r="V61" s="5" t="s">
        <v>61</v>
      </c>
      <c r="W61" s="7">
        <v>2.69</v>
      </c>
      <c r="X61" s="7">
        <v>0</v>
      </c>
      <c r="Y61" s="7">
        <v>2.69</v>
      </c>
      <c r="Z61" s="5" t="s">
        <v>443</v>
      </c>
    </row>
    <row r="62" spans="1:26" s="5" customFormat="1" x14ac:dyDescent="0.25">
      <c r="A62" s="5">
        <v>2029620628</v>
      </c>
      <c r="B62" s="5" t="s">
        <v>284</v>
      </c>
      <c r="C62" s="5" t="s">
        <v>705</v>
      </c>
      <c r="D62" s="5" t="str">
        <f t="shared" si="2"/>
        <v>CARLOS CETRE</v>
      </c>
      <c r="E62" s="5" t="s">
        <v>69</v>
      </c>
      <c r="F62" s="5" t="s">
        <v>355</v>
      </c>
      <c r="G62" s="5" t="s">
        <v>444</v>
      </c>
      <c r="H62" s="5">
        <v>7470776</v>
      </c>
      <c r="I62" s="5" t="s">
        <v>74</v>
      </c>
      <c r="J62" s="5" t="s">
        <v>75</v>
      </c>
      <c r="K62" s="5" t="str">
        <f t="shared" si="0"/>
        <v>Andrew Choi</v>
      </c>
      <c r="L62" s="5" t="s">
        <v>57</v>
      </c>
      <c r="M62" s="6">
        <v>45833</v>
      </c>
      <c r="N62" s="6">
        <v>45986</v>
      </c>
      <c r="O62" s="7">
        <v>7.09</v>
      </c>
      <c r="P62" s="5">
        <f t="shared" si="1"/>
        <v>5</v>
      </c>
      <c r="Q62" s="5" t="s">
        <v>264</v>
      </c>
      <c r="R62" s="5" t="s">
        <v>1085</v>
      </c>
      <c r="S62" s="5" t="s">
        <v>58</v>
      </c>
      <c r="T62" s="8">
        <v>0.38</v>
      </c>
      <c r="U62" s="5" t="s">
        <v>60</v>
      </c>
      <c r="V62" s="5" t="s">
        <v>61</v>
      </c>
      <c r="W62" s="7">
        <v>2.69</v>
      </c>
      <c r="X62" s="7">
        <v>0</v>
      </c>
      <c r="Y62" s="7">
        <v>2.69</v>
      </c>
      <c r="Z62" s="5" t="s">
        <v>443</v>
      </c>
    </row>
    <row r="63" spans="1:26" s="5" customFormat="1" x14ac:dyDescent="0.25">
      <c r="A63" s="5">
        <v>2029623275</v>
      </c>
      <c r="B63" s="5" t="s">
        <v>106</v>
      </c>
      <c r="C63" s="5" t="s">
        <v>706</v>
      </c>
      <c r="D63" s="5" t="str">
        <f t="shared" si="2"/>
        <v>ETHAN KNOEBEL</v>
      </c>
      <c r="E63" s="5" t="s">
        <v>69</v>
      </c>
      <c r="F63" s="5" t="s">
        <v>355</v>
      </c>
      <c r="G63" s="5" t="s">
        <v>444</v>
      </c>
      <c r="H63" s="5">
        <v>7146581</v>
      </c>
      <c r="I63" s="5" t="s">
        <v>159</v>
      </c>
      <c r="J63" s="5" t="s">
        <v>160</v>
      </c>
      <c r="K63" s="5" t="str">
        <f t="shared" si="0"/>
        <v>Anthony Hunsberger</v>
      </c>
      <c r="L63" s="5" t="s">
        <v>57</v>
      </c>
      <c r="M63" s="6">
        <v>45833</v>
      </c>
      <c r="N63" s="6">
        <v>45986</v>
      </c>
      <c r="O63" s="7">
        <v>7.09</v>
      </c>
      <c r="P63" s="5">
        <f t="shared" si="1"/>
        <v>5</v>
      </c>
      <c r="Q63" s="5" t="s">
        <v>264</v>
      </c>
      <c r="R63" s="5" t="s">
        <v>1085</v>
      </c>
      <c r="S63" s="5" t="s">
        <v>58</v>
      </c>
      <c r="T63" s="8">
        <v>0.38</v>
      </c>
      <c r="U63" s="5" t="s">
        <v>60</v>
      </c>
      <c r="V63" s="5" t="s">
        <v>61</v>
      </c>
      <c r="W63" s="7">
        <v>2.69</v>
      </c>
      <c r="X63" s="7">
        <v>0</v>
      </c>
      <c r="Y63" s="7">
        <v>2.69</v>
      </c>
      <c r="Z63" s="5" t="s">
        <v>443</v>
      </c>
    </row>
    <row r="64" spans="1:26" s="5" customFormat="1" x14ac:dyDescent="0.25">
      <c r="A64" s="5">
        <v>2028627542</v>
      </c>
      <c r="B64" s="5" t="s">
        <v>689</v>
      </c>
      <c r="C64" s="5" t="s">
        <v>690</v>
      </c>
      <c r="D64" s="5" t="str">
        <f t="shared" si="2"/>
        <v>DIAZ DELIA</v>
      </c>
      <c r="E64" s="5" t="s">
        <v>145</v>
      </c>
      <c r="F64" s="5" t="s">
        <v>355</v>
      </c>
      <c r="G64" s="5" t="s">
        <v>444</v>
      </c>
      <c r="H64" s="5">
        <v>8325282</v>
      </c>
      <c r="I64" s="5" t="s">
        <v>447</v>
      </c>
      <c r="J64" s="5" t="s">
        <v>448</v>
      </c>
      <c r="K64" s="5" t="str">
        <f t="shared" si="0"/>
        <v>Dale Walenga</v>
      </c>
      <c r="L64" s="5" t="s">
        <v>57</v>
      </c>
      <c r="M64" s="6">
        <v>45774</v>
      </c>
      <c r="N64" s="6">
        <v>45988</v>
      </c>
      <c r="O64" s="7">
        <v>7.09</v>
      </c>
      <c r="P64" s="5">
        <f t="shared" si="1"/>
        <v>7</v>
      </c>
      <c r="Q64" s="5" t="s">
        <v>264</v>
      </c>
      <c r="R64" s="5" t="s">
        <v>1086</v>
      </c>
      <c r="S64" s="5" t="s">
        <v>58</v>
      </c>
      <c r="T64" s="8">
        <v>0.38</v>
      </c>
      <c r="U64" s="5" t="s">
        <v>60</v>
      </c>
      <c r="V64" s="5" t="s">
        <v>61</v>
      </c>
      <c r="W64" s="7">
        <v>0</v>
      </c>
      <c r="X64" s="7">
        <v>2.69</v>
      </c>
      <c r="Y64" s="7">
        <v>2.69</v>
      </c>
      <c r="Z64" s="5" t="s">
        <v>443</v>
      </c>
    </row>
    <row r="65" spans="1:26" s="5" customFormat="1" x14ac:dyDescent="0.25">
      <c r="A65">
        <v>2030625303</v>
      </c>
      <c r="B65" t="s">
        <v>161</v>
      </c>
      <c r="C65" t="s">
        <v>162</v>
      </c>
      <c r="D65" s="5" t="str">
        <f t="shared" si="2"/>
        <v>BRAXTON HART</v>
      </c>
      <c r="E65" t="s">
        <v>69</v>
      </c>
      <c r="F65" t="s">
        <v>355</v>
      </c>
      <c r="G65" t="s">
        <v>444</v>
      </c>
      <c r="H65">
        <v>16228684</v>
      </c>
      <c r="I65" t="s">
        <v>141</v>
      </c>
      <c r="J65" t="s">
        <v>142</v>
      </c>
      <c r="K65" t="str">
        <f t="shared" si="0"/>
        <v>Jason Roller</v>
      </c>
      <c r="L65" t="s">
        <v>57</v>
      </c>
      <c r="M65" s="1">
        <v>45901</v>
      </c>
      <c r="N65" s="1">
        <v>45992</v>
      </c>
      <c r="O65" s="2">
        <v>7.09</v>
      </c>
      <c r="P65">
        <f t="shared" si="1"/>
        <v>3</v>
      </c>
      <c r="Q65" t="s">
        <v>264</v>
      </c>
      <c r="R65" t="s">
        <v>1086</v>
      </c>
      <c r="S65" t="s">
        <v>58</v>
      </c>
      <c r="T65" s="3">
        <v>0.38</v>
      </c>
      <c r="U65" t="s">
        <v>60</v>
      </c>
      <c r="V65" t="s">
        <v>61</v>
      </c>
      <c r="W65" s="2">
        <v>2.69</v>
      </c>
      <c r="X65" s="2">
        <v>0</v>
      </c>
      <c r="Y65" s="2">
        <v>2.69</v>
      </c>
      <c r="Z65" s="5" t="s">
        <v>443</v>
      </c>
    </row>
    <row r="66" spans="1:26" s="5" customFormat="1" x14ac:dyDescent="0.25">
      <c r="A66" s="5">
        <v>2029189480</v>
      </c>
      <c r="B66" s="5" t="s">
        <v>799</v>
      </c>
      <c r="C66" s="5" t="s">
        <v>296</v>
      </c>
      <c r="D66" s="5" t="str">
        <f t="shared" si="2"/>
        <v>GIAMPAPA ANTHONY</v>
      </c>
      <c r="E66" s="5" t="s">
        <v>69</v>
      </c>
      <c r="F66" s="5" t="s">
        <v>369</v>
      </c>
      <c r="G66" s="5" t="s">
        <v>370</v>
      </c>
      <c r="H66" s="5">
        <v>17126004</v>
      </c>
      <c r="I66" s="5" t="s">
        <v>800</v>
      </c>
      <c r="J66" s="5" t="s">
        <v>801</v>
      </c>
      <c r="K66" s="5" t="str">
        <f t="shared" ref="K66:K129" si="3">CONCATENATE(J66, " ",I66)</f>
        <v>Stephanie Drapac</v>
      </c>
      <c r="L66" s="5" t="s">
        <v>57</v>
      </c>
      <c r="M66" s="6">
        <v>45809</v>
      </c>
      <c r="N66" s="6">
        <v>45992</v>
      </c>
      <c r="O66" s="7">
        <v>83.55</v>
      </c>
      <c r="P66" s="5">
        <f t="shared" ref="P66:P129" si="4">DATEDIF(M66,N66,"M")</f>
        <v>6</v>
      </c>
      <c r="Q66" s="5" t="s">
        <v>264</v>
      </c>
      <c r="R66" s="5" t="s">
        <v>1086</v>
      </c>
      <c r="S66" s="5" t="s">
        <v>58</v>
      </c>
      <c r="T66" s="8">
        <v>0.75</v>
      </c>
      <c r="U66" s="5" t="s">
        <v>60</v>
      </c>
      <c r="V66" s="5" t="s">
        <v>61</v>
      </c>
      <c r="W66" s="7">
        <v>62.66</v>
      </c>
      <c r="X66" s="7">
        <v>0</v>
      </c>
      <c r="Y66" s="7">
        <v>62.66</v>
      </c>
      <c r="Z66" s="5" t="s">
        <v>1089</v>
      </c>
    </row>
    <row r="67" spans="1:26" s="5" customFormat="1" x14ac:dyDescent="0.25">
      <c r="A67" s="5">
        <v>2028799845</v>
      </c>
      <c r="B67" s="5" t="s">
        <v>637</v>
      </c>
      <c r="C67" s="5" t="s">
        <v>284</v>
      </c>
      <c r="D67" s="5" t="str">
        <f t="shared" ref="D67:D130" si="5">CONCATENATE(B67, " ",C67)</f>
        <v>ALMENDARES CARLOS</v>
      </c>
      <c r="E67" s="5" t="s">
        <v>208</v>
      </c>
      <c r="F67" s="5" t="s">
        <v>369</v>
      </c>
      <c r="G67" s="5" t="s">
        <v>370</v>
      </c>
      <c r="H67" s="5" t="s">
        <v>1082</v>
      </c>
      <c r="I67" s="5" t="s">
        <v>371</v>
      </c>
      <c r="J67" s="5" t="s">
        <v>372</v>
      </c>
      <c r="K67" s="5" t="str">
        <f t="shared" si="3"/>
        <v>VICTOR FUENTES</v>
      </c>
      <c r="L67" s="5" t="s">
        <v>57</v>
      </c>
      <c r="M67" s="6">
        <v>45809</v>
      </c>
      <c r="N67" s="6">
        <v>45992</v>
      </c>
      <c r="O67" s="7">
        <v>43.18</v>
      </c>
      <c r="P67" s="5">
        <f t="shared" si="4"/>
        <v>6</v>
      </c>
      <c r="Q67" s="5" t="s">
        <v>264</v>
      </c>
      <c r="R67" s="5" t="s">
        <v>1086</v>
      </c>
      <c r="S67" s="5" t="s">
        <v>58</v>
      </c>
      <c r="T67" s="8">
        <v>0.75</v>
      </c>
      <c r="U67" s="5" t="s">
        <v>60</v>
      </c>
      <c r="V67" s="5" t="s">
        <v>61</v>
      </c>
      <c r="W67" s="7">
        <v>0</v>
      </c>
      <c r="X67" s="7">
        <v>32.380000000000003</v>
      </c>
      <c r="Y67" s="7">
        <v>32.380000000000003</v>
      </c>
      <c r="Z67" s="5" t="s">
        <v>1089</v>
      </c>
    </row>
    <row r="68" spans="1:26" s="5" customFormat="1" x14ac:dyDescent="0.25">
      <c r="A68" s="5">
        <v>2028498800</v>
      </c>
      <c r="B68" s="5" t="s">
        <v>629</v>
      </c>
      <c r="C68" s="5" t="s">
        <v>232</v>
      </c>
      <c r="D68" s="5" t="str">
        <f t="shared" si="5"/>
        <v>VAWTER TIMOTHY</v>
      </c>
      <c r="E68" s="5" t="s">
        <v>179</v>
      </c>
      <c r="F68" s="5" t="s">
        <v>369</v>
      </c>
      <c r="G68" s="5" t="s">
        <v>370</v>
      </c>
      <c r="H68" s="5">
        <v>16633294</v>
      </c>
      <c r="I68" s="5" t="s">
        <v>70</v>
      </c>
      <c r="J68" s="5" t="s">
        <v>183</v>
      </c>
      <c r="K68" s="5" t="str">
        <f t="shared" si="3"/>
        <v>Richard Yale</v>
      </c>
      <c r="L68" s="5" t="s">
        <v>57</v>
      </c>
      <c r="M68" s="6">
        <v>45772</v>
      </c>
      <c r="N68" s="6">
        <v>45986</v>
      </c>
      <c r="O68" s="7">
        <v>28.95</v>
      </c>
      <c r="P68" s="5">
        <f t="shared" si="4"/>
        <v>7</v>
      </c>
      <c r="Q68" s="5" t="s">
        <v>264</v>
      </c>
      <c r="R68" s="5" t="s">
        <v>1086</v>
      </c>
      <c r="S68" s="5" t="s">
        <v>58</v>
      </c>
      <c r="T68" s="8">
        <v>0.75</v>
      </c>
      <c r="U68" s="5" t="s">
        <v>60</v>
      </c>
      <c r="V68" s="5" t="s">
        <v>61</v>
      </c>
      <c r="W68" s="7">
        <v>0</v>
      </c>
      <c r="X68" s="7">
        <v>21.71</v>
      </c>
      <c r="Y68" s="7">
        <v>21.71</v>
      </c>
      <c r="Z68" s="5" t="s">
        <v>1089</v>
      </c>
    </row>
    <row r="69" spans="1:26" s="5" customFormat="1" x14ac:dyDescent="0.25">
      <c r="A69" s="5">
        <v>2028149310</v>
      </c>
      <c r="B69" s="5" t="s">
        <v>626</v>
      </c>
      <c r="C69" s="5" t="s">
        <v>98</v>
      </c>
      <c r="D69" s="5" t="str">
        <f t="shared" si="5"/>
        <v>LATTANZIO MICHAEL</v>
      </c>
      <c r="E69" s="5" t="s">
        <v>69</v>
      </c>
      <c r="F69" s="5" t="s">
        <v>369</v>
      </c>
      <c r="G69" s="5" t="s">
        <v>370</v>
      </c>
      <c r="H69" s="5">
        <v>19586992</v>
      </c>
      <c r="I69" s="5" t="s">
        <v>398</v>
      </c>
      <c r="J69" s="5" t="s">
        <v>399</v>
      </c>
      <c r="K69" s="5" t="str">
        <f t="shared" si="3"/>
        <v>Barry Schumann</v>
      </c>
      <c r="L69" s="5" t="s">
        <v>57</v>
      </c>
      <c r="M69" s="6">
        <v>45748</v>
      </c>
      <c r="N69" s="6">
        <v>45992</v>
      </c>
      <c r="O69" s="7">
        <v>36.4</v>
      </c>
      <c r="P69" s="5">
        <f t="shared" si="4"/>
        <v>8</v>
      </c>
      <c r="Q69" s="5" t="s">
        <v>264</v>
      </c>
      <c r="R69" s="5" t="s">
        <v>1086</v>
      </c>
      <c r="S69" s="5" t="s">
        <v>58</v>
      </c>
      <c r="T69" s="8">
        <v>0.75</v>
      </c>
      <c r="U69" s="5" t="s">
        <v>60</v>
      </c>
      <c r="V69" s="5" t="s">
        <v>61</v>
      </c>
      <c r="W69" s="7">
        <v>0</v>
      </c>
      <c r="X69" s="7">
        <v>27.3</v>
      </c>
      <c r="Y69" s="7">
        <v>27.3</v>
      </c>
      <c r="Z69" s="5" t="s">
        <v>1089</v>
      </c>
    </row>
    <row r="70" spans="1:26" s="5" customFormat="1" x14ac:dyDescent="0.25">
      <c r="A70" s="5">
        <v>2027933173</v>
      </c>
      <c r="B70" s="5" t="s">
        <v>618</v>
      </c>
      <c r="C70" s="5" t="s">
        <v>612</v>
      </c>
      <c r="D70" s="5" t="str">
        <f t="shared" si="5"/>
        <v>COTY ANGELA</v>
      </c>
      <c r="E70" s="5" t="s">
        <v>145</v>
      </c>
      <c r="F70" s="5" t="s">
        <v>369</v>
      </c>
      <c r="G70" s="5" t="s">
        <v>370</v>
      </c>
      <c r="H70" s="5">
        <v>8814784</v>
      </c>
      <c r="I70" s="5" t="s">
        <v>147</v>
      </c>
      <c r="J70" s="5" t="s">
        <v>148</v>
      </c>
      <c r="K70" s="5" t="str">
        <f t="shared" si="3"/>
        <v>FRANK LISKOVEC</v>
      </c>
      <c r="L70" s="5" t="s">
        <v>57</v>
      </c>
      <c r="M70" s="6">
        <v>45748</v>
      </c>
      <c r="N70" s="6">
        <v>45992</v>
      </c>
      <c r="O70" s="7">
        <v>49.93</v>
      </c>
      <c r="P70" s="5">
        <f t="shared" si="4"/>
        <v>8</v>
      </c>
      <c r="Q70" s="5" t="s">
        <v>264</v>
      </c>
      <c r="R70" s="5" t="s">
        <v>1086</v>
      </c>
      <c r="S70" s="5" t="s">
        <v>58</v>
      </c>
      <c r="T70" s="8">
        <v>0.75</v>
      </c>
      <c r="U70" s="5" t="s">
        <v>60</v>
      </c>
      <c r="V70" s="5" t="s">
        <v>61</v>
      </c>
      <c r="W70" s="7">
        <v>0</v>
      </c>
      <c r="X70" s="7">
        <v>37.450000000000003</v>
      </c>
      <c r="Y70" s="7">
        <v>37.450000000000003</v>
      </c>
      <c r="Z70" s="5" t="s">
        <v>1089</v>
      </c>
    </row>
    <row r="71" spans="1:26" s="5" customFormat="1" x14ac:dyDescent="0.25">
      <c r="A71" s="5">
        <v>2027741056</v>
      </c>
      <c r="B71" s="5" t="s">
        <v>608</v>
      </c>
      <c r="C71" s="5" t="s">
        <v>609</v>
      </c>
      <c r="D71" s="5" t="str">
        <f t="shared" si="5"/>
        <v>CHYA JOSIAH</v>
      </c>
      <c r="E71" s="5" t="s">
        <v>69</v>
      </c>
      <c r="F71" s="5" t="s">
        <v>369</v>
      </c>
      <c r="G71" s="5" t="s">
        <v>370</v>
      </c>
      <c r="H71" s="5">
        <v>18828278</v>
      </c>
      <c r="I71" s="5" t="s">
        <v>97</v>
      </c>
      <c r="J71" s="5" t="s">
        <v>98</v>
      </c>
      <c r="K71" s="5" t="str">
        <f t="shared" si="3"/>
        <v>MICHAEL DUNAVANT</v>
      </c>
      <c r="L71" s="5" t="s">
        <v>57</v>
      </c>
      <c r="M71" s="6">
        <v>45748</v>
      </c>
      <c r="N71" s="6">
        <v>45992</v>
      </c>
      <c r="O71" s="7">
        <v>12.08</v>
      </c>
      <c r="P71" s="5">
        <f t="shared" si="4"/>
        <v>8</v>
      </c>
      <c r="Q71" s="5" t="s">
        <v>264</v>
      </c>
      <c r="R71" s="5" t="s">
        <v>1086</v>
      </c>
      <c r="S71" s="5" t="s">
        <v>58</v>
      </c>
      <c r="T71" s="8">
        <v>0.75</v>
      </c>
      <c r="U71" s="5" t="s">
        <v>60</v>
      </c>
      <c r="V71" s="5" t="s">
        <v>61</v>
      </c>
      <c r="W71" s="7">
        <v>0</v>
      </c>
      <c r="X71" s="7">
        <v>9.06</v>
      </c>
      <c r="Y71" s="7">
        <v>9.06</v>
      </c>
      <c r="Z71" s="5" t="s">
        <v>1089</v>
      </c>
    </row>
    <row r="72" spans="1:26" s="5" customFormat="1" x14ac:dyDescent="0.25">
      <c r="A72" s="5">
        <v>2027865745</v>
      </c>
      <c r="B72" s="5" t="s">
        <v>614</v>
      </c>
      <c r="C72" s="5" t="s">
        <v>615</v>
      </c>
      <c r="D72" s="5" t="str">
        <f t="shared" si="5"/>
        <v>HILL TAVARES</v>
      </c>
      <c r="E72" s="5" t="s">
        <v>69</v>
      </c>
      <c r="F72" s="5" t="s">
        <v>369</v>
      </c>
      <c r="G72" s="5" t="s">
        <v>370</v>
      </c>
      <c r="H72" s="5">
        <v>19481808</v>
      </c>
      <c r="I72" s="5" t="s">
        <v>502</v>
      </c>
      <c r="J72" s="5" t="s">
        <v>342</v>
      </c>
      <c r="K72" s="5" t="str">
        <f t="shared" si="3"/>
        <v>STEVEN WERNER</v>
      </c>
      <c r="L72" s="5" t="s">
        <v>57</v>
      </c>
      <c r="M72" s="6">
        <v>45748</v>
      </c>
      <c r="N72" s="6">
        <v>45992</v>
      </c>
      <c r="O72" s="7">
        <v>103.83</v>
      </c>
      <c r="P72" s="5">
        <f t="shared" si="4"/>
        <v>8</v>
      </c>
      <c r="Q72" s="5" t="s">
        <v>264</v>
      </c>
      <c r="R72" s="5" t="s">
        <v>1086</v>
      </c>
      <c r="S72" s="5" t="s">
        <v>58</v>
      </c>
      <c r="T72" s="8">
        <v>0.75</v>
      </c>
      <c r="U72" s="5" t="s">
        <v>60</v>
      </c>
      <c r="V72" s="5" t="s">
        <v>61</v>
      </c>
      <c r="W72" s="7">
        <v>0</v>
      </c>
      <c r="X72" s="7">
        <v>77.87</v>
      </c>
      <c r="Y72" s="7">
        <v>77.87</v>
      </c>
      <c r="Z72" s="5" t="s">
        <v>1089</v>
      </c>
    </row>
    <row r="73" spans="1:26" s="5" customFormat="1" x14ac:dyDescent="0.25">
      <c r="A73">
        <v>2030552138</v>
      </c>
      <c r="B73" t="s">
        <v>127</v>
      </c>
      <c r="C73" t="s">
        <v>128</v>
      </c>
      <c r="D73" s="5" t="str">
        <f t="shared" si="5"/>
        <v>JEREMY LIST</v>
      </c>
      <c r="E73" t="s">
        <v>129</v>
      </c>
      <c r="F73" t="s">
        <v>369</v>
      </c>
      <c r="G73" t="s">
        <v>370</v>
      </c>
      <c r="H73">
        <v>21564088</v>
      </c>
      <c r="I73" t="s">
        <v>130</v>
      </c>
      <c r="J73" t="s">
        <v>131</v>
      </c>
      <c r="K73" t="str">
        <f t="shared" si="3"/>
        <v>Jennifer Halsaver</v>
      </c>
      <c r="L73" t="s">
        <v>57</v>
      </c>
      <c r="M73" s="1">
        <v>45901</v>
      </c>
      <c r="N73" s="1">
        <v>45992</v>
      </c>
      <c r="O73" s="2">
        <v>20.6</v>
      </c>
      <c r="P73">
        <f t="shared" si="4"/>
        <v>3</v>
      </c>
      <c r="Q73" t="s">
        <v>264</v>
      </c>
      <c r="R73" t="s">
        <v>1086</v>
      </c>
      <c r="S73" t="s">
        <v>58</v>
      </c>
      <c r="T73" s="3">
        <v>0.75</v>
      </c>
      <c r="U73" t="s">
        <v>60</v>
      </c>
      <c r="V73" t="s">
        <v>61</v>
      </c>
      <c r="W73" s="2">
        <v>15.45</v>
      </c>
      <c r="X73" s="2">
        <v>0</v>
      </c>
      <c r="Y73" s="2">
        <v>15.45</v>
      </c>
      <c r="Z73" s="5" t="s">
        <v>1089</v>
      </c>
    </row>
    <row r="74" spans="1:26" s="5" customFormat="1" x14ac:dyDescent="0.25">
      <c r="A74">
        <v>2030552094</v>
      </c>
      <c r="B74" t="s">
        <v>125</v>
      </c>
      <c r="C74" t="s">
        <v>126</v>
      </c>
      <c r="D74" s="5" t="str">
        <f t="shared" si="5"/>
        <v>JEANA HENDRICKSON</v>
      </c>
      <c r="E74" t="s">
        <v>101</v>
      </c>
      <c r="F74" t="s">
        <v>369</v>
      </c>
      <c r="G74" t="s">
        <v>370</v>
      </c>
      <c r="H74">
        <v>1706194</v>
      </c>
      <c r="I74" t="s">
        <v>65</v>
      </c>
      <c r="J74" t="s">
        <v>66</v>
      </c>
      <c r="K74" t="str">
        <f t="shared" si="3"/>
        <v>MATTHEW DAUGHERTY</v>
      </c>
      <c r="L74" t="s">
        <v>57</v>
      </c>
      <c r="M74" s="1">
        <v>45901</v>
      </c>
      <c r="N74" s="1">
        <v>45992</v>
      </c>
      <c r="O74" s="2">
        <v>196.75</v>
      </c>
      <c r="P74">
        <f t="shared" si="4"/>
        <v>3</v>
      </c>
      <c r="Q74" t="s">
        <v>264</v>
      </c>
      <c r="R74" t="s">
        <v>1086</v>
      </c>
      <c r="S74" t="s">
        <v>58</v>
      </c>
      <c r="T74" s="3">
        <v>0.75</v>
      </c>
      <c r="U74" t="s">
        <v>60</v>
      </c>
      <c r="V74" t="s">
        <v>61</v>
      </c>
      <c r="W74" s="2">
        <v>147.56</v>
      </c>
      <c r="X74" s="2">
        <v>0</v>
      </c>
      <c r="Y74" s="2">
        <v>147.56</v>
      </c>
      <c r="Z74" s="5" t="s">
        <v>1089</v>
      </c>
    </row>
    <row r="75" spans="1:26" s="5" customFormat="1" x14ac:dyDescent="0.25">
      <c r="A75">
        <v>2028938953</v>
      </c>
      <c r="B75" t="s">
        <v>785</v>
      </c>
      <c r="C75" t="s">
        <v>506</v>
      </c>
      <c r="D75" s="5" t="str">
        <f t="shared" si="5"/>
        <v>KONTOS GEORGE</v>
      </c>
      <c r="E75" t="s">
        <v>69</v>
      </c>
      <c r="F75" t="s">
        <v>369</v>
      </c>
      <c r="G75" t="s">
        <v>370</v>
      </c>
      <c r="H75">
        <v>8977234</v>
      </c>
      <c r="I75" t="s">
        <v>55</v>
      </c>
      <c r="J75" t="s">
        <v>56</v>
      </c>
      <c r="K75" t="str">
        <f t="shared" si="3"/>
        <v>RYAN CALTAGIRONE</v>
      </c>
      <c r="L75" t="s">
        <v>57</v>
      </c>
      <c r="M75" s="1">
        <v>45836</v>
      </c>
      <c r="N75" s="1">
        <v>45989</v>
      </c>
      <c r="O75" s="2">
        <v>34.65</v>
      </c>
      <c r="P75">
        <f t="shared" si="4"/>
        <v>5</v>
      </c>
      <c r="Q75" t="s">
        <v>264</v>
      </c>
      <c r="R75" t="s">
        <v>1086</v>
      </c>
      <c r="S75" t="s">
        <v>58</v>
      </c>
      <c r="T75" s="3">
        <v>0.75</v>
      </c>
      <c r="U75" t="s">
        <v>60</v>
      </c>
      <c r="V75" t="s">
        <v>61</v>
      </c>
      <c r="W75" s="2">
        <v>0</v>
      </c>
      <c r="X75" s="2">
        <v>25.99</v>
      </c>
      <c r="Y75" s="2">
        <v>25.99</v>
      </c>
      <c r="Z75" s="5" t="s">
        <v>1089</v>
      </c>
    </row>
    <row r="76" spans="1:26" s="5" customFormat="1" x14ac:dyDescent="0.25">
      <c r="A76">
        <v>2028863859</v>
      </c>
      <c r="B76" t="s">
        <v>639</v>
      </c>
      <c r="C76" t="s">
        <v>338</v>
      </c>
      <c r="D76" s="5" t="str">
        <f t="shared" si="5"/>
        <v>SUCHARSKI BARBARA</v>
      </c>
      <c r="E76" t="s">
        <v>261</v>
      </c>
      <c r="F76" t="s">
        <v>369</v>
      </c>
      <c r="G76" t="s">
        <v>370</v>
      </c>
      <c r="H76">
        <v>1706194</v>
      </c>
      <c r="I76" t="s">
        <v>65</v>
      </c>
      <c r="J76" t="s">
        <v>66</v>
      </c>
      <c r="K76" t="str">
        <f t="shared" si="3"/>
        <v>MATTHEW DAUGHERTY</v>
      </c>
      <c r="L76" t="s">
        <v>57</v>
      </c>
      <c r="M76" s="1">
        <v>45809</v>
      </c>
      <c r="N76" s="1">
        <v>45992</v>
      </c>
      <c r="O76" s="2">
        <v>126.15</v>
      </c>
      <c r="P76">
        <f t="shared" si="4"/>
        <v>6</v>
      </c>
      <c r="Q76" t="s">
        <v>264</v>
      </c>
      <c r="R76" t="s">
        <v>1086</v>
      </c>
      <c r="S76" t="s">
        <v>58</v>
      </c>
      <c r="T76" s="3">
        <v>0.75</v>
      </c>
      <c r="U76" t="s">
        <v>60</v>
      </c>
      <c r="V76" t="s">
        <v>61</v>
      </c>
      <c r="W76" s="2">
        <v>94.61</v>
      </c>
      <c r="X76" s="2">
        <v>0</v>
      </c>
      <c r="Y76" s="2">
        <v>94.61</v>
      </c>
      <c r="Z76" s="5" t="s">
        <v>1089</v>
      </c>
    </row>
    <row r="77" spans="1:26" s="5" customFormat="1" x14ac:dyDescent="0.25">
      <c r="A77">
        <v>2029014823</v>
      </c>
      <c r="B77" t="s">
        <v>793</v>
      </c>
      <c r="C77" t="s">
        <v>794</v>
      </c>
      <c r="D77" s="5" t="str">
        <f t="shared" si="5"/>
        <v>WRING JOSEPH</v>
      </c>
      <c r="E77" t="s">
        <v>69</v>
      </c>
      <c r="F77" t="s">
        <v>369</v>
      </c>
      <c r="G77" t="s">
        <v>370</v>
      </c>
      <c r="H77">
        <v>8977234</v>
      </c>
      <c r="I77" t="s">
        <v>55</v>
      </c>
      <c r="J77" t="s">
        <v>56</v>
      </c>
      <c r="K77" t="str">
        <f t="shared" si="3"/>
        <v>RYAN CALTAGIRONE</v>
      </c>
      <c r="L77" t="s">
        <v>57</v>
      </c>
      <c r="M77" s="1">
        <v>45809</v>
      </c>
      <c r="N77" s="1">
        <v>45992</v>
      </c>
      <c r="O77" s="2">
        <v>31.6</v>
      </c>
      <c r="P77">
        <f t="shared" si="4"/>
        <v>6</v>
      </c>
      <c r="Q77" t="s">
        <v>264</v>
      </c>
      <c r="R77" t="s">
        <v>1086</v>
      </c>
      <c r="S77" t="s">
        <v>58</v>
      </c>
      <c r="T77" s="3">
        <v>0.75</v>
      </c>
      <c r="U77" t="s">
        <v>60</v>
      </c>
      <c r="V77" t="s">
        <v>61</v>
      </c>
      <c r="W77" s="2">
        <v>23.7</v>
      </c>
      <c r="X77" s="2">
        <v>0</v>
      </c>
      <c r="Y77" s="2">
        <v>23.7</v>
      </c>
      <c r="Z77" s="5" t="s">
        <v>1089</v>
      </c>
    </row>
    <row r="78" spans="1:26" s="5" customFormat="1" x14ac:dyDescent="0.25">
      <c r="A78">
        <v>2028448241</v>
      </c>
      <c r="B78" t="s">
        <v>536</v>
      </c>
      <c r="C78" t="s">
        <v>537</v>
      </c>
      <c r="D78" s="5" t="str">
        <f t="shared" si="5"/>
        <v>HUNT SUSAN</v>
      </c>
      <c r="E78" t="s">
        <v>179</v>
      </c>
      <c r="F78" t="s">
        <v>369</v>
      </c>
      <c r="G78" t="s">
        <v>370</v>
      </c>
      <c r="H78">
        <v>8977234</v>
      </c>
      <c r="I78" t="s">
        <v>55</v>
      </c>
      <c r="J78" t="s">
        <v>56</v>
      </c>
      <c r="K78" t="str">
        <f t="shared" si="3"/>
        <v>RYAN CALTAGIRONE</v>
      </c>
      <c r="L78" t="s">
        <v>57</v>
      </c>
      <c r="M78" s="1">
        <v>45809</v>
      </c>
      <c r="N78" s="1">
        <v>45992</v>
      </c>
      <c r="O78" s="2">
        <v>75.73</v>
      </c>
      <c r="P78">
        <f t="shared" si="4"/>
        <v>6</v>
      </c>
      <c r="Q78" t="s">
        <v>264</v>
      </c>
      <c r="R78" t="s">
        <v>1086</v>
      </c>
      <c r="S78" t="s">
        <v>58</v>
      </c>
      <c r="T78" s="3">
        <v>0.75</v>
      </c>
      <c r="U78" t="s">
        <v>60</v>
      </c>
      <c r="V78" t="s">
        <v>61</v>
      </c>
      <c r="W78" s="2">
        <v>0</v>
      </c>
      <c r="X78" s="2">
        <v>56.8</v>
      </c>
      <c r="Y78" s="2">
        <v>56.8</v>
      </c>
      <c r="Z78" s="5" t="s">
        <v>1089</v>
      </c>
    </row>
    <row r="79" spans="1:26" s="5" customFormat="1" x14ac:dyDescent="0.25">
      <c r="A79">
        <v>2028774423</v>
      </c>
      <c r="B79" t="s">
        <v>542</v>
      </c>
      <c r="C79" t="s">
        <v>543</v>
      </c>
      <c r="D79" s="5" t="str">
        <f t="shared" si="5"/>
        <v>KISSEL AMY</v>
      </c>
      <c r="E79" t="s">
        <v>179</v>
      </c>
      <c r="F79" t="s">
        <v>369</v>
      </c>
      <c r="G79" t="s">
        <v>370</v>
      </c>
      <c r="H79">
        <v>8977234</v>
      </c>
      <c r="I79" t="s">
        <v>55</v>
      </c>
      <c r="J79" t="s">
        <v>56</v>
      </c>
      <c r="K79" t="str">
        <f t="shared" si="3"/>
        <v>RYAN CALTAGIRONE</v>
      </c>
      <c r="L79" t="s">
        <v>57</v>
      </c>
      <c r="M79" s="1">
        <v>45809</v>
      </c>
      <c r="N79" s="1">
        <v>45992</v>
      </c>
      <c r="O79" s="2">
        <v>37.75</v>
      </c>
      <c r="P79">
        <f t="shared" si="4"/>
        <v>6</v>
      </c>
      <c r="Q79" t="s">
        <v>264</v>
      </c>
      <c r="R79" t="s">
        <v>1086</v>
      </c>
      <c r="S79" t="s">
        <v>58</v>
      </c>
      <c r="T79" s="3">
        <v>0.75</v>
      </c>
      <c r="U79" t="s">
        <v>60</v>
      </c>
      <c r="V79" t="s">
        <v>61</v>
      </c>
      <c r="W79" s="2">
        <v>0</v>
      </c>
      <c r="X79" s="2">
        <v>28.31</v>
      </c>
      <c r="Y79" s="2">
        <v>28.31</v>
      </c>
      <c r="Z79" s="5" t="s">
        <v>1089</v>
      </c>
    </row>
    <row r="80" spans="1:26" s="5" customFormat="1" x14ac:dyDescent="0.25">
      <c r="A80">
        <v>2028774076</v>
      </c>
      <c r="B80" t="s">
        <v>633</v>
      </c>
      <c r="C80" t="s">
        <v>634</v>
      </c>
      <c r="D80" s="5" t="str">
        <f t="shared" si="5"/>
        <v>CALLOZZO JANIS</v>
      </c>
      <c r="E80" t="s">
        <v>145</v>
      </c>
      <c r="F80" t="s">
        <v>369</v>
      </c>
      <c r="G80" t="s">
        <v>370</v>
      </c>
      <c r="H80">
        <v>18581063</v>
      </c>
      <c r="I80" t="s">
        <v>151</v>
      </c>
      <c r="J80" t="s">
        <v>152</v>
      </c>
      <c r="K80" t="str">
        <f t="shared" si="3"/>
        <v>Timothy Hodgman</v>
      </c>
      <c r="L80" t="s">
        <v>57</v>
      </c>
      <c r="M80" s="1">
        <v>45809</v>
      </c>
      <c r="N80" s="1">
        <v>45992</v>
      </c>
      <c r="O80" s="2">
        <v>73.42</v>
      </c>
      <c r="P80">
        <f t="shared" si="4"/>
        <v>6</v>
      </c>
      <c r="Q80" t="s">
        <v>264</v>
      </c>
      <c r="R80" t="s">
        <v>1086</v>
      </c>
      <c r="S80" t="s">
        <v>58</v>
      </c>
      <c r="T80" s="3">
        <v>0.75</v>
      </c>
      <c r="U80" t="s">
        <v>60</v>
      </c>
      <c r="V80" t="s">
        <v>61</v>
      </c>
      <c r="W80" s="2">
        <v>55.06</v>
      </c>
      <c r="X80" s="2">
        <v>0</v>
      </c>
      <c r="Y80" s="2">
        <v>55.06</v>
      </c>
      <c r="Z80" s="5" t="s">
        <v>1089</v>
      </c>
    </row>
    <row r="81" spans="1:26" s="5" customFormat="1" x14ac:dyDescent="0.25">
      <c r="A81">
        <v>2027855574</v>
      </c>
      <c r="B81" t="s">
        <v>611</v>
      </c>
      <c r="C81" t="s">
        <v>612</v>
      </c>
      <c r="D81" s="5" t="str">
        <f t="shared" si="5"/>
        <v>ROBSON ANGELA</v>
      </c>
      <c r="E81" t="s">
        <v>613</v>
      </c>
      <c r="F81" t="s">
        <v>369</v>
      </c>
      <c r="G81" t="s">
        <v>370</v>
      </c>
      <c r="H81">
        <v>8307933</v>
      </c>
      <c r="I81" t="s">
        <v>560</v>
      </c>
      <c r="J81" t="s">
        <v>336</v>
      </c>
      <c r="K81" t="str">
        <f t="shared" si="3"/>
        <v>GREGORY TEIPEL</v>
      </c>
      <c r="L81" t="s">
        <v>57</v>
      </c>
      <c r="M81" s="1">
        <v>45734</v>
      </c>
      <c r="N81" s="1">
        <v>45979</v>
      </c>
      <c r="O81" s="2">
        <v>75.8</v>
      </c>
      <c r="P81">
        <f t="shared" si="4"/>
        <v>8</v>
      </c>
      <c r="Q81" t="s">
        <v>264</v>
      </c>
      <c r="R81" t="s">
        <v>1086</v>
      </c>
      <c r="S81" t="s">
        <v>58</v>
      </c>
      <c r="T81" s="3">
        <v>0.75</v>
      </c>
      <c r="U81" t="s">
        <v>60</v>
      </c>
      <c r="V81" t="s">
        <v>61</v>
      </c>
      <c r="W81" s="2">
        <v>0</v>
      </c>
      <c r="X81" s="2">
        <v>56.85</v>
      </c>
      <c r="Y81" s="2">
        <v>56.85</v>
      </c>
      <c r="Z81" s="5" t="s">
        <v>1089</v>
      </c>
    </row>
    <row r="82" spans="1:26" s="5" customFormat="1" x14ac:dyDescent="0.25">
      <c r="A82">
        <v>2026617313</v>
      </c>
      <c r="B82" t="s">
        <v>587</v>
      </c>
      <c r="C82" t="s">
        <v>588</v>
      </c>
      <c r="D82" s="5" t="str">
        <f t="shared" si="5"/>
        <v>BORDEAUX RONNIE</v>
      </c>
      <c r="E82" t="s">
        <v>64</v>
      </c>
      <c r="F82" t="s">
        <v>369</v>
      </c>
      <c r="G82" t="s">
        <v>370</v>
      </c>
      <c r="H82">
        <v>1706194</v>
      </c>
      <c r="I82" t="s">
        <v>65</v>
      </c>
      <c r="J82" t="s">
        <v>66</v>
      </c>
      <c r="K82" t="str">
        <f t="shared" si="3"/>
        <v>MATTHEW DAUGHERTY</v>
      </c>
      <c r="L82" t="s">
        <v>57</v>
      </c>
      <c r="M82" s="1">
        <v>45689</v>
      </c>
      <c r="N82" s="1">
        <v>45992</v>
      </c>
      <c r="O82" s="2">
        <v>78.28</v>
      </c>
      <c r="P82">
        <f t="shared" si="4"/>
        <v>10</v>
      </c>
      <c r="Q82" t="s">
        <v>264</v>
      </c>
      <c r="R82" t="s">
        <v>1086</v>
      </c>
      <c r="S82" t="s">
        <v>58</v>
      </c>
      <c r="T82" s="3">
        <v>0.75</v>
      </c>
      <c r="U82" t="s">
        <v>60</v>
      </c>
      <c r="V82" t="s">
        <v>61</v>
      </c>
      <c r="W82" s="2">
        <v>0</v>
      </c>
      <c r="X82" s="2">
        <v>58.71</v>
      </c>
      <c r="Y82" s="2">
        <v>58.71</v>
      </c>
      <c r="Z82" s="5" t="s">
        <v>1089</v>
      </c>
    </row>
    <row r="83" spans="1:26" s="5" customFormat="1" x14ac:dyDescent="0.25">
      <c r="A83">
        <v>2026701619</v>
      </c>
      <c r="B83" t="s">
        <v>593</v>
      </c>
      <c r="C83" t="s">
        <v>90</v>
      </c>
      <c r="D83" s="5" t="str">
        <f t="shared" si="5"/>
        <v>CROSSETT DEANNA</v>
      </c>
      <c r="E83" t="s">
        <v>69</v>
      </c>
      <c r="F83" t="s">
        <v>369</v>
      </c>
      <c r="G83" t="s">
        <v>370</v>
      </c>
      <c r="H83">
        <v>1706194</v>
      </c>
      <c r="I83" t="s">
        <v>65</v>
      </c>
      <c r="J83" t="s">
        <v>66</v>
      </c>
      <c r="K83" t="str">
        <f t="shared" si="3"/>
        <v>MATTHEW DAUGHERTY</v>
      </c>
      <c r="L83" t="s">
        <v>57</v>
      </c>
      <c r="M83" s="1">
        <v>45689</v>
      </c>
      <c r="N83" s="1">
        <v>45992</v>
      </c>
      <c r="O83" s="2">
        <v>141.44999999999999</v>
      </c>
      <c r="P83">
        <f t="shared" si="4"/>
        <v>10</v>
      </c>
      <c r="Q83" t="s">
        <v>264</v>
      </c>
      <c r="R83" t="s">
        <v>1086</v>
      </c>
      <c r="S83" t="s">
        <v>58</v>
      </c>
      <c r="T83" s="3">
        <v>0.75</v>
      </c>
      <c r="U83" t="s">
        <v>60</v>
      </c>
      <c r="V83" t="s">
        <v>61</v>
      </c>
      <c r="W83" s="2">
        <v>0</v>
      </c>
      <c r="X83" s="2">
        <v>106.09</v>
      </c>
      <c r="Y83" s="2">
        <v>106.09</v>
      </c>
      <c r="Z83" s="5" t="s">
        <v>1089</v>
      </c>
    </row>
    <row r="84" spans="1:26" s="5" customFormat="1" x14ac:dyDescent="0.25">
      <c r="A84">
        <v>2025997429</v>
      </c>
      <c r="B84" t="s">
        <v>579</v>
      </c>
      <c r="C84" t="s">
        <v>490</v>
      </c>
      <c r="D84" s="5" t="str">
        <f t="shared" si="5"/>
        <v>JEPPERSON SCOTT</v>
      </c>
      <c r="E84" t="s">
        <v>81</v>
      </c>
      <c r="F84" t="s">
        <v>369</v>
      </c>
      <c r="G84" t="s">
        <v>370</v>
      </c>
      <c r="H84">
        <v>8977234</v>
      </c>
      <c r="I84" t="s">
        <v>55</v>
      </c>
      <c r="J84" t="s">
        <v>56</v>
      </c>
      <c r="K84" t="str">
        <f t="shared" si="3"/>
        <v>RYAN CALTAGIRONE</v>
      </c>
      <c r="L84" t="s">
        <v>57</v>
      </c>
      <c r="M84" s="1">
        <v>45689</v>
      </c>
      <c r="N84" s="1">
        <v>45992</v>
      </c>
      <c r="O84" s="2">
        <v>224.85</v>
      </c>
      <c r="P84">
        <f t="shared" si="4"/>
        <v>10</v>
      </c>
      <c r="Q84" t="s">
        <v>264</v>
      </c>
      <c r="R84" t="s">
        <v>1086</v>
      </c>
      <c r="S84" t="s">
        <v>58</v>
      </c>
      <c r="T84" s="3">
        <v>0.75</v>
      </c>
      <c r="U84" t="s">
        <v>60</v>
      </c>
      <c r="V84" t="s">
        <v>61</v>
      </c>
      <c r="W84" s="2">
        <v>0</v>
      </c>
      <c r="X84" s="2">
        <v>168.64</v>
      </c>
      <c r="Y84" s="2">
        <v>168.64</v>
      </c>
      <c r="Z84" s="5" t="s">
        <v>1089</v>
      </c>
    </row>
    <row r="85" spans="1:26" s="5" customFormat="1" x14ac:dyDescent="0.25">
      <c r="A85">
        <v>2026619110</v>
      </c>
      <c r="B85" t="s">
        <v>591</v>
      </c>
      <c r="C85" t="s">
        <v>592</v>
      </c>
      <c r="D85" s="5" t="str">
        <f t="shared" si="5"/>
        <v>BRUCK MAX</v>
      </c>
      <c r="E85" t="s">
        <v>165</v>
      </c>
      <c r="F85" t="s">
        <v>369</v>
      </c>
      <c r="G85" t="s">
        <v>370</v>
      </c>
      <c r="H85">
        <v>8977234</v>
      </c>
      <c r="I85" t="s">
        <v>55</v>
      </c>
      <c r="J85" t="s">
        <v>56</v>
      </c>
      <c r="K85" t="str">
        <f t="shared" si="3"/>
        <v>RYAN CALTAGIRONE</v>
      </c>
      <c r="L85" t="s">
        <v>57</v>
      </c>
      <c r="M85" s="1">
        <v>45689</v>
      </c>
      <c r="N85" s="1">
        <v>45992</v>
      </c>
      <c r="O85" s="2">
        <v>168.15</v>
      </c>
      <c r="P85">
        <f t="shared" si="4"/>
        <v>10</v>
      </c>
      <c r="Q85" t="s">
        <v>264</v>
      </c>
      <c r="R85" t="s">
        <v>1086</v>
      </c>
      <c r="S85" t="s">
        <v>58</v>
      </c>
      <c r="T85" s="3">
        <v>0.75</v>
      </c>
      <c r="U85" t="s">
        <v>60</v>
      </c>
      <c r="V85" t="s">
        <v>61</v>
      </c>
      <c r="W85" s="2">
        <v>0</v>
      </c>
      <c r="X85" s="2">
        <v>126.11</v>
      </c>
      <c r="Y85" s="2">
        <v>126.11</v>
      </c>
      <c r="Z85" s="5" t="s">
        <v>1089</v>
      </c>
    </row>
    <row r="86" spans="1:26" s="5" customFormat="1" x14ac:dyDescent="0.25">
      <c r="A86">
        <v>2021427318</v>
      </c>
      <c r="B86" t="s">
        <v>575</v>
      </c>
      <c r="C86" t="s">
        <v>103</v>
      </c>
      <c r="D86" s="5" t="str">
        <f t="shared" si="5"/>
        <v>WEBB THOMAS</v>
      </c>
      <c r="E86" t="s">
        <v>261</v>
      </c>
      <c r="F86" t="s">
        <v>369</v>
      </c>
      <c r="G86" t="s">
        <v>370</v>
      </c>
      <c r="H86">
        <v>8977234</v>
      </c>
      <c r="I86" t="s">
        <v>55</v>
      </c>
      <c r="J86" t="s">
        <v>56</v>
      </c>
      <c r="K86" t="str">
        <f t="shared" si="3"/>
        <v>RYAN CALTAGIRONE</v>
      </c>
      <c r="L86" t="s">
        <v>57</v>
      </c>
      <c r="M86" s="1">
        <v>45351</v>
      </c>
      <c r="N86" s="1">
        <v>45990</v>
      </c>
      <c r="O86" s="2">
        <v>149.51</v>
      </c>
      <c r="P86">
        <f t="shared" si="4"/>
        <v>21</v>
      </c>
      <c r="Q86" t="s">
        <v>264</v>
      </c>
      <c r="R86" t="s">
        <v>1086</v>
      </c>
      <c r="S86" t="s">
        <v>58</v>
      </c>
      <c r="T86" s="3">
        <v>0.1</v>
      </c>
      <c r="U86" t="s">
        <v>264</v>
      </c>
      <c r="V86" t="s">
        <v>61</v>
      </c>
      <c r="W86" s="2">
        <v>0</v>
      </c>
      <c r="X86" s="2">
        <v>14.95</v>
      </c>
      <c r="Y86" s="2">
        <v>14.95</v>
      </c>
      <c r="Z86" s="5" t="s">
        <v>1089</v>
      </c>
    </row>
    <row r="87" spans="1:26" s="5" customFormat="1" x14ac:dyDescent="0.25">
      <c r="A87">
        <v>2018621161</v>
      </c>
      <c r="B87" t="s">
        <v>267</v>
      </c>
      <c r="C87" t="s">
        <v>268</v>
      </c>
      <c r="D87" s="5" t="str">
        <f t="shared" si="5"/>
        <v>DEBORD JULIE</v>
      </c>
      <c r="E87" t="s">
        <v>129</v>
      </c>
      <c r="F87" t="s">
        <v>369</v>
      </c>
      <c r="G87" t="s">
        <v>370</v>
      </c>
      <c r="H87">
        <v>8977234</v>
      </c>
      <c r="I87" t="s">
        <v>55</v>
      </c>
      <c r="J87" t="s">
        <v>56</v>
      </c>
      <c r="K87" t="str">
        <f t="shared" si="3"/>
        <v>RYAN CALTAGIRONE</v>
      </c>
      <c r="L87" t="s">
        <v>57</v>
      </c>
      <c r="M87" s="1">
        <v>45078</v>
      </c>
      <c r="N87" s="1">
        <v>45992</v>
      </c>
      <c r="O87" s="2">
        <v>160.83000000000001</v>
      </c>
      <c r="P87">
        <f t="shared" si="4"/>
        <v>30</v>
      </c>
      <c r="Q87" t="s">
        <v>264</v>
      </c>
      <c r="R87" t="s">
        <v>1086</v>
      </c>
      <c r="S87" t="s">
        <v>58</v>
      </c>
      <c r="T87" s="3">
        <v>0.1</v>
      </c>
      <c r="U87" t="s">
        <v>264</v>
      </c>
      <c r="V87" t="s">
        <v>61</v>
      </c>
      <c r="W87" s="2">
        <v>0</v>
      </c>
      <c r="X87" s="2">
        <v>16.079999999999998</v>
      </c>
      <c r="Y87" s="2">
        <v>16.079999999999998</v>
      </c>
      <c r="Z87" s="5" t="s">
        <v>1089</v>
      </c>
    </row>
    <row r="88" spans="1:26" s="5" customFormat="1" x14ac:dyDescent="0.25">
      <c r="A88">
        <v>2018192802</v>
      </c>
      <c r="B88" t="s">
        <v>573</v>
      </c>
      <c r="C88" t="s">
        <v>574</v>
      </c>
      <c r="D88" s="5" t="str">
        <f t="shared" si="5"/>
        <v>MERCER MELISSA</v>
      </c>
      <c r="E88" t="s">
        <v>165</v>
      </c>
      <c r="F88" t="s">
        <v>369</v>
      </c>
      <c r="G88" t="s">
        <v>370</v>
      </c>
      <c r="H88">
        <v>8307933</v>
      </c>
      <c r="I88" t="s">
        <v>560</v>
      </c>
      <c r="J88" t="s">
        <v>336</v>
      </c>
      <c r="K88" t="str">
        <f t="shared" si="3"/>
        <v>GREGORY TEIPEL</v>
      </c>
      <c r="L88" t="s">
        <v>57</v>
      </c>
      <c r="M88" s="1">
        <v>45015</v>
      </c>
      <c r="N88" s="1">
        <v>45991</v>
      </c>
      <c r="O88" s="2">
        <v>206.88</v>
      </c>
      <c r="P88">
        <f t="shared" si="4"/>
        <v>32</v>
      </c>
      <c r="Q88" t="s">
        <v>264</v>
      </c>
      <c r="R88" t="s">
        <v>1086</v>
      </c>
      <c r="S88" t="s">
        <v>58</v>
      </c>
      <c r="T88" s="3">
        <v>0.1</v>
      </c>
      <c r="U88" t="s">
        <v>264</v>
      </c>
      <c r="V88" t="s">
        <v>61</v>
      </c>
      <c r="W88" s="2">
        <v>0</v>
      </c>
      <c r="X88" s="2">
        <v>20.69</v>
      </c>
      <c r="Y88" s="2">
        <v>20.69</v>
      </c>
      <c r="Z88" s="5" t="s">
        <v>1089</v>
      </c>
    </row>
    <row r="89" spans="1:26" s="5" customFormat="1" x14ac:dyDescent="0.25">
      <c r="A89" s="5">
        <v>2030720376</v>
      </c>
      <c r="B89" s="5" t="s">
        <v>202</v>
      </c>
      <c r="C89" s="5" t="s">
        <v>203</v>
      </c>
      <c r="D89" s="5" t="str">
        <f t="shared" si="5"/>
        <v>LAURA RIEDEL</v>
      </c>
      <c r="E89" s="5" t="s">
        <v>92</v>
      </c>
      <c r="F89" s="5" t="s">
        <v>369</v>
      </c>
      <c r="G89" s="5" t="s">
        <v>418</v>
      </c>
      <c r="H89" s="5">
        <v>16865615</v>
      </c>
      <c r="I89" s="5" t="s">
        <v>93</v>
      </c>
      <c r="J89" s="5" t="s">
        <v>94</v>
      </c>
      <c r="K89" s="5" t="str">
        <f t="shared" si="3"/>
        <v>Heather Geske</v>
      </c>
      <c r="L89" s="5" t="s">
        <v>57</v>
      </c>
      <c r="M89" s="6">
        <v>45901</v>
      </c>
      <c r="N89" s="6">
        <v>45992</v>
      </c>
      <c r="O89" s="7">
        <v>59.03</v>
      </c>
      <c r="P89" s="5">
        <f t="shared" si="4"/>
        <v>3</v>
      </c>
      <c r="Q89" s="5" t="s">
        <v>264</v>
      </c>
      <c r="R89" s="5" t="s">
        <v>1085</v>
      </c>
      <c r="S89" s="5" t="s">
        <v>58</v>
      </c>
      <c r="T89" s="8">
        <v>0.65</v>
      </c>
      <c r="U89" s="5" t="s">
        <v>60</v>
      </c>
      <c r="V89" s="5" t="s">
        <v>61</v>
      </c>
      <c r="W89" s="7">
        <v>38.369999999999997</v>
      </c>
      <c r="X89" s="7">
        <v>0</v>
      </c>
      <c r="Y89" s="7">
        <v>38.369999999999997</v>
      </c>
      <c r="Z89" s="5" t="s">
        <v>1090</v>
      </c>
    </row>
    <row r="90" spans="1:26" s="5" customFormat="1" x14ac:dyDescent="0.25">
      <c r="A90" s="5">
        <v>2030788953</v>
      </c>
      <c r="B90" s="5" t="s">
        <v>224</v>
      </c>
      <c r="C90" s="5" t="s">
        <v>225</v>
      </c>
      <c r="D90" s="5" t="str">
        <f t="shared" si="5"/>
        <v>ANDREW HILDEBRAND</v>
      </c>
      <c r="E90" s="5" t="s">
        <v>92</v>
      </c>
      <c r="F90" s="5" t="s">
        <v>369</v>
      </c>
      <c r="G90" s="5" t="s">
        <v>418</v>
      </c>
      <c r="H90" s="5">
        <v>16865615</v>
      </c>
      <c r="I90" s="5" t="s">
        <v>93</v>
      </c>
      <c r="J90" s="5" t="s">
        <v>94</v>
      </c>
      <c r="K90" s="5" t="str">
        <f t="shared" si="3"/>
        <v>Heather Geske</v>
      </c>
      <c r="L90" s="5" t="s">
        <v>57</v>
      </c>
      <c r="M90" s="6">
        <v>45901</v>
      </c>
      <c r="N90" s="6">
        <v>45992</v>
      </c>
      <c r="O90" s="7">
        <v>9.3800000000000008</v>
      </c>
      <c r="P90" s="5">
        <f t="shared" si="4"/>
        <v>3</v>
      </c>
      <c r="Q90" s="5" t="s">
        <v>264</v>
      </c>
      <c r="R90" s="5" t="s">
        <v>1085</v>
      </c>
      <c r="S90" s="5" t="s">
        <v>58</v>
      </c>
      <c r="T90" s="8">
        <v>0.65</v>
      </c>
      <c r="U90" s="5" t="s">
        <v>60</v>
      </c>
      <c r="V90" s="5" t="s">
        <v>61</v>
      </c>
      <c r="W90" s="7">
        <v>6.1</v>
      </c>
      <c r="X90" s="7">
        <v>0</v>
      </c>
      <c r="Y90" s="7">
        <v>6.1</v>
      </c>
      <c r="Z90" s="5" t="s">
        <v>1090</v>
      </c>
    </row>
    <row r="91" spans="1:26" s="5" customFormat="1" x14ac:dyDescent="0.25">
      <c r="A91" s="5">
        <v>2029029116</v>
      </c>
      <c r="B91" s="5" t="s">
        <v>795</v>
      </c>
      <c r="C91" s="5" t="s">
        <v>301</v>
      </c>
      <c r="D91" s="5" t="str">
        <f t="shared" si="5"/>
        <v>BLOOM ERIC</v>
      </c>
      <c r="E91" s="5" t="s">
        <v>92</v>
      </c>
      <c r="F91" s="5" t="s">
        <v>369</v>
      </c>
      <c r="G91" s="5" t="s">
        <v>418</v>
      </c>
      <c r="H91" s="5">
        <v>16865615</v>
      </c>
      <c r="I91" s="5" t="s">
        <v>93</v>
      </c>
      <c r="J91" s="5" t="s">
        <v>94</v>
      </c>
      <c r="K91" s="5" t="str">
        <f t="shared" si="3"/>
        <v>Heather Geske</v>
      </c>
      <c r="L91" s="5" t="s">
        <v>57</v>
      </c>
      <c r="M91" s="6">
        <v>45809</v>
      </c>
      <c r="N91" s="6">
        <v>45992</v>
      </c>
      <c r="O91" s="7">
        <v>40.26</v>
      </c>
      <c r="P91" s="5">
        <f t="shared" si="4"/>
        <v>6</v>
      </c>
      <c r="Q91" s="5" t="s">
        <v>264</v>
      </c>
      <c r="R91" s="5" t="s">
        <v>1086</v>
      </c>
      <c r="S91" s="5" t="s">
        <v>58</v>
      </c>
      <c r="T91" s="8">
        <v>0.65</v>
      </c>
      <c r="U91" s="5" t="s">
        <v>60</v>
      </c>
      <c r="V91" s="5" t="s">
        <v>61</v>
      </c>
      <c r="W91" s="7">
        <v>26.16</v>
      </c>
      <c r="X91" s="7">
        <v>0.01</v>
      </c>
      <c r="Y91" s="7">
        <v>26.16</v>
      </c>
      <c r="Z91" s="5" t="s">
        <v>1090</v>
      </c>
    </row>
    <row r="92" spans="1:26" s="5" customFormat="1" x14ac:dyDescent="0.25">
      <c r="A92" s="5">
        <v>2027996022</v>
      </c>
      <c r="B92" s="5" t="s">
        <v>103</v>
      </c>
      <c r="C92" s="5" t="s">
        <v>621</v>
      </c>
      <c r="D92" s="5" t="str">
        <f t="shared" si="5"/>
        <v>THOMAS CAMERON</v>
      </c>
      <c r="E92" s="5" t="s">
        <v>52</v>
      </c>
      <c r="F92" s="5" t="s">
        <v>369</v>
      </c>
      <c r="G92" s="5" t="s">
        <v>418</v>
      </c>
      <c r="H92" s="5">
        <v>19586992</v>
      </c>
      <c r="I92" s="5" t="s">
        <v>398</v>
      </c>
      <c r="J92" s="5" t="s">
        <v>399</v>
      </c>
      <c r="K92" s="5" t="str">
        <f t="shared" si="3"/>
        <v>Barry Schumann</v>
      </c>
      <c r="L92" s="5" t="s">
        <v>57</v>
      </c>
      <c r="M92" s="6">
        <v>45743</v>
      </c>
      <c r="N92" s="6">
        <v>45988</v>
      </c>
      <c r="O92" s="7">
        <v>16.29</v>
      </c>
      <c r="P92" s="5">
        <f t="shared" si="4"/>
        <v>8</v>
      </c>
      <c r="Q92" s="5" t="s">
        <v>264</v>
      </c>
      <c r="R92" s="5" t="s">
        <v>1086</v>
      </c>
      <c r="S92" s="5" t="s">
        <v>58</v>
      </c>
      <c r="T92" s="8">
        <v>0.65</v>
      </c>
      <c r="U92" s="5" t="s">
        <v>60</v>
      </c>
      <c r="V92" s="5" t="s">
        <v>61</v>
      </c>
      <c r="W92" s="7">
        <v>0</v>
      </c>
      <c r="X92" s="7">
        <v>10.59</v>
      </c>
      <c r="Y92" s="7">
        <v>10.59</v>
      </c>
      <c r="Z92" s="5" t="s">
        <v>1090</v>
      </c>
    </row>
    <row r="93" spans="1:26" s="5" customFormat="1" x14ac:dyDescent="0.25">
      <c r="A93" s="5">
        <v>2027920264</v>
      </c>
      <c r="B93" s="5" t="s">
        <v>616</v>
      </c>
      <c r="C93" s="5" t="s">
        <v>617</v>
      </c>
      <c r="D93" s="5" t="str">
        <f t="shared" si="5"/>
        <v>LUTES NANCY</v>
      </c>
      <c r="E93" s="5" t="s">
        <v>92</v>
      </c>
      <c r="F93" s="5" t="s">
        <v>369</v>
      </c>
      <c r="G93" s="5" t="s">
        <v>418</v>
      </c>
      <c r="H93" s="5">
        <v>16865615</v>
      </c>
      <c r="I93" s="5" t="s">
        <v>93</v>
      </c>
      <c r="J93" s="5" t="s">
        <v>94</v>
      </c>
      <c r="K93" s="5" t="str">
        <f t="shared" si="3"/>
        <v>Heather Geske</v>
      </c>
      <c r="L93" s="5" t="s">
        <v>57</v>
      </c>
      <c r="M93" s="6">
        <v>45744</v>
      </c>
      <c r="N93" s="6">
        <v>45989</v>
      </c>
      <c r="O93" s="7">
        <v>65.28</v>
      </c>
      <c r="P93" s="5">
        <f t="shared" si="4"/>
        <v>8</v>
      </c>
      <c r="Q93" s="5" t="s">
        <v>264</v>
      </c>
      <c r="R93" s="5" t="s">
        <v>1086</v>
      </c>
      <c r="S93" s="5" t="s">
        <v>58</v>
      </c>
      <c r="T93" s="8">
        <v>0.65</v>
      </c>
      <c r="U93" s="5" t="s">
        <v>60</v>
      </c>
      <c r="V93" s="5" t="s">
        <v>61</v>
      </c>
      <c r="W93" s="7">
        <v>0</v>
      </c>
      <c r="X93" s="7">
        <v>42.43</v>
      </c>
      <c r="Y93" s="7">
        <v>42.43</v>
      </c>
      <c r="Z93" s="5" t="s">
        <v>1090</v>
      </c>
    </row>
    <row r="94" spans="1:26" s="5" customFormat="1" x14ac:dyDescent="0.25">
      <c r="A94" s="5">
        <v>2027936972</v>
      </c>
      <c r="B94" s="5" t="s">
        <v>619</v>
      </c>
      <c r="C94" s="5" t="s">
        <v>620</v>
      </c>
      <c r="D94" s="5" t="str">
        <f t="shared" si="5"/>
        <v>SKIPWORTH BECKY</v>
      </c>
      <c r="E94" s="5" t="s">
        <v>92</v>
      </c>
      <c r="F94" s="5" t="s">
        <v>369</v>
      </c>
      <c r="G94" s="5" t="s">
        <v>418</v>
      </c>
      <c r="H94" s="5">
        <v>16865615</v>
      </c>
      <c r="I94" s="5" t="s">
        <v>93</v>
      </c>
      <c r="J94" s="5" t="s">
        <v>94</v>
      </c>
      <c r="K94" s="5" t="str">
        <f t="shared" si="3"/>
        <v>Heather Geske</v>
      </c>
      <c r="L94" s="5" t="s">
        <v>57</v>
      </c>
      <c r="M94" s="6">
        <v>45748</v>
      </c>
      <c r="N94" s="6">
        <v>45992</v>
      </c>
      <c r="O94" s="7">
        <v>57.48</v>
      </c>
      <c r="P94" s="5">
        <f t="shared" si="4"/>
        <v>8</v>
      </c>
      <c r="Q94" s="5" t="s">
        <v>264</v>
      </c>
      <c r="R94" s="5" t="s">
        <v>1086</v>
      </c>
      <c r="S94" s="5" t="s">
        <v>58</v>
      </c>
      <c r="T94" s="8">
        <v>0.65</v>
      </c>
      <c r="U94" s="5" t="s">
        <v>60</v>
      </c>
      <c r="V94" s="5" t="s">
        <v>61</v>
      </c>
      <c r="W94" s="7">
        <v>0</v>
      </c>
      <c r="X94" s="7">
        <v>37.36</v>
      </c>
      <c r="Y94" s="7">
        <v>37.36</v>
      </c>
      <c r="Z94" s="5" t="s">
        <v>1090</v>
      </c>
    </row>
    <row r="95" spans="1:26" s="5" customFormat="1" x14ac:dyDescent="0.25">
      <c r="A95" s="5">
        <v>2028004036</v>
      </c>
      <c r="B95" s="5" t="s">
        <v>622</v>
      </c>
      <c r="C95" s="5" t="s">
        <v>623</v>
      </c>
      <c r="D95" s="5" t="str">
        <f t="shared" si="5"/>
        <v>LOYA BRENDA</v>
      </c>
      <c r="E95" s="5" t="s">
        <v>92</v>
      </c>
      <c r="F95" s="5" t="s">
        <v>369</v>
      </c>
      <c r="G95" s="5" t="s">
        <v>418</v>
      </c>
      <c r="H95" s="5">
        <v>16865615</v>
      </c>
      <c r="I95" s="5" t="s">
        <v>93</v>
      </c>
      <c r="J95" s="5" t="s">
        <v>94</v>
      </c>
      <c r="K95" s="5" t="str">
        <f t="shared" si="3"/>
        <v>Heather Geske</v>
      </c>
      <c r="L95" s="5" t="s">
        <v>57</v>
      </c>
      <c r="M95" s="6">
        <v>45741</v>
      </c>
      <c r="N95" s="6">
        <v>45986</v>
      </c>
      <c r="O95" s="7">
        <v>21.96</v>
      </c>
      <c r="P95" s="5">
        <f t="shared" si="4"/>
        <v>8</v>
      </c>
      <c r="Q95" s="5" t="s">
        <v>264</v>
      </c>
      <c r="R95" s="5" t="s">
        <v>1086</v>
      </c>
      <c r="S95" s="5" t="s">
        <v>58</v>
      </c>
      <c r="T95" s="8">
        <v>0.65</v>
      </c>
      <c r="U95" s="5" t="s">
        <v>60</v>
      </c>
      <c r="V95" s="5" t="s">
        <v>61</v>
      </c>
      <c r="W95" s="7">
        <v>0</v>
      </c>
      <c r="X95" s="7">
        <v>14.27</v>
      </c>
      <c r="Y95" s="7">
        <v>14.27</v>
      </c>
      <c r="Z95" s="5" t="s">
        <v>1090</v>
      </c>
    </row>
    <row r="96" spans="1:26" s="5" customFormat="1" x14ac:dyDescent="0.25">
      <c r="A96" s="5">
        <v>2026734343</v>
      </c>
      <c r="B96" s="5" t="s">
        <v>594</v>
      </c>
      <c r="C96" s="5" t="s">
        <v>595</v>
      </c>
      <c r="D96" s="5" t="str">
        <f t="shared" si="5"/>
        <v>PAPADOPOULOS DEMETRA</v>
      </c>
      <c r="E96" s="5" t="s">
        <v>52</v>
      </c>
      <c r="F96" s="5" t="s">
        <v>369</v>
      </c>
      <c r="G96" s="5" t="s">
        <v>418</v>
      </c>
      <c r="H96" s="5">
        <v>16912722</v>
      </c>
      <c r="I96" s="5" t="s">
        <v>289</v>
      </c>
      <c r="J96" s="5" t="s">
        <v>290</v>
      </c>
      <c r="K96" s="5" t="str">
        <f t="shared" si="3"/>
        <v>ANDREA PETRUNGARO</v>
      </c>
      <c r="L96" s="5" t="s">
        <v>57</v>
      </c>
      <c r="M96" s="6">
        <v>45689</v>
      </c>
      <c r="N96" s="6">
        <v>45992</v>
      </c>
      <c r="O96" s="7">
        <v>53.56</v>
      </c>
      <c r="P96" s="5">
        <f t="shared" si="4"/>
        <v>10</v>
      </c>
      <c r="Q96" s="5" t="s">
        <v>264</v>
      </c>
      <c r="R96" s="5" t="s">
        <v>1086</v>
      </c>
      <c r="S96" s="5" t="s">
        <v>58</v>
      </c>
      <c r="T96" s="8">
        <v>0.65</v>
      </c>
      <c r="U96" s="5" t="s">
        <v>60</v>
      </c>
      <c r="V96" s="5" t="s">
        <v>61</v>
      </c>
      <c r="W96" s="7">
        <v>0</v>
      </c>
      <c r="X96" s="7">
        <v>34.81</v>
      </c>
      <c r="Y96" s="7">
        <v>34.81</v>
      </c>
      <c r="Z96" s="5" t="s">
        <v>1090</v>
      </c>
    </row>
    <row r="97" spans="1:26" s="5" customFormat="1" x14ac:dyDescent="0.25">
      <c r="A97" s="5">
        <v>2026605720</v>
      </c>
      <c r="B97" s="5" t="s">
        <v>582</v>
      </c>
      <c r="C97" s="5" t="s">
        <v>106</v>
      </c>
      <c r="D97" s="5" t="str">
        <f t="shared" si="5"/>
        <v>FARNSWORTH ETHAN</v>
      </c>
      <c r="E97" s="5" t="s">
        <v>92</v>
      </c>
      <c r="F97" s="5" t="s">
        <v>369</v>
      </c>
      <c r="G97" s="5" t="s">
        <v>418</v>
      </c>
      <c r="H97" s="5">
        <v>16865615</v>
      </c>
      <c r="I97" s="5" t="s">
        <v>93</v>
      </c>
      <c r="J97" s="5" t="s">
        <v>94</v>
      </c>
      <c r="K97" s="5" t="str">
        <f t="shared" si="3"/>
        <v>Heather Geske</v>
      </c>
      <c r="L97" s="5" t="s">
        <v>57</v>
      </c>
      <c r="M97" s="6">
        <v>45689</v>
      </c>
      <c r="N97" s="6">
        <v>45992</v>
      </c>
      <c r="O97" s="7">
        <v>11.98</v>
      </c>
      <c r="P97" s="5">
        <f t="shared" si="4"/>
        <v>10</v>
      </c>
      <c r="Q97" s="5" t="s">
        <v>264</v>
      </c>
      <c r="R97" s="5" t="s">
        <v>1086</v>
      </c>
      <c r="S97" s="5" t="s">
        <v>58</v>
      </c>
      <c r="T97" s="8">
        <v>0.65</v>
      </c>
      <c r="U97" s="5" t="s">
        <v>60</v>
      </c>
      <c r="V97" s="5" t="s">
        <v>61</v>
      </c>
      <c r="W97" s="7">
        <v>0</v>
      </c>
      <c r="X97" s="7">
        <v>7.79</v>
      </c>
      <c r="Y97" s="7">
        <v>7.79</v>
      </c>
      <c r="Z97" s="5" t="s">
        <v>1090</v>
      </c>
    </row>
    <row r="98" spans="1:26" s="5" customFormat="1" x14ac:dyDescent="0.25">
      <c r="A98" s="5">
        <v>2026615271</v>
      </c>
      <c r="B98" s="5" t="s">
        <v>584</v>
      </c>
      <c r="C98" s="5" t="s">
        <v>585</v>
      </c>
      <c r="D98" s="5" t="str">
        <f t="shared" si="5"/>
        <v>BOUCHARD PIERRE</v>
      </c>
      <c r="E98" s="5" t="s">
        <v>92</v>
      </c>
      <c r="F98" s="5" t="s">
        <v>369</v>
      </c>
      <c r="G98" s="5" t="s">
        <v>418</v>
      </c>
      <c r="H98" s="5">
        <v>16865615</v>
      </c>
      <c r="I98" s="5" t="s">
        <v>93</v>
      </c>
      <c r="J98" s="5" t="s">
        <v>94</v>
      </c>
      <c r="K98" s="5" t="str">
        <f t="shared" si="3"/>
        <v>Heather Geske</v>
      </c>
      <c r="L98" s="5" t="s">
        <v>57</v>
      </c>
      <c r="M98" s="6">
        <v>45689</v>
      </c>
      <c r="N98" s="6">
        <v>45992</v>
      </c>
      <c r="O98" s="7">
        <v>31.48</v>
      </c>
      <c r="P98" s="5">
        <f t="shared" si="4"/>
        <v>10</v>
      </c>
      <c r="Q98" s="5" t="s">
        <v>264</v>
      </c>
      <c r="R98" s="5" t="s">
        <v>1086</v>
      </c>
      <c r="S98" s="5" t="s">
        <v>58</v>
      </c>
      <c r="T98" s="8">
        <v>0.65</v>
      </c>
      <c r="U98" s="5" t="s">
        <v>60</v>
      </c>
      <c r="V98" s="5" t="s">
        <v>61</v>
      </c>
      <c r="W98" s="7">
        <v>0</v>
      </c>
      <c r="X98" s="7">
        <v>20.46</v>
      </c>
      <c r="Y98" s="7">
        <v>20.46</v>
      </c>
      <c r="Z98" s="5" t="s">
        <v>1090</v>
      </c>
    </row>
    <row r="99" spans="1:26" s="5" customFormat="1" x14ac:dyDescent="0.25">
      <c r="A99" s="5">
        <v>2026735219</v>
      </c>
      <c r="B99" s="5" t="s">
        <v>596</v>
      </c>
      <c r="C99" s="5" t="s">
        <v>597</v>
      </c>
      <c r="D99" s="5" t="str">
        <f t="shared" si="5"/>
        <v>CHAMBERS BOBBI</v>
      </c>
      <c r="E99" s="5" t="s">
        <v>92</v>
      </c>
      <c r="F99" s="5" t="s">
        <v>369</v>
      </c>
      <c r="G99" s="5" t="s">
        <v>418</v>
      </c>
      <c r="H99" s="5">
        <v>16865615</v>
      </c>
      <c r="I99" s="5" t="s">
        <v>93</v>
      </c>
      <c r="J99" s="5" t="s">
        <v>94</v>
      </c>
      <c r="K99" s="5" t="str">
        <f t="shared" si="3"/>
        <v>Heather Geske</v>
      </c>
      <c r="L99" s="5" t="s">
        <v>57</v>
      </c>
      <c r="M99" s="6">
        <v>45689</v>
      </c>
      <c r="N99" s="6">
        <v>45992</v>
      </c>
      <c r="O99" s="7">
        <v>46.03</v>
      </c>
      <c r="P99" s="5">
        <f t="shared" si="4"/>
        <v>10</v>
      </c>
      <c r="Q99" s="5" t="s">
        <v>264</v>
      </c>
      <c r="R99" s="5" t="s">
        <v>1086</v>
      </c>
      <c r="S99" s="5" t="s">
        <v>58</v>
      </c>
      <c r="T99" s="8">
        <v>0.65</v>
      </c>
      <c r="U99" s="5" t="s">
        <v>60</v>
      </c>
      <c r="V99" s="5" t="s">
        <v>61</v>
      </c>
      <c r="W99" s="7">
        <v>0</v>
      </c>
      <c r="X99" s="7">
        <v>29.92</v>
      </c>
      <c r="Y99" s="7">
        <v>29.92</v>
      </c>
      <c r="Z99" s="5" t="s">
        <v>1090</v>
      </c>
    </row>
    <row r="100" spans="1:26" s="5" customFormat="1" x14ac:dyDescent="0.25">
      <c r="A100" s="5">
        <v>2026812433</v>
      </c>
      <c r="B100" s="5" t="s">
        <v>600</v>
      </c>
      <c r="C100" s="5" t="s">
        <v>601</v>
      </c>
      <c r="D100" s="5" t="str">
        <f t="shared" si="5"/>
        <v>JIMENEZ FIDEL</v>
      </c>
      <c r="E100" s="5" t="s">
        <v>92</v>
      </c>
      <c r="F100" s="5" t="s">
        <v>369</v>
      </c>
      <c r="G100" s="5" t="s">
        <v>418</v>
      </c>
      <c r="H100" s="5">
        <v>16865615</v>
      </c>
      <c r="I100" s="5" t="s">
        <v>93</v>
      </c>
      <c r="J100" s="5" t="s">
        <v>94</v>
      </c>
      <c r="K100" s="5" t="str">
        <f t="shared" si="3"/>
        <v>Heather Geske</v>
      </c>
      <c r="L100" s="5" t="s">
        <v>57</v>
      </c>
      <c r="M100" s="6">
        <v>45690</v>
      </c>
      <c r="N100" s="6">
        <v>45993</v>
      </c>
      <c r="O100" s="7">
        <v>91.88</v>
      </c>
      <c r="P100" s="5">
        <f t="shared" si="4"/>
        <v>10</v>
      </c>
      <c r="Q100" s="5" t="s">
        <v>264</v>
      </c>
      <c r="R100" s="5" t="s">
        <v>1086</v>
      </c>
      <c r="S100" s="5" t="s">
        <v>58</v>
      </c>
      <c r="T100" s="8">
        <v>0.65</v>
      </c>
      <c r="U100" s="5" t="s">
        <v>60</v>
      </c>
      <c r="V100" s="5" t="s">
        <v>61</v>
      </c>
      <c r="W100" s="7">
        <v>0</v>
      </c>
      <c r="X100" s="7">
        <v>59.72</v>
      </c>
      <c r="Y100" s="7">
        <v>59.72</v>
      </c>
      <c r="Z100" s="5" t="s">
        <v>1090</v>
      </c>
    </row>
    <row r="101" spans="1:26" s="5" customFormat="1" x14ac:dyDescent="0.25">
      <c r="A101" s="5">
        <v>2026817010</v>
      </c>
      <c r="B101" s="5" t="s">
        <v>602</v>
      </c>
      <c r="C101" s="5" t="s">
        <v>603</v>
      </c>
      <c r="D101" s="5" t="str">
        <f t="shared" si="5"/>
        <v>BRINK JENNA</v>
      </c>
      <c r="E101" s="5" t="s">
        <v>92</v>
      </c>
      <c r="F101" s="5" t="s">
        <v>369</v>
      </c>
      <c r="G101" s="5" t="s">
        <v>418</v>
      </c>
      <c r="H101" s="5">
        <v>21313588</v>
      </c>
      <c r="I101" s="5" t="s">
        <v>604</v>
      </c>
      <c r="J101" s="5" t="s">
        <v>110</v>
      </c>
      <c r="K101" s="5" t="str">
        <f t="shared" si="3"/>
        <v>WILLIAM GESKE</v>
      </c>
      <c r="L101" s="5" t="s">
        <v>57</v>
      </c>
      <c r="M101" s="6">
        <v>45689</v>
      </c>
      <c r="N101" s="6">
        <v>45992</v>
      </c>
      <c r="O101" s="7">
        <v>36.18</v>
      </c>
      <c r="P101" s="5">
        <f t="shared" si="4"/>
        <v>10</v>
      </c>
      <c r="Q101" s="5" t="s">
        <v>264</v>
      </c>
      <c r="R101" s="5" t="s">
        <v>1086</v>
      </c>
      <c r="S101" s="5" t="s">
        <v>58</v>
      </c>
      <c r="T101" s="8">
        <v>0.65</v>
      </c>
      <c r="U101" s="5" t="s">
        <v>60</v>
      </c>
      <c r="V101" s="5" t="s">
        <v>61</v>
      </c>
      <c r="W101" s="7">
        <v>0</v>
      </c>
      <c r="X101" s="7">
        <v>23.52</v>
      </c>
      <c r="Y101" s="7">
        <v>23.52</v>
      </c>
      <c r="Z101" s="5" t="s">
        <v>1090</v>
      </c>
    </row>
    <row r="102" spans="1:26" s="5" customFormat="1" x14ac:dyDescent="0.25">
      <c r="A102">
        <v>2027398847</v>
      </c>
      <c r="B102" t="s">
        <v>606</v>
      </c>
      <c r="C102" t="s">
        <v>607</v>
      </c>
      <c r="D102" s="5" t="str">
        <f t="shared" si="5"/>
        <v>CHRISTALDI GINA</v>
      </c>
      <c r="E102" t="s">
        <v>52</v>
      </c>
      <c r="F102" t="s">
        <v>369</v>
      </c>
      <c r="G102" t="s">
        <v>418</v>
      </c>
      <c r="H102">
        <v>8977234</v>
      </c>
      <c r="I102" t="s">
        <v>55</v>
      </c>
      <c r="J102" t="s">
        <v>56</v>
      </c>
      <c r="K102" t="str">
        <f t="shared" si="3"/>
        <v>RYAN CALTAGIRONE</v>
      </c>
      <c r="L102" t="s">
        <v>57</v>
      </c>
      <c r="M102" s="1">
        <v>45748</v>
      </c>
      <c r="N102" s="1">
        <v>45992</v>
      </c>
      <c r="O102" s="2">
        <v>75.010000000000005</v>
      </c>
      <c r="P102">
        <f t="shared" si="4"/>
        <v>8</v>
      </c>
      <c r="Q102" t="s">
        <v>264</v>
      </c>
      <c r="R102" t="s">
        <v>1086</v>
      </c>
      <c r="S102" t="s">
        <v>58</v>
      </c>
      <c r="T102" s="3">
        <v>0.65</v>
      </c>
      <c r="U102" t="s">
        <v>60</v>
      </c>
      <c r="V102" t="s">
        <v>61</v>
      </c>
      <c r="W102" s="2">
        <v>0</v>
      </c>
      <c r="X102" s="2">
        <v>48.76</v>
      </c>
      <c r="Y102" s="2">
        <v>48.76</v>
      </c>
      <c r="Z102" s="5" t="s">
        <v>1090</v>
      </c>
    </row>
    <row r="103" spans="1:26" s="5" customFormat="1" x14ac:dyDescent="0.25">
      <c r="A103">
        <v>2027743283</v>
      </c>
      <c r="B103" t="s">
        <v>610</v>
      </c>
      <c r="C103" t="s">
        <v>324</v>
      </c>
      <c r="D103" s="5" t="str">
        <f t="shared" si="5"/>
        <v>SZYMANSKI KATHLEEN</v>
      </c>
      <c r="E103" t="s">
        <v>182</v>
      </c>
      <c r="F103" t="s">
        <v>369</v>
      </c>
      <c r="G103" t="s">
        <v>418</v>
      </c>
      <c r="H103">
        <v>8977234</v>
      </c>
      <c r="I103" t="s">
        <v>55</v>
      </c>
      <c r="J103" t="s">
        <v>56</v>
      </c>
      <c r="K103" t="str">
        <f t="shared" si="3"/>
        <v>RYAN CALTAGIRONE</v>
      </c>
      <c r="L103" t="s">
        <v>57</v>
      </c>
      <c r="M103" s="1">
        <v>45748</v>
      </c>
      <c r="N103" s="1">
        <v>45992</v>
      </c>
      <c r="O103" s="2">
        <v>191.47</v>
      </c>
      <c r="P103">
        <f t="shared" si="4"/>
        <v>8</v>
      </c>
      <c r="Q103" t="s">
        <v>264</v>
      </c>
      <c r="R103" t="s">
        <v>1086</v>
      </c>
      <c r="S103" t="s">
        <v>58</v>
      </c>
      <c r="T103" s="3">
        <v>0.65</v>
      </c>
      <c r="U103" t="s">
        <v>60</v>
      </c>
      <c r="V103" t="s">
        <v>61</v>
      </c>
      <c r="W103" s="2">
        <v>0</v>
      </c>
      <c r="X103" s="2">
        <v>124.46</v>
      </c>
      <c r="Y103" s="2">
        <v>124.46</v>
      </c>
      <c r="Z103" s="5" t="s">
        <v>1090</v>
      </c>
    </row>
    <row r="104" spans="1:26" s="5" customFormat="1" x14ac:dyDescent="0.25">
      <c r="A104">
        <v>2026471869</v>
      </c>
      <c r="B104" t="s">
        <v>510</v>
      </c>
      <c r="C104" t="s">
        <v>511</v>
      </c>
      <c r="D104" s="5" t="str">
        <f t="shared" si="5"/>
        <v>STEHLIK NATHAN</v>
      </c>
      <c r="E104" t="s">
        <v>182</v>
      </c>
      <c r="F104" t="s">
        <v>369</v>
      </c>
      <c r="G104" t="s">
        <v>418</v>
      </c>
      <c r="H104">
        <v>8977234</v>
      </c>
      <c r="I104" t="s">
        <v>55</v>
      </c>
      <c r="J104" t="s">
        <v>56</v>
      </c>
      <c r="K104" t="str">
        <f t="shared" si="3"/>
        <v>RYAN CALTAGIRONE</v>
      </c>
      <c r="L104" t="s">
        <v>57</v>
      </c>
      <c r="M104" s="1">
        <v>45689</v>
      </c>
      <c r="N104" s="1">
        <v>45992</v>
      </c>
      <c r="O104" s="2">
        <v>17.25</v>
      </c>
      <c r="P104">
        <f t="shared" si="4"/>
        <v>10</v>
      </c>
      <c r="Q104" t="s">
        <v>264</v>
      </c>
      <c r="R104" t="s">
        <v>1086</v>
      </c>
      <c r="S104" t="s">
        <v>58</v>
      </c>
      <c r="T104" s="3">
        <v>0.65</v>
      </c>
      <c r="U104" t="s">
        <v>60</v>
      </c>
      <c r="V104" t="s">
        <v>61</v>
      </c>
      <c r="W104" s="2">
        <v>0</v>
      </c>
      <c r="X104" s="2">
        <v>11.21</v>
      </c>
      <c r="Y104" s="2">
        <v>11.21</v>
      </c>
      <c r="Z104" s="5" t="s">
        <v>1090</v>
      </c>
    </row>
    <row r="105" spans="1:26" s="5" customFormat="1" x14ac:dyDescent="0.25">
      <c r="A105">
        <v>2026613383</v>
      </c>
      <c r="B105" t="s">
        <v>583</v>
      </c>
      <c r="C105" t="s">
        <v>490</v>
      </c>
      <c r="D105" s="5" t="str">
        <f t="shared" si="5"/>
        <v>KELLOGG SCOTT</v>
      </c>
      <c r="E105" t="s">
        <v>52</v>
      </c>
      <c r="F105" t="s">
        <v>369</v>
      </c>
      <c r="G105" t="s">
        <v>418</v>
      </c>
      <c r="H105">
        <v>8977234</v>
      </c>
      <c r="I105" t="s">
        <v>55</v>
      </c>
      <c r="J105" t="s">
        <v>56</v>
      </c>
      <c r="K105" t="str">
        <f t="shared" si="3"/>
        <v>RYAN CALTAGIRONE</v>
      </c>
      <c r="L105" t="s">
        <v>57</v>
      </c>
      <c r="M105" s="1">
        <v>45689</v>
      </c>
      <c r="N105" s="1">
        <v>45992</v>
      </c>
      <c r="O105" s="2">
        <v>161.66</v>
      </c>
      <c r="P105">
        <f t="shared" si="4"/>
        <v>10</v>
      </c>
      <c r="Q105" t="s">
        <v>264</v>
      </c>
      <c r="R105" t="s">
        <v>1086</v>
      </c>
      <c r="S105" t="s">
        <v>58</v>
      </c>
      <c r="T105" s="3">
        <v>0.65</v>
      </c>
      <c r="U105" t="s">
        <v>60</v>
      </c>
      <c r="V105" t="s">
        <v>61</v>
      </c>
      <c r="W105" s="2">
        <v>0</v>
      </c>
      <c r="X105" s="2">
        <v>105.08</v>
      </c>
      <c r="Y105" s="2">
        <v>105.08</v>
      </c>
      <c r="Z105" s="5" t="s">
        <v>1090</v>
      </c>
    </row>
    <row r="106" spans="1:26" s="5" customFormat="1" x14ac:dyDescent="0.25">
      <c r="A106">
        <v>2024136818</v>
      </c>
      <c r="B106" t="s">
        <v>283</v>
      </c>
      <c r="C106" t="s">
        <v>284</v>
      </c>
      <c r="D106" s="5" t="str">
        <f t="shared" si="5"/>
        <v>SALGADO CARLOS</v>
      </c>
      <c r="E106" t="s">
        <v>52</v>
      </c>
      <c r="F106" t="s">
        <v>369</v>
      </c>
      <c r="G106" t="s">
        <v>418</v>
      </c>
      <c r="H106">
        <v>8977234</v>
      </c>
      <c r="I106" t="s">
        <v>55</v>
      </c>
      <c r="J106" t="s">
        <v>56</v>
      </c>
      <c r="K106" t="str">
        <f t="shared" si="3"/>
        <v>RYAN CALTAGIRONE</v>
      </c>
      <c r="L106" t="s">
        <v>57</v>
      </c>
      <c r="M106" s="1">
        <v>45536</v>
      </c>
      <c r="N106" s="1">
        <v>45992</v>
      </c>
      <c r="O106" s="2">
        <v>127.15</v>
      </c>
      <c r="P106">
        <f t="shared" si="4"/>
        <v>15</v>
      </c>
      <c r="Q106" t="s">
        <v>264</v>
      </c>
      <c r="R106" t="s">
        <v>1086</v>
      </c>
      <c r="S106" t="s">
        <v>58</v>
      </c>
      <c r="T106" s="3">
        <v>0.1</v>
      </c>
      <c r="U106" t="s">
        <v>264</v>
      </c>
      <c r="V106" t="s">
        <v>61</v>
      </c>
      <c r="W106" s="2">
        <v>0</v>
      </c>
      <c r="X106" s="2">
        <v>12.72</v>
      </c>
      <c r="Y106" s="2">
        <v>12.72</v>
      </c>
      <c r="Z106" s="5" t="s">
        <v>1090</v>
      </c>
    </row>
    <row r="107" spans="1:26" s="5" customFormat="1" x14ac:dyDescent="0.25">
      <c r="A107">
        <v>2024384777</v>
      </c>
      <c r="B107" t="s">
        <v>578</v>
      </c>
      <c r="C107" t="s">
        <v>413</v>
      </c>
      <c r="D107" s="5" t="str">
        <f t="shared" si="5"/>
        <v>BUSCHELL BRIAN</v>
      </c>
      <c r="E107" t="s">
        <v>182</v>
      </c>
      <c r="F107" t="s">
        <v>369</v>
      </c>
      <c r="G107" t="s">
        <v>418</v>
      </c>
      <c r="H107">
        <v>8977234</v>
      </c>
      <c r="I107" t="s">
        <v>55</v>
      </c>
      <c r="J107" t="s">
        <v>56</v>
      </c>
      <c r="K107" t="str">
        <f t="shared" si="3"/>
        <v>RYAN CALTAGIRONE</v>
      </c>
      <c r="L107" t="s">
        <v>57</v>
      </c>
      <c r="M107" s="1">
        <v>45536</v>
      </c>
      <c r="N107" s="1">
        <v>45992</v>
      </c>
      <c r="O107" s="2">
        <v>35.5</v>
      </c>
      <c r="P107">
        <f t="shared" si="4"/>
        <v>15</v>
      </c>
      <c r="Q107" t="s">
        <v>264</v>
      </c>
      <c r="R107" t="s">
        <v>1086</v>
      </c>
      <c r="S107" t="s">
        <v>58</v>
      </c>
      <c r="T107" s="3">
        <v>0.1</v>
      </c>
      <c r="U107" t="s">
        <v>264</v>
      </c>
      <c r="V107" t="s">
        <v>61</v>
      </c>
      <c r="W107" s="2">
        <v>0</v>
      </c>
      <c r="X107" s="2">
        <v>3.55</v>
      </c>
      <c r="Y107" s="2">
        <v>3.55</v>
      </c>
      <c r="Z107" s="5" t="s">
        <v>1090</v>
      </c>
    </row>
    <row r="108" spans="1:26" s="5" customFormat="1" x14ac:dyDescent="0.25">
      <c r="A108" s="5">
        <v>2031242401</v>
      </c>
      <c r="B108" s="5" t="s">
        <v>248</v>
      </c>
      <c r="C108" s="5" t="s">
        <v>249</v>
      </c>
      <c r="D108" s="5" t="str">
        <f t="shared" si="5"/>
        <v>IBSEN KATY</v>
      </c>
      <c r="E108" s="5" t="s">
        <v>92</v>
      </c>
      <c r="F108" s="5" t="s">
        <v>369</v>
      </c>
      <c r="G108" s="5" t="s">
        <v>421</v>
      </c>
      <c r="H108" s="5">
        <v>16865615</v>
      </c>
      <c r="I108" s="5" t="s">
        <v>93</v>
      </c>
      <c r="J108" s="5" t="s">
        <v>94</v>
      </c>
      <c r="K108" s="5" t="str">
        <f t="shared" si="3"/>
        <v>Heather Geske</v>
      </c>
      <c r="L108" s="5" t="s">
        <v>57</v>
      </c>
      <c r="M108" s="6">
        <v>45925</v>
      </c>
      <c r="N108" s="6">
        <v>45986</v>
      </c>
      <c r="O108" s="7">
        <v>40.06</v>
      </c>
      <c r="P108" s="5">
        <f t="shared" si="4"/>
        <v>2</v>
      </c>
      <c r="Q108" s="5" t="s">
        <v>264</v>
      </c>
      <c r="R108" s="5" t="s">
        <v>1085</v>
      </c>
      <c r="S108" s="5" t="s">
        <v>58</v>
      </c>
      <c r="T108" s="8">
        <v>0.75</v>
      </c>
      <c r="U108" s="5" t="s">
        <v>60</v>
      </c>
      <c r="V108" s="5" t="s">
        <v>61</v>
      </c>
      <c r="W108" s="7">
        <v>30.04</v>
      </c>
      <c r="X108" s="7">
        <v>0</v>
      </c>
      <c r="Y108" s="7">
        <v>30.04</v>
      </c>
      <c r="Z108" s="5" t="s">
        <v>1089</v>
      </c>
    </row>
    <row r="109" spans="1:26" s="5" customFormat="1" x14ac:dyDescent="0.25">
      <c r="A109" s="5">
        <v>2031190209</v>
      </c>
      <c r="B109" s="5" t="s">
        <v>245</v>
      </c>
      <c r="C109" s="5" t="s">
        <v>246</v>
      </c>
      <c r="D109" s="5" t="str">
        <f t="shared" si="5"/>
        <v>SEMPRINI JANICE</v>
      </c>
      <c r="E109" s="5" t="s">
        <v>247</v>
      </c>
      <c r="F109" s="5" t="s">
        <v>369</v>
      </c>
      <c r="G109" s="5" t="s">
        <v>421</v>
      </c>
      <c r="H109" s="5">
        <v>16633294</v>
      </c>
      <c r="I109" s="5" t="s">
        <v>70</v>
      </c>
      <c r="J109" s="5" t="s">
        <v>183</v>
      </c>
      <c r="K109" s="5" t="str">
        <f t="shared" si="3"/>
        <v>Richard Yale</v>
      </c>
      <c r="L109" s="5" t="s">
        <v>57</v>
      </c>
      <c r="M109" s="6">
        <v>45925</v>
      </c>
      <c r="N109" s="6">
        <v>45986</v>
      </c>
      <c r="O109" s="7">
        <v>80.8</v>
      </c>
      <c r="P109" s="5">
        <f t="shared" si="4"/>
        <v>2</v>
      </c>
      <c r="Q109" s="5" t="s">
        <v>264</v>
      </c>
      <c r="R109" s="5" t="s">
        <v>1085</v>
      </c>
      <c r="S109" s="5" t="s">
        <v>58</v>
      </c>
      <c r="T109" s="8">
        <v>0.75</v>
      </c>
      <c r="U109" s="5" t="s">
        <v>60</v>
      </c>
      <c r="V109" s="5" t="s">
        <v>61</v>
      </c>
      <c r="W109" s="7">
        <v>60.6</v>
      </c>
      <c r="X109" s="7">
        <v>0</v>
      </c>
      <c r="Y109" s="7">
        <v>60.6</v>
      </c>
      <c r="Z109" s="5" t="s">
        <v>1089</v>
      </c>
    </row>
    <row r="110" spans="1:26" s="5" customFormat="1" x14ac:dyDescent="0.25">
      <c r="A110" s="5">
        <v>2030779466</v>
      </c>
      <c r="B110" s="5" t="s">
        <v>220</v>
      </c>
      <c r="C110" s="5" t="s">
        <v>221</v>
      </c>
      <c r="D110" s="5" t="str">
        <f t="shared" si="5"/>
        <v>JEAN AYALA</v>
      </c>
      <c r="E110" s="5" t="s">
        <v>92</v>
      </c>
      <c r="F110" s="5" t="s">
        <v>369</v>
      </c>
      <c r="G110" s="5" t="s">
        <v>421</v>
      </c>
      <c r="H110" s="5">
        <v>16865615</v>
      </c>
      <c r="I110" s="5" t="s">
        <v>93</v>
      </c>
      <c r="J110" s="5" t="s">
        <v>94</v>
      </c>
      <c r="K110" s="5" t="str">
        <f t="shared" si="3"/>
        <v>Heather Geske</v>
      </c>
      <c r="L110" s="5" t="s">
        <v>57</v>
      </c>
      <c r="M110" s="6">
        <v>45901</v>
      </c>
      <c r="N110" s="6">
        <v>45992</v>
      </c>
      <c r="O110" s="7">
        <v>33.01</v>
      </c>
      <c r="P110" s="5">
        <f t="shared" si="4"/>
        <v>3</v>
      </c>
      <c r="Q110" s="5" t="s">
        <v>264</v>
      </c>
      <c r="R110" s="5" t="s">
        <v>1085</v>
      </c>
      <c r="S110" s="5" t="s">
        <v>58</v>
      </c>
      <c r="T110" s="8">
        <v>0.75</v>
      </c>
      <c r="U110" s="5" t="s">
        <v>60</v>
      </c>
      <c r="V110" s="5" t="s">
        <v>61</v>
      </c>
      <c r="W110" s="7">
        <v>24.76</v>
      </c>
      <c r="X110" s="7">
        <v>0</v>
      </c>
      <c r="Y110" s="7">
        <v>24.76</v>
      </c>
      <c r="Z110" s="5" t="s">
        <v>1089</v>
      </c>
    </row>
    <row r="111" spans="1:26" s="5" customFormat="1" x14ac:dyDescent="0.25">
      <c r="A111" s="5">
        <v>2030714656</v>
      </c>
      <c r="B111" s="5" t="s">
        <v>86</v>
      </c>
      <c r="C111" s="5" t="s">
        <v>200</v>
      </c>
      <c r="D111" s="5" t="str">
        <f t="shared" si="5"/>
        <v>NICHOLAS CURRIER</v>
      </c>
      <c r="E111" s="5" t="s">
        <v>201</v>
      </c>
      <c r="F111" s="5" t="s">
        <v>369</v>
      </c>
      <c r="G111" s="5" t="s">
        <v>421</v>
      </c>
      <c r="H111" s="5" t="s">
        <v>1080</v>
      </c>
      <c r="I111" s="5" t="s">
        <v>175</v>
      </c>
      <c r="J111" s="5" t="s">
        <v>176</v>
      </c>
      <c r="K111" s="5" t="str">
        <f t="shared" si="3"/>
        <v>Jake Shulman</v>
      </c>
      <c r="L111" s="5" t="s">
        <v>57</v>
      </c>
      <c r="M111" s="6">
        <v>45901</v>
      </c>
      <c r="N111" s="6">
        <v>45992</v>
      </c>
      <c r="O111" s="7">
        <v>195.58</v>
      </c>
      <c r="P111" s="5">
        <f t="shared" si="4"/>
        <v>3</v>
      </c>
      <c r="Q111" s="5" t="s">
        <v>264</v>
      </c>
      <c r="R111" s="5" t="s">
        <v>1085</v>
      </c>
      <c r="S111" s="5" t="s">
        <v>58</v>
      </c>
      <c r="T111" s="8">
        <v>0.75</v>
      </c>
      <c r="U111" s="5" t="s">
        <v>60</v>
      </c>
      <c r="V111" s="5" t="s">
        <v>61</v>
      </c>
      <c r="W111" s="7">
        <v>146.68</v>
      </c>
      <c r="X111" s="7">
        <v>0</v>
      </c>
      <c r="Y111" s="7">
        <v>146.68</v>
      </c>
      <c r="Z111" s="5" t="s">
        <v>1089</v>
      </c>
    </row>
    <row r="112" spans="1:26" s="5" customFormat="1" x14ac:dyDescent="0.25">
      <c r="A112" s="5">
        <v>2028899053</v>
      </c>
      <c r="B112" s="5" t="s">
        <v>691</v>
      </c>
      <c r="C112" s="5" t="s">
        <v>692</v>
      </c>
      <c r="D112" s="5" t="str">
        <f t="shared" si="5"/>
        <v>MACTAVISH MADISON</v>
      </c>
      <c r="E112" s="5" t="s">
        <v>69</v>
      </c>
      <c r="F112" s="5" t="s">
        <v>369</v>
      </c>
      <c r="G112" s="5" t="s">
        <v>421</v>
      </c>
      <c r="H112" s="5">
        <v>8325282</v>
      </c>
      <c r="I112" s="5" t="s">
        <v>447</v>
      </c>
      <c r="J112" s="5" t="s">
        <v>448</v>
      </c>
      <c r="K112" s="5" t="str">
        <f t="shared" si="3"/>
        <v>Dale Walenga</v>
      </c>
      <c r="L112" s="5" t="s">
        <v>57</v>
      </c>
      <c r="M112" s="6">
        <v>45809</v>
      </c>
      <c r="N112" s="6">
        <v>45992</v>
      </c>
      <c r="O112" s="7">
        <v>13.75</v>
      </c>
      <c r="P112" s="5">
        <f t="shared" si="4"/>
        <v>6</v>
      </c>
      <c r="Q112" s="5" t="s">
        <v>264</v>
      </c>
      <c r="R112" s="5" t="s">
        <v>1086</v>
      </c>
      <c r="S112" s="5" t="s">
        <v>58</v>
      </c>
      <c r="T112" s="8">
        <v>0.75</v>
      </c>
      <c r="U112" s="5" t="s">
        <v>60</v>
      </c>
      <c r="V112" s="5" t="s">
        <v>61</v>
      </c>
      <c r="W112" s="7">
        <v>10.31</v>
      </c>
      <c r="X112" s="7">
        <v>0</v>
      </c>
      <c r="Y112" s="7">
        <v>10.31</v>
      </c>
      <c r="Z112" s="5" t="s">
        <v>1089</v>
      </c>
    </row>
    <row r="113" spans="1:26" s="5" customFormat="1" x14ac:dyDescent="0.25">
      <c r="A113" s="5">
        <v>2029031324</v>
      </c>
      <c r="B113" s="5" t="s">
        <v>796</v>
      </c>
      <c r="C113" s="5" t="s">
        <v>308</v>
      </c>
      <c r="D113" s="5" t="str">
        <f t="shared" si="5"/>
        <v>AUSTIN ELIZABETH</v>
      </c>
      <c r="E113" s="5" t="s">
        <v>92</v>
      </c>
      <c r="F113" s="5" t="s">
        <v>369</v>
      </c>
      <c r="G113" s="5" t="s">
        <v>421</v>
      </c>
      <c r="H113" s="5">
        <v>16865615</v>
      </c>
      <c r="I113" s="5" t="s">
        <v>93</v>
      </c>
      <c r="J113" s="5" t="s">
        <v>94</v>
      </c>
      <c r="K113" s="5" t="str">
        <f t="shared" si="3"/>
        <v>Heather Geske</v>
      </c>
      <c r="L113" s="5" t="s">
        <v>57</v>
      </c>
      <c r="M113" s="6">
        <v>45809</v>
      </c>
      <c r="N113" s="6">
        <v>45992</v>
      </c>
      <c r="O113" s="7">
        <v>13.21</v>
      </c>
      <c r="P113" s="5">
        <f t="shared" si="4"/>
        <v>6</v>
      </c>
      <c r="Q113" s="5" t="s">
        <v>264</v>
      </c>
      <c r="R113" s="5" t="s">
        <v>1086</v>
      </c>
      <c r="S113" s="5" t="s">
        <v>58</v>
      </c>
      <c r="T113" s="8">
        <v>0.75</v>
      </c>
      <c r="U113" s="5" t="s">
        <v>60</v>
      </c>
      <c r="V113" s="5" t="s">
        <v>61</v>
      </c>
      <c r="W113" s="7">
        <v>9.91</v>
      </c>
      <c r="X113" s="7">
        <v>0</v>
      </c>
      <c r="Y113" s="7">
        <v>9.91</v>
      </c>
      <c r="Z113" s="5" t="s">
        <v>1089</v>
      </c>
    </row>
    <row r="114" spans="1:26" s="5" customFormat="1" x14ac:dyDescent="0.25">
      <c r="A114" s="5">
        <v>2028959283</v>
      </c>
      <c r="B114" s="5" t="s">
        <v>788</v>
      </c>
      <c r="C114" s="5" t="s">
        <v>153</v>
      </c>
      <c r="D114" s="5" t="str">
        <f t="shared" si="5"/>
        <v>TAYLOR DAVID</v>
      </c>
      <c r="E114" s="5" t="s">
        <v>69</v>
      </c>
      <c r="F114" s="5" t="s">
        <v>369</v>
      </c>
      <c r="G114" s="5" t="s">
        <v>421</v>
      </c>
      <c r="H114" s="5">
        <v>18828278</v>
      </c>
      <c r="I114" s="5" t="s">
        <v>97</v>
      </c>
      <c r="J114" s="5" t="s">
        <v>98</v>
      </c>
      <c r="K114" s="5" t="str">
        <f t="shared" si="3"/>
        <v>MICHAEL DUNAVANT</v>
      </c>
      <c r="L114" s="5" t="s">
        <v>57</v>
      </c>
      <c r="M114" s="6">
        <v>45809</v>
      </c>
      <c r="N114" s="6">
        <v>45992</v>
      </c>
      <c r="O114" s="7">
        <v>141.43</v>
      </c>
      <c r="P114" s="5">
        <f t="shared" si="4"/>
        <v>6</v>
      </c>
      <c r="Q114" s="5" t="s">
        <v>264</v>
      </c>
      <c r="R114" s="5" t="s">
        <v>1086</v>
      </c>
      <c r="S114" s="5" t="s">
        <v>58</v>
      </c>
      <c r="T114" s="8">
        <v>0.75</v>
      </c>
      <c r="U114" s="5" t="s">
        <v>60</v>
      </c>
      <c r="V114" s="5" t="s">
        <v>61</v>
      </c>
      <c r="W114" s="7">
        <v>106.07</v>
      </c>
      <c r="X114" s="7">
        <v>0</v>
      </c>
      <c r="Y114" s="7">
        <v>106.07</v>
      </c>
      <c r="Z114" s="5" t="s">
        <v>1089</v>
      </c>
    </row>
    <row r="115" spans="1:26" s="5" customFormat="1" x14ac:dyDescent="0.25">
      <c r="A115">
        <v>2030297552</v>
      </c>
      <c r="B115" t="s">
        <v>236</v>
      </c>
      <c r="C115" t="s">
        <v>56</v>
      </c>
      <c r="D115" s="5" t="str">
        <f t="shared" si="5"/>
        <v>HEATHER RYAN</v>
      </c>
      <c r="E115" t="s">
        <v>165</v>
      </c>
      <c r="F115" t="s">
        <v>369</v>
      </c>
      <c r="G115" t="s">
        <v>421</v>
      </c>
      <c r="H115" t="s">
        <v>1083</v>
      </c>
      <c r="I115" t="s">
        <v>70</v>
      </c>
      <c r="J115" t="s">
        <v>71</v>
      </c>
      <c r="K115" t="str">
        <f t="shared" si="3"/>
        <v>Chad Yale</v>
      </c>
      <c r="L115" t="s">
        <v>57</v>
      </c>
      <c r="M115" s="1">
        <v>45901</v>
      </c>
      <c r="N115" s="1">
        <v>45962</v>
      </c>
      <c r="O115" s="2">
        <v>17.170000000000002</v>
      </c>
      <c r="P115">
        <f t="shared" si="4"/>
        <v>2</v>
      </c>
      <c r="Q115" t="s">
        <v>264</v>
      </c>
      <c r="R115" t="s">
        <v>1086</v>
      </c>
      <c r="S115" t="s">
        <v>58</v>
      </c>
      <c r="T115" s="3">
        <v>0.75</v>
      </c>
      <c r="U115" t="s">
        <v>60</v>
      </c>
      <c r="V115" t="s">
        <v>61</v>
      </c>
      <c r="W115" s="2">
        <v>12.88</v>
      </c>
      <c r="X115" s="2">
        <v>0</v>
      </c>
      <c r="Y115" s="2">
        <v>12.88</v>
      </c>
      <c r="Z115" s="5" t="s">
        <v>1089</v>
      </c>
    </row>
    <row r="116" spans="1:26" s="5" customFormat="1" x14ac:dyDescent="0.25">
      <c r="A116">
        <v>2030570951</v>
      </c>
      <c r="B116" t="s">
        <v>137</v>
      </c>
      <c r="C116" t="s">
        <v>138</v>
      </c>
      <c r="D116" s="5" t="str">
        <f t="shared" si="5"/>
        <v>LESA CRANE</v>
      </c>
      <c r="E116" t="s">
        <v>69</v>
      </c>
      <c r="F116" t="s">
        <v>369</v>
      </c>
      <c r="G116" t="s">
        <v>421</v>
      </c>
      <c r="H116" t="s">
        <v>1083</v>
      </c>
      <c r="I116" t="s">
        <v>70</v>
      </c>
      <c r="J116" t="s">
        <v>71</v>
      </c>
      <c r="K116" t="str">
        <f t="shared" si="3"/>
        <v>Chad Yale</v>
      </c>
      <c r="L116" t="s">
        <v>57</v>
      </c>
      <c r="M116" s="1">
        <v>45901</v>
      </c>
      <c r="N116" s="1">
        <v>45992</v>
      </c>
      <c r="O116" s="2">
        <v>90.76</v>
      </c>
      <c r="P116">
        <f t="shared" si="4"/>
        <v>3</v>
      </c>
      <c r="Q116" t="s">
        <v>264</v>
      </c>
      <c r="R116" t="s">
        <v>1086</v>
      </c>
      <c r="S116" t="s">
        <v>58</v>
      </c>
      <c r="T116" s="3">
        <v>0.75</v>
      </c>
      <c r="U116" t="s">
        <v>60</v>
      </c>
      <c r="V116" t="s">
        <v>61</v>
      </c>
      <c r="W116" s="2">
        <v>68.069999999999993</v>
      </c>
      <c r="X116" s="2">
        <v>0</v>
      </c>
      <c r="Y116" s="2">
        <v>68.069999999999993</v>
      </c>
      <c r="Z116" s="5" t="s">
        <v>1089</v>
      </c>
    </row>
    <row r="117" spans="1:26" s="5" customFormat="1" x14ac:dyDescent="0.25">
      <c r="A117">
        <v>2030297552</v>
      </c>
      <c r="B117" t="s">
        <v>236</v>
      </c>
      <c r="C117" t="s">
        <v>56</v>
      </c>
      <c r="D117" s="5" t="str">
        <f t="shared" si="5"/>
        <v>HEATHER RYAN</v>
      </c>
      <c r="E117" t="s">
        <v>165</v>
      </c>
      <c r="F117" t="s">
        <v>369</v>
      </c>
      <c r="G117" t="s">
        <v>421</v>
      </c>
      <c r="H117" t="s">
        <v>1083</v>
      </c>
      <c r="I117" t="s">
        <v>70</v>
      </c>
      <c r="J117" t="s">
        <v>71</v>
      </c>
      <c r="K117" t="str">
        <f t="shared" si="3"/>
        <v>Chad Yale</v>
      </c>
      <c r="L117" t="s">
        <v>57</v>
      </c>
      <c r="M117" s="1">
        <v>45901</v>
      </c>
      <c r="N117" s="1">
        <v>45992</v>
      </c>
      <c r="O117" s="2">
        <v>17.170000000000002</v>
      </c>
      <c r="P117">
        <f t="shared" si="4"/>
        <v>3</v>
      </c>
      <c r="Q117" t="s">
        <v>264</v>
      </c>
      <c r="R117" t="s">
        <v>1086</v>
      </c>
      <c r="S117" t="s">
        <v>58</v>
      </c>
      <c r="T117" s="3">
        <v>0.75</v>
      </c>
      <c r="U117" t="s">
        <v>60</v>
      </c>
      <c r="V117" t="s">
        <v>61</v>
      </c>
      <c r="W117" s="2">
        <v>12.88</v>
      </c>
      <c r="X117" s="2">
        <v>0</v>
      </c>
      <c r="Y117" s="2">
        <v>12.88</v>
      </c>
      <c r="Z117" s="5" t="s">
        <v>1089</v>
      </c>
    </row>
    <row r="118" spans="1:26" s="5" customFormat="1" x14ac:dyDescent="0.25">
      <c r="A118">
        <v>2030659852</v>
      </c>
      <c r="B118" t="s">
        <v>167</v>
      </c>
      <c r="C118" t="s">
        <v>168</v>
      </c>
      <c r="D118" s="5" t="str">
        <f t="shared" si="5"/>
        <v>CHARLES BENISH</v>
      </c>
      <c r="E118" t="s">
        <v>69</v>
      </c>
      <c r="F118" t="s">
        <v>369</v>
      </c>
      <c r="G118" t="s">
        <v>421</v>
      </c>
      <c r="H118">
        <v>17437820</v>
      </c>
      <c r="I118" t="s">
        <v>169</v>
      </c>
      <c r="J118" t="s">
        <v>170</v>
      </c>
      <c r="K118" t="str">
        <f t="shared" si="3"/>
        <v>COLLEEN FINNIGAN</v>
      </c>
      <c r="L118" t="s">
        <v>57</v>
      </c>
      <c r="M118" s="1">
        <v>45901</v>
      </c>
      <c r="N118" s="1">
        <v>45992</v>
      </c>
      <c r="O118" s="2">
        <v>136.51</v>
      </c>
      <c r="P118">
        <f t="shared" si="4"/>
        <v>3</v>
      </c>
      <c r="Q118" t="s">
        <v>264</v>
      </c>
      <c r="R118" t="s">
        <v>1086</v>
      </c>
      <c r="S118" t="s">
        <v>58</v>
      </c>
      <c r="T118" s="3">
        <v>0.75</v>
      </c>
      <c r="U118" t="s">
        <v>60</v>
      </c>
      <c r="V118" t="s">
        <v>61</v>
      </c>
      <c r="W118" s="2">
        <v>102.38</v>
      </c>
      <c r="X118" s="2">
        <v>0</v>
      </c>
      <c r="Y118" s="2">
        <v>102.38</v>
      </c>
      <c r="Z118" s="5" t="s">
        <v>1089</v>
      </c>
    </row>
    <row r="119" spans="1:26" s="5" customFormat="1" x14ac:dyDescent="0.25">
      <c r="A119">
        <v>2030694348</v>
      </c>
      <c r="B119" t="s">
        <v>186</v>
      </c>
      <c r="C119" t="s">
        <v>187</v>
      </c>
      <c r="D119" s="5" t="str">
        <f t="shared" si="5"/>
        <v>ALEXANDRA FRASER</v>
      </c>
      <c r="E119" t="s">
        <v>129</v>
      </c>
      <c r="F119" t="s">
        <v>369</v>
      </c>
      <c r="G119" t="s">
        <v>421</v>
      </c>
      <c r="H119">
        <v>21564088</v>
      </c>
      <c r="I119" t="s">
        <v>130</v>
      </c>
      <c r="J119" t="s">
        <v>131</v>
      </c>
      <c r="K119" t="str">
        <f t="shared" si="3"/>
        <v>Jennifer Halsaver</v>
      </c>
      <c r="L119" t="s">
        <v>57</v>
      </c>
      <c r="M119" s="1">
        <v>45901</v>
      </c>
      <c r="N119" s="1">
        <v>45992</v>
      </c>
      <c r="O119" s="2">
        <v>42.28</v>
      </c>
      <c r="P119">
        <f t="shared" si="4"/>
        <v>3</v>
      </c>
      <c r="Q119" t="s">
        <v>264</v>
      </c>
      <c r="R119" t="s">
        <v>1086</v>
      </c>
      <c r="S119" t="s">
        <v>58</v>
      </c>
      <c r="T119" s="3">
        <v>0.75</v>
      </c>
      <c r="U119" t="s">
        <v>60</v>
      </c>
      <c r="V119" t="s">
        <v>61</v>
      </c>
      <c r="W119" s="2">
        <v>31.71</v>
      </c>
      <c r="X119" s="2">
        <v>0</v>
      </c>
      <c r="Y119" s="2">
        <v>31.71</v>
      </c>
      <c r="Z119" s="5" t="s">
        <v>1089</v>
      </c>
    </row>
    <row r="120" spans="1:26" s="5" customFormat="1" x14ac:dyDescent="0.25">
      <c r="A120">
        <v>2030801742</v>
      </c>
      <c r="B120" t="s">
        <v>812</v>
      </c>
      <c r="C120" t="s">
        <v>813</v>
      </c>
      <c r="D120" s="5" t="str">
        <f t="shared" si="5"/>
        <v>THURSTON HARRISON</v>
      </c>
      <c r="E120" t="s">
        <v>129</v>
      </c>
      <c r="F120" t="s">
        <v>369</v>
      </c>
      <c r="G120" t="s">
        <v>421</v>
      </c>
      <c r="H120">
        <v>21564088</v>
      </c>
      <c r="I120" t="s">
        <v>130</v>
      </c>
      <c r="J120" t="s">
        <v>131</v>
      </c>
      <c r="K120" t="str">
        <f t="shared" si="3"/>
        <v>Jennifer Halsaver</v>
      </c>
      <c r="L120" t="s">
        <v>57</v>
      </c>
      <c r="M120" s="1">
        <v>45901</v>
      </c>
      <c r="N120" s="1">
        <v>45992</v>
      </c>
      <c r="O120" s="2">
        <v>12.64</v>
      </c>
      <c r="P120">
        <f t="shared" si="4"/>
        <v>3</v>
      </c>
      <c r="Q120" t="s">
        <v>264</v>
      </c>
      <c r="R120" t="s">
        <v>1086</v>
      </c>
      <c r="S120" t="s">
        <v>58</v>
      </c>
      <c r="T120" s="3">
        <v>0.75</v>
      </c>
      <c r="U120" t="s">
        <v>60</v>
      </c>
      <c r="V120" t="s">
        <v>61</v>
      </c>
      <c r="W120" s="2">
        <v>9.48</v>
      </c>
      <c r="X120" s="2">
        <v>0</v>
      </c>
      <c r="Y120" s="2">
        <v>9.48</v>
      </c>
      <c r="Z120" s="5" t="s">
        <v>1089</v>
      </c>
    </row>
    <row r="121" spans="1:26" s="5" customFormat="1" x14ac:dyDescent="0.25">
      <c r="A121">
        <v>2030383550</v>
      </c>
      <c r="B121" t="s">
        <v>76</v>
      </c>
      <c r="C121" t="s">
        <v>77</v>
      </c>
      <c r="D121" s="5" t="str">
        <f t="shared" si="5"/>
        <v>LORRETTA MARSHALL</v>
      </c>
      <c r="E121" t="s">
        <v>78</v>
      </c>
      <c r="F121" t="s">
        <v>369</v>
      </c>
      <c r="G121" t="s">
        <v>421</v>
      </c>
      <c r="H121">
        <v>1706194</v>
      </c>
      <c r="I121" t="s">
        <v>65</v>
      </c>
      <c r="J121" t="s">
        <v>66</v>
      </c>
      <c r="K121" t="str">
        <f t="shared" si="3"/>
        <v>MATTHEW DAUGHERTY</v>
      </c>
      <c r="L121" t="s">
        <v>57</v>
      </c>
      <c r="M121" s="1">
        <v>45901</v>
      </c>
      <c r="N121" s="1">
        <v>45992</v>
      </c>
      <c r="O121" s="2">
        <v>75.13</v>
      </c>
      <c r="P121">
        <f t="shared" si="4"/>
        <v>3</v>
      </c>
      <c r="Q121" t="s">
        <v>264</v>
      </c>
      <c r="R121" t="s">
        <v>1086</v>
      </c>
      <c r="S121" t="s">
        <v>58</v>
      </c>
      <c r="T121" s="3">
        <v>0.75</v>
      </c>
      <c r="U121" t="s">
        <v>60</v>
      </c>
      <c r="V121" t="s">
        <v>61</v>
      </c>
      <c r="W121" s="2">
        <v>56.35</v>
      </c>
      <c r="X121" s="2">
        <v>0</v>
      </c>
      <c r="Y121" s="2">
        <v>56.35</v>
      </c>
      <c r="Z121" s="5" t="s">
        <v>1089</v>
      </c>
    </row>
    <row r="122" spans="1:26" s="5" customFormat="1" x14ac:dyDescent="0.25">
      <c r="A122">
        <v>2030468292</v>
      </c>
      <c r="B122" t="s">
        <v>99</v>
      </c>
      <c r="C122" t="s">
        <v>100</v>
      </c>
      <c r="D122" s="5" t="str">
        <f t="shared" si="5"/>
        <v>TINA HATANPAA</v>
      </c>
      <c r="E122" t="s">
        <v>101</v>
      </c>
      <c r="F122" t="s">
        <v>369</v>
      </c>
      <c r="G122" t="s">
        <v>421</v>
      </c>
      <c r="H122">
        <v>1706194</v>
      </c>
      <c r="I122" t="s">
        <v>65</v>
      </c>
      <c r="J122" t="s">
        <v>66</v>
      </c>
      <c r="K122" t="str">
        <f t="shared" si="3"/>
        <v>MATTHEW DAUGHERTY</v>
      </c>
      <c r="L122" t="s">
        <v>57</v>
      </c>
      <c r="M122" s="1">
        <v>45901</v>
      </c>
      <c r="N122" s="1">
        <v>45992</v>
      </c>
      <c r="O122" s="2">
        <v>69.91</v>
      </c>
      <c r="P122">
        <f t="shared" si="4"/>
        <v>3</v>
      </c>
      <c r="Q122" t="s">
        <v>264</v>
      </c>
      <c r="R122" t="s">
        <v>1086</v>
      </c>
      <c r="S122" t="s">
        <v>58</v>
      </c>
      <c r="T122" s="3">
        <v>0.75</v>
      </c>
      <c r="U122" t="s">
        <v>60</v>
      </c>
      <c r="V122" t="s">
        <v>61</v>
      </c>
      <c r="W122" s="2">
        <v>52.43</v>
      </c>
      <c r="X122" s="2">
        <v>0</v>
      </c>
      <c r="Y122" s="2">
        <v>52.43</v>
      </c>
      <c r="Z122" s="5" t="s">
        <v>1089</v>
      </c>
    </row>
    <row r="123" spans="1:26" s="5" customFormat="1" x14ac:dyDescent="0.25">
      <c r="A123">
        <v>2030493935</v>
      </c>
      <c r="B123" t="s">
        <v>110</v>
      </c>
      <c r="C123" t="s">
        <v>111</v>
      </c>
      <c r="D123" s="5" t="str">
        <f t="shared" si="5"/>
        <v>WILLIAM TRAMMELL</v>
      </c>
      <c r="E123" t="s">
        <v>52</v>
      </c>
      <c r="F123" t="s">
        <v>369</v>
      </c>
      <c r="G123" t="s">
        <v>421</v>
      </c>
      <c r="H123">
        <v>8977234</v>
      </c>
      <c r="I123" t="s">
        <v>55</v>
      </c>
      <c r="J123" t="s">
        <v>56</v>
      </c>
      <c r="K123" t="str">
        <f t="shared" si="3"/>
        <v>RYAN CALTAGIRONE</v>
      </c>
      <c r="L123" t="s">
        <v>57</v>
      </c>
      <c r="M123" s="1">
        <v>45901</v>
      </c>
      <c r="N123" s="1">
        <v>45992</v>
      </c>
      <c r="O123" s="2">
        <v>88.54</v>
      </c>
      <c r="P123">
        <f t="shared" si="4"/>
        <v>3</v>
      </c>
      <c r="Q123" t="s">
        <v>264</v>
      </c>
      <c r="R123" t="s">
        <v>1086</v>
      </c>
      <c r="S123" t="s">
        <v>58</v>
      </c>
      <c r="T123" s="3">
        <v>0.75</v>
      </c>
      <c r="U123" t="s">
        <v>60</v>
      </c>
      <c r="V123" t="s">
        <v>61</v>
      </c>
      <c r="W123" s="2">
        <v>66.400000000000006</v>
      </c>
      <c r="X123" s="2">
        <v>0</v>
      </c>
      <c r="Y123" s="2">
        <v>66.400000000000006</v>
      </c>
      <c r="Z123" s="5" t="s">
        <v>1089</v>
      </c>
    </row>
    <row r="124" spans="1:26" s="5" customFormat="1" x14ac:dyDescent="0.25">
      <c r="A124">
        <v>2030673649</v>
      </c>
      <c r="B124" t="s">
        <v>177</v>
      </c>
      <c r="C124" t="s">
        <v>178</v>
      </c>
      <c r="D124" s="5" t="str">
        <f t="shared" si="5"/>
        <v>JODI DEBERARD</v>
      </c>
      <c r="E124" t="s">
        <v>179</v>
      </c>
      <c r="F124" t="s">
        <v>369</v>
      </c>
      <c r="G124" t="s">
        <v>421</v>
      </c>
      <c r="H124">
        <v>8977234</v>
      </c>
      <c r="I124" t="s">
        <v>55</v>
      </c>
      <c r="J124" t="s">
        <v>56</v>
      </c>
      <c r="K124" t="str">
        <f t="shared" si="3"/>
        <v>RYAN CALTAGIRONE</v>
      </c>
      <c r="L124" t="s">
        <v>57</v>
      </c>
      <c r="M124" s="1">
        <v>45901</v>
      </c>
      <c r="N124" s="1">
        <v>45992</v>
      </c>
      <c r="O124" s="2">
        <v>49.37</v>
      </c>
      <c r="P124">
        <f t="shared" si="4"/>
        <v>3</v>
      </c>
      <c r="Q124" t="s">
        <v>264</v>
      </c>
      <c r="R124" t="s">
        <v>1086</v>
      </c>
      <c r="S124" t="s">
        <v>58</v>
      </c>
      <c r="T124" s="3">
        <v>0.75</v>
      </c>
      <c r="U124" t="s">
        <v>60</v>
      </c>
      <c r="V124" t="s">
        <v>61</v>
      </c>
      <c r="W124" s="2">
        <v>37.03</v>
      </c>
      <c r="X124" s="2">
        <v>0</v>
      </c>
      <c r="Y124" s="2">
        <v>37.03</v>
      </c>
      <c r="Z124" s="5" t="s">
        <v>1089</v>
      </c>
    </row>
    <row r="125" spans="1:26" s="5" customFormat="1" x14ac:dyDescent="0.25">
      <c r="A125">
        <v>2030638849</v>
      </c>
      <c r="B125" t="s">
        <v>163</v>
      </c>
      <c r="C125" t="s">
        <v>164</v>
      </c>
      <c r="D125" s="5" t="str">
        <f t="shared" si="5"/>
        <v>TIFFANY RIOS</v>
      </c>
      <c r="E125" t="s">
        <v>165</v>
      </c>
      <c r="F125" t="s">
        <v>369</v>
      </c>
      <c r="G125" t="s">
        <v>421</v>
      </c>
      <c r="H125">
        <v>8977234</v>
      </c>
      <c r="I125" t="s">
        <v>55</v>
      </c>
      <c r="J125" t="s">
        <v>56</v>
      </c>
      <c r="K125" t="str">
        <f t="shared" si="3"/>
        <v>RYAN CALTAGIRONE</v>
      </c>
      <c r="L125" t="s">
        <v>57</v>
      </c>
      <c r="M125" s="1">
        <v>45901</v>
      </c>
      <c r="N125" s="1">
        <v>45992</v>
      </c>
      <c r="O125" s="2">
        <v>33.58</v>
      </c>
      <c r="P125">
        <f t="shared" si="4"/>
        <v>3</v>
      </c>
      <c r="Q125" t="s">
        <v>264</v>
      </c>
      <c r="R125" t="s">
        <v>1086</v>
      </c>
      <c r="S125" t="s">
        <v>58</v>
      </c>
      <c r="T125" s="3">
        <v>0.75</v>
      </c>
      <c r="U125" t="s">
        <v>60</v>
      </c>
      <c r="V125" t="s">
        <v>61</v>
      </c>
      <c r="W125" s="2">
        <v>25.18</v>
      </c>
      <c r="X125" s="2">
        <v>0</v>
      </c>
      <c r="Y125" s="2">
        <v>25.18</v>
      </c>
      <c r="Z125" s="5" t="s">
        <v>1089</v>
      </c>
    </row>
    <row r="126" spans="1:26" s="5" customFormat="1" x14ac:dyDescent="0.25">
      <c r="A126">
        <v>2030199536</v>
      </c>
      <c r="B126" t="s">
        <v>153</v>
      </c>
      <c r="C126" t="s">
        <v>804</v>
      </c>
      <c r="D126" s="5" t="str">
        <f t="shared" si="5"/>
        <v>DAVID HILFIKER</v>
      </c>
      <c r="E126" t="s">
        <v>201</v>
      </c>
      <c r="F126" t="s">
        <v>369</v>
      </c>
      <c r="G126" t="s">
        <v>421</v>
      </c>
      <c r="H126" t="s">
        <v>1081</v>
      </c>
      <c r="I126" t="s">
        <v>191</v>
      </c>
      <c r="J126" t="s">
        <v>192</v>
      </c>
      <c r="K126" t="str">
        <f t="shared" si="3"/>
        <v>JARED KINYUA</v>
      </c>
      <c r="L126" t="s">
        <v>57</v>
      </c>
      <c r="M126" s="1">
        <v>45868</v>
      </c>
      <c r="N126" s="1">
        <v>45991</v>
      </c>
      <c r="O126" s="2">
        <v>152.33000000000001</v>
      </c>
      <c r="P126">
        <f t="shared" si="4"/>
        <v>4</v>
      </c>
      <c r="Q126" t="s">
        <v>264</v>
      </c>
      <c r="R126" t="s">
        <v>1086</v>
      </c>
      <c r="S126" t="s">
        <v>58</v>
      </c>
      <c r="T126" s="3">
        <v>0.75</v>
      </c>
      <c r="U126" t="s">
        <v>60</v>
      </c>
      <c r="V126" t="s">
        <v>61</v>
      </c>
      <c r="W126" s="2">
        <v>114.25</v>
      </c>
      <c r="X126" s="2">
        <v>0</v>
      </c>
      <c r="Y126" s="2">
        <v>114.25</v>
      </c>
      <c r="Z126" s="5" t="s">
        <v>1089</v>
      </c>
    </row>
    <row r="127" spans="1:26" s="5" customFormat="1" x14ac:dyDescent="0.25">
      <c r="A127">
        <v>2028960906</v>
      </c>
      <c r="B127" t="s">
        <v>789</v>
      </c>
      <c r="C127" t="s">
        <v>790</v>
      </c>
      <c r="D127" s="5" t="str">
        <f t="shared" si="5"/>
        <v>SCHOENDIENST LINDSEY</v>
      </c>
      <c r="E127" t="s">
        <v>69</v>
      </c>
      <c r="F127" t="s">
        <v>369</v>
      </c>
      <c r="G127" t="s">
        <v>421</v>
      </c>
      <c r="H127" t="s">
        <v>1083</v>
      </c>
      <c r="I127" t="s">
        <v>70</v>
      </c>
      <c r="J127" t="s">
        <v>71</v>
      </c>
      <c r="K127" t="str">
        <f t="shared" si="3"/>
        <v>Chad Yale</v>
      </c>
      <c r="L127" t="s">
        <v>57</v>
      </c>
      <c r="M127" s="1">
        <v>45809</v>
      </c>
      <c r="N127" s="1">
        <v>45992</v>
      </c>
      <c r="O127" s="2">
        <v>13.57</v>
      </c>
      <c r="P127">
        <f t="shared" si="4"/>
        <v>6</v>
      </c>
      <c r="Q127" t="s">
        <v>264</v>
      </c>
      <c r="R127" t="s">
        <v>1086</v>
      </c>
      <c r="S127" t="s">
        <v>58</v>
      </c>
      <c r="T127" s="3">
        <v>0.75</v>
      </c>
      <c r="U127" t="s">
        <v>60</v>
      </c>
      <c r="V127" t="s">
        <v>61</v>
      </c>
      <c r="W127" s="2">
        <v>10.18</v>
      </c>
      <c r="X127" s="2">
        <v>0</v>
      </c>
      <c r="Y127" s="2">
        <v>10.18</v>
      </c>
      <c r="Z127" s="5" t="s">
        <v>1089</v>
      </c>
    </row>
    <row r="128" spans="1:26" s="5" customFormat="1" x14ac:dyDescent="0.25">
      <c r="A128">
        <v>2028897605</v>
      </c>
      <c r="B128" t="s">
        <v>778</v>
      </c>
      <c r="C128" t="s">
        <v>779</v>
      </c>
      <c r="D128" s="5" t="str">
        <f t="shared" si="5"/>
        <v>ACEVEDO JORGE</v>
      </c>
      <c r="E128" t="s">
        <v>165</v>
      </c>
      <c r="F128" t="s">
        <v>369</v>
      </c>
      <c r="G128" t="s">
        <v>421</v>
      </c>
      <c r="H128" t="s">
        <v>1083</v>
      </c>
      <c r="I128" t="s">
        <v>70</v>
      </c>
      <c r="J128" t="s">
        <v>71</v>
      </c>
      <c r="K128" t="str">
        <f t="shared" si="3"/>
        <v>Chad Yale</v>
      </c>
      <c r="L128" t="s">
        <v>57</v>
      </c>
      <c r="M128" s="1">
        <v>45809</v>
      </c>
      <c r="N128" s="1">
        <v>45992</v>
      </c>
      <c r="O128" s="2">
        <v>16.7</v>
      </c>
      <c r="P128">
        <f t="shared" si="4"/>
        <v>6</v>
      </c>
      <c r="Q128" t="s">
        <v>264</v>
      </c>
      <c r="R128" t="s">
        <v>1086</v>
      </c>
      <c r="S128" t="s">
        <v>58</v>
      </c>
      <c r="T128" s="3">
        <v>0.75</v>
      </c>
      <c r="U128" t="s">
        <v>60</v>
      </c>
      <c r="V128" t="s">
        <v>61</v>
      </c>
      <c r="W128" s="2">
        <v>0</v>
      </c>
      <c r="X128" s="2">
        <v>12.52</v>
      </c>
      <c r="Y128" s="2">
        <v>12.52</v>
      </c>
      <c r="Z128" s="5" t="s">
        <v>1089</v>
      </c>
    </row>
    <row r="129" spans="1:26" s="5" customFormat="1" x14ac:dyDescent="0.25">
      <c r="A129">
        <v>2028857840</v>
      </c>
      <c r="B129" t="s">
        <v>422</v>
      </c>
      <c r="C129" t="s">
        <v>638</v>
      </c>
      <c r="D129" s="5" t="str">
        <f t="shared" si="5"/>
        <v>PARKS DEE</v>
      </c>
      <c r="E129" t="s">
        <v>613</v>
      </c>
      <c r="F129" t="s">
        <v>369</v>
      </c>
      <c r="G129" t="s">
        <v>421</v>
      </c>
      <c r="H129">
        <v>8307933</v>
      </c>
      <c r="I129" t="s">
        <v>560</v>
      </c>
      <c r="J129" t="s">
        <v>336</v>
      </c>
      <c r="K129" t="str">
        <f t="shared" si="3"/>
        <v>GREGORY TEIPEL</v>
      </c>
      <c r="L129" t="s">
        <v>57</v>
      </c>
      <c r="M129" s="1">
        <v>45789</v>
      </c>
      <c r="N129" s="1">
        <v>45973</v>
      </c>
      <c r="O129" s="2">
        <v>68.7</v>
      </c>
      <c r="P129">
        <f t="shared" si="4"/>
        <v>6</v>
      </c>
      <c r="Q129" t="s">
        <v>264</v>
      </c>
      <c r="R129" t="s">
        <v>1086</v>
      </c>
      <c r="S129" t="s">
        <v>58</v>
      </c>
      <c r="T129" s="3">
        <v>0.75</v>
      </c>
      <c r="U129" t="s">
        <v>60</v>
      </c>
      <c r="V129" t="s">
        <v>61</v>
      </c>
      <c r="W129" s="2">
        <v>0</v>
      </c>
      <c r="X129" s="2">
        <v>51.52</v>
      </c>
      <c r="Y129" s="2">
        <v>51.52</v>
      </c>
      <c r="Z129" s="5" t="s">
        <v>1089</v>
      </c>
    </row>
    <row r="130" spans="1:26" s="5" customFormat="1" x14ac:dyDescent="0.25">
      <c r="A130">
        <v>2029011565</v>
      </c>
      <c r="B130" t="s">
        <v>265</v>
      </c>
      <c r="C130" t="s">
        <v>792</v>
      </c>
      <c r="D130" s="5" t="str">
        <f t="shared" si="5"/>
        <v>LARSON RANDALL</v>
      </c>
      <c r="E130" t="s">
        <v>69</v>
      </c>
      <c r="F130" t="s">
        <v>369</v>
      </c>
      <c r="G130" t="s">
        <v>421</v>
      </c>
      <c r="H130">
        <v>8977234</v>
      </c>
      <c r="I130" t="s">
        <v>55</v>
      </c>
      <c r="J130" t="s">
        <v>56</v>
      </c>
      <c r="K130" t="str">
        <f t="shared" ref="K130:K193" si="6">CONCATENATE(J130, " ",I130)</f>
        <v>RYAN CALTAGIRONE</v>
      </c>
      <c r="L130" t="s">
        <v>57</v>
      </c>
      <c r="M130" s="1">
        <v>45809</v>
      </c>
      <c r="N130" s="1">
        <v>45992</v>
      </c>
      <c r="O130" s="2">
        <v>90.49</v>
      </c>
      <c r="P130">
        <f t="shared" ref="P130:P193" si="7">DATEDIF(M130,N130,"M")</f>
        <v>6</v>
      </c>
      <c r="Q130" t="s">
        <v>264</v>
      </c>
      <c r="R130" t="s">
        <v>1086</v>
      </c>
      <c r="S130" t="s">
        <v>58</v>
      </c>
      <c r="T130" s="3">
        <v>0.75</v>
      </c>
      <c r="U130" t="s">
        <v>60</v>
      </c>
      <c r="V130" t="s">
        <v>61</v>
      </c>
      <c r="W130" s="2">
        <v>67.87</v>
      </c>
      <c r="X130" s="2">
        <v>0</v>
      </c>
      <c r="Y130" s="2">
        <v>67.87</v>
      </c>
      <c r="Z130" s="5" t="s">
        <v>1089</v>
      </c>
    </row>
    <row r="131" spans="1:26" s="5" customFormat="1" x14ac:dyDescent="0.25">
      <c r="A131" s="5">
        <v>2030372675</v>
      </c>
      <c r="B131" s="5" t="s">
        <v>72</v>
      </c>
      <c r="C131" s="5" t="s">
        <v>73</v>
      </c>
      <c r="D131" s="5" t="str">
        <f t="shared" ref="D131:D194" si="8">CONCATENATE(B131, " ",C131)</f>
        <v>VALERIE CORBEIL</v>
      </c>
      <c r="E131" s="5" t="s">
        <v>69</v>
      </c>
      <c r="F131" s="5" t="s">
        <v>369</v>
      </c>
      <c r="G131" s="5" t="s">
        <v>375</v>
      </c>
      <c r="H131" s="5">
        <v>7470776</v>
      </c>
      <c r="I131" s="5" t="s">
        <v>74</v>
      </c>
      <c r="J131" s="5" t="s">
        <v>75</v>
      </c>
      <c r="K131" s="5" t="str">
        <f t="shared" si="6"/>
        <v>Andrew Choi</v>
      </c>
      <c r="L131" s="5" t="s">
        <v>57</v>
      </c>
      <c r="M131" s="6">
        <v>45901</v>
      </c>
      <c r="N131" s="6">
        <v>45992</v>
      </c>
      <c r="O131" s="7">
        <v>156.38</v>
      </c>
      <c r="P131" s="5">
        <f t="shared" si="7"/>
        <v>3</v>
      </c>
      <c r="Q131" s="5" t="s">
        <v>264</v>
      </c>
      <c r="R131" s="5" t="s">
        <v>1085</v>
      </c>
      <c r="S131" s="5" t="s">
        <v>58</v>
      </c>
      <c r="T131" s="8">
        <v>0.9</v>
      </c>
      <c r="U131" s="5" t="s">
        <v>60</v>
      </c>
      <c r="V131" s="5" t="s">
        <v>61</v>
      </c>
      <c r="W131" s="7">
        <v>140.74</v>
      </c>
      <c r="X131" s="7">
        <v>0</v>
      </c>
      <c r="Y131" s="7">
        <v>140.74</v>
      </c>
      <c r="Z131" s="5" t="s">
        <v>1091</v>
      </c>
    </row>
    <row r="132" spans="1:26" s="5" customFormat="1" x14ac:dyDescent="0.25">
      <c r="A132" s="5">
        <v>2030686026</v>
      </c>
      <c r="B132" s="5" t="s">
        <v>184</v>
      </c>
      <c r="C132" s="5" t="s">
        <v>185</v>
      </c>
      <c r="D132" s="5" t="str">
        <f t="shared" si="8"/>
        <v>JONAH LINDBLAD</v>
      </c>
      <c r="E132" s="5" t="s">
        <v>92</v>
      </c>
      <c r="F132" s="5" t="s">
        <v>369</v>
      </c>
      <c r="G132" s="5" t="s">
        <v>375</v>
      </c>
      <c r="H132" s="5">
        <v>16865615</v>
      </c>
      <c r="I132" s="5" t="s">
        <v>93</v>
      </c>
      <c r="J132" s="5" t="s">
        <v>94</v>
      </c>
      <c r="K132" s="5" t="str">
        <f t="shared" si="6"/>
        <v>Heather Geske</v>
      </c>
      <c r="L132" s="5" t="s">
        <v>57</v>
      </c>
      <c r="M132" s="6">
        <v>45901</v>
      </c>
      <c r="N132" s="6">
        <v>45992</v>
      </c>
      <c r="O132" s="7">
        <v>39.17</v>
      </c>
      <c r="P132" s="5">
        <f t="shared" si="7"/>
        <v>3</v>
      </c>
      <c r="Q132" s="5" t="s">
        <v>264</v>
      </c>
      <c r="R132" s="5" t="s">
        <v>1085</v>
      </c>
      <c r="S132" s="5" t="s">
        <v>58</v>
      </c>
      <c r="T132" s="8">
        <v>0.9</v>
      </c>
      <c r="U132" s="5" t="s">
        <v>60</v>
      </c>
      <c r="V132" s="5" t="s">
        <v>61</v>
      </c>
      <c r="W132" s="7">
        <v>35.25</v>
      </c>
      <c r="X132" s="7">
        <v>0</v>
      </c>
      <c r="Y132" s="7">
        <v>35.25</v>
      </c>
      <c r="Z132" s="5" t="s">
        <v>1091</v>
      </c>
    </row>
    <row r="133" spans="1:26" s="5" customFormat="1" x14ac:dyDescent="0.25">
      <c r="A133" s="5">
        <v>2030145092</v>
      </c>
      <c r="B133" s="5" t="s">
        <v>802</v>
      </c>
      <c r="C133" s="5" t="s">
        <v>803</v>
      </c>
      <c r="D133" s="5" t="str">
        <f t="shared" si="8"/>
        <v>RALUCA CHEREGI</v>
      </c>
      <c r="E133" s="5" t="s">
        <v>69</v>
      </c>
      <c r="F133" s="5" t="s">
        <v>369</v>
      </c>
      <c r="G133" s="5" t="s">
        <v>375</v>
      </c>
      <c r="H133" s="5">
        <v>7470776</v>
      </c>
      <c r="I133" s="5" t="s">
        <v>74</v>
      </c>
      <c r="J133" s="5" t="s">
        <v>75</v>
      </c>
      <c r="K133" s="5" t="str">
        <f t="shared" si="6"/>
        <v>Andrew Choi</v>
      </c>
      <c r="L133" s="5" t="s">
        <v>57</v>
      </c>
      <c r="M133" s="6">
        <v>45864</v>
      </c>
      <c r="N133" s="6">
        <v>45987</v>
      </c>
      <c r="O133" s="7">
        <v>62.71</v>
      </c>
      <c r="P133" s="5">
        <f t="shared" si="7"/>
        <v>4</v>
      </c>
      <c r="Q133" s="5" t="s">
        <v>264</v>
      </c>
      <c r="R133" s="5" t="s">
        <v>1085</v>
      </c>
      <c r="S133" s="5" t="s">
        <v>58</v>
      </c>
      <c r="T133" s="8">
        <v>0.9</v>
      </c>
      <c r="U133" s="5" t="s">
        <v>60</v>
      </c>
      <c r="V133" s="5" t="s">
        <v>61</v>
      </c>
      <c r="W133" s="7">
        <v>56.44</v>
      </c>
      <c r="X133" s="7">
        <v>0</v>
      </c>
      <c r="Y133" s="7">
        <v>56.44</v>
      </c>
      <c r="Z133" s="5" t="s">
        <v>1091</v>
      </c>
    </row>
    <row r="134" spans="1:26" s="5" customFormat="1" x14ac:dyDescent="0.25">
      <c r="A134" s="5">
        <v>2029620629</v>
      </c>
      <c r="B134" s="5" t="s">
        <v>284</v>
      </c>
      <c r="C134" s="5" t="s">
        <v>705</v>
      </c>
      <c r="D134" s="5" t="str">
        <f t="shared" si="8"/>
        <v>CARLOS CETRE</v>
      </c>
      <c r="E134" s="5" t="s">
        <v>69</v>
      </c>
      <c r="F134" s="5" t="s">
        <v>369</v>
      </c>
      <c r="G134" s="5" t="s">
        <v>375</v>
      </c>
      <c r="H134" s="5">
        <v>7470776</v>
      </c>
      <c r="I134" s="5" t="s">
        <v>74</v>
      </c>
      <c r="J134" s="5" t="s">
        <v>75</v>
      </c>
      <c r="K134" s="5" t="str">
        <f t="shared" si="6"/>
        <v>Andrew Choi</v>
      </c>
      <c r="L134" s="5" t="s">
        <v>57</v>
      </c>
      <c r="M134" s="6">
        <v>45833</v>
      </c>
      <c r="N134" s="6">
        <v>45986</v>
      </c>
      <c r="O134" s="7">
        <v>145.06</v>
      </c>
      <c r="P134" s="5">
        <f t="shared" si="7"/>
        <v>5</v>
      </c>
      <c r="Q134" s="5" t="s">
        <v>264</v>
      </c>
      <c r="R134" s="5" t="s">
        <v>1085</v>
      </c>
      <c r="S134" s="5" t="s">
        <v>58</v>
      </c>
      <c r="T134" s="8">
        <v>0.9</v>
      </c>
      <c r="U134" s="5" t="s">
        <v>60</v>
      </c>
      <c r="V134" s="5" t="s">
        <v>61</v>
      </c>
      <c r="W134" s="7">
        <v>130.55000000000001</v>
      </c>
      <c r="X134" s="7">
        <v>0</v>
      </c>
      <c r="Y134" s="7">
        <v>130.55000000000001</v>
      </c>
      <c r="Z134" s="5" t="s">
        <v>1091</v>
      </c>
    </row>
    <row r="135" spans="1:26" s="5" customFormat="1" x14ac:dyDescent="0.25">
      <c r="A135" s="5">
        <v>2028898559</v>
      </c>
      <c r="B135" s="5" t="s">
        <v>780</v>
      </c>
      <c r="C135" s="5" t="s">
        <v>781</v>
      </c>
      <c r="D135" s="5" t="str">
        <f t="shared" si="8"/>
        <v>ZIMMERMAN DRAKE</v>
      </c>
      <c r="E135" s="5" t="s">
        <v>69</v>
      </c>
      <c r="F135" s="5" t="s">
        <v>369</v>
      </c>
      <c r="G135" s="5" t="s">
        <v>375</v>
      </c>
      <c r="H135" s="5">
        <v>7470776</v>
      </c>
      <c r="I135" s="5" t="s">
        <v>74</v>
      </c>
      <c r="J135" s="5" t="s">
        <v>75</v>
      </c>
      <c r="K135" s="5" t="str">
        <f t="shared" si="6"/>
        <v>Andrew Choi</v>
      </c>
      <c r="L135" s="5" t="s">
        <v>57</v>
      </c>
      <c r="M135" s="6">
        <v>45809</v>
      </c>
      <c r="N135" s="6">
        <v>45992</v>
      </c>
      <c r="O135" s="7">
        <v>56.08</v>
      </c>
      <c r="P135" s="5">
        <f t="shared" si="7"/>
        <v>6</v>
      </c>
      <c r="Q135" s="5" t="s">
        <v>264</v>
      </c>
      <c r="R135" s="5" t="s">
        <v>1086</v>
      </c>
      <c r="S135" s="5" t="s">
        <v>58</v>
      </c>
      <c r="T135" s="8">
        <v>0.9</v>
      </c>
      <c r="U135" s="5" t="s">
        <v>60</v>
      </c>
      <c r="V135" s="5" t="s">
        <v>61</v>
      </c>
      <c r="W135" s="7">
        <v>0</v>
      </c>
      <c r="X135" s="7">
        <v>50.47</v>
      </c>
      <c r="Y135" s="7">
        <v>50.47</v>
      </c>
      <c r="Z135" s="5" t="s">
        <v>1091</v>
      </c>
    </row>
    <row r="136" spans="1:26" s="5" customFormat="1" x14ac:dyDescent="0.25">
      <c r="A136" s="5">
        <v>2028949435</v>
      </c>
      <c r="B136" s="5" t="s">
        <v>786</v>
      </c>
      <c r="C136" s="5" t="s">
        <v>787</v>
      </c>
      <c r="D136" s="5" t="str">
        <f t="shared" si="8"/>
        <v>MAES CLARICE</v>
      </c>
      <c r="E136" s="5" t="s">
        <v>69</v>
      </c>
      <c r="F136" s="5" t="s">
        <v>369</v>
      </c>
      <c r="G136" s="5" t="s">
        <v>375</v>
      </c>
      <c r="H136" s="5">
        <v>7470776</v>
      </c>
      <c r="I136" s="5" t="s">
        <v>74</v>
      </c>
      <c r="J136" s="5" t="s">
        <v>75</v>
      </c>
      <c r="K136" s="5" t="str">
        <f t="shared" si="6"/>
        <v>Andrew Choi</v>
      </c>
      <c r="L136" s="5" t="s">
        <v>57</v>
      </c>
      <c r="M136" s="6">
        <v>45809</v>
      </c>
      <c r="N136" s="6">
        <v>45992</v>
      </c>
      <c r="O136" s="7">
        <v>44.33</v>
      </c>
      <c r="P136" s="5">
        <f t="shared" si="7"/>
        <v>6</v>
      </c>
      <c r="Q136" s="5" t="s">
        <v>264</v>
      </c>
      <c r="R136" s="5" t="s">
        <v>1086</v>
      </c>
      <c r="S136" s="5" t="s">
        <v>58</v>
      </c>
      <c r="T136" s="8">
        <v>0.9</v>
      </c>
      <c r="U136" s="5" t="s">
        <v>60</v>
      </c>
      <c r="V136" s="5" t="s">
        <v>61</v>
      </c>
      <c r="W136" s="7">
        <v>0</v>
      </c>
      <c r="X136" s="7">
        <v>39.9</v>
      </c>
      <c r="Y136" s="7">
        <v>39.9</v>
      </c>
      <c r="Z136" s="5" t="s">
        <v>1091</v>
      </c>
    </row>
    <row r="137" spans="1:26" s="5" customFormat="1" x14ac:dyDescent="0.25">
      <c r="A137" s="5">
        <v>2029037969</v>
      </c>
      <c r="B137" s="5" t="s">
        <v>695</v>
      </c>
      <c r="C137" s="5" t="s">
        <v>99</v>
      </c>
      <c r="D137" s="5" t="str">
        <f t="shared" si="8"/>
        <v>KIRSCH TINA</v>
      </c>
      <c r="E137" s="5" t="s">
        <v>696</v>
      </c>
      <c r="F137" s="5" t="s">
        <v>369</v>
      </c>
      <c r="G137" s="5" t="s">
        <v>375</v>
      </c>
      <c r="H137" s="5">
        <v>19617796</v>
      </c>
      <c r="I137" s="5" t="s">
        <v>697</v>
      </c>
      <c r="J137" s="5" t="s">
        <v>698</v>
      </c>
      <c r="K137" s="5" t="str">
        <f t="shared" si="6"/>
        <v>Heidi Berthelsen</v>
      </c>
      <c r="L137" s="5" t="s">
        <v>57</v>
      </c>
      <c r="M137" s="6">
        <v>45809</v>
      </c>
      <c r="N137" s="6">
        <v>45992</v>
      </c>
      <c r="O137" s="7">
        <v>104.44</v>
      </c>
      <c r="P137" s="5">
        <f t="shared" si="7"/>
        <v>6</v>
      </c>
      <c r="Q137" s="5" t="s">
        <v>264</v>
      </c>
      <c r="R137" s="5" t="s">
        <v>1086</v>
      </c>
      <c r="S137" s="5" t="s">
        <v>58</v>
      </c>
      <c r="T137" s="8">
        <v>0.9</v>
      </c>
      <c r="U137" s="5" t="s">
        <v>60</v>
      </c>
      <c r="V137" s="5" t="s">
        <v>61</v>
      </c>
      <c r="W137" s="7">
        <v>94</v>
      </c>
      <c r="X137" s="7">
        <v>0</v>
      </c>
      <c r="Y137" s="7">
        <v>94</v>
      </c>
      <c r="Z137" s="5" t="s">
        <v>1091</v>
      </c>
    </row>
    <row r="138" spans="1:26" s="5" customFormat="1" x14ac:dyDescent="0.25">
      <c r="A138" s="5">
        <v>2028461883</v>
      </c>
      <c r="B138" s="5" t="s">
        <v>627</v>
      </c>
      <c r="C138" s="5" t="s">
        <v>628</v>
      </c>
      <c r="D138" s="5" t="str">
        <f t="shared" si="8"/>
        <v>LAIT JULIA</v>
      </c>
      <c r="E138" s="5" t="s">
        <v>145</v>
      </c>
      <c r="F138" s="5" t="s">
        <v>369</v>
      </c>
      <c r="G138" s="5" t="s">
        <v>375</v>
      </c>
      <c r="H138" s="5">
        <v>16633294</v>
      </c>
      <c r="I138" s="5" t="s">
        <v>70</v>
      </c>
      <c r="J138" s="5" t="s">
        <v>183</v>
      </c>
      <c r="K138" s="5" t="str">
        <f t="shared" si="6"/>
        <v>Richard Yale</v>
      </c>
      <c r="L138" s="5" t="s">
        <v>57</v>
      </c>
      <c r="M138" s="6">
        <v>45772</v>
      </c>
      <c r="N138" s="6">
        <v>45986</v>
      </c>
      <c r="O138" s="7">
        <v>36.82</v>
      </c>
      <c r="P138" s="5">
        <f t="shared" si="7"/>
        <v>7</v>
      </c>
      <c r="Q138" s="5" t="s">
        <v>264</v>
      </c>
      <c r="R138" s="5" t="s">
        <v>1086</v>
      </c>
      <c r="S138" s="5" t="s">
        <v>58</v>
      </c>
      <c r="T138" s="8">
        <v>0.9</v>
      </c>
      <c r="U138" s="5" t="s">
        <v>60</v>
      </c>
      <c r="V138" s="5" t="s">
        <v>61</v>
      </c>
      <c r="W138" s="7">
        <v>0</v>
      </c>
      <c r="X138" s="7">
        <v>33.14</v>
      </c>
      <c r="Y138" s="7">
        <v>33.14</v>
      </c>
      <c r="Z138" s="5" t="s">
        <v>1091</v>
      </c>
    </row>
    <row r="139" spans="1:26" s="5" customFormat="1" x14ac:dyDescent="0.25">
      <c r="A139" s="5">
        <v>2026262566</v>
      </c>
      <c r="B139" s="5" t="s">
        <v>580</v>
      </c>
      <c r="C139" s="5" t="s">
        <v>581</v>
      </c>
      <c r="D139" s="5" t="str">
        <f t="shared" si="8"/>
        <v>RIZO ESTEBAN</v>
      </c>
      <c r="E139" s="5" t="s">
        <v>92</v>
      </c>
      <c r="F139" s="5" t="s">
        <v>369</v>
      </c>
      <c r="G139" s="5" t="s">
        <v>375</v>
      </c>
      <c r="H139" s="5">
        <v>16865615</v>
      </c>
      <c r="I139" s="5" t="s">
        <v>93</v>
      </c>
      <c r="J139" s="5" t="s">
        <v>94</v>
      </c>
      <c r="K139" s="5" t="str">
        <f t="shared" si="6"/>
        <v>Heather Geske</v>
      </c>
      <c r="L139" s="5" t="s">
        <v>57</v>
      </c>
      <c r="M139" s="6">
        <v>45647</v>
      </c>
      <c r="N139" s="6">
        <v>45982</v>
      </c>
      <c r="O139" s="7">
        <v>31.71</v>
      </c>
      <c r="P139" s="5">
        <f t="shared" si="7"/>
        <v>11</v>
      </c>
      <c r="Q139" s="5" t="s">
        <v>264</v>
      </c>
      <c r="R139" s="5" t="s">
        <v>1086</v>
      </c>
      <c r="S139" s="5" t="s">
        <v>58</v>
      </c>
      <c r="T139" s="8">
        <v>0.9</v>
      </c>
      <c r="U139" s="5" t="s">
        <v>60</v>
      </c>
      <c r="V139" s="5" t="s">
        <v>61</v>
      </c>
      <c r="W139" s="7">
        <v>0</v>
      </c>
      <c r="X139" s="7">
        <v>28.54</v>
      </c>
      <c r="Y139" s="7">
        <v>28.54</v>
      </c>
      <c r="Z139" s="5" t="s">
        <v>1091</v>
      </c>
    </row>
    <row r="140" spans="1:26" s="5" customFormat="1" x14ac:dyDescent="0.25">
      <c r="A140">
        <v>2030770954</v>
      </c>
      <c r="B140" t="s">
        <v>202</v>
      </c>
      <c r="C140" t="s">
        <v>213</v>
      </c>
      <c r="D140" s="5" t="str">
        <f t="shared" si="8"/>
        <v>LAURA ABENDROTH</v>
      </c>
      <c r="E140" t="s">
        <v>118</v>
      </c>
      <c r="F140" t="s">
        <v>369</v>
      </c>
      <c r="G140" t="s">
        <v>375</v>
      </c>
      <c r="H140">
        <v>9079571</v>
      </c>
      <c r="I140" t="s">
        <v>155</v>
      </c>
      <c r="J140" t="s">
        <v>156</v>
      </c>
      <c r="K140" t="str">
        <f t="shared" si="6"/>
        <v>ADAM RICHTER</v>
      </c>
      <c r="L140" t="s">
        <v>57</v>
      </c>
      <c r="M140" s="1">
        <v>45901</v>
      </c>
      <c r="N140" s="1">
        <v>45992</v>
      </c>
      <c r="O140" s="2">
        <v>192</v>
      </c>
      <c r="P140">
        <f t="shared" si="7"/>
        <v>3</v>
      </c>
      <c r="Q140" t="s">
        <v>264</v>
      </c>
      <c r="R140" t="s">
        <v>1086</v>
      </c>
      <c r="S140" t="s">
        <v>58</v>
      </c>
      <c r="T140" s="3">
        <v>0.9</v>
      </c>
      <c r="U140" t="s">
        <v>60</v>
      </c>
      <c r="V140" t="s">
        <v>61</v>
      </c>
      <c r="W140" s="2">
        <v>172.8</v>
      </c>
      <c r="X140" s="2">
        <v>0</v>
      </c>
      <c r="Y140" s="2">
        <v>172.8</v>
      </c>
      <c r="Z140" s="5" t="s">
        <v>1091</v>
      </c>
    </row>
    <row r="141" spans="1:26" s="5" customFormat="1" x14ac:dyDescent="0.25">
      <c r="A141">
        <v>2030397202</v>
      </c>
      <c r="B141" t="s">
        <v>336</v>
      </c>
      <c r="C141" t="s">
        <v>107</v>
      </c>
      <c r="D141" s="5" t="str">
        <f t="shared" si="8"/>
        <v>GREGORY ANDERSON</v>
      </c>
      <c r="E141" t="s">
        <v>118</v>
      </c>
      <c r="F141" t="s">
        <v>369</v>
      </c>
      <c r="G141" t="s">
        <v>375</v>
      </c>
      <c r="H141">
        <v>9079571</v>
      </c>
      <c r="I141" t="s">
        <v>155</v>
      </c>
      <c r="J141" t="s">
        <v>156</v>
      </c>
      <c r="K141" t="str">
        <f t="shared" si="6"/>
        <v>ADAM RICHTER</v>
      </c>
      <c r="L141" t="s">
        <v>57</v>
      </c>
      <c r="M141" s="1">
        <v>45901</v>
      </c>
      <c r="N141" s="1">
        <v>45992</v>
      </c>
      <c r="O141" s="2">
        <v>138.61000000000001</v>
      </c>
      <c r="P141">
        <f t="shared" si="7"/>
        <v>3</v>
      </c>
      <c r="Q141" t="s">
        <v>264</v>
      </c>
      <c r="R141" t="s">
        <v>1086</v>
      </c>
      <c r="S141" t="s">
        <v>58</v>
      </c>
      <c r="T141" s="3">
        <v>0.9</v>
      </c>
      <c r="U141" t="s">
        <v>60</v>
      </c>
      <c r="V141" t="s">
        <v>61</v>
      </c>
      <c r="W141" s="2">
        <v>124.75</v>
      </c>
      <c r="X141" s="2">
        <v>0</v>
      </c>
      <c r="Y141" s="2">
        <v>124.75</v>
      </c>
      <c r="Z141" s="5" t="s">
        <v>1091</v>
      </c>
    </row>
    <row r="142" spans="1:26" s="5" customFormat="1" x14ac:dyDescent="0.25">
      <c r="A142">
        <v>2030597036</v>
      </c>
      <c r="B142" t="s">
        <v>153</v>
      </c>
      <c r="C142" t="s">
        <v>154</v>
      </c>
      <c r="D142" s="5" t="str">
        <f t="shared" si="8"/>
        <v>DAVID MERDIAN</v>
      </c>
      <c r="E142" t="s">
        <v>118</v>
      </c>
      <c r="F142" t="s">
        <v>369</v>
      </c>
      <c r="G142" t="s">
        <v>375</v>
      </c>
      <c r="H142">
        <v>9079571</v>
      </c>
      <c r="I142" t="s">
        <v>155</v>
      </c>
      <c r="J142" t="s">
        <v>156</v>
      </c>
      <c r="K142" t="str">
        <f t="shared" si="6"/>
        <v>ADAM RICHTER</v>
      </c>
      <c r="L142" t="s">
        <v>57</v>
      </c>
      <c r="M142" s="1">
        <v>45901</v>
      </c>
      <c r="N142" s="1">
        <v>45992</v>
      </c>
      <c r="O142" s="2">
        <v>89.88</v>
      </c>
      <c r="P142">
        <f t="shared" si="7"/>
        <v>3</v>
      </c>
      <c r="Q142" t="s">
        <v>264</v>
      </c>
      <c r="R142" t="s">
        <v>1086</v>
      </c>
      <c r="S142" t="s">
        <v>58</v>
      </c>
      <c r="T142" s="3">
        <v>0.9</v>
      </c>
      <c r="U142" t="s">
        <v>60</v>
      </c>
      <c r="V142" t="s">
        <v>61</v>
      </c>
      <c r="W142" s="2">
        <v>80.89</v>
      </c>
      <c r="X142" s="2">
        <v>0</v>
      </c>
      <c r="Y142" s="2">
        <v>80.89</v>
      </c>
      <c r="Z142" s="5" t="s">
        <v>1091</v>
      </c>
    </row>
    <row r="143" spans="1:26" s="5" customFormat="1" x14ac:dyDescent="0.25">
      <c r="A143">
        <v>2030701199</v>
      </c>
      <c r="B143" t="s">
        <v>779</v>
      </c>
      <c r="C143" t="s">
        <v>810</v>
      </c>
      <c r="D143" s="5" t="str">
        <f t="shared" si="8"/>
        <v>JORGE VAZQUEZ</v>
      </c>
      <c r="E143" t="s">
        <v>118</v>
      </c>
      <c r="F143" t="s">
        <v>369</v>
      </c>
      <c r="G143" t="s">
        <v>375</v>
      </c>
      <c r="H143">
        <v>9079571</v>
      </c>
      <c r="I143" t="s">
        <v>155</v>
      </c>
      <c r="J143" t="s">
        <v>156</v>
      </c>
      <c r="K143" t="str">
        <f t="shared" si="6"/>
        <v>ADAM RICHTER</v>
      </c>
      <c r="L143" t="s">
        <v>57</v>
      </c>
      <c r="M143" s="1">
        <v>45901</v>
      </c>
      <c r="N143" s="1">
        <v>45992</v>
      </c>
      <c r="O143" s="2">
        <v>84.26</v>
      </c>
      <c r="P143">
        <f t="shared" si="7"/>
        <v>3</v>
      </c>
      <c r="Q143" t="s">
        <v>264</v>
      </c>
      <c r="R143" t="s">
        <v>1086</v>
      </c>
      <c r="S143" t="s">
        <v>58</v>
      </c>
      <c r="T143" s="3">
        <v>0.9</v>
      </c>
      <c r="U143" t="s">
        <v>60</v>
      </c>
      <c r="V143" t="s">
        <v>61</v>
      </c>
      <c r="W143" s="2">
        <v>75.83</v>
      </c>
      <c r="X143" s="2">
        <v>0</v>
      </c>
      <c r="Y143" s="2">
        <v>75.83</v>
      </c>
      <c r="Z143" s="5" t="s">
        <v>1091</v>
      </c>
    </row>
    <row r="144" spans="1:26" s="5" customFormat="1" x14ac:dyDescent="0.25">
      <c r="A144">
        <v>2030707327</v>
      </c>
      <c r="B144" t="s">
        <v>198</v>
      </c>
      <c r="C144" t="s">
        <v>199</v>
      </c>
      <c r="D144" s="5" t="str">
        <f t="shared" si="8"/>
        <v>SUNG YEOUN</v>
      </c>
      <c r="E144" t="s">
        <v>92</v>
      </c>
      <c r="F144" t="s">
        <v>369</v>
      </c>
      <c r="G144" t="s">
        <v>375</v>
      </c>
      <c r="H144" t="s">
        <v>1081</v>
      </c>
      <c r="I144" t="s">
        <v>191</v>
      </c>
      <c r="J144" t="s">
        <v>192</v>
      </c>
      <c r="K144" t="str">
        <f t="shared" si="6"/>
        <v>JARED KINYUA</v>
      </c>
      <c r="L144" t="s">
        <v>57</v>
      </c>
      <c r="M144" s="1">
        <v>45896</v>
      </c>
      <c r="N144" s="1">
        <v>45988</v>
      </c>
      <c r="O144" s="2">
        <v>54.21</v>
      </c>
      <c r="P144">
        <f t="shared" si="7"/>
        <v>3</v>
      </c>
      <c r="Q144" t="s">
        <v>264</v>
      </c>
      <c r="R144" t="s">
        <v>1086</v>
      </c>
      <c r="S144" t="s">
        <v>58</v>
      </c>
      <c r="T144" s="3">
        <v>0.9</v>
      </c>
      <c r="U144" t="s">
        <v>60</v>
      </c>
      <c r="V144" t="s">
        <v>61</v>
      </c>
      <c r="W144" s="2">
        <v>48.79</v>
      </c>
      <c r="X144" s="2">
        <v>0</v>
      </c>
      <c r="Y144" s="2">
        <v>48.79</v>
      </c>
      <c r="Z144" s="5" t="s">
        <v>1091</v>
      </c>
    </row>
    <row r="145" spans="1:26" s="5" customFormat="1" x14ac:dyDescent="0.25">
      <c r="A145">
        <v>2030684987</v>
      </c>
      <c r="B145" t="s">
        <v>808</v>
      </c>
      <c r="C145" t="s">
        <v>809</v>
      </c>
      <c r="D145" s="5" t="str">
        <f t="shared" si="8"/>
        <v>KRISTINA WOOLEY</v>
      </c>
      <c r="E145" t="s">
        <v>563</v>
      </c>
      <c r="F145" t="s">
        <v>369</v>
      </c>
      <c r="G145" t="s">
        <v>375</v>
      </c>
      <c r="H145">
        <v>1706194</v>
      </c>
      <c r="I145" t="s">
        <v>65</v>
      </c>
      <c r="J145" t="s">
        <v>66</v>
      </c>
      <c r="K145" t="str">
        <f t="shared" si="6"/>
        <v>MATTHEW DAUGHERTY</v>
      </c>
      <c r="L145" t="s">
        <v>57</v>
      </c>
      <c r="M145" s="1">
        <v>45901</v>
      </c>
      <c r="N145" s="1">
        <v>45992</v>
      </c>
      <c r="O145" s="2">
        <v>122.75</v>
      </c>
      <c r="P145">
        <f t="shared" si="7"/>
        <v>3</v>
      </c>
      <c r="Q145" t="s">
        <v>264</v>
      </c>
      <c r="R145" t="s">
        <v>1086</v>
      </c>
      <c r="S145" t="s">
        <v>58</v>
      </c>
      <c r="T145" s="3">
        <v>0.9</v>
      </c>
      <c r="U145" t="s">
        <v>60</v>
      </c>
      <c r="V145" t="s">
        <v>61</v>
      </c>
      <c r="W145" s="2">
        <v>110.48</v>
      </c>
      <c r="X145" s="2">
        <v>0</v>
      </c>
      <c r="Y145" s="2">
        <v>110.48</v>
      </c>
      <c r="Z145" s="5" t="s">
        <v>1091</v>
      </c>
    </row>
    <row r="146" spans="1:26" s="5" customFormat="1" x14ac:dyDescent="0.25">
      <c r="A146">
        <v>2030779110</v>
      </c>
      <c r="B146" t="s">
        <v>230</v>
      </c>
      <c r="C146" t="s">
        <v>811</v>
      </c>
      <c r="D146" s="5" t="str">
        <f t="shared" si="8"/>
        <v>MARY SCHWAB</v>
      </c>
      <c r="E146" t="s">
        <v>563</v>
      </c>
      <c r="F146" t="s">
        <v>369</v>
      </c>
      <c r="G146" t="s">
        <v>375</v>
      </c>
      <c r="H146">
        <v>1706194</v>
      </c>
      <c r="I146" t="s">
        <v>65</v>
      </c>
      <c r="J146" t="s">
        <v>66</v>
      </c>
      <c r="K146" t="str">
        <f t="shared" si="6"/>
        <v>MATTHEW DAUGHERTY</v>
      </c>
      <c r="L146" t="s">
        <v>57</v>
      </c>
      <c r="M146" s="1">
        <v>45901</v>
      </c>
      <c r="N146" s="1">
        <v>45992</v>
      </c>
      <c r="O146" s="2">
        <v>122.57</v>
      </c>
      <c r="P146">
        <f t="shared" si="7"/>
        <v>3</v>
      </c>
      <c r="Q146" t="s">
        <v>264</v>
      </c>
      <c r="R146" t="s">
        <v>1086</v>
      </c>
      <c r="S146" t="s">
        <v>58</v>
      </c>
      <c r="T146" s="3">
        <v>0.9</v>
      </c>
      <c r="U146" t="s">
        <v>60</v>
      </c>
      <c r="V146" t="s">
        <v>61</v>
      </c>
      <c r="W146" s="2">
        <v>110.31</v>
      </c>
      <c r="X146" s="2">
        <v>0</v>
      </c>
      <c r="Y146" s="2">
        <v>110.31</v>
      </c>
      <c r="Z146" s="5" t="s">
        <v>1091</v>
      </c>
    </row>
    <row r="147" spans="1:26" s="5" customFormat="1" x14ac:dyDescent="0.25">
      <c r="A147">
        <v>2030500326</v>
      </c>
      <c r="B147" t="s">
        <v>116</v>
      </c>
      <c r="C147" t="s">
        <v>117</v>
      </c>
      <c r="D147" s="5" t="str">
        <f t="shared" si="8"/>
        <v>ROCHELLE VARGAS</v>
      </c>
      <c r="E147" t="s">
        <v>118</v>
      </c>
      <c r="F147" t="s">
        <v>369</v>
      </c>
      <c r="G147" t="s">
        <v>375</v>
      </c>
      <c r="H147">
        <v>5442438</v>
      </c>
      <c r="I147" t="s">
        <v>120</v>
      </c>
      <c r="J147" t="s">
        <v>121</v>
      </c>
      <c r="K147" t="str">
        <f t="shared" si="6"/>
        <v>Ronald Max</v>
      </c>
      <c r="L147" t="s">
        <v>57</v>
      </c>
      <c r="M147" s="1">
        <v>45901</v>
      </c>
      <c r="N147" s="1">
        <v>45992</v>
      </c>
      <c r="O147" s="2">
        <v>52.06</v>
      </c>
      <c r="P147">
        <f t="shared" si="7"/>
        <v>3</v>
      </c>
      <c r="Q147" t="s">
        <v>264</v>
      </c>
      <c r="R147" t="s">
        <v>1086</v>
      </c>
      <c r="S147" t="s">
        <v>58</v>
      </c>
      <c r="T147" s="3">
        <v>0.9</v>
      </c>
      <c r="U147" t="s">
        <v>60</v>
      </c>
      <c r="V147" t="s">
        <v>61</v>
      </c>
      <c r="W147" s="2">
        <v>46.85</v>
      </c>
      <c r="X147" s="2">
        <v>0</v>
      </c>
      <c r="Y147" s="2">
        <v>46.85</v>
      </c>
      <c r="Z147" s="5" t="s">
        <v>1091</v>
      </c>
    </row>
    <row r="148" spans="1:26" s="5" customFormat="1" x14ac:dyDescent="0.25">
      <c r="A148">
        <v>2030469387</v>
      </c>
      <c r="B148" t="s">
        <v>805</v>
      </c>
      <c r="C148" t="s">
        <v>806</v>
      </c>
      <c r="D148" s="5" t="str">
        <f t="shared" si="8"/>
        <v>MARIE ROGERS</v>
      </c>
      <c r="E148" t="s">
        <v>118</v>
      </c>
      <c r="F148" t="s">
        <v>369</v>
      </c>
      <c r="G148" t="s">
        <v>375</v>
      </c>
      <c r="H148">
        <v>5442438</v>
      </c>
      <c r="I148" t="s">
        <v>120</v>
      </c>
      <c r="J148" t="s">
        <v>121</v>
      </c>
      <c r="K148" t="str">
        <f t="shared" si="6"/>
        <v>Ronald Max</v>
      </c>
      <c r="L148" t="s">
        <v>57</v>
      </c>
      <c r="M148" s="1">
        <v>45901</v>
      </c>
      <c r="N148" s="1">
        <v>45992</v>
      </c>
      <c r="O148" s="2">
        <v>35.17</v>
      </c>
      <c r="P148">
        <f t="shared" si="7"/>
        <v>3</v>
      </c>
      <c r="Q148" t="s">
        <v>264</v>
      </c>
      <c r="R148" t="s">
        <v>1086</v>
      </c>
      <c r="S148" t="s">
        <v>58</v>
      </c>
      <c r="T148" s="3">
        <v>0.9</v>
      </c>
      <c r="U148" t="s">
        <v>60</v>
      </c>
      <c r="V148" t="s">
        <v>61</v>
      </c>
      <c r="W148" s="2">
        <v>31.65</v>
      </c>
      <c r="X148" s="2">
        <v>0</v>
      </c>
      <c r="Y148" s="2">
        <v>31.65</v>
      </c>
      <c r="Z148" s="5" t="s">
        <v>1091</v>
      </c>
    </row>
    <row r="149" spans="1:26" s="5" customFormat="1" x14ac:dyDescent="0.25">
      <c r="A149">
        <v>2030500797</v>
      </c>
      <c r="B149" t="s">
        <v>123</v>
      </c>
      <c r="C149" t="s">
        <v>124</v>
      </c>
      <c r="D149" s="5" t="str">
        <f t="shared" si="8"/>
        <v>CHELSEA TALARICO</v>
      </c>
      <c r="E149" t="s">
        <v>69</v>
      </c>
      <c r="F149" t="s">
        <v>369</v>
      </c>
      <c r="G149" t="s">
        <v>375</v>
      </c>
      <c r="H149">
        <v>8977234</v>
      </c>
      <c r="I149" t="s">
        <v>55</v>
      </c>
      <c r="J149" t="s">
        <v>56</v>
      </c>
      <c r="K149" t="str">
        <f t="shared" si="6"/>
        <v>RYAN CALTAGIRONE</v>
      </c>
      <c r="L149" t="s">
        <v>57</v>
      </c>
      <c r="M149" s="1">
        <v>45901</v>
      </c>
      <c r="N149" s="1">
        <v>45992</v>
      </c>
      <c r="O149" s="2">
        <v>68.08</v>
      </c>
      <c r="P149">
        <f t="shared" si="7"/>
        <v>3</v>
      </c>
      <c r="Q149" t="s">
        <v>264</v>
      </c>
      <c r="R149" t="s">
        <v>1086</v>
      </c>
      <c r="S149" t="s">
        <v>58</v>
      </c>
      <c r="T149" s="3">
        <v>0.9</v>
      </c>
      <c r="U149" t="s">
        <v>60</v>
      </c>
      <c r="V149" t="s">
        <v>61</v>
      </c>
      <c r="W149" s="2">
        <v>61.27</v>
      </c>
      <c r="X149" s="2">
        <v>0</v>
      </c>
      <c r="Y149" s="2">
        <v>61.27</v>
      </c>
      <c r="Z149" s="5" t="s">
        <v>1091</v>
      </c>
    </row>
    <row r="150" spans="1:26" s="5" customFormat="1" x14ac:dyDescent="0.25">
      <c r="A150">
        <v>2028938954</v>
      </c>
      <c r="B150" t="s">
        <v>785</v>
      </c>
      <c r="C150" t="s">
        <v>506</v>
      </c>
      <c r="D150" s="5" t="str">
        <f t="shared" si="8"/>
        <v>KONTOS GEORGE</v>
      </c>
      <c r="E150" t="s">
        <v>69</v>
      </c>
      <c r="F150" t="s">
        <v>369</v>
      </c>
      <c r="G150" t="s">
        <v>375</v>
      </c>
      <c r="H150">
        <v>8977234</v>
      </c>
      <c r="I150" t="s">
        <v>55</v>
      </c>
      <c r="J150" t="s">
        <v>56</v>
      </c>
      <c r="K150" t="str">
        <f t="shared" si="6"/>
        <v>RYAN CALTAGIRONE</v>
      </c>
      <c r="L150" t="s">
        <v>57</v>
      </c>
      <c r="M150" s="1">
        <v>45836</v>
      </c>
      <c r="N150" s="1">
        <v>45989</v>
      </c>
      <c r="O150" s="2">
        <v>61.13</v>
      </c>
      <c r="P150">
        <f t="shared" si="7"/>
        <v>5</v>
      </c>
      <c r="Q150" t="s">
        <v>264</v>
      </c>
      <c r="R150" t="s">
        <v>1086</v>
      </c>
      <c r="S150" t="s">
        <v>58</v>
      </c>
      <c r="T150" s="3">
        <v>0.9</v>
      </c>
      <c r="U150" t="s">
        <v>60</v>
      </c>
      <c r="V150" t="s">
        <v>61</v>
      </c>
      <c r="W150" s="2">
        <v>0</v>
      </c>
      <c r="X150" s="2">
        <v>55.02</v>
      </c>
      <c r="Y150" s="2">
        <v>55.02</v>
      </c>
      <c r="Z150" s="5" t="s">
        <v>1091</v>
      </c>
    </row>
    <row r="151" spans="1:26" s="5" customFormat="1" x14ac:dyDescent="0.25">
      <c r="A151">
        <v>2028905067</v>
      </c>
      <c r="B151" t="s">
        <v>782</v>
      </c>
      <c r="C151" t="s">
        <v>783</v>
      </c>
      <c r="D151" s="5" t="str">
        <f t="shared" si="8"/>
        <v>MARTINEZ ALDO</v>
      </c>
      <c r="E151" t="s">
        <v>165</v>
      </c>
      <c r="F151" t="s">
        <v>369</v>
      </c>
      <c r="G151" t="s">
        <v>375</v>
      </c>
      <c r="H151">
        <v>1706194</v>
      </c>
      <c r="I151" t="s">
        <v>65</v>
      </c>
      <c r="J151" t="s">
        <v>66</v>
      </c>
      <c r="K151" t="str">
        <f t="shared" si="6"/>
        <v>MATTHEW DAUGHERTY</v>
      </c>
      <c r="L151" t="s">
        <v>57</v>
      </c>
      <c r="M151" s="1">
        <v>45809</v>
      </c>
      <c r="N151" s="1">
        <v>45992</v>
      </c>
      <c r="O151" s="2">
        <v>140.58000000000001</v>
      </c>
      <c r="P151">
        <f t="shared" si="7"/>
        <v>6</v>
      </c>
      <c r="Q151" t="s">
        <v>264</v>
      </c>
      <c r="R151" t="s">
        <v>1086</v>
      </c>
      <c r="S151" t="s">
        <v>58</v>
      </c>
      <c r="T151" s="3">
        <v>0.9</v>
      </c>
      <c r="U151" t="s">
        <v>60</v>
      </c>
      <c r="V151" t="s">
        <v>61</v>
      </c>
      <c r="W151" s="2">
        <v>126.52</v>
      </c>
      <c r="X151" s="2">
        <v>0</v>
      </c>
      <c r="Y151" s="2">
        <v>126.52</v>
      </c>
      <c r="Z151" s="5" t="s">
        <v>1091</v>
      </c>
    </row>
    <row r="152" spans="1:26" s="5" customFormat="1" x14ac:dyDescent="0.25">
      <c r="A152">
        <v>2029169957</v>
      </c>
      <c r="B152" t="s">
        <v>798</v>
      </c>
      <c r="C152" t="s">
        <v>62</v>
      </c>
      <c r="D152" s="5" t="str">
        <f t="shared" si="8"/>
        <v>GOODWILLIE LISA</v>
      </c>
      <c r="E152" t="s">
        <v>261</v>
      </c>
      <c r="F152" t="s">
        <v>369</v>
      </c>
      <c r="G152" t="s">
        <v>375</v>
      </c>
      <c r="H152">
        <v>1706194</v>
      </c>
      <c r="I152" t="s">
        <v>65</v>
      </c>
      <c r="J152" t="s">
        <v>66</v>
      </c>
      <c r="K152" t="str">
        <f t="shared" si="6"/>
        <v>MATTHEW DAUGHERTY</v>
      </c>
      <c r="L152" t="s">
        <v>57</v>
      </c>
      <c r="M152" s="1">
        <v>45809</v>
      </c>
      <c r="N152" s="1">
        <v>45992</v>
      </c>
      <c r="O152" s="2">
        <v>128.61000000000001</v>
      </c>
      <c r="P152">
        <f t="shared" si="7"/>
        <v>6</v>
      </c>
      <c r="Q152" t="s">
        <v>264</v>
      </c>
      <c r="R152" t="s">
        <v>1086</v>
      </c>
      <c r="S152" t="s">
        <v>58</v>
      </c>
      <c r="T152" s="3">
        <v>0.9</v>
      </c>
      <c r="U152" t="s">
        <v>60</v>
      </c>
      <c r="V152" t="s">
        <v>61</v>
      </c>
      <c r="W152" s="2">
        <v>115.74</v>
      </c>
      <c r="X152" s="2">
        <v>0.01</v>
      </c>
      <c r="Y152" s="2">
        <v>115.74</v>
      </c>
      <c r="Z152" s="5" t="s">
        <v>1091</v>
      </c>
    </row>
    <row r="153" spans="1:26" s="5" customFormat="1" x14ac:dyDescent="0.25">
      <c r="A153">
        <v>2028905613</v>
      </c>
      <c r="B153" t="s">
        <v>784</v>
      </c>
      <c r="C153" t="s">
        <v>354</v>
      </c>
      <c r="D153" s="5" t="str">
        <f t="shared" si="8"/>
        <v>OWENS JAMES</v>
      </c>
      <c r="E153" t="s">
        <v>165</v>
      </c>
      <c r="F153" t="s">
        <v>369</v>
      </c>
      <c r="G153" t="s">
        <v>375</v>
      </c>
      <c r="H153">
        <v>1706194</v>
      </c>
      <c r="I153" t="s">
        <v>65</v>
      </c>
      <c r="J153" t="s">
        <v>66</v>
      </c>
      <c r="K153" t="str">
        <f t="shared" si="6"/>
        <v>MATTHEW DAUGHERTY</v>
      </c>
      <c r="L153" t="s">
        <v>57</v>
      </c>
      <c r="M153" s="1">
        <v>45809</v>
      </c>
      <c r="N153" s="1">
        <v>45992</v>
      </c>
      <c r="O153" s="2">
        <v>108.16</v>
      </c>
      <c r="P153">
        <f t="shared" si="7"/>
        <v>6</v>
      </c>
      <c r="Q153" t="s">
        <v>264</v>
      </c>
      <c r="R153" t="s">
        <v>1086</v>
      </c>
      <c r="S153" t="s">
        <v>58</v>
      </c>
      <c r="T153" s="3">
        <v>0.9</v>
      </c>
      <c r="U153" t="s">
        <v>60</v>
      </c>
      <c r="V153" t="s">
        <v>61</v>
      </c>
      <c r="W153" s="2">
        <v>97.34</v>
      </c>
      <c r="X153" s="2">
        <v>0</v>
      </c>
      <c r="Y153" s="2">
        <v>97.34</v>
      </c>
      <c r="Z153" s="5" t="s">
        <v>1091</v>
      </c>
    </row>
    <row r="154" spans="1:26" s="5" customFormat="1" x14ac:dyDescent="0.25">
      <c r="A154">
        <v>2028992070</v>
      </c>
      <c r="B154" t="s">
        <v>791</v>
      </c>
      <c r="C154" t="s">
        <v>490</v>
      </c>
      <c r="D154" s="5" t="str">
        <f t="shared" si="8"/>
        <v>CROWE SCOTT</v>
      </c>
      <c r="E154" t="s">
        <v>179</v>
      </c>
      <c r="F154" t="s">
        <v>369</v>
      </c>
      <c r="G154" t="s">
        <v>375</v>
      </c>
      <c r="H154">
        <v>1706194</v>
      </c>
      <c r="I154" t="s">
        <v>65</v>
      </c>
      <c r="J154" t="s">
        <v>66</v>
      </c>
      <c r="K154" t="str">
        <f t="shared" si="6"/>
        <v>MATTHEW DAUGHERTY</v>
      </c>
      <c r="L154" t="s">
        <v>57</v>
      </c>
      <c r="M154" s="1">
        <v>45799</v>
      </c>
      <c r="N154" s="1">
        <v>45983</v>
      </c>
      <c r="O154" s="2">
        <v>-78.150000000000006</v>
      </c>
      <c r="P154">
        <f t="shared" si="7"/>
        <v>6</v>
      </c>
      <c r="Q154" t="s">
        <v>264</v>
      </c>
      <c r="R154" t="s">
        <v>1086</v>
      </c>
      <c r="S154" t="s">
        <v>58</v>
      </c>
      <c r="T154" s="3">
        <v>0.9</v>
      </c>
      <c r="U154" t="s">
        <v>60</v>
      </c>
      <c r="V154" t="s">
        <v>61</v>
      </c>
      <c r="W154" s="2">
        <v>0</v>
      </c>
      <c r="X154" s="2">
        <v>-70.34</v>
      </c>
      <c r="Y154" s="2">
        <v>-70.34</v>
      </c>
      <c r="Z154" s="5" t="s">
        <v>1091</v>
      </c>
    </row>
    <row r="155" spans="1:26" s="5" customFormat="1" x14ac:dyDescent="0.25">
      <c r="A155">
        <v>2028769444</v>
      </c>
      <c r="B155" t="s">
        <v>630</v>
      </c>
      <c r="C155" t="s">
        <v>631</v>
      </c>
      <c r="D155" s="5" t="str">
        <f t="shared" si="8"/>
        <v>SALES JOANNA</v>
      </c>
      <c r="E155" t="s">
        <v>118</v>
      </c>
      <c r="F155" t="s">
        <v>369</v>
      </c>
      <c r="G155" t="s">
        <v>375</v>
      </c>
      <c r="H155">
        <v>5442438</v>
      </c>
      <c r="I155" t="s">
        <v>120</v>
      </c>
      <c r="J155" t="s">
        <v>121</v>
      </c>
      <c r="K155" t="str">
        <f t="shared" si="6"/>
        <v>Ronald Max</v>
      </c>
      <c r="L155" t="s">
        <v>57</v>
      </c>
      <c r="M155" s="1">
        <v>45809</v>
      </c>
      <c r="N155" s="1">
        <v>45992</v>
      </c>
      <c r="O155" s="2">
        <v>65.58</v>
      </c>
      <c r="P155">
        <f t="shared" si="7"/>
        <v>6</v>
      </c>
      <c r="Q155" t="s">
        <v>264</v>
      </c>
      <c r="R155" t="s">
        <v>1086</v>
      </c>
      <c r="S155" t="s">
        <v>58</v>
      </c>
      <c r="T155" s="3">
        <v>0.9</v>
      </c>
      <c r="U155" t="s">
        <v>60</v>
      </c>
      <c r="V155" t="s">
        <v>61</v>
      </c>
      <c r="W155" s="2">
        <v>0</v>
      </c>
      <c r="X155" s="2">
        <v>59.02</v>
      </c>
      <c r="Y155" s="2">
        <v>59.02</v>
      </c>
      <c r="Z155" s="5" t="s">
        <v>1091</v>
      </c>
    </row>
    <row r="156" spans="1:26" s="5" customFormat="1" x14ac:dyDescent="0.25">
      <c r="A156">
        <v>2029034661</v>
      </c>
      <c r="B156" t="s">
        <v>265</v>
      </c>
      <c r="C156" t="s">
        <v>797</v>
      </c>
      <c r="D156" s="5" t="str">
        <f t="shared" si="8"/>
        <v>LARSON DANIEL</v>
      </c>
      <c r="E156" t="s">
        <v>69</v>
      </c>
      <c r="F156" t="s">
        <v>369</v>
      </c>
      <c r="G156" t="s">
        <v>375</v>
      </c>
      <c r="H156">
        <v>8977234</v>
      </c>
      <c r="I156" t="s">
        <v>55</v>
      </c>
      <c r="J156" t="s">
        <v>56</v>
      </c>
      <c r="K156" t="str">
        <f t="shared" si="6"/>
        <v>RYAN CALTAGIRONE</v>
      </c>
      <c r="L156" t="s">
        <v>57</v>
      </c>
      <c r="M156" s="1">
        <v>45809</v>
      </c>
      <c r="N156" s="1">
        <v>45992</v>
      </c>
      <c r="O156" s="2">
        <v>18.79</v>
      </c>
      <c r="P156">
        <f t="shared" si="7"/>
        <v>6</v>
      </c>
      <c r="Q156" t="s">
        <v>264</v>
      </c>
      <c r="R156" t="s">
        <v>1086</v>
      </c>
      <c r="S156" t="s">
        <v>58</v>
      </c>
      <c r="T156" s="3">
        <v>0.9</v>
      </c>
      <c r="U156" t="s">
        <v>60</v>
      </c>
      <c r="V156" t="s">
        <v>61</v>
      </c>
      <c r="W156" s="2">
        <v>16.91</v>
      </c>
      <c r="X156" s="2">
        <v>0</v>
      </c>
      <c r="Y156" s="2">
        <v>16.91</v>
      </c>
      <c r="Z156" s="5" t="s">
        <v>1091</v>
      </c>
    </row>
    <row r="157" spans="1:26" s="5" customFormat="1" x14ac:dyDescent="0.25">
      <c r="A157">
        <v>2028773698</v>
      </c>
      <c r="B157" t="s">
        <v>542</v>
      </c>
      <c r="C157" t="s">
        <v>632</v>
      </c>
      <c r="D157" s="5" t="str">
        <f t="shared" si="8"/>
        <v>KISSEL SETH</v>
      </c>
      <c r="E157" t="s">
        <v>179</v>
      </c>
      <c r="F157" t="s">
        <v>369</v>
      </c>
      <c r="G157" t="s">
        <v>375</v>
      </c>
      <c r="H157">
        <v>8977234</v>
      </c>
      <c r="I157" t="s">
        <v>55</v>
      </c>
      <c r="J157" t="s">
        <v>56</v>
      </c>
      <c r="K157" t="str">
        <f t="shared" si="6"/>
        <v>RYAN CALTAGIRONE</v>
      </c>
      <c r="L157" t="s">
        <v>57</v>
      </c>
      <c r="M157" s="1">
        <v>45809</v>
      </c>
      <c r="N157" s="1">
        <v>45992</v>
      </c>
      <c r="O157" s="2">
        <v>55.75</v>
      </c>
      <c r="P157">
        <f t="shared" si="7"/>
        <v>6</v>
      </c>
      <c r="Q157" t="s">
        <v>264</v>
      </c>
      <c r="R157" t="s">
        <v>1086</v>
      </c>
      <c r="S157" t="s">
        <v>58</v>
      </c>
      <c r="T157" s="3">
        <v>0.9</v>
      </c>
      <c r="U157" t="s">
        <v>60</v>
      </c>
      <c r="V157" t="s">
        <v>61</v>
      </c>
      <c r="W157" s="2">
        <v>0</v>
      </c>
      <c r="X157" s="2">
        <v>50.18</v>
      </c>
      <c r="Y157" s="2">
        <v>50.18</v>
      </c>
      <c r="Z157" s="5" t="s">
        <v>1091</v>
      </c>
    </row>
    <row r="158" spans="1:26" s="5" customFormat="1" x14ac:dyDescent="0.25">
      <c r="A158">
        <v>2028776888</v>
      </c>
      <c r="B158" t="s">
        <v>635</v>
      </c>
      <c r="C158" t="s">
        <v>354</v>
      </c>
      <c r="D158" s="5" t="str">
        <f t="shared" si="8"/>
        <v>RIDING JAMES</v>
      </c>
      <c r="E158" t="s">
        <v>636</v>
      </c>
      <c r="F158" t="s">
        <v>369</v>
      </c>
      <c r="G158" t="s">
        <v>375</v>
      </c>
      <c r="H158">
        <v>8977234</v>
      </c>
      <c r="I158" t="s">
        <v>55</v>
      </c>
      <c r="J158" t="s">
        <v>56</v>
      </c>
      <c r="K158" t="str">
        <f t="shared" si="6"/>
        <v>RYAN CALTAGIRONE</v>
      </c>
      <c r="L158" t="s">
        <v>57</v>
      </c>
      <c r="M158" s="1">
        <v>45809</v>
      </c>
      <c r="N158" s="1">
        <v>45992</v>
      </c>
      <c r="O158" s="2">
        <v>226.66</v>
      </c>
      <c r="P158">
        <f t="shared" si="7"/>
        <v>6</v>
      </c>
      <c r="Q158" t="s">
        <v>264</v>
      </c>
      <c r="R158" t="s">
        <v>1086</v>
      </c>
      <c r="S158" t="s">
        <v>58</v>
      </c>
      <c r="T158" s="3">
        <v>0.9</v>
      </c>
      <c r="U158" t="s">
        <v>60</v>
      </c>
      <c r="V158" t="s">
        <v>61</v>
      </c>
      <c r="W158" s="2">
        <v>0</v>
      </c>
      <c r="X158" s="2">
        <v>203.99</v>
      </c>
      <c r="Y158" s="2">
        <v>203.99</v>
      </c>
      <c r="Z158" s="5" t="s">
        <v>1091</v>
      </c>
    </row>
    <row r="159" spans="1:26" s="5" customFormat="1" x14ac:dyDescent="0.25">
      <c r="A159">
        <v>2028052819</v>
      </c>
      <c r="B159" t="s">
        <v>624</v>
      </c>
      <c r="C159" t="s">
        <v>625</v>
      </c>
      <c r="D159" s="5" t="str">
        <f t="shared" si="8"/>
        <v>LIVELY LANDON</v>
      </c>
      <c r="E159" t="s">
        <v>165</v>
      </c>
      <c r="F159" t="s">
        <v>369</v>
      </c>
      <c r="G159" t="s">
        <v>375</v>
      </c>
      <c r="H159">
        <v>1706194</v>
      </c>
      <c r="I159" t="s">
        <v>65</v>
      </c>
      <c r="J159" t="s">
        <v>66</v>
      </c>
      <c r="K159" t="str">
        <f t="shared" si="6"/>
        <v>MATTHEW DAUGHERTY</v>
      </c>
      <c r="L159" t="s">
        <v>57</v>
      </c>
      <c r="M159" s="1">
        <v>45748</v>
      </c>
      <c r="N159" s="1">
        <v>45992</v>
      </c>
      <c r="O159" s="2">
        <v>164.84</v>
      </c>
      <c r="P159">
        <f t="shared" si="7"/>
        <v>8</v>
      </c>
      <c r="Q159" t="s">
        <v>264</v>
      </c>
      <c r="R159" t="s">
        <v>1086</v>
      </c>
      <c r="S159" t="s">
        <v>58</v>
      </c>
      <c r="T159" s="3">
        <v>0.9</v>
      </c>
      <c r="U159" t="s">
        <v>60</v>
      </c>
      <c r="V159" t="s">
        <v>61</v>
      </c>
      <c r="W159" s="2">
        <v>0</v>
      </c>
      <c r="X159" s="2">
        <v>148.36000000000001</v>
      </c>
      <c r="Y159" s="2">
        <v>148.36000000000001</v>
      </c>
      <c r="Z159" s="5" t="s">
        <v>1091</v>
      </c>
    </row>
    <row r="160" spans="1:26" s="5" customFormat="1" x14ac:dyDescent="0.25">
      <c r="A160">
        <v>2027348180</v>
      </c>
      <c r="B160" t="s">
        <v>605</v>
      </c>
      <c r="C160" t="s">
        <v>543</v>
      </c>
      <c r="D160" s="5" t="str">
        <f t="shared" si="8"/>
        <v>DUARTE AMY</v>
      </c>
      <c r="E160" t="s">
        <v>69</v>
      </c>
      <c r="F160" t="s">
        <v>369</v>
      </c>
      <c r="G160" t="s">
        <v>375</v>
      </c>
      <c r="H160">
        <v>8977234</v>
      </c>
      <c r="I160" t="s">
        <v>55</v>
      </c>
      <c r="J160" t="s">
        <v>56</v>
      </c>
      <c r="K160" t="str">
        <f t="shared" si="6"/>
        <v>RYAN CALTAGIRONE</v>
      </c>
      <c r="L160" t="s">
        <v>57</v>
      </c>
      <c r="M160" s="1">
        <v>45716</v>
      </c>
      <c r="N160" s="1">
        <v>45989</v>
      </c>
      <c r="O160" s="2">
        <v>41.61</v>
      </c>
      <c r="P160">
        <f t="shared" si="7"/>
        <v>9</v>
      </c>
      <c r="Q160" t="s">
        <v>264</v>
      </c>
      <c r="R160" t="s">
        <v>1086</v>
      </c>
      <c r="S160" t="s">
        <v>58</v>
      </c>
      <c r="T160" s="3">
        <v>0.9</v>
      </c>
      <c r="U160" t="s">
        <v>60</v>
      </c>
      <c r="V160" t="s">
        <v>61</v>
      </c>
      <c r="W160" s="2">
        <v>0</v>
      </c>
      <c r="X160" s="2">
        <v>37.450000000000003</v>
      </c>
      <c r="Y160" s="2">
        <v>37.450000000000003</v>
      </c>
      <c r="Z160" s="5" t="s">
        <v>1091</v>
      </c>
    </row>
    <row r="161" spans="1:26" s="5" customFormat="1" x14ac:dyDescent="0.25">
      <c r="A161">
        <v>2026618580</v>
      </c>
      <c r="B161" t="s">
        <v>589</v>
      </c>
      <c r="C161" t="s">
        <v>590</v>
      </c>
      <c r="D161" s="5" t="str">
        <f t="shared" si="8"/>
        <v>WADDLE LYNSEY</v>
      </c>
      <c r="E161" t="s">
        <v>64</v>
      </c>
      <c r="F161" t="s">
        <v>369</v>
      </c>
      <c r="G161" t="s">
        <v>375</v>
      </c>
      <c r="H161">
        <v>1706194</v>
      </c>
      <c r="I161" t="s">
        <v>65</v>
      </c>
      <c r="J161" t="s">
        <v>66</v>
      </c>
      <c r="K161" t="str">
        <f t="shared" si="6"/>
        <v>MATTHEW DAUGHERTY</v>
      </c>
      <c r="L161" t="s">
        <v>57</v>
      </c>
      <c r="M161" s="1">
        <v>45689</v>
      </c>
      <c r="N161" s="1">
        <v>45992</v>
      </c>
      <c r="O161" s="2">
        <v>81.5</v>
      </c>
      <c r="P161">
        <f t="shared" si="7"/>
        <v>10</v>
      </c>
      <c r="Q161" t="s">
        <v>264</v>
      </c>
      <c r="R161" t="s">
        <v>1086</v>
      </c>
      <c r="S161" t="s">
        <v>58</v>
      </c>
      <c r="T161" s="3">
        <v>0.9</v>
      </c>
      <c r="U161" t="s">
        <v>60</v>
      </c>
      <c r="V161" t="s">
        <v>61</v>
      </c>
      <c r="W161" s="2">
        <v>0</v>
      </c>
      <c r="X161" s="2">
        <v>73.349999999999994</v>
      </c>
      <c r="Y161" s="2">
        <v>73.349999999999994</v>
      </c>
      <c r="Z161" s="5" t="s">
        <v>1091</v>
      </c>
    </row>
    <row r="162" spans="1:26" s="5" customFormat="1" x14ac:dyDescent="0.25">
      <c r="A162">
        <v>2026616495</v>
      </c>
      <c r="B162" t="s">
        <v>586</v>
      </c>
      <c r="C162" t="s">
        <v>354</v>
      </c>
      <c r="D162" s="5" t="str">
        <f t="shared" si="8"/>
        <v>RAGGETT JAMES</v>
      </c>
      <c r="E162" t="s">
        <v>182</v>
      </c>
      <c r="F162" t="s">
        <v>369</v>
      </c>
      <c r="G162" t="s">
        <v>375</v>
      </c>
      <c r="H162">
        <v>8977234</v>
      </c>
      <c r="I162" t="s">
        <v>55</v>
      </c>
      <c r="J162" t="s">
        <v>56</v>
      </c>
      <c r="K162" t="str">
        <f t="shared" si="6"/>
        <v>RYAN CALTAGIRONE</v>
      </c>
      <c r="L162" t="s">
        <v>57</v>
      </c>
      <c r="M162" s="1">
        <v>45689</v>
      </c>
      <c r="N162" s="1">
        <v>45992</v>
      </c>
      <c r="O162" s="2">
        <v>60.43</v>
      </c>
      <c r="P162">
        <f t="shared" si="7"/>
        <v>10</v>
      </c>
      <c r="Q162" t="s">
        <v>264</v>
      </c>
      <c r="R162" t="s">
        <v>1086</v>
      </c>
      <c r="S162" t="s">
        <v>58</v>
      </c>
      <c r="T162" s="3">
        <v>0.9</v>
      </c>
      <c r="U162" t="s">
        <v>60</v>
      </c>
      <c r="V162" t="s">
        <v>61</v>
      </c>
      <c r="W162" s="2">
        <v>0</v>
      </c>
      <c r="X162" s="2">
        <v>54.39</v>
      </c>
      <c r="Y162" s="2">
        <v>54.39</v>
      </c>
      <c r="Z162" s="5" t="s">
        <v>1091</v>
      </c>
    </row>
    <row r="163" spans="1:26" s="5" customFormat="1" x14ac:dyDescent="0.25">
      <c r="A163">
        <v>2026807603</v>
      </c>
      <c r="B163" t="s">
        <v>598</v>
      </c>
      <c r="C163" t="s">
        <v>599</v>
      </c>
      <c r="D163" s="5" t="str">
        <f t="shared" si="8"/>
        <v>HEON AUDREY</v>
      </c>
      <c r="E163" t="s">
        <v>247</v>
      </c>
      <c r="F163" t="s">
        <v>369</v>
      </c>
      <c r="G163" t="s">
        <v>375</v>
      </c>
      <c r="H163">
        <v>8977234</v>
      </c>
      <c r="I163" t="s">
        <v>55</v>
      </c>
      <c r="J163" t="s">
        <v>56</v>
      </c>
      <c r="K163" t="str">
        <f t="shared" si="6"/>
        <v>RYAN CALTAGIRONE</v>
      </c>
      <c r="L163" t="s">
        <v>57</v>
      </c>
      <c r="M163" s="1">
        <v>45689</v>
      </c>
      <c r="N163" s="1">
        <v>45992</v>
      </c>
      <c r="O163" s="2">
        <v>92.46</v>
      </c>
      <c r="P163">
        <f t="shared" si="7"/>
        <v>10</v>
      </c>
      <c r="Q163" t="s">
        <v>264</v>
      </c>
      <c r="R163" t="s">
        <v>1086</v>
      </c>
      <c r="S163" t="s">
        <v>58</v>
      </c>
      <c r="T163" s="3">
        <v>0.9</v>
      </c>
      <c r="U163" t="s">
        <v>60</v>
      </c>
      <c r="V163" t="s">
        <v>61</v>
      </c>
      <c r="W163" s="2">
        <v>0</v>
      </c>
      <c r="X163" s="2">
        <v>83.21</v>
      </c>
      <c r="Y163" s="2">
        <v>83.21</v>
      </c>
      <c r="Z163" s="5" t="s">
        <v>1091</v>
      </c>
    </row>
    <row r="164" spans="1:26" s="5" customFormat="1" x14ac:dyDescent="0.25">
      <c r="A164">
        <v>2022762069</v>
      </c>
      <c r="B164" t="s">
        <v>576</v>
      </c>
      <c r="C164" t="s">
        <v>577</v>
      </c>
      <c r="D164" s="5" t="str">
        <f t="shared" si="8"/>
        <v>JACKSON RICHARD</v>
      </c>
      <c r="E164" t="s">
        <v>190</v>
      </c>
      <c r="F164" t="s">
        <v>369</v>
      </c>
      <c r="G164" t="s">
        <v>375</v>
      </c>
      <c r="H164">
        <v>8307933</v>
      </c>
      <c r="I164" t="s">
        <v>560</v>
      </c>
      <c r="J164" t="s">
        <v>336</v>
      </c>
      <c r="K164" t="str">
        <f t="shared" si="6"/>
        <v>GREGORY TEIPEL</v>
      </c>
      <c r="L164" t="s">
        <v>57</v>
      </c>
      <c r="M164" s="1">
        <v>45407</v>
      </c>
      <c r="N164" s="1">
        <v>45986</v>
      </c>
      <c r="O164" s="2">
        <v>178.58</v>
      </c>
      <c r="P164">
        <f t="shared" si="7"/>
        <v>19</v>
      </c>
      <c r="Q164" t="s">
        <v>264</v>
      </c>
      <c r="R164" t="s">
        <v>1086</v>
      </c>
      <c r="S164" t="s">
        <v>58</v>
      </c>
      <c r="T164" s="3">
        <v>0.1</v>
      </c>
      <c r="U164" t="s">
        <v>264</v>
      </c>
      <c r="V164" t="s">
        <v>61</v>
      </c>
      <c r="W164" s="2">
        <v>0</v>
      </c>
      <c r="X164" s="2">
        <v>17.86</v>
      </c>
      <c r="Y164" s="2">
        <v>17.86</v>
      </c>
      <c r="Z164" s="5" t="s">
        <v>1091</v>
      </c>
    </row>
    <row r="165" spans="1:26" s="5" customFormat="1" x14ac:dyDescent="0.25">
      <c r="A165">
        <v>2018077137</v>
      </c>
      <c r="B165" t="s">
        <v>572</v>
      </c>
      <c r="C165" t="s">
        <v>312</v>
      </c>
      <c r="D165" s="5" t="str">
        <f t="shared" si="8"/>
        <v>COLEMAN JOHN</v>
      </c>
      <c r="E165" t="s">
        <v>118</v>
      </c>
      <c r="F165" t="s">
        <v>369</v>
      </c>
      <c r="G165" t="s">
        <v>375</v>
      </c>
      <c r="H165">
        <v>9079571</v>
      </c>
      <c r="I165" t="s">
        <v>155</v>
      </c>
      <c r="J165" t="s">
        <v>156</v>
      </c>
      <c r="K165" t="str">
        <f t="shared" si="6"/>
        <v>ADAM RICHTER</v>
      </c>
      <c r="L165" t="s">
        <v>57</v>
      </c>
      <c r="M165" s="1">
        <v>45017</v>
      </c>
      <c r="N165" s="1">
        <v>45992</v>
      </c>
      <c r="O165" s="2">
        <v>193.83</v>
      </c>
      <c r="P165">
        <f t="shared" si="7"/>
        <v>32</v>
      </c>
      <c r="Q165" t="s">
        <v>264</v>
      </c>
      <c r="R165" t="s">
        <v>1086</v>
      </c>
      <c r="S165" t="s">
        <v>58</v>
      </c>
      <c r="T165" s="3">
        <v>0.1</v>
      </c>
      <c r="U165" t="s">
        <v>264</v>
      </c>
      <c r="V165" t="s">
        <v>61</v>
      </c>
      <c r="W165" s="2">
        <v>0</v>
      </c>
      <c r="X165" s="2">
        <v>19.38</v>
      </c>
      <c r="Y165" s="2">
        <v>19.38</v>
      </c>
      <c r="Z165" s="5" t="s">
        <v>1091</v>
      </c>
    </row>
    <row r="166" spans="1:26" s="5" customFormat="1" x14ac:dyDescent="0.25">
      <c r="A166">
        <v>2017351925</v>
      </c>
      <c r="B166" t="s">
        <v>571</v>
      </c>
      <c r="C166" t="s">
        <v>490</v>
      </c>
      <c r="D166" s="5" t="str">
        <f t="shared" si="8"/>
        <v>PHILBRICK SCOTT</v>
      </c>
      <c r="E166" t="s">
        <v>118</v>
      </c>
      <c r="F166" t="s">
        <v>369</v>
      </c>
      <c r="G166" t="s">
        <v>375</v>
      </c>
      <c r="H166">
        <v>9079571</v>
      </c>
      <c r="I166" t="s">
        <v>155</v>
      </c>
      <c r="J166" t="s">
        <v>156</v>
      </c>
      <c r="K166" t="str">
        <f t="shared" si="6"/>
        <v>ADAM RICHTER</v>
      </c>
      <c r="L166" t="s">
        <v>57</v>
      </c>
      <c r="M166" s="1">
        <v>44958</v>
      </c>
      <c r="N166" s="1">
        <v>45992</v>
      </c>
      <c r="O166" s="2">
        <v>73.08</v>
      </c>
      <c r="P166">
        <f t="shared" si="7"/>
        <v>34</v>
      </c>
      <c r="Q166" t="s">
        <v>264</v>
      </c>
      <c r="R166" t="s">
        <v>1086</v>
      </c>
      <c r="S166" t="s">
        <v>58</v>
      </c>
      <c r="T166" s="3">
        <v>0.1</v>
      </c>
      <c r="U166" t="s">
        <v>264</v>
      </c>
      <c r="V166" t="s">
        <v>61</v>
      </c>
      <c r="W166" s="2">
        <v>0</v>
      </c>
      <c r="X166" s="2">
        <v>7.31</v>
      </c>
      <c r="Y166" s="2">
        <v>7.31</v>
      </c>
      <c r="Z166" s="5" t="s">
        <v>1091</v>
      </c>
    </row>
    <row r="167" spans="1:26" s="5" customFormat="1" x14ac:dyDescent="0.25">
      <c r="A167">
        <v>2017333575</v>
      </c>
      <c r="B167" t="s">
        <v>569</v>
      </c>
      <c r="C167" t="s">
        <v>570</v>
      </c>
      <c r="D167" s="5" t="str">
        <f t="shared" si="8"/>
        <v>GAINES BRIDGETT</v>
      </c>
      <c r="E167" t="s">
        <v>261</v>
      </c>
      <c r="F167" t="s">
        <v>369</v>
      </c>
      <c r="G167" t="s">
        <v>375</v>
      </c>
      <c r="H167">
        <v>20436896</v>
      </c>
      <c r="I167" t="s">
        <v>55</v>
      </c>
      <c r="J167" t="s">
        <v>566</v>
      </c>
      <c r="K167" t="str">
        <f t="shared" si="6"/>
        <v>KATELENN CALTAGIRONE</v>
      </c>
      <c r="L167" t="s">
        <v>57</v>
      </c>
      <c r="M167" s="1">
        <v>44958</v>
      </c>
      <c r="N167" s="1">
        <v>45992</v>
      </c>
      <c r="O167" s="2">
        <v>152.54</v>
      </c>
      <c r="P167">
        <f t="shared" si="7"/>
        <v>34</v>
      </c>
      <c r="Q167" t="s">
        <v>264</v>
      </c>
      <c r="R167" t="s">
        <v>1086</v>
      </c>
      <c r="S167" t="s">
        <v>58</v>
      </c>
      <c r="T167" s="3">
        <v>0.1</v>
      </c>
      <c r="U167" t="s">
        <v>264</v>
      </c>
      <c r="V167" t="s">
        <v>61</v>
      </c>
      <c r="W167" s="2">
        <v>0</v>
      </c>
      <c r="X167" s="2">
        <v>15.25</v>
      </c>
      <c r="Y167" s="2">
        <v>15.25</v>
      </c>
      <c r="Z167" s="5" t="s">
        <v>1091</v>
      </c>
    </row>
    <row r="168" spans="1:26" s="5" customFormat="1" x14ac:dyDescent="0.25">
      <c r="A168">
        <v>2016927272</v>
      </c>
      <c r="B168" t="s">
        <v>567</v>
      </c>
      <c r="C168" t="s">
        <v>568</v>
      </c>
      <c r="D168" s="5" t="str">
        <f t="shared" si="8"/>
        <v>SWORD LINDA</v>
      </c>
      <c r="E168" t="s">
        <v>563</v>
      </c>
      <c r="F168" t="s">
        <v>369</v>
      </c>
      <c r="G168" t="s">
        <v>375</v>
      </c>
      <c r="H168">
        <v>8307933</v>
      </c>
      <c r="I168" t="s">
        <v>560</v>
      </c>
      <c r="J168" t="s">
        <v>336</v>
      </c>
      <c r="K168" t="str">
        <f t="shared" si="6"/>
        <v>GREGORY TEIPEL</v>
      </c>
      <c r="L168" t="s">
        <v>57</v>
      </c>
      <c r="M168" s="1">
        <v>44894</v>
      </c>
      <c r="N168" s="1">
        <v>45990</v>
      </c>
      <c r="O168" s="2">
        <v>395.25</v>
      </c>
      <c r="P168">
        <f t="shared" si="7"/>
        <v>36</v>
      </c>
      <c r="Q168" t="s">
        <v>264</v>
      </c>
      <c r="R168" t="s">
        <v>1086</v>
      </c>
      <c r="S168" t="s">
        <v>58</v>
      </c>
      <c r="T168" s="3">
        <v>0.1</v>
      </c>
      <c r="U168" t="s">
        <v>264</v>
      </c>
      <c r="V168" t="s">
        <v>61</v>
      </c>
      <c r="W168" s="2">
        <v>0</v>
      </c>
      <c r="X168" s="2">
        <v>39.520000000000003</v>
      </c>
      <c r="Y168" s="2">
        <v>39.520000000000003</v>
      </c>
      <c r="Z168" s="5" t="s">
        <v>1091</v>
      </c>
    </row>
    <row r="169" spans="1:26" s="5" customFormat="1" x14ac:dyDescent="0.25">
      <c r="A169">
        <v>2016589853</v>
      </c>
      <c r="B169" t="s">
        <v>561</v>
      </c>
      <c r="C169" t="s">
        <v>562</v>
      </c>
      <c r="D169" s="5" t="str">
        <f t="shared" si="8"/>
        <v>POWELL LUCAS</v>
      </c>
      <c r="E169" t="s">
        <v>563</v>
      </c>
      <c r="F169" t="s">
        <v>369</v>
      </c>
      <c r="G169" t="s">
        <v>375</v>
      </c>
      <c r="H169">
        <v>8307933</v>
      </c>
      <c r="I169" t="s">
        <v>560</v>
      </c>
      <c r="J169" t="s">
        <v>336</v>
      </c>
      <c r="K169" t="str">
        <f t="shared" si="6"/>
        <v>GREGORY TEIPEL</v>
      </c>
      <c r="L169" t="s">
        <v>57</v>
      </c>
      <c r="M169" s="1">
        <v>44866</v>
      </c>
      <c r="N169" s="1">
        <v>45992</v>
      </c>
      <c r="O169" s="2">
        <v>54.67</v>
      </c>
      <c r="P169">
        <f t="shared" si="7"/>
        <v>37</v>
      </c>
      <c r="Q169" t="s">
        <v>264</v>
      </c>
      <c r="R169" t="s">
        <v>1086</v>
      </c>
      <c r="S169" t="s">
        <v>58</v>
      </c>
      <c r="T169" s="3">
        <v>0.1</v>
      </c>
      <c r="U169" t="s">
        <v>264</v>
      </c>
      <c r="V169" t="s">
        <v>61</v>
      </c>
      <c r="W169" s="2">
        <v>0</v>
      </c>
      <c r="X169" s="2">
        <v>5.47</v>
      </c>
      <c r="Y169" s="2">
        <v>5.47</v>
      </c>
      <c r="Z169" s="5" t="s">
        <v>1091</v>
      </c>
    </row>
    <row r="170" spans="1:26" s="5" customFormat="1" x14ac:dyDescent="0.25">
      <c r="A170">
        <v>2016611651</v>
      </c>
      <c r="B170" t="s">
        <v>564</v>
      </c>
      <c r="C170" t="s">
        <v>565</v>
      </c>
      <c r="D170" s="5" t="str">
        <f t="shared" si="8"/>
        <v>MEHAFFEY LANCE</v>
      </c>
      <c r="E170" t="s">
        <v>69</v>
      </c>
      <c r="F170" t="s">
        <v>369</v>
      </c>
      <c r="G170" t="s">
        <v>375</v>
      </c>
      <c r="H170">
        <v>20436896</v>
      </c>
      <c r="I170" t="s">
        <v>55</v>
      </c>
      <c r="J170" t="s">
        <v>566</v>
      </c>
      <c r="K170" t="str">
        <f t="shared" si="6"/>
        <v>KATELENN CALTAGIRONE</v>
      </c>
      <c r="L170" t="s">
        <v>57</v>
      </c>
      <c r="M170" s="1">
        <v>44866</v>
      </c>
      <c r="N170" s="1">
        <v>45992</v>
      </c>
      <c r="O170" s="2">
        <v>111.83</v>
      </c>
      <c r="P170">
        <f t="shared" si="7"/>
        <v>37</v>
      </c>
      <c r="Q170" t="s">
        <v>264</v>
      </c>
      <c r="R170" t="s">
        <v>1086</v>
      </c>
      <c r="S170" t="s">
        <v>58</v>
      </c>
      <c r="T170" s="3">
        <v>0.1</v>
      </c>
      <c r="U170" t="s">
        <v>264</v>
      </c>
      <c r="V170" t="s">
        <v>61</v>
      </c>
      <c r="W170" s="2">
        <v>0</v>
      </c>
      <c r="X170" s="2">
        <v>11.18</v>
      </c>
      <c r="Y170" s="2">
        <v>11.18</v>
      </c>
      <c r="Z170" s="5" t="s">
        <v>1091</v>
      </c>
    </row>
    <row r="171" spans="1:26" s="5" customFormat="1" x14ac:dyDescent="0.25">
      <c r="A171">
        <v>2016328594</v>
      </c>
      <c r="B171" t="s">
        <v>558</v>
      </c>
      <c r="C171" t="s">
        <v>342</v>
      </c>
      <c r="D171" s="5" t="str">
        <f t="shared" si="8"/>
        <v>DIETZ STEVEN</v>
      </c>
      <c r="E171" t="s">
        <v>559</v>
      </c>
      <c r="F171" t="s">
        <v>369</v>
      </c>
      <c r="G171" t="s">
        <v>375</v>
      </c>
      <c r="H171">
        <v>8307933</v>
      </c>
      <c r="I171" t="s">
        <v>560</v>
      </c>
      <c r="J171" t="s">
        <v>336</v>
      </c>
      <c r="K171" t="str">
        <f t="shared" si="6"/>
        <v>GREGORY TEIPEL</v>
      </c>
      <c r="L171" t="s">
        <v>57</v>
      </c>
      <c r="M171" s="1">
        <v>44829</v>
      </c>
      <c r="N171" s="1">
        <v>45986</v>
      </c>
      <c r="O171" s="2">
        <v>85.84</v>
      </c>
      <c r="P171">
        <f t="shared" si="7"/>
        <v>38</v>
      </c>
      <c r="Q171" t="s">
        <v>264</v>
      </c>
      <c r="R171" t="s">
        <v>1086</v>
      </c>
      <c r="S171" t="s">
        <v>58</v>
      </c>
      <c r="T171" s="3">
        <v>0.1</v>
      </c>
      <c r="U171" t="s">
        <v>264</v>
      </c>
      <c r="V171" t="s">
        <v>61</v>
      </c>
      <c r="W171" s="2">
        <v>0</v>
      </c>
      <c r="X171" s="2">
        <v>8.58</v>
      </c>
      <c r="Y171" s="2">
        <v>8.58</v>
      </c>
      <c r="Z171" s="5" t="s">
        <v>1091</v>
      </c>
    </row>
    <row r="172" spans="1:26" s="5" customFormat="1" x14ac:dyDescent="0.25">
      <c r="A172" s="5">
        <v>2031146811</v>
      </c>
      <c r="B172" s="5" t="s">
        <v>241</v>
      </c>
      <c r="C172" s="5" t="s">
        <v>242</v>
      </c>
      <c r="D172" s="5" t="str">
        <f t="shared" si="8"/>
        <v>BOUNSINH LATSAMY</v>
      </c>
      <c r="E172" s="5" t="s">
        <v>69</v>
      </c>
      <c r="F172" s="5" t="s">
        <v>53</v>
      </c>
      <c r="G172" s="5" t="s">
        <v>122</v>
      </c>
      <c r="H172" s="5">
        <v>8405446</v>
      </c>
      <c r="I172" s="5" t="s">
        <v>243</v>
      </c>
      <c r="J172" s="5" t="s">
        <v>244</v>
      </c>
      <c r="K172" s="5" t="str">
        <f t="shared" si="6"/>
        <v>PATSAMON THANADABOUTH</v>
      </c>
      <c r="L172" s="5" t="s">
        <v>57</v>
      </c>
      <c r="M172" s="6">
        <v>45930</v>
      </c>
      <c r="N172" s="6">
        <v>45991</v>
      </c>
      <c r="O172" s="7">
        <v>51</v>
      </c>
      <c r="P172" s="5">
        <f t="shared" si="7"/>
        <v>2</v>
      </c>
      <c r="Q172" s="5" t="s">
        <v>264</v>
      </c>
      <c r="R172" s="5" t="s">
        <v>1085</v>
      </c>
      <c r="S172" s="5" t="s">
        <v>58</v>
      </c>
      <c r="T172" s="8">
        <v>0.42</v>
      </c>
      <c r="U172" s="5" t="s">
        <v>60</v>
      </c>
      <c r="V172" s="5" t="s">
        <v>61</v>
      </c>
      <c r="W172" s="7">
        <v>21.42</v>
      </c>
      <c r="X172" s="7">
        <v>0</v>
      </c>
      <c r="Y172" s="7">
        <v>21.42</v>
      </c>
      <c r="Z172" s="5" t="s">
        <v>122</v>
      </c>
    </row>
    <row r="173" spans="1:26" s="5" customFormat="1" x14ac:dyDescent="0.25">
      <c r="A173" s="5">
        <v>2030714655</v>
      </c>
      <c r="B173" s="5" t="s">
        <v>86</v>
      </c>
      <c r="C173" s="5" t="s">
        <v>200</v>
      </c>
      <c r="D173" s="5" t="str">
        <f t="shared" si="8"/>
        <v>NICHOLAS CURRIER</v>
      </c>
      <c r="E173" s="5" t="s">
        <v>201</v>
      </c>
      <c r="F173" s="5" t="s">
        <v>53</v>
      </c>
      <c r="G173" s="5" t="s">
        <v>122</v>
      </c>
      <c r="H173" s="5" t="s">
        <v>1080</v>
      </c>
      <c r="I173" s="5" t="s">
        <v>175</v>
      </c>
      <c r="J173" s="5" t="s">
        <v>176</v>
      </c>
      <c r="K173" s="5" t="str">
        <f t="shared" si="6"/>
        <v>Jake Shulman</v>
      </c>
      <c r="L173" s="5" t="s">
        <v>57</v>
      </c>
      <c r="M173" s="6">
        <v>45901</v>
      </c>
      <c r="N173" s="6">
        <v>45992</v>
      </c>
      <c r="O173" s="7">
        <v>22.02</v>
      </c>
      <c r="P173" s="5">
        <f t="shared" si="7"/>
        <v>3</v>
      </c>
      <c r="Q173" s="5" t="s">
        <v>264</v>
      </c>
      <c r="R173" s="5" t="s">
        <v>1085</v>
      </c>
      <c r="S173" s="5" t="s">
        <v>58</v>
      </c>
      <c r="T173" s="8">
        <v>0.42</v>
      </c>
      <c r="U173" s="5" t="s">
        <v>60</v>
      </c>
      <c r="V173" s="5" t="s">
        <v>61</v>
      </c>
      <c r="W173" s="7">
        <v>9.25</v>
      </c>
      <c r="X173" s="7">
        <v>0</v>
      </c>
      <c r="Y173" s="7">
        <v>9.25</v>
      </c>
      <c r="Z173" s="5" t="s">
        <v>122</v>
      </c>
    </row>
    <row r="174" spans="1:26" s="5" customFormat="1" x14ac:dyDescent="0.25">
      <c r="A174">
        <v>2030500327</v>
      </c>
      <c r="B174" t="s">
        <v>116</v>
      </c>
      <c r="C174" t="s">
        <v>117</v>
      </c>
      <c r="D174" s="5" t="str">
        <f t="shared" si="8"/>
        <v>ROCHELLE VARGAS</v>
      </c>
      <c r="E174" t="s">
        <v>118</v>
      </c>
      <c r="F174" t="s">
        <v>53</v>
      </c>
      <c r="G174" t="s">
        <v>122</v>
      </c>
      <c r="H174">
        <v>5442438</v>
      </c>
      <c r="I174" t="s">
        <v>120</v>
      </c>
      <c r="J174" t="s">
        <v>121</v>
      </c>
      <c r="K174" t="str">
        <f t="shared" si="6"/>
        <v>Ronald Max</v>
      </c>
      <c r="L174" t="s">
        <v>57</v>
      </c>
      <c r="M174" s="1">
        <v>45901</v>
      </c>
      <c r="N174" s="1">
        <v>45992</v>
      </c>
      <c r="O174" s="2">
        <v>38.93</v>
      </c>
      <c r="P174">
        <f t="shared" si="7"/>
        <v>3</v>
      </c>
      <c r="Q174" t="s">
        <v>264</v>
      </c>
      <c r="R174" t="s">
        <v>1086</v>
      </c>
      <c r="S174" t="s">
        <v>58</v>
      </c>
      <c r="T174" s="3">
        <v>0.42</v>
      </c>
      <c r="U174" t="s">
        <v>60</v>
      </c>
      <c r="V174" t="s">
        <v>61</v>
      </c>
      <c r="W174" s="2">
        <v>16.350000000000001</v>
      </c>
      <c r="X174" s="2">
        <v>0</v>
      </c>
      <c r="Y174" s="2">
        <v>16.350000000000001</v>
      </c>
      <c r="Z174" s="5" t="s">
        <v>122</v>
      </c>
    </row>
    <row r="175" spans="1:26" s="5" customFormat="1" x14ac:dyDescent="0.25">
      <c r="A175">
        <v>2030199535</v>
      </c>
      <c r="B175" t="s">
        <v>153</v>
      </c>
      <c r="C175" t="s">
        <v>804</v>
      </c>
      <c r="D175" s="5" t="str">
        <f t="shared" si="8"/>
        <v>DAVID HILFIKER</v>
      </c>
      <c r="E175" t="s">
        <v>201</v>
      </c>
      <c r="F175" t="s">
        <v>53</v>
      </c>
      <c r="G175" t="s">
        <v>122</v>
      </c>
      <c r="H175" t="s">
        <v>1081</v>
      </c>
      <c r="I175" t="s">
        <v>191</v>
      </c>
      <c r="J175" t="s">
        <v>192</v>
      </c>
      <c r="K175" t="str">
        <f t="shared" si="6"/>
        <v>JARED KINYUA</v>
      </c>
      <c r="L175" t="s">
        <v>57</v>
      </c>
      <c r="M175" s="1">
        <v>45868</v>
      </c>
      <c r="N175" s="1">
        <v>45991</v>
      </c>
      <c r="O175" s="2">
        <v>22.02</v>
      </c>
      <c r="P175">
        <f t="shared" si="7"/>
        <v>4</v>
      </c>
      <c r="Q175" t="s">
        <v>264</v>
      </c>
      <c r="R175" t="s">
        <v>1086</v>
      </c>
      <c r="S175" t="s">
        <v>58</v>
      </c>
      <c r="T175" s="3">
        <v>0.42</v>
      </c>
      <c r="U175" t="s">
        <v>60</v>
      </c>
      <c r="V175" t="s">
        <v>61</v>
      </c>
      <c r="W175" s="2">
        <v>9.25</v>
      </c>
      <c r="X175" s="2">
        <v>0</v>
      </c>
      <c r="Y175" s="2">
        <v>9.25</v>
      </c>
      <c r="Z175" s="5" t="s">
        <v>122</v>
      </c>
    </row>
    <row r="176" spans="1:26" s="5" customFormat="1" x14ac:dyDescent="0.25">
      <c r="A176">
        <v>2024586357</v>
      </c>
      <c r="B176" t="s">
        <v>655</v>
      </c>
      <c r="C176" t="s">
        <v>387</v>
      </c>
      <c r="D176" s="5" t="str">
        <f t="shared" si="8"/>
        <v>CANNIE QUINCY</v>
      </c>
      <c r="E176" t="s">
        <v>195</v>
      </c>
      <c r="F176" t="s">
        <v>53</v>
      </c>
      <c r="G176" t="s">
        <v>122</v>
      </c>
      <c r="H176">
        <v>17425766</v>
      </c>
      <c r="I176" t="s">
        <v>357</v>
      </c>
      <c r="J176" t="s">
        <v>358</v>
      </c>
      <c r="K176" t="str">
        <f t="shared" si="6"/>
        <v>CAROL FOLEY</v>
      </c>
      <c r="L176" t="s">
        <v>57</v>
      </c>
      <c r="M176" s="1">
        <v>45536</v>
      </c>
      <c r="N176" s="1">
        <v>45992</v>
      </c>
      <c r="O176" s="2">
        <v>25.08</v>
      </c>
      <c r="P176">
        <f t="shared" si="7"/>
        <v>15</v>
      </c>
      <c r="Q176" t="s">
        <v>264</v>
      </c>
      <c r="R176" t="s">
        <v>1086</v>
      </c>
      <c r="S176" t="s">
        <v>58</v>
      </c>
      <c r="T176" s="3">
        <v>0.09</v>
      </c>
      <c r="U176" t="s">
        <v>264</v>
      </c>
      <c r="V176" t="s">
        <v>61</v>
      </c>
      <c r="W176" s="2">
        <v>0</v>
      </c>
      <c r="X176" s="2">
        <v>2.2599999999999998</v>
      </c>
      <c r="Y176" s="2">
        <v>2.2599999999999998</v>
      </c>
      <c r="Z176" s="5" t="s">
        <v>122</v>
      </c>
    </row>
    <row r="177" spans="1:26" s="5" customFormat="1" x14ac:dyDescent="0.25">
      <c r="A177" s="5">
        <v>2031255011</v>
      </c>
      <c r="B177" s="5" t="s">
        <v>253</v>
      </c>
      <c r="C177" s="5" t="s">
        <v>254</v>
      </c>
      <c r="D177" s="5" t="str">
        <f t="shared" si="8"/>
        <v>SALMETE ACE</v>
      </c>
      <c r="E177" s="5" t="s">
        <v>69</v>
      </c>
      <c r="F177" s="5" t="s">
        <v>361</v>
      </c>
      <c r="G177" s="5" t="s">
        <v>430</v>
      </c>
      <c r="H177" s="5">
        <v>19200754</v>
      </c>
      <c r="I177" s="5" t="s">
        <v>228</v>
      </c>
      <c r="J177" s="5" t="s">
        <v>229</v>
      </c>
      <c r="K177" s="5" t="str">
        <f t="shared" si="6"/>
        <v>RICARDO SANTOS</v>
      </c>
      <c r="L177" s="5" t="s">
        <v>57</v>
      </c>
      <c r="M177" s="6">
        <v>45925</v>
      </c>
      <c r="N177" s="6">
        <v>45986</v>
      </c>
      <c r="O177" s="7">
        <v>15</v>
      </c>
      <c r="P177" s="5">
        <f t="shared" si="7"/>
        <v>2</v>
      </c>
      <c r="Q177" s="5" t="s">
        <v>264</v>
      </c>
      <c r="R177" s="5" t="s">
        <v>1085</v>
      </c>
      <c r="S177" s="5" t="s">
        <v>58</v>
      </c>
      <c r="T177" s="8">
        <v>0.38</v>
      </c>
      <c r="U177" s="5" t="s">
        <v>60</v>
      </c>
      <c r="V177" s="5" t="s">
        <v>61</v>
      </c>
      <c r="W177" s="7">
        <v>5.7</v>
      </c>
      <c r="X177" s="7">
        <v>0</v>
      </c>
      <c r="Y177" s="7">
        <v>5.7</v>
      </c>
      <c r="Z177" s="5" t="s">
        <v>430</v>
      </c>
    </row>
    <row r="178" spans="1:26" s="5" customFormat="1" x14ac:dyDescent="0.25">
      <c r="A178" s="5">
        <v>2029620631</v>
      </c>
      <c r="B178" s="5" t="s">
        <v>284</v>
      </c>
      <c r="C178" s="5" t="s">
        <v>705</v>
      </c>
      <c r="D178" s="5" t="str">
        <f t="shared" si="8"/>
        <v>CARLOS CETRE</v>
      </c>
      <c r="E178" s="5" t="s">
        <v>69</v>
      </c>
      <c r="F178" s="5" t="s">
        <v>361</v>
      </c>
      <c r="G178" s="5" t="s">
        <v>430</v>
      </c>
      <c r="H178" s="5">
        <v>7470776</v>
      </c>
      <c r="I178" s="5" t="s">
        <v>74</v>
      </c>
      <c r="J178" s="5" t="s">
        <v>75</v>
      </c>
      <c r="K178" s="5" t="str">
        <f t="shared" si="6"/>
        <v>Andrew Choi</v>
      </c>
      <c r="L178" s="5" t="s">
        <v>57</v>
      </c>
      <c r="M178" s="6">
        <v>45833</v>
      </c>
      <c r="N178" s="6">
        <v>45986</v>
      </c>
      <c r="O178" s="7">
        <v>15</v>
      </c>
      <c r="P178" s="5">
        <f t="shared" si="7"/>
        <v>5</v>
      </c>
      <c r="Q178" s="5" t="s">
        <v>264</v>
      </c>
      <c r="R178" s="5" t="s">
        <v>1085</v>
      </c>
      <c r="S178" s="5" t="s">
        <v>58</v>
      </c>
      <c r="T178" s="8">
        <v>0.38</v>
      </c>
      <c r="U178" s="5" t="s">
        <v>60</v>
      </c>
      <c r="V178" s="5" t="s">
        <v>61</v>
      </c>
      <c r="W178" s="7">
        <v>5.7</v>
      </c>
      <c r="X178" s="7">
        <v>0</v>
      </c>
      <c r="Y178" s="7">
        <v>5.7</v>
      </c>
      <c r="Z178" s="5" t="s">
        <v>430</v>
      </c>
    </row>
    <row r="179" spans="1:26" s="5" customFormat="1" x14ac:dyDescent="0.25">
      <c r="A179" s="5">
        <v>2029623278</v>
      </c>
      <c r="B179" s="5" t="s">
        <v>106</v>
      </c>
      <c r="C179" s="5" t="s">
        <v>706</v>
      </c>
      <c r="D179" s="5" t="str">
        <f t="shared" si="8"/>
        <v>ETHAN KNOEBEL</v>
      </c>
      <c r="E179" s="5" t="s">
        <v>69</v>
      </c>
      <c r="F179" s="5" t="s">
        <v>361</v>
      </c>
      <c r="G179" s="5" t="s">
        <v>430</v>
      </c>
      <c r="H179" s="5">
        <v>7146581</v>
      </c>
      <c r="I179" s="5" t="s">
        <v>159</v>
      </c>
      <c r="J179" s="5" t="s">
        <v>160</v>
      </c>
      <c r="K179" s="5" t="str">
        <f t="shared" si="6"/>
        <v>Anthony Hunsberger</v>
      </c>
      <c r="L179" s="5" t="s">
        <v>57</v>
      </c>
      <c r="M179" s="6">
        <v>45833</v>
      </c>
      <c r="N179" s="6">
        <v>45986</v>
      </c>
      <c r="O179" s="7">
        <v>15</v>
      </c>
      <c r="P179" s="5">
        <f t="shared" si="7"/>
        <v>5</v>
      </c>
      <c r="Q179" s="5" t="s">
        <v>264</v>
      </c>
      <c r="R179" s="5" t="s">
        <v>1085</v>
      </c>
      <c r="S179" s="5" t="s">
        <v>58</v>
      </c>
      <c r="T179" s="8">
        <v>0.38</v>
      </c>
      <c r="U179" s="5" t="s">
        <v>60</v>
      </c>
      <c r="V179" s="5" t="s">
        <v>61</v>
      </c>
      <c r="W179" s="7">
        <v>5.7</v>
      </c>
      <c r="X179" s="7">
        <v>0</v>
      </c>
      <c r="Y179" s="7">
        <v>5.7</v>
      </c>
      <c r="Z179" s="5" t="s">
        <v>430</v>
      </c>
    </row>
    <row r="180" spans="1:26" s="5" customFormat="1" x14ac:dyDescent="0.25">
      <c r="A180" s="5">
        <v>2029056521</v>
      </c>
      <c r="B180" s="5" t="s">
        <v>699</v>
      </c>
      <c r="C180" s="5" t="s">
        <v>700</v>
      </c>
      <c r="D180" s="5" t="str">
        <f t="shared" si="8"/>
        <v>WALENGA DALE</v>
      </c>
      <c r="E180" s="5" t="s">
        <v>69</v>
      </c>
      <c r="F180" s="5" t="s">
        <v>361</v>
      </c>
      <c r="G180" s="5" t="s">
        <v>430</v>
      </c>
      <c r="H180" s="5">
        <v>8325282</v>
      </c>
      <c r="I180" s="5" t="s">
        <v>447</v>
      </c>
      <c r="J180" s="5" t="s">
        <v>448</v>
      </c>
      <c r="K180" s="5" t="str">
        <f t="shared" si="6"/>
        <v>Dale Walenga</v>
      </c>
      <c r="L180" s="5" t="s">
        <v>57</v>
      </c>
      <c r="M180" s="6">
        <v>45809</v>
      </c>
      <c r="N180" s="6">
        <v>45992</v>
      </c>
      <c r="O180" s="7">
        <v>15</v>
      </c>
      <c r="P180" s="5">
        <f t="shared" si="7"/>
        <v>6</v>
      </c>
      <c r="Q180" s="5" t="s">
        <v>264</v>
      </c>
      <c r="R180" s="5" t="s">
        <v>1086</v>
      </c>
      <c r="S180" s="5" t="s">
        <v>58</v>
      </c>
      <c r="T180" s="8">
        <v>0.38</v>
      </c>
      <c r="U180" s="5" t="s">
        <v>60</v>
      </c>
      <c r="V180" s="5" t="s">
        <v>61</v>
      </c>
      <c r="W180" s="7">
        <v>5.7</v>
      </c>
      <c r="X180" s="7">
        <v>0</v>
      </c>
      <c r="Y180" s="7">
        <v>5.7</v>
      </c>
      <c r="Z180" s="5" t="s">
        <v>430</v>
      </c>
    </row>
    <row r="181" spans="1:26" s="5" customFormat="1" x14ac:dyDescent="0.25">
      <c r="A181">
        <v>2030625306</v>
      </c>
      <c r="B181" t="s">
        <v>161</v>
      </c>
      <c r="C181" t="s">
        <v>162</v>
      </c>
      <c r="D181" s="5" t="str">
        <f t="shared" si="8"/>
        <v>BRAXTON HART</v>
      </c>
      <c r="E181" t="s">
        <v>69</v>
      </c>
      <c r="F181" t="s">
        <v>361</v>
      </c>
      <c r="G181" t="s">
        <v>430</v>
      </c>
      <c r="H181">
        <v>16228684</v>
      </c>
      <c r="I181" t="s">
        <v>141</v>
      </c>
      <c r="J181" t="s">
        <v>142</v>
      </c>
      <c r="K181" t="str">
        <f t="shared" si="6"/>
        <v>Jason Roller</v>
      </c>
      <c r="L181" t="s">
        <v>57</v>
      </c>
      <c r="M181" s="1">
        <v>45901</v>
      </c>
      <c r="N181" s="1">
        <v>45992</v>
      </c>
      <c r="O181" s="2">
        <v>15</v>
      </c>
      <c r="P181">
        <f t="shared" si="7"/>
        <v>3</v>
      </c>
      <c r="Q181" t="s">
        <v>264</v>
      </c>
      <c r="R181" t="s">
        <v>1086</v>
      </c>
      <c r="S181" t="s">
        <v>58</v>
      </c>
      <c r="T181" s="3">
        <v>0.38</v>
      </c>
      <c r="U181" t="s">
        <v>60</v>
      </c>
      <c r="V181" t="s">
        <v>61</v>
      </c>
      <c r="W181" s="2">
        <v>5.7</v>
      </c>
      <c r="X181" s="2">
        <v>0</v>
      </c>
      <c r="Y181" s="2">
        <v>5.7</v>
      </c>
      <c r="Z181" s="5" t="s">
        <v>430</v>
      </c>
    </row>
    <row r="182" spans="1:26" s="5" customFormat="1" x14ac:dyDescent="0.25">
      <c r="A182">
        <v>2027348182</v>
      </c>
      <c r="B182" t="s">
        <v>605</v>
      </c>
      <c r="C182" t="s">
        <v>543</v>
      </c>
      <c r="D182" s="5" t="str">
        <f t="shared" si="8"/>
        <v>DUARTE AMY</v>
      </c>
      <c r="E182" t="s">
        <v>69</v>
      </c>
      <c r="F182" t="s">
        <v>361</v>
      </c>
      <c r="G182" t="s">
        <v>430</v>
      </c>
      <c r="H182">
        <v>8977234</v>
      </c>
      <c r="I182" t="s">
        <v>55</v>
      </c>
      <c r="J182" t="s">
        <v>56</v>
      </c>
      <c r="K182" t="str">
        <f t="shared" si="6"/>
        <v>RYAN CALTAGIRONE</v>
      </c>
      <c r="L182" t="s">
        <v>57</v>
      </c>
      <c r="M182" s="1">
        <v>45716</v>
      </c>
      <c r="N182" s="1">
        <v>45989</v>
      </c>
      <c r="O182" s="2">
        <v>15</v>
      </c>
      <c r="P182">
        <f t="shared" si="7"/>
        <v>9</v>
      </c>
      <c r="Q182" t="s">
        <v>264</v>
      </c>
      <c r="R182" t="s">
        <v>1086</v>
      </c>
      <c r="S182" t="s">
        <v>58</v>
      </c>
      <c r="T182" s="3">
        <v>0.38</v>
      </c>
      <c r="U182" t="s">
        <v>60</v>
      </c>
      <c r="V182" t="s">
        <v>61</v>
      </c>
      <c r="W182" s="2">
        <v>0</v>
      </c>
      <c r="X182" s="2">
        <v>5.7</v>
      </c>
      <c r="Y182" s="2">
        <v>5.7</v>
      </c>
      <c r="Z182" s="5" t="s">
        <v>430</v>
      </c>
    </row>
    <row r="183" spans="1:26" s="5" customFormat="1" x14ac:dyDescent="0.25">
      <c r="A183">
        <v>2017472584</v>
      </c>
      <c r="B183" t="s">
        <v>814</v>
      </c>
      <c r="C183" t="s">
        <v>815</v>
      </c>
      <c r="D183" s="5" t="str">
        <f t="shared" si="8"/>
        <v>WILLER MARK</v>
      </c>
      <c r="E183" t="s">
        <v>69</v>
      </c>
      <c r="F183" t="s">
        <v>361</v>
      </c>
      <c r="G183" t="s">
        <v>816</v>
      </c>
      <c r="H183">
        <v>20436896</v>
      </c>
      <c r="I183" t="s">
        <v>55</v>
      </c>
      <c r="J183" t="s">
        <v>566</v>
      </c>
      <c r="K183" t="str">
        <f t="shared" si="6"/>
        <v>KATELENN CALTAGIRONE</v>
      </c>
      <c r="L183" t="s">
        <v>57</v>
      </c>
      <c r="M183" s="1">
        <v>44954</v>
      </c>
      <c r="N183" s="1">
        <v>45989</v>
      </c>
      <c r="O183" s="2">
        <v>15</v>
      </c>
      <c r="P183">
        <f t="shared" si="7"/>
        <v>34</v>
      </c>
      <c r="Q183" t="s">
        <v>264</v>
      </c>
      <c r="R183" t="s">
        <v>1086</v>
      </c>
      <c r="S183" t="s">
        <v>58</v>
      </c>
      <c r="T183" s="3">
        <v>0.28999999999999998</v>
      </c>
      <c r="U183" t="s">
        <v>264</v>
      </c>
      <c r="V183" t="s">
        <v>61</v>
      </c>
      <c r="W183" s="2">
        <v>0</v>
      </c>
      <c r="X183" s="2">
        <v>4.3499999999999996</v>
      </c>
      <c r="Y183" s="2">
        <v>4.3499999999999996</v>
      </c>
      <c r="Z183" t="s">
        <v>1092</v>
      </c>
    </row>
    <row r="184" spans="1:26" s="5" customFormat="1" x14ac:dyDescent="0.25">
      <c r="A184">
        <v>2030674188</v>
      </c>
      <c r="B184" t="s">
        <v>301</v>
      </c>
      <c r="C184" t="s">
        <v>302</v>
      </c>
      <c r="D184" s="5" t="str">
        <f t="shared" si="8"/>
        <v>ERIC BAKER</v>
      </c>
      <c r="E184" t="s">
        <v>129</v>
      </c>
      <c r="F184" t="s">
        <v>361</v>
      </c>
      <c r="G184" t="s">
        <v>817</v>
      </c>
      <c r="H184">
        <v>21564088</v>
      </c>
      <c r="I184" t="s">
        <v>130</v>
      </c>
      <c r="J184" t="s">
        <v>131</v>
      </c>
      <c r="K184" t="str">
        <f t="shared" si="6"/>
        <v>Jennifer Halsaver</v>
      </c>
      <c r="L184" t="s">
        <v>57</v>
      </c>
      <c r="M184" s="1">
        <v>45901</v>
      </c>
      <c r="N184" s="1">
        <v>45992</v>
      </c>
      <c r="O184" s="2">
        <v>15</v>
      </c>
      <c r="P184">
        <f t="shared" si="7"/>
        <v>3</v>
      </c>
      <c r="Q184" t="s">
        <v>264</v>
      </c>
      <c r="R184" t="s">
        <v>1086</v>
      </c>
      <c r="S184" t="s">
        <v>58</v>
      </c>
      <c r="T184" s="3">
        <v>0.19</v>
      </c>
      <c r="U184" t="s">
        <v>60</v>
      </c>
      <c r="V184" t="s">
        <v>61</v>
      </c>
      <c r="W184" s="2">
        <v>2.85</v>
      </c>
      <c r="X184" s="2">
        <v>0</v>
      </c>
      <c r="Y184" s="2">
        <v>2.85</v>
      </c>
      <c r="Z184" t="s">
        <v>817</v>
      </c>
    </row>
    <row r="185" spans="1:26" s="5" customFormat="1" x14ac:dyDescent="0.25">
      <c r="A185">
        <v>2030694349</v>
      </c>
      <c r="B185" t="s">
        <v>186</v>
      </c>
      <c r="C185" t="s">
        <v>187</v>
      </c>
      <c r="D185" s="5" t="str">
        <f t="shared" si="8"/>
        <v>ALEXANDRA FRASER</v>
      </c>
      <c r="E185" t="s">
        <v>129</v>
      </c>
      <c r="F185" t="s">
        <v>361</v>
      </c>
      <c r="G185" t="s">
        <v>817</v>
      </c>
      <c r="H185">
        <v>21564088</v>
      </c>
      <c r="I185" t="s">
        <v>130</v>
      </c>
      <c r="J185" t="s">
        <v>131</v>
      </c>
      <c r="K185" t="str">
        <f t="shared" si="6"/>
        <v>Jennifer Halsaver</v>
      </c>
      <c r="L185" t="s">
        <v>57</v>
      </c>
      <c r="M185" s="1">
        <v>45901</v>
      </c>
      <c r="N185" s="1">
        <v>45992</v>
      </c>
      <c r="O185" s="2">
        <v>15</v>
      </c>
      <c r="P185">
        <f t="shared" si="7"/>
        <v>3</v>
      </c>
      <c r="Q185" t="s">
        <v>264</v>
      </c>
      <c r="R185" t="s">
        <v>1086</v>
      </c>
      <c r="S185" t="s">
        <v>58</v>
      </c>
      <c r="T185" s="3">
        <v>0.19</v>
      </c>
      <c r="U185" t="s">
        <v>60</v>
      </c>
      <c r="V185" t="s">
        <v>61</v>
      </c>
      <c r="W185" s="2">
        <v>2.85</v>
      </c>
      <c r="X185" s="2">
        <v>0</v>
      </c>
      <c r="Y185" s="2">
        <v>2.85</v>
      </c>
      <c r="Z185" t="s">
        <v>817</v>
      </c>
    </row>
    <row r="186" spans="1:26" s="5" customFormat="1" x14ac:dyDescent="0.25">
      <c r="A186">
        <v>2030762532</v>
      </c>
      <c r="B186" t="s">
        <v>209</v>
      </c>
      <c r="C186" t="s">
        <v>210</v>
      </c>
      <c r="D186" s="5" t="str">
        <f t="shared" si="8"/>
        <v>PHILLIP III</v>
      </c>
      <c r="E186" t="s">
        <v>129</v>
      </c>
      <c r="F186" t="s">
        <v>361</v>
      </c>
      <c r="G186" t="s">
        <v>817</v>
      </c>
      <c r="H186">
        <v>18142208</v>
      </c>
      <c r="I186" t="s">
        <v>211</v>
      </c>
      <c r="J186" t="s">
        <v>212</v>
      </c>
      <c r="K186" t="str">
        <f t="shared" si="6"/>
        <v>Jill Shepard</v>
      </c>
      <c r="L186" t="s">
        <v>57</v>
      </c>
      <c r="M186" s="1">
        <v>45899</v>
      </c>
      <c r="N186" s="1">
        <v>45991</v>
      </c>
      <c r="O186" s="2">
        <v>15</v>
      </c>
      <c r="P186">
        <f t="shared" si="7"/>
        <v>3</v>
      </c>
      <c r="Q186" t="s">
        <v>264</v>
      </c>
      <c r="R186" t="s">
        <v>1086</v>
      </c>
      <c r="S186" t="s">
        <v>58</v>
      </c>
      <c r="T186" s="3">
        <v>0.19</v>
      </c>
      <c r="U186" t="s">
        <v>60</v>
      </c>
      <c r="V186" t="s">
        <v>61</v>
      </c>
      <c r="W186" s="2">
        <v>2.85</v>
      </c>
      <c r="X186" s="2">
        <v>0</v>
      </c>
      <c r="Y186" s="2">
        <v>2.85</v>
      </c>
      <c r="Z186" t="s">
        <v>817</v>
      </c>
    </row>
    <row r="187" spans="1:26" s="5" customFormat="1" x14ac:dyDescent="0.25">
      <c r="A187">
        <v>2023882013</v>
      </c>
      <c r="B187" t="s">
        <v>267</v>
      </c>
      <c r="C187" t="s">
        <v>268</v>
      </c>
      <c r="D187" s="5" t="str">
        <f t="shared" si="8"/>
        <v>DEBORD JULIE</v>
      </c>
      <c r="E187" t="s">
        <v>129</v>
      </c>
      <c r="F187" t="s">
        <v>361</v>
      </c>
      <c r="G187" t="s">
        <v>817</v>
      </c>
      <c r="H187">
        <v>8977234</v>
      </c>
      <c r="I187" t="s">
        <v>55</v>
      </c>
      <c r="J187" t="s">
        <v>56</v>
      </c>
      <c r="K187" t="str">
        <f t="shared" si="6"/>
        <v>RYAN CALTAGIRONE</v>
      </c>
      <c r="L187" t="s">
        <v>57</v>
      </c>
      <c r="M187" s="1">
        <v>45657</v>
      </c>
      <c r="N187" s="1">
        <v>45991</v>
      </c>
      <c r="O187" s="2">
        <v>15</v>
      </c>
      <c r="P187">
        <f t="shared" si="7"/>
        <v>10</v>
      </c>
      <c r="Q187" t="s">
        <v>264</v>
      </c>
      <c r="R187" t="s">
        <v>1086</v>
      </c>
      <c r="S187" t="s">
        <v>58</v>
      </c>
      <c r="T187" s="3">
        <v>0.19</v>
      </c>
      <c r="U187" t="s">
        <v>60</v>
      </c>
      <c r="V187" t="s">
        <v>61</v>
      </c>
      <c r="W187" s="2">
        <v>0</v>
      </c>
      <c r="X187" s="2">
        <v>2.85</v>
      </c>
      <c r="Y187" s="2">
        <v>2.85</v>
      </c>
      <c r="Z187" t="s">
        <v>817</v>
      </c>
    </row>
    <row r="188" spans="1:26" s="5" customFormat="1" x14ac:dyDescent="0.25">
      <c r="A188">
        <v>2023980079</v>
      </c>
      <c r="B188" t="s">
        <v>277</v>
      </c>
      <c r="C188" t="s">
        <v>278</v>
      </c>
      <c r="D188" s="5" t="str">
        <f t="shared" si="8"/>
        <v>MAURER DAWN</v>
      </c>
      <c r="E188" t="s">
        <v>129</v>
      </c>
      <c r="F188" t="s">
        <v>361</v>
      </c>
      <c r="G188" t="s">
        <v>817</v>
      </c>
      <c r="H188">
        <v>8977234</v>
      </c>
      <c r="I188" t="s">
        <v>55</v>
      </c>
      <c r="J188" t="s">
        <v>56</v>
      </c>
      <c r="K188" t="str">
        <f t="shared" si="6"/>
        <v>RYAN CALTAGIRONE</v>
      </c>
      <c r="L188" t="s">
        <v>57</v>
      </c>
      <c r="M188" s="1">
        <v>45657</v>
      </c>
      <c r="N188" s="1">
        <v>45991</v>
      </c>
      <c r="O188" s="2">
        <v>15</v>
      </c>
      <c r="P188">
        <f t="shared" si="7"/>
        <v>10</v>
      </c>
      <c r="Q188" t="s">
        <v>264</v>
      </c>
      <c r="R188" t="s">
        <v>1086</v>
      </c>
      <c r="S188" t="s">
        <v>58</v>
      </c>
      <c r="T188" s="3">
        <v>0.19</v>
      </c>
      <c r="U188" t="s">
        <v>60</v>
      </c>
      <c r="V188" t="s">
        <v>61</v>
      </c>
      <c r="W188" s="2">
        <v>0</v>
      </c>
      <c r="X188" s="2">
        <v>2.85</v>
      </c>
      <c r="Y188" s="2">
        <v>2.85</v>
      </c>
      <c r="Z188" t="s">
        <v>817</v>
      </c>
    </row>
    <row r="189" spans="1:26" s="5" customFormat="1" x14ac:dyDescent="0.25">
      <c r="A189">
        <v>2030801812</v>
      </c>
      <c r="B189" t="s">
        <v>232</v>
      </c>
      <c r="C189" t="s">
        <v>233</v>
      </c>
      <c r="D189" s="5" t="str">
        <f t="shared" si="8"/>
        <v>TIMOTHY CHAPMAN</v>
      </c>
      <c r="E189" t="s">
        <v>234</v>
      </c>
      <c r="F189" t="s">
        <v>361</v>
      </c>
      <c r="G189" t="s">
        <v>820</v>
      </c>
      <c r="H189">
        <v>9079571</v>
      </c>
      <c r="I189" t="s">
        <v>155</v>
      </c>
      <c r="J189" t="s">
        <v>156</v>
      </c>
      <c r="K189" t="str">
        <f t="shared" si="6"/>
        <v>ADAM RICHTER</v>
      </c>
      <c r="L189" t="s">
        <v>57</v>
      </c>
      <c r="M189" s="1">
        <v>45901</v>
      </c>
      <c r="N189" s="1">
        <v>45992</v>
      </c>
      <c r="O189" s="2">
        <v>23.05</v>
      </c>
      <c r="P189">
        <f t="shared" si="7"/>
        <v>3</v>
      </c>
      <c r="Q189" t="s">
        <v>264</v>
      </c>
      <c r="R189" t="s">
        <v>1086</v>
      </c>
      <c r="S189" t="s">
        <v>58</v>
      </c>
      <c r="T189" s="3">
        <v>0.6</v>
      </c>
      <c r="U189" t="s">
        <v>60</v>
      </c>
      <c r="V189" t="s">
        <v>61</v>
      </c>
      <c r="W189" s="2">
        <v>13.83</v>
      </c>
      <c r="X189" s="2">
        <v>0</v>
      </c>
      <c r="Y189" s="2">
        <v>13.83</v>
      </c>
      <c r="Z189" t="s">
        <v>405</v>
      </c>
    </row>
    <row r="190" spans="1:26" s="5" customFormat="1" x14ac:dyDescent="0.25">
      <c r="A190" s="5">
        <v>2028899054</v>
      </c>
      <c r="B190" s="5" t="s">
        <v>691</v>
      </c>
      <c r="C190" s="5" t="s">
        <v>692</v>
      </c>
      <c r="D190" s="5" t="str">
        <f t="shared" si="8"/>
        <v>MACTAVISH MADISON</v>
      </c>
      <c r="E190" s="5" t="s">
        <v>69</v>
      </c>
      <c r="F190" s="5" t="s">
        <v>361</v>
      </c>
      <c r="G190" s="5" t="s">
        <v>362</v>
      </c>
      <c r="H190" s="5">
        <v>8325282</v>
      </c>
      <c r="I190" s="5" t="s">
        <v>447</v>
      </c>
      <c r="J190" s="5" t="s">
        <v>448</v>
      </c>
      <c r="K190" s="5" t="str">
        <f t="shared" si="6"/>
        <v>Dale Walenga</v>
      </c>
      <c r="L190" s="5" t="s">
        <v>57</v>
      </c>
      <c r="M190" s="6">
        <v>45809</v>
      </c>
      <c r="N190" s="6">
        <v>45992</v>
      </c>
      <c r="O190" s="7">
        <v>15</v>
      </c>
      <c r="P190" s="5">
        <f t="shared" si="7"/>
        <v>6</v>
      </c>
      <c r="Q190" s="5" t="s">
        <v>264</v>
      </c>
      <c r="R190" s="5" t="s">
        <v>1086</v>
      </c>
      <c r="S190" s="5" t="s">
        <v>58</v>
      </c>
      <c r="T190" s="8">
        <v>0.38</v>
      </c>
      <c r="U190" s="5" t="s">
        <v>60</v>
      </c>
      <c r="V190" s="5" t="s">
        <v>61</v>
      </c>
      <c r="W190" s="7">
        <v>5.7</v>
      </c>
      <c r="X190" s="7">
        <v>0</v>
      </c>
      <c r="Y190" s="7">
        <v>5.7</v>
      </c>
      <c r="Z190" s="5" t="s">
        <v>362</v>
      </c>
    </row>
    <row r="191" spans="1:26" s="5" customFormat="1" x14ac:dyDescent="0.25">
      <c r="A191" s="5">
        <v>2029145087</v>
      </c>
      <c r="B191" s="5" t="s">
        <v>703</v>
      </c>
      <c r="C191" s="5" t="s">
        <v>704</v>
      </c>
      <c r="D191" s="5" t="str">
        <f t="shared" si="8"/>
        <v>O'REILLY JUDITH</v>
      </c>
      <c r="E191" s="5" t="s">
        <v>69</v>
      </c>
      <c r="F191" s="5" t="s">
        <v>361</v>
      </c>
      <c r="G191" s="5" t="s">
        <v>362</v>
      </c>
      <c r="H191" s="5">
        <v>17094718</v>
      </c>
      <c r="I191" s="5" t="s">
        <v>335</v>
      </c>
      <c r="J191" s="5" t="s">
        <v>336</v>
      </c>
      <c r="K191" s="5" t="str">
        <f t="shared" si="6"/>
        <v>GREGORY HANSFORD</v>
      </c>
      <c r="L191" s="5" t="s">
        <v>57</v>
      </c>
      <c r="M191" s="6">
        <v>45805</v>
      </c>
      <c r="N191" s="6">
        <v>45989</v>
      </c>
      <c r="O191" s="7">
        <v>15</v>
      </c>
      <c r="P191" s="5">
        <f t="shared" si="7"/>
        <v>6</v>
      </c>
      <c r="Q191" s="5" t="s">
        <v>264</v>
      </c>
      <c r="R191" s="5" t="s">
        <v>1086</v>
      </c>
      <c r="S191" s="5" t="s">
        <v>58</v>
      </c>
      <c r="T191" s="8">
        <v>0.38</v>
      </c>
      <c r="U191" s="5" t="s">
        <v>60</v>
      </c>
      <c r="V191" s="5" t="s">
        <v>61</v>
      </c>
      <c r="W191" s="7">
        <v>5.7</v>
      </c>
      <c r="X191" s="7">
        <v>0</v>
      </c>
      <c r="Y191" s="7">
        <v>5.7</v>
      </c>
      <c r="Z191" s="5" t="s">
        <v>362</v>
      </c>
    </row>
    <row r="192" spans="1:26" s="5" customFormat="1" x14ac:dyDescent="0.25">
      <c r="A192" s="5">
        <v>2029037970</v>
      </c>
      <c r="B192" s="5" t="s">
        <v>695</v>
      </c>
      <c r="C192" s="5" t="s">
        <v>99</v>
      </c>
      <c r="D192" s="5" t="str">
        <f t="shared" si="8"/>
        <v>KIRSCH TINA</v>
      </c>
      <c r="E192" s="5" t="s">
        <v>696</v>
      </c>
      <c r="F192" s="5" t="s">
        <v>361</v>
      </c>
      <c r="G192" s="5" t="s">
        <v>362</v>
      </c>
      <c r="H192" s="5">
        <v>19617796</v>
      </c>
      <c r="I192" s="5" t="s">
        <v>697</v>
      </c>
      <c r="J192" s="5" t="s">
        <v>698</v>
      </c>
      <c r="K192" s="5" t="str">
        <f t="shared" si="6"/>
        <v>Heidi Berthelsen</v>
      </c>
      <c r="L192" s="5" t="s">
        <v>57</v>
      </c>
      <c r="M192" s="6">
        <v>45809</v>
      </c>
      <c r="N192" s="6">
        <v>45992</v>
      </c>
      <c r="O192" s="7">
        <v>15</v>
      </c>
      <c r="P192" s="5">
        <f t="shared" si="7"/>
        <v>6</v>
      </c>
      <c r="Q192" s="5" t="s">
        <v>264</v>
      </c>
      <c r="R192" s="5" t="s">
        <v>1086</v>
      </c>
      <c r="S192" s="5" t="s">
        <v>58</v>
      </c>
      <c r="T192" s="8">
        <v>0.38</v>
      </c>
      <c r="U192" s="5" t="s">
        <v>60</v>
      </c>
      <c r="V192" s="5" t="s">
        <v>61</v>
      </c>
      <c r="W192" s="7">
        <v>5.7</v>
      </c>
      <c r="X192" s="7">
        <v>0</v>
      </c>
      <c r="Y192" s="7">
        <v>5.7</v>
      </c>
      <c r="Z192" s="5" t="s">
        <v>362</v>
      </c>
    </row>
    <row r="193" spans="1:26" s="5" customFormat="1" x14ac:dyDescent="0.25">
      <c r="A193">
        <v>2030439492</v>
      </c>
      <c r="B193" t="s">
        <v>84</v>
      </c>
      <c r="C193" t="s">
        <v>85</v>
      </c>
      <c r="D193" s="5" t="str">
        <f t="shared" si="8"/>
        <v>NATALIE FILIPPO</v>
      </c>
      <c r="E193" t="s">
        <v>69</v>
      </c>
      <c r="F193" t="s">
        <v>361</v>
      </c>
      <c r="G193" t="s">
        <v>362</v>
      </c>
      <c r="H193">
        <v>8977234</v>
      </c>
      <c r="I193" t="s">
        <v>55</v>
      </c>
      <c r="J193" t="s">
        <v>56</v>
      </c>
      <c r="K193" t="str">
        <f t="shared" si="6"/>
        <v>RYAN CALTAGIRONE</v>
      </c>
      <c r="L193" t="s">
        <v>57</v>
      </c>
      <c r="M193" s="1">
        <v>45901</v>
      </c>
      <c r="N193" s="1">
        <v>45992</v>
      </c>
      <c r="O193" s="2">
        <v>15</v>
      </c>
      <c r="P193">
        <f t="shared" si="7"/>
        <v>3</v>
      </c>
      <c r="Q193" t="s">
        <v>264</v>
      </c>
      <c r="R193" t="s">
        <v>1086</v>
      </c>
      <c r="S193" t="s">
        <v>58</v>
      </c>
      <c r="T193" s="3">
        <v>0.38</v>
      </c>
      <c r="U193" t="s">
        <v>60</v>
      </c>
      <c r="V193" t="s">
        <v>61</v>
      </c>
      <c r="W193" s="2">
        <v>5.7</v>
      </c>
      <c r="X193" s="2">
        <v>0</v>
      </c>
      <c r="Y193" s="2">
        <v>5.7</v>
      </c>
      <c r="Z193" s="5" t="s">
        <v>362</v>
      </c>
    </row>
    <row r="194" spans="1:26" s="5" customFormat="1" x14ac:dyDescent="0.25">
      <c r="A194">
        <v>2030627973</v>
      </c>
      <c r="B194" t="s">
        <v>707</v>
      </c>
      <c r="C194" t="s">
        <v>708</v>
      </c>
      <c r="D194" s="5" t="str">
        <f t="shared" si="8"/>
        <v>MARTINA TOUHEY</v>
      </c>
      <c r="E194" t="s">
        <v>195</v>
      </c>
      <c r="F194" t="s">
        <v>361</v>
      </c>
      <c r="G194" t="s">
        <v>362</v>
      </c>
      <c r="H194">
        <v>15950276</v>
      </c>
      <c r="I194" t="s">
        <v>196</v>
      </c>
      <c r="J194" t="s">
        <v>197</v>
      </c>
      <c r="K194" t="str">
        <f t="shared" ref="K194:K257" si="9">CONCATENATE(J194, " ",I194)</f>
        <v>Ryan Stocker</v>
      </c>
      <c r="L194" t="s">
        <v>57</v>
      </c>
      <c r="M194" s="1">
        <v>45901</v>
      </c>
      <c r="N194" s="1">
        <v>45992</v>
      </c>
      <c r="O194" s="2">
        <v>15</v>
      </c>
      <c r="P194">
        <f t="shared" ref="P194:P257" si="10">DATEDIF(M194,N194,"M")</f>
        <v>3</v>
      </c>
      <c r="Q194" t="s">
        <v>264</v>
      </c>
      <c r="R194" t="s">
        <v>1086</v>
      </c>
      <c r="S194" t="s">
        <v>58</v>
      </c>
      <c r="T194" s="3">
        <v>0.38</v>
      </c>
      <c r="U194" t="s">
        <v>60</v>
      </c>
      <c r="V194" t="s">
        <v>61</v>
      </c>
      <c r="W194" s="2">
        <v>5.7</v>
      </c>
      <c r="X194" s="2">
        <v>0</v>
      </c>
      <c r="Y194" s="2">
        <v>5.7</v>
      </c>
      <c r="Z194" s="5" t="s">
        <v>362</v>
      </c>
    </row>
    <row r="195" spans="1:26" s="5" customFormat="1" x14ac:dyDescent="0.25">
      <c r="A195">
        <v>2029138758</v>
      </c>
      <c r="B195" t="s">
        <v>701</v>
      </c>
      <c r="C195" t="s">
        <v>702</v>
      </c>
      <c r="D195" s="5" t="str">
        <f t="shared" ref="D195:D258" si="11">CONCATENATE(B195, " ",C195)</f>
        <v>STOVER EDWARD</v>
      </c>
      <c r="E195" t="s">
        <v>287</v>
      </c>
      <c r="F195" t="s">
        <v>361</v>
      </c>
      <c r="G195" t="s">
        <v>362</v>
      </c>
      <c r="H195">
        <v>17425766</v>
      </c>
      <c r="I195" t="s">
        <v>357</v>
      </c>
      <c r="J195" t="s">
        <v>358</v>
      </c>
      <c r="K195" t="str">
        <f t="shared" si="9"/>
        <v>CAROL FOLEY</v>
      </c>
      <c r="L195" t="s">
        <v>57</v>
      </c>
      <c r="M195" s="1">
        <v>45809</v>
      </c>
      <c r="N195" s="1">
        <v>45992</v>
      </c>
      <c r="O195" s="2">
        <v>15</v>
      </c>
      <c r="P195">
        <f t="shared" si="10"/>
        <v>6</v>
      </c>
      <c r="Q195" t="s">
        <v>264</v>
      </c>
      <c r="R195" t="s">
        <v>1086</v>
      </c>
      <c r="S195" t="s">
        <v>58</v>
      </c>
      <c r="T195" s="3">
        <v>0.38</v>
      </c>
      <c r="U195" t="s">
        <v>60</v>
      </c>
      <c r="V195" t="s">
        <v>61</v>
      </c>
      <c r="W195" s="2">
        <v>5.7</v>
      </c>
      <c r="X195" s="2">
        <v>0</v>
      </c>
      <c r="Y195" s="2">
        <v>5.7</v>
      </c>
      <c r="Z195" s="5" t="s">
        <v>362</v>
      </c>
    </row>
    <row r="196" spans="1:26" s="5" customFormat="1" x14ac:dyDescent="0.25">
      <c r="A196">
        <v>2026805534</v>
      </c>
      <c r="B196" t="s">
        <v>680</v>
      </c>
      <c r="C196" t="s">
        <v>681</v>
      </c>
      <c r="D196" s="5" t="str">
        <f t="shared" si="11"/>
        <v>MITCHELL CLEON</v>
      </c>
      <c r="E196" t="s">
        <v>165</v>
      </c>
      <c r="F196" t="s">
        <v>361</v>
      </c>
      <c r="G196" t="s">
        <v>362</v>
      </c>
      <c r="H196">
        <v>17425766</v>
      </c>
      <c r="I196" t="s">
        <v>357</v>
      </c>
      <c r="J196" t="s">
        <v>358</v>
      </c>
      <c r="K196" t="str">
        <f t="shared" si="9"/>
        <v>CAROL FOLEY</v>
      </c>
      <c r="L196" t="s">
        <v>57</v>
      </c>
      <c r="M196" s="1">
        <v>45689</v>
      </c>
      <c r="N196" s="1">
        <v>45992</v>
      </c>
      <c r="O196" s="2">
        <v>15</v>
      </c>
      <c r="P196">
        <f t="shared" si="10"/>
        <v>10</v>
      </c>
      <c r="Q196" t="s">
        <v>264</v>
      </c>
      <c r="R196" t="s">
        <v>1086</v>
      </c>
      <c r="S196" t="s">
        <v>58</v>
      </c>
      <c r="T196" s="3">
        <v>0.38</v>
      </c>
      <c r="U196" t="s">
        <v>60</v>
      </c>
      <c r="V196" t="s">
        <v>61</v>
      </c>
      <c r="W196" s="2">
        <v>0</v>
      </c>
      <c r="X196" s="2">
        <v>5.7</v>
      </c>
      <c r="Y196" s="2">
        <v>5.7</v>
      </c>
      <c r="Z196" s="5" t="s">
        <v>362</v>
      </c>
    </row>
    <row r="197" spans="1:26" s="5" customFormat="1" x14ac:dyDescent="0.25">
      <c r="A197">
        <v>2026812263</v>
      </c>
      <c r="B197" t="s">
        <v>682</v>
      </c>
      <c r="C197" t="s">
        <v>177</v>
      </c>
      <c r="D197" s="5" t="str">
        <f t="shared" si="11"/>
        <v>HEVELONE JODI</v>
      </c>
      <c r="E197" t="s">
        <v>559</v>
      </c>
      <c r="F197" t="s">
        <v>361</v>
      </c>
      <c r="G197" t="s">
        <v>362</v>
      </c>
      <c r="H197">
        <v>17425766</v>
      </c>
      <c r="I197" t="s">
        <v>357</v>
      </c>
      <c r="J197" t="s">
        <v>358</v>
      </c>
      <c r="K197" t="str">
        <f t="shared" si="9"/>
        <v>CAROL FOLEY</v>
      </c>
      <c r="L197" t="s">
        <v>57</v>
      </c>
      <c r="M197" s="1">
        <v>45689</v>
      </c>
      <c r="N197" s="1">
        <v>45992</v>
      </c>
      <c r="O197" s="2">
        <v>15</v>
      </c>
      <c r="P197">
        <f t="shared" si="10"/>
        <v>10</v>
      </c>
      <c r="Q197" t="s">
        <v>264</v>
      </c>
      <c r="R197" t="s">
        <v>1086</v>
      </c>
      <c r="S197" t="s">
        <v>58</v>
      </c>
      <c r="T197" s="3">
        <v>0.38</v>
      </c>
      <c r="U197" t="s">
        <v>60</v>
      </c>
      <c r="V197" t="s">
        <v>61</v>
      </c>
      <c r="W197" s="2">
        <v>0</v>
      </c>
      <c r="X197" s="2">
        <v>5.7</v>
      </c>
      <c r="Y197" s="2">
        <v>5.7</v>
      </c>
      <c r="Z197" s="5" t="s">
        <v>362</v>
      </c>
    </row>
    <row r="198" spans="1:26" s="5" customFormat="1" x14ac:dyDescent="0.25">
      <c r="A198">
        <v>2025967189</v>
      </c>
      <c r="B198" t="s">
        <v>547</v>
      </c>
      <c r="C198" t="s">
        <v>676</v>
      </c>
      <c r="D198" s="5" t="str">
        <f t="shared" si="11"/>
        <v>BROOKS JUWAN</v>
      </c>
      <c r="E198" t="s">
        <v>234</v>
      </c>
      <c r="F198" t="s">
        <v>361</v>
      </c>
      <c r="G198" t="s">
        <v>362</v>
      </c>
      <c r="H198" t="s">
        <v>1081</v>
      </c>
      <c r="I198" t="s">
        <v>191</v>
      </c>
      <c r="J198" t="s">
        <v>192</v>
      </c>
      <c r="K198" t="str">
        <f t="shared" si="9"/>
        <v>JARED KINYUA</v>
      </c>
      <c r="L198" t="s">
        <v>57</v>
      </c>
      <c r="M198" s="1">
        <v>45626</v>
      </c>
      <c r="N198" s="1">
        <v>45991</v>
      </c>
      <c r="O198" s="2">
        <v>15</v>
      </c>
      <c r="P198">
        <f t="shared" si="10"/>
        <v>12</v>
      </c>
      <c r="Q198" t="s">
        <v>264</v>
      </c>
      <c r="R198" t="s">
        <v>1086</v>
      </c>
      <c r="S198" t="s">
        <v>58</v>
      </c>
      <c r="T198" s="3">
        <v>0.38</v>
      </c>
      <c r="U198" t="s">
        <v>60</v>
      </c>
      <c r="V198" t="s">
        <v>61</v>
      </c>
      <c r="W198" s="2">
        <v>0</v>
      </c>
      <c r="X198" s="2">
        <v>5.7</v>
      </c>
      <c r="Y198" s="2">
        <v>5.7</v>
      </c>
      <c r="Z198" s="5" t="s">
        <v>362</v>
      </c>
    </row>
    <row r="199" spans="1:26" s="5" customFormat="1" x14ac:dyDescent="0.25">
      <c r="A199">
        <v>2025246361</v>
      </c>
      <c r="B199" t="s">
        <v>662</v>
      </c>
      <c r="C199" t="s">
        <v>663</v>
      </c>
      <c r="D199" s="5" t="str">
        <f t="shared" si="11"/>
        <v>DEWALD DEBBIE</v>
      </c>
      <c r="E199" t="s">
        <v>195</v>
      </c>
      <c r="F199" t="s">
        <v>361</v>
      </c>
      <c r="G199" t="s">
        <v>362</v>
      </c>
      <c r="H199">
        <v>17425766</v>
      </c>
      <c r="I199" t="s">
        <v>357</v>
      </c>
      <c r="J199" t="s">
        <v>358</v>
      </c>
      <c r="K199" t="str">
        <f t="shared" si="9"/>
        <v>CAROL FOLEY</v>
      </c>
      <c r="L199" t="s">
        <v>57</v>
      </c>
      <c r="M199" s="1">
        <v>45597</v>
      </c>
      <c r="N199" s="1">
        <v>45992</v>
      </c>
      <c r="O199" s="2">
        <v>15</v>
      </c>
      <c r="P199">
        <f t="shared" si="10"/>
        <v>13</v>
      </c>
      <c r="Q199" t="s">
        <v>264</v>
      </c>
      <c r="R199" t="s">
        <v>1086</v>
      </c>
      <c r="S199" t="s">
        <v>58</v>
      </c>
      <c r="T199" s="3">
        <v>0.1</v>
      </c>
      <c r="U199" t="s">
        <v>264</v>
      </c>
      <c r="V199" t="s">
        <v>61</v>
      </c>
      <c r="W199" s="2">
        <v>0</v>
      </c>
      <c r="X199" s="2">
        <v>1.5</v>
      </c>
      <c r="Y199" s="2">
        <v>1.5</v>
      </c>
      <c r="Z199" s="5" t="s">
        <v>362</v>
      </c>
    </row>
    <row r="200" spans="1:26" s="5" customFormat="1" x14ac:dyDescent="0.25">
      <c r="A200">
        <v>2025320100</v>
      </c>
      <c r="B200" t="s">
        <v>666</v>
      </c>
      <c r="C200" t="s">
        <v>651</v>
      </c>
      <c r="D200" s="5" t="str">
        <f t="shared" si="11"/>
        <v>ORLANDO RICKY</v>
      </c>
      <c r="E200" t="s">
        <v>195</v>
      </c>
      <c r="F200" t="s">
        <v>361</v>
      </c>
      <c r="G200" t="s">
        <v>362</v>
      </c>
      <c r="H200">
        <v>17425766</v>
      </c>
      <c r="I200" t="s">
        <v>357</v>
      </c>
      <c r="J200" t="s">
        <v>358</v>
      </c>
      <c r="K200" t="str">
        <f t="shared" si="9"/>
        <v>CAROL FOLEY</v>
      </c>
      <c r="L200" t="s">
        <v>57</v>
      </c>
      <c r="M200" s="1">
        <v>45597</v>
      </c>
      <c r="N200" s="1">
        <v>45992</v>
      </c>
      <c r="O200" s="2">
        <v>15</v>
      </c>
      <c r="P200">
        <f t="shared" si="10"/>
        <v>13</v>
      </c>
      <c r="Q200" t="s">
        <v>264</v>
      </c>
      <c r="R200" t="s">
        <v>1086</v>
      </c>
      <c r="S200" t="s">
        <v>58</v>
      </c>
      <c r="T200" s="3">
        <v>0.1</v>
      </c>
      <c r="U200" t="s">
        <v>264</v>
      </c>
      <c r="V200" t="s">
        <v>61</v>
      </c>
      <c r="W200" s="2">
        <v>0</v>
      </c>
      <c r="X200" s="2">
        <v>1.5</v>
      </c>
      <c r="Y200" s="2">
        <v>1.5</v>
      </c>
      <c r="Z200" s="5" t="s">
        <v>362</v>
      </c>
    </row>
    <row r="201" spans="1:26" s="5" customFormat="1" x14ac:dyDescent="0.25">
      <c r="A201">
        <v>2025541354</v>
      </c>
      <c r="B201" t="s">
        <v>672</v>
      </c>
      <c r="C201" t="s">
        <v>673</v>
      </c>
      <c r="D201" s="5" t="str">
        <f t="shared" si="11"/>
        <v>MURPHY LA'JOIA</v>
      </c>
      <c r="E201" t="s">
        <v>208</v>
      </c>
      <c r="F201" t="s">
        <v>361</v>
      </c>
      <c r="G201" t="s">
        <v>362</v>
      </c>
      <c r="H201">
        <v>17425766</v>
      </c>
      <c r="I201" t="s">
        <v>357</v>
      </c>
      <c r="J201" t="s">
        <v>358</v>
      </c>
      <c r="K201" t="str">
        <f t="shared" si="9"/>
        <v>CAROL FOLEY</v>
      </c>
      <c r="L201" t="s">
        <v>57</v>
      </c>
      <c r="M201" s="1">
        <v>45597</v>
      </c>
      <c r="N201" s="1">
        <v>45992</v>
      </c>
      <c r="O201" s="2">
        <v>15</v>
      </c>
      <c r="P201">
        <f t="shared" si="10"/>
        <v>13</v>
      </c>
      <c r="Q201" t="s">
        <v>264</v>
      </c>
      <c r="R201" t="s">
        <v>1086</v>
      </c>
      <c r="S201" t="s">
        <v>58</v>
      </c>
      <c r="T201" s="3">
        <v>0.1</v>
      </c>
      <c r="U201" t="s">
        <v>264</v>
      </c>
      <c r="V201" t="s">
        <v>61</v>
      </c>
      <c r="W201" s="2">
        <v>0</v>
      </c>
      <c r="X201" s="2">
        <v>1.5</v>
      </c>
      <c r="Y201" s="2">
        <v>1.5</v>
      </c>
      <c r="Z201" s="5" t="s">
        <v>362</v>
      </c>
    </row>
    <row r="202" spans="1:26" s="5" customFormat="1" x14ac:dyDescent="0.25">
      <c r="A202">
        <v>2025563320</v>
      </c>
      <c r="B202" t="s">
        <v>674</v>
      </c>
      <c r="C202" t="s">
        <v>675</v>
      </c>
      <c r="D202" s="5" t="str">
        <f t="shared" si="11"/>
        <v>HENDERSON PAMELA</v>
      </c>
      <c r="E202" t="s">
        <v>78</v>
      </c>
      <c r="F202" t="s">
        <v>361</v>
      </c>
      <c r="G202" t="s">
        <v>362</v>
      </c>
      <c r="H202">
        <v>17425766</v>
      </c>
      <c r="I202" t="s">
        <v>357</v>
      </c>
      <c r="J202" t="s">
        <v>358</v>
      </c>
      <c r="K202" t="str">
        <f t="shared" si="9"/>
        <v>CAROL FOLEY</v>
      </c>
      <c r="L202" t="s">
        <v>57</v>
      </c>
      <c r="M202" s="1">
        <v>45597</v>
      </c>
      <c r="N202" s="1">
        <v>45992</v>
      </c>
      <c r="O202" s="2">
        <v>15</v>
      </c>
      <c r="P202">
        <f t="shared" si="10"/>
        <v>13</v>
      </c>
      <c r="Q202" t="s">
        <v>264</v>
      </c>
      <c r="R202" t="s">
        <v>1086</v>
      </c>
      <c r="S202" t="s">
        <v>58</v>
      </c>
      <c r="T202" s="3">
        <v>0.1</v>
      </c>
      <c r="U202" t="s">
        <v>264</v>
      </c>
      <c r="V202" t="s">
        <v>61</v>
      </c>
      <c r="W202" s="2">
        <v>0</v>
      </c>
      <c r="X202" s="2">
        <v>1.5</v>
      </c>
      <c r="Y202" s="2">
        <v>1.5</v>
      </c>
      <c r="Z202" s="5" t="s">
        <v>362</v>
      </c>
    </row>
    <row r="203" spans="1:26" s="5" customFormat="1" x14ac:dyDescent="0.25">
      <c r="A203">
        <v>2025366543</v>
      </c>
      <c r="B203" t="s">
        <v>667</v>
      </c>
      <c r="C203" t="s">
        <v>668</v>
      </c>
      <c r="D203" s="5" t="str">
        <f t="shared" si="11"/>
        <v>LANDRY JESSE</v>
      </c>
      <c r="E203" t="s">
        <v>234</v>
      </c>
      <c r="F203" t="s">
        <v>361</v>
      </c>
      <c r="G203" t="s">
        <v>362</v>
      </c>
      <c r="H203" t="s">
        <v>1081</v>
      </c>
      <c r="I203" t="s">
        <v>191</v>
      </c>
      <c r="J203" t="s">
        <v>192</v>
      </c>
      <c r="K203" t="str">
        <f t="shared" si="9"/>
        <v>JARED KINYUA</v>
      </c>
      <c r="L203" t="s">
        <v>57</v>
      </c>
      <c r="M203" s="1">
        <v>45597</v>
      </c>
      <c r="N203" s="1">
        <v>45992</v>
      </c>
      <c r="O203" s="2">
        <v>15</v>
      </c>
      <c r="P203">
        <f t="shared" si="10"/>
        <v>13</v>
      </c>
      <c r="Q203" t="s">
        <v>264</v>
      </c>
      <c r="R203" t="s">
        <v>1086</v>
      </c>
      <c r="S203" t="s">
        <v>58</v>
      </c>
      <c r="T203" s="3">
        <v>0.1</v>
      </c>
      <c r="U203" t="s">
        <v>264</v>
      </c>
      <c r="V203" t="s">
        <v>61</v>
      </c>
      <c r="W203" s="2">
        <v>0</v>
      </c>
      <c r="X203" s="2">
        <v>1.5</v>
      </c>
      <c r="Y203" s="2">
        <v>1.5</v>
      </c>
      <c r="Z203" s="5" t="s">
        <v>362</v>
      </c>
    </row>
    <row r="204" spans="1:26" s="5" customFormat="1" x14ac:dyDescent="0.25">
      <c r="A204" s="5">
        <v>2030711963</v>
      </c>
      <c r="B204" s="5" t="s">
        <v>818</v>
      </c>
      <c r="C204" s="5" t="s">
        <v>819</v>
      </c>
      <c r="D204" s="5" t="str">
        <f t="shared" si="11"/>
        <v>AMIRREZA BAHADOR</v>
      </c>
      <c r="E204" s="5" t="s">
        <v>52</v>
      </c>
      <c r="F204" s="5" t="s">
        <v>361</v>
      </c>
      <c r="G204" s="5" t="s">
        <v>402</v>
      </c>
      <c r="H204" s="5" t="s">
        <v>1080</v>
      </c>
      <c r="I204" s="5" t="s">
        <v>175</v>
      </c>
      <c r="J204" s="5" t="s">
        <v>176</v>
      </c>
      <c r="K204" s="5" t="str">
        <f t="shared" si="9"/>
        <v>Jake Shulman</v>
      </c>
      <c r="L204" s="5" t="s">
        <v>57</v>
      </c>
      <c r="M204" s="6">
        <v>45901</v>
      </c>
      <c r="N204" s="6">
        <v>45992</v>
      </c>
      <c r="O204" s="7">
        <v>15</v>
      </c>
      <c r="P204" s="5">
        <f t="shared" si="10"/>
        <v>3</v>
      </c>
      <c r="Q204" s="5" t="s">
        <v>264</v>
      </c>
      <c r="R204" s="5" t="s">
        <v>1085</v>
      </c>
      <c r="S204" s="5" t="s">
        <v>58</v>
      </c>
      <c r="T204" s="8">
        <v>0.28999999999999998</v>
      </c>
      <c r="U204" s="5" t="s">
        <v>60</v>
      </c>
      <c r="V204" s="5" t="s">
        <v>61</v>
      </c>
      <c r="W204" s="7">
        <v>0</v>
      </c>
      <c r="X204" s="7">
        <v>4.3499999999999996</v>
      </c>
      <c r="Y204" s="7">
        <v>4.3499999999999996</v>
      </c>
      <c r="Z204" s="5" t="s">
        <v>298</v>
      </c>
    </row>
    <row r="205" spans="1:26" s="5" customFormat="1" x14ac:dyDescent="0.25">
      <c r="A205" s="5">
        <v>2030722442</v>
      </c>
      <c r="B205" s="5" t="s">
        <v>305</v>
      </c>
      <c r="C205" s="5" t="s">
        <v>306</v>
      </c>
      <c r="D205" s="5" t="str">
        <f t="shared" si="11"/>
        <v>JADE LEVINSON</v>
      </c>
      <c r="E205" s="5" t="s">
        <v>261</v>
      </c>
      <c r="F205" s="5" t="s">
        <v>361</v>
      </c>
      <c r="G205" s="5" t="s">
        <v>402</v>
      </c>
      <c r="H205" s="5">
        <v>19200754</v>
      </c>
      <c r="I205" s="5" t="s">
        <v>228</v>
      </c>
      <c r="J205" s="5" t="s">
        <v>229</v>
      </c>
      <c r="K205" s="5" t="str">
        <f t="shared" si="9"/>
        <v>RICARDO SANTOS</v>
      </c>
      <c r="L205" s="5" t="s">
        <v>57</v>
      </c>
      <c r="M205" s="6">
        <v>45897</v>
      </c>
      <c r="N205" s="6">
        <v>45989</v>
      </c>
      <c r="O205" s="7">
        <v>15</v>
      </c>
      <c r="P205" s="5">
        <f t="shared" si="10"/>
        <v>3</v>
      </c>
      <c r="Q205" s="5" t="s">
        <v>264</v>
      </c>
      <c r="R205" s="5" t="s">
        <v>1085</v>
      </c>
      <c r="S205" s="5" t="s">
        <v>58</v>
      </c>
      <c r="T205" s="8">
        <v>0.28999999999999998</v>
      </c>
      <c r="U205" s="5" t="s">
        <v>60</v>
      </c>
      <c r="V205" s="5" t="s">
        <v>61</v>
      </c>
      <c r="W205" s="7">
        <v>4.3499999999999996</v>
      </c>
      <c r="X205" s="7">
        <v>0</v>
      </c>
      <c r="Y205" s="7">
        <v>4.3499999999999996</v>
      </c>
      <c r="Z205" s="5" t="s">
        <v>298</v>
      </c>
    </row>
    <row r="206" spans="1:26" s="5" customFormat="1" x14ac:dyDescent="0.25">
      <c r="A206" s="5">
        <v>2024267554</v>
      </c>
      <c r="B206" s="5" t="s">
        <v>288</v>
      </c>
      <c r="C206" s="5" t="s">
        <v>66</v>
      </c>
      <c r="D206" s="5" t="str">
        <f t="shared" si="11"/>
        <v>KISIN MATTHEW</v>
      </c>
      <c r="E206" s="5" t="s">
        <v>52</v>
      </c>
      <c r="F206" s="5" t="s">
        <v>361</v>
      </c>
      <c r="G206" s="5" t="s">
        <v>402</v>
      </c>
      <c r="H206" s="5">
        <v>16912722</v>
      </c>
      <c r="I206" s="5" t="s">
        <v>289</v>
      </c>
      <c r="J206" s="5" t="s">
        <v>290</v>
      </c>
      <c r="K206" s="5" t="str">
        <f t="shared" si="9"/>
        <v>ANDREA PETRUNGARO</v>
      </c>
      <c r="L206" s="5" t="s">
        <v>57</v>
      </c>
      <c r="M206" s="6">
        <v>45536</v>
      </c>
      <c r="N206" s="6">
        <v>45992</v>
      </c>
      <c r="O206" s="7">
        <v>15</v>
      </c>
      <c r="P206" s="5">
        <f t="shared" si="10"/>
        <v>15</v>
      </c>
      <c r="Q206" s="5" t="s">
        <v>264</v>
      </c>
      <c r="R206" s="5" t="s">
        <v>1086</v>
      </c>
      <c r="S206" s="5" t="s">
        <v>58</v>
      </c>
      <c r="T206" s="8">
        <v>0.28999999999999998</v>
      </c>
      <c r="U206" s="5" t="s">
        <v>264</v>
      </c>
      <c r="V206" s="5" t="s">
        <v>61</v>
      </c>
      <c r="W206" s="7">
        <v>0</v>
      </c>
      <c r="X206" s="7">
        <v>4.3499999999999996</v>
      </c>
      <c r="Y206" s="7">
        <v>4.3499999999999996</v>
      </c>
      <c r="Z206" s="5" t="s">
        <v>298</v>
      </c>
    </row>
    <row r="207" spans="1:26" s="5" customFormat="1" x14ac:dyDescent="0.25">
      <c r="A207">
        <v>2030691612</v>
      </c>
      <c r="B207" t="s">
        <v>303</v>
      </c>
      <c r="C207" t="s">
        <v>304</v>
      </c>
      <c r="D207" s="5" t="str">
        <f t="shared" si="11"/>
        <v>ROSANGELA VALLE</v>
      </c>
      <c r="E207" t="s">
        <v>52</v>
      </c>
      <c r="F207" t="s">
        <v>361</v>
      </c>
      <c r="G207" t="s">
        <v>402</v>
      </c>
      <c r="H207">
        <v>8977234</v>
      </c>
      <c r="I207" t="s">
        <v>55</v>
      </c>
      <c r="J207" t="s">
        <v>56</v>
      </c>
      <c r="K207" t="str">
        <f t="shared" si="9"/>
        <v>RYAN CALTAGIRONE</v>
      </c>
      <c r="L207" t="s">
        <v>57</v>
      </c>
      <c r="M207" s="1">
        <v>45901</v>
      </c>
      <c r="N207" s="1">
        <v>45992</v>
      </c>
      <c r="O207" s="2">
        <v>15</v>
      </c>
      <c r="P207">
        <f t="shared" si="10"/>
        <v>3</v>
      </c>
      <c r="Q207" t="s">
        <v>264</v>
      </c>
      <c r="R207" t="s">
        <v>1086</v>
      </c>
      <c r="S207" t="s">
        <v>58</v>
      </c>
      <c r="T207" s="3">
        <v>0.28999999999999998</v>
      </c>
      <c r="U207" t="s">
        <v>60</v>
      </c>
      <c r="V207" t="s">
        <v>61</v>
      </c>
      <c r="W207" s="2">
        <v>4.3499999999999996</v>
      </c>
      <c r="X207" s="2">
        <v>0</v>
      </c>
      <c r="Y207" s="2">
        <v>4.3499999999999996</v>
      </c>
      <c r="Z207" s="5" t="s">
        <v>298</v>
      </c>
    </row>
    <row r="208" spans="1:26" s="5" customFormat="1" x14ac:dyDescent="0.25">
      <c r="A208">
        <v>2023809266</v>
      </c>
      <c r="B208" t="s">
        <v>265</v>
      </c>
      <c r="C208" t="s">
        <v>266</v>
      </c>
      <c r="D208" s="5" t="str">
        <f t="shared" si="11"/>
        <v>LARSON ANTOINETTE</v>
      </c>
      <c r="E208" t="s">
        <v>261</v>
      </c>
      <c r="F208" t="s">
        <v>361</v>
      </c>
      <c r="G208" t="s">
        <v>402</v>
      </c>
      <c r="H208">
        <v>8977234</v>
      </c>
      <c r="I208" t="s">
        <v>55</v>
      </c>
      <c r="J208" t="s">
        <v>56</v>
      </c>
      <c r="K208" t="str">
        <f t="shared" si="9"/>
        <v>RYAN CALTAGIRONE</v>
      </c>
      <c r="L208" t="s">
        <v>57</v>
      </c>
      <c r="M208" s="1">
        <v>45653</v>
      </c>
      <c r="N208" s="1">
        <v>45988</v>
      </c>
      <c r="O208" s="2">
        <v>15</v>
      </c>
      <c r="P208">
        <f t="shared" si="10"/>
        <v>11</v>
      </c>
      <c r="Q208" t="s">
        <v>264</v>
      </c>
      <c r="R208" t="s">
        <v>1086</v>
      </c>
      <c r="S208" t="s">
        <v>58</v>
      </c>
      <c r="T208" s="3">
        <v>0.28999999999999998</v>
      </c>
      <c r="U208" t="s">
        <v>60</v>
      </c>
      <c r="V208" t="s">
        <v>61</v>
      </c>
      <c r="W208" s="2">
        <v>0</v>
      </c>
      <c r="X208" s="2">
        <v>4.3499999999999996</v>
      </c>
      <c r="Y208" s="2">
        <v>4.3499999999999996</v>
      </c>
      <c r="Z208" s="5" t="s">
        <v>298</v>
      </c>
    </row>
    <row r="209" spans="1:26" s="5" customFormat="1" x14ac:dyDescent="0.25">
      <c r="A209">
        <v>2023957696</v>
      </c>
      <c r="B209" t="s">
        <v>270</v>
      </c>
      <c r="C209" t="s">
        <v>271</v>
      </c>
      <c r="D209" s="5" t="str">
        <f t="shared" si="11"/>
        <v>WAGNER LYNDON</v>
      </c>
      <c r="E209" t="s">
        <v>52</v>
      </c>
      <c r="F209" t="s">
        <v>361</v>
      </c>
      <c r="G209" t="s">
        <v>402</v>
      </c>
      <c r="H209">
        <v>8977234</v>
      </c>
      <c r="I209" t="s">
        <v>55</v>
      </c>
      <c r="J209" t="s">
        <v>56</v>
      </c>
      <c r="K209" t="str">
        <f t="shared" si="9"/>
        <v>RYAN CALTAGIRONE</v>
      </c>
      <c r="L209" t="s">
        <v>57</v>
      </c>
      <c r="M209" s="1">
        <v>45656</v>
      </c>
      <c r="N209" s="1">
        <v>45991</v>
      </c>
      <c r="O209" s="2">
        <v>15</v>
      </c>
      <c r="P209">
        <f t="shared" si="10"/>
        <v>11</v>
      </c>
      <c r="Q209" t="s">
        <v>264</v>
      </c>
      <c r="R209" t="s">
        <v>1086</v>
      </c>
      <c r="S209" t="s">
        <v>58</v>
      </c>
      <c r="T209" s="3">
        <v>0.28999999999999998</v>
      </c>
      <c r="U209" t="s">
        <v>60</v>
      </c>
      <c r="V209" t="s">
        <v>61</v>
      </c>
      <c r="W209" s="2">
        <v>0</v>
      </c>
      <c r="X209" s="2">
        <v>4.3499999999999996</v>
      </c>
      <c r="Y209" s="2">
        <v>4.3499999999999996</v>
      </c>
      <c r="Z209" s="5" t="s">
        <v>298</v>
      </c>
    </row>
    <row r="210" spans="1:26" s="5" customFormat="1" x14ac:dyDescent="0.25">
      <c r="A210">
        <v>2023963352</v>
      </c>
      <c r="B210" t="s">
        <v>272</v>
      </c>
      <c r="C210" t="s">
        <v>273</v>
      </c>
      <c r="D210" s="5" t="str">
        <f t="shared" si="11"/>
        <v>LYNN TAMMY</v>
      </c>
      <c r="E210" t="s">
        <v>52</v>
      </c>
      <c r="F210" t="s">
        <v>361</v>
      </c>
      <c r="G210" t="s">
        <v>402</v>
      </c>
      <c r="H210">
        <v>8977234</v>
      </c>
      <c r="I210" t="s">
        <v>55</v>
      </c>
      <c r="J210" t="s">
        <v>56</v>
      </c>
      <c r="K210" t="str">
        <f t="shared" si="9"/>
        <v>RYAN CALTAGIRONE</v>
      </c>
      <c r="L210" t="s">
        <v>57</v>
      </c>
      <c r="M210" s="1">
        <v>45656</v>
      </c>
      <c r="N210" s="1">
        <v>45991</v>
      </c>
      <c r="O210" s="2">
        <v>15</v>
      </c>
      <c r="P210">
        <f t="shared" si="10"/>
        <v>11</v>
      </c>
      <c r="Q210" t="s">
        <v>264</v>
      </c>
      <c r="R210" t="s">
        <v>1086</v>
      </c>
      <c r="S210" t="s">
        <v>58</v>
      </c>
      <c r="T210" s="3">
        <v>0.28999999999999998</v>
      </c>
      <c r="U210" t="s">
        <v>60</v>
      </c>
      <c r="V210" t="s">
        <v>61</v>
      </c>
      <c r="W210" s="2">
        <v>0</v>
      </c>
      <c r="X210" s="2">
        <v>4.3499999999999996</v>
      </c>
      <c r="Y210" s="2">
        <v>4.3499999999999996</v>
      </c>
      <c r="Z210" s="5" t="s">
        <v>298</v>
      </c>
    </row>
    <row r="211" spans="1:26" s="5" customFormat="1" x14ac:dyDescent="0.25">
      <c r="A211">
        <v>2023964242</v>
      </c>
      <c r="B211" t="s">
        <v>274</v>
      </c>
      <c r="C211" t="s">
        <v>275</v>
      </c>
      <c r="D211" s="5" t="str">
        <f t="shared" si="11"/>
        <v>OBRIEN MICHELE</v>
      </c>
      <c r="E211" t="s">
        <v>276</v>
      </c>
      <c r="F211" t="s">
        <v>361</v>
      </c>
      <c r="G211" t="s">
        <v>402</v>
      </c>
      <c r="H211">
        <v>8977234</v>
      </c>
      <c r="I211" t="s">
        <v>55</v>
      </c>
      <c r="J211" t="s">
        <v>56</v>
      </c>
      <c r="K211" t="str">
        <f t="shared" si="9"/>
        <v>RYAN CALTAGIRONE</v>
      </c>
      <c r="L211" t="s">
        <v>57</v>
      </c>
      <c r="M211" s="1">
        <v>45656</v>
      </c>
      <c r="N211" s="1">
        <v>45991</v>
      </c>
      <c r="O211" s="2">
        <v>15</v>
      </c>
      <c r="P211">
        <f t="shared" si="10"/>
        <v>11</v>
      </c>
      <c r="Q211" t="s">
        <v>264</v>
      </c>
      <c r="R211" t="s">
        <v>1086</v>
      </c>
      <c r="S211" t="s">
        <v>58</v>
      </c>
      <c r="T211" s="3">
        <v>0.28999999999999998</v>
      </c>
      <c r="U211" t="s">
        <v>60</v>
      </c>
      <c r="V211" t="s">
        <v>61</v>
      </c>
      <c r="W211" s="2">
        <v>0</v>
      </c>
      <c r="X211" s="2">
        <v>4.3499999999999996</v>
      </c>
      <c r="Y211" s="2">
        <v>4.3499999999999996</v>
      </c>
      <c r="Z211" s="5" t="s">
        <v>298</v>
      </c>
    </row>
    <row r="212" spans="1:26" s="5" customFormat="1" x14ac:dyDescent="0.25">
      <c r="A212">
        <v>2024035178</v>
      </c>
      <c r="B212" t="s">
        <v>279</v>
      </c>
      <c r="C212" t="s">
        <v>280</v>
      </c>
      <c r="D212" s="5" t="str">
        <f t="shared" si="11"/>
        <v>FABRITZ MARTIN</v>
      </c>
      <c r="E212" t="s">
        <v>261</v>
      </c>
      <c r="F212" t="s">
        <v>361</v>
      </c>
      <c r="G212" t="s">
        <v>402</v>
      </c>
      <c r="H212">
        <v>8977234</v>
      </c>
      <c r="I212" t="s">
        <v>55</v>
      </c>
      <c r="J212" t="s">
        <v>56</v>
      </c>
      <c r="K212" t="str">
        <f t="shared" si="9"/>
        <v>RYAN CALTAGIRONE</v>
      </c>
      <c r="L212" t="s">
        <v>57</v>
      </c>
      <c r="M212" s="1">
        <v>45656</v>
      </c>
      <c r="N212" s="1">
        <v>45991</v>
      </c>
      <c r="O212" s="2">
        <v>15</v>
      </c>
      <c r="P212">
        <f t="shared" si="10"/>
        <v>11</v>
      </c>
      <c r="Q212" t="s">
        <v>264</v>
      </c>
      <c r="R212" t="s">
        <v>1086</v>
      </c>
      <c r="S212" t="s">
        <v>58</v>
      </c>
      <c r="T212" s="3">
        <v>0.28999999999999998</v>
      </c>
      <c r="U212" t="s">
        <v>60</v>
      </c>
      <c r="V212" t="s">
        <v>61</v>
      </c>
      <c r="W212" s="2">
        <v>0</v>
      </c>
      <c r="X212" s="2">
        <v>4.3499999999999996</v>
      </c>
      <c r="Y212" s="2">
        <v>4.3499999999999996</v>
      </c>
      <c r="Z212" s="5" t="s">
        <v>298</v>
      </c>
    </row>
    <row r="213" spans="1:26" s="5" customFormat="1" x14ac:dyDescent="0.25">
      <c r="A213">
        <v>2024112404</v>
      </c>
      <c r="B213" t="s">
        <v>281</v>
      </c>
      <c r="C213" t="s">
        <v>282</v>
      </c>
      <c r="D213" s="5" t="str">
        <f t="shared" si="11"/>
        <v>DOWDA DENEEN</v>
      </c>
      <c r="E213" t="s">
        <v>52</v>
      </c>
      <c r="F213" t="s">
        <v>361</v>
      </c>
      <c r="G213" t="s">
        <v>402</v>
      </c>
      <c r="H213">
        <v>8977234</v>
      </c>
      <c r="I213" t="s">
        <v>55</v>
      </c>
      <c r="J213" t="s">
        <v>56</v>
      </c>
      <c r="K213" t="str">
        <f t="shared" si="9"/>
        <v>RYAN CALTAGIRONE</v>
      </c>
      <c r="L213" t="s">
        <v>57</v>
      </c>
      <c r="M213" s="1">
        <v>45656</v>
      </c>
      <c r="N213" s="1">
        <v>45991</v>
      </c>
      <c r="O213" s="2">
        <v>15</v>
      </c>
      <c r="P213">
        <f t="shared" si="10"/>
        <v>11</v>
      </c>
      <c r="Q213" t="s">
        <v>264</v>
      </c>
      <c r="R213" t="s">
        <v>1086</v>
      </c>
      <c r="S213" t="s">
        <v>58</v>
      </c>
      <c r="T213" s="3">
        <v>0.28999999999999998</v>
      </c>
      <c r="U213" t="s">
        <v>60</v>
      </c>
      <c r="V213" t="s">
        <v>61</v>
      </c>
      <c r="W213" s="2">
        <v>0</v>
      </c>
      <c r="X213" s="2">
        <v>4.3499999999999996</v>
      </c>
      <c r="Y213" s="2">
        <v>4.3499999999999996</v>
      </c>
      <c r="Z213" s="5" t="s">
        <v>298</v>
      </c>
    </row>
    <row r="214" spans="1:26" s="5" customFormat="1" x14ac:dyDescent="0.25">
      <c r="A214">
        <v>2024225542</v>
      </c>
      <c r="B214" t="s">
        <v>285</v>
      </c>
      <c r="C214" t="s">
        <v>286</v>
      </c>
      <c r="D214" s="5" t="str">
        <f t="shared" si="11"/>
        <v>BROMUND AMATA</v>
      </c>
      <c r="E214" t="s">
        <v>287</v>
      </c>
      <c r="F214" t="s">
        <v>361</v>
      </c>
      <c r="G214" t="s">
        <v>402</v>
      </c>
      <c r="H214">
        <v>8977234</v>
      </c>
      <c r="I214" t="s">
        <v>55</v>
      </c>
      <c r="J214" t="s">
        <v>56</v>
      </c>
      <c r="K214" t="str">
        <f t="shared" si="9"/>
        <v>RYAN CALTAGIRONE</v>
      </c>
      <c r="L214" t="s">
        <v>57</v>
      </c>
      <c r="M214" s="1">
        <v>45656</v>
      </c>
      <c r="N214" s="1">
        <v>45991</v>
      </c>
      <c r="O214" s="2">
        <v>15</v>
      </c>
      <c r="P214">
        <f t="shared" si="10"/>
        <v>11</v>
      </c>
      <c r="Q214" t="s">
        <v>264</v>
      </c>
      <c r="R214" t="s">
        <v>1086</v>
      </c>
      <c r="S214" t="s">
        <v>58</v>
      </c>
      <c r="T214" s="3">
        <v>0.28999999999999998</v>
      </c>
      <c r="U214" t="s">
        <v>60</v>
      </c>
      <c r="V214" t="s">
        <v>61</v>
      </c>
      <c r="W214" s="2">
        <v>0</v>
      </c>
      <c r="X214" s="2">
        <v>4.3499999999999996</v>
      </c>
      <c r="Y214" s="2">
        <v>4.3499999999999996</v>
      </c>
      <c r="Z214" s="5" t="s">
        <v>298</v>
      </c>
    </row>
    <row r="215" spans="1:26" s="5" customFormat="1" x14ac:dyDescent="0.25">
      <c r="A215">
        <v>2024536863</v>
      </c>
      <c r="B215" t="s">
        <v>294</v>
      </c>
      <c r="C215" t="s">
        <v>295</v>
      </c>
      <c r="D215" s="5" t="str">
        <f t="shared" si="11"/>
        <v>CARLSON ARTHUR</v>
      </c>
      <c r="E215" t="s">
        <v>52</v>
      </c>
      <c r="F215" t="s">
        <v>361</v>
      </c>
      <c r="G215" t="s">
        <v>402</v>
      </c>
      <c r="H215">
        <v>8977234</v>
      </c>
      <c r="I215" t="s">
        <v>55</v>
      </c>
      <c r="J215" t="s">
        <v>56</v>
      </c>
      <c r="K215" t="str">
        <f t="shared" si="9"/>
        <v>RYAN CALTAGIRONE</v>
      </c>
      <c r="L215" t="s">
        <v>57</v>
      </c>
      <c r="M215" s="1">
        <v>45656</v>
      </c>
      <c r="N215" s="1">
        <v>45991</v>
      </c>
      <c r="O215" s="2">
        <v>15</v>
      </c>
      <c r="P215">
        <f t="shared" si="10"/>
        <v>11</v>
      </c>
      <c r="Q215" t="s">
        <v>264</v>
      </c>
      <c r="R215" t="s">
        <v>1086</v>
      </c>
      <c r="S215" t="s">
        <v>58</v>
      </c>
      <c r="T215" s="3">
        <v>0.28999999999999998</v>
      </c>
      <c r="U215" t="s">
        <v>60</v>
      </c>
      <c r="V215" t="s">
        <v>61</v>
      </c>
      <c r="W215" s="2">
        <v>0</v>
      </c>
      <c r="X215" s="2">
        <v>4.3499999999999996</v>
      </c>
      <c r="Y215" s="2">
        <v>4.3499999999999996</v>
      </c>
      <c r="Z215" s="5" t="s">
        <v>298</v>
      </c>
    </row>
    <row r="216" spans="1:26" s="5" customFormat="1" x14ac:dyDescent="0.25">
      <c r="A216">
        <v>2024626405</v>
      </c>
      <c r="B216" t="s">
        <v>297</v>
      </c>
      <c r="C216" t="s">
        <v>296</v>
      </c>
      <c r="D216" s="5" t="str">
        <f t="shared" si="11"/>
        <v>HOEPPNER ANTHONY</v>
      </c>
      <c r="E216" t="s">
        <v>293</v>
      </c>
      <c r="F216" t="s">
        <v>361</v>
      </c>
      <c r="G216" t="s">
        <v>402</v>
      </c>
      <c r="H216">
        <v>17437820</v>
      </c>
      <c r="I216" t="s">
        <v>169</v>
      </c>
      <c r="J216" t="s">
        <v>170</v>
      </c>
      <c r="K216" t="str">
        <f t="shared" si="9"/>
        <v>COLLEEN FINNIGAN</v>
      </c>
      <c r="L216" t="s">
        <v>57</v>
      </c>
      <c r="M216" s="1">
        <v>45534</v>
      </c>
      <c r="N216" s="1">
        <v>45991</v>
      </c>
      <c r="O216" s="2">
        <v>15</v>
      </c>
      <c r="P216">
        <f t="shared" si="10"/>
        <v>15</v>
      </c>
      <c r="Q216" t="s">
        <v>264</v>
      </c>
      <c r="R216" t="s">
        <v>1086</v>
      </c>
      <c r="S216" t="s">
        <v>58</v>
      </c>
      <c r="T216" s="3">
        <v>0.28999999999999998</v>
      </c>
      <c r="U216" t="s">
        <v>264</v>
      </c>
      <c r="V216" t="s">
        <v>61</v>
      </c>
      <c r="W216" s="2">
        <v>0</v>
      </c>
      <c r="X216" s="2">
        <v>4.3499999999999996</v>
      </c>
      <c r="Y216" s="2">
        <v>4.3499999999999996</v>
      </c>
      <c r="Z216" s="5" t="s">
        <v>298</v>
      </c>
    </row>
    <row r="217" spans="1:26" s="5" customFormat="1" x14ac:dyDescent="0.25">
      <c r="A217">
        <v>2024433919</v>
      </c>
      <c r="B217" t="s">
        <v>291</v>
      </c>
      <c r="C217" t="s">
        <v>292</v>
      </c>
      <c r="D217" s="5" t="str">
        <f t="shared" si="11"/>
        <v>BLAKENSHIP DUSTEN</v>
      </c>
      <c r="E217" t="s">
        <v>293</v>
      </c>
      <c r="F217" t="s">
        <v>361</v>
      </c>
      <c r="G217" t="s">
        <v>402</v>
      </c>
      <c r="H217">
        <v>1706194</v>
      </c>
      <c r="I217" t="s">
        <v>65</v>
      </c>
      <c r="J217" t="s">
        <v>66</v>
      </c>
      <c r="K217" t="str">
        <f t="shared" si="9"/>
        <v>MATTHEW DAUGHERTY</v>
      </c>
      <c r="L217" t="s">
        <v>57</v>
      </c>
      <c r="M217" s="1">
        <v>45536</v>
      </c>
      <c r="N217" s="1">
        <v>45992</v>
      </c>
      <c r="O217" s="2">
        <v>15</v>
      </c>
      <c r="P217">
        <f t="shared" si="10"/>
        <v>15</v>
      </c>
      <c r="Q217" t="s">
        <v>264</v>
      </c>
      <c r="R217" t="s">
        <v>1086</v>
      </c>
      <c r="S217" t="s">
        <v>58</v>
      </c>
      <c r="T217" s="3">
        <v>0.28999999999999998</v>
      </c>
      <c r="U217" t="s">
        <v>264</v>
      </c>
      <c r="V217" t="s">
        <v>61</v>
      </c>
      <c r="W217" s="2">
        <v>0</v>
      </c>
      <c r="X217" s="2">
        <v>4.3499999999999996</v>
      </c>
      <c r="Y217" s="2">
        <v>4.3499999999999996</v>
      </c>
      <c r="Z217" s="5" t="s">
        <v>298</v>
      </c>
    </row>
    <row r="218" spans="1:26" s="5" customFormat="1" x14ac:dyDescent="0.25">
      <c r="A218">
        <v>2024635212</v>
      </c>
      <c r="B218" t="s">
        <v>299</v>
      </c>
      <c r="C218" t="s">
        <v>300</v>
      </c>
      <c r="D218" s="5" t="str">
        <f t="shared" si="11"/>
        <v>JOHNSON JAMAR</v>
      </c>
      <c r="E218" t="s">
        <v>52</v>
      </c>
      <c r="F218" t="s">
        <v>361</v>
      </c>
      <c r="G218" t="s">
        <v>402</v>
      </c>
      <c r="H218">
        <v>1706194</v>
      </c>
      <c r="I218" t="s">
        <v>65</v>
      </c>
      <c r="J218" t="s">
        <v>66</v>
      </c>
      <c r="K218" t="str">
        <f t="shared" si="9"/>
        <v>MATTHEW DAUGHERTY</v>
      </c>
      <c r="L218" t="s">
        <v>57</v>
      </c>
      <c r="M218" s="1">
        <v>45536</v>
      </c>
      <c r="N218" s="1">
        <v>45992</v>
      </c>
      <c r="O218" s="2">
        <v>15</v>
      </c>
      <c r="P218">
        <f t="shared" si="10"/>
        <v>15</v>
      </c>
      <c r="Q218" t="s">
        <v>264</v>
      </c>
      <c r="R218" t="s">
        <v>1086</v>
      </c>
      <c r="S218" t="s">
        <v>58</v>
      </c>
      <c r="T218" s="3">
        <v>0.28999999999999998</v>
      </c>
      <c r="U218" t="s">
        <v>264</v>
      </c>
      <c r="V218" t="s">
        <v>61</v>
      </c>
      <c r="W218" s="2">
        <v>0</v>
      </c>
      <c r="X218" s="2">
        <v>4.3499999999999996</v>
      </c>
      <c r="Y218" s="2">
        <v>4.3499999999999996</v>
      </c>
      <c r="Z218" s="5" t="s">
        <v>298</v>
      </c>
    </row>
    <row r="219" spans="1:26" s="5" customFormat="1" x14ac:dyDescent="0.25">
      <c r="A219">
        <v>2024136820</v>
      </c>
      <c r="B219" t="s">
        <v>283</v>
      </c>
      <c r="C219" t="s">
        <v>284</v>
      </c>
      <c r="D219" s="5" t="str">
        <f t="shared" si="11"/>
        <v>SALGADO CARLOS</v>
      </c>
      <c r="E219" t="s">
        <v>52</v>
      </c>
      <c r="F219" t="s">
        <v>361</v>
      </c>
      <c r="G219" t="s">
        <v>402</v>
      </c>
      <c r="H219">
        <v>8977234</v>
      </c>
      <c r="I219" t="s">
        <v>55</v>
      </c>
      <c r="J219" t="s">
        <v>56</v>
      </c>
      <c r="K219" t="str">
        <f t="shared" si="9"/>
        <v>RYAN CALTAGIRONE</v>
      </c>
      <c r="L219" t="s">
        <v>57</v>
      </c>
      <c r="M219" s="1">
        <v>45536</v>
      </c>
      <c r="N219" s="1">
        <v>45992</v>
      </c>
      <c r="O219" s="2">
        <v>15</v>
      </c>
      <c r="P219">
        <f t="shared" si="10"/>
        <v>15</v>
      </c>
      <c r="Q219" t="s">
        <v>264</v>
      </c>
      <c r="R219" t="s">
        <v>1086</v>
      </c>
      <c r="S219" t="s">
        <v>58</v>
      </c>
      <c r="T219" s="3">
        <v>0.28999999999999998</v>
      </c>
      <c r="U219" t="s">
        <v>264</v>
      </c>
      <c r="V219" t="s">
        <v>61</v>
      </c>
      <c r="W219" s="2">
        <v>0</v>
      </c>
      <c r="X219" s="2">
        <v>4.3499999999999996</v>
      </c>
      <c r="Y219" s="2">
        <v>4.3499999999999996</v>
      </c>
      <c r="Z219" s="5" t="s">
        <v>298</v>
      </c>
    </row>
    <row r="220" spans="1:26" s="5" customFormat="1" x14ac:dyDescent="0.25">
      <c r="A220">
        <v>2020392187</v>
      </c>
      <c r="B220" t="s">
        <v>259</v>
      </c>
      <c r="C220" t="s">
        <v>260</v>
      </c>
      <c r="D220" s="5" t="str">
        <f t="shared" si="11"/>
        <v>SLAIS COLIN</v>
      </c>
      <c r="E220" t="s">
        <v>261</v>
      </c>
      <c r="F220" t="s">
        <v>361</v>
      </c>
      <c r="G220" t="s">
        <v>402</v>
      </c>
      <c r="H220">
        <v>8977234</v>
      </c>
      <c r="I220" t="s">
        <v>55</v>
      </c>
      <c r="J220" t="s">
        <v>56</v>
      </c>
      <c r="K220" t="str">
        <f t="shared" si="9"/>
        <v>RYAN CALTAGIRONE</v>
      </c>
      <c r="L220" t="s">
        <v>57</v>
      </c>
      <c r="M220" s="1">
        <v>45288</v>
      </c>
      <c r="N220" s="1">
        <v>45989</v>
      </c>
      <c r="O220" s="2">
        <v>15</v>
      </c>
      <c r="P220">
        <f t="shared" si="10"/>
        <v>23</v>
      </c>
      <c r="Q220" t="s">
        <v>264</v>
      </c>
      <c r="R220" t="s">
        <v>1086</v>
      </c>
      <c r="S220" t="s">
        <v>58</v>
      </c>
      <c r="T220" s="3">
        <v>0.28999999999999998</v>
      </c>
      <c r="U220" t="s">
        <v>264</v>
      </c>
      <c r="V220" t="s">
        <v>61</v>
      </c>
      <c r="W220" s="2">
        <v>0</v>
      </c>
      <c r="X220" s="2">
        <v>4.3499999999999996</v>
      </c>
      <c r="Y220" s="2">
        <v>4.3499999999999996</v>
      </c>
      <c r="Z220" s="5" t="s">
        <v>298</v>
      </c>
    </row>
    <row r="221" spans="1:26" s="5" customFormat="1" x14ac:dyDescent="0.25">
      <c r="A221" s="5">
        <v>2026705203</v>
      </c>
      <c r="B221" s="5" t="s">
        <v>339</v>
      </c>
      <c r="C221" s="5" t="s">
        <v>62</v>
      </c>
      <c r="D221" s="5" t="str">
        <f t="shared" si="11"/>
        <v>CHERRY LISA</v>
      </c>
      <c r="E221" s="5" t="s">
        <v>69</v>
      </c>
      <c r="F221" s="5" t="s">
        <v>309</v>
      </c>
      <c r="G221" s="5" t="s">
        <v>341</v>
      </c>
      <c r="H221" s="5">
        <v>16912722</v>
      </c>
      <c r="I221" s="5" t="s">
        <v>289</v>
      </c>
      <c r="J221" s="5" t="s">
        <v>290</v>
      </c>
      <c r="K221" s="5" t="str">
        <f t="shared" si="9"/>
        <v>ANDREA PETRUNGARO</v>
      </c>
      <c r="L221" s="5" t="s">
        <v>57</v>
      </c>
      <c r="M221" s="6">
        <v>45679</v>
      </c>
      <c r="N221" s="6">
        <v>45983</v>
      </c>
      <c r="O221" s="7">
        <v>14.95</v>
      </c>
      <c r="P221" s="5">
        <f t="shared" si="10"/>
        <v>10</v>
      </c>
      <c r="Q221" s="5" t="s">
        <v>264</v>
      </c>
      <c r="R221" s="5" t="s">
        <v>1086</v>
      </c>
      <c r="S221" s="5" t="s">
        <v>58</v>
      </c>
      <c r="T221" s="8">
        <v>0.51</v>
      </c>
      <c r="U221" s="5" t="s">
        <v>60</v>
      </c>
      <c r="V221" s="5" t="s">
        <v>61</v>
      </c>
      <c r="W221" s="7">
        <v>0</v>
      </c>
      <c r="X221" s="7">
        <v>7.62</v>
      </c>
      <c r="Y221" s="7">
        <v>7.62</v>
      </c>
      <c r="Z221" s="5" t="s">
        <v>340</v>
      </c>
    </row>
    <row r="222" spans="1:26" s="5" customFormat="1" x14ac:dyDescent="0.25">
      <c r="A222">
        <v>2031269232</v>
      </c>
      <c r="B222" t="s">
        <v>350</v>
      </c>
      <c r="C222" t="s">
        <v>351</v>
      </c>
      <c r="D222" s="5" t="str">
        <f t="shared" si="11"/>
        <v>IQBAL MIR</v>
      </c>
      <c r="E222" t="s">
        <v>69</v>
      </c>
      <c r="F222" t="s">
        <v>309</v>
      </c>
      <c r="G222" t="s">
        <v>310</v>
      </c>
      <c r="H222">
        <v>19396223</v>
      </c>
      <c r="I222" t="s">
        <v>135</v>
      </c>
      <c r="J222" t="s">
        <v>136</v>
      </c>
      <c r="K222" t="str">
        <f t="shared" si="9"/>
        <v>Saadia Abdul</v>
      </c>
      <c r="L222" t="s">
        <v>57</v>
      </c>
      <c r="M222" s="1">
        <v>45926</v>
      </c>
      <c r="N222" s="1">
        <v>45987</v>
      </c>
      <c r="O222" s="2">
        <v>84.15</v>
      </c>
      <c r="P222">
        <f t="shared" si="10"/>
        <v>2</v>
      </c>
      <c r="Q222" t="s">
        <v>264</v>
      </c>
      <c r="R222" t="s">
        <v>1086</v>
      </c>
      <c r="S222" t="s">
        <v>58</v>
      </c>
      <c r="T222" s="3">
        <v>0.47</v>
      </c>
      <c r="U222" t="s">
        <v>60</v>
      </c>
      <c r="V222" t="s">
        <v>61</v>
      </c>
      <c r="W222" s="2">
        <v>39.549999999999997</v>
      </c>
      <c r="X222" s="2">
        <v>0</v>
      </c>
      <c r="Y222" s="2">
        <v>39.549999999999997</v>
      </c>
      <c r="Z222" t="s">
        <v>310</v>
      </c>
    </row>
    <row r="223" spans="1:26" s="5" customFormat="1" x14ac:dyDescent="0.25">
      <c r="A223">
        <v>2029646226</v>
      </c>
      <c r="B223" t="s">
        <v>345</v>
      </c>
      <c r="C223" t="s">
        <v>346</v>
      </c>
      <c r="D223" s="5" t="str">
        <f t="shared" si="11"/>
        <v>COLLETTE POOLE</v>
      </c>
      <c r="E223" t="s">
        <v>234</v>
      </c>
      <c r="F223" t="s">
        <v>309</v>
      </c>
      <c r="G223" t="s">
        <v>310</v>
      </c>
      <c r="H223" t="s">
        <v>1081</v>
      </c>
      <c r="I223" t="s">
        <v>191</v>
      </c>
      <c r="J223" t="s">
        <v>192</v>
      </c>
      <c r="K223" t="str">
        <f t="shared" si="9"/>
        <v>JARED KINYUA</v>
      </c>
      <c r="L223" t="s">
        <v>57</v>
      </c>
      <c r="M223" s="1">
        <v>45834</v>
      </c>
      <c r="N223" s="1">
        <v>45987</v>
      </c>
      <c r="O223" s="2">
        <v>13.99</v>
      </c>
      <c r="P223">
        <f t="shared" si="10"/>
        <v>5</v>
      </c>
      <c r="Q223" t="s">
        <v>264</v>
      </c>
      <c r="R223" t="s">
        <v>1086</v>
      </c>
      <c r="S223" t="s">
        <v>58</v>
      </c>
      <c r="T223" s="3">
        <v>0.47</v>
      </c>
      <c r="U223" t="s">
        <v>60</v>
      </c>
      <c r="V223" t="s">
        <v>61</v>
      </c>
      <c r="W223" s="2">
        <v>6.58</v>
      </c>
      <c r="X223" s="2">
        <v>0</v>
      </c>
      <c r="Y223" s="2">
        <v>6.58</v>
      </c>
      <c r="Z223" t="s">
        <v>310</v>
      </c>
    </row>
    <row r="224" spans="1:26" s="5" customFormat="1" x14ac:dyDescent="0.25">
      <c r="A224">
        <v>2029303774</v>
      </c>
      <c r="B224" t="s">
        <v>343</v>
      </c>
      <c r="C224" t="s">
        <v>344</v>
      </c>
      <c r="D224" s="5" t="str">
        <f t="shared" si="11"/>
        <v>GATHANY BEVERLY</v>
      </c>
      <c r="E224" t="s">
        <v>195</v>
      </c>
      <c r="F224" t="s">
        <v>309</v>
      </c>
      <c r="G224" t="s">
        <v>310</v>
      </c>
      <c r="H224" t="s">
        <v>1079</v>
      </c>
      <c r="I224" t="s">
        <v>325</v>
      </c>
      <c r="J224" t="s">
        <v>326</v>
      </c>
      <c r="K224" t="str">
        <f t="shared" si="9"/>
        <v>DEBORAH INSKIPT</v>
      </c>
      <c r="L224" t="s">
        <v>57</v>
      </c>
      <c r="M224" s="1">
        <v>45798</v>
      </c>
      <c r="N224" s="1">
        <v>45982</v>
      </c>
      <c r="O224" s="2">
        <v>37.32</v>
      </c>
      <c r="P224">
        <f t="shared" si="10"/>
        <v>6</v>
      </c>
      <c r="Q224" t="s">
        <v>264</v>
      </c>
      <c r="R224" t="s">
        <v>1086</v>
      </c>
      <c r="S224" t="s">
        <v>58</v>
      </c>
      <c r="T224" s="3">
        <v>0.47</v>
      </c>
      <c r="U224" t="s">
        <v>60</v>
      </c>
      <c r="V224" t="s">
        <v>61</v>
      </c>
      <c r="W224" s="2">
        <v>0</v>
      </c>
      <c r="X224" s="2">
        <v>17.54</v>
      </c>
      <c r="Y224" s="2">
        <v>17.54</v>
      </c>
      <c r="Z224" t="s">
        <v>310</v>
      </c>
    </row>
    <row r="225" spans="1:26" s="5" customFormat="1" x14ac:dyDescent="0.25">
      <c r="A225" s="5">
        <v>2024464934</v>
      </c>
      <c r="B225" s="5" t="s">
        <v>333</v>
      </c>
      <c r="C225" s="5" t="s">
        <v>334</v>
      </c>
      <c r="D225" s="5" t="str">
        <f t="shared" si="11"/>
        <v>AFRASSIAB MONA</v>
      </c>
      <c r="E225" s="5" t="s">
        <v>69</v>
      </c>
      <c r="F225" s="5" t="s">
        <v>309</v>
      </c>
      <c r="G225" s="5" t="s">
        <v>310</v>
      </c>
      <c r="H225" s="5">
        <v>17094718</v>
      </c>
      <c r="I225" s="5" t="s">
        <v>335</v>
      </c>
      <c r="J225" s="5" t="s">
        <v>336</v>
      </c>
      <c r="K225" s="5" t="str">
        <f t="shared" si="9"/>
        <v>GREGORY HANSFORD</v>
      </c>
      <c r="L225" s="5" t="s">
        <v>57</v>
      </c>
      <c r="M225" s="6">
        <v>45527</v>
      </c>
      <c r="N225" s="6">
        <v>45984</v>
      </c>
      <c r="O225" s="7">
        <v>109.48</v>
      </c>
      <c r="P225" s="5">
        <f t="shared" si="10"/>
        <v>15</v>
      </c>
      <c r="Q225" s="5" t="s">
        <v>264</v>
      </c>
      <c r="R225" s="5" t="s">
        <v>1086</v>
      </c>
      <c r="S225" s="5" t="s">
        <v>58</v>
      </c>
      <c r="T225" s="9">
        <v>5.2499999999999998E-2</v>
      </c>
      <c r="U225" s="5" t="s">
        <v>264</v>
      </c>
      <c r="V225" s="5" t="s">
        <v>61</v>
      </c>
      <c r="W225" s="7">
        <v>0</v>
      </c>
      <c r="X225" s="7">
        <v>5.75</v>
      </c>
      <c r="Y225" s="7">
        <v>5.75</v>
      </c>
      <c r="Z225" t="s">
        <v>310</v>
      </c>
    </row>
    <row r="226" spans="1:26" s="5" customFormat="1" x14ac:dyDescent="0.25">
      <c r="A226" s="5">
        <v>2021173379</v>
      </c>
      <c r="B226" s="5" t="s">
        <v>315</v>
      </c>
      <c r="C226" s="5" t="s">
        <v>316</v>
      </c>
      <c r="D226" s="5" t="str">
        <f t="shared" si="11"/>
        <v>MANSELL MERLE</v>
      </c>
      <c r="E226" s="5" t="s">
        <v>195</v>
      </c>
      <c r="F226" s="5" t="s">
        <v>309</v>
      </c>
      <c r="G226" s="5" t="s">
        <v>310</v>
      </c>
      <c r="H226" s="5">
        <v>19562245</v>
      </c>
      <c r="I226" s="5" t="s">
        <v>317</v>
      </c>
      <c r="J226" s="5" t="s">
        <v>318</v>
      </c>
      <c r="K226" s="5" t="str">
        <f t="shared" si="9"/>
        <v>KELLY CARRYER</v>
      </c>
      <c r="L226" s="5" t="s">
        <v>57</v>
      </c>
      <c r="M226" s="6">
        <v>45286</v>
      </c>
      <c r="N226" s="6">
        <v>45987</v>
      </c>
      <c r="O226" s="7">
        <v>33.590000000000003</v>
      </c>
      <c r="P226" s="5">
        <f t="shared" si="10"/>
        <v>23</v>
      </c>
      <c r="Q226" s="5" t="s">
        <v>264</v>
      </c>
      <c r="R226" s="5" t="s">
        <v>1086</v>
      </c>
      <c r="S226" s="5" t="s">
        <v>58</v>
      </c>
      <c r="T226" s="9">
        <v>5.2499999999999998E-2</v>
      </c>
      <c r="U226" s="5" t="s">
        <v>264</v>
      </c>
      <c r="V226" s="5" t="s">
        <v>61</v>
      </c>
      <c r="W226" s="7">
        <v>0</v>
      </c>
      <c r="X226" s="7">
        <v>1.76</v>
      </c>
      <c r="Y226" s="7">
        <v>1.76</v>
      </c>
      <c r="Z226" t="s">
        <v>310</v>
      </c>
    </row>
    <row r="227" spans="1:26" s="5" customFormat="1" x14ac:dyDescent="0.25">
      <c r="A227">
        <v>2024526899</v>
      </c>
      <c r="B227" t="s">
        <v>337</v>
      </c>
      <c r="C227" t="s">
        <v>338</v>
      </c>
      <c r="D227" s="5" t="str">
        <f t="shared" si="11"/>
        <v>BROOME BARBARA</v>
      </c>
      <c r="E227" t="s">
        <v>195</v>
      </c>
      <c r="F227" t="s">
        <v>309</v>
      </c>
      <c r="G227" t="s">
        <v>310</v>
      </c>
      <c r="H227">
        <v>19278370</v>
      </c>
      <c r="I227" t="s">
        <v>321</v>
      </c>
      <c r="J227" t="s">
        <v>322</v>
      </c>
      <c r="K227" t="str">
        <f t="shared" si="9"/>
        <v>ANNE MARIE KOZACHECK</v>
      </c>
      <c r="L227" t="s">
        <v>57</v>
      </c>
      <c r="M227" s="1">
        <v>45528</v>
      </c>
      <c r="N227" s="1">
        <v>45985</v>
      </c>
      <c r="O227" s="2">
        <v>50.6</v>
      </c>
      <c r="P227">
        <f t="shared" si="10"/>
        <v>15</v>
      </c>
      <c r="Q227" t="s">
        <v>264</v>
      </c>
      <c r="R227" t="s">
        <v>1086</v>
      </c>
      <c r="S227" t="s">
        <v>58</v>
      </c>
      <c r="T227" s="4">
        <v>5.2499999999999998E-2</v>
      </c>
      <c r="U227" t="s">
        <v>264</v>
      </c>
      <c r="V227" t="s">
        <v>61</v>
      </c>
      <c r="W227" s="2">
        <v>0</v>
      </c>
      <c r="X227" s="2">
        <v>2.66</v>
      </c>
      <c r="Y227" s="2">
        <v>2.66</v>
      </c>
      <c r="Z227" t="s">
        <v>310</v>
      </c>
    </row>
    <row r="228" spans="1:26" s="5" customFormat="1" x14ac:dyDescent="0.25">
      <c r="A228">
        <v>2024084590</v>
      </c>
      <c r="B228" t="s">
        <v>331</v>
      </c>
      <c r="C228" t="s">
        <v>332</v>
      </c>
      <c r="D228" s="5" t="str">
        <f t="shared" si="11"/>
        <v>MILLER HENRY</v>
      </c>
      <c r="E228" t="s">
        <v>195</v>
      </c>
      <c r="F228" t="s">
        <v>309</v>
      </c>
      <c r="G228" t="s">
        <v>310</v>
      </c>
      <c r="H228">
        <v>17528908</v>
      </c>
      <c r="I228" t="s">
        <v>325</v>
      </c>
      <c r="J228" t="s">
        <v>326</v>
      </c>
      <c r="K228" t="str">
        <f t="shared" si="9"/>
        <v>DEBORAH INSKIPT</v>
      </c>
      <c r="L228" t="s">
        <v>57</v>
      </c>
      <c r="M228" s="1">
        <v>45499</v>
      </c>
      <c r="N228" s="1">
        <v>45987</v>
      </c>
      <c r="O228" s="2">
        <v>43.59</v>
      </c>
      <c r="P228">
        <f t="shared" si="10"/>
        <v>16</v>
      </c>
      <c r="Q228" t="s">
        <v>264</v>
      </c>
      <c r="R228" t="s">
        <v>1086</v>
      </c>
      <c r="S228" t="s">
        <v>58</v>
      </c>
      <c r="T228" s="4">
        <v>5.2499999999999998E-2</v>
      </c>
      <c r="U228" t="s">
        <v>264</v>
      </c>
      <c r="V228" t="s">
        <v>61</v>
      </c>
      <c r="W228" s="2">
        <v>0</v>
      </c>
      <c r="X228" s="2">
        <v>2.29</v>
      </c>
      <c r="Y228" s="2">
        <v>2.29</v>
      </c>
      <c r="Z228" t="s">
        <v>310</v>
      </c>
    </row>
    <row r="229" spans="1:26" s="5" customFormat="1" x14ac:dyDescent="0.25">
      <c r="A229">
        <v>2022833707</v>
      </c>
      <c r="B229" t="s">
        <v>329</v>
      </c>
      <c r="C229" t="s">
        <v>330</v>
      </c>
      <c r="D229" s="5" t="str">
        <f t="shared" si="11"/>
        <v>SLOTT COLLETTA</v>
      </c>
      <c r="E229" t="s">
        <v>165</v>
      </c>
      <c r="F229" t="s">
        <v>309</v>
      </c>
      <c r="G229" t="s">
        <v>310</v>
      </c>
      <c r="H229">
        <v>8977234</v>
      </c>
      <c r="I229" t="s">
        <v>55</v>
      </c>
      <c r="J229" t="s">
        <v>56</v>
      </c>
      <c r="K229" t="str">
        <f t="shared" si="9"/>
        <v>RYAN CALTAGIRONE</v>
      </c>
      <c r="L229" t="s">
        <v>57</v>
      </c>
      <c r="M229" s="1">
        <v>45407</v>
      </c>
      <c r="N229" s="1">
        <v>45986</v>
      </c>
      <c r="O229" s="2">
        <v>74.53</v>
      </c>
      <c r="P229">
        <f t="shared" si="10"/>
        <v>19</v>
      </c>
      <c r="Q229" t="s">
        <v>264</v>
      </c>
      <c r="R229" t="s">
        <v>1086</v>
      </c>
      <c r="S229" t="s">
        <v>58</v>
      </c>
      <c r="T229" s="4">
        <v>5.2499999999999998E-2</v>
      </c>
      <c r="U229" t="s">
        <v>264</v>
      </c>
      <c r="V229" t="s">
        <v>61</v>
      </c>
      <c r="W229" s="2">
        <v>0</v>
      </c>
      <c r="X229" s="2">
        <v>3.91</v>
      </c>
      <c r="Y229" s="2">
        <v>3.91</v>
      </c>
      <c r="Z229" t="s">
        <v>310</v>
      </c>
    </row>
    <row r="230" spans="1:26" s="5" customFormat="1" x14ac:dyDescent="0.25">
      <c r="A230">
        <v>2022400180</v>
      </c>
      <c r="B230" t="s">
        <v>327</v>
      </c>
      <c r="C230" t="s">
        <v>328</v>
      </c>
      <c r="D230" s="5" t="str">
        <f t="shared" si="11"/>
        <v>GEHRON AMIE</v>
      </c>
      <c r="E230" t="s">
        <v>195</v>
      </c>
      <c r="F230" t="s">
        <v>309</v>
      </c>
      <c r="G230" t="s">
        <v>310</v>
      </c>
      <c r="H230">
        <v>17528908</v>
      </c>
      <c r="I230" t="s">
        <v>325</v>
      </c>
      <c r="J230" t="s">
        <v>326</v>
      </c>
      <c r="K230" t="str">
        <f t="shared" si="9"/>
        <v>DEBORAH INSKIPT</v>
      </c>
      <c r="L230" t="s">
        <v>57</v>
      </c>
      <c r="M230" s="1">
        <v>45374</v>
      </c>
      <c r="N230" s="1">
        <v>45984</v>
      </c>
      <c r="O230" s="2">
        <v>43.59</v>
      </c>
      <c r="P230">
        <f t="shared" si="10"/>
        <v>20</v>
      </c>
      <c r="Q230" t="s">
        <v>264</v>
      </c>
      <c r="R230" t="s">
        <v>1086</v>
      </c>
      <c r="S230" t="s">
        <v>58</v>
      </c>
      <c r="T230" s="4">
        <v>5.2499999999999998E-2</v>
      </c>
      <c r="U230" t="s">
        <v>264</v>
      </c>
      <c r="V230" t="s">
        <v>61</v>
      </c>
      <c r="W230" s="2">
        <v>0</v>
      </c>
      <c r="X230" s="2">
        <v>2.29</v>
      </c>
      <c r="Y230" s="2">
        <v>2.29</v>
      </c>
      <c r="Z230" t="s">
        <v>310</v>
      </c>
    </row>
    <row r="231" spans="1:26" s="5" customFormat="1" x14ac:dyDescent="0.25">
      <c r="A231">
        <v>2021945460</v>
      </c>
      <c r="B231" t="s">
        <v>323</v>
      </c>
      <c r="C231" t="s">
        <v>324</v>
      </c>
      <c r="D231" s="5" t="str">
        <f t="shared" si="11"/>
        <v>MADIGAN KATHLEEN</v>
      </c>
      <c r="E231" t="s">
        <v>195</v>
      </c>
      <c r="F231" t="s">
        <v>309</v>
      </c>
      <c r="G231" t="s">
        <v>310</v>
      </c>
      <c r="H231">
        <v>17528908</v>
      </c>
      <c r="I231" t="s">
        <v>325</v>
      </c>
      <c r="J231" t="s">
        <v>326</v>
      </c>
      <c r="K231" t="str">
        <f t="shared" si="9"/>
        <v>DEBORAH INSKIPT</v>
      </c>
      <c r="L231" t="s">
        <v>57</v>
      </c>
      <c r="M231" s="1">
        <v>45346</v>
      </c>
      <c r="N231" s="1">
        <v>45985</v>
      </c>
      <c r="O231" s="2">
        <v>33.590000000000003</v>
      </c>
      <c r="P231">
        <f t="shared" si="10"/>
        <v>21</v>
      </c>
      <c r="Q231" t="s">
        <v>264</v>
      </c>
      <c r="R231" t="s">
        <v>1086</v>
      </c>
      <c r="S231" t="s">
        <v>58</v>
      </c>
      <c r="T231" s="4">
        <v>5.2499999999999998E-2</v>
      </c>
      <c r="U231" t="s">
        <v>264</v>
      </c>
      <c r="V231" t="s">
        <v>61</v>
      </c>
      <c r="W231" s="2">
        <v>0</v>
      </c>
      <c r="X231" s="2">
        <v>1.76</v>
      </c>
      <c r="Y231" s="2">
        <v>1.76</v>
      </c>
      <c r="Z231" t="s">
        <v>310</v>
      </c>
    </row>
    <row r="232" spans="1:26" s="5" customFormat="1" x14ac:dyDescent="0.25">
      <c r="A232">
        <v>2021515732</v>
      </c>
      <c r="B232" t="s">
        <v>319</v>
      </c>
      <c r="C232" t="s">
        <v>320</v>
      </c>
      <c r="D232" s="5" t="str">
        <f t="shared" si="11"/>
        <v>BASKERVILLE JOY</v>
      </c>
      <c r="E232" t="s">
        <v>195</v>
      </c>
      <c r="F232" t="s">
        <v>309</v>
      </c>
      <c r="G232" t="s">
        <v>310</v>
      </c>
      <c r="H232">
        <v>19278370</v>
      </c>
      <c r="I232" t="s">
        <v>321</v>
      </c>
      <c r="J232" t="s">
        <v>322</v>
      </c>
      <c r="K232" t="str">
        <f t="shared" si="9"/>
        <v>ANNE MARIE KOZACHECK</v>
      </c>
      <c r="L232" t="s">
        <v>57</v>
      </c>
      <c r="M232" s="1">
        <v>45315</v>
      </c>
      <c r="N232" s="1">
        <v>45985</v>
      </c>
      <c r="O232" s="2">
        <v>54.54</v>
      </c>
      <c r="P232">
        <f t="shared" si="10"/>
        <v>22</v>
      </c>
      <c r="Q232" t="s">
        <v>264</v>
      </c>
      <c r="R232" t="s">
        <v>1086</v>
      </c>
      <c r="S232" t="s">
        <v>58</v>
      </c>
      <c r="T232" s="4">
        <v>5.2499999999999998E-2</v>
      </c>
      <c r="U232" t="s">
        <v>264</v>
      </c>
      <c r="V232" t="s">
        <v>61</v>
      </c>
      <c r="W232" s="2">
        <v>0</v>
      </c>
      <c r="X232" s="2">
        <v>2.86</v>
      </c>
      <c r="Y232" s="2">
        <v>2.86</v>
      </c>
      <c r="Z232" t="s">
        <v>310</v>
      </c>
    </row>
    <row r="233" spans="1:26" s="5" customFormat="1" x14ac:dyDescent="0.25">
      <c r="A233">
        <v>2020850122</v>
      </c>
      <c r="B233" t="s">
        <v>311</v>
      </c>
      <c r="C233" t="s">
        <v>312</v>
      </c>
      <c r="D233" s="5" t="str">
        <f t="shared" si="11"/>
        <v>FENGER JOHN</v>
      </c>
      <c r="E233" t="s">
        <v>190</v>
      </c>
      <c r="F233" t="s">
        <v>309</v>
      </c>
      <c r="G233" t="s">
        <v>310</v>
      </c>
      <c r="H233">
        <v>15278437</v>
      </c>
      <c r="I233" t="s">
        <v>313</v>
      </c>
      <c r="J233" t="s">
        <v>314</v>
      </c>
      <c r="K233" t="str">
        <f t="shared" si="9"/>
        <v>JASON HOFFMANN</v>
      </c>
      <c r="L233" t="s">
        <v>57</v>
      </c>
      <c r="M233" s="1">
        <v>45251</v>
      </c>
      <c r="N233" s="1">
        <v>45982</v>
      </c>
      <c r="O233" s="2">
        <v>130.83000000000001</v>
      </c>
      <c r="P233">
        <f t="shared" si="10"/>
        <v>24</v>
      </c>
      <c r="Q233" t="s">
        <v>264</v>
      </c>
      <c r="R233" t="s">
        <v>1086</v>
      </c>
      <c r="S233" t="s">
        <v>58</v>
      </c>
      <c r="T233" s="4">
        <v>5.2499999999999998E-2</v>
      </c>
      <c r="U233" t="s">
        <v>264</v>
      </c>
      <c r="V233" t="s">
        <v>61</v>
      </c>
      <c r="W233" s="2">
        <v>0</v>
      </c>
      <c r="X233" s="2">
        <v>6.87</v>
      </c>
      <c r="Y233" s="2">
        <v>6.87</v>
      </c>
      <c r="Z233" t="s">
        <v>310</v>
      </c>
    </row>
    <row r="234" spans="1:26" s="5" customFormat="1" x14ac:dyDescent="0.25">
      <c r="A234">
        <v>2018421687</v>
      </c>
      <c r="B234" t="s">
        <v>307</v>
      </c>
      <c r="C234" t="s">
        <v>308</v>
      </c>
      <c r="D234" s="5" t="str">
        <f t="shared" si="11"/>
        <v>BRIDGES ELIZABETH</v>
      </c>
      <c r="E234" t="s">
        <v>52</v>
      </c>
      <c r="F234" t="s">
        <v>309</v>
      </c>
      <c r="G234" t="s">
        <v>310</v>
      </c>
      <c r="H234">
        <v>8977234</v>
      </c>
      <c r="I234" t="s">
        <v>55</v>
      </c>
      <c r="J234" t="s">
        <v>56</v>
      </c>
      <c r="K234" t="str">
        <f t="shared" si="9"/>
        <v>RYAN CALTAGIRONE</v>
      </c>
      <c r="L234" t="s">
        <v>57</v>
      </c>
      <c r="M234" s="1">
        <v>45037</v>
      </c>
      <c r="N234" s="1">
        <v>45982</v>
      </c>
      <c r="O234" s="2">
        <v>113.49</v>
      </c>
      <c r="P234">
        <f t="shared" si="10"/>
        <v>31</v>
      </c>
      <c r="Q234" t="s">
        <v>264</v>
      </c>
      <c r="R234" t="s">
        <v>1086</v>
      </c>
      <c r="S234" t="s">
        <v>58</v>
      </c>
      <c r="T234" s="4">
        <v>5.2499999999999998E-2</v>
      </c>
      <c r="U234" t="s">
        <v>264</v>
      </c>
      <c r="V234" t="s">
        <v>61</v>
      </c>
      <c r="W234" s="2">
        <v>0</v>
      </c>
      <c r="X234" s="2">
        <v>5.96</v>
      </c>
      <c r="Y234" s="2">
        <v>5.96</v>
      </c>
      <c r="Z234" t="s">
        <v>310</v>
      </c>
    </row>
    <row r="235" spans="1:26" s="5" customFormat="1" x14ac:dyDescent="0.25">
      <c r="A235" s="5">
        <v>2030686023</v>
      </c>
      <c r="B235" s="5" t="s">
        <v>184</v>
      </c>
      <c r="C235" s="5" t="s">
        <v>185</v>
      </c>
      <c r="D235" s="5" t="str">
        <f t="shared" si="11"/>
        <v>JONAH LINDBLAD</v>
      </c>
      <c r="E235" s="5" t="s">
        <v>92</v>
      </c>
      <c r="F235" s="5" t="s">
        <v>355</v>
      </c>
      <c r="G235" s="5" t="s">
        <v>356</v>
      </c>
      <c r="H235" s="5">
        <v>16865615</v>
      </c>
      <c r="I235" s="5" t="s">
        <v>93</v>
      </c>
      <c r="J235" s="5" t="s">
        <v>94</v>
      </c>
      <c r="K235" s="5" t="str">
        <f t="shared" si="9"/>
        <v>Heather Geske</v>
      </c>
      <c r="L235" s="5" t="s">
        <v>57</v>
      </c>
      <c r="M235" s="6">
        <v>45901</v>
      </c>
      <c r="N235" s="6">
        <v>45992</v>
      </c>
      <c r="O235" s="7">
        <v>17.079999999999998</v>
      </c>
      <c r="P235" s="5">
        <f t="shared" si="10"/>
        <v>3</v>
      </c>
      <c r="Q235" s="5" t="s">
        <v>264</v>
      </c>
      <c r="R235" s="5" t="s">
        <v>1085</v>
      </c>
      <c r="S235" s="5" t="s">
        <v>58</v>
      </c>
      <c r="T235" s="8">
        <v>0.38</v>
      </c>
      <c r="U235" s="5" t="s">
        <v>60</v>
      </c>
      <c r="V235" s="5" t="s">
        <v>61</v>
      </c>
      <c r="W235" s="7">
        <v>6.49</v>
      </c>
      <c r="X235" s="7">
        <v>0</v>
      </c>
      <c r="Y235" s="7">
        <v>6.49</v>
      </c>
      <c r="Z235" s="5" t="s">
        <v>356</v>
      </c>
    </row>
    <row r="236" spans="1:26" s="5" customFormat="1" x14ac:dyDescent="0.25">
      <c r="A236" s="5">
        <v>2029623276</v>
      </c>
      <c r="B236" s="5" t="s">
        <v>106</v>
      </c>
      <c r="C236" s="5" t="s">
        <v>706</v>
      </c>
      <c r="D236" s="5" t="str">
        <f t="shared" si="11"/>
        <v>ETHAN KNOEBEL</v>
      </c>
      <c r="E236" s="5" t="s">
        <v>69</v>
      </c>
      <c r="F236" s="5" t="s">
        <v>355</v>
      </c>
      <c r="G236" s="5" t="s">
        <v>356</v>
      </c>
      <c r="H236" s="5">
        <v>7146581</v>
      </c>
      <c r="I236" s="5" t="s">
        <v>159</v>
      </c>
      <c r="J236" s="5" t="s">
        <v>160</v>
      </c>
      <c r="K236" s="5" t="str">
        <f t="shared" si="9"/>
        <v>Anthony Hunsberger</v>
      </c>
      <c r="L236" s="5" t="s">
        <v>57</v>
      </c>
      <c r="M236" s="6">
        <v>45833</v>
      </c>
      <c r="N236" s="6">
        <v>45986</v>
      </c>
      <c r="O236" s="7">
        <v>11.71</v>
      </c>
      <c r="P236" s="5">
        <f t="shared" si="10"/>
        <v>5</v>
      </c>
      <c r="Q236" s="5" t="s">
        <v>264</v>
      </c>
      <c r="R236" s="5" t="s">
        <v>1085</v>
      </c>
      <c r="S236" s="5" t="s">
        <v>58</v>
      </c>
      <c r="T236" s="8">
        <v>0.38</v>
      </c>
      <c r="U236" s="5" t="s">
        <v>60</v>
      </c>
      <c r="V236" s="5" t="s">
        <v>61</v>
      </c>
      <c r="W236" s="7">
        <v>4.45</v>
      </c>
      <c r="X236" s="7">
        <v>0</v>
      </c>
      <c r="Y236" s="7">
        <v>4.45</v>
      </c>
      <c r="Z236" s="5" t="s">
        <v>356</v>
      </c>
    </row>
    <row r="237" spans="1:26" s="5" customFormat="1" x14ac:dyDescent="0.25">
      <c r="A237" s="5">
        <v>2028899052</v>
      </c>
      <c r="B237" s="5" t="s">
        <v>691</v>
      </c>
      <c r="C237" s="5" t="s">
        <v>692</v>
      </c>
      <c r="D237" s="5" t="str">
        <f t="shared" si="11"/>
        <v>MACTAVISH MADISON</v>
      </c>
      <c r="E237" s="5" t="s">
        <v>69</v>
      </c>
      <c r="F237" s="5" t="s">
        <v>355</v>
      </c>
      <c r="G237" s="5" t="s">
        <v>356</v>
      </c>
      <c r="H237" s="5">
        <v>8325282</v>
      </c>
      <c r="I237" s="5" t="s">
        <v>447</v>
      </c>
      <c r="J237" s="5" t="s">
        <v>448</v>
      </c>
      <c r="K237" s="5" t="str">
        <f t="shared" si="9"/>
        <v>Dale Walenga</v>
      </c>
      <c r="L237" s="5" t="s">
        <v>57</v>
      </c>
      <c r="M237" s="6">
        <v>45809</v>
      </c>
      <c r="N237" s="6">
        <v>45992</v>
      </c>
      <c r="O237" s="7">
        <v>5.68</v>
      </c>
      <c r="P237" s="5">
        <f t="shared" si="10"/>
        <v>6</v>
      </c>
      <c r="Q237" s="5" t="s">
        <v>264</v>
      </c>
      <c r="R237" s="5" t="s">
        <v>1086</v>
      </c>
      <c r="S237" s="5" t="s">
        <v>58</v>
      </c>
      <c r="T237" s="8">
        <v>0.38</v>
      </c>
      <c r="U237" s="5" t="s">
        <v>60</v>
      </c>
      <c r="V237" s="5" t="s">
        <v>61</v>
      </c>
      <c r="W237" s="7">
        <v>2.16</v>
      </c>
      <c r="X237" s="7">
        <v>0</v>
      </c>
      <c r="Y237" s="7">
        <v>2.16</v>
      </c>
      <c r="Z237" s="5" t="s">
        <v>356</v>
      </c>
    </row>
    <row r="238" spans="1:26" s="5" customFormat="1" x14ac:dyDescent="0.25">
      <c r="A238" s="5">
        <v>2029145086</v>
      </c>
      <c r="B238" s="5" t="s">
        <v>703</v>
      </c>
      <c r="C238" s="5" t="s">
        <v>704</v>
      </c>
      <c r="D238" s="5" t="str">
        <f t="shared" si="11"/>
        <v>O'REILLY JUDITH</v>
      </c>
      <c r="E238" s="5" t="s">
        <v>69</v>
      </c>
      <c r="F238" s="5" t="s">
        <v>355</v>
      </c>
      <c r="G238" s="5" t="s">
        <v>356</v>
      </c>
      <c r="H238" s="5">
        <v>17094718</v>
      </c>
      <c r="I238" s="5" t="s">
        <v>335</v>
      </c>
      <c r="J238" s="5" t="s">
        <v>336</v>
      </c>
      <c r="K238" s="5" t="str">
        <f t="shared" si="9"/>
        <v>GREGORY HANSFORD</v>
      </c>
      <c r="L238" s="5" t="s">
        <v>57</v>
      </c>
      <c r="M238" s="6">
        <v>45805</v>
      </c>
      <c r="N238" s="6">
        <v>45989</v>
      </c>
      <c r="O238" s="7">
        <v>25.15</v>
      </c>
      <c r="P238" s="5">
        <f t="shared" si="10"/>
        <v>6</v>
      </c>
      <c r="Q238" s="5" t="s">
        <v>264</v>
      </c>
      <c r="R238" s="5" t="s">
        <v>1086</v>
      </c>
      <c r="S238" s="5" t="s">
        <v>58</v>
      </c>
      <c r="T238" s="8">
        <v>0.38</v>
      </c>
      <c r="U238" s="5" t="s">
        <v>60</v>
      </c>
      <c r="V238" s="5" t="s">
        <v>61</v>
      </c>
      <c r="W238" s="7">
        <v>9.5500000000000007</v>
      </c>
      <c r="X238" s="7">
        <v>0.01</v>
      </c>
      <c r="Y238" s="7">
        <v>9.5500000000000007</v>
      </c>
      <c r="Z238" s="5" t="s">
        <v>356</v>
      </c>
    </row>
    <row r="239" spans="1:26" s="5" customFormat="1" x14ac:dyDescent="0.25">
      <c r="A239" s="5">
        <v>2029037968</v>
      </c>
      <c r="B239" s="5" t="s">
        <v>695</v>
      </c>
      <c r="C239" s="5" t="s">
        <v>99</v>
      </c>
      <c r="D239" s="5" t="str">
        <f t="shared" si="11"/>
        <v>KIRSCH TINA</v>
      </c>
      <c r="E239" s="5" t="s">
        <v>696</v>
      </c>
      <c r="F239" s="5" t="s">
        <v>355</v>
      </c>
      <c r="G239" s="5" t="s">
        <v>356</v>
      </c>
      <c r="H239" s="5">
        <v>19617796</v>
      </c>
      <c r="I239" s="5" t="s">
        <v>697</v>
      </c>
      <c r="J239" s="5" t="s">
        <v>698</v>
      </c>
      <c r="K239" s="5" t="str">
        <f t="shared" si="9"/>
        <v>Heidi Berthelsen</v>
      </c>
      <c r="L239" s="5" t="s">
        <v>57</v>
      </c>
      <c r="M239" s="6">
        <v>45809</v>
      </c>
      <c r="N239" s="6">
        <v>45992</v>
      </c>
      <c r="O239" s="7">
        <v>24.22</v>
      </c>
      <c r="P239" s="5">
        <f t="shared" si="10"/>
        <v>6</v>
      </c>
      <c r="Q239" s="5" t="s">
        <v>264</v>
      </c>
      <c r="R239" s="5" t="s">
        <v>1086</v>
      </c>
      <c r="S239" s="5" t="s">
        <v>58</v>
      </c>
      <c r="T239" s="8">
        <v>0.38</v>
      </c>
      <c r="U239" s="5" t="s">
        <v>60</v>
      </c>
      <c r="V239" s="5" t="s">
        <v>61</v>
      </c>
      <c r="W239" s="7">
        <v>9.1999999999999993</v>
      </c>
      <c r="X239" s="7">
        <v>0</v>
      </c>
      <c r="Y239" s="7">
        <v>9.1999999999999993</v>
      </c>
      <c r="Z239" s="5" t="s">
        <v>356</v>
      </c>
    </row>
    <row r="240" spans="1:26" s="5" customFormat="1" x14ac:dyDescent="0.25">
      <c r="A240" s="5">
        <v>2026615270</v>
      </c>
      <c r="B240" s="5" t="s">
        <v>584</v>
      </c>
      <c r="C240" s="5" t="s">
        <v>585</v>
      </c>
      <c r="D240" s="5" t="str">
        <f t="shared" si="11"/>
        <v>BOUCHARD PIERRE</v>
      </c>
      <c r="E240" s="5" t="s">
        <v>92</v>
      </c>
      <c r="F240" s="5" t="s">
        <v>355</v>
      </c>
      <c r="G240" s="5" t="s">
        <v>356</v>
      </c>
      <c r="H240" s="5">
        <v>16865615</v>
      </c>
      <c r="I240" s="5" t="s">
        <v>93</v>
      </c>
      <c r="J240" s="5" t="s">
        <v>94</v>
      </c>
      <c r="K240" s="5" t="str">
        <f t="shared" si="9"/>
        <v>Heather Geske</v>
      </c>
      <c r="L240" s="5" t="s">
        <v>57</v>
      </c>
      <c r="M240" s="6">
        <v>45689</v>
      </c>
      <c r="N240" s="6">
        <v>45992</v>
      </c>
      <c r="O240" s="7">
        <v>29.31</v>
      </c>
      <c r="P240" s="5">
        <f t="shared" si="10"/>
        <v>10</v>
      </c>
      <c r="Q240" s="5" t="s">
        <v>264</v>
      </c>
      <c r="R240" s="5" t="s">
        <v>1086</v>
      </c>
      <c r="S240" s="5" t="s">
        <v>58</v>
      </c>
      <c r="T240" s="8">
        <v>0.38</v>
      </c>
      <c r="U240" s="5" t="s">
        <v>60</v>
      </c>
      <c r="V240" s="5" t="s">
        <v>61</v>
      </c>
      <c r="W240" s="7">
        <v>0</v>
      </c>
      <c r="X240" s="7">
        <v>11.14</v>
      </c>
      <c r="Y240" s="7">
        <v>11.14</v>
      </c>
      <c r="Z240" s="5" t="s">
        <v>356</v>
      </c>
    </row>
    <row r="241" spans="1:26" s="5" customFormat="1" x14ac:dyDescent="0.25">
      <c r="A241" s="5">
        <v>2026812434</v>
      </c>
      <c r="B241" s="5" t="s">
        <v>600</v>
      </c>
      <c r="C241" s="5" t="s">
        <v>601</v>
      </c>
      <c r="D241" s="5" t="str">
        <f t="shared" si="11"/>
        <v>JIMENEZ FIDEL</v>
      </c>
      <c r="E241" s="5" t="s">
        <v>92</v>
      </c>
      <c r="F241" s="5" t="s">
        <v>355</v>
      </c>
      <c r="G241" s="5" t="s">
        <v>356</v>
      </c>
      <c r="H241" s="5">
        <v>16865615</v>
      </c>
      <c r="I241" s="5" t="s">
        <v>93</v>
      </c>
      <c r="J241" s="5" t="s">
        <v>94</v>
      </c>
      <c r="K241" s="5" t="str">
        <f t="shared" si="9"/>
        <v>Heather Geske</v>
      </c>
      <c r="L241" s="5" t="s">
        <v>57</v>
      </c>
      <c r="M241" s="6">
        <v>45690</v>
      </c>
      <c r="N241" s="6">
        <v>45993</v>
      </c>
      <c r="O241" s="7">
        <v>50.18</v>
      </c>
      <c r="P241" s="5">
        <f t="shared" si="10"/>
        <v>10</v>
      </c>
      <c r="Q241" s="5" t="s">
        <v>264</v>
      </c>
      <c r="R241" s="5" t="s">
        <v>1086</v>
      </c>
      <c r="S241" s="5" t="s">
        <v>58</v>
      </c>
      <c r="T241" s="8">
        <v>0.38</v>
      </c>
      <c r="U241" s="5" t="s">
        <v>60</v>
      </c>
      <c r="V241" s="5" t="s">
        <v>61</v>
      </c>
      <c r="W241" s="7">
        <v>0</v>
      </c>
      <c r="X241" s="7">
        <v>19.07</v>
      </c>
      <c r="Y241" s="7">
        <v>19.07</v>
      </c>
      <c r="Z241" s="5" t="s">
        <v>356</v>
      </c>
    </row>
    <row r="242" spans="1:26" s="5" customFormat="1" x14ac:dyDescent="0.25">
      <c r="A242" s="5">
        <v>2026262564</v>
      </c>
      <c r="B242" s="5" t="s">
        <v>580</v>
      </c>
      <c r="C242" s="5" t="s">
        <v>581</v>
      </c>
      <c r="D242" s="5" t="str">
        <f t="shared" si="11"/>
        <v>RIZO ESTEBAN</v>
      </c>
      <c r="E242" s="5" t="s">
        <v>92</v>
      </c>
      <c r="F242" s="5" t="s">
        <v>355</v>
      </c>
      <c r="G242" s="5" t="s">
        <v>356</v>
      </c>
      <c r="H242" s="5">
        <v>16865615</v>
      </c>
      <c r="I242" s="5" t="s">
        <v>93</v>
      </c>
      <c r="J242" s="5" t="s">
        <v>94</v>
      </c>
      <c r="K242" s="5" t="str">
        <f t="shared" si="9"/>
        <v>Heather Geske</v>
      </c>
      <c r="L242" s="5" t="s">
        <v>57</v>
      </c>
      <c r="M242" s="6">
        <v>45647</v>
      </c>
      <c r="N242" s="6">
        <v>45982</v>
      </c>
      <c r="O242" s="7">
        <v>16.91</v>
      </c>
      <c r="P242" s="5">
        <f t="shared" si="10"/>
        <v>11</v>
      </c>
      <c r="Q242" s="5" t="s">
        <v>264</v>
      </c>
      <c r="R242" s="5" t="s">
        <v>1086</v>
      </c>
      <c r="S242" s="5" t="s">
        <v>58</v>
      </c>
      <c r="T242" s="8">
        <v>0.38</v>
      </c>
      <c r="U242" s="5" t="s">
        <v>60</v>
      </c>
      <c r="V242" s="5" t="s">
        <v>61</v>
      </c>
      <c r="W242" s="7">
        <v>0</v>
      </c>
      <c r="X242" s="7">
        <v>6.43</v>
      </c>
      <c r="Y242" s="7">
        <v>6.43</v>
      </c>
      <c r="Z242" s="5" t="s">
        <v>356</v>
      </c>
    </row>
    <row r="243" spans="1:26" s="5" customFormat="1" x14ac:dyDescent="0.25">
      <c r="A243">
        <v>2030699751</v>
      </c>
      <c r="B243" t="s">
        <v>711</v>
      </c>
      <c r="C243" t="s">
        <v>357</v>
      </c>
      <c r="D243" s="5" t="str">
        <f t="shared" si="11"/>
        <v>GERALD FOLEY</v>
      </c>
      <c r="E243" t="s">
        <v>195</v>
      </c>
      <c r="F243" t="s">
        <v>355</v>
      </c>
      <c r="G243" t="s">
        <v>356</v>
      </c>
      <c r="H243">
        <v>17425766</v>
      </c>
      <c r="I243" t="s">
        <v>357</v>
      </c>
      <c r="J243" t="s">
        <v>358</v>
      </c>
      <c r="K243" t="str">
        <f t="shared" si="9"/>
        <v>CAROL FOLEY</v>
      </c>
      <c r="L243" t="s">
        <v>57</v>
      </c>
      <c r="M243" s="1">
        <v>45901</v>
      </c>
      <c r="N243" s="1">
        <v>45992</v>
      </c>
      <c r="O243" s="2">
        <v>55.16</v>
      </c>
      <c r="P243">
        <f t="shared" si="10"/>
        <v>3</v>
      </c>
      <c r="Q243" t="s">
        <v>264</v>
      </c>
      <c r="R243" t="s">
        <v>1086</v>
      </c>
      <c r="S243" t="s">
        <v>58</v>
      </c>
      <c r="T243" s="3">
        <v>0.38</v>
      </c>
      <c r="U243" t="s">
        <v>60</v>
      </c>
      <c r="V243" t="s">
        <v>61</v>
      </c>
      <c r="W243" s="2">
        <v>20.96</v>
      </c>
      <c r="X243" s="2">
        <v>0</v>
      </c>
      <c r="Y243" s="2">
        <v>20.96</v>
      </c>
      <c r="Z243" s="5" t="s">
        <v>356</v>
      </c>
    </row>
    <row r="244" spans="1:26" s="5" customFormat="1" x14ac:dyDescent="0.25">
      <c r="A244">
        <v>2030670141</v>
      </c>
      <c r="B244" t="s">
        <v>709</v>
      </c>
      <c r="C244" t="s">
        <v>710</v>
      </c>
      <c r="D244" s="5" t="str">
        <f t="shared" si="11"/>
        <v>TAKASHI KANAI</v>
      </c>
      <c r="E244" t="s">
        <v>195</v>
      </c>
      <c r="F244" t="s">
        <v>355</v>
      </c>
      <c r="G244" t="s">
        <v>356</v>
      </c>
      <c r="H244">
        <v>17425766</v>
      </c>
      <c r="I244" t="s">
        <v>357</v>
      </c>
      <c r="J244" t="s">
        <v>358</v>
      </c>
      <c r="K244" t="str">
        <f t="shared" si="9"/>
        <v>CAROL FOLEY</v>
      </c>
      <c r="L244" t="s">
        <v>57</v>
      </c>
      <c r="M244" s="1">
        <v>45895</v>
      </c>
      <c r="N244" s="1">
        <v>45987</v>
      </c>
      <c r="O244" s="2">
        <v>21.97</v>
      </c>
      <c r="P244">
        <f t="shared" si="10"/>
        <v>3</v>
      </c>
      <c r="Q244" t="s">
        <v>264</v>
      </c>
      <c r="R244" t="s">
        <v>1086</v>
      </c>
      <c r="S244" t="s">
        <v>58</v>
      </c>
      <c r="T244" s="3">
        <v>0.38</v>
      </c>
      <c r="U244" t="s">
        <v>60</v>
      </c>
      <c r="V244" t="s">
        <v>61</v>
      </c>
      <c r="W244" s="2">
        <v>8.35</v>
      </c>
      <c r="X244" s="2">
        <v>0</v>
      </c>
      <c r="Y244" s="2">
        <v>8.35</v>
      </c>
      <c r="Z244" s="5" t="s">
        <v>356</v>
      </c>
    </row>
    <row r="245" spans="1:26" s="5" customFormat="1" x14ac:dyDescent="0.25">
      <c r="A245">
        <v>2030707329</v>
      </c>
      <c r="B245" t="s">
        <v>198</v>
      </c>
      <c r="C245" t="s">
        <v>199</v>
      </c>
      <c r="D245" s="5" t="str">
        <f t="shared" si="11"/>
        <v>SUNG YEOUN</v>
      </c>
      <c r="E245" t="s">
        <v>92</v>
      </c>
      <c r="F245" t="s">
        <v>355</v>
      </c>
      <c r="G245" t="s">
        <v>356</v>
      </c>
      <c r="H245" t="s">
        <v>1081</v>
      </c>
      <c r="I245" t="s">
        <v>191</v>
      </c>
      <c r="J245" t="s">
        <v>192</v>
      </c>
      <c r="K245" t="str">
        <f t="shared" si="9"/>
        <v>JARED KINYUA</v>
      </c>
      <c r="L245" t="s">
        <v>57</v>
      </c>
      <c r="M245" s="1">
        <v>45896</v>
      </c>
      <c r="N245" s="1">
        <v>45988</v>
      </c>
      <c r="O245" s="2">
        <v>31.07</v>
      </c>
      <c r="P245">
        <f t="shared" si="10"/>
        <v>3</v>
      </c>
      <c r="Q245" t="s">
        <v>264</v>
      </c>
      <c r="R245" t="s">
        <v>1086</v>
      </c>
      <c r="S245" t="s">
        <v>58</v>
      </c>
      <c r="T245" s="3">
        <v>0.38</v>
      </c>
      <c r="U245" t="s">
        <v>60</v>
      </c>
      <c r="V245" t="s">
        <v>61</v>
      </c>
      <c r="W245" s="2">
        <v>11.81</v>
      </c>
      <c r="X245" s="2">
        <v>0</v>
      </c>
      <c r="Y245" s="2">
        <v>11.81</v>
      </c>
      <c r="Z245" s="5" t="s">
        <v>356</v>
      </c>
    </row>
    <row r="246" spans="1:26" s="5" customFormat="1" x14ac:dyDescent="0.25">
      <c r="A246">
        <v>2030439491</v>
      </c>
      <c r="B246" t="s">
        <v>84</v>
      </c>
      <c r="C246" t="s">
        <v>85</v>
      </c>
      <c r="D246" s="5" t="str">
        <f t="shared" si="11"/>
        <v>NATALIE FILIPPO</v>
      </c>
      <c r="E246" t="s">
        <v>69</v>
      </c>
      <c r="F246" t="s">
        <v>355</v>
      </c>
      <c r="G246" t="s">
        <v>356</v>
      </c>
      <c r="H246">
        <v>8977234</v>
      </c>
      <c r="I246" t="s">
        <v>55</v>
      </c>
      <c r="J246" t="s">
        <v>56</v>
      </c>
      <c r="K246" t="str">
        <f t="shared" si="9"/>
        <v>RYAN CALTAGIRONE</v>
      </c>
      <c r="L246" t="s">
        <v>57</v>
      </c>
      <c r="M246" s="1">
        <v>45901</v>
      </c>
      <c r="N246" s="1">
        <v>45992</v>
      </c>
      <c r="O246" s="2">
        <v>13.24</v>
      </c>
      <c r="P246">
        <f t="shared" si="10"/>
        <v>3</v>
      </c>
      <c r="Q246" t="s">
        <v>264</v>
      </c>
      <c r="R246" t="s">
        <v>1086</v>
      </c>
      <c r="S246" t="s">
        <v>58</v>
      </c>
      <c r="T246" s="3">
        <v>0.38</v>
      </c>
      <c r="U246" t="s">
        <v>60</v>
      </c>
      <c r="V246" t="s">
        <v>61</v>
      </c>
      <c r="W246" s="2">
        <v>5.03</v>
      </c>
      <c r="X246" s="2">
        <v>0</v>
      </c>
      <c r="Y246" s="2">
        <v>5.03</v>
      </c>
      <c r="Z246" s="5" t="s">
        <v>356</v>
      </c>
    </row>
    <row r="247" spans="1:26" s="5" customFormat="1" x14ac:dyDescent="0.25">
      <c r="A247">
        <v>2030627972</v>
      </c>
      <c r="B247" t="s">
        <v>707</v>
      </c>
      <c r="C247" t="s">
        <v>708</v>
      </c>
      <c r="D247" s="5" t="str">
        <f t="shared" si="11"/>
        <v>MARTINA TOUHEY</v>
      </c>
      <c r="E247" t="s">
        <v>195</v>
      </c>
      <c r="F247" t="s">
        <v>355</v>
      </c>
      <c r="G247" t="s">
        <v>356</v>
      </c>
      <c r="H247">
        <v>15950276</v>
      </c>
      <c r="I247" t="s">
        <v>196</v>
      </c>
      <c r="J247" t="s">
        <v>197</v>
      </c>
      <c r="K247" t="str">
        <f t="shared" si="9"/>
        <v>Ryan Stocker</v>
      </c>
      <c r="L247" t="s">
        <v>57</v>
      </c>
      <c r="M247" s="1">
        <v>45901</v>
      </c>
      <c r="N247" s="1">
        <v>45992</v>
      </c>
      <c r="O247" s="2">
        <v>104.81</v>
      </c>
      <c r="P247">
        <f t="shared" si="10"/>
        <v>3</v>
      </c>
      <c r="Q247" t="s">
        <v>264</v>
      </c>
      <c r="R247" t="s">
        <v>1086</v>
      </c>
      <c r="S247" t="s">
        <v>58</v>
      </c>
      <c r="T247" s="3">
        <v>0.38</v>
      </c>
      <c r="U247" t="s">
        <v>60</v>
      </c>
      <c r="V247" t="s">
        <v>61</v>
      </c>
      <c r="W247" s="2">
        <v>39.83</v>
      </c>
      <c r="X247" s="2">
        <v>0</v>
      </c>
      <c r="Y247" s="2">
        <v>39.83</v>
      </c>
      <c r="Z247" s="5" t="s">
        <v>356</v>
      </c>
    </row>
    <row r="248" spans="1:26" s="5" customFormat="1" x14ac:dyDescent="0.25">
      <c r="A248">
        <v>2030697179</v>
      </c>
      <c r="B248" t="s">
        <v>193</v>
      </c>
      <c r="C248" t="s">
        <v>194</v>
      </c>
      <c r="D248" s="5" t="str">
        <f t="shared" si="11"/>
        <v>ABBEY BORROUGHS</v>
      </c>
      <c r="E248" t="s">
        <v>195</v>
      </c>
      <c r="F248" t="s">
        <v>355</v>
      </c>
      <c r="G248" t="s">
        <v>356</v>
      </c>
      <c r="H248">
        <v>15950276</v>
      </c>
      <c r="I248" t="s">
        <v>196</v>
      </c>
      <c r="J248" t="s">
        <v>197</v>
      </c>
      <c r="K248" t="str">
        <f t="shared" si="9"/>
        <v>Ryan Stocker</v>
      </c>
      <c r="L248" t="s">
        <v>57</v>
      </c>
      <c r="M248" s="1">
        <v>45901</v>
      </c>
      <c r="N248" s="1">
        <v>45992</v>
      </c>
      <c r="O248" s="2">
        <v>51.58</v>
      </c>
      <c r="P248">
        <f t="shared" si="10"/>
        <v>3</v>
      </c>
      <c r="Q248" t="s">
        <v>264</v>
      </c>
      <c r="R248" t="s">
        <v>1086</v>
      </c>
      <c r="S248" t="s">
        <v>58</v>
      </c>
      <c r="T248" s="3">
        <v>0.38</v>
      </c>
      <c r="U248" t="s">
        <v>60</v>
      </c>
      <c r="V248" t="s">
        <v>61</v>
      </c>
      <c r="W248" s="2">
        <v>19.600000000000001</v>
      </c>
      <c r="X248" s="2">
        <v>0</v>
      </c>
      <c r="Y248" s="2">
        <v>19.600000000000001</v>
      </c>
      <c r="Z248" s="5" t="s">
        <v>356</v>
      </c>
    </row>
    <row r="249" spans="1:26" s="5" customFormat="1" x14ac:dyDescent="0.25">
      <c r="A249">
        <v>2029138757</v>
      </c>
      <c r="B249" t="s">
        <v>701</v>
      </c>
      <c r="C249" t="s">
        <v>702</v>
      </c>
      <c r="D249" s="5" t="str">
        <f t="shared" si="11"/>
        <v>STOVER EDWARD</v>
      </c>
      <c r="E249" t="s">
        <v>287</v>
      </c>
      <c r="F249" t="s">
        <v>355</v>
      </c>
      <c r="G249" t="s">
        <v>356</v>
      </c>
      <c r="H249">
        <v>17425766</v>
      </c>
      <c r="I249" t="s">
        <v>357</v>
      </c>
      <c r="J249" t="s">
        <v>358</v>
      </c>
      <c r="K249" t="str">
        <f t="shared" si="9"/>
        <v>CAROL FOLEY</v>
      </c>
      <c r="L249" t="s">
        <v>57</v>
      </c>
      <c r="M249" s="1">
        <v>45809</v>
      </c>
      <c r="N249" s="1">
        <v>45992</v>
      </c>
      <c r="O249" s="2">
        <v>88.87</v>
      </c>
      <c r="P249">
        <f t="shared" si="10"/>
        <v>6</v>
      </c>
      <c r="Q249" t="s">
        <v>264</v>
      </c>
      <c r="R249" t="s">
        <v>1086</v>
      </c>
      <c r="S249" t="s">
        <v>58</v>
      </c>
      <c r="T249" s="3">
        <v>0.38</v>
      </c>
      <c r="U249" t="s">
        <v>60</v>
      </c>
      <c r="V249" t="s">
        <v>61</v>
      </c>
      <c r="W249" s="2">
        <v>33.770000000000003</v>
      </c>
      <c r="X249" s="2">
        <v>0</v>
      </c>
      <c r="Y249" s="2">
        <v>33.770000000000003</v>
      </c>
      <c r="Z249" s="5" t="s">
        <v>356</v>
      </c>
    </row>
    <row r="250" spans="1:26" s="5" customFormat="1" x14ac:dyDescent="0.25">
      <c r="A250">
        <v>2028837567</v>
      </c>
      <c r="B250" t="s">
        <v>485</v>
      </c>
      <c r="C250" t="s">
        <v>544</v>
      </c>
      <c r="D250" s="5" t="str">
        <f t="shared" si="11"/>
        <v>DOUGLAS MARGARET</v>
      </c>
      <c r="E250" t="s">
        <v>78</v>
      </c>
      <c r="F250" t="s">
        <v>355</v>
      </c>
      <c r="G250" t="s">
        <v>356</v>
      </c>
      <c r="H250">
        <v>18781057</v>
      </c>
      <c r="I250" t="s">
        <v>349</v>
      </c>
      <c r="J250" t="s">
        <v>312</v>
      </c>
      <c r="K250" t="str">
        <f t="shared" si="9"/>
        <v>JOHN ROKEN</v>
      </c>
      <c r="L250" t="s">
        <v>57</v>
      </c>
      <c r="M250" s="1">
        <v>45809</v>
      </c>
      <c r="N250" s="1">
        <v>45992</v>
      </c>
      <c r="O250" s="2">
        <v>36.450000000000003</v>
      </c>
      <c r="P250">
        <f t="shared" si="10"/>
        <v>6</v>
      </c>
      <c r="Q250" t="s">
        <v>264</v>
      </c>
      <c r="R250" t="s">
        <v>1086</v>
      </c>
      <c r="S250" t="s">
        <v>58</v>
      </c>
      <c r="T250" s="3">
        <v>0.38</v>
      </c>
      <c r="U250" t="s">
        <v>60</v>
      </c>
      <c r="V250" t="s">
        <v>61</v>
      </c>
      <c r="W250" s="2">
        <v>0</v>
      </c>
      <c r="X250" s="2">
        <v>13.85</v>
      </c>
      <c r="Y250" s="2">
        <v>13.85</v>
      </c>
      <c r="Z250" s="5" t="s">
        <v>356</v>
      </c>
    </row>
    <row r="251" spans="1:26" s="5" customFormat="1" x14ac:dyDescent="0.25">
      <c r="A251">
        <v>2028901562</v>
      </c>
      <c r="B251" t="s">
        <v>693</v>
      </c>
      <c r="C251" t="s">
        <v>694</v>
      </c>
      <c r="D251" s="5" t="str">
        <f t="shared" si="11"/>
        <v>MATHIEU ISAAC</v>
      </c>
      <c r="E251" t="s">
        <v>195</v>
      </c>
      <c r="F251" t="s">
        <v>355</v>
      </c>
      <c r="G251" t="s">
        <v>356</v>
      </c>
      <c r="H251">
        <v>18781057</v>
      </c>
      <c r="I251" t="s">
        <v>349</v>
      </c>
      <c r="J251" t="s">
        <v>312</v>
      </c>
      <c r="K251" t="str">
        <f t="shared" si="9"/>
        <v>JOHN ROKEN</v>
      </c>
      <c r="L251" t="s">
        <v>57</v>
      </c>
      <c r="M251" s="1">
        <v>45809</v>
      </c>
      <c r="N251" s="1">
        <v>45992</v>
      </c>
      <c r="O251" s="2">
        <v>55.16</v>
      </c>
      <c r="P251">
        <f t="shared" si="10"/>
        <v>6</v>
      </c>
      <c r="Q251" t="s">
        <v>264</v>
      </c>
      <c r="R251" t="s">
        <v>1086</v>
      </c>
      <c r="S251" t="s">
        <v>58</v>
      </c>
      <c r="T251" s="3">
        <v>0.38</v>
      </c>
      <c r="U251" t="s">
        <v>60</v>
      </c>
      <c r="V251" t="s">
        <v>61</v>
      </c>
      <c r="W251" s="2">
        <v>0</v>
      </c>
      <c r="X251" s="2">
        <v>20.96</v>
      </c>
      <c r="Y251" s="2">
        <v>20.96</v>
      </c>
      <c r="Z251" s="5" t="s">
        <v>356</v>
      </c>
    </row>
    <row r="252" spans="1:26" s="5" customFormat="1" x14ac:dyDescent="0.25">
      <c r="A252">
        <v>2027667427</v>
      </c>
      <c r="B252" t="s">
        <v>683</v>
      </c>
      <c r="C252" t="s">
        <v>684</v>
      </c>
      <c r="D252" s="5" t="str">
        <f t="shared" si="11"/>
        <v>ADDISON OLIVE</v>
      </c>
      <c r="E252" t="s">
        <v>195</v>
      </c>
      <c r="F252" t="s">
        <v>355</v>
      </c>
      <c r="G252" t="s">
        <v>356</v>
      </c>
      <c r="H252">
        <v>17425766</v>
      </c>
      <c r="I252" t="s">
        <v>357</v>
      </c>
      <c r="J252" t="s">
        <v>358</v>
      </c>
      <c r="K252" t="str">
        <f t="shared" si="9"/>
        <v>CAROL FOLEY</v>
      </c>
      <c r="L252" t="s">
        <v>57</v>
      </c>
      <c r="M252" s="1">
        <v>45748</v>
      </c>
      <c r="N252" s="1">
        <v>45992</v>
      </c>
      <c r="O252" s="2">
        <v>46.13</v>
      </c>
      <c r="P252">
        <f t="shared" si="10"/>
        <v>8</v>
      </c>
      <c r="Q252" t="s">
        <v>264</v>
      </c>
      <c r="R252" t="s">
        <v>1086</v>
      </c>
      <c r="S252" t="s">
        <v>58</v>
      </c>
      <c r="T252" s="3">
        <v>0.38</v>
      </c>
      <c r="U252" t="s">
        <v>60</v>
      </c>
      <c r="V252" t="s">
        <v>61</v>
      </c>
      <c r="W252" s="2">
        <v>0</v>
      </c>
      <c r="X252" s="2">
        <v>17.53</v>
      </c>
      <c r="Y252" s="2">
        <v>17.53</v>
      </c>
      <c r="Z252" s="5" t="s">
        <v>356</v>
      </c>
    </row>
    <row r="253" spans="1:26" s="5" customFormat="1" x14ac:dyDescent="0.25">
      <c r="A253">
        <v>2028098327</v>
      </c>
      <c r="B253" t="s">
        <v>687</v>
      </c>
      <c r="C253" t="s">
        <v>688</v>
      </c>
      <c r="D253" s="5" t="str">
        <f t="shared" si="11"/>
        <v>JANG SO</v>
      </c>
      <c r="E253" t="s">
        <v>195</v>
      </c>
      <c r="F253" t="s">
        <v>355</v>
      </c>
      <c r="G253" t="s">
        <v>356</v>
      </c>
      <c r="H253">
        <v>17425766</v>
      </c>
      <c r="I253" t="s">
        <v>357</v>
      </c>
      <c r="J253" t="s">
        <v>358</v>
      </c>
      <c r="K253" t="str">
        <f t="shared" si="9"/>
        <v>CAROL FOLEY</v>
      </c>
      <c r="L253" t="s">
        <v>57</v>
      </c>
      <c r="M253" s="1">
        <v>45748</v>
      </c>
      <c r="N253" s="1">
        <v>45992</v>
      </c>
      <c r="O253" s="2">
        <v>47.17</v>
      </c>
      <c r="P253">
        <f t="shared" si="10"/>
        <v>8</v>
      </c>
      <c r="Q253" t="s">
        <v>264</v>
      </c>
      <c r="R253" t="s">
        <v>1086</v>
      </c>
      <c r="S253" t="s">
        <v>58</v>
      </c>
      <c r="T253" s="3">
        <v>0.38</v>
      </c>
      <c r="U253" t="s">
        <v>60</v>
      </c>
      <c r="V253" t="s">
        <v>61</v>
      </c>
      <c r="W253" s="2">
        <v>0</v>
      </c>
      <c r="X253" s="2">
        <v>17.920000000000002</v>
      </c>
      <c r="Y253" s="2">
        <v>17.920000000000002</v>
      </c>
      <c r="Z253" s="5" t="s">
        <v>356</v>
      </c>
    </row>
    <row r="254" spans="1:26" s="5" customFormat="1" x14ac:dyDescent="0.25">
      <c r="A254">
        <v>2027665173</v>
      </c>
      <c r="B254" t="s">
        <v>523</v>
      </c>
      <c r="C254" t="s">
        <v>524</v>
      </c>
      <c r="D254" s="5" t="str">
        <f t="shared" si="11"/>
        <v>WILSON SHAWN</v>
      </c>
      <c r="E254" t="s">
        <v>52</v>
      </c>
      <c r="F254" t="s">
        <v>355</v>
      </c>
      <c r="G254" t="s">
        <v>356</v>
      </c>
      <c r="H254">
        <v>18781057</v>
      </c>
      <c r="I254" t="s">
        <v>349</v>
      </c>
      <c r="J254" t="s">
        <v>312</v>
      </c>
      <c r="K254" t="str">
        <f t="shared" si="9"/>
        <v>JOHN ROKEN</v>
      </c>
      <c r="L254" t="s">
        <v>57</v>
      </c>
      <c r="M254" s="1">
        <v>45748</v>
      </c>
      <c r="N254" s="1">
        <v>45992</v>
      </c>
      <c r="O254" s="2">
        <v>13.24</v>
      </c>
      <c r="P254">
        <f t="shared" si="10"/>
        <v>8</v>
      </c>
      <c r="Q254" t="s">
        <v>264</v>
      </c>
      <c r="R254" t="s">
        <v>1086</v>
      </c>
      <c r="S254" t="s">
        <v>58</v>
      </c>
      <c r="T254" s="3">
        <v>0.38</v>
      </c>
      <c r="U254" t="s">
        <v>60</v>
      </c>
      <c r="V254" t="s">
        <v>61</v>
      </c>
      <c r="W254" s="2">
        <v>0</v>
      </c>
      <c r="X254" s="2">
        <v>5.03</v>
      </c>
      <c r="Y254" s="2">
        <v>5.03</v>
      </c>
      <c r="Z254" s="5" t="s">
        <v>356</v>
      </c>
    </row>
    <row r="255" spans="1:26" s="5" customFormat="1" x14ac:dyDescent="0.25">
      <c r="A255">
        <v>2027762074</v>
      </c>
      <c r="B255" t="s">
        <v>528</v>
      </c>
      <c r="C255" t="s">
        <v>529</v>
      </c>
      <c r="D255" s="5" t="str">
        <f t="shared" si="11"/>
        <v>HERMAN DEANNE</v>
      </c>
      <c r="E255" t="s">
        <v>195</v>
      </c>
      <c r="F255" t="s">
        <v>355</v>
      </c>
      <c r="G255" t="s">
        <v>356</v>
      </c>
      <c r="H255">
        <v>18781057</v>
      </c>
      <c r="I255" t="s">
        <v>349</v>
      </c>
      <c r="J255" t="s">
        <v>312</v>
      </c>
      <c r="K255" t="str">
        <f t="shared" si="9"/>
        <v>JOHN ROKEN</v>
      </c>
      <c r="L255" t="s">
        <v>57</v>
      </c>
      <c r="M255" s="1">
        <v>45748</v>
      </c>
      <c r="N255" s="1">
        <v>45992</v>
      </c>
      <c r="O255" s="2">
        <v>63.67</v>
      </c>
      <c r="P255">
        <f t="shared" si="10"/>
        <v>8</v>
      </c>
      <c r="Q255" t="s">
        <v>264</v>
      </c>
      <c r="R255" t="s">
        <v>1086</v>
      </c>
      <c r="S255" t="s">
        <v>58</v>
      </c>
      <c r="T255" s="3">
        <v>0.38</v>
      </c>
      <c r="U255" t="s">
        <v>60</v>
      </c>
      <c r="V255" t="s">
        <v>61</v>
      </c>
      <c r="W255" s="2">
        <v>0</v>
      </c>
      <c r="X255" s="2">
        <v>24.19</v>
      </c>
      <c r="Y255" s="2">
        <v>24.19</v>
      </c>
      <c r="Z255" s="5" t="s">
        <v>356</v>
      </c>
    </row>
    <row r="256" spans="1:26" s="5" customFormat="1" x14ac:dyDescent="0.25">
      <c r="A256">
        <v>2027765154</v>
      </c>
      <c r="B256" t="s">
        <v>685</v>
      </c>
      <c r="C256" t="s">
        <v>686</v>
      </c>
      <c r="D256" s="5" t="str">
        <f t="shared" si="11"/>
        <v>WAKELEY FELICHA</v>
      </c>
      <c r="E256" t="s">
        <v>195</v>
      </c>
      <c r="F256" t="s">
        <v>355</v>
      </c>
      <c r="G256" t="s">
        <v>356</v>
      </c>
      <c r="H256">
        <v>18781057</v>
      </c>
      <c r="I256" t="s">
        <v>349</v>
      </c>
      <c r="J256" t="s">
        <v>312</v>
      </c>
      <c r="K256" t="str">
        <f t="shared" si="9"/>
        <v>JOHN ROKEN</v>
      </c>
      <c r="L256" t="s">
        <v>57</v>
      </c>
      <c r="M256" s="1">
        <v>45748</v>
      </c>
      <c r="N256" s="1">
        <v>45992</v>
      </c>
      <c r="O256" s="2">
        <v>30.27</v>
      </c>
      <c r="P256">
        <f t="shared" si="10"/>
        <v>8</v>
      </c>
      <c r="Q256" t="s">
        <v>264</v>
      </c>
      <c r="R256" t="s">
        <v>1086</v>
      </c>
      <c r="S256" t="s">
        <v>58</v>
      </c>
      <c r="T256" s="3">
        <v>0.38</v>
      </c>
      <c r="U256" t="s">
        <v>60</v>
      </c>
      <c r="V256" t="s">
        <v>61</v>
      </c>
      <c r="W256" s="2">
        <v>0</v>
      </c>
      <c r="X256" s="2">
        <v>11.5</v>
      </c>
      <c r="Y256" s="2">
        <v>11.5</v>
      </c>
      <c r="Z256" s="5" t="s">
        <v>356</v>
      </c>
    </row>
    <row r="257" spans="1:26" s="5" customFormat="1" x14ac:dyDescent="0.25">
      <c r="A257">
        <v>2028048850</v>
      </c>
      <c r="B257" t="s">
        <v>533</v>
      </c>
      <c r="C257" t="s">
        <v>110</v>
      </c>
      <c r="D257" s="5" t="str">
        <f t="shared" si="11"/>
        <v>ROSS WILLIAM</v>
      </c>
      <c r="E257" t="s">
        <v>247</v>
      </c>
      <c r="F257" t="s">
        <v>355</v>
      </c>
      <c r="G257" t="s">
        <v>356</v>
      </c>
      <c r="H257">
        <v>18781057</v>
      </c>
      <c r="I257" t="s">
        <v>349</v>
      </c>
      <c r="J257" t="s">
        <v>312</v>
      </c>
      <c r="K257" t="str">
        <f t="shared" si="9"/>
        <v>JOHN ROKEN</v>
      </c>
      <c r="L257" t="s">
        <v>57</v>
      </c>
      <c r="M257" s="1">
        <v>45748</v>
      </c>
      <c r="N257" s="1">
        <v>45992</v>
      </c>
      <c r="O257" s="2">
        <v>37.83</v>
      </c>
      <c r="P257">
        <f t="shared" si="10"/>
        <v>8</v>
      </c>
      <c r="Q257" t="s">
        <v>264</v>
      </c>
      <c r="R257" t="s">
        <v>1086</v>
      </c>
      <c r="S257" t="s">
        <v>58</v>
      </c>
      <c r="T257" s="3">
        <v>0.38</v>
      </c>
      <c r="U257" t="s">
        <v>60</v>
      </c>
      <c r="V257" t="s">
        <v>61</v>
      </c>
      <c r="W257" s="2">
        <v>0</v>
      </c>
      <c r="X257" s="2">
        <v>14.38</v>
      </c>
      <c r="Y257" s="2">
        <v>14.38</v>
      </c>
      <c r="Z257" s="5" t="s">
        <v>356</v>
      </c>
    </row>
    <row r="258" spans="1:26" s="5" customFormat="1" x14ac:dyDescent="0.25">
      <c r="A258">
        <v>2026510506</v>
      </c>
      <c r="B258" t="s">
        <v>677</v>
      </c>
      <c r="C258" t="s">
        <v>56</v>
      </c>
      <c r="D258" s="5" t="str">
        <f t="shared" si="11"/>
        <v>HATHAWAY RYAN</v>
      </c>
      <c r="E258" t="s">
        <v>195</v>
      </c>
      <c r="F258" t="s">
        <v>355</v>
      </c>
      <c r="G258" t="s">
        <v>356</v>
      </c>
      <c r="H258">
        <v>17425766</v>
      </c>
      <c r="I258" t="s">
        <v>357</v>
      </c>
      <c r="J258" t="s">
        <v>358</v>
      </c>
      <c r="K258" t="str">
        <f t="shared" ref="K258:K321" si="12">CONCATENATE(J258, " ",I258)</f>
        <v>CAROL FOLEY</v>
      </c>
      <c r="L258" t="s">
        <v>57</v>
      </c>
      <c r="M258" s="1">
        <v>45689</v>
      </c>
      <c r="N258" s="1">
        <v>45992</v>
      </c>
      <c r="O258" s="2">
        <v>57.53</v>
      </c>
      <c r="P258">
        <f t="shared" ref="P258:P321" si="13">DATEDIF(M258,N258,"M")</f>
        <v>10</v>
      </c>
      <c r="Q258" t="s">
        <v>264</v>
      </c>
      <c r="R258" t="s">
        <v>1086</v>
      </c>
      <c r="S258" t="s">
        <v>58</v>
      </c>
      <c r="T258" s="3">
        <v>0.38</v>
      </c>
      <c r="U258" t="s">
        <v>60</v>
      </c>
      <c r="V258" t="s">
        <v>61</v>
      </c>
      <c r="W258" s="2">
        <v>0</v>
      </c>
      <c r="X258" s="2">
        <v>21.86</v>
      </c>
      <c r="Y258" s="2">
        <v>21.86</v>
      </c>
      <c r="Z258" s="5" t="s">
        <v>356</v>
      </c>
    </row>
    <row r="259" spans="1:26" s="5" customFormat="1" x14ac:dyDescent="0.25">
      <c r="A259">
        <v>2026541089</v>
      </c>
      <c r="B259" t="s">
        <v>678</v>
      </c>
      <c r="C259" t="s">
        <v>679</v>
      </c>
      <c r="D259" s="5" t="str">
        <f t="shared" ref="D259:D322" si="14">CONCATENATE(B259, " ",C259)</f>
        <v>HERRICK SANDRA</v>
      </c>
      <c r="E259" t="s">
        <v>195</v>
      </c>
      <c r="F259" t="s">
        <v>355</v>
      </c>
      <c r="G259" t="s">
        <v>356</v>
      </c>
      <c r="H259">
        <v>17425766</v>
      </c>
      <c r="I259" t="s">
        <v>357</v>
      </c>
      <c r="J259" t="s">
        <v>358</v>
      </c>
      <c r="K259" t="str">
        <f t="shared" si="12"/>
        <v>CAROL FOLEY</v>
      </c>
      <c r="L259" t="s">
        <v>57</v>
      </c>
      <c r="M259" s="1">
        <v>45689</v>
      </c>
      <c r="N259" s="1">
        <v>45992</v>
      </c>
      <c r="O259" s="2">
        <v>55.16</v>
      </c>
      <c r="P259">
        <f t="shared" si="13"/>
        <v>10</v>
      </c>
      <c r="Q259" t="s">
        <v>264</v>
      </c>
      <c r="R259" t="s">
        <v>1086</v>
      </c>
      <c r="S259" t="s">
        <v>58</v>
      </c>
      <c r="T259" s="3">
        <v>0.38</v>
      </c>
      <c r="U259" t="s">
        <v>60</v>
      </c>
      <c r="V259" t="s">
        <v>61</v>
      </c>
      <c r="W259" s="2">
        <v>0</v>
      </c>
      <c r="X259" s="2">
        <v>20.96</v>
      </c>
      <c r="Y259" s="2">
        <v>20.96</v>
      </c>
      <c r="Z259" s="5" t="s">
        <v>356</v>
      </c>
    </row>
    <row r="260" spans="1:26" s="5" customFormat="1" x14ac:dyDescent="0.25">
      <c r="A260">
        <v>2026649886</v>
      </c>
      <c r="B260" t="s">
        <v>514</v>
      </c>
      <c r="C260" t="s">
        <v>515</v>
      </c>
      <c r="D260" s="5" t="str">
        <f t="shared" si="14"/>
        <v>STRENGTH AMANDA</v>
      </c>
      <c r="E260" t="s">
        <v>78</v>
      </c>
      <c r="F260" t="s">
        <v>355</v>
      </c>
      <c r="G260" t="s">
        <v>356</v>
      </c>
      <c r="H260">
        <v>17425766</v>
      </c>
      <c r="I260" t="s">
        <v>357</v>
      </c>
      <c r="J260" t="s">
        <v>358</v>
      </c>
      <c r="K260" t="str">
        <f t="shared" si="12"/>
        <v>CAROL FOLEY</v>
      </c>
      <c r="L260" t="s">
        <v>57</v>
      </c>
      <c r="M260" s="1">
        <v>45689</v>
      </c>
      <c r="N260" s="1">
        <v>45992</v>
      </c>
      <c r="O260" s="2">
        <v>26.12</v>
      </c>
      <c r="P260">
        <f t="shared" si="13"/>
        <v>10</v>
      </c>
      <c r="Q260" t="s">
        <v>264</v>
      </c>
      <c r="R260" t="s">
        <v>1086</v>
      </c>
      <c r="S260" t="s">
        <v>58</v>
      </c>
      <c r="T260" s="3">
        <v>0.38</v>
      </c>
      <c r="U260" t="s">
        <v>60</v>
      </c>
      <c r="V260" t="s">
        <v>61</v>
      </c>
      <c r="W260" s="2">
        <v>0</v>
      </c>
      <c r="X260" s="2">
        <v>9.93</v>
      </c>
      <c r="Y260" s="2">
        <v>9.93</v>
      </c>
      <c r="Z260" s="5" t="s">
        <v>356</v>
      </c>
    </row>
    <row r="261" spans="1:26" s="5" customFormat="1" x14ac:dyDescent="0.25">
      <c r="A261">
        <v>2026805533</v>
      </c>
      <c r="B261" t="s">
        <v>680</v>
      </c>
      <c r="C261" t="s">
        <v>681</v>
      </c>
      <c r="D261" s="5" t="str">
        <f t="shared" si="14"/>
        <v>MITCHELL CLEON</v>
      </c>
      <c r="E261" t="s">
        <v>165</v>
      </c>
      <c r="F261" t="s">
        <v>355</v>
      </c>
      <c r="G261" t="s">
        <v>356</v>
      </c>
      <c r="H261">
        <v>17425766</v>
      </c>
      <c r="I261" t="s">
        <v>357</v>
      </c>
      <c r="J261" t="s">
        <v>358</v>
      </c>
      <c r="K261" t="str">
        <f t="shared" si="12"/>
        <v>CAROL FOLEY</v>
      </c>
      <c r="L261" t="s">
        <v>57</v>
      </c>
      <c r="M261" s="1">
        <v>45689</v>
      </c>
      <c r="N261" s="1">
        <v>45992</v>
      </c>
      <c r="O261" s="2">
        <v>26.12</v>
      </c>
      <c r="P261">
        <f t="shared" si="13"/>
        <v>10</v>
      </c>
      <c r="Q261" t="s">
        <v>264</v>
      </c>
      <c r="R261" t="s">
        <v>1086</v>
      </c>
      <c r="S261" t="s">
        <v>58</v>
      </c>
      <c r="T261" s="3">
        <v>0.38</v>
      </c>
      <c r="U261" t="s">
        <v>60</v>
      </c>
      <c r="V261" t="s">
        <v>61</v>
      </c>
      <c r="W261" s="2">
        <v>0</v>
      </c>
      <c r="X261" s="2">
        <v>9.93</v>
      </c>
      <c r="Y261" s="2">
        <v>9.93</v>
      </c>
      <c r="Z261" s="5" t="s">
        <v>356</v>
      </c>
    </row>
    <row r="262" spans="1:26" s="5" customFormat="1" x14ac:dyDescent="0.25">
      <c r="A262">
        <v>2026812262</v>
      </c>
      <c r="B262" t="s">
        <v>682</v>
      </c>
      <c r="C262" t="s">
        <v>177</v>
      </c>
      <c r="D262" s="5" t="str">
        <f t="shared" si="14"/>
        <v>HEVELONE JODI</v>
      </c>
      <c r="E262" t="s">
        <v>559</v>
      </c>
      <c r="F262" t="s">
        <v>355</v>
      </c>
      <c r="G262" t="s">
        <v>356</v>
      </c>
      <c r="H262">
        <v>17425766</v>
      </c>
      <c r="I262" t="s">
        <v>357</v>
      </c>
      <c r="J262" t="s">
        <v>358</v>
      </c>
      <c r="K262" t="str">
        <f t="shared" si="12"/>
        <v>CAROL FOLEY</v>
      </c>
      <c r="L262" t="s">
        <v>57</v>
      </c>
      <c r="M262" s="1">
        <v>45689</v>
      </c>
      <c r="N262" s="1">
        <v>45992</v>
      </c>
      <c r="O262" s="2">
        <v>35.94</v>
      </c>
      <c r="P262">
        <f t="shared" si="13"/>
        <v>10</v>
      </c>
      <c r="Q262" t="s">
        <v>264</v>
      </c>
      <c r="R262" t="s">
        <v>1086</v>
      </c>
      <c r="S262" t="s">
        <v>58</v>
      </c>
      <c r="T262" s="3">
        <v>0.38</v>
      </c>
      <c r="U262" t="s">
        <v>60</v>
      </c>
      <c r="V262" t="s">
        <v>61</v>
      </c>
      <c r="W262" s="2">
        <v>0</v>
      </c>
      <c r="X262" s="2">
        <v>13.66</v>
      </c>
      <c r="Y262" s="2">
        <v>13.66</v>
      </c>
      <c r="Z262" s="5" t="s">
        <v>356</v>
      </c>
    </row>
    <row r="263" spans="1:26" s="5" customFormat="1" x14ac:dyDescent="0.25">
      <c r="A263">
        <v>2026740150</v>
      </c>
      <c r="B263" t="s">
        <v>516</v>
      </c>
      <c r="C263" t="s">
        <v>517</v>
      </c>
      <c r="D263" s="5" t="str">
        <f t="shared" si="14"/>
        <v>MURRAY CATHERINE</v>
      </c>
      <c r="E263" t="s">
        <v>195</v>
      </c>
      <c r="F263" t="s">
        <v>355</v>
      </c>
      <c r="G263" t="s">
        <v>356</v>
      </c>
      <c r="H263">
        <v>17425766</v>
      </c>
      <c r="I263" t="s">
        <v>357</v>
      </c>
      <c r="J263" t="s">
        <v>358</v>
      </c>
      <c r="K263" t="str">
        <f t="shared" si="12"/>
        <v>CAROL FOLEY</v>
      </c>
      <c r="L263" t="s">
        <v>57</v>
      </c>
      <c r="M263" s="1">
        <v>45681</v>
      </c>
      <c r="N263" s="1">
        <v>45985</v>
      </c>
      <c r="O263" s="2">
        <v>53.16</v>
      </c>
      <c r="P263">
        <f t="shared" si="13"/>
        <v>10</v>
      </c>
      <c r="Q263" t="s">
        <v>264</v>
      </c>
      <c r="R263" t="s">
        <v>1086</v>
      </c>
      <c r="S263" t="s">
        <v>58</v>
      </c>
      <c r="T263" s="3">
        <v>0.38</v>
      </c>
      <c r="U263" t="s">
        <v>60</v>
      </c>
      <c r="V263" t="s">
        <v>61</v>
      </c>
      <c r="W263" s="2">
        <v>0</v>
      </c>
      <c r="X263" s="2">
        <v>20.2</v>
      </c>
      <c r="Y263" s="2">
        <v>20.2</v>
      </c>
      <c r="Z263" s="5" t="s">
        <v>356</v>
      </c>
    </row>
    <row r="264" spans="1:26" s="5" customFormat="1" x14ac:dyDescent="0.25">
      <c r="A264">
        <v>2026610947</v>
      </c>
      <c r="B264" t="s">
        <v>512</v>
      </c>
      <c r="C264" t="s">
        <v>513</v>
      </c>
      <c r="D264" s="5" t="str">
        <f t="shared" si="14"/>
        <v>WOODS ALBERT</v>
      </c>
      <c r="E264" t="s">
        <v>195</v>
      </c>
      <c r="F264" t="s">
        <v>355</v>
      </c>
      <c r="G264" t="s">
        <v>356</v>
      </c>
      <c r="H264">
        <v>18781057</v>
      </c>
      <c r="I264" t="s">
        <v>349</v>
      </c>
      <c r="J264" t="s">
        <v>312</v>
      </c>
      <c r="K264" t="str">
        <f t="shared" si="12"/>
        <v>JOHN ROKEN</v>
      </c>
      <c r="L264" t="s">
        <v>57</v>
      </c>
      <c r="M264" s="1">
        <v>45689</v>
      </c>
      <c r="N264" s="1">
        <v>45992</v>
      </c>
      <c r="O264" s="2">
        <v>46.13</v>
      </c>
      <c r="P264">
        <f t="shared" si="13"/>
        <v>10</v>
      </c>
      <c r="Q264" t="s">
        <v>264</v>
      </c>
      <c r="R264" t="s">
        <v>1086</v>
      </c>
      <c r="S264" t="s">
        <v>58</v>
      </c>
      <c r="T264" s="3">
        <v>0.38</v>
      </c>
      <c r="U264" t="s">
        <v>60</v>
      </c>
      <c r="V264" t="s">
        <v>61</v>
      </c>
      <c r="W264" s="2">
        <v>0</v>
      </c>
      <c r="X264" s="2">
        <v>17.53</v>
      </c>
      <c r="Y264" s="2">
        <v>17.53</v>
      </c>
      <c r="Z264" s="5" t="s">
        <v>356</v>
      </c>
    </row>
    <row r="265" spans="1:26" s="5" customFormat="1" x14ac:dyDescent="0.25">
      <c r="A265">
        <v>2026874969</v>
      </c>
      <c r="B265" t="s">
        <v>522</v>
      </c>
      <c r="C265" t="s">
        <v>66</v>
      </c>
      <c r="D265" s="5" t="str">
        <f t="shared" si="14"/>
        <v>FLISHER MATTHEW</v>
      </c>
      <c r="E265" t="s">
        <v>64</v>
      </c>
      <c r="F265" t="s">
        <v>355</v>
      </c>
      <c r="G265" t="s">
        <v>356</v>
      </c>
      <c r="H265">
        <v>18781057</v>
      </c>
      <c r="I265" t="s">
        <v>349</v>
      </c>
      <c r="J265" t="s">
        <v>312</v>
      </c>
      <c r="K265" t="str">
        <f t="shared" si="12"/>
        <v>JOHN ROKEN</v>
      </c>
      <c r="L265" t="s">
        <v>57</v>
      </c>
      <c r="M265" s="1">
        <v>45689</v>
      </c>
      <c r="N265" s="1">
        <v>45992</v>
      </c>
      <c r="O265" s="2">
        <v>65.989999999999995</v>
      </c>
      <c r="P265">
        <f t="shared" si="13"/>
        <v>10</v>
      </c>
      <c r="Q265" t="s">
        <v>264</v>
      </c>
      <c r="R265" t="s">
        <v>1086</v>
      </c>
      <c r="S265" t="s">
        <v>58</v>
      </c>
      <c r="T265" s="3">
        <v>0.38</v>
      </c>
      <c r="U265" t="s">
        <v>60</v>
      </c>
      <c r="V265" t="s">
        <v>61</v>
      </c>
      <c r="W265" s="2">
        <v>0</v>
      </c>
      <c r="X265" s="2">
        <v>25.08</v>
      </c>
      <c r="Y265" s="2">
        <v>25.08</v>
      </c>
      <c r="Z265" s="5" t="s">
        <v>356</v>
      </c>
    </row>
    <row r="266" spans="1:26" s="5" customFormat="1" x14ac:dyDescent="0.25">
      <c r="A266">
        <v>2025934063</v>
      </c>
      <c r="B266" t="s">
        <v>508</v>
      </c>
      <c r="C266" t="s">
        <v>509</v>
      </c>
      <c r="D266" s="5" t="str">
        <f t="shared" si="14"/>
        <v>BOJAZI GIANNA</v>
      </c>
      <c r="E266" t="s">
        <v>195</v>
      </c>
      <c r="F266" t="s">
        <v>355</v>
      </c>
      <c r="G266" t="s">
        <v>356</v>
      </c>
      <c r="H266">
        <v>18781057</v>
      </c>
      <c r="I266" t="s">
        <v>349</v>
      </c>
      <c r="J266" t="s">
        <v>312</v>
      </c>
      <c r="K266" t="str">
        <f t="shared" si="12"/>
        <v>JOHN ROKEN</v>
      </c>
      <c r="L266" t="s">
        <v>57</v>
      </c>
      <c r="M266" s="1">
        <v>45627</v>
      </c>
      <c r="N266" s="1">
        <v>45962</v>
      </c>
      <c r="O266" s="2">
        <v>27.15</v>
      </c>
      <c r="P266">
        <f t="shared" si="13"/>
        <v>11</v>
      </c>
      <c r="Q266" t="s">
        <v>264</v>
      </c>
      <c r="R266" t="s">
        <v>1086</v>
      </c>
      <c r="S266" t="s">
        <v>58</v>
      </c>
      <c r="T266" s="3">
        <v>0.38</v>
      </c>
      <c r="U266" t="s">
        <v>60</v>
      </c>
      <c r="V266" t="s">
        <v>61</v>
      </c>
      <c r="W266" s="2">
        <v>0</v>
      </c>
      <c r="X266" s="2">
        <v>10.32</v>
      </c>
      <c r="Y266" s="2">
        <v>10.32</v>
      </c>
      <c r="Z266" s="5" t="s">
        <v>356</v>
      </c>
    </row>
    <row r="267" spans="1:26" s="5" customFormat="1" x14ac:dyDescent="0.25">
      <c r="A267">
        <v>2025967188</v>
      </c>
      <c r="B267" t="s">
        <v>547</v>
      </c>
      <c r="C267" t="s">
        <v>676</v>
      </c>
      <c r="D267" s="5" t="str">
        <f t="shared" si="14"/>
        <v>BROOKS JUWAN</v>
      </c>
      <c r="E267" t="s">
        <v>234</v>
      </c>
      <c r="F267" t="s">
        <v>355</v>
      </c>
      <c r="G267" t="s">
        <v>356</v>
      </c>
      <c r="H267" t="s">
        <v>1081</v>
      </c>
      <c r="I267" t="s">
        <v>191</v>
      </c>
      <c r="J267" t="s">
        <v>192</v>
      </c>
      <c r="K267" t="str">
        <f t="shared" si="12"/>
        <v>JARED KINYUA</v>
      </c>
      <c r="L267" t="s">
        <v>57</v>
      </c>
      <c r="M267" s="1">
        <v>45626</v>
      </c>
      <c r="N267" s="1">
        <v>45991</v>
      </c>
      <c r="O267" s="2">
        <v>20.97</v>
      </c>
      <c r="P267">
        <f t="shared" si="13"/>
        <v>12</v>
      </c>
      <c r="Q267" t="s">
        <v>264</v>
      </c>
      <c r="R267" t="s">
        <v>1086</v>
      </c>
      <c r="S267" t="s">
        <v>58</v>
      </c>
      <c r="T267" s="3">
        <v>0.38</v>
      </c>
      <c r="U267" t="s">
        <v>60</v>
      </c>
      <c r="V267" t="s">
        <v>61</v>
      </c>
      <c r="W267" s="2">
        <v>0</v>
      </c>
      <c r="X267" s="2">
        <v>7.97</v>
      </c>
      <c r="Y267" s="2">
        <v>7.97</v>
      </c>
      <c r="Z267" s="5" t="s">
        <v>356</v>
      </c>
    </row>
    <row r="268" spans="1:26" s="5" customFormat="1" x14ac:dyDescent="0.25">
      <c r="A268">
        <v>2025246360</v>
      </c>
      <c r="B268" t="s">
        <v>662</v>
      </c>
      <c r="C268" t="s">
        <v>663</v>
      </c>
      <c r="D268" s="5" t="str">
        <f t="shared" si="14"/>
        <v>DEWALD DEBBIE</v>
      </c>
      <c r="E268" t="s">
        <v>195</v>
      </c>
      <c r="F268" t="s">
        <v>355</v>
      </c>
      <c r="G268" t="s">
        <v>356</v>
      </c>
      <c r="H268">
        <v>17425766</v>
      </c>
      <c r="I268" t="s">
        <v>357</v>
      </c>
      <c r="J268" t="s">
        <v>358</v>
      </c>
      <c r="K268" t="str">
        <f t="shared" si="12"/>
        <v>CAROL FOLEY</v>
      </c>
      <c r="L268" t="s">
        <v>57</v>
      </c>
      <c r="M268" s="1">
        <v>45597</v>
      </c>
      <c r="N268" s="1">
        <v>45992</v>
      </c>
      <c r="O268" s="2">
        <v>69.63</v>
      </c>
      <c r="P268">
        <f t="shared" si="13"/>
        <v>13</v>
      </c>
      <c r="Q268" t="s">
        <v>264</v>
      </c>
      <c r="R268" t="s">
        <v>1086</v>
      </c>
      <c r="S268" t="s">
        <v>58</v>
      </c>
      <c r="T268" s="3">
        <v>0.1</v>
      </c>
      <c r="U268" t="s">
        <v>264</v>
      </c>
      <c r="V268" t="s">
        <v>61</v>
      </c>
      <c r="W268" s="2">
        <v>0</v>
      </c>
      <c r="X268" s="2">
        <v>6.96</v>
      </c>
      <c r="Y268" s="2">
        <v>6.96</v>
      </c>
      <c r="Z268" s="5" t="s">
        <v>356</v>
      </c>
    </row>
    <row r="269" spans="1:26" s="5" customFormat="1" x14ac:dyDescent="0.25">
      <c r="A269">
        <v>2025280496</v>
      </c>
      <c r="B269" t="s">
        <v>664</v>
      </c>
      <c r="C269" t="s">
        <v>665</v>
      </c>
      <c r="D269" s="5" t="str">
        <f t="shared" si="14"/>
        <v>CHEN GARBO</v>
      </c>
      <c r="E269" t="s">
        <v>195</v>
      </c>
      <c r="F269" t="s">
        <v>355</v>
      </c>
      <c r="G269" t="s">
        <v>356</v>
      </c>
      <c r="H269">
        <v>17425766</v>
      </c>
      <c r="I269" t="s">
        <v>357</v>
      </c>
      <c r="J269" t="s">
        <v>358</v>
      </c>
      <c r="K269" t="str">
        <f t="shared" si="12"/>
        <v>CAROL FOLEY</v>
      </c>
      <c r="L269" t="s">
        <v>57</v>
      </c>
      <c r="M269" s="1">
        <v>45597</v>
      </c>
      <c r="N269" s="1">
        <v>45992</v>
      </c>
      <c r="O269" s="2">
        <v>19.309999999999999</v>
      </c>
      <c r="P269">
        <f t="shared" si="13"/>
        <v>13</v>
      </c>
      <c r="Q269" t="s">
        <v>264</v>
      </c>
      <c r="R269" t="s">
        <v>1086</v>
      </c>
      <c r="S269" t="s">
        <v>58</v>
      </c>
      <c r="T269" s="3">
        <v>0.1</v>
      </c>
      <c r="U269" t="s">
        <v>264</v>
      </c>
      <c r="V269" t="s">
        <v>61</v>
      </c>
      <c r="W269" s="2">
        <v>0</v>
      </c>
      <c r="X269" s="2">
        <v>1.93</v>
      </c>
      <c r="Y269" s="2">
        <v>1.93</v>
      </c>
      <c r="Z269" s="5" t="s">
        <v>356</v>
      </c>
    </row>
    <row r="270" spans="1:26" s="5" customFormat="1" x14ac:dyDescent="0.25">
      <c r="A270">
        <v>2025303843</v>
      </c>
      <c r="B270" t="s">
        <v>503</v>
      </c>
      <c r="C270" t="s">
        <v>504</v>
      </c>
      <c r="D270" s="5" t="str">
        <f t="shared" si="14"/>
        <v>HUANG JERRY</v>
      </c>
      <c r="E270" t="s">
        <v>195</v>
      </c>
      <c r="F270" t="s">
        <v>355</v>
      </c>
      <c r="G270" t="s">
        <v>356</v>
      </c>
      <c r="H270">
        <v>17425766</v>
      </c>
      <c r="I270" t="s">
        <v>357</v>
      </c>
      <c r="J270" t="s">
        <v>358</v>
      </c>
      <c r="K270" t="str">
        <f t="shared" si="12"/>
        <v>CAROL FOLEY</v>
      </c>
      <c r="L270" t="s">
        <v>57</v>
      </c>
      <c r="M270" s="1">
        <v>45597</v>
      </c>
      <c r="N270" s="1">
        <v>45992</v>
      </c>
      <c r="O270" s="2">
        <v>61.39</v>
      </c>
      <c r="P270">
        <f t="shared" si="13"/>
        <v>13</v>
      </c>
      <c r="Q270" t="s">
        <v>264</v>
      </c>
      <c r="R270" t="s">
        <v>1086</v>
      </c>
      <c r="S270" t="s">
        <v>58</v>
      </c>
      <c r="T270" s="3">
        <v>0.1</v>
      </c>
      <c r="U270" t="s">
        <v>264</v>
      </c>
      <c r="V270" t="s">
        <v>61</v>
      </c>
      <c r="W270" s="2">
        <v>0</v>
      </c>
      <c r="X270" s="2">
        <v>6.14</v>
      </c>
      <c r="Y270" s="2">
        <v>6.14</v>
      </c>
      <c r="Z270" s="5" t="s">
        <v>356</v>
      </c>
    </row>
    <row r="271" spans="1:26" s="5" customFormat="1" x14ac:dyDescent="0.25">
      <c r="A271">
        <v>2025320099</v>
      </c>
      <c r="B271" t="s">
        <v>666</v>
      </c>
      <c r="C271" t="s">
        <v>651</v>
      </c>
      <c r="D271" s="5" t="str">
        <f t="shared" si="14"/>
        <v>ORLANDO RICKY</v>
      </c>
      <c r="E271" t="s">
        <v>195</v>
      </c>
      <c r="F271" t="s">
        <v>355</v>
      </c>
      <c r="G271" t="s">
        <v>356</v>
      </c>
      <c r="H271">
        <v>17425766</v>
      </c>
      <c r="I271" t="s">
        <v>357</v>
      </c>
      <c r="J271" t="s">
        <v>358</v>
      </c>
      <c r="K271" t="str">
        <f t="shared" si="12"/>
        <v>CAROL FOLEY</v>
      </c>
      <c r="L271" t="s">
        <v>57</v>
      </c>
      <c r="M271" s="1">
        <v>45597</v>
      </c>
      <c r="N271" s="1">
        <v>45992</v>
      </c>
      <c r="O271" s="2">
        <v>61.39</v>
      </c>
      <c r="P271">
        <f t="shared" si="13"/>
        <v>13</v>
      </c>
      <c r="Q271" t="s">
        <v>264</v>
      </c>
      <c r="R271" t="s">
        <v>1086</v>
      </c>
      <c r="S271" t="s">
        <v>58</v>
      </c>
      <c r="T271" s="3">
        <v>0.1</v>
      </c>
      <c r="U271" t="s">
        <v>264</v>
      </c>
      <c r="V271" t="s">
        <v>61</v>
      </c>
      <c r="W271" s="2">
        <v>0</v>
      </c>
      <c r="X271" s="2">
        <v>6.14</v>
      </c>
      <c r="Y271" s="2">
        <v>6.14</v>
      </c>
      <c r="Z271" s="5" t="s">
        <v>356</v>
      </c>
    </row>
    <row r="272" spans="1:26" s="5" customFormat="1" x14ac:dyDescent="0.25">
      <c r="A272">
        <v>2025378907</v>
      </c>
      <c r="B272" t="s">
        <v>505</v>
      </c>
      <c r="C272" t="s">
        <v>506</v>
      </c>
      <c r="D272" s="5" t="str">
        <f t="shared" si="14"/>
        <v>IEZZI GEORGE</v>
      </c>
      <c r="E272" t="s">
        <v>195</v>
      </c>
      <c r="F272" t="s">
        <v>355</v>
      </c>
      <c r="G272" t="s">
        <v>356</v>
      </c>
      <c r="H272">
        <v>17425766</v>
      </c>
      <c r="I272" t="s">
        <v>357</v>
      </c>
      <c r="J272" t="s">
        <v>358</v>
      </c>
      <c r="K272" t="str">
        <f t="shared" si="12"/>
        <v>CAROL FOLEY</v>
      </c>
      <c r="L272" t="s">
        <v>57</v>
      </c>
      <c r="M272" s="1">
        <v>45597</v>
      </c>
      <c r="N272" s="1">
        <v>45992</v>
      </c>
      <c r="O272" s="2">
        <v>47.17</v>
      </c>
      <c r="P272">
        <f t="shared" si="13"/>
        <v>13</v>
      </c>
      <c r="Q272" t="s">
        <v>264</v>
      </c>
      <c r="R272" t="s">
        <v>1086</v>
      </c>
      <c r="S272" t="s">
        <v>58</v>
      </c>
      <c r="T272" s="3">
        <v>0.1</v>
      </c>
      <c r="U272" t="s">
        <v>264</v>
      </c>
      <c r="V272" t="s">
        <v>61</v>
      </c>
      <c r="W272" s="2">
        <v>0</v>
      </c>
      <c r="X272" s="2">
        <v>4.72</v>
      </c>
      <c r="Y272" s="2">
        <v>4.72</v>
      </c>
      <c r="Z272" s="5" t="s">
        <v>356</v>
      </c>
    </row>
    <row r="273" spans="1:26" s="5" customFormat="1" x14ac:dyDescent="0.25">
      <c r="A273">
        <v>2025422150</v>
      </c>
      <c r="B273" t="s">
        <v>669</v>
      </c>
      <c r="C273" t="s">
        <v>404</v>
      </c>
      <c r="D273" s="5" t="str">
        <f t="shared" si="14"/>
        <v>DODSON LORA</v>
      </c>
      <c r="E273" t="s">
        <v>195</v>
      </c>
      <c r="F273" t="s">
        <v>355</v>
      </c>
      <c r="G273" t="s">
        <v>356</v>
      </c>
      <c r="H273">
        <v>17425766</v>
      </c>
      <c r="I273" t="s">
        <v>357</v>
      </c>
      <c r="J273" t="s">
        <v>358</v>
      </c>
      <c r="K273" t="str">
        <f t="shared" si="12"/>
        <v>CAROL FOLEY</v>
      </c>
      <c r="L273" t="s">
        <v>57</v>
      </c>
      <c r="M273" s="1">
        <v>45597</v>
      </c>
      <c r="N273" s="1">
        <v>45992</v>
      </c>
      <c r="O273" s="2">
        <v>47.17</v>
      </c>
      <c r="P273">
        <f t="shared" si="13"/>
        <v>13</v>
      </c>
      <c r="Q273" t="s">
        <v>264</v>
      </c>
      <c r="R273" t="s">
        <v>1086</v>
      </c>
      <c r="S273" t="s">
        <v>58</v>
      </c>
      <c r="T273" s="3">
        <v>0.1</v>
      </c>
      <c r="U273" t="s">
        <v>264</v>
      </c>
      <c r="V273" t="s">
        <v>61</v>
      </c>
      <c r="W273" s="2">
        <v>0</v>
      </c>
      <c r="X273" s="2">
        <v>4.72</v>
      </c>
      <c r="Y273" s="2">
        <v>4.72</v>
      </c>
      <c r="Z273" s="5" t="s">
        <v>356</v>
      </c>
    </row>
    <row r="274" spans="1:26" s="5" customFormat="1" x14ac:dyDescent="0.25">
      <c r="A274">
        <v>2025466191</v>
      </c>
      <c r="B274" t="s">
        <v>670</v>
      </c>
      <c r="C274" t="s">
        <v>671</v>
      </c>
      <c r="D274" s="5" t="str">
        <f t="shared" si="14"/>
        <v>PEGLER ABIGAIL</v>
      </c>
      <c r="E274" t="s">
        <v>195</v>
      </c>
      <c r="F274" t="s">
        <v>355</v>
      </c>
      <c r="G274" t="s">
        <v>356</v>
      </c>
      <c r="H274">
        <v>17425766</v>
      </c>
      <c r="I274" t="s">
        <v>357</v>
      </c>
      <c r="J274" t="s">
        <v>358</v>
      </c>
      <c r="K274" t="str">
        <f t="shared" si="12"/>
        <v>CAROL FOLEY</v>
      </c>
      <c r="L274" t="s">
        <v>57</v>
      </c>
      <c r="M274" s="1">
        <v>45597</v>
      </c>
      <c r="N274" s="1">
        <v>45992</v>
      </c>
      <c r="O274" s="2">
        <v>19.309999999999999</v>
      </c>
      <c r="P274">
        <f t="shared" si="13"/>
        <v>13</v>
      </c>
      <c r="Q274" t="s">
        <v>264</v>
      </c>
      <c r="R274" t="s">
        <v>1086</v>
      </c>
      <c r="S274" t="s">
        <v>58</v>
      </c>
      <c r="T274" s="3">
        <v>0.1</v>
      </c>
      <c r="U274" t="s">
        <v>264</v>
      </c>
      <c r="V274" t="s">
        <v>61</v>
      </c>
      <c r="W274" s="2">
        <v>0</v>
      </c>
      <c r="X274" s="2">
        <v>1.93</v>
      </c>
      <c r="Y274" s="2">
        <v>1.93</v>
      </c>
      <c r="Z274" s="5" t="s">
        <v>356</v>
      </c>
    </row>
    <row r="275" spans="1:26" s="5" customFormat="1" x14ac:dyDescent="0.25">
      <c r="A275">
        <v>2025486440</v>
      </c>
      <c r="B275" t="s">
        <v>507</v>
      </c>
      <c r="C275" t="s">
        <v>374</v>
      </c>
      <c r="D275" s="5" t="str">
        <f t="shared" si="14"/>
        <v>WACKENTHALER ROBERT</v>
      </c>
      <c r="E275" t="s">
        <v>129</v>
      </c>
      <c r="F275" t="s">
        <v>355</v>
      </c>
      <c r="G275" t="s">
        <v>356</v>
      </c>
      <c r="H275">
        <v>17425766</v>
      </c>
      <c r="I275" t="s">
        <v>357</v>
      </c>
      <c r="J275" t="s">
        <v>358</v>
      </c>
      <c r="K275" t="str">
        <f t="shared" si="12"/>
        <v>CAROL FOLEY</v>
      </c>
      <c r="L275" t="s">
        <v>57</v>
      </c>
      <c r="M275" s="1">
        <v>45597</v>
      </c>
      <c r="N275" s="1">
        <v>45992</v>
      </c>
      <c r="O275" s="2">
        <v>75.069999999999993</v>
      </c>
      <c r="P275">
        <f t="shared" si="13"/>
        <v>13</v>
      </c>
      <c r="Q275" t="s">
        <v>264</v>
      </c>
      <c r="R275" t="s">
        <v>1086</v>
      </c>
      <c r="S275" t="s">
        <v>58</v>
      </c>
      <c r="T275" s="3">
        <v>0.1</v>
      </c>
      <c r="U275" t="s">
        <v>264</v>
      </c>
      <c r="V275" t="s">
        <v>61</v>
      </c>
      <c r="W275" s="2">
        <v>0</v>
      </c>
      <c r="X275" s="2">
        <v>7.51</v>
      </c>
      <c r="Y275" s="2">
        <v>7.51</v>
      </c>
      <c r="Z275" s="5" t="s">
        <v>356</v>
      </c>
    </row>
    <row r="276" spans="1:26" s="5" customFormat="1" x14ac:dyDescent="0.25">
      <c r="A276">
        <v>2025541353</v>
      </c>
      <c r="B276" t="s">
        <v>672</v>
      </c>
      <c r="C276" t="s">
        <v>673</v>
      </c>
      <c r="D276" s="5" t="str">
        <f t="shared" si="14"/>
        <v>MURPHY LA'JOIA</v>
      </c>
      <c r="E276" t="s">
        <v>208</v>
      </c>
      <c r="F276" t="s">
        <v>355</v>
      </c>
      <c r="G276" t="s">
        <v>356</v>
      </c>
      <c r="H276">
        <v>17425766</v>
      </c>
      <c r="I276" t="s">
        <v>357</v>
      </c>
      <c r="J276" t="s">
        <v>358</v>
      </c>
      <c r="K276" t="str">
        <f t="shared" si="12"/>
        <v>CAROL FOLEY</v>
      </c>
      <c r="L276" t="s">
        <v>57</v>
      </c>
      <c r="M276" s="1">
        <v>45597</v>
      </c>
      <c r="N276" s="1">
        <v>45992</v>
      </c>
      <c r="O276" s="2">
        <v>18.61</v>
      </c>
      <c r="P276">
        <f t="shared" si="13"/>
        <v>13</v>
      </c>
      <c r="Q276" t="s">
        <v>264</v>
      </c>
      <c r="R276" t="s">
        <v>1086</v>
      </c>
      <c r="S276" t="s">
        <v>58</v>
      </c>
      <c r="T276" s="3">
        <v>0.1</v>
      </c>
      <c r="U276" t="s">
        <v>264</v>
      </c>
      <c r="V276" t="s">
        <v>61</v>
      </c>
      <c r="W276" s="2">
        <v>0</v>
      </c>
      <c r="X276" s="2">
        <v>1.86</v>
      </c>
      <c r="Y276" s="2">
        <v>1.86</v>
      </c>
      <c r="Z276" s="5" t="s">
        <v>356</v>
      </c>
    </row>
    <row r="277" spans="1:26" s="5" customFormat="1" x14ac:dyDescent="0.25">
      <c r="A277">
        <v>2025563319</v>
      </c>
      <c r="B277" t="s">
        <v>674</v>
      </c>
      <c r="C277" t="s">
        <v>675</v>
      </c>
      <c r="D277" s="5" t="str">
        <f t="shared" si="14"/>
        <v>HENDERSON PAMELA</v>
      </c>
      <c r="E277" t="s">
        <v>78</v>
      </c>
      <c r="F277" t="s">
        <v>355</v>
      </c>
      <c r="G277" t="s">
        <v>356</v>
      </c>
      <c r="H277">
        <v>17425766</v>
      </c>
      <c r="I277" t="s">
        <v>357</v>
      </c>
      <c r="J277" t="s">
        <v>358</v>
      </c>
      <c r="K277" t="str">
        <f t="shared" si="12"/>
        <v>CAROL FOLEY</v>
      </c>
      <c r="L277" t="s">
        <v>57</v>
      </c>
      <c r="M277" s="1">
        <v>45597</v>
      </c>
      <c r="N277" s="1">
        <v>45992</v>
      </c>
      <c r="O277" s="2">
        <v>33.630000000000003</v>
      </c>
      <c r="P277">
        <f t="shared" si="13"/>
        <v>13</v>
      </c>
      <c r="Q277" t="s">
        <v>264</v>
      </c>
      <c r="R277" t="s">
        <v>1086</v>
      </c>
      <c r="S277" t="s">
        <v>58</v>
      </c>
      <c r="T277" s="3">
        <v>0.1</v>
      </c>
      <c r="U277" t="s">
        <v>264</v>
      </c>
      <c r="V277" t="s">
        <v>61</v>
      </c>
      <c r="W277" s="2">
        <v>0</v>
      </c>
      <c r="X277" s="2">
        <v>3.36</v>
      </c>
      <c r="Y277" s="2">
        <v>3.36</v>
      </c>
      <c r="Z277" s="5" t="s">
        <v>356</v>
      </c>
    </row>
    <row r="278" spans="1:26" s="5" customFormat="1" x14ac:dyDescent="0.25">
      <c r="A278">
        <v>2025366542</v>
      </c>
      <c r="B278" t="s">
        <v>667</v>
      </c>
      <c r="C278" t="s">
        <v>668</v>
      </c>
      <c r="D278" s="5" t="str">
        <f t="shared" si="14"/>
        <v>LANDRY JESSE</v>
      </c>
      <c r="E278" t="s">
        <v>234</v>
      </c>
      <c r="F278" t="s">
        <v>355</v>
      </c>
      <c r="G278" t="s">
        <v>356</v>
      </c>
      <c r="H278" t="s">
        <v>1081</v>
      </c>
      <c r="I278" t="s">
        <v>191</v>
      </c>
      <c r="J278" t="s">
        <v>192</v>
      </c>
      <c r="K278" t="str">
        <f t="shared" si="12"/>
        <v>JARED KINYUA</v>
      </c>
      <c r="L278" t="s">
        <v>57</v>
      </c>
      <c r="M278" s="1">
        <v>45597</v>
      </c>
      <c r="N278" s="1">
        <v>45992</v>
      </c>
      <c r="O278" s="2">
        <v>55.07</v>
      </c>
      <c r="P278">
        <f t="shared" si="13"/>
        <v>13</v>
      </c>
      <c r="Q278" t="s">
        <v>264</v>
      </c>
      <c r="R278" t="s">
        <v>1086</v>
      </c>
      <c r="S278" t="s">
        <v>58</v>
      </c>
      <c r="T278" s="3">
        <v>0.1</v>
      </c>
      <c r="U278" t="s">
        <v>264</v>
      </c>
      <c r="V278" t="s">
        <v>61</v>
      </c>
      <c r="W278" s="2">
        <v>0</v>
      </c>
      <c r="X278" s="2">
        <v>5.51</v>
      </c>
      <c r="Y278" s="2">
        <v>5.51</v>
      </c>
      <c r="Z278" s="5" t="s">
        <v>356</v>
      </c>
    </row>
    <row r="279" spans="1:26" s="5" customFormat="1" x14ac:dyDescent="0.25">
      <c r="A279">
        <v>2024476863</v>
      </c>
      <c r="B279" t="s">
        <v>652</v>
      </c>
      <c r="C279" t="s">
        <v>653</v>
      </c>
      <c r="D279" s="5" t="str">
        <f t="shared" si="14"/>
        <v>BAILEY FRANCINE</v>
      </c>
      <c r="E279" t="s">
        <v>195</v>
      </c>
      <c r="F279" t="s">
        <v>355</v>
      </c>
      <c r="G279" t="s">
        <v>356</v>
      </c>
      <c r="H279">
        <v>17425766</v>
      </c>
      <c r="I279" t="s">
        <v>357</v>
      </c>
      <c r="J279" t="s">
        <v>358</v>
      </c>
      <c r="K279" t="str">
        <f t="shared" si="12"/>
        <v>CAROL FOLEY</v>
      </c>
      <c r="L279" t="s">
        <v>57</v>
      </c>
      <c r="M279" s="1">
        <v>45536</v>
      </c>
      <c r="N279" s="1">
        <v>45992</v>
      </c>
      <c r="O279" s="2">
        <v>46.13</v>
      </c>
      <c r="P279">
        <f t="shared" si="13"/>
        <v>15</v>
      </c>
      <c r="Q279" t="s">
        <v>264</v>
      </c>
      <c r="R279" t="s">
        <v>1086</v>
      </c>
      <c r="S279" t="s">
        <v>58</v>
      </c>
      <c r="T279" s="3">
        <v>0.1</v>
      </c>
      <c r="U279" t="s">
        <v>264</v>
      </c>
      <c r="V279" t="s">
        <v>61</v>
      </c>
      <c r="W279" s="2">
        <v>0</v>
      </c>
      <c r="X279" s="2">
        <v>4.6100000000000003</v>
      </c>
      <c r="Y279" s="2">
        <v>4.6100000000000003</v>
      </c>
      <c r="Z279" s="5" t="s">
        <v>356</v>
      </c>
    </row>
    <row r="280" spans="1:26" s="5" customFormat="1" x14ac:dyDescent="0.25">
      <c r="A280">
        <v>2024477616</v>
      </c>
      <c r="B280" t="s">
        <v>654</v>
      </c>
      <c r="C280" t="s">
        <v>66</v>
      </c>
      <c r="D280" s="5" t="str">
        <f t="shared" si="14"/>
        <v>KRYSIK MATTHEW</v>
      </c>
      <c r="E280" t="s">
        <v>195</v>
      </c>
      <c r="F280" t="s">
        <v>355</v>
      </c>
      <c r="G280" t="s">
        <v>356</v>
      </c>
      <c r="H280">
        <v>17425766</v>
      </c>
      <c r="I280" t="s">
        <v>357</v>
      </c>
      <c r="J280" t="s">
        <v>358</v>
      </c>
      <c r="K280" t="str">
        <f t="shared" si="12"/>
        <v>CAROL FOLEY</v>
      </c>
      <c r="L280" t="s">
        <v>57</v>
      </c>
      <c r="M280" s="1">
        <v>45536</v>
      </c>
      <c r="N280" s="1">
        <v>45992</v>
      </c>
      <c r="O280" s="2">
        <v>38.11</v>
      </c>
      <c r="P280">
        <f t="shared" si="13"/>
        <v>15</v>
      </c>
      <c r="Q280" t="s">
        <v>264</v>
      </c>
      <c r="R280" t="s">
        <v>1086</v>
      </c>
      <c r="S280" t="s">
        <v>58</v>
      </c>
      <c r="T280" s="3">
        <v>0.1</v>
      </c>
      <c r="U280" t="s">
        <v>264</v>
      </c>
      <c r="V280" t="s">
        <v>61</v>
      </c>
      <c r="W280" s="2">
        <v>0</v>
      </c>
      <c r="X280" s="2">
        <v>3.81</v>
      </c>
      <c r="Y280" s="2">
        <v>3.81</v>
      </c>
      <c r="Z280" s="5" t="s">
        <v>356</v>
      </c>
    </row>
    <row r="281" spans="1:26" s="5" customFormat="1" x14ac:dyDescent="0.25">
      <c r="A281">
        <v>2024586356</v>
      </c>
      <c r="B281" t="s">
        <v>655</v>
      </c>
      <c r="C281" t="s">
        <v>387</v>
      </c>
      <c r="D281" s="5" t="str">
        <f t="shared" si="14"/>
        <v>CANNIE QUINCY</v>
      </c>
      <c r="E281" t="s">
        <v>195</v>
      </c>
      <c r="F281" t="s">
        <v>355</v>
      </c>
      <c r="G281" t="s">
        <v>356</v>
      </c>
      <c r="H281">
        <v>17425766</v>
      </c>
      <c r="I281" t="s">
        <v>357</v>
      </c>
      <c r="J281" t="s">
        <v>358</v>
      </c>
      <c r="K281" t="str">
        <f t="shared" si="12"/>
        <v>CAROL FOLEY</v>
      </c>
      <c r="L281" t="s">
        <v>57</v>
      </c>
      <c r="M281" s="1">
        <v>45536</v>
      </c>
      <c r="N281" s="1">
        <v>45992</v>
      </c>
      <c r="O281" s="2">
        <v>38.11</v>
      </c>
      <c r="P281">
        <f t="shared" si="13"/>
        <v>15</v>
      </c>
      <c r="Q281" t="s">
        <v>264</v>
      </c>
      <c r="R281" t="s">
        <v>1086</v>
      </c>
      <c r="S281" t="s">
        <v>58</v>
      </c>
      <c r="T281" s="3">
        <v>0.1</v>
      </c>
      <c r="U281" t="s">
        <v>264</v>
      </c>
      <c r="V281" t="s">
        <v>61</v>
      </c>
      <c r="W281" s="2">
        <v>0</v>
      </c>
      <c r="X281" s="2">
        <v>3.81</v>
      </c>
      <c r="Y281" s="2">
        <v>3.81</v>
      </c>
      <c r="Z281" s="5" t="s">
        <v>356</v>
      </c>
    </row>
    <row r="282" spans="1:26" s="5" customFormat="1" x14ac:dyDescent="0.25">
      <c r="A282">
        <v>2024591189</v>
      </c>
      <c r="B282" t="s">
        <v>656</v>
      </c>
      <c r="C282" t="s">
        <v>657</v>
      </c>
      <c r="D282" s="5" t="str">
        <f t="shared" si="14"/>
        <v>REID-KAPLAN MAZILYN</v>
      </c>
      <c r="E282" t="s">
        <v>195</v>
      </c>
      <c r="F282" t="s">
        <v>355</v>
      </c>
      <c r="G282" t="s">
        <v>356</v>
      </c>
      <c r="H282">
        <v>17425766</v>
      </c>
      <c r="I282" t="s">
        <v>357</v>
      </c>
      <c r="J282" t="s">
        <v>358</v>
      </c>
      <c r="K282" t="str">
        <f t="shared" si="12"/>
        <v>CAROL FOLEY</v>
      </c>
      <c r="L282" t="s">
        <v>57</v>
      </c>
      <c r="M282" s="1">
        <v>45536</v>
      </c>
      <c r="N282" s="1">
        <v>45992</v>
      </c>
      <c r="O282" s="2">
        <v>53.16</v>
      </c>
      <c r="P282">
        <f t="shared" si="13"/>
        <v>15</v>
      </c>
      <c r="Q282" t="s">
        <v>264</v>
      </c>
      <c r="R282" t="s">
        <v>1086</v>
      </c>
      <c r="S282" t="s">
        <v>58</v>
      </c>
      <c r="T282" s="3">
        <v>0.1</v>
      </c>
      <c r="U282" t="s">
        <v>264</v>
      </c>
      <c r="V282" t="s">
        <v>61</v>
      </c>
      <c r="W282" s="2">
        <v>0</v>
      </c>
      <c r="X282" s="2">
        <v>5.32</v>
      </c>
      <c r="Y282" s="2">
        <v>5.32</v>
      </c>
      <c r="Z282" s="5" t="s">
        <v>356</v>
      </c>
    </row>
    <row r="283" spans="1:26" s="5" customFormat="1" x14ac:dyDescent="0.25">
      <c r="A283">
        <v>2024600969</v>
      </c>
      <c r="B283" t="s">
        <v>658</v>
      </c>
      <c r="C283" t="s">
        <v>62</v>
      </c>
      <c r="D283" s="5" t="str">
        <f t="shared" si="14"/>
        <v>MOONEY LISA</v>
      </c>
      <c r="E283" t="s">
        <v>195</v>
      </c>
      <c r="F283" t="s">
        <v>355</v>
      </c>
      <c r="G283" t="s">
        <v>356</v>
      </c>
      <c r="H283">
        <v>17425766</v>
      </c>
      <c r="I283" t="s">
        <v>357</v>
      </c>
      <c r="J283" t="s">
        <v>358</v>
      </c>
      <c r="K283" t="str">
        <f t="shared" si="12"/>
        <v>CAROL FOLEY</v>
      </c>
      <c r="L283" t="s">
        <v>57</v>
      </c>
      <c r="M283" s="1">
        <v>45536</v>
      </c>
      <c r="N283" s="1">
        <v>45992</v>
      </c>
      <c r="O283" s="2">
        <v>61.39</v>
      </c>
      <c r="P283">
        <f t="shared" si="13"/>
        <v>15</v>
      </c>
      <c r="Q283" t="s">
        <v>264</v>
      </c>
      <c r="R283" t="s">
        <v>1086</v>
      </c>
      <c r="S283" t="s">
        <v>58</v>
      </c>
      <c r="T283" s="3">
        <v>0.1</v>
      </c>
      <c r="U283" t="s">
        <v>264</v>
      </c>
      <c r="V283" t="s">
        <v>61</v>
      </c>
      <c r="W283" s="2">
        <v>0</v>
      </c>
      <c r="X283" s="2">
        <v>6.14</v>
      </c>
      <c r="Y283" s="2">
        <v>6.14</v>
      </c>
      <c r="Z283" s="5" t="s">
        <v>356</v>
      </c>
    </row>
    <row r="284" spans="1:26" s="5" customFormat="1" x14ac:dyDescent="0.25">
      <c r="A284">
        <v>2024619101</v>
      </c>
      <c r="B284" t="s">
        <v>659</v>
      </c>
      <c r="C284" t="s">
        <v>577</v>
      </c>
      <c r="D284" s="5" t="str">
        <f t="shared" si="14"/>
        <v>BOWERS RICHARD</v>
      </c>
      <c r="E284" t="s">
        <v>195</v>
      </c>
      <c r="F284" t="s">
        <v>355</v>
      </c>
      <c r="G284" t="s">
        <v>356</v>
      </c>
      <c r="H284">
        <v>17425766</v>
      </c>
      <c r="I284" t="s">
        <v>357</v>
      </c>
      <c r="J284" t="s">
        <v>358</v>
      </c>
      <c r="K284" t="str">
        <f t="shared" si="12"/>
        <v>CAROL FOLEY</v>
      </c>
      <c r="L284" t="s">
        <v>57</v>
      </c>
      <c r="M284" s="1">
        <v>45536</v>
      </c>
      <c r="N284" s="1">
        <v>45992</v>
      </c>
      <c r="O284" s="2">
        <v>53.16</v>
      </c>
      <c r="P284">
        <f t="shared" si="13"/>
        <v>15</v>
      </c>
      <c r="Q284" t="s">
        <v>264</v>
      </c>
      <c r="R284" t="s">
        <v>1086</v>
      </c>
      <c r="S284" t="s">
        <v>58</v>
      </c>
      <c r="T284" s="3">
        <v>0.1</v>
      </c>
      <c r="U284" t="s">
        <v>264</v>
      </c>
      <c r="V284" t="s">
        <v>61</v>
      </c>
      <c r="W284" s="2">
        <v>0</v>
      </c>
      <c r="X284" s="2">
        <v>5.32</v>
      </c>
      <c r="Y284" s="2">
        <v>5.32</v>
      </c>
      <c r="Z284" s="5" t="s">
        <v>356</v>
      </c>
    </row>
    <row r="285" spans="1:26" s="5" customFormat="1" x14ac:dyDescent="0.25">
      <c r="A285">
        <v>2024645160</v>
      </c>
      <c r="B285" t="s">
        <v>660</v>
      </c>
      <c r="C285" t="s">
        <v>661</v>
      </c>
      <c r="D285" s="5" t="str">
        <f t="shared" si="14"/>
        <v>ESPINOZA MAITRELLY</v>
      </c>
      <c r="E285" t="s">
        <v>195</v>
      </c>
      <c r="F285" t="s">
        <v>355</v>
      </c>
      <c r="G285" t="s">
        <v>356</v>
      </c>
      <c r="H285">
        <v>17425766</v>
      </c>
      <c r="I285" t="s">
        <v>357</v>
      </c>
      <c r="J285" t="s">
        <v>358</v>
      </c>
      <c r="K285" t="str">
        <f t="shared" si="12"/>
        <v>CAROL FOLEY</v>
      </c>
      <c r="L285" t="s">
        <v>57</v>
      </c>
      <c r="M285" s="1">
        <v>45536</v>
      </c>
      <c r="N285" s="1">
        <v>45992</v>
      </c>
      <c r="O285" s="2">
        <v>13.43</v>
      </c>
      <c r="P285">
        <f t="shared" si="13"/>
        <v>15</v>
      </c>
      <c r="Q285" t="s">
        <v>264</v>
      </c>
      <c r="R285" t="s">
        <v>1086</v>
      </c>
      <c r="S285" t="s">
        <v>58</v>
      </c>
      <c r="T285" s="3">
        <v>0.1</v>
      </c>
      <c r="U285" t="s">
        <v>264</v>
      </c>
      <c r="V285" t="s">
        <v>61</v>
      </c>
      <c r="W285" s="2">
        <v>0</v>
      </c>
      <c r="X285" s="2">
        <v>1.34</v>
      </c>
      <c r="Y285" s="2">
        <v>1.34</v>
      </c>
      <c r="Z285" s="5" t="s">
        <v>356</v>
      </c>
    </row>
    <row r="286" spans="1:26" s="5" customFormat="1" x14ac:dyDescent="0.25">
      <c r="A286">
        <v>2022979208</v>
      </c>
      <c r="B286" t="s">
        <v>641</v>
      </c>
      <c r="C286" t="s">
        <v>642</v>
      </c>
      <c r="D286" s="5" t="str">
        <f t="shared" si="14"/>
        <v>LOPEZ DOMENIC</v>
      </c>
      <c r="E286" t="s">
        <v>195</v>
      </c>
      <c r="F286" t="s">
        <v>355</v>
      </c>
      <c r="G286" t="s">
        <v>356</v>
      </c>
      <c r="H286">
        <v>19278370</v>
      </c>
      <c r="I286" t="s">
        <v>321</v>
      </c>
      <c r="J286" t="s">
        <v>322</v>
      </c>
      <c r="K286" t="str">
        <f t="shared" si="12"/>
        <v>ANNE MARIE KOZACHECK</v>
      </c>
      <c r="L286" t="s">
        <v>57</v>
      </c>
      <c r="M286" s="1">
        <v>45444</v>
      </c>
      <c r="N286" s="1">
        <v>45992</v>
      </c>
      <c r="O286" s="2">
        <v>61.39</v>
      </c>
      <c r="P286">
        <f t="shared" si="13"/>
        <v>18</v>
      </c>
      <c r="Q286" t="s">
        <v>264</v>
      </c>
      <c r="R286" t="s">
        <v>1086</v>
      </c>
      <c r="S286" t="s">
        <v>58</v>
      </c>
      <c r="T286" s="3">
        <v>0.1</v>
      </c>
      <c r="U286" t="s">
        <v>264</v>
      </c>
      <c r="V286" t="s">
        <v>61</v>
      </c>
      <c r="W286" s="2">
        <v>0</v>
      </c>
      <c r="X286" s="2">
        <v>6.14</v>
      </c>
      <c r="Y286" s="2">
        <v>6.14</v>
      </c>
      <c r="Z286" s="5" t="s">
        <v>356</v>
      </c>
    </row>
    <row r="287" spans="1:26" s="5" customFormat="1" x14ac:dyDescent="0.25">
      <c r="A287">
        <v>2023157516</v>
      </c>
      <c r="B287" t="s">
        <v>645</v>
      </c>
      <c r="C287" t="s">
        <v>268</v>
      </c>
      <c r="D287" s="5" t="str">
        <f t="shared" si="14"/>
        <v>JAMESON JULIE</v>
      </c>
      <c r="E287" t="s">
        <v>195</v>
      </c>
      <c r="F287" t="s">
        <v>355</v>
      </c>
      <c r="G287" t="s">
        <v>356</v>
      </c>
      <c r="H287">
        <v>19278370</v>
      </c>
      <c r="I287" t="s">
        <v>321</v>
      </c>
      <c r="J287" t="s">
        <v>322</v>
      </c>
      <c r="K287" t="str">
        <f t="shared" si="12"/>
        <v>ANNE MARIE KOZACHECK</v>
      </c>
      <c r="L287" t="s">
        <v>57</v>
      </c>
      <c r="M287" s="1">
        <v>45444</v>
      </c>
      <c r="N287" s="1">
        <v>45992</v>
      </c>
      <c r="O287" s="2">
        <v>53.16</v>
      </c>
      <c r="P287">
        <f t="shared" si="13"/>
        <v>18</v>
      </c>
      <c r="Q287" t="s">
        <v>264</v>
      </c>
      <c r="R287" t="s">
        <v>1086</v>
      </c>
      <c r="S287" t="s">
        <v>58</v>
      </c>
      <c r="T287" s="3">
        <v>0.1</v>
      </c>
      <c r="U287" t="s">
        <v>264</v>
      </c>
      <c r="V287" t="s">
        <v>61</v>
      </c>
      <c r="W287" s="2">
        <v>0</v>
      </c>
      <c r="X287" s="2">
        <v>5.32</v>
      </c>
      <c r="Y287" s="2">
        <v>5.32</v>
      </c>
      <c r="Z287" s="5" t="s">
        <v>356</v>
      </c>
    </row>
    <row r="288" spans="1:26" s="5" customFormat="1" x14ac:dyDescent="0.25">
      <c r="A288">
        <v>2023184837</v>
      </c>
      <c r="B288" t="s">
        <v>646</v>
      </c>
      <c r="C288" t="s">
        <v>647</v>
      </c>
      <c r="D288" s="5" t="str">
        <f t="shared" si="14"/>
        <v>STINSON EVAN</v>
      </c>
      <c r="E288" t="s">
        <v>195</v>
      </c>
      <c r="F288" t="s">
        <v>355</v>
      </c>
      <c r="G288" t="s">
        <v>356</v>
      </c>
      <c r="H288">
        <v>19278370</v>
      </c>
      <c r="I288" t="s">
        <v>321</v>
      </c>
      <c r="J288" t="s">
        <v>322</v>
      </c>
      <c r="K288" t="str">
        <f t="shared" si="12"/>
        <v>ANNE MARIE KOZACHECK</v>
      </c>
      <c r="L288" t="s">
        <v>57</v>
      </c>
      <c r="M288" s="1">
        <v>45444</v>
      </c>
      <c r="N288" s="1">
        <v>45992</v>
      </c>
      <c r="O288" s="2">
        <v>21.97</v>
      </c>
      <c r="P288">
        <f t="shared" si="13"/>
        <v>18</v>
      </c>
      <c r="Q288" t="s">
        <v>264</v>
      </c>
      <c r="R288" t="s">
        <v>1086</v>
      </c>
      <c r="S288" t="s">
        <v>58</v>
      </c>
      <c r="T288" s="3">
        <v>0.1</v>
      </c>
      <c r="U288" t="s">
        <v>264</v>
      </c>
      <c r="V288" t="s">
        <v>61</v>
      </c>
      <c r="W288" s="2">
        <v>0</v>
      </c>
      <c r="X288" s="2">
        <v>2.2000000000000002</v>
      </c>
      <c r="Y288" s="2">
        <v>2.2000000000000002</v>
      </c>
      <c r="Z288" s="5" t="s">
        <v>356</v>
      </c>
    </row>
    <row r="289" spans="1:26" s="5" customFormat="1" x14ac:dyDescent="0.25">
      <c r="A289">
        <v>2023057745</v>
      </c>
      <c r="B289" t="s">
        <v>643</v>
      </c>
      <c r="C289" t="s">
        <v>644</v>
      </c>
      <c r="D289" s="5" t="str">
        <f t="shared" si="14"/>
        <v>GODWIN LYNDA</v>
      </c>
      <c r="E289" t="s">
        <v>195</v>
      </c>
      <c r="F289" t="s">
        <v>355</v>
      </c>
      <c r="G289" t="s">
        <v>356</v>
      </c>
      <c r="H289" t="s">
        <v>1084</v>
      </c>
      <c r="I289" t="s">
        <v>357</v>
      </c>
      <c r="J289" t="s">
        <v>358</v>
      </c>
      <c r="K289" t="str">
        <f t="shared" si="12"/>
        <v>CAROL FOLEY</v>
      </c>
      <c r="L289" t="s">
        <v>57</v>
      </c>
      <c r="M289" s="1">
        <v>45444</v>
      </c>
      <c r="N289" s="1">
        <v>45992</v>
      </c>
      <c r="O289" s="2">
        <v>87.66</v>
      </c>
      <c r="P289">
        <f t="shared" si="13"/>
        <v>18</v>
      </c>
      <c r="Q289" t="s">
        <v>264</v>
      </c>
      <c r="R289" t="s">
        <v>1086</v>
      </c>
      <c r="S289" t="s">
        <v>58</v>
      </c>
      <c r="T289" s="3">
        <v>0.1</v>
      </c>
      <c r="U289" t="s">
        <v>264</v>
      </c>
      <c r="V289" t="s">
        <v>61</v>
      </c>
      <c r="W289" s="2">
        <v>0</v>
      </c>
      <c r="X289" s="2">
        <v>8.77</v>
      </c>
      <c r="Y289" s="2">
        <v>8.77</v>
      </c>
      <c r="Z289" s="5" t="s">
        <v>356</v>
      </c>
    </row>
    <row r="290" spans="1:26" s="5" customFormat="1" x14ac:dyDescent="0.25">
      <c r="A290">
        <v>2023105853</v>
      </c>
      <c r="B290" t="s">
        <v>493</v>
      </c>
      <c r="C290" t="s">
        <v>494</v>
      </c>
      <c r="D290" s="5" t="str">
        <f t="shared" si="14"/>
        <v>BYRSE EBONEY</v>
      </c>
      <c r="E290" t="s">
        <v>78</v>
      </c>
      <c r="F290" t="s">
        <v>355</v>
      </c>
      <c r="G290" t="s">
        <v>356</v>
      </c>
      <c r="H290" t="s">
        <v>1084</v>
      </c>
      <c r="I290" t="s">
        <v>357</v>
      </c>
      <c r="J290" t="s">
        <v>358</v>
      </c>
      <c r="K290" t="str">
        <f t="shared" si="12"/>
        <v>CAROL FOLEY</v>
      </c>
      <c r="L290" t="s">
        <v>57</v>
      </c>
      <c r="M290" s="1">
        <v>45444</v>
      </c>
      <c r="N290" s="1">
        <v>45992</v>
      </c>
      <c r="O290" s="2">
        <v>23.22</v>
      </c>
      <c r="P290">
        <f t="shared" si="13"/>
        <v>18</v>
      </c>
      <c r="Q290" t="s">
        <v>264</v>
      </c>
      <c r="R290" t="s">
        <v>1086</v>
      </c>
      <c r="S290" t="s">
        <v>58</v>
      </c>
      <c r="T290" s="3">
        <v>0.1</v>
      </c>
      <c r="U290" t="s">
        <v>264</v>
      </c>
      <c r="V290" t="s">
        <v>61</v>
      </c>
      <c r="W290" s="2">
        <v>0</v>
      </c>
      <c r="X290" s="2">
        <v>2.3199999999999998</v>
      </c>
      <c r="Y290" s="2">
        <v>2.3199999999999998</v>
      </c>
      <c r="Z290" s="5" t="s">
        <v>356</v>
      </c>
    </row>
    <row r="291" spans="1:26" s="5" customFormat="1" x14ac:dyDescent="0.25">
      <c r="A291">
        <v>2023215080</v>
      </c>
      <c r="B291" t="s">
        <v>648</v>
      </c>
      <c r="C291" t="s">
        <v>649</v>
      </c>
      <c r="D291" s="5" t="str">
        <f t="shared" si="14"/>
        <v>CHHOUN LAY</v>
      </c>
      <c r="E291" t="s">
        <v>195</v>
      </c>
      <c r="F291" t="s">
        <v>355</v>
      </c>
      <c r="G291" t="s">
        <v>356</v>
      </c>
      <c r="H291" t="s">
        <v>1084</v>
      </c>
      <c r="I291" t="s">
        <v>357</v>
      </c>
      <c r="J291" t="s">
        <v>358</v>
      </c>
      <c r="K291" t="str">
        <f t="shared" si="12"/>
        <v>CAROL FOLEY</v>
      </c>
      <c r="L291" t="s">
        <v>57</v>
      </c>
      <c r="M291" s="1">
        <v>45444</v>
      </c>
      <c r="N291" s="1">
        <v>45992</v>
      </c>
      <c r="O291" s="2">
        <v>53.16</v>
      </c>
      <c r="P291">
        <f t="shared" si="13"/>
        <v>18</v>
      </c>
      <c r="Q291" t="s">
        <v>264</v>
      </c>
      <c r="R291" t="s">
        <v>1086</v>
      </c>
      <c r="S291" t="s">
        <v>58</v>
      </c>
      <c r="T291" s="3">
        <v>0.1</v>
      </c>
      <c r="U291" t="s">
        <v>264</v>
      </c>
      <c r="V291" t="s">
        <v>61</v>
      </c>
      <c r="W291" s="2">
        <v>0</v>
      </c>
      <c r="X291" s="2">
        <v>5.32</v>
      </c>
      <c r="Y291" s="2">
        <v>5.32</v>
      </c>
      <c r="Z291" s="5" t="s">
        <v>356</v>
      </c>
    </row>
    <row r="292" spans="1:26" s="5" customFormat="1" x14ac:dyDescent="0.25">
      <c r="A292">
        <v>2023252073</v>
      </c>
      <c r="B292" t="s">
        <v>495</v>
      </c>
      <c r="C292" t="s">
        <v>496</v>
      </c>
      <c r="D292" s="5" t="str">
        <f t="shared" si="14"/>
        <v>STOFKA TODD</v>
      </c>
      <c r="E292" t="s">
        <v>195</v>
      </c>
      <c r="F292" t="s">
        <v>355</v>
      </c>
      <c r="G292" t="s">
        <v>356</v>
      </c>
      <c r="H292" t="s">
        <v>1084</v>
      </c>
      <c r="I292" t="s">
        <v>357</v>
      </c>
      <c r="J292" t="s">
        <v>358</v>
      </c>
      <c r="K292" t="str">
        <f t="shared" si="12"/>
        <v>CAROL FOLEY</v>
      </c>
      <c r="L292" t="s">
        <v>57</v>
      </c>
      <c r="M292" s="1">
        <v>45444</v>
      </c>
      <c r="N292" s="1">
        <v>45992</v>
      </c>
      <c r="O292" s="2">
        <v>116.64</v>
      </c>
      <c r="P292">
        <f t="shared" si="13"/>
        <v>18</v>
      </c>
      <c r="Q292" t="s">
        <v>264</v>
      </c>
      <c r="R292" t="s">
        <v>1086</v>
      </c>
      <c r="S292" t="s">
        <v>58</v>
      </c>
      <c r="T292" s="3">
        <v>0.1</v>
      </c>
      <c r="U292" t="s">
        <v>264</v>
      </c>
      <c r="V292" t="s">
        <v>61</v>
      </c>
      <c r="W292" s="2">
        <v>0</v>
      </c>
      <c r="X292" s="2">
        <v>11.66</v>
      </c>
      <c r="Y292" s="2">
        <v>11.66</v>
      </c>
      <c r="Z292" s="5" t="s">
        <v>356</v>
      </c>
    </row>
    <row r="293" spans="1:26" s="5" customFormat="1" x14ac:dyDescent="0.25">
      <c r="A293">
        <v>2023296698</v>
      </c>
      <c r="B293" t="s">
        <v>650</v>
      </c>
      <c r="C293" t="s">
        <v>651</v>
      </c>
      <c r="D293" s="5" t="str">
        <f t="shared" si="14"/>
        <v>SOBEL RICKY</v>
      </c>
      <c r="E293" t="s">
        <v>195</v>
      </c>
      <c r="F293" t="s">
        <v>355</v>
      </c>
      <c r="G293" t="s">
        <v>356</v>
      </c>
      <c r="H293" t="s">
        <v>1084</v>
      </c>
      <c r="I293" t="s">
        <v>357</v>
      </c>
      <c r="J293" t="s">
        <v>358</v>
      </c>
      <c r="K293" t="str">
        <f t="shared" si="12"/>
        <v>CAROL FOLEY</v>
      </c>
      <c r="L293" t="s">
        <v>57</v>
      </c>
      <c r="M293" s="1">
        <v>45444</v>
      </c>
      <c r="N293" s="1">
        <v>45992</v>
      </c>
      <c r="O293" s="2">
        <v>21.97</v>
      </c>
      <c r="P293">
        <f t="shared" si="13"/>
        <v>18</v>
      </c>
      <c r="Q293" t="s">
        <v>264</v>
      </c>
      <c r="R293" t="s">
        <v>1086</v>
      </c>
      <c r="S293" t="s">
        <v>58</v>
      </c>
      <c r="T293" s="3">
        <v>0.1</v>
      </c>
      <c r="U293" t="s">
        <v>264</v>
      </c>
      <c r="V293" t="s">
        <v>61</v>
      </c>
      <c r="W293" s="2">
        <v>0</v>
      </c>
      <c r="X293" s="2">
        <v>2.2000000000000002</v>
      </c>
      <c r="Y293" s="2">
        <v>2.2000000000000002</v>
      </c>
      <c r="Z293" s="5" t="s">
        <v>356</v>
      </c>
    </row>
    <row r="294" spans="1:26" s="5" customFormat="1" x14ac:dyDescent="0.25">
      <c r="A294">
        <v>2022747853</v>
      </c>
      <c r="B294" t="s">
        <v>640</v>
      </c>
      <c r="C294" t="s">
        <v>617</v>
      </c>
      <c r="D294" s="5" t="str">
        <f t="shared" si="14"/>
        <v>SOLIVAN NANCY</v>
      </c>
      <c r="E294" t="s">
        <v>195</v>
      </c>
      <c r="F294" t="s">
        <v>355</v>
      </c>
      <c r="G294" t="s">
        <v>356</v>
      </c>
      <c r="H294">
        <v>18781057</v>
      </c>
      <c r="I294" t="s">
        <v>349</v>
      </c>
      <c r="J294" t="s">
        <v>312</v>
      </c>
      <c r="K294" t="str">
        <f t="shared" si="12"/>
        <v>JOHN ROKEN</v>
      </c>
      <c r="L294" t="s">
        <v>57</v>
      </c>
      <c r="M294" s="1">
        <v>45413</v>
      </c>
      <c r="N294" s="1">
        <v>45962</v>
      </c>
      <c r="O294" s="2">
        <v>61.39</v>
      </c>
      <c r="P294">
        <f t="shared" si="13"/>
        <v>18</v>
      </c>
      <c r="Q294" t="s">
        <v>264</v>
      </c>
      <c r="R294" t="s">
        <v>1086</v>
      </c>
      <c r="S294" t="s">
        <v>58</v>
      </c>
      <c r="T294" s="3">
        <v>0.1</v>
      </c>
      <c r="U294" t="s">
        <v>264</v>
      </c>
      <c r="V294" t="s">
        <v>61</v>
      </c>
      <c r="W294" s="2">
        <v>0</v>
      </c>
      <c r="X294" s="2">
        <v>6.14</v>
      </c>
      <c r="Y294" s="2">
        <v>6.14</v>
      </c>
      <c r="Z294" s="5" t="s">
        <v>356</v>
      </c>
    </row>
    <row r="295" spans="1:26" s="5" customFormat="1" x14ac:dyDescent="0.25">
      <c r="A295">
        <v>2022444748</v>
      </c>
      <c r="B295" t="s">
        <v>834</v>
      </c>
      <c r="C295" t="s">
        <v>835</v>
      </c>
      <c r="D295" s="5" t="str">
        <f t="shared" si="14"/>
        <v>DESOUSA KYLE</v>
      </c>
      <c r="E295" t="s">
        <v>195</v>
      </c>
      <c r="F295" t="s">
        <v>355</v>
      </c>
      <c r="G295" t="s">
        <v>356</v>
      </c>
      <c r="H295">
        <v>19278370</v>
      </c>
      <c r="I295" t="s">
        <v>321</v>
      </c>
      <c r="J295" t="s">
        <v>322</v>
      </c>
      <c r="K295" t="str">
        <f t="shared" si="12"/>
        <v>ANNE MARIE KOZACHECK</v>
      </c>
      <c r="L295" t="s">
        <v>57</v>
      </c>
      <c r="M295" s="1">
        <v>45383</v>
      </c>
      <c r="N295" s="1">
        <v>45992</v>
      </c>
      <c r="O295" s="2">
        <v>21.97</v>
      </c>
      <c r="P295">
        <f t="shared" si="13"/>
        <v>20</v>
      </c>
      <c r="Q295" t="s">
        <v>264</v>
      </c>
      <c r="R295" t="s">
        <v>1086</v>
      </c>
      <c r="S295" t="s">
        <v>58</v>
      </c>
      <c r="T295" s="3">
        <v>0.1</v>
      </c>
      <c r="U295" t="s">
        <v>264</v>
      </c>
      <c r="V295" t="s">
        <v>61</v>
      </c>
      <c r="W295" s="2">
        <v>0</v>
      </c>
      <c r="X295" s="2">
        <v>2.2000000000000002</v>
      </c>
      <c r="Y295" s="2">
        <v>2.2000000000000002</v>
      </c>
      <c r="Z295" s="5" t="s">
        <v>356</v>
      </c>
    </row>
    <row r="296" spans="1:26" s="10" customFormat="1" x14ac:dyDescent="0.25">
      <c r="A296">
        <v>2022453568</v>
      </c>
      <c r="B296" t="s">
        <v>970</v>
      </c>
      <c r="C296" t="s">
        <v>103</v>
      </c>
      <c r="D296" s="5" t="str">
        <f t="shared" si="14"/>
        <v>WICK THOMAS</v>
      </c>
      <c r="E296" t="s">
        <v>195</v>
      </c>
      <c r="F296" t="s">
        <v>355</v>
      </c>
      <c r="G296" t="s">
        <v>356</v>
      </c>
      <c r="H296">
        <v>19278370</v>
      </c>
      <c r="I296" t="s">
        <v>321</v>
      </c>
      <c r="J296" t="s">
        <v>322</v>
      </c>
      <c r="K296" t="str">
        <f t="shared" si="12"/>
        <v>ANNE MARIE KOZACHECK</v>
      </c>
      <c r="L296" t="s">
        <v>57</v>
      </c>
      <c r="M296" s="1">
        <v>45383</v>
      </c>
      <c r="N296" s="1">
        <v>45992</v>
      </c>
      <c r="O296" s="2">
        <v>21.97</v>
      </c>
      <c r="P296">
        <f t="shared" si="13"/>
        <v>20</v>
      </c>
      <c r="Q296" t="s">
        <v>264</v>
      </c>
      <c r="R296" t="s">
        <v>1086</v>
      </c>
      <c r="S296" t="s">
        <v>58</v>
      </c>
      <c r="T296" s="3">
        <v>0.1</v>
      </c>
      <c r="U296" t="s">
        <v>264</v>
      </c>
      <c r="V296" t="s">
        <v>61</v>
      </c>
      <c r="W296" s="2">
        <v>0</v>
      </c>
      <c r="X296" s="2">
        <v>2.2000000000000002</v>
      </c>
      <c r="Y296" s="2">
        <v>2.2000000000000002</v>
      </c>
      <c r="Z296" s="5" t="s">
        <v>356</v>
      </c>
    </row>
    <row r="297" spans="1:26" s="10" customFormat="1" x14ac:dyDescent="0.25">
      <c r="A297">
        <v>2018114567</v>
      </c>
      <c r="B297" t="s">
        <v>823</v>
      </c>
      <c r="C297" t="s">
        <v>792</v>
      </c>
      <c r="D297" s="5" t="str">
        <f t="shared" si="14"/>
        <v>AIKEN RANDALL</v>
      </c>
      <c r="E297" t="s">
        <v>195</v>
      </c>
      <c r="F297" t="s">
        <v>355</v>
      </c>
      <c r="G297" t="s">
        <v>356</v>
      </c>
      <c r="H297">
        <v>19278370</v>
      </c>
      <c r="I297" t="s">
        <v>321</v>
      </c>
      <c r="J297" t="s">
        <v>322</v>
      </c>
      <c r="K297" t="str">
        <f t="shared" si="12"/>
        <v>ANNE MARIE KOZACHECK</v>
      </c>
      <c r="L297" t="s">
        <v>57</v>
      </c>
      <c r="M297" s="1">
        <v>45017</v>
      </c>
      <c r="N297" s="1">
        <v>45992</v>
      </c>
      <c r="O297" s="2">
        <v>21.97</v>
      </c>
      <c r="P297">
        <f t="shared" si="13"/>
        <v>32</v>
      </c>
      <c r="Q297" t="s">
        <v>264</v>
      </c>
      <c r="R297" t="s">
        <v>1086</v>
      </c>
      <c r="S297" t="s">
        <v>58</v>
      </c>
      <c r="T297" s="3">
        <v>0.1</v>
      </c>
      <c r="U297" t="s">
        <v>264</v>
      </c>
      <c r="V297" t="s">
        <v>61</v>
      </c>
      <c r="W297" s="2">
        <v>0</v>
      </c>
      <c r="X297" s="2">
        <v>2.2000000000000002</v>
      </c>
      <c r="Y297" s="2">
        <v>2.2000000000000002</v>
      </c>
      <c r="Z297" s="5" t="s">
        <v>356</v>
      </c>
    </row>
    <row r="298" spans="1:26" s="10" customFormat="1" x14ac:dyDescent="0.25">
      <c r="A298">
        <v>2017517074</v>
      </c>
      <c r="B298" t="s">
        <v>969</v>
      </c>
      <c r="C298" t="s">
        <v>153</v>
      </c>
      <c r="D298" s="5" t="str">
        <f t="shared" si="14"/>
        <v>HEATH DAVID</v>
      </c>
      <c r="E298" t="s">
        <v>195</v>
      </c>
      <c r="F298" t="s">
        <v>355</v>
      </c>
      <c r="G298" t="s">
        <v>356</v>
      </c>
      <c r="H298">
        <v>19278370</v>
      </c>
      <c r="I298" t="s">
        <v>321</v>
      </c>
      <c r="J298" t="s">
        <v>322</v>
      </c>
      <c r="K298" t="str">
        <f t="shared" si="12"/>
        <v>ANNE MARIE KOZACHECK</v>
      </c>
      <c r="L298" t="s">
        <v>57</v>
      </c>
      <c r="M298" s="1">
        <v>44958</v>
      </c>
      <c r="N298" s="1">
        <v>45992</v>
      </c>
      <c r="O298" s="2">
        <v>38.11</v>
      </c>
      <c r="P298">
        <f t="shared" si="13"/>
        <v>34</v>
      </c>
      <c r="Q298" t="s">
        <v>264</v>
      </c>
      <c r="R298" t="s">
        <v>1086</v>
      </c>
      <c r="S298" t="s">
        <v>58</v>
      </c>
      <c r="T298" s="3">
        <v>0.1</v>
      </c>
      <c r="U298" t="s">
        <v>264</v>
      </c>
      <c r="V298" t="s">
        <v>61</v>
      </c>
      <c r="W298" s="2">
        <v>0</v>
      </c>
      <c r="X298" s="2">
        <v>3.81</v>
      </c>
      <c r="Y298" s="2">
        <v>3.81</v>
      </c>
      <c r="Z298" s="5" t="s">
        <v>356</v>
      </c>
    </row>
    <row r="299" spans="1:26" x14ac:dyDescent="0.25">
      <c r="A299" s="5">
        <v>2026705202</v>
      </c>
      <c r="B299" s="5" t="s">
        <v>339</v>
      </c>
      <c r="C299" s="5" t="s">
        <v>62</v>
      </c>
      <c r="D299" s="5" t="str">
        <f t="shared" si="14"/>
        <v>CHERRY LISA</v>
      </c>
      <c r="E299" s="5" t="s">
        <v>69</v>
      </c>
      <c r="F299" s="5" t="s">
        <v>309</v>
      </c>
      <c r="G299" s="5" t="s">
        <v>340</v>
      </c>
      <c r="H299" s="5">
        <v>16912722</v>
      </c>
      <c r="I299" s="5" t="s">
        <v>289</v>
      </c>
      <c r="J299" s="5" t="s">
        <v>290</v>
      </c>
      <c r="K299" s="5" t="str">
        <f t="shared" si="12"/>
        <v>ANDREA PETRUNGARO</v>
      </c>
      <c r="L299" s="5" t="s">
        <v>57</v>
      </c>
      <c r="M299" s="6">
        <v>45679</v>
      </c>
      <c r="N299" s="6">
        <v>45983</v>
      </c>
      <c r="O299" s="7">
        <v>113.89</v>
      </c>
      <c r="P299" s="5">
        <f t="shared" si="13"/>
        <v>10</v>
      </c>
      <c r="Q299" s="5" t="s">
        <v>264</v>
      </c>
      <c r="R299" s="5" t="s">
        <v>1086</v>
      </c>
      <c r="S299" s="5" t="s">
        <v>58</v>
      </c>
      <c r="T299" s="8">
        <v>0.51</v>
      </c>
      <c r="U299" s="5" t="s">
        <v>60</v>
      </c>
      <c r="V299" s="5" t="s">
        <v>61</v>
      </c>
      <c r="W299" s="7">
        <v>0</v>
      </c>
      <c r="X299" s="7">
        <v>58.08</v>
      </c>
      <c r="Y299" s="7">
        <v>58.08</v>
      </c>
      <c r="Z299" s="5" t="s">
        <v>340</v>
      </c>
    </row>
    <row r="300" spans="1:26" x14ac:dyDescent="0.25">
      <c r="A300" s="5">
        <v>2026721618</v>
      </c>
      <c r="B300" s="5" t="s">
        <v>107</v>
      </c>
      <c r="C300" s="5" t="s">
        <v>342</v>
      </c>
      <c r="D300" s="5" t="str">
        <f t="shared" si="14"/>
        <v>ANDERSON STEVEN</v>
      </c>
      <c r="E300" s="5" t="s">
        <v>145</v>
      </c>
      <c r="F300" s="5" t="s">
        <v>309</v>
      </c>
      <c r="G300" s="5" t="s">
        <v>340</v>
      </c>
      <c r="H300" s="5">
        <v>16912722</v>
      </c>
      <c r="I300" s="5" t="s">
        <v>289</v>
      </c>
      <c r="J300" s="5" t="s">
        <v>290</v>
      </c>
      <c r="K300" s="5" t="str">
        <f t="shared" si="12"/>
        <v>ANDREA PETRUNGARO</v>
      </c>
      <c r="L300" s="5" t="s">
        <v>57</v>
      </c>
      <c r="M300" s="6">
        <v>45680</v>
      </c>
      <c r="N300" s="6">
        <v>45984</v>
      </c>
      <c r="O300" s="7">
        <v>113.89</v>
      </c>
      <c r="P300" s="5">
        <f t="shared" si="13"/>
        <v>10</v>
      </c>
      <c r="Q300" s="5" t="s">
        <v>264</v>
      </c>
      <c r="R300" s="5" t="s">
        <v>1086</v>
      </c>
      <c r="S300" s="5" t="s">
        <v>58</v>
      </c>
      <c r="T300" s="8">
        <v>0.51</v>
      </c>
      <c r="U300" s="5" t="s">
        <v>60</v>
      </c>
      <c r="V300" s="5" t="s">
        <v>61</v>
      </c>
      <c r="W300" s="7">
        <v>0</v>
      </c>
      <c r="X300" s="7">
        <v>58.08</v>
      </c>
      <c r="Y300" s="7">
        <v>58.08</v>
      </c>
      <c r="Z300" s="5" t="s">
        <v>340</v>
      </c>
    </row>
    <row r="301" spans="1:26" x14ac:dyDescent="0.25">
      <c r="A301">
        <v>2031209004</v>
      </c>
      <c r="B301" t="s">
        <v>347</v>
      </c>
      <c r="C301" t="s">
        <v>348</v>
      </c>
      <c r="D301" s="5" t="str">
        <f t="shared" si="14"/>
        <v>GUNTER DARRELL</v>
      </c>
      <c r="E301" t="s">
        <v>195</v>
      </c>
      <c r="F301" t="s">
        <v>309</v>
      </c>
      <c r="G301" t="s">
        <v>340</v>
      </c>
      <c r="H301">
        <v>18781057</v>
      </c>
      <c r="I301" t="s">
        <v>349</v>
      </c>
      <c r="J301" t="s">
        <v>312</v>
      </c>
      <c r="K301" t="str">
        <f t="shared" si="12"/>
        <v>JOHN ROKEN</v>
      </c>
      <c r="L301" t="s">
        <v>57</v>
      </c>
      <c r="M301" s="1">
        <v>45923</v>
      </c>
      <c r="N301" s="1">
        <v>45984</v>
      </c>
      <c r="O301" s="2">
        <v>55.2</v>
      </c>
      <c r="P301">
        <f t="shared" si="13"/>
        <v>2</v>
      </c>
      <c r="Q301" t="s">
        <v>264</v>
      </c>
      <c r="R301" t="s">
        <v>1086</v>
      </c>
      <c r="S301" t="s">
        <v>58</v>
      </c>
      <c r="T301" s="3">
        <v>0.51</v>
      </c>
      <c r="U301" t="s">
        <v>60</v>
      </c>
      <c r="V301" t="s">
        <v>61</v>
      </c>
      <c r="W301" s="2">
        <v>28.15</v>
      </c>
      <c r="X301" s="2">
        <v>0</v>
      </c>
      <c r="Y301" s="2">
        <v>28.15</v>
      </c>
      <c r="Z301" s="5" t="s">
        <v>340</v>
      </c>
    </row>
    <row r="302" spans="1:26" x14ac:dyDescent="0.25">
      <c r="A302" s="5">
        <v>2024464933</v>
      </c>
      <c r="B302" s="5" t="s">
        <v>333</v>
      </c>
      <c r="C302" s="5" t="s">
        <v>334</v>
      </c>
      <c r="D302" s="5" t="str">
        <f t="shared" si="14"/>
        <v>AFRASSIAB MONA</v>
      </c>
      <c r="E302" s="5" t="s">
        <v>69</v>
      </c>
      <c r="F302" s="5" t="s">
        <v>712</v>
      </c>
      <c r="G302" s="5" t="s">
        <v>713</v>
      </c>
      <c r="H302" s="5">
        <v>17094718</v>
      </c>
      <c r="I302" s="5" t="s">
        <v>335</v>
      </c>
      <c r="J302" s="5" t="s">
        <v>336</v>
      </c>
      <c r="K302" s="5" t="str">
        <f t="shared" si="12"/>
        <v>GREGORY HANSFORD</v>
      </c>
      <c r="L302" s="5" t="s">
        <v>57</v>
      </c>
      <c r="M302" s="6">
        <v>45527</v>
      </c>
      <c r="N302" s="6">
        <v>45984</v>
      </c>
      <c r="O302" s="7">
        <v>114.17</v>
      </c>
      <c r="P302" s="5">
        <f t="shared" si="13"/>
        <v>15</v>
      </c>
      <c r="Q302" s="5" t="s">
        <v>264</v>
      </c>
      <c r="R302" s="5" t="s">
        <v>1086</v>
      </c>
      <c r="S302" s="5" t="s">
        <v>58</v>
      </c>
      <c r="T302" s="8">
        <v>0.26</v>
      </c>
      <c r="U302" s="5" t="s">
        <v>264</v>
      </c>
      <c r="V302" s="5" t="s">
        <v>61</v>
      </c>
      <c r="W302" s="7">
        <v>0</v>
      </c>
      <c r="X302" s="7">
        <v>29.68</v>
      </c>
      <c r="Y302" s="7">
        <v>29.68</v>
      </c>
      <c r="Z302" s="5" t="s">
        <v>1093</v>
      </c>
    </row>
    <row r="303" spans="1:26" x14ac:dyDescent="0.25">
      <c r="A303">
        <v>2030694346</v>
      </c>
      <c r="B303" t="s">
        <v>186</v>
      </c>
      <c r="C303" t="s">
        <v>187</v>
      </c>
      <c r="D303" s="5" t="str">
        <f t="shared" si="14"/>
        <v>ALEXANDRA FRASER</v>
      </c>
      <c r="E303" t="s">
        <v>129</v>
      </c>
      <c r="F303" t="s">
        <v>262</v>
      </c>
      <c r="G303" t="s">
        <v>269</v>
      </c>
      <c r="H303">
        <v>21564088</v>
      </c>
      <c r="I303" t="s">
        <v>130</v>
      </c>
      <c r="J303" t="s">
        <v>131</v>
      </c>
      <c r="K303" t="str">
        <f t="shared" si="12"/>
        <v>Jennifer Halsaver</v>
      </c>
      <c r="L303" t="s">
        <v>57</v>
      </c>
      <c r="M303" s="1">
        <v>45901</v>
      </c>
      <c r="N303" s="1">
        <v>45992</v>
      </c>
      <c r="O303" s="2">
        <v>248.82</v>
      </c>
      <c r="P303">
        <f t="shared" si="13"/>
        <v>3</v>
      </c>
      <c r="Q303" t="s">
        <v>264</v>
      </c>
      <c r="R303" t="s">
        <v>1086</v>
      </c>
      <c r="S303" t="s">
        <v>58</v>
      </c>
      <c r="T303" s="3">
        <v>0.19</v>
      </c>
      <c r="U303" t="s">
        <v>60</v>
      </c>
      <c r="V303" t="s">
        <v>61</v>
      </c>
      <c r="W303" s="2">
        <v>47.27</v>
      </c>
      <c r="X303" s="2">
        <v>0.01</v>
      </c>
      <c r="Y303" s="2">
        <v>47.27</v>
      </c>
      <c r="Z303" t="s">
        <v>269</v>
      </c>
    </row>
    <row r="304" spans="1:26" x14ac:dyDescent="0.25">
      <c r="A304">
        <v>2030674187</v>
      </c>
      <c r="B304" t="s">
        <v>301</v>
      </c>
      <c r="C304" t="s">
        <v>302</v>
      </c>
      <c r="D304" s="5" t="str">
        <f t="shared" si="14"/>
        <v>ERIC BAKER</v>
      </c>
      <c r="E304" t="s">
        <v>129</v>
      </c>
      <c r="F304" t="s">
        <v>262</v>
      </c>
      <c r="G304" t="s">
        <v>269</v>
      </c>
      <c r="H304">
        <v>21564088</v>
      </c>
      <c r="I304" t="s">
        <v>130</v>
      </c>
      <c r="J304" t="s">
        <v>131</v>
      </c>
      <c r="K304" t="str">
        <f t="shared" si="12"/>
        <v>Jennifer Halsaver</v>
      </c>
      <c r="L304" t="s">
        <v>57</v>
      </c>
      <c r="M304" s="1">
        <v>45901</v>
      </c>
      <c r="N304" s="1">
        <v>45992</v>
      </c>
      <c r="O304" s="2">
        <v>219.24</v>
      </c>
      <c r="P304">
        <f t="shared" si="13"/>
        <v>3</v>
      </c>
      <c r="Q304" t="s">
        <v>264</v>
      </c>
      <c r="R304" t="s">
        <v>1086</v>
      </c>
      <c r="S304" t="s">
        <v>58</v>
      </c>
      <c r="T304" s="3">
        <v>0.19</v>
      </c>
      <c r="U304" t="s">
        <v>60</v>
      </c>
      <c r="V304" t="s">
        <v>61</v>
      </c>
      <c r="W304" s="2">
        <v>41.65</v>
      </c>
      <c r="X304" s="2">
        <v>0.01</v>
      </c>
      <c r="Y304" s="2">
        <v>41.65</v>
      </c>
      <c r="Z304" t="s">
        <v>269</v>
      </c>
    </row>
    <row r="305" spans="1:26" x14ac:dyDescent="0.25">
      <c r="A305">
        <v>2030762530</v>
      </c>
      <c r="B305" t="s">
        <v>209</v>
      </c>
      <c r="C305" t="s">
        <v>210</v>
      </c>
      <c r="D305" s="5" t="str">
        <f t="shared" si="14"/>
        <v>PHILLIP III</v>
      </c>
      <c r="E305" t="s">
        <v>129</v>
      </c>
      <c r="F305" t="s">
        <v>262</v>
      </c>
      <c r="G305" t="s">
        <v>269</v>
      </c>
      <c r="H305">
        <v>18142208</v>
      </c>
      <c r="I305" t="s">
        <v>211</v>
      </c>
      <c r="J305" t="s">
        <v>212</v>
      </c>
      <c r="K305" t="str">
        <f t="shared" si="12"/>
        <v>Jill Shepard</v>
      </c>
      <c r="L305" t="s">
        <v>57</v>
      </c>
      <c r="M305" s="1">
        <v>45899</v>
      </c>
      <c r="N305" s="1">
        <v>45991</v>
      </c>
      <c r="O305" s="2">
        <v>90.98</v>
      </c>
      <c r="P305">
        <f t="shared" si="13"/>
        <v>3</v>
      </c>
      <c r="Q305" t="s">
        <v>264</v>
      </c>
      <c r="R305" t="s">
        <v>1086</v>
      </c>
      <c r="S305" t="s">
        <v>58</v>
      </c>
      <c r="T305" s="3">
        <v>0.19</v>
      </c>
      <c r="U305" t="s">
        <v>60</v>
      </c>
      <c r="V305" t="s">
        <v>61</v>
      </c>
      <c r="W305" s="2">
        <v>17.28</v>
      </c>
      <c r="X305" s="2">
        <v>0.01</v>
      </c>
      <c r="Y305" s="2">
        <v>17.28</v>
      </c>
      <c r="Z305" t="s">
        <v>269</v>
      </c>
    </row>
    <row r="306" spans="1:26" x14ac:dyDescent="0.25">
      <c r="A306">
        <v>2023882011</v>
      </c>
      <c r="B306" t="s">
        <v>267</v>
      </c>
      <c r="C306" t="s">
        <v>268</v>
      </c>
      <c r="D306" s="5" t="str">
        <f t="shared" si="14"/>
        <v>DEBORD JULIE</v>
      </c>
      <c r="E306" t="s">
        <v>129</v>
      </c>
      <c r="F306" t="s">
        <v>262</v>
      </c>
      <c r="G306" t="s">
        <v>269</v>
      </c>
      <c r="H306">
        <v>8977234</v>
      </c>
      <c r="I306" t="s">
        <v>55</v>
      </c>
      <c r="J306" t="s">
        <v>56</v>
      </c>
      <c r="K306" t="str">
        <f t="shared" si="12"/>
        <v>RYAN CALTAGIRONE</v>
      </c>
      <c r="L306" t="s">
        <v>57</v>
      </c>
      <c r="M306" s="1">
        <v>45657</v>
      </c>
      <c r="N306" s="1">
        <v>45991</v>
      </c>
      <c r="O306" s="2">
        <v>338.29</v>
      </c>
      <c r="P306">
        <f t="shared" si="13"/>
        <v>10</v>
      </c>
      <c r="Q306" t="s">
        <v>264</v>
      </c>
      <c r="R306" t="s">
        <v>1086</v>
      </c>
      <c r="S306" t="s">
        <v>58</v>
      </c>
      <c r="T306" s="3">
        <v>0.19</v>
      </c>
      <c r="U306" t="s">
        <v>60</v>
      </c>
      <c r="V306" t="s">
        <v>61</v>
      </c>
      <c r="W306" s="2">
        <v>0</v>
      </c>
      <c r="X306" s="2">
        <v>64.28</v>
      </c>
      <c r="Y306" s="2">
        <v>64.28</v>
      </c>
      <c r="Z306" t="s">
        <v>269</v>
      </c>
    </row>
    <row r="307" spans="1:26" x14ac:dyDescent="0.25">
      <c r="A307">
        <v>2023980076</v>
      </c>
      <c r="B307" t="s">
        <v>277</v>
      </c>
      <c r="C307" t="s">
        <v>278</v>
      </c>
      <c r="D307" s="5" t="str">
        <f t="shared" si="14"/>
        <v>MAURER DAWN</v>
      </c>
      <c r="E307" t="s">
        <v>129</v>
      </c>
      <c r="F307" t="s">
        <v>262</v>
      </c>
      <c r="G307" t="s">
        <v>269</v>
      </c>
      <c r="H307">
        <v>8977234</v>
      </c>
      <c r="I307" t="s">
        <v>55</v>
      </c>
      <c r="J307" t="s">
        <v>56</v>
      </c>
      <c r="K307" t="str">
        <f t="shared" si="12"/>
        <v>RYAN CALTAGIRONE</v>
      </c>
      <c r="L307" t="s">
        <v>57</v>
      </c>
      <c r="M307" s="1">
        <v>45657</v>
      </c>
      <c r="N307" s="1">
        <v>45991</v>
      </c>
      <c r="O307" s="2">
        <v>204.87</v>
      </c>
      <c r="P307">
        <f t="shared" si="13"/>
        <v>10</v>
      </c>
      <c r="Q307" t="s">
        <v>264</v>
      </c>
      <c r="R307" t="s">
        <v>1086</v>
      </c>
      <c r="S307" t="s">
        <v>58</v>
      </c>
      <c r="T307" s="3">
        <v>0.19</v>
      </c>
      <c r="U307" t="s">
        <v>60</v>
      </c>
      <c r="V307" t="s">
        <v>61</v>
      </c>
      <c r="W307" s="2">
        <v>0</v>
      </c>
      <c r="X307" s="2">
        <v>38.93</v>
      </c>
      <c r="Y307" s="2">
        <v>38.93</v>
      </c>
      <c r="Z307" t="s">
        <v>269</v>
      </c>
    </row>
    <row r="308" spans="1:26" x14ac:dyDescent="0.25">
      <c r="A308" s="5">
        <v>2030722441</v>
      </c>
      <c r="B308" s="5" t="s">
        <v>305</v>
      </c>
      <c r="C308" s="5" t="s">
        <v>306</v>
      </c>
      <c r="D308" s="5" t="str">
        <f t="shared" si="14"/>
        <v>JADE LEVINSON</v>
      </c>
      <c r="E308" s="5" t="s">
        <v>261</v>
      </c>
      <c r="F308" s="5" t="s">
        <v>262</v>
      </c>
      <c r="G308" s="5" t="s">
        <v>298</v>
      </c>
      <c r="H308" s="5">
        <v>19200754</v>
      </c>
      <c r="I308" s="5" t="s">
        <v>228</v>
      </c>
      <c r="J308" s="5" t="s">
        <v>229</v>
      </c>
      <c r="K308" s="5" t="str">
        <f t="shared" si="12"/>
        <v>RICARDO SANTOS</v>
      </c>
      <c r="L308" s="5" t="s">
        <v>57</v>
      </c>
      <c r="M308" s="6">
        <v>45897</v>
      </c>
      <c r="N308" s="6">
        <v>45989</v>
      </c>
      <c r="O308" s="7">
        <v>150.93</v>
      </c>
      <c r="P308" s="5">
        <f t="shared" si="13"/>
        <v>3</v>
      </c>
      <c r="Q308" s="5" t="s">
        <v>264</v>
      </c>
      <c r="R308" s="5" t="s">
        <v>1085</v>
      </c>
      <c r="S308" s="5" t="s">
        <v>58</v>
      </c>
      <c r="T308" s="8">
        <v>0.28999999999999998</v>
      </c>
      <c r="U308" s="5" t="s">
        <v>60</v>
      </c>
      <c r="V308" s="5" t="s">
        <v>61</v>
      </c>
      <c r="W308" s="7">
        <v>43.77</v>
      </c>
      <c r="X308" s="7">
        <v>0</v>
      </c>
      <c r="Y308" s="7">
        <v>43.77</v>
      </c>
      <c r="Z308" s="5" t="s">
        <v>298</v>
      </c>
    </row>
    <row r="309" spans="1:26" x14ac:dyDescent="0.25">
      <c r="A309">
        <v>2024626406</v>
      </c>
      <c r="B309" t="s">
        <v>296</v>
      </c>
      <c r="C309" t="s">
        <v>297</v>
      </c>
      <c r="D309" s="5" t="str">
        <f t="shared" si="14"/>
        <v>ANTHONY HOEPPNER</v>
      </c>
      <c r="E309" t="s">
        <v>293</v>
      </c>
      <c r="F309" t="s">
        <v>262</v>
      </c>
      <c r="G309" t="s">
        <v>298</v>
      </c>
      <c r="H309">
        <v>17437820</v>
      </c>
      <c r="I309" t="s">
        <v>169</v>
      </c>
      <c r="J309" t="s">
        <v>170</v>
      </c>
      <c r="K309" t="str">
        <f t="shared" si="12"/>
        <v>COLLEEN FINNIGAN</v>
      </c>
      <c r="L309" t="s">
        <v>57</v>
      </c>
      <c r="M309" s="1">
        <v>45898</v>
      </c>
      <c r="N309" s="1">
        <v>45990</v>
      </c>
      <c r="O309" s="2">
        <v>352.41</v>
      </c>
      <c r="P309">
        <f t="shared" si="13"/>
        <v>3</v>
      </c>
      <c r="Q309" t="s">
        <v>264</v>
      </c>
      <c r="R309" t="s">
        <v>1086</v>
      </c>
      <c r="S309" t="s">
        <v>58</v>
      </c>
      <c r="T309" s="3">
        <v>0.28999999999999998</v>
      </c>
      <c r="U309" t="s">
        <v>60</v>
      </c>
      <c r="V309" t="s">
        <v>61</v>
      </c>
      <c r="W309" s="2">
        <v>102.2</v>
      </c>
      <c r="X309" s="2">
        <v>0</v>
      </c>
      <c r="Y309" s="2">
        <v>102.2</v>
      </c>
      <c r="Z309" s="5" t="s">
        <v>298</v>
      </c>
    </row>
    <row r="310" spans="1:26" x14ac:dyDescent="0.25">
      <c r="A310">
        <v>2030691611</v>
      </c>
      <c r="B310" t="s">
        <v>303</v>
      </c>
      <c r="C310" t="s">
        <v>304</v>
      </c>
      <c r="D310" s="5" t="str">
        <f t="shared" si="14"/>
        <v>ROSANGELA VALLE</v>
      </c>
      <c r="E310" t="s">
        <v>52</v>
      </c>
      <c r="F310" t="s">
        <v>262</v>
      </c>
      <c r="G310" t="s">
        <v>298</v>
      </c>
      <c r="H310">
        <v>8977234</v>
      </c>
      <c r="I310" t="s">
        <v>55</v>
      </c>
      <c r="J310" t="s">
        <v>56</v>
      </c>
      <c r="K310" t="str">
        <f t="shared" si="12"/>
        <v>RYAN CALTAGIRONE</v>
      </c>
      <c r="L310" t="s">
        <v>57</v>
      </c>
      <c r="M310" s="1">
        <v>45901</v>
      </c>
      <c r="N310" s="1">
        <v>45992</v>
      </c>
      <c r="O310" s="2">
        <v>416.74</v>
      </c>
      <c r="P310">
        <f t="shared" si="13"/>
        <v>3</v>
      </c>
      <c r="Q310" t="s">
        <v>264</v>
      </c>
      <c r="R310" t="s">
        <v>1086</v>
      </c>
      <c r="S310" t="s">
        <v>58</v>
      </c>
      <c r="T310" s="3">
        <v>0.28999999999999998</v>
      </c>
      <c r="U310" t="s">
        <v>60</v>
      </c>
      <c r="V310" t="s">
        <v>61</v>
      </c>
      <c r="W310" s="2">
        <v>120.85</v>
      </c>
      <c r="X310" s="2">
        <v>0</v>
      </c>
      <c r="Y310" s="2">
        <v>120.85</v>
      </c>
      <c r="Z310" s="5" t="s">
        <v>298</v>
      </c>
    </row>
    <row r="311" spans="1:26" x14ac:dyDescent="0.25">
      <c r="A311" s="5">
        <v>2024267553</v>
      </c>
      <c r="B311" s="5" t="s">
        <v>288</v>
      </c>
      <c r="C311" s="5" t="s">
        <v>66</v>
      </c>
      <c r="D311" s="5" t="str">
        <f t="shared" si="14"/>
        <v>KISIN MATTHEW</v>
      </c>
      <c r="E311" s="5" t="s">
        <v>52</v>
      </c>
      <c r="F311" s="5" t="s">
        <v>262</v>
      </c>
      <c r="G311" s="5" t="s">
        <v>263</v>
      </c>
      <c r="H311" s="5">
        <v>16912722</v>
      </c>
      <c r="I311" s="5" t="s">
        <v>289</v>
      </c>
      <c r="J311" s="5" t="s">
        <v>290</v>
      </c>
      <c r="K311" s="5" t="str">
        <f t="shared" si="12"/>
        <v>ANDREA PETRUNGARO</v>
      </c>
      <c r="L311" s="5" t="s">
        <v>57</v>
      </c>
      <c r="M311" s="6">
        <v>45536</v>
      </c>
      <c r="N311" s="6">
        <v>45991</v>
      </c>
      <c r="O311" s="7">
        <v>279.18</v>
      </c>
      <c r="P311" s="5">
        <f t="shared" si="13"/>
        <v>14</v>
      </c>
      <c r="Q311" s="5" t="s">
        <v>264</v>
      </c>
      <c r="R311" s="5" t="s">
        <v>1086</v>
      </c>
      <c r="S311" s="5" t="s">
        <v>58</v>
      </c>
      <c r="T311" s="8">
        <v>0.28999999999999998</v>
      </c>
      <c r="U311" s="5" t="s">
        <v>264</v>
      </c>
      <c r="V311" s="5" t="s">
        <v>61</v>
      </c>
      <c r="W311" s="7">
        <v>0</v>
      </c>
      <c r="X311" s="7">
        <v>80.959999999999994</v>
      </c>
      <c r="Y311" s="7">
        <v>80.959999999999994</v>
      </c>
      <c r="Z311" s="5" t="s">
        <v>298</v>
      </c>
    </row>
    <row r="312" spans="1:26" x14ac:dyDescent="0.25">
      <c r="A312">
        <v>2023809265</v>
      </c>
      <c r="B312" t="s">
        <v>265</v>
      </c>
      <c r="C312" t="s">
        <v>266</v>
      </c>
      <c r="D312" s="5" t="str">
        <f t="shared" si="14"/>
        <v>LARSON ANTOINETTE</v>
      </c>
      <c r="E312" t="s">
        <v>261</v>
      </c>
      <c r="F312" t="s">
        <v>262</v>
      </c>
      <c r="G312" t="s">
        <v>263</v>
      </c>
      <c r="H312">
        <v>8977234</v>
      </c>
      <c r="I312" t="s">
        <v>55</v>
      </c>
      <c r="J312" t="s">
        <v>56</v>
      </c>
      <c r="K312" t="str">
        <f t="shared" si="12"/>
        <v>RYAN CALTAGIRONE</v>
      </c>
      <c r="L312" t="s">
        <v>57</v>
      </c>
      <c r="M312" s="1">
        <v>45653</v>
      </c>
      <c r="N312" s="1">
        <v>45988</v>
      </c>
      <c r="O312" s="2">
        <v>252.6</v>
      </c>
      <c r="P312">
        <f t="shared" si="13"/>
        <v>11</v>
      </c>
      <c r="Q312" t="s">
        <v>264</v>
      </c>
      <c r="R312" t="s">
        <v>1086</v>
      </c>
      <c r="S312" t="s">
        <v>58</v>
      </c>
      <c r="T312" s="3">
        <v>0.28999999999999998</v>
      </c>
      <c r="U312" t="s">
        <v>60</v>
      </c>
      <c r="V312" t="s">
        <v>61</v>
      </c>
      <c r="W312" s="2">
        <v>0</v>
      </c>
      <c r="X312" s="2">
        <v>73.25</v>
      </c>
      <c r="Y312" s="2">
        <v>73.25</v>
      </c>
      <c r="Z312" s="5" t="s">
        <v>298</v>
      </c>
    </row>
    <row r="313" spans="1:26" x14ac:dyDescent="0.25">
      <c r="A313">
        <v>2023957695</v>
      </c>
      <c r="B313" t="s">
        <v>270</v>
      </c>
      <c r="C313" t="s">
        <v>271</v>
      </c>
      <c r="D313" s="5" t="str">
        <f t="shared" si="14"/>
        <v>WAGNER LYNDON</v>
      </c>
      <c r="E313" t="s">
        <v>52</v>
      </c>
      <c r="F313" t="s">
        <v>262</v>
      </c>
      <c r="G313" t="s">
        <v>263</v>
      </c>
      <c r="H313">
        <v>8977234</v>
      </c>
      <c r="I313" t="s">
        <v>55</v>
      </c>
      <c r="J313" t="s">
        <v>56</v>
      </c>
      <c r="K313" t="str">
        <f t="shared" si="12"/>
        <v>RYAN CALTAGIRONE</v>
      </c>
      <c r="L313" t="s">
        <v>57</v>
      </c>
      <c r="M313" s="1">
        <v>45656</v>
      </c>
      <c r="N313" s="1">
        <v>45991</v>
      </c>
      <c r="O313" s="2">
        <v>339.35</v>
      </c>
      <c r="P313">
        <f t="shared" si="13"/>
        <v>11</v>
      </c>
      <c r="Q313" t="s">
        <v>264</v>
      </c>
      <c r="R313" t="s">
        <v>1086</v>
      </c>
      <c r="S313" t="s">
        <v>58</v>
      </c>
      <c r="T313" s="3">
        <v>0.28999999999999998</v>
      </c>
      <c r="U313" t="s">
        <v>60</v>
      </c>
      <c r="V313" t="s">
        <v>61</v>
      </c>
      <c r="W313" s="2">
        <v>0</v>
      </c>
      <c r="X313" s="2">
        <v>98.41</v>
      </c>
      <c r="Y313" s="2">
        <v>98.41</v>
      </c>
      <c r="Z313" s="5" t="s">
        <v>298</v>
      </c>
    </row>
    <row r="314" spans="1:26" x14ac:dyDescent="0.25">
      <c r="A314">
        <v>2023963351</v>
      </c>
      <c r="B314" t="s">
        <v>272</v>
      </c>
      <c r="C314" t="s">
        <v>273</v>
      </c>
      <c r="D314" s="5" t="str">
        <f t="shared" si="14"/>
        <v>LYNN TAMMY</v>
      </c>
      <c r="E314" t="s">
        <v>52</v>
      </c>
      <c r="F314" t="s">
        <v>262</v>
      </c>
      <c r="G314" t="s">
        <v>263</v>
      </c>
      <c r="H314">
        <v>8977234</v>
      </c>
      <c r="I314" t="s">
        <v>55</v>
      </c>
      <c r="J314" t="s">
        <v>56</v>
      </c>
      <c r="K314" t="str">
        <f t="shared" si="12"/>
        <v>RYAN CALTAGIRONE</v>
      </c>
      <c r="L314" t="s">
        <v>57</v>
      </c>
      <c r="M314" s="1">
        <v>45656</v>
      </c>
      <c r="N314" s="1">
        <v>45991</v>
      </c>
      <c r="O314" s="2">
        <v>569.27</v>
      </c>
      <c r="P314">
        <f t="shared" si="13"/>
        <v>11</v>
      </c>
      <c r="Q314" t="s">
        <v>264</v>
      </c>
      <c r="R314" t="s">
        <v>1086</v>
      </c>
      <c r="S314" t="s">
        <v>58</v>
      </c>
      <c r="T314" s="3">
        <v>0.28999999999999998</v>
      </c>
      <c r="U314" t="s">
        <v>60</v>
      </c>
      <c r="V314" t="s">
        <v>61</v>
      </c>
      <c r="W314" s="2">
        <v>0</v>
      </c>
      <c r="X314" s="2">
        <v>165.09</v>
      </c>
      <c r="Y314" s="2">
        <v>165.09</v>
      </c>
      <c r="Z314" s="5" t="s">
        <v>298</v>
      </c>
    </row>
    <row r="315" spans="1:26" x14ac:dyDescent="0.25">
      <c r="A315">
        <v>2023964241</v>
      </c>
      <c r="B315" t="s">
        <v>274</v>
      </c>
      <c r="C315" t="s">
        <v>275</v>
      </c>
      <c r="D315" s="5" t="str">
        <f t="shared" si="14"/>
        <v>OBRIEN MICHELE</v>
      </c>
      <c r="E315" t="s">
        <v>276</v>
      </c>
      <c r="F315" t="s">
        <v>262</v>
      </c>
      <c r="G315" t="s">
        <v>263</v>
      </c>
      <c r="H315">
        <v>8977234</v>
      </c>
      <c r="I315" t="s">
        <v>55</v>
      </c>
      <c r="J315" t="s">
        <v>56</v>
      </c>
      <c r="K315" t="str">
        <f t="shared" si="12"/>
        <v>RYAN CALTAGIRONE</v>
      </c>
      <c r="L315" t="s">
        <v>57</v>
      </c>
      <c r="M315" s="1">
        <v>45656</v>
      </c>
      <c r="N315" s="1">
        <v>45991</v>
      </c>
      <c r="O315" s="2">
        <v>327.36</v>
      </c>
      <c r="P315">
        <f t="shared" si="13"/>
        <v>11</v>
      </c>
      <c r="Q315" t="s">
        <v>264</v>
      </c>
      <c r="R315" t="s">
        <v>1086</v>
      </c>
      <c r="S315" t="s">
        <v>58</v>
      </c>
      <c r="T315" s="3">
        <v>0.28999999999999998</v>
      </c>
      <c r="U315" t="s">
        <v>60</v>
      </c>
      <c r="V315" t="s">
        <v>61</v>
      </c>
      <c r="W315" s="2">
        <v>0</v>
      </c>
      <c r="X315" s="2">
        <v>94.93</v>
      </c>
      <c r="Y315" s="2">
        <v>94.93</v>
      </c>
      <c r="Z315" s="5" t="s">
        <v>298</v>
      </c>
    </row>
    <row r="316" spans="1:26" x14ac:dyDescent="0.25">
      <c r="A316">
        <v>2024035177</v>
      </c>
      <c r="B316" t="s">
        <v>279</v>
      </c>
      <c r="C316" t="s">
        <v>280</v>
      </c>
      <c r="D316" s="5" t="str">
        <f t="shared" si="14"/>
        <v>FABRITZ MARTIN</v>
      </c>
      <c r="E316" t="s">
        <v>261</v>
      </c>
      <c r="F316" t="s">
        <v>262</v>
      </c>
      <c r="G316" t="s">
        <v>263</v>
      </c>
      <c r="H316">
        <v>8977234</v>
      </c>
      <c r="I316" t="s">
        <v>55</v>
      </c>
      <c r="J316" t="s">
        <v>56</v>
      </c>
      <c r="K316" t="str">
        <f t="shared" si="12"/>
        <v>RYAN CALTAGIRONE</v>
      </c>
      <c r="L316" t="s">
        <v>57</v>
      </c>
      <c r="M316" s="1">
        <v>45656</v>
      </c>
      <c r="N316" s="1">
        <v>45991</v>
      </c>
      <c r="O316" s="2">
        <v>302.77999999999997</v>
      </c>
      <c r="P316">
        <f t="shared" si="13"/>
        <v>11</v>
      </c>
      <c r="Q316" t="s">
        <v>264</v>
      </c>
      <c r="R316" t="s">
        <v>1086</v>
      </c>
      <c r="S316" t="s">
        <v>58</v>
      </c>
      <c r="T316" s="3">
        <v>0.28999999999999998</v>
      </c>
      <c r="U316" t="s">
        <v>60</v>
      </c>
      <c r="V316" t="s">
        <v>61</v>
      </c>
      <c r="W316" s="2">
        <v>0</v>
      </c>
      <c r="X316" s="2">
        <v>87.81</v>
      </c>
      <c r="Y316" s="2">
        <v>87.81</v>
      </c>
      <c r="Z316" s="5" t="s">
        <v>298</v>
      </c>
    </row>
    <row r="317" spans="1:26" x14ac:dyDescent="0.25">
      <c r="A317">
        <v>2024112403</v>
      </c>
      <c r="B317" t="s">
        <v>281</v>
      </c>
      <c r="C317" t="s">
        <v>282</v>
      </c>
      <c r="D317" s="5" t="str">
        <f t="shared" si="14"/>
        <v>DOWDA DENEEN</v>
      </c>
      <c r="E317" t="s">
        <v>52</v>
      </c>
      <c r="F317" t="s">
        <v>262</v>
      </c>
      <c r="G317" t="s">
        <v>263</v>
      </c>
      <c r="H317">
        <v>8977234</v>
      </c>
      <c r="I317" t="s">
        <v>55</v>
      </c>
      <c r="J317" t="s">
        <v>56</v>
      </c>
      <c r="K317" t="str">
        <f t="shared" si="12"/>
        <v>RYAN CALTAGIRONE</v>
      </c>
      <c r="L317" t="s">
        <v>57</v>
      </c>
      <c r="M317" s="1">
        <v>45656</v>
      </c>
      <c r="N317" s="1">
        <v>45991</v>
      </c>
      <c r="O317" s="2">
        <v>427.73</v>
      </c>
      <c r="P317">
        <f t="shared" si="13"/>
        <v>11</v>
      </c>
      <c r="Q317" t="s">
        <v>264</v>
      </c>
      <c r="R317" t="s">
        <v>1086</v>
      </c>
      <c r="S317" t="s">
        <v>58</v>
      </c>
      <c r="T317" s="3">
        <v>0.28999999999999998</v>
      </c>
      <c r="U317" t="s">
        <v>60</v>
      </c>
      <c r="V317" t="s">
        <v>61</v>
      </c>
      <c r="W317" s="2">
        <v>0</v>
      </c>
      <c r="X317" s="2">
        <v>124.04</v>
      </c>
      <c r="Y317" s="2">
        <v>124.04</v>
      </c>
      <c r="Z317" s="5" t="s">
        <v>298</v>
      </c>
    </row>
    <row r="318" spans="1:26" x14ac:dyDescent="0.25">
      <c r="A318">
        <v>2024225541</v>
      </c>
      <c r="B318" t="s">
        <v>285</v>
      </c>
      <c r="C318" t="s">
        <v>286</v>
      </c>
      <c r="D318" s="5" t="str">
        <f t="shared" si="14"/>
        <v>BROMUND AMATA</v>
      </c>
      <c r="E318" t="s">
        <v>287</v>
      </c>
      <c r="F318" t="s">
        <v>262</v>
      </c>
      <c r="G318" t="s">
        <v>263</v>
      </c>
      <c r="H318">
        <v>8977234</v>
      </c>
      <c r="I318" t="s">
        <v>55</v>
      </c>
      <c r="J318" t="s">
        <v>56</v>
      </c>
      <c r="K318" t="str">
        <f t="shared" si="12"/>
        <v>RYAN CALTAGIRONE</v>
      </c>
      <c r="L318" t="s">
        <v>57</v>
      </c>
      <c r="M318" s="1">
        <v>45656</v>
      </c>
      <c r="N318" s="1">
        <v>45991</v>
      </c>
      <c r="O318" s="2">
        <v>386.94</v>
      </c>
      <c r="P318">
        <f t="shared" si="13"/>
        <v>11</v>
      </c>
      <c r="Q318" t="s">
        <v>264</v>
      </c>
      <c r="R318" t="s">
        <v>1086</v>
      </c>
      <c r="S318" t="s">
        <v>58</v>
      </c>
      <c r="T318" s="3">
        <v>0.28999999999999998</v>
      </c>
      <c r="U318" t="s">
        <v>60</v>
      </c>
      <c r="V318" t="s">
        <v>61</v>
      </c>
      <c r="W318" s="2">
        <v>0</v>
      </c>
      <c r="X318" s="2">
        <v>112.21</v>
      </c>
      <c r="Y318" s="2">
        <v>112.21</v>
      </c>
      <c r="Z318" s="5" t="s">
        <v>298</v>
      </c>
    </row>
    <row r="319" spans="1:26" x14ac:dyDescent="0.25">
      <c r="A319">
        <v>2024536862</v>
      </c>
      <c r="B319" t="s">
        <v>294</v>
      </c>
      <c r="C319" t="s">
        <v>295</v>
      </c>
      <c r="D319" s="5" t="str">
        <f t="shared" si="14"/>
        <v>CARLSON ARTHUR</v>
      </c>
      <c r="E319" t="s">
        <v>52</v>
      </c>
      <c r="F319" t="s">
        <v>262</v>
      </c>
      <c r="G319" t="s">
        <v>263</v>
      </c>
      <c r="H319">
        <v>8977234</v>
      </c>
      <c r="I319" t="s">
        <v>55</v>
      </c>
      <c r="J319" t="s">
        <v>56</v>
      </c>
      <c r="K319" t="str">
        <f t="shared" si="12"/>
        <v>RYAN CALTAGIRONE</v>
      </c>
      <c r="L319" t="s">
        <v>57</v>
      </c>
      <c r="M319" s="1">
        <v>45656</v>
      </c>
      <c r="N319" s="1">
        <v>45991</v>
      </c>
      <c r="O319" s="2">
        <v>240.51</v>
      </c>
      <c r="P319">
        <f t="shared" si="13"/>
        <v>11</v>
      </c>
      <c r="Q319" t="s">
        <v>264</v>
      </c>
      <c r="R319" t="s">
        <v>1086</v>
      </c>
      <c r="S319" t="s">
        <v>58</v>
      </c>
      <c r="T319" s="3">
        <v>0.28999999999999998</v>
      </c>
      <c r="U319" t="s">
        <v>60</v>
      </c>
      <c r="V319" t="s">
        <v>61</v>
      </c>
      <c r="W319" s="2">
        <v>0</v>
      </c>
      <c r="X319" s="2">
        <v>69.75</v>
      </c>
      <c r="Y319" s="2">
        <v>69.75</v>
      </c>
      <c r="Z319" s="5" t="s">
        <v>298</v>
      </c>
    </row>
    <row r="320" spans="1:26" x14ac:dyDescent="0.25">
      <c r="A320">
        <v>2024433918</v>
      </c>
      <c r="B320" t="s">
        <v>291</v>
      </c>
      <c r="C320" t="s">
        <v>292</v>
      </c>
      <c r="D320" s="5" t="str">
        <f t="shared" si="14"/>
        <v>BLAKENSHIP DUSTEN</v>
      </c>
      <c r="E320" t="s">
        <v>293</v>
      </c>
      <c r="F320" t="s">
        <v>262</v>
      </c>
      <c r="G320" t="s">
        <v>263</v>
      </c>
      <c r="H320">
        <v>1706194</v>
      </c>
      <c r="I320" t="s">
        <v>65</v>
      </c>
      <c r="J320" t="s">
        <v>66</v>
      </c>
      <c r="K320" t="str">
        <f t="shared" si="12"/>
        <v>MATTHEW DAUGHERTY</v>
      </c>
      <c r="L320" t="s">
        <v>57</v>
      </c>
      <c r="M320" s="1">
        <v>45536</v>
      </c>
      <c r="N320" s="1">
        <v>45991</v>
      </c>
      <c r="O320" s="2">
        <v>218.28</v>
      </c>
      <c r="P320">
        <f t="shared" si="13"/>
        <v>14</v>
      </c>
      <c r="Q320" t="s">
        <v>264</v>
      </c>
      <c r="R320" t="s">
        <v>1086</v>
      </c>
      <c r="S320" t="s">
        <v>58</v>
      </c>
      <c r="T320" s="3">
        <v>0.28999999999999998</v>
      </c>
      <c r="U320" t="s">
        <v>264</v>
      </c>
      <c r="V320" t="s">
        <v>61</v>
      </c>
      <c r="W320" s="2">
        <v>0</v>
      </c>
      <c r="X320" s="2">
        <v>63.3</v>
      </c>
      <c r="Y320" s="2">
        <v>63.3</v>
      </c>
      <c r="Z320" s="5" t="s">
        <v>298</v>
      </c>
    </row>
    <row r="321" spans="1:26" x14ac:dyDescent="0.25">
      <c r="A321">
        <v>2024635213</v>
      </c>
      <c r="B321" t="s">
        <v>299</v>
      </c>
      <c r="C321" t="s">
        <v>300</v>
      </c>
      <c r="D321" s="5" t="str">
        <f t="shared" si="14"/>
        <v>JOHNSON JAMAR</v>
      </c>
      <c r="E321" t="s">
        <v>52</v>
      </c>
      <c r="F321" t="s">
        <v>262</v>
      </c>
      <c r="G321" t="s">
        <v>263</v>
      </c>
      <c r="H321">
        <v>1706194</v>
      </c>
      <c r="I321" t="s">
        <v>65</v>
      </c>
      <c r="J321" t="s">
        <v>66</v>
      </c>
      <c r="K321" t="str">
        <f t="shared" si="12"/>
        <v>MATTHEW DAUGHERTY</v>
      </c>
      <c r="L321" t="s">
        <v>57</v>
      </c>
      <c r="M321" s="1">
        <v>45536</v>
      </c>
      <c r="N321" s="1">
        <v>45991</v>
      </c>
      <c r="O321" s="2">
        <v>1650.07</v>
      </c>
      <c r="P321">
        <f t="shared" si="13"/>
        <v>14</v>
      </c>
      <c r="Q321" t="s">
        <v>264</v>
      </c>
      <c r="R321" t="s">
        <v>1086</v>
      </c>
      <c r="S321" t="s">
        <v>58</v>
      </c>
      <c r="T321" s="3">
        <v>0.28999999999999998</v>
      </c>
      <c r="U321" t="s">
        <v>264</v>
      </c>
      <c r="V321" t="s">
        <v>61</v>
      </c>
      <c r="W321" s="2">
        <v>0</v>
      </c>
      <c r="X321" s="2">
        <v>478.52</v>
      </c>
      <c r="Y321" s="2">
        <v>478.52</v>
      </c>
      <c r="Z321" s="5" t="s">
        <v>298</v>
      </c>
    </row>
    <row r="322" spans="1:26" x14ac:dyDescent="0.25">
      <c r="A322">
        <v>2024136816</v>
      </c>
      <c r="B322" t="s">
        <v>283</v>
      </c>
      <c r="C322" t="s">
        <v>284</v>
      </c>
      <c r="D322" s="5" t="str">
        <f t="shared" si="14"/>
        <v>SALGADO CARLOS</v>
      </c>
      <c r="E322" t="s">
        <v>52</v>
      </c>
      <c r="F322" t="s">
        <v>262</v>
      </c>
      <c r="G322" t="s">
        <v>263</v>
      </c>
      <c r="H322">
        <v>8977234</v>
      </c>
      <c r="I322" t="s">
        <v>55</v>
      </c>
      <c r="J322" t="s">
        <v>56</v>
      </c>
      <c r="K322" t="str">
        <f t="shared" ref="K322:K385" si="15">CONCATENATE(J322, " ",I322)</f>
        <v>RYAN CALTAGIRONE</v>
      </c>
      <c r="L322" t="s">
        <v>57</v>
      </c>
      <c r="M322" s="1">
        <v>45536</v>
      </c>
      <c r="N322" s="1">
        <v>45991</v>
      </c>
      <c r="O322" s="2">
        <v>542.13</v>
      </c>
      <c r="P322">
        <f t="shared" ref="P322:P385" si="16">DATEDIF(M322,N322,"M")</f>
        <v>14</v>
      </c>
      <c r="Q322" t="s">
        <v>264</v>
      </c>
      <c r="R322" t="s">
        <v>1086</v>
      </c>
      <c r="S322" t="s">
        <v>58</v>
      </c>
      <c r="T322" s="3">
        <v>0.28999999999999998</v>
      </c>
      <c r="U322" t="s">
        <v>264</v>
      </c>
      <c r="V322" t="s">
        <v>61</v>
      </c>
      <c r="W322" s="2">
        <v>0</v>
      </c>
      <c r="X322" s="2">
        <v>157.22</v>
      </c>
      <c r="Y322" s="2">
        <v>157.22</v>
      </c>
      <c r="Z322" s="5" t="s">
        <v>298</v>
      </c>
    </row>
    <row r="323" spans="1:26" x14ac:dyDescent="0.25">
      <c r="A323">
        <v>2020392155</v>
      </c>
      <c r="B323" t="s">
        <v>259</v>
      </c>
      <c r="C323" t="s">
        <v>260</v>
      </c>
      <c r="D323" s="5" t="str">
        <f t="shared" ref="D323:D386" si="17">CONCATENATE(B323, " ",C323)</f>
        <v>SLAIS COLIN</v>
      </c>
      <c r="E323" t="s">
        <v>261</v>
      </c>
      <c r="F323" t="s">
        <v>262</v>
      </c>
      <c r="G323" t="s">
        <v>263</v>
      </c>
      <c r="H323">
        <v>8977234</v>
      </c>
      <c r="I323" t="s">
        <v>55</v>
      </c>
      <c r="J323" t="s">
        <v>56</v>
      </c>
      <c r="K323" t="str">
        <f t="shared" si="15"/>
        <v>RYAN CALTAGIRONE</v>
      </c>
      <c r="L323" t="s">
        <v>57</v>
      </c>
      <c r="M323" s="1">
        <v>45288</v>
      </c>
      <c r="N323" s="1">
        <v>45987</v>
      </c>
      <c r="O323" s="2">
        <v>584.87</v>
      </c>
      <c r="P323">
        <f t="shared" si="16"/>
        <v>22</v>
      </c>
      <c r="Q323" t="s">
        <v>264</v>
      </c>
      <c r="R323" t="s">
        <v>1086</v>
      </c>
      <c r="S323" t="s">
        <v>58</v>
      </c>
      <c r="T323" s="3">
        <v>0.28999999999999998</v>
      </c>
      <c r="U323" t="s">
        <v>264</v>
      </c>
      <c r="V323" t="s">
        <v>61</v>
      </c>
      <c r="W323" s="2">
        <v>0</v>
      </c>
      <c r="X323" s="2">
        <v>169.61</v>
      </c>
      <c r="Y323" s="2">
        <v>169.61</v>
      </c>
      <c r="Z323" s="5" t="s">
        <v>298</v>
      </c>
    </row>
    <row r="324" spans="1:26" x14ac:dyDescent="0.25">
      <c r="A324" s="5">
        <v>2031312177</v>
      </c>
      <c r="B324" s="5" t="s">
        <v>258</v>
      </c>
      <c r="C324" s="5" t="s">
        <v>98</v>
      </c>
      <c r="D324" s="5" t="str">
        <f t="shared" si="17"/>
        <v>COTTER MICHAEL</v>
      </c>
      <c r="E324" s="5" t="s">
        <v>69</v>
      </c>
      <c r="F324" s="5" t="s">
        <v>53</v>
      </c>
      <c r="G324" s="5" t="s">
        <v>54</v>
      </c>
      <c r="H324" s="5">
        <v>19681796</v>
      </c>
      <c r="I324" s="5" t="s">
        <v>218</v>
      </c>
      <c r="J324" s="5" t="s">
        <v>219</v>
      </c>
      <c r="K324" s="5" t="str">
        <f t="shared" si="15"/>
        <v>CHRISTIAN TAUGNER</v>
      </c>
      <c r="L324" s="5" t="s">
        <v>57</v>
      </c>
      <c r="M324" s="6">
        <v>45928</v>
      </c>
      <c r="N324" s="6">
        <v>45989</v>
      </c>
      <c r="O324" s="7">
        <v>124.72</v>
      </c>
      <c r="P324" s="5">
        <f t="shared" si="16"/>
        <v>2</v>
      </c>
      <c r="Q324" s="5" t="s">
        <v>264</v>
      </c>
      <c r="R324" s="5" t="s">
        <v>1085</v>
      </c>
      <c r="S324" s="5" t="s">
        <v>58</v>
      </c>
      <c r="T324" s="8">
        <v>0.7</v>
      </c>
      <c r="U324" s="5" t="s">
        <v>60</v>
      </c>
      <c r="V324" s="5" t="s">
        <v>61</v>
      </c>
      <c r="W324" s="7">
        <v>87.3</v>
      </c>
      <c r="X324" s="7">
        <v>0</v>
      </c>
      <c r="Y324" s="7">
        <v>87.3</v>
      </c>
      <c r="Z324" s="5" t="s">
        <v>54</v>
      </c>
    </row>
    <row r="325" spans="1:26" x14ac:dyDescent="0.25">
      <c r="A325" s="5">
        <v>2031242400</v>
      </c>
      <c r="B325" s="5" t="s">
        <v>248</v>
      </c>
      <c r="C325" s="5" t="s">
        <v>249</v>
      </c>
      <c r="D325" s="5" t="str">
        <f t="shared" si="17"/>
        <v>IBSEN KATY</v>
      </c>
      <c r="E325" s="5" t="s">
        <v>92</v>
      </c>
      <c r="F325" s="5" t="s">
        <v>53</v>
      </c>
      <c r="G325" s="5" t="s">
        <v>54</v>
      </c>
      <c r="H325" s="5">
        <v>16865615</v>
      </c>
      <c r="I325" s="5" t="s">
        <v>93</v>
      </c>
      <c r="J325" s="5" t="s">
        <v>94</v>
      </c>
      <c r="K325" s="5" t="str">
        <f t="shared" si="15"/>
        <v>Heather Geske</v>
      </c>
      <c r="L325" s="5" t="s">
        <v>57</v>
      </c>
      <c r="M325" s="6">
        <v>45925</v>
      </c>
      <c r="N325" s="6">
        <v>45986</v>
      </c>
      <c r="O325" s="7">
        <v>27.38</v>
      </c>
      <c r="P325" s="5">
        <f t="shared" si="16"/>
        <v>2</v>
      </c>
      <c r="Q325" s="5" t="s">
        <v>264</v>
      </c>
      <c r="R325" s="5" t="s">
        <v>1085</v>
      </c>
      <c r="S325" s="5" t="s">
        <v>58</v>
      </c>
      <c r="T325" s="8">
        <v>0.7</v>
      </c>
      <c r="U325" s="5" t="s">
        <v>60</v>
      </c>
      <c r="V325" s="5" t="s">
        <v>61</v>
      </c>
      <c r="W325" s="7">
        <v>19.170000000000002</v>
      </c>
      <c r="X325" s="7">
        <v>0</v>
      </c>
      <c r="Y325" s="7">
        <v>19.170000000000002</v>
      </c>
      <c r="Z325" s="5" t="s">
        <v>54</v>
      </c>
    </row>
    <row r="326" spans="1:26" x14ac:dyDescent="0.25">
      <c r="A326" s="5">
        <v>2031249951</v>
      </c>
      <c r="B326" s="5" t="s">
        <v>250</v>
      </c>
      <c r="C326" s="5" t="s">
        <v>98</v>
      </c>
      <c r="D326" s="5" t="str">
        <f t="shared" si="17"/>
        <v>ITURBE MICHAEL</v>
      </c>
      <c r="E326" s="5" t="s">
        <v>69</v>
      </c>
      <c r="F326" s="5" t="s">
        <v>53</v>
      </c>
      <c r="G326" s="5" t="s">
        <v>54</v>
      </c>
      <c r="H326" s="5">
        <v>20212926</v>
      </c>
      <c r="I326" s="5" t="s">
        <v>251</v>
      </c>
      <c r="J326" s="5" t="s">
        <v>252</v>
      </c>
      <c r="K326" s="5" t="str">
        <f t="shared" si="15"/>
        <v>JOSE TORRES</v>
      </c>
      <c r="L326" s="5" t="s">
        <v>57</v>
      </c>
      <c r="M326" s="6">
        <v>45925</v>
      </c>
      <c r="N326" s="6">
        <v>45986</v>
      </c>
      <c r="O326" s="7">
        <v>28.9</v>
      </c>
      <c r="P326" s="5">
        <f t="shared" si="16"/>
        <v>2</v>
      </c>
      <c r="Q326" s="5" t="s">
        <v>264</v>
      </c>
      <c r="R326" s="5" t="s">
        <v>1085</v>
      </c>
      <c r="S326" s="5" t="s">
        <v>58</v>
      </c>
      <c r="T326" s="8">
        <v>0.7</v>
      </c>
      <c r="U326" s="5" t="s">
        <v>60</v>
      </c>
      <c r="V326" s="5" t="s">
        <v>61</v>
      </c>
      <c r="W326" s="7">
        <v>20.23</v>
      </c>
      <c r="X326" s="7">
        <v>0</v>
      </c>
      <c r="Y326" s="7">
        <v>20.23</v>
      </c>
      <c r="Z326" s="5" t="s">
        <v>54</v>
      </c>
    </row>
    <row r="327" spans="1:26" x14ac:dyDescent="0.25">
      <c r="A327" s="5">
        <v>2031255010</v>
      </c>
      <c r="B327" s="5" t="s">
        <v>253</v>
      </c>
      <c r="C327" s="5" t="s">
        <v>254</v>
      </c>
      <c r="D327" s="5" t="str">
        <f t="shared" si="17"/>
        <v>SALMETE ACE</v>
      </c>
      <c r="E327" s="5" t="s">
        <v>69</v>
      </c>
      <c r="F327" s="5" t="s">
        <v>53</v>
      </c>
      <c r="G327" s="5" t="s">
        <v>54</v>
      </c>
      <c r="H327" s="5">
        <v>19200754</v>
      </c>
      <c r="I327" s="5" t="s">
        <v>228</v>
      </c>
      <c r="J327" s="5" t="s">
        <v>229</v>
      </c>
      <c r="K327" s="5" t="str">
        <f t="shared" si="15"/>
        <v>RICARDO SANTOS</v>
      </c>
      <c r="L327" s="5" t="s">
        <v>57</v>
      </c>
      <c r="M327" s="6">
        <v>45925</v>
      </c>
      <c r="N327" s="6">
        <v>45986</v>
      </c>
      <c r="O327" s="7">
        <v>86.25</v>
      </c>
      <c r="P327" s="5">
        <f t="shared" si="16"/>
        <v>2</v>
      </c>
      <c r="Q327" s="5" t="s">
        <v>264</v>
      </c>
      <c r="R327" s="5" t="s">
        <v>1085</v>
      </c>
      <c r="S327" s="5" t="s">
        <v>58</v>
      </c>
      <c r="T327" s="8">
        <v>0.7</v>
      </c>
      <c r="U327" s="5" t="s">
        <v>60</v>
      </c>
      <c r="V327" s="5" t="s">
        <v>61</v>
      </c>
      <c r="W327" s="7">
        <v>60.38</v>
      </c>
      <c r="X327" s="7">
        <v>0</v>
      </c>
      <c r="Y327" s="7">
        <v>60.38</v>
      </c>
      <c r="Z327" s="5" t="s">
        <v>54</v>
      </c>
    </row>
    <row r="328" spans="1:26" x14ac:dyDescent="0.25">
      <c r="A328" s="5">
        <v>2031190208</v>
      </c>
      <c r="B328" s="5" t="s">
        <v>245</v>
      </c>
      <c r="C328" s="5" t="s">
        <v>246</v>
      </c>
      <c r="D328" s="5" t="str">
        <f t="shared" si="17"/>
        <v>SEMPRINI JANICE</v>
      </c>
      <c r="E328" s="5" t="s">
        <v>247</v>
      </c>
      <c r="F328" s="5" t="s">
        <v>53</v>
      </c>
      <c r="G328" s="5" t="s">
        <v>54</v>
      </c>
      <c r="H328" s="5">
        <v>16633294</v>
      </c>
      <c r="I328" s="5" t="s">
        <v>70</v>
      </c>
      <c r="J328" s="5" t="s">
        <v>183</v>
      </c>
      <c r="K328" s="5" t="str">
        <f t="shared" si="15"/>
        <v>Richard Yale</v>
      </c>
      <c r="L328" s="5" t="s">
        <v>57</v>
      </c>
      <c r="M328" s="6">
        <v>45925</v>
      </c>
      <c r="N328" s="6">
        <v>45986</v>
      </c>
      <c r="O328" s="7">
        <v>194.05</v>
      </c>
      <c r="P328" s="5">
        <f t="shared" si="16"/>
        <v>2</v>
      </c>
      <c r="Q328" s="5" t="s">
        <v>264</v>
      </c>
      <c r="R328" s="5" t="s">
        <v>1085</v>
      </c>
      <c r="S328" s="5" t="s">
        <v>58</v>
      </c>
      <c r="T328" s="8">
        <v>0.7</v>
      </c>
      <c r="U328" s="5" t="s">
        <v>60</v>
      </c>
      <c r="V328" s="5" t="s">
        <v>61</v>
      </c>
      <c r="W328" s="7">
        <v>135.84</v>
      </c>
      <c r="X328" s="7">
        <v>0</v>
      </c>
      <c r="Y328" s="7">
        <v>135.84</v>
      </c>
      <c r="Z328" s="5" t="s">
        <v>54</v>
      </c>
    </row>
    <row r="329" spans="1:26" x14ac:dyDescent="0.25">
      <c r="A329" s="5">
        <v>2030372674</v>
      </c>
      <c r="B329" s="5" t="s">
        <v>72</v>
      </c>
      <c r="C329" s="5" t="s">
        <v>73</v>
      </c>
      <c r="D329" s="5" t="str">
        <f t="shared" si="17"/>
        <v>VALERIE CORBEIL</v>
      </c>
      <c r="E329" s="5" t="s">
        <v>69</v>
      </c>
      <c r="F329" s="5" t="s">
        <v>53</v>
      </c>
      <c r="G329" s="5" t="s">
        <v>54</v>
      </c>
      <c r="H329" s="5">
        <v>7470776</v>
      </c>
      <c r="I329" s="5" t="s">
        <v>74</v>
      </c>
      <c r="J329" s="5" t="s">
        <v>75</v>
      </c>
      <c r="K329" s="5" t="str">
        <f t="shared" si="15"/>
        <v>Andrew Choi</v>
      </c>
      <c r="L329" s="5" t="s">
        <v>57</v>
      </c>
      <c r="M329" s="6">
        <v>45901</v>
      </c>
      <c r="N329" s="6">
        <v>45992</v>
      </c>
      <c r="O329" s="7">
        <v>102.7</v>
      </c>
      <c r="P329" s="5">
        <f t="shared" si="16"/>
        <v>3</v>
      </c>
      <c r="Q329" s="5" t="s">
        <v>264</v>
      </c>
      <c r="R329" s="5" t="s">
        <v>1085</v>
      </c>
      <c r="S329" s="5" t="s">
        <v>58</v>
      </c>
      <c r="T329" s="8">
        <v>0.7</v>
      </c>
      <c r="U329" s="5" t="s">
        <v>60</v>
      </c>
      <c r="V329" s="5" t="s">
        <v>61</v>
      </c>
      <c r="W329" s="7">
        <v>71.89</v>
      </c>
      <c r="X329" s="7">
        <v>0</v>
      </c>
      <c r="Y329" s="7">
        <v>71.89</v>
      </c>
      <c r="Z329" s="5" t="s">
        <v>54</v>
      </c>
    </row>
    <row r="330" spans="1:26" x14ac:dyDescent="0.25">
      <c r="A330" s="5">
        <v>2030621734</v>
      </c>
      <c r="B330" s="5" t="s">
        <v>157</v>
      </c>
      <c r="C330" s="5" t="s">
        <v>158</v>
      </c>
      <c r="D330" s="5" t="str">
        <f t="shared" si="17"/>
        <v>ALEXANDER WIRTH</v>
      </c>
      <c r="E330" s="5" t="s">
        <v>69</v>
      </c>
      <c r="F330" s="5" t="s">
        <v>53</v>
      </c>
      <c r="G330" s="5" t="s">
        <v>54</v>
      </c>
      <c r="H330" s="5">
        <v>7146581</v>
      </c>
      <c r="I330" s="5" t="s">
        <v>159</v>
      </c>
      <c r="J330" s="5" t="s">
        <v>160</v>
      </c>
      <c r="K330" s="5" t="str">
        <f t="shared" si="15"/>
        <v>Anthony Hunsberger</v>
      </c>
      <c r="L330" s="5" t="s">
        <v>57</v>
      </c>
      <c r="M330" s="6">
        <v>45901</v>
      </c>
      <c r="N330" s="6">
        <v>45992</v>
      </c>
      <c r="O330" s="7">
        <v>118.33</v>
      </c>
      <c r="P330" s="5">
        <f t="shared" si="16"/>
        <v>3</v>
      </c>
      <c r="Q330" s="5" t="s">
        <v>264</v>
      </c>
      <c r="R330" s="5" t="s">
        <v>1085</v>
      </c>
      <c r="S330" s="5" t="s">
        <v>58</v>
      </c>
      <c r="T330" s="8">
        <v>0.7</v>
      </c>
      <c r="U330" s="5" t="s">
        <v>60</v>
      </c>
      <c r="V330" s="5" t="s">
        <v>61</v>
      </c>
      <c r="W330" s="7">
        <v>82.83</v>
      </c>
      <c r="X330" s="7">
        <v>0</v>
      </c>
      <c r="Y330" s="7">
        <v>82.83</v>
      </c>
      <c r="Z330" s="5" t="s">
        <v>54</v>
      </c>
    </row>
    <row r="331" spans="1:26" x14ac:dyDescent="0.25">
      <c r="A331" s="5">
        <v>2030774548</v>
      </c>
      <c r="B331" s="5" t="s">
        <v>214</v>
      </c>
      <c r="C331" s="5" t="s">
        <v>215</v>
      </c>
      <c r="D331" s="5" t="str">
        <f t="shared" si="17"/>
        <v>KEITH LESNIAK</v>
      </c>
      <c r="E331" s="5" t="s">
        <v>69</v>
      </c>
      <c r="F331" s="5" t="s">
        <v>53</v>
      </c>
      <c r="G331" s="5" t="s">
        <v>54</v>
      </c>
      <c r="H331" s="5">
        <v>7146581</v>
      </c>
      <c r="I331" s="5" t="s">
        <v>159</v>
      </c>
      <c r="J331" s="5" t="s">
        <v>160</v>
      </c>
      <c r="K331" s="5" t="str">
        <f t="shared" si="15"/>
        <v>Anthony Hunsberger</v>
      </c>
      <c r="L331" s="5" t="s">
        <v>57</v>
      </c>
      <c r="M331" s="6">
        <v>45901</v>
      </c>
      <c r="N331" s="6">
        <v>45992</v>
      </c>
      <c r="O331" s="7">
        <v>72.760000000000005</v>
      </c>
      <c r="P331" s="5">
        <f t="shared" si="16"/>
        <v>3</v>
      </c>
      <c r="Q331" s="5" t="s">
        <v>264</v>
      </c>
      <c r="R331" s="5" t="s">
        <v>1085</v>
      </c>
      <c r="S331" s="5" t="s">
        <v>58</v>
      </c>
      <c r="T331" s="8">
        <v>0.7</v>
      </c>
      <c r="U331" s="5" t="s">
        <v>60</v>
      </c>
      <c r="V331" s="5" t="s">
        <v>61</v>
      </c>
      <c r="W331" s="7">
        <v>50.93</v>
      </c>
      <c r="X331" s="7">
        <v>0</v>
      </c>
      <c r="Y331" s="7">
        <v>50.93</v>
      </c>
      <c r="Z331" s="5" t="s">
        <v>54</v>
      </c>
    </row>
    <row r="332" spans="1:26" x14ac:dyDescent="0.25">
      <c r="A332" s="5">
        <v>2030192580</v>
      </c>
      <c r="B332" s="5" t="s">
        <v>1077</v>
      </c>
      <c r="C332" s="5" t="s">
        <v>1078</v>
      </c>
      <c r="D332" s="5" t="str">
        <f t="shared" si="17"/>
        <v>GISELLE YANEZ</v>
      </c>
      <c r="E332" s="5" t="s">
        <v>69</v>
      </c>
      <c r="F332" s="5" t="s">
        <v>53</v>
      </c>
      <c r="G332" s="5" t="s">
        <v>54</v>
      </c>
      <c r="H332" s="5">
        <v>21104854</v>
      </c>
      <c r="I332" s="5" t="s">
        <v>973</v>
      </c>
      <c r="J332" s="5" t="s">
        <v>413</v>
      </c>
      <c r="K332" s="5" t="str">
        <f t="shared" si="15"/>
        <v>BRIAN STROHMAN</v>
      </c>
      <c r="L332" s="5" t="s">
        <v>57</v>
      </c>
      <c r="M332" s="6">
        <v>45870</v>
      </c>
      <c r="N332" s="6">
        <v>45962</v>
      </c>
      <c r="O332" s="7">
        <v>49.8</v>
      </c>
      <c r="P332" s="5">
        <f t="shared" si="16"/>
        <v>3</v>
      </c>
      <c r="Q332" s="5" t="s">
        <v>264</v>
      </c>
      <c r="R332" s="5" t="s">
        <v>1085</v>
      </c>
      <c r="S332" s="5" t="s">
        <v>58</v>
      </c>
      <c r="T332" s="8">
        <v>0.7</v>
      </c>
      <c r="U332" s="5" t="s">
        <v>60</v>
      </c>
      <c r="V332" s="5" t="s">
        <v>61</v>
      </c>
      <c r="W332" s="7">
        <v>34.86</v>
      </c>
      <c r="X332" s="7">
        <v>0</v>
      </c>
      <c r="Y332" s="7">
        <v>34.86</v>
      </c>
      <c r="Z332" s="5" t="s">
        <v>54</v>
      </c>
    </row>
    <row r="333" spans="1:26" x14ac:dyDescent="0.25">
      <c r="A333" s="5">
        <v>2030777832</v>
      </c>
      <c r="B333" s="5" t="s">
        <v>216</v>
      </c>
      <c r="C333" s="5" t="s">
        <v>217</v>
      </c>
      <c r="D333" s="5" t="str">
        <f t="shared" si="17"/>
        <v>KEVIN GOODSELL</v>
      </c>
      <c r="E333" s="5" t="s">
        <v>69</v>
      </c>
      <c r="F333" s="5" t="s">
        <v>53</v>
      </c>
      <c r="G333" s="5" t="s">
        <v>54</v>
      </c>
      <c r="H333" s="5">
        <v>19681796</v>
      </c>
      <c r="I333" s="5" t="s">
        <v>218</v>
      </c>
      <c r="J333" s="5" t="s">
        <v>219</v>
      </c>
      <c r="K333" s="5" t="str">
        <f t="shared" si="15"/>
        <v>CHRISTIAN TAUGNER</v>
      </c>
      <c r="L333" s="5" t="s">
        <v>57</v>
      </c>
      <c r="M333" s="6">
        <v>45901</v>
      </c>
      <c r="N333" s="6">
        <v>45992</v>
      </c>
      <c r="O333" s="7">
        <v>137.41</v>
      </c>
      <c r="P333" s="5">
        <f t="shared" si="16"/>
        <v>3</v>
      </c>
      <c r="Q333" s="5" t="s">
        <v>264</v>
      </c>
      <c r="R333" s="5" t="s">
        <v>1085</v>
      </c>
      <c r="S333" s="5" t="s">
        <v>58</v>
      </c>
      <c r="T333" s="8">
        <v>0.7</v>
      </c>
      <c r="U333" s="5" t="s">
        <v>60</v>
      </c>
      <c r="V333" s="5" t="s">
        <v>61</v>
      </c>
      <c r="W333" s="7">
        <v>96.19</v>
      </c>
      <c r="X333" s="7">
        <v>0</v>
      </c>
      <c r="Y333" s="7">
        <v>96.19</v>
      </c>
      <c r="Z333" s="5" t="s">
        <v>54</v>
      </c>
    </row>
    <row r="334" spans="1:26" x14ac:dyDescent="0.25">
      <c r="A334" s="5">
        <v>2030579268</v>
      </c>
      <c r="B334" s="5" t="s">
        <v>98</v>
      </c>
      <c r="C334" s="5" t="s">
        <v>146</v>
      </c>
      <c r="D334" s="5" t="str">
        <f t="shared" si="17"/>
        <v>MICHAEL LUNDIN</v>
      </c>
      <c r="E334" s="5" t="s">
        <v>69</v>
      </c>
      <c r="F334" s="5" t="s">
        <v>53</v>
      </c>
      <c r="G334" s="5" t="s">
        <v>54</v>
      </c>
      <c r="H334" s="5">
        <v>8814784</v>
      </c>
      <c r="I334" s="5" t="s">
        <v>147</v>
      </c>
      <c r="J334" s="5" t="s">
        <v>148</v>
      </c>
      <c r="K334" s="5" t="str">
        <f t="shared" si="15"/>
        <v>FRANK LISKOVEC</v>
      </c>
      <c r="L334" s="5" t="s">
        <v>57</v>
      </c>
      <c r="M334" s="6">
        <v>45901</v>
      </c>
      <c r="N334" s="6">
        <v>45992</v>
      </c>
      <c r="O334" s="7">
        <v>66.36</v>
      </c>
      <c r="P334" s="5">
        <f t="shared" si="16"/>
        <v>3</v>
      </c>
      <c r="Q334" s="5" t="s">
        <v>264</v>
      </c>
      <c r="R334" s="5" t="s">
        <v>1085</v>
      </c>
      <c r="S334" s="5" t="s">
        <v>58</v>
      </c>
      <c r="T334" s="8">
        <v>0.7</v>
      </c>
      <c r="U334" s="5" t="s">
        <v>60</v>
      </c>
      <c r="V334" s="5" t="s">
        <v>61</v>
      </c>
      <c r="W334" s="7">
        <v>46.45</v>
      </c>
      <c r="X334" s="7">
        <v>0</v>
      </c>
      <c r="Y334" s="7">
        <v>46.45</v>
      </c>
      <c r="Z334" s="5" t="s">
        <v>54</v>
      </c>
    </row>
    <row r="335" spans="1:26" x14ac:dyDescent="0.25">
      <c r="A335" s="5">
        <v>2030670300</v>
      </c>
      <c r="B335" s="5" t="s">
        <v>171</v>
      </c>
      <c r="C335" s="5" t="s">
        <v>172</v>
      </c>
      <c r="D335" s="5" t="str">
        <f t="shared" si="17"/>
        <v>LOUIS DELLIS</v>
      </c>
      <c r="E335" s="5" t="s">
        <v>52</v>
      </c>
      <c r="F335" s="5" t="s">
        <v>53</v>
      </c>
      <c r="G335" s="5" t="s">
        <v>54</v>
      </c>
      <c r="H335" s="5">
        <v>8814784</v>
      </c>
      <c r="I335" s="5" t="s">
        <v>147</v>
      </c>
      <c r="J335" s="5" t="s">
        <v>148</v>
      </c>
      <c r="K335" s="5" t="str">
        <f t="shared" si="15"/>
        <v>FRANK LISKOVEC</v>
      </c>
      <c r="L335" s="5" t="s">
        <v>57</v>
      </c>
      <c r="M335" s="6">
        <v>45901</v>
      </c>
      <c r="N335" s="6">
        <v>45992</v>
      </c>
      <c r="O335" s="7">
        <v>32.31</v>
      </c>
      <c r="P335" s="5">
        <f t="shared" si="16"/>
        <v>3</v>
      </c>
      <c r="Q335" s="5" t="s">
        <v>264</v>
      </c>
      <c r="R335" s="5" t="s">
        <v>1085</v>
      </c>
      <c r="S335" s="5" t="s">
        <v>58</v>
      </c>
      <c r="T335" s="8">
        <v>0.7</v>
      </c>
      <c r="U335" s="5" t="s">
        <v>60</v>
      </c>
      <c r="V335" s="5" t="s">
        <v>61</v>
      </c>
      <c r="W335" s="7">
        <v>22.62</v>
      </c>
      <c r="X335" s="7">
        <v>0</v>
      </c>
      <c r="Y335" s="7">
        <v>22.62</v>
      </c>
      <c r="Z335" s="5" t="s">
        <v>54</v>
      </c>
    </row>
    <row r="336" spans="1:26" x14ac:dyDescent="0.25">
      <c r="A336" s="5">
        <v>2030453868</v>
      </c>
      <c r="B336" s="5" t="s">
        <v>90</v>
      </c>
      <c r="C336" s="5" t="s">
        <v>91</v>
      </c>
      <c r="D336" s="5" t="str">
        <f t="shared" si="17"/>
        <v>DEANNA NEIGHBORS</v>
      </c>
      <c r="E336" s="5" t="s">
        <v>92</v>
      </c>
      <c r="F336" s="5" t="s">
        <v>53</v>
      </c>
      <c r="G336" s="5" t="s">
        <v>54</v>
      </c>
      <c r="H336" s="5">
        <v>16865615</v>
      </c>
      <c r="I336" s="5" t="s">
        <v>93</v>
      </c>
      <c r="J336" s="5" t="s">
        <v>94</v>
      </c>
      <c r="K336" s="5" t="str">
        <f t="shared" si="15"/>
        <v>Heather Geske</v>
      </c>
      <c r="L336" s="5" t="s">
        <v>57</v>
      </c>
      <c r="M336" s="6">
        <v>45901</v>
      </c>
      <c r="N336" s="6">
        <v>45992</v>
      </c>
      <c r="O336" s="7">
        <v>9.1</v>
      </c>
      <c r="P336" s="5">
        <f t="shared" si="16"/>
        <v>3</v>
      </c>
      <c r="Q336" s="5" t="s">
        <v>264</v>
      </c>
      <c r="R336" s="5" t="s">
        <v>1085</v>
      </c>
      <c r="S336" s="5" t="s">
        <v>58</v>
      </c>
      <c r="T336" s="8">
        <v>0.7</v>
      </c>
      <c r="U336" s="5" t="s">
        <v>60</v>
      </c>
      <c r="V336" s="5" t="s">
        <v>61</v>
      </c>
      <c r="W336" s="7">
        <v>6.37</v>
      </c>
      <c r="X336" s="7">
        <v>0</v>
      </c>
      <c r="Y336" s="7">
        <v>6.37</v>
      </c>
      <c r="Z336" s="5" t="s">
        <v>54</v>
      </c>
    </row>
    <row r="337" spans="1:26" x14ac:dyDescent="0.25">
      <c r="A337" s="5">
        <v>2030686025</v>
      </c>
      <c r="B337" s="5" t="s">
        <v>184</v>
      </c>
      <c r="C337" s="5" t="s">
        <v>185</v>
      </c>
      <c r="D337" s="5" t="str">
        <f t="shared" si="17"/>
        <v>JONAH LINDBLAD</v>
      </c>
      <c r="E337" s="5" t="s">
        <v>92</v>
      </c>
      <c r="F337" s="5" t="s">
        <v>53</v>
      </c>
      <c r="G337" s="5" t="s">
        <v>54</v>
      </c>
      <c r="H337" s="5">
        <v>16865615</v>
      </c>
      <c r="I337" s="5" t="s">
        <v>93</v>
      </c>
      <c r="J337" s="5" t="s">
        <v>94</v>
      </c>
      <c r="K337" s="5" t="str">
        <f t="shared" si="15"/>
        <v>Heather Geske</v>
      </c>
      <c r="L337" s="5" t="s">
        <v>57</v>
      </c>
      <c r="M337" s="6">
        <v>45901</v>
      </c>
      <c r="N337" s="6">
        <v>45992</v>
      </c>
      <c r="O337" s="7">
        <v>9.1</v>
      </c>
      <c r="P337" s="5">
        <f t="shared" si="16"/>
        <v>3</v>
      </c>
      <c r="Q337" s="5" t="s">
        <v>264</v>
      </c>
      <c r="R337" s="5" t="s">
        <v>1085</v>
      </c>
      <c r="S337" s="5" t="s">
        <v>58</v>
      </c>
      <c r="T337" s="8">
        <v>0.7</v>
      </c>
      <c r="U337" s="5" t="s">
        <v>60</v>
      </c>
      <c r="V337" s="5" t="s">
        <v>61</v>
      </c>
      <c r="W337" s="7">
        <v>6.37</v>
      </c>
      <c r="X337" s="7">
        <v>0</v>
      </c>
      <c r="Y337" s="7">
        <v>6.37</v>
      </c>
      <c r="Z337" s="5" t="s">
        <v>54</v>
      </c>
    </row>
    <row r="338" spans="1:26" x14ac:dyDescent="0.25">
      <c r="A338" s="5">
        <v>2030720375</v>
      </c>
      <c r="B338" s="5" t="s">
        <v>202</v>
      </c>
      <c r="C338" s="5" t="s">
        <v>203</v>
      </c>
      <c r="D338" s="5" t="str">
        <f t="shared" si="17"/>
        <v>LAURA RIEDEL</v>
      </c>
      <c r="E338" s="5" t="s">
        <v>92</v>
      </c>
      <c r="F338" s="5" t="s">
        <v>53</v>
      </c>
      <c r="G338" s="5" t="s">
        <v>54</v>
      </c>
      <c r="H338" s="5">
        <v>16865615</v>
      </c>
      <c r="I338" s="5" t="s">
        <v>93</v>
      </c>
      <c r="J338" s="5" t="s">
        <v>94</v>
      </c>
      <c r="K338" s="5" t="str">
        <f t="shared" si="15"/>
        <v>Heather Geske</v>
      </c>
      <c r="L338" s="5" t="s">
        <v>57</v>
      </c>
      <c r="M338" s="6">
        <v>45901</v>
      </c>
      <c r="N338" s="6">
        <v>45992</v>
      </c>
      <c r="O338" s="7">
        <v>9.1</v>
      </c>
      <c r="P338" s="5">
        <f t="shared" si="16"/>
        <v>3</v>
      </c>
      <c r="Q338" s="5" t="s">
        <v>264</v>
      </c>
      <c r="R338" s="5" t="s">
        <v>1085</v>
      </c>
      <c r="S338" s="5" t="s">
        <v>58</v>
      </c>
      <c r="T338" s="8">
        <v>0.7</v>
      </c>
      <c r="U338" s="5" t="s">
        <v>60</v>
      </c>
      <c r="V338" s="5" t="s">
        <v>61</v>
      </c>
      <c r="W338" s="7">
        <v>6.37</v>
      </c>
      <c r="X338" s="7">
        <v>0</v>
      </c>
      <c r="Y338" s="7">
        <v>6.37</v>
      </c>
      <c r="Z338" s="5" t="s">
        <v>54</v>
      </c>
    </row>
    <row r="339" spans="1:26" x14ac:dyDescent="0.25">
      <c r="A339" s="5">
        <v>2030779465</v>
      </c>
      <c r="B339" s="5" t="s">
        <v>220</v>
      </c>
      <c r="C339" s="5" t="s">
        <v>221</v>
      </c>
      <c r="D339" s="5" t="str">
        <f t="shared" si="17"/>
        <v>JEAN AYALA</v>
      </c>
      <c r="E339" s="5" t="s">
        <v>92</v>
      </c>
      <c r="F339" s="5" t="s">
        <v>53</v>
      </c>
      <c r="G339" s="5" t="s">
        <v>54</v>
      </c>
      <c r="H339" s="5">
        <v>16865615</v>
      </c>
      <c r="I339" s="5" t="s">
        <v>93</v>
      </c>
      <c r="J339" s="5" t="s">
        <v>94</v>
      </c>
      <c r="K339" s="5" t="str">
        <f t="shared" si="15"/>
        <v>Heather Geske</v>
      </c>
      <c r="L339" s="5" t="s">
        <v>57</v>
      </c>
      <c r="M339" s="6">
        <v>45901</v>
      </c>
      <c r="N339" s="6">
        <v>45992</v>
      </c>
      <c r="O339" s="7">
        <v>9.1</v>
      </c>
      <c r="P339" s="5">
        <f t="shared" si="16"/>
        <v>3</v>
      </c>
      <c r="Q339" s="5" t="s">
        <v>264</v>
      </c>
      <c r="R339" s="5" t="s">
        <v>1085</v>
      </c>
      <c r="S339" s="5" t="s">
        <v>58</v>
      </c>
      <c r="T339" s="8">
        <v>0.7</v>
      </c>
      <c r="U339" s="5" t="s">
        <v>60</v>
      </c>
      <c r="V339" s="5" t="s">
        <v>61</v>
      </c>
      <c r="W339" s="7">
        <v>6.37</v>
      </c>
      <c r="X339" s="7">
        <v>0</v>
      </c>
      <c r="Y339" s="7">
        <v>6.37</v>
      </c>
      <c r="Z339" s="5" t="s">
        <v>54</v>
      </c>
    </row>
    <row r="340" spans="1:26" x14ac:dyDescent="0.25">
      <c r="A340" s="5">
        <v>2030788952</v>
      </c>
      <c r="B340" s="5" t="s">
        <v>224</v>
      </c>
      <c r="C340" s="5" t="s">
        <v>225</v>
      </c>
      <c r="D340" s="5" t="str">
        <f t="shared" si="17"/>
        <v>ANDREW HILDEBRAND</v>
      </c>
      <c r="E340" s="5" t="s">
        <v>92</v>
      </c>
      <c r="F340" s="5" t="s">
        <v>53</v>
      </c>
      <c r="G340" s="5" t="s">
        <v>54</v>
      </c>
      <c r="H340" s="5">
        <v>16865615</v>
      </c>
      <c r="I340" s="5" t="s">
        <v>93</v>
      </c>
      <c r="J340" s="5" t="s">
        <v>94</v>
      </c>
      <c r="K340" s="5" t="str">
        <f t="shared" si="15"/>
        <v>Heather Geske</v>
      </c>
      <c r="L340" s="5" t="s">
        <v>57</v>
      </c>
      <c r="M340" s="6">
        <v>45901</v>
      </c>
      <c r="N340" s="6">
        <v>45992</v>
      </c>
      <c r="O340" s="7">
        <v>9.1</v>
      </c>
      <c r="P340" s="5">
        <f t="shared" si="16"/>
        <v>3</v>
      </c>
      <c r="Q340" s="5" t="s">
        <v>264</v>
      </c>
      <c r="R340" s="5" t="s">
        <v>1085</v>
      </c>
      <c r="S340" s="5" t="s">
        <v>58</v>
      </c>
      <c r="T340" s="8">
        <v>0.7</v>
      </c>
      <c r="U340" s="5" t="s">
        <v>60</v>
      </c>
      <c r="V340" s="5" t="s">
        <v>61</v>
      </c>
      <c r="W340" s="7">
        <v>6.37</v>
      </c>
      <c r="X340" s="7">
        <v>0</v>
      </c>
      <c r="Y340" s="7">
        <v>6.37</v>
      </c>
      <c r="Z340" s="5" t="s">
        <v>54</v>
      </c>
    </row>
    <row r="341" spans="1:26" x14ac:dyDescent="0.25">
      <c r="A341" s="5">
        <v>2030671135</v>
      </c>
      <c r="B341" s="5" t="s">
        <v>173</v>
      </c>
      <c r="C341" s="5" t="s">
        <v>174</v>
      </c>
      <c r="D341" s="5" t="str">
        <f t="shared" si="17"/>
        <v>ROBYN KUKER</v>
      </c>
      <c r="E341" s="5" t="s">
        <v>81</v>
      </c>
      <c r="F341" s="5" t="s">
        <v>53</v>
      </c>
      <c r="G341" s="5" t="s">
        <v>54</v>
      </c>
      <c r="H341" s="5" t="s">
        <v>1080</v>
      </c>
      <c r="I341" s="5" t="s">
        <v>175</v>
      </c>
      <c r="J341" s="5" t="s">
        <v>176</v>
      </c>
      <c r="K341" s="5" t="str">
        <f t="shared" si="15"/>
        <v>Jake Shulman</v>
      </c>
      <c r="L341" s="5" t="s">
        <v>57</v>
      </c>
      <c r="M341" s="6">
        <v>45901</v>
      </c>
      <c r="N341" s="6">
        <v>45992</v>
      </c>
      <c r="O341" s="7">
        <v>29.1</v>
      </c>
      <c r="P341" s="5">
        <f t="shared" si="16"/>
        <v>3</v>
      </c>
      <c r="Q341" s="5" t="s">
        <v>264</v>
      </c>
      <c r="R341" s="5" t="s">
        <v>1085</v>
      </c>
      <c r="S341" s="5" t="s">
        <v>58</v>
      </c>
      <c r="T341" s="8">
        <v>0.7</v>
      </c>
      <c r="U341" s="5" t="s">
        <v>60</v>
      </c>
      <c r="V341" s="5" t="s">
        <v>61</v>
      </c>
      <c r="W341" s="7">
        <v>20.37</v>
      </c>
      <c r="X341" s="7">
        <v>0</v>
      </c>
      <c r="Y341" s="7">
        <v>20.37</v>
      </c>
      <c r="Z341" s="5" t="s">
        <v>54</v>
      </c>
    </row>
    <row r="342" spans="1:26" x14ac:dyDescent="0.25">
      <c r="A342" s="5">
        <v>2030464735</v>
      </c>
      <c r="B342" s="5" t="s">
        <v>95</v>
      </c>
      <c r="C342" s="5" t="s">
        <v>96</v>
      </c>
      <c r="D342" s="5" t="str">
        <f t="shared" si="17"/>
        <v>LUKAS MOSSELL</v>
      </c>
      <c r="E342" s="5" t="s">
        <v>69</v>
      </c>
      <c r="F342" s="5" t="s">
        <v>53</v>
      </c>
      <c r="G342" s="5" t="s">
        <v>54</v>
      </c>
      <c r="H342" s="5">
        <v>18828278</v>
      </c>
      <c r="I342" s="5" t="s">
        <v>97</v>
      </c>
      <c r="J342" s="5" t="s">
        <v>98</v>
      </c>
      <c r="K342" s="5" t="str">
        <f t="shared" si="15"/>
        <v>MICHAEL DUNAVANT</v>
      </c>
      <c r="L342" s="5" t="s">
        <v>57</v>
      </c>
      <c r="M342" s="6">
        <v>45901</v>
      </c>
      <c r="N342" s="6">
        <v>45992</v>
      </c>
      <c r="O342" s="7">
        <v>57.57</v>
      </c>
      <c r="P342" s="5">
        <f t="shared" si="16"/>
        <v>3</v>
      </c>
      <c r="Q342" s="5" t="s">
        <v>264</v>
      </c>
      <c r="R342" s="5" t="s">
        <v>1085</v>
      </c>
      <c r="S342" s="5" t="s">
        <v>58</v>
      </c>
      <c r="T342" s="8">
        <v>0.7</v>
      </c>
      <c r="U342" s="5" t="s">
        <v>60</v>
      </c>
      <c r="V342" s="5" t="s">
        <v>61</v>
      </c>
      <c r="W342" s="7">
        <v>40.299999999999997</v>
      </c>
      <c r="X342" s="7">
        <v>0</v>
      </c>
      <c r="Y342" s="7">
        <v>40.299999999999997</v>
      </c>
      <c r="Z342" s="5" t="s">
        <v>54</v>
      </c>
    </row>
    <row r="343" spans="1:26" x14ac:dyDescent="0.25">
      <c r="A343" s="5">
        <v>2030790526</v>
      </c>
      <c r="B343" s="5" t="s">
        <v>226</v>
      </c>
      <c r="C343" s="5" t="s">
        <v>227</v>
      </c>
      <c r="D343" s="5" t="str">
        <f t="shared" si="17"/>
        <v>MEGAN MASUD</v>
      </c>
      <c r="E343" s="5" t="s">
        <v>69</v>
      </c>
      <c r="F343" s="5" t="s">
        <v>53</v>
      </c>
      <c r="G343" s="5" t="s">
        <v>54</v>
      </c>
      <c r="H343" s="5">
        <v>19200754</v>
      </c>
      <c r="I343" s="5" t="s">
        <v>228</v>
      </c>
      <c r="J343" s="5" t="s">
        <v>229</v>
      </c>
      <c r="K343" s="5" t="str">
        <f t="shared" si="15"/>
        <v>RICARDO SANTOS</v>
      </c>
      <c r="L343" s="5" t="s">
        <v>57</v>
      </c>
      <c r="M343" s="6">
        <v>45901</v>
      </c>
      <c r="N343" s="6">
        <v>45992</v>
      </c>
      <c r="O343" s="7">
        <v>42.38</v>
      </c>
      <c r="P343" s="5">
        <f t="shared" si="16"/>
        <v>3</v>
      </c>
      <c r="Q343" s="5" t="s">
        <v>264</v>
      </c>
      <c r="R343" s="5" t="s">
        <v>1085</v>
      </c>
      <c r="S343" s="5" t="s">
        <v>58</v>
      </c>
      <c r="T343" s="8">
        <v>0.7</v>
      </c>
      <c r="U343" s="5" t="s">
        <v>60</v>
      </c>
      <c r="V343" s="5" t="s">
        <v>61</v>
      </c>
      <c r="W343" s="7">
        <v>29.67</v>
      </c>
      <c r="X343" s="7">
        <v>0</v>
      </c>
      <c r="Y343" s="7">
        <v>29.67</v>
      </c>
      <c r="Z343" s="5" t="s">
        <v>54</v>
      </c>
    </row>
    <row r="344" spans="1:26" x14ac:dyDescent="0.25">
      <c r="A344" s="5">
        <v>2030784686</v>
      </c>
      <c r="B344" s="5" t="s">
        <v>222</v>
      </c>
      <c r="C344" s="5" t="s">
        <v>223</v>
      </c>
      <c r="D344" s="5" t="str">
        <f t="shared" si="17"/>
        <v>CRAIG WEIS</v>
      </c>
      <c r="E344" s="5" t="s">
        <v>101</v>
      </c>
      <c r="F344" s="5" t="s">
        <v>53</v>
      </c>
      <c r="G344" s="5" t="s">
        <v>54</v>
      </c>
      <c r="H344" s="5">
        <v>16633294</v>
      </c>
      <c r="I344" s="5" t="s">
        <v>70</v>
      </c>
      <c r="J344" s="5" t="s">
        <v>183</v>
      </c>
      <c r="K344" s="5" t="str">
        <f t="shared" si="15"/>
        <v>Richard Yale</v>
      </c>
      <c r="L344" s="5" t="s">
        <v>57</v>
      </c>
      <c r="M344" s="6">
        <v>45901</v>
      </c>
      <c r="N344" s="6">
        <v>45992</v>
      </c>
      <c r="O344" s="7">
        <v>161.18</v>
      </c>
      <c r="P344" s="5">
        <f t="shared" si="16"/>
        <v>3</v>
      </c>
      <c r="Q344" s="5" t="s">
        <v>264</v>
      </c>
      <c r="R344" s="5" t="s">
        <v>1085</v>
      </c>
      <c r="S344" s="5" t="s">
        <v>58</v>
      </c>
      <c r="T344" s="8">
        <v>0.7</v>
      </c>
      <c r="U344" s="5" t="s">
        <v>60</v>
      </c>
      <c r="V344" s="5" t="s">
        <v>61</v>
      </c>
      <c r="W344" s="7">
        <v>112.83</v>
      </c>
      <c r="X344" s="7">
        <v>0</v>
      </c>
      <c r="Y344" s="7">
        <v>112.83</v>
      </c>
      <c r="Z344" s="5" t="s">
        <v>54</v>
      </c>
    </row>
    <row r="345" spans="1:26" x14ac:dyDescent="0.25">
      <c r="A345" s="5">
        <v>2030675165</v>
      </c>
      <c r="B345" s="5" t="s">
        <v>180</v>
      </c>
      <c r="C345" s="5" t="s">
        <v>181</v>
      </c>
      <c r="D345" s="5" t="str">
        <f t="shared" si="17"/>
        <v>MELANIE KRAUTER</v>
      </c>
      <c r="E345" s="5" t="s">
        <v>182</v>
      </c>
      <c r="F345" s="5" t="s">
        <v>53</v>
      </c>
      <c r="G345" s="5" t="s">
        <v>54</v>
      </c>
      <c r="H345" s="5">
        <v>16633294</v>
      </c>
      <c r="I345" s="5" t="s">
        <v>70</v>
      </c>
      <c r="J345" s="5" t="s">
        <v>183</v>
      </c>
      <c r="K345" s="5" t="str">
        <f t="shared" si="15"/>
        <v>Richard Yale</v>
      </c>
      <c r="L345" s="5" t="s">
        <v>57</v>
      </c>
      <c r="M345" s="6">
        <v>45901</v>
      </c>
      <c r="N345" s="6">
        <v>45992</v>
      </c>
      <c r="O345" s="7">
        <v>24.15</v>
      </c>
      <c r="P345" s="5">
        <f t="shared" si="16"/>
        <v>3</v>
      </c>
      <c r="Q345" s="5" t="s">
        <v>264</v>
      </c>
      <c r="R345" s="5" t="s">
        <v>1085</v>
      </c>
      <c r="S345" s="5" t="s">
        <v>58</v>
      </c>
      <c r="T345" s="8">
        <v>0.7</v>
      </c>
      <c r="U345" s="5" t="s">
        <v>60</v>
      </c>
      <c r="V345" s="5" t="s">
        <v>61</v>
      </c>
      <c r="W345" s="7">
        <v>16.899999999999999</v>
      </c>
      <c r="X345" s="7">
        <v>0</v>
      </c>
      <c r="Y345" s="7">
        <v>16.899999999999999</v>
      </c>
      <c r="Z345" s="5" t="s">
        <v>54</v>
      </c>
    </row>
    <row r="346" spans="1:26" x14ac:dyDescent="0.25">
      <c r="A346" s="5">
        <v>2030145093</v>
      </c>
      <c r="B346" s="5" t="s">
        <v>802</v>
      </c>
      <c r="C346" s="5" t="s">
        <v>803</v>
      </c>
      <c r="D346" s="5" t="str">
        <f t="shared" si="17"/>
        <v>RALUCA CHEREGI</v>
      </c>
      <c r="E346" s="5" t="s">
        <v>69</v>
      </c>
      <c r="F346" s="5" t="s">
        <v>53</v>
      </c>
      <c r="G346" s="5" t="s">
        <v>54</v>
      </c>
      <c r="H346" s="5">
        <v>7470776</v>
      </c>
      <c r="I346" s="5" t="s">
        <v>74</v>
      </c>
      <c r="J346" s="5" t="s">
        <v>75</v>
      </c>
      <c r="K346" s="5" t="str">
        <f t="shared" si="15"/>
        <v>Andrew Choi</v>
      </c>
      <c r="L346" s="5" t="s">
        <v>57</v>
      </c>
      <c r="M346" s="6">
        <v>45864</v>
      </c>
      <c r="N346" s="6">
        <v>45987</v>
      </c>
      <c r="O346" s="7">
        <v>102.7</v>
      </c>
      <c r="P346" s="5">
        <f t="shared" si="16"/>
        <v>4</v>
      </c>
      <c r="Q346" s="5" t="s">
        <v>264</v>
      </c>
      <c r="R346" s="5" t="s">
        <v>1085</v>
      </c>
      <c r="S346" s="5" t="s">
        <v>58</v>
      </c>
      <c r="T346" s="8">
        <v>0.7</v>
      </c>
      <c r="U346" s="5" t="s">
        <v>60</v>
      </c>
      <c r="V346" s="5" t="s">
        <v>61</v>
      </c>
      <c r="W346" s="7">
        <v>71.89</v>
      </c>
      <c r="X346" s="7">
        <v>0</v>
      </c>
      <c r="Y346" s="7">
        <v>71.89</v>
      </c>
      <c r="Z346" s="5" t="s">
        <v>54</v>
      </c>
    </row>
    <row r="347" spans="1:26" x14ac:dyDescent="0.25">
      <c r="A347" s="5">
        <v>2030178517</v>
      </c>
      <c r="B347" s="5" t="s">
        <v>964</v>
      </c>
      <c r="C347" s="5" t="s">
        <v>965</v>
      </c>
      <c r="D347" s="5" t="str">
        <f t="shared" si="17"/>
        <v>SARA RIVERA</v>
      </c>
      <c r="E347" s="5" t="s">
        <v>247</v>
      </c>
      <c r="F347" s="5" t="s">
        <v>53</v>
      </c>
      <c r="G347" s="5" t="s">
        <v>54</v>
      </c>
      <c r="H347" s="5">
        <v>21421111</v>
      </c>
      <c r="I347" s="5" t="s">
        <v>469</v>
      </c>
      <c r="J347" s="5" t="s">
        <v>470</v>
      </c>
      <c r="K347" s="5" t="str">
        <f t="shared" si="15"/>
        <v>Kirk Tigue</v>
      </c>
      <c r="L347" s="5" t="s">
        <v>57</v>
      </c>
      <c r="M347" s="6">
        <v>45867</v>
      </c>
      <c r="N347" s="6">
        <v>45990</v>
      </c>
      <c r="O347" s="7">
        <v>31.15</v>
      </c>
      <c r="P347" s="5">
        <f t="shared" si="16"/>
        <v>4</v>
      </c>
      <c r="Q347" s="5" t="s">
        <v>264</v>
      </c>
      <c r="R347" s="5" t="s">
        <v>1085</v>
      </c>
      <c r="S347" s="5" t="s">
        <v>58</v>
      </c>
      <c r="T347" s="8">
        <v>0.7</v>
      </c>
      <c r="U347" s="5" t="s">
        <v>60</v>
      </c>
      <c r="V347" s="5" t="s">
        <v>61</v>
      </c>
      <c r="W347" s="7">
        <v>21.8</v>
      </c>
      <c r="X347" s="7">
        <v>0</v>
      </c>
      <c r="Y347" s="7">
        <v>21.8</v>
      </c>
      <c r="Z347" s="5" t="s">
        <v>54</v>
      </c>
    </row>
    <row r="348" spans="1:26" x14ac:dyDescent="0.25">
      <c r="A348" s="5">
        <v>2030129459</v>
      </c>
      <c r="B348" s="5" t="s">
        <v>612</v>
      </c>
      <c r="C348" s="5" t="s">
        <v>415</v>
      </c>
      <c r="D348" s="5" t="str">
        <f t="shared" si="17"/>
        <v>ANGELA BENJAMIN</v>
      </c>
      <c r="E348" s="5" t="s">
        <v>64</v>
      </c>
      <c r="F348" s="5" t="s">
        <v>53</v>
      </c>
      <c r="G348" s="5" t="s">
        <v>54</v>
      </c>
      <c r="H348" s="5">
        <v>21421111</v>
      </c>
      <c r="I348" s="5" t="s">
        <v>469</v>
      </c>
      <c r="J348" s="5" t="s">
        <v>470</v>
      </c>
      <c r="K348" s="5" t="str">
        <f t="shared" si="15"/>
        <v>Kirk Tigue</v>
      </c>
      <c r="L348" s="5" t="s">
        <v>57</v>
      </c>
      <c r="M348" s="6">
        <v>45863</v>
      </c>
      <c r="N348" s="6">
        <v>45986</v>
      </c>
      <c r="O348" s="7">
        <v>30.68</v>
      </c>
      <c r="P348" s="5">
        <f t="shared" si="16"/>
        <v>4</v>
      </c>
      <c r="Q348" s="5" t="s">
        <v>264</v>
      </c>
      <c r="R348" s="5" t="s">
        <v>1085</v>
      </c>
      <c r="S348" s="5" t="s">
        <v>58</v>
      </c>
      <c r="T348" s="8">
        <v>0.7</v>
      </c>
      <c r="U348" s="5" t="s">
        <v>60</v>
      </c>
      <c r="V348" s="5" t="s">
        <v>61</v>
      </c>
      <c r="W348" s="7">
        <v>21.48</v>
      </c>
      <c r="X348" s="7">
        <v>0</v>
      </c>
      <c r="Y348" s="7">
        <v>21.48</v>
      </c>
      <c r="Z348" s="5" t="s">
        <v>54</v>
      </c>
    </row>
    <row r="349" spans="1:26" x14ac:dyDescent="0.25">
      <c r="A349" s="5">
        <v>2030114522</v>
      </c>
      <c r="B349" s="5" t="s">
        <v>1072</v>
      </c>
      <c r="C349" s="5" t="s">
        <v>1073</v>
      </c>
      <c r="D349" s="5" t="str">
        <f t="shared" si="17"/>
        <v>MARCIE HOUSE</v>
      </c>
      <c r="E349" s="5" t="s">
        <v>69</v>
      </c>
      <c r="F349" s="5" t="s">
        <v>53</v>
      </c>
      <c r="G349" s="5" t="s">
        <v>54</v>
      </c>
      <c r="H349" s="5">
        <v>21436172</v>
      </c>
      <c r="I349" s="5" t="s">
        <v>930</v>
      </c>
      <c r="J349" s="5" t="s">
        <v>931</v>
      </c>
      <c r="K349" s="5" t="str">
        <f t="shared" si="15"/>
        <v>Latesha Rose</v>
      </c>
      <c r="L349" s="5" t="s">
        <v>57</v>
      </c>
      <c r="M349" s="6">
        <v>45863</v>
      </c>
      <c r="N349" s="6">
        <v>45986</v>
      </c>
      <c r="O349" s="7">
        <v>207.64</v>
      </c>
      <c r="P349" s="5">
        <f t="shared" si="16"/>
        <v>4</v>
      </c>
      <c r="Q349" s="5" t="s">
        <v>264</v>
      </c>
      <c r="R349" s="5" t="s">
        <v>1085</v>
      </c>
      <c r="S349" s="5" t="s">
        <v>58</v>
      </c>
      <c r="T349" s="8">
        <v>0.7</v>
      </c>
      <c r="U349" s="5" t="s">
        <v>60</v>
      </c>
      <c r="V349" s="5" t="s">
        <v>61</v>
      </c>
      <c r="W349" s="7">
        <v>145.35</v>
      </c>
      <c r="X349" s="7">
        <v>0</v>
      </c>
      <c r="Y349" s="7">
        <v>145.35</v>
      </c>
      <c r="Z349" s="5" t="s">
        <v>54</v>
      </c>
    </row>
    <row r="350" spans="1:26" x14ac:dyDescent="0.25">
      <c r="A350" s="5">
        <v>2030184968</v>
      </c>
      <c r="B350" s="5" t="s">
        <v>1075</v>
      </c>
      <c r="C350" s="5" t="s">
        <v>1076</v>
      </c>
      <c r="D350" s="5" t="str">
        <f t="shared" si="17"/>
        <v>AMARBAYASGALAN GANBOLD</v>
      </c>
      <c r="E350" s="5" t="s">
        <v>69</v>
      </c>
      <c r="F350" s="5" t="s">
        <v>53</v>
      </c>
      <c r="G350" s="5" t="s">
        <v>54</v>
      </c>
      <c r="H350" s="5">
        <v>20220688</v>
      </c>
      <c r="I350" s="5" t="s">
        <v>769</v>
      </c>
      <c r="J350" s="5" t="s">
        <v>770</v>
      </c>
      <c r="K350" s="5" t="str">
        <f t="shared" si="15"/>
        <v>NASANDELGER ZANA</v>
      </c>
      <c r="L350" s="5" t="s">
        <v>57</v>
      </c>
      <c r="M350" s="6">
        <v>45867</v>
      </c>
      <c r="N350" s="6">
        <v>45990</v>
      </c>
      <c r="O350" s="7">
        <v>18.45</v>
      </c>
      <c r="P350" s="5">
        <f t="shared" si="16"/>
        <v>4</v>
      </c>
      <c r="Q350" s="5" t="s">
        <v>264</v>
      </c>
      <c r="R350" s="5" t="s">
        <v>1085</v>
      </c>
      <c r="S350" s="5" t="s">
        <v>58</v>
      </c>
      <c r="T350" s="8">
        <v>0.7</v>
      </c>
      <c r="U350" s="5" t="s">
        <v>60</v>
      </c>
      <c r="V350" s="5" t="s">
        <v>61</v>
      </c>
      <c r="W350" s="7">
        <v>12.92</v>
      </c>
      <c r="X350" s="7">
        <v>0</v>
      </c>
      <c r="Y350" s="7">
        <v>12.92</v>
      </c>
      <c r="Z350" s="5" t="s">
        <v>54</v>
      </c>
    </row>
    <row r="351" spans="1:26" x14ac:dyDescent="0.25">
      <c r="A351" s="5">
        <v>2029494259</v>
      </c>
      <c r="B351" s="5" t="s">
        <v>954</v>
      </c>
      <c r="C351" s="5" t="s">
        <v>955</v>
      </c>
      <c r="D351" s="5" t="str">
        <f t="shared" si="17"/>
        <v>HOSMAN CRUZ</v>
      </c>
      <c r="E351" s="5" t="s">
        <v>208</v>
      </c>
      <c r="F351" s="5" t="s">
        <v>53</v>
      </c>
      <c r="G351" s="5" t="s">
        <v>54</v>
      </c>
      <c r="H351" s="5" t="s">
        <v>1082</v>
      </c>
      <c r="I351" s="5" t="s">
        <v>371</v>
      </c>
      <c r="J351" s="5" t="s">
        <v>372</v>
      </c>
      <c r="K351" s="5" t="str">
        <f t="shared" si="15"/>
        <v>VICTOR FUENTES</v>
      </c>
      <c r="L351" s="5" t="s">
        <v>57</v>
      </c>
      <c r="M351" s="6">
        <v>45839</v>
      </c>
      <c r="N351" s="6">
        <v>45962</v>
      </c>
      <c r="O351" s="7">
        <v>46.14</v>
      </c>
      <c r="P351" s="5">
        <f t="shared" si="16"/>
        <v>4</v>
      </c>
      <c r="Q351" s="5" t="s">
        <v>264</v>
      </c>
      <c r="R351" s="5" t="s">
        <v>1085</v>
      </c>
      <c r="S351" s="5" t="s">
        <v>58</v>
      </c>
      <c r="T351" s="8">
        <v>0.7</v>
      </c>
      <c r="U351" s="5" t="s">
        <v>60</v>
      </c>
      <c r="V351" s="5" t="s">
        <v>61</v>
      </c>
      <c r="W351" s="7">
        <v>32.299999999999997</v>
      </c>
      <c r="X351" s="7">
        <v>0</v>
      </c>
      <c r="Y351" s="7">
        <v>32.299999999999997</v>
      </c>
      <c r="Z351" s="5" t="s">
        <v>54</v>
      </c>
    </row>
    <row r="352" spans="1:26" x14ac:dyDescent="0.25">
      <c r="A352" s="5">
        <v>2029620630</v>
      </c>
      <c r="B352" s="5" t="s">
        <v>284</v>
      </c>
      <c r="C352" s="5" t="s">
        <v>705</v>
      </c>
      <c r="D352" s="5" t="str">
        <f t="shared" si="17"/>
        <v>CARLOS CETRE</v>
      </c>
      <c r="E352" s="5" t="s">
        <v>69</v>
      </c>
      <c r="F352" s="5" t="s">
        <v>53</v>
      </c>
      <c r="G352" s="5" t="s">
        <v>54</v>
      </c>
      <c r="H352" s="5">
        <v>7470776</v>
      </c>
      <c r="I352" s="5" t="s">
        <v>74</v>
      </c>
      <c r="J352" s="5" t="s">
        <v>75</v>
      </c>
      <c r="K352" s="5" t="str">
        <f t="shared" si="15"/>
        <v>Andrew Choi</v>
      </c>
      <c r="L352" s="5" t="s">
        <v>57</v>
      </c>
      <c r="M352" s="6">
        <v>45833</v>
      </c>
      <c r="N352" s="6">
        <v>45986</v>
      </c>
      <c r="O352" s="7">
        <v>11.5</v>
      </c>
      <c r="P352" s="5">
        <f t="shared" si="16"/>
        <v>5</v>
      </c>
      <c r="Q352" s="5" t="s">
        <v>264</v>
      </c>
      <c r="R352" s="5" t="s">
        <v>1085</v>
      </c>
      <c r="S352" s="5" t="s">
        <v>58</v>
      </c>
      <c r="T352" s="8">
        <v>0.7</v>
      </c>
      <c r="U352" s="5" t="s">
        <v>60</v>
      </c>
      <c r="V352" s="5" t="s">
        <v>61</v>
      </c>
      <c r="W352" s="7">
        <v>8.0500000000000007</v>
      </c>
      <c r="X352" s="7">
        <v>0</v>
      </c>
      <c r="Y352" s="7">
        <v>8.0500000000000007</v>
      </c>
      <c r="Z352" s="5" t="s">
        <v>54</v>
      </c>
    </row>
    <row r="353" spans="1:26" x14ac:dyDescent="0.25">
      <c r="A353" s="5">
        <v>2029623277</v>
      </c>
      <c r="B353" s="5" t="s">
        <v>106</v>
      </c>
      <c r="C353" s="5" t="s">
        <v>706</v>
      </c>
      <c r="D353" s="5" t="str">
        <f t="shared" si="17"/>
        <v>ETHAN KNOEBEL</v>
      </c>
      <c r="E353" s="5" t="s">
        <v>69</v>
      </c>
      <c r="F353" s="5" t="s">
        <v>53</v>
      </c>
      <c r="G353" s="5" t="s">
        <v>54</v>
      </c>
      <c r="H353" s="5">
        <v>7146581</v>
      </c>
      <c r="I353" s="5" t="s">
        <v>159</v>
      </c>
      <c r="J353" s="5" t="s">
        <v>160</v>
      </c>
      <c r="K353" s="5" t="str">
        <f t="shared" si="15"/>
        <v>Anthony Hunsberger</v>
      </c>
      <c r="L353" s="5" t="s">
        <v>57</v>
      </c>
      <c r="M353" s="6">
        <v>45833</v>
      </c>
      <c r="N353" s="6">
        <v>45986</v>
      </c>
      <c r="O353" s="7">
        <v>56.5</v>
      </c>
      <c r="P353" s="5">
        <f t="shared" si="16"/>
        <v>5</v>
      </c>
      <c r="Q353" s="5" t="s">
        <v>264</v>
      </c>
      <c r="R353" s="5" t="s">
        <v>1085</v>
      </c>
      <c r="S353" s="5" t="s">
        <v>58</v>
      </c>
      <c r="T353" s="8">
        <v>0.7</v>
      </c>
      <c r="U353" s="5" t="s">
        <v>60</v>
      </c>
      <c r="V353" s="5" t="s">
        <v>61</v>
      </c>
      <c r="W353" s="7">
        <v>39.549999999999997</v>
      </c>
      <c r="X353" s="7">
        <v>0</v>
      </c>
      <c r="Y353" s="7">
        <v>39.549999999999997</v>
      </c>
      <c r="Z353" s="5" t="s">
        <v>54</v>
      </c>
    </row>
    <row r="354" spans="1:26" x14ac:dyDescent="0.25">
      <c r="A354" s="5">
        <v>2029624410</v>
      </c>
      <c r="B354" s="5" t="s">
        <v>956</v>
      </c>
      <c r="C354" s="5" t="s">
        <v>485</v>
      </c>
      <c r="D354" s="5" t="str">
        <f t="shared" si="17"/>
        <v>ASHLEY DOUGLAS</v>
      </c>
      <c r="E354" s="5" t="s">
        <v>261</v>
      </c>
      <c r="F354" s="5" t="s">
        <v>53</v>
      </c>
      <c r="G354" s="5" t="s">
        <v>54</v>
      </c>
      <c r="H354" s="5">
        <v>21421111</v>
      </c>
      <c r="I354" s="5" t="s">
        <v>469</v>
      </c>
      <c r="J354" s="5" t="s">
        <v>470</v>
      </c>
      <c r="K354" s="5" t="str">
        <f t="shared" si="15"/>
        <v>Kirk Tigue</v>
      </c>
      <c r="L354" s="5" t="s">
        <v>57</v>
      </c>
      <c r="M354" s="6">
        <v>45838</v>
      </c>
      <c r="N354" s="6">
        <v>45991</v>
      </c>
      <c r="O354" s="7">
        <v>49.18</v>
      </c>
      <c r="P354" s="5">
        <f t="shared" si="16"/>
        <v>5</v>
      </c>
      <c r="Q354" s="5" t="s">
        <v>264</v>
      </c>
      <c r="R354" s="5" t="s">
        <v>1085</v>
      </c>
      <c r="S354" s="5" t="s">
        <v>58</v>
      </c>
      <c r="T354" s="8">
        <v>0.7</v>
      </c>
      <c r="U354" s="5" t="s">
        <v>60</v>
      </c>
      <c r="V354" s="5" t="s">
        <v>61</v>
      </c>
      <c r="W354" s="7">
        <v>34.43</v>
      </c>
      <c r="X354" s="7">
        <v>0</v>
      </c>
      <c r="Y354" s="7">
        <v>34.43</v>
      </c>
      <c r="Z354" s="5" t="s">
        <v>54</v>
      </c>
    </row>
    <row r="355" spans="1:26" x14ac:dyDescent="0.25">
      <c r="A355" s="5">
        <v>2029690468</v>
      </c>
      <c r="B355" s="5" t="s">
        <v>702</v>
      </c>
      <c r="C355" s="5" t="s">
        <v>1070</v>
      </c>
      <c r="D355" s="5" t="str">
        <f t="shared" si="17"/>
        <v>EDWARD SPENCER</v>
      </c>
      <c r="E355" s="5" t="s">
        <v>165</v>
      </c>
      <c r="F355" s="5" t="s">
        <v>53</v>
      </c>
      <c r="G355" s="5" t="s">
        <v>54</v>
      </c>
      <c r="H355" s="5">
        <v>19200754</v>
      </c>
      <c r="I355" s="5" t="s">
        <v>228</v>
      </c>
      <c r="J355" s="5" t="s">
        <v>229</v>
      </c>
      <c r="K355" s="5" t="str">
        <f t="shared" si="15"/>
        <v>RICARDO SANTOS</v>
      </c>
      <c r="L355" s="5" t="s">
        <v>57</v>
      </c>
      <c r="M355" s="6">
        <v>45836</v>
      </c>
      <c r="N355" s="6">
        <v>45989</v>
      </c>
      <c r="O355" s="7">
        <v>164.81</v>
      </c>
      <c r="P355" s="5">
        <f t="shared" si="16"/>
        <v>5</v>
      </c>
      <c r="Q355" s="5" t="s">
        <v>264</v>
      </c>
      <c r="R355" s="5" t="s">
        <v>1085</v>
      </c>
      <c r="S355" s="5" t="s">
        <v>58</v>
      </c>
      <c r="T355" s="8">
        <v>0.7</v>
      </c>
      <c r="U355" s="5" t="s">
        <v>60</v>
      </c>
      <c r="V355" s="5" t="s">
        <v>61</v>
      </c>
      <c r="W355" s="7">
        <v>115.37</v>
      </c>
      <c r="X355" s="7">
        <v>0</v>
      </c>
      <c r="Y355" s="7">
        <v>115.37</v>
      </c>
      <c r="Z355" s="5" t="s">
        <v>54</v>
      </c>
    </row>
    <row r="356" spans="1:26" x14ac:dyDescent="0.25">
      <c r="A356" s="5">
        <v>2028736518</v>
      </c>
      <c r="B356" s="5" t="s">
        <v>925</v>
      </c>
      <c r="C356" s="5" t="s">
        <v>926</v>
      </c>
      <c r="D356" s="5" t="str">
        <f t="shared" si="17"/>
        <v>DICKSON JOANN</v>
      </c>
      <c r="E356" s="5" t="s">
        <v>69</v>
      </c>
      <c r="F356" s="5" t="s">
        <v>53</v>
      </c>
      <c r="G356" s="5" t="s">
        <v>54</v>
      </c>
      <c r="H356" s="5">
        <v>7470776</v>
      </c>
      <c r="I356" s="5" t="s">
        <v>74</v>
      </c>
      <c r="J356" s="5" t="s">
        <v>75</v>
      </c>
      <c r="K356" s="5" t="str">
        <f t="shared" si="15"/>
        <v>Andrew Choi</v>
      </c>
      <c r="L356" s="5" t="s">
        <v>57</v>
      </c>
      <c r="M356" s="6">
        <v>45809</v>
      </c>
      <c r="N356" s="6">
        <v>45992</v>
      </c>
      <c r="O356" s="7">
        <v>37.18</v>
      </c>
      <c r="P356" s="5">
        <f t="shared" si="16"/>
        <v>6</v>
      </c>
      <c r="Q356" s="5" t="s">
        <v>264</v>
      </c>
      <c r="R356" s="5" t="s">
        <v>1086</v>
      </c>
      <c r="S356" s="5" t="s">
        <v>58</v>
      </c>
      <c r="T356" s="8">
        <v>0.7</v>
      </c>
      <c r="U356" s="5" t="s">
        <v>60</v>
      </c>
      <c r="V356" s="5" t="s">
        <v>61</v>
      </c>
      <c r="W356" s="7">
        <v>26.03</v>
      </c>
      <c r="X356" s="7">
        <v>0</v>
      </c>
      <c r="Y356" s="7">
        <v>26.03</v>
      </c>
      <c r="Z356" s="5" t="s">
        <v>54</v>
      </c>
    </row>
    <row r="357" spans="1:26" x14ac:dyDescent="0.25">
      <c r="A357" s="5">
        <v>2029034139</v>
      </c>
      <c r="B357" s="5" t="s">
        <v>943</v>
      </c>
      <c r="C357" s="5" t="s">
        <v>944</v>
      </c>
      <c r="D357" s="5" t="str">
        <f t="shared" si="17"/>
        <v>MAKSIMOWICZ IZABELA</v>
      </c>
      <c r="E357" s="5" t="s">
        <v>69</v>
      </c>
      <c r="F357" s="5" t="s">
        <v>53</v>
      </c>
      <c r="G357" s="5" t="s">
        <v>54</v>
      </c>
      <c r="H357" s="5">
        <v>7470776</v>
      </c>
      <c r="I357" s="5" t="s">
        <v>74</v>
      </c>
      <c r="J357" s="5" t="s">
        <v>75</v>
      </c>
      <c r="K357" s="5" t="str">
        <f t="shared" si="15"/>
        <v>Andrew Choi</v>
      </c>
      <c r="L357" s="5" t="s">
        <v>57</v>
      </c>
      <c r="M357" s="6">
        <v>45809</v>
      </c>
      <c r="N357" s="6">
        <v>45992</v>
      </c>
      <c r="O357" s="7">
        <v>15.75</v>
      </c>
      <c r="P357" s="5">
        <f t="shared" si="16"/>
        <v>6</v>
      </c>
      <c r="Q357" s="5" t="s">
        <v>264</v>
      </c>
      <c r="R357" s="5" t="s">
        <v>1086</v>
      </c>
      <c r="S357" s="5" t="s">
        <v>58</v>
      </c>
      <c r="T357" s="8">
        <v>0.7</v>
      </c>
      <c r="U357" s="5" t="s">
        <v>60</v>
      </c>
      <c r="V357" s="5" t="s">
        <v>61</v>
      </c>
      <c r="W357" s="7">
        <v>11.02</v>
      </c>
      <c r="X357" s="7">
        <v>0</v>
      </c>
      <c r="Y357" s="7">
        <v>11.02</v>
      </c>
      <c r="Z357" s="5" t="s">
        <v>54</v>
      </c>
    </row>
    <row r="358" spans="1:26" x14ac:dyDescent="0.25">
      <c r="A358" s="5">
        <v>2028695301</v>
      </c>
      <c r="B358" s="5" t="s">
        <v>924</v>
      </c>
      <c r="C358" s="5" t="s">
        <v>568</v>
      </c>
      <c r="D358" s="5" t="str">
        <f t="shared" si="17"/>
        <v>MUEHLFELDER LINDA</v>
      </c>
      <c r="E358" s="5" t="s">
        <v>69</v>
      </c>
      <c r="F358" s="5" t="s">
        <v>53</v>
      </c>
      <c r="G358" s="5" t="s">
        <v>54</v>
      </c>
      <c r="H358" s="5">
        <v>7470776</v>
      </c>
      <c r="I358" s="5" t="s">
        <v>74</v>
      </c>
      <c r="J358" s="5" t="s">
        <v>75</v>
      </c>
      <c r="K358" s="5" t="str">
        <f t="shared" si="15"/>
        <v>Andrew Choi</v>
      </c>
      <c r="L358" s="5" t="s">
        <v>57</v>
      </c>
      <c r="M358" s="6">
        <v>45809</v>
      </c>
      <c r="N358" s="6">
        <v>45992</v>
      </c>
      <c r="O358" s="7">
        <v>61.08</v>
      </c>
      <c r="P358" s="5">
        <f t="shared" si="16"/>
        <v>6</v>
      </c>
      <c r="Q358" s="5" t="s">
        <v>264</v>
      </c>
      <c r="R358" s="5" t="s">
        <v>1086</v>
      </c>
      <c r="S358" s="5" t="s">
        <v>58</v>
      </c>
      <c r="T358" s="8">
        <v>0.7</v>
      </c>
      <c r="U358" s="5" t="s">
        <v>60</v>
      </c>
      <c r="V358" s="5" t="s">
        <v>61</v>
      </c>
      <c r="W358" s="7">
        <v>0</v>
      </c>
      <c r="X358" s="7">
        <v>42.76</v>
      </c>
      <c r="Y358" s="7">
        <v>42.76</v>
      </c>
      <c r="Z358" s="5" t="s">
        <v>54</v>
      </c>
    </row>
    <row r="359" spans="1:26" x14ac:dyDescent="0.25">
      <c r="A359" s="5">
        <v>2028898558</v>
      </c>
      <c r="B359" s="5" t="s">
        <v>780</v>
      </c>
      <c r="C359" s="5" t="s">
        <v>781</v>
      </c>
      <c r="D359" s="5" t="str">
        <f t="shared" si="17"/>
        <v>ZIMMERMAN DRAKE</v>
      </c>
      <c r="E359" s="5" t="s">
        <v>69</v>
      </c>
      <c r="F359" s="5" t="s">
        <v>53</v>
      </c>
      <c r="G359" s="5" t="s">
        <v>54</v>
      </c>
      <c r="H359" s="5">
        <v>7470776</v>
      </c>
      <c r="I359" s="5" t="s">
        <v>74</v>
      </c>
      <c r="J359" s="5" t="s">
        <v>75</v>
      </c>
      <c r="K359" s="5" t="str">
        <f t="shared" si="15"/>
        <v>Andrew Choi</v>
      </c>
      <c r="L359" s="5" t="s">
        <v>57</v>
      </c>
      <c r="M359" s="6">
        <v>45809</v>
      </c>
      <c r="N359" s="6">
        <v>45992</v>
      </c>
      <c r="O359" s="7">
        <v>23.85</v>
      </c>
      <c r="P359" s="5">
        <f t="shared" si="16"/>
        <v>6</v>
      </c>
      <c r="Q359" s="5" t="s">
        <v>264</v>
      </c>
      <c r="R359" s="5" t="s">
        <v>1086</v>
      </c>
      <c r="S359" s="5" t="s">
        <v>58</v>
      </c>
      <c r="T359" s="8">
        <v>0.7</v>
      </c>
      <c r="U359" s="5" t="s">
        <v>60</v>
      </c>
      <c r="V359" s="5" t="s">
        <v>61</v>
      </c>
      <c r="W359" s="7">
        <v>0</v>
      </c>
      <c r="X359" s="7">
        <v>16.7</v>
      </c>
      <c r="Y359" s="7">
        <v>16.7</v>
      </c>
      <c r="Z359" s="5" t="s">
        <v>54</v>
      </c>
    </row>
    <row r="360" spans="1:26" x14ac:dyDescent="0.25">
      <c r="A360" s="5">
        <v>2028949436</v>
      </c>
      <c r="B360" s="5" t="s">
        <v>786</v>
      </c>
      <c r="C360" s="5" t="s">
        <v>787</v>
      </c>
      <c r="D360" s="5" t="str">
        <f t="shared" si="17"/>
        <v>MAES CLARICE</v>
      </c>
      <c r="E360" s="5" t="s">
        <v>69</v>
      </c>
      <c r="F360" s="5" t="s">
        <v>53</v>
      </c>
      <c r="G360" s="5" t="s">
        <v>54</v>
      </c>
      <c r="H360" s="5">
        <v>7470776</v>
      </c>
      <c r="I360" s="5" t="s">
        <v>74</v>
      </c>
      <c r="J360" s="5" t="s">
        <v>75</v>
      </c>
      <c r="K360" s="5" t="str">
        <f t="shared" si="15"/>
        <v>Andrew Choi</v>
      </c>
      <c r="L360" s="5" t="s">
        <v>57</v>
      </c>
      <c r="M360" s="6">
        <v>45809</v>
      </c>
      <c r="N360" s="6">
        <v>45992</v>
      </c>
      <c r="O360" s="7">
        <v>35.700000000000003</v>
      </c>
      <c r="P360" s="5">
        <f t="shared" si="16"/>
        <v>6</v>
      </c>
      <c r="Q360" s="5" t="s">
        <v>264</v>
      </c>
      <c r="R360" s="5" t="s">
        <v>1086</v>
      </c>
      <c r="S360" s="5" t="s">
        <v>58</v>
      </c>
      <c r="T360" s="8">
        <v>0.7</v>
      </c>
      <c r="U360" s="5" t="s">
        <v>60</v>
      </c>
      <c r="V360" s="5" t="s">
        <v>61</v>
      </c>
      <c r="W360" s="7">
        <v>0</v>
      </c>
      <c r="X360" s="7">
        <v>24.99</v>
      </c>
      <c r="Y360" s="7">
        <v>24.99</v>
      </c>
      <c r="Z360" s="5" t="s">
        <v>54</v>
      </c>
    </row>
    <row r="361" spans="1:26" x14ac:dyDescent="0.25">
      <c r="A361" s="5">
        <v>2028673527</v>
      </c>
      <c r="B361" s="5" t="s">
        <v>922</v>
      </c>
      <c r="C361" s="5" t="s">
        <v>923</v>
      </c>
      <c r="D361" s="5" t="str">
        <f t="shared" si="17"/>
        <v>KRYST JANET</v>
      </c>
      <c r="E361" s="5" t="s">
        <v>69</v>
      </c>
      <c r="F361" s="5" t="s">
        <v>53</v>
      </c>
      <c r="G361" s="5" t="s">
        <v>54</v>
      </c>
      <c r="H361" s="5">
        <v>7146581</v>
      </c>
      <c r="I361" s="5" t="s">
        <v>159</v>
      </c>
      <c r="J361" s="5" t="s">
        <v>160</v>
      </c>
      <c r="K361" s="5" t="str">
        <f t="shared" si="15"/>
        <v>Anthony Hunsberger</v>
      </c>
      <c r="L361" s="5" t="s">
        <v>57</v>
      </c>
      <c r="M361" s="6">
        <v>45809</v>
      </c>
      <c r="N361" s="6">
        <v>45992</v>
      </c>
      <c r="O361" s="7">
        <v>117.6</v>
      </c>
      <c r="P361" s="5">
        <f t="shared" si="16"/>
        <v>6</v>
      </c>
      <c r="Q361" s="5" t="s">
        <v>264</v>
      </c>
      <c r="R361" s="5" t="s">
        <v>1086</v>
      </c>
      <c r="S361" s="5" t="s">
        <v>58</v>
      </c>
      <c r="T361" s="8">
        <v>0.7</v>
      </c>
      <c r="U361" s="5" t="s">
        <v>60</v>
      </c>
      <c r="V361" s="5" t="s">
        <v>61</v>
      </c>
      <c r="W361" s="7">
        <v>82.32</v>
      </c>
      <c r="X361" s="7">
        <v>0</v>
      </c>
      <c r="Y361" s="7">
        <v>82.32</v>
      </c>
      <c r="Z361" s="5" t="s">
        <v>54</v>
      </c>
    </row>
    <row r="362" spans="1:26" x14ac:dyDescent="0.25">
      <c r="A362" s="5">
        <v>2029058756</v>
      </c>
      <c r="B362" s="5" t="s">
        <v>1054</v>
      </c>
      <c r="C362" s="5" t="s">
        <v>1055</v>
      </c>
      <c r="D362" s="5" t="str">
        <f t="shared" si="17"/>
        <v>ROMERO RUBY</v>
      </c>
      <c r="E362" s="5" t="s">
        <v>69</v>
      </c>
      <c r="F362" s="5" t="s">
        <v>53</v>
      </c>
      <c r="G362" s="5" t="s">
        <v>54</v>
      </c>
      <c r="H362" s="5">
        <v>19586992</v>
      </c>
      <c r="I362" s="5" t="s">
        <v>398</v>
      </c>
      <c r="J362" s="5" t="s">
        <v>399</v>
      </c>
      <c r="K362" s="5" t="str">
        <f t="shared" si="15"/>
        <v>Barry Schumann</v>
      </c>
      <c r="L362" s="5" t="s">
        <v>57</v>
      </c>
      <c r="M362" s="6">
        <v>45809</v>
      </c>
      <c r="N362" s="6">
        <v>45992</v>
      </c>
      <c r="O362" s="7">
        <v>37.18</v>
      </c>
      <c r="P362" s="5">
        <f t="shared" si="16"/>
        <v>6</v>
      </c>
      <c r="Q362" s="5" t="s">
        <v>264</v>
      </c>
      <c r="R362" s="5" t="s">
        <v>1086</v>
      </c>
      <c r="S362" s="5" t="s">
        <v>58</v>
      </c>
      <c r="T362" s="8">
        <v>0.7</v>
      </c>
      <c r="U362" s="5" t="s">
        <v>60</v>
      </c>
      <c r="V362" s="5" t="s">
        <v>61</v>
      </c>
      <c r="W362" s="7">
        <v>26.03</v>
      </c>
      <c r="X362" s="7">
        <v>0</v>
      </c>
      <c r="Y362" s="7">
        <v>26.03</v>
      </c>
      <c r="Z362" s="5" t="s">
        <v>54</v>
      </c>
    </row>
    <row r="363" spans="1:26" x14ac:dyDescent="0.25">
      <c r="A363" s="5">
        <v>2028899050</v>
      </c>
      <c r="B363" s="5" t="s">
        <v>691</v>
      </c>
      <c r="C363" s="5" t="s">
        <v>692</v>
      </c>
      <c r="D363" s="5" t="str">
        <f t="shared" si="17"/>
        <v>MACTAVISH MADISON</v>
      </c>
      <c r="E363" s="5" t="s">
        <v>69</v>
      </c>
      <c r="F363" s="5" t="s">
        <v>53</v>
      </c>
      <c r="G363" s="5" t="s">
        <v>54</v>
      </c>
      <c r="H363" s="5">
        <v>8325282</v>
      </c>
      <c r="I363" s="5" t="s">
        <v>447</v>
      </c>
      <c r="J363" s="5" t="s">
        <v>448</v>
      </c>
      <c r="K363" s="5" t="str">
        <f t="shared" si="15"/>
        <v>Dale Walenga</v>
      </c>
      <c r="L363" s="5" t="s">
        <v>57</v>
      </c>
      <c r="M363" s="6">
        <v>45809</v>
      </c>
      <c r="N363" s="6">
        <v>45992</v>
      </c>
      <c r="O363" s="7">
        <v>34</v>
      </c>
      <c r="P363" s="5">
        <f t="shared" si="16"/>
        <v>6</v>
      </c>
      <c r="Q363" s="5" t="s">
        <v>264</v>
      </c>
      <c r="R363" s="5" t="s">
        <v>1086</v>
      </c>
      <c r="S363" s="5" t="s">
        <v>58</v>
      </c>
      <c r="T363" s="8">
        <v>0.7</v>
      </c>
      <c r="U363" s="5" t="s">
        <v>60</v>
      </c>
      <c r="V363" s="5" t="s">
        <v>61</v>
      </c>
      <c r="W363" s="7">
        <v>23.8</v>
      </c>
      <c r="X363" s="7">
        <v>0</v>
      </c>
      <c r="Y363" s="7">
        <v>23.8</v>
      </c>
      <c r="Z363" s="5" t="s">
        <v>54</v>
      </c>
    </row>
    <row r="364" spans="1:26" x14ac:dyDescent="0.25">
      <c r="A364" s="5">
        <v>2028801222</v>
      </c>
      <c r="B364" s="5" t="s">
        <v>1042</v>
      </c>
      <c r="C364" s="5" t="s">
        <v>275</v>
      </c>
      <c r="D364" s="5" t="str">
        <f t="shared" si="17"/>
        <v>NEIGEBAUER MICHELE</v>
      </c>
      <c r="E364" s="5" t="s">
        <v>69</v>
      </c>
      <c r="F364" s="5" t="s">
        <v>53</v>
      </c>
      <c r="G364" s="5" t="s">
        <v>54</v>
      </c>
      <c r="H364" s="5">
        <v>8814784</v>
      </c>
      <c r="I364" s="5" t="s">
        <v>147</v>
      </c>
      <c r="J364" s="5" t="s">
        <v>148</v>
      </c>
      <c r="K364" s="5" t="str">
        <f t="shared" si="15"/>
        <v>FRANK LISKOVEC</v>
      </c>
      <c r="L364" s="5" t="s">
        <v>57</v>
      </c>
      <c r="M364" s="6">
        <v>45809</v>
      </c>
      <c r="N364" s="6">
        <v>45992</v>
      </c>
      <c r="O364" s="7">
        <v>88.96</v>
      </c>
      <c r="P364" s="5">
        <f t="shared" si="16"/>
        <v>6</v>
      </c>
      <c r="Q364" s="5" t="s">
        <v>264</v>
      </c>
      <c r="R364" s="5" t="s">
        <v>1086</v>
      </c>
      <c r="S364" s="5" t="s">
        <v>58</v>
      </c>
      <c r="T364" s="8">
        <v>0.7</v>
      </c>
      <c r="U364" s="5" t="s">
        <v>60</v>
      </c>
      <c r="V364" s="5" t="s">
        <v>61</v>
      </c>
      <c r="W364" s="7">
        <v>62.27</v>
      </c>
      <c r="X364" s="7">
        <v>0</v>
      </c>
      <c r="Y364" s="7">
        <v>62.27</v>
      </c>
      <c r="Z364" s="5" t="s">
        <v>54</v>
      </c>
    </row>
    <row r="365" spans="1:26" x14ac:dyDescent="0.25">
      <c r="A365" s="5">
        <v>2029145085</v>
      </c>
      <c r="B365" s="5" t="s">
        <v>703</v>
      </c>
      <c r="C365" s="5" t="s">
        <v>704</v>
      </c>
      <c r="D365" s="5" t="str">
        <f t="shared" si="17"/>
        <v>O'REILLY JUDITH</v>
      </c>
      <c r="E365" s="5" t="s">
        <v>69</v>
      </c>
      <c r="F365" s="5" t="s">
        <v>53</v>
      </c>
      <c r="G365" s="5" t="s">
        <v>54</v>
      </c>
      <c r="H365" s="5">
        <v>17094718</v>
      </c>
      <c r="I365" s="5" t="s">
        <v>335</v>
      </c>
      <c r="J365" s="5" t="s">
        <v>336</v>
      </c>
      <c r="K365" s="5" t="str">
        <f t="shared" si="15"/>
        <v>GREGORY HANSFORD</v>
      </c>
      <c r="L365" s="5" t="s">
        <v>57</v>
      </c>
      <c r="M365" s="6">
        <v>45805</v>
      </c>
      <c r="N365" s="6">
        <v>45989</v>
      </c>
      <c r="O365" s="7">
        <v>115.38</v>
      </c>
      <c r="P365" s="5">
        <f t="shared" si="16"/>
        <v>6</v>
      </c>
      <c r="Q365" s="5" t="s">
        <v>264</v>
      </c>
      <c r="R365" s="5" t="s">
        <v>1086</v>
      </c>
      <c r="S365" s="5" t="s">
        <v>58</v>
      </c>
      <c r="T365" s="8">
        <v>0.7</v>
      </c>
      <c r="U365" s="5" t="s">
        <v>60</v>
      </c>
      <c r="V365" s="5" t="s">
        <v>61</v>
      </c>
      <c r="W365" s="7">
        <v>80.77</v>
      </c>
      <c r="X365" s="7">
        <v>0</v>
      </c>
      <c r="Y365" s="7">
        <v>80.77</v>
      </c>
      <c r="Z365" s="5" t="s">
        <v>54</v>
      </c>
    </row>
    <row r="366" spans="1:26" x14ac:dyDescent="0.25">
      <c r="A366" s="5">
        <v>2029029117</v>
      </c>
      <c r="B366" s="5" t="s">
        <v>795</v>
      </c>
      <c r="C366" s="5" t="s">
        <v>301</v>
      </c>
      <c r="D366" s="5" t="str">
        <f t="shared" si="17"/>
        <v>BLOOM ERIC</v>
      </c>
      <c r="E366" s="5" t="s">
        <v>92</v>
      </c>
      <c r="F366" s="5" t="s">
        <v>53</v>
      </c>
      <c r="G366" s="5" t="s">
        <v>54</v>
      </c>
      <c r="H366" s="5">
        <v>16865615</v>
      </c>
      <c r="I366" s="5" t="s">
        <v>93</v>
      </c>
      <c r="J366" s="5" t="s">
        <v>94</v>
      </c>
      <c r="K366" s="5" t="str">
        <f t="shared" si="15"/>
        <v>Heather Geske</v>
      </c>
      <c r="L366" s="5" t="s">
        <v>57</v>
      </c>
      <c r="M366" s="6">
        <v>45809</v>
      </c>
      <c r="N366" s="6">
        <v>45992</v>
      </c>
      <c r="O366" s="7">
        <v>9.6999999999999993</v>
      </c>
      <c r="P366" s="5">
        <f t="shared" si="16"/>
        <v>6</v>
      </c>
      <c r="Q366" s="5" t="s">
        <v>264</v>
      </c>
      <c r="R366" s="5" t="s">
        <v>1086</v>
      </c>
      <c r="S366" s="5" t="s">
        <v>58</v>
      </c>
      <c r="T366" s="8">
        <v>0.7</v>
      </c>
      <c r="U366" s="5" t="s">
        <v>60</v>
      </c>
      <c r="V366" s="5" t="s">
        <v>61</v>
      </c>
      <c r="W366" s="7">
        <v>6.79</v>
      </c>
      <c r="X366" s="7">
        <v>0</v>
      </c>
      <c r="Y366" s="7">
        <v>6.79</v>
      </c>
      <c r="Z366" s="5" t="s">
        <v>54</v>
      </c>
    </row>
    <row r="367" spans="1:26" x14ac:dyDescent="0.25">
      <c r="A367" s="5">
        <v>2029031323</v>
      </c>
      <c r="B367" s="5" t="s">
        <v>796</v>
      </c>
      <c r="C367" s="5" t="s">
        <v>308</v>
      </c>
      <c r="D367" s="5" t="str">
        <f t="shared" si="17"/>
        <v>AUSTIN ELIZABETH</v>
      </c>
      <c r="E367" s="5" t="s">
        <v>92</v>
      </c>
      <c r="F367" s="5" t="s">
        <v>53</v>
      </c>
      <c r="G367" s="5" t="s">
        <v>54</v>
      </c>
      <c r="H367" s="5">
        <v>16865615</v>
      </c>
      <c r="I367" s="5" t="s">
        <v>93</v>
      </c>
      <c r="J367" s="5" t="s">
        <v>94</v>
      </c>
      <c r="K367" s="5" t="str">
        <f t="shared" si="15"/>
        <v>Heather Geske</v>
      </c>
      <c r="L367" s="5" t="s">
        <v>57</v>
      </c>
      <c r="M367" s="6">
        <v>45809</v>
      </c>
      <c r="N367" s="6">
        <v>45992</v>
      </c>
      <c r="O367" s="7">
        <v>9.6999999999999993</v>
      </c>
      <c r="P367" s="5">
        <f t="shared" si="16"/>
        <v>6</v>
      </c>
      <c r="Q367" s="5" t="s">
        <v>264</v>
      </c>
      <c r="R367" s="5" t="s">
        <v>1086</v>
      </c>
      <c r="S367" s="5" t="s">
        <v>58</v>
      </c>
      <c r="T367" s="8">
        <v>0.7</v>
      </c>
      <c r="U367" s="5" t="s">
        <v>60</v>
      </c>
      <c r="V367" s="5" t="s">
        <v>61</v>
      </c>
      <c r="W367" s="7">
        <v>6.79</v>
      </c>
      <c r="X367" s="7">
        <v>0</v>
      </c>
      <c r="Y367" s="7">
        <v>6.79</v>
      </c>
      <c r="Z367" s="5" t="s">
        <v>54</v>
      </c>
    </row>
    <row r="368" spans="1:26" x14ac:dyDescent="0.25">
      <c r="A368" s="5">
        <v>2029210003</v>
      </c>
      <c r="B368" s="5" t="s">
        <v>255</v>
      </c>
      <c r="C368" s="5" t="s">
        <v>404</v>
      </c>
      <c r="D368" s="5" t="str">
        <f t="shared" si="17"/>
        <v>LESTER LORA</v>
      </c>
      <c r="E368" s="5" t="s">
        <v>81</v>
      </c>
      <c r="F368" s="5" t="s">
        <v>53</v>
      </c>
      <c r="G368" s="5" t="s">
        <v>54</v>
      </c>
      <c r="H368" s="5" t="s">
        <v>1080</v>
      </c>
      <c r="I368" s="5" t="s">
        <v>175</v>
      </c>
      <c r="J368" s="5" t="s">
        <v>176</v>
      </c>
      <c r="K368" s="5" t="str">
        <f t="shared" si="15"/>
        <v>Jake Shulman</v>
      </c>
      <c r="L368" s="5" t="s">
        <v>57</v>
      </c>
      <c r="M368" s="6">
        <v>45809</v>
      </c>
      <c r="N368" s="6">
        <v>45992</v>
      </c>
      <c r="O368" s="7">
        <v>85.63</v>
      </c>
      <c r="P368" s="5">
        <f t="shared" si="16"/>
        <v>6</v>
      </c>
      <c r="Q368" s="5" t="s">
        <v>264</v>
      </c>
      <c r="R368" s="5" t="s">
        <v>1086</v>
      </c>
      <c r="S368" s="5" t="s">
        <v>58</v>
      </c>
      <c r="T368" s="8">
        <v>0.7</v>
      </c>
      <c r="U368" s="5" t="s">
        <v>60</v>
      </c>
      <c r="V368" s="5" t="s">
        <v>61</v>
      </c>
      <c r="W368" s="7">
        <v>59.94</v>
      </c>
      <c r="X368" s="7">
        <v>0</v>
      </c>
      <c r="Y368" s="7">
        <v>59.94</v>
      </c>
      <c r="Z368" s="5" t="s">
        <v>54</v>
      </c>
    </row>
    <row r="369" spans="1:26" x14ac:dyDescent="0.25">
      <c r="A369" s="5">
        <v>2029215890</v>
      </c>
      <c r="B369" s="5" t="s">
        <v>1063</v>
      </c>
      <c r="C369" s="5" t="s">
        <v>1064</v>
      </c>
      <c r="D369" s="5" t="str">
        <f t="shared" si="17"/>
        <v>DAGENAIS MICHELLE</v>
      </c>
      <c r="E369" s="5" t="s">
        <v>52</v>
      </c>
      <c r="F369" s="5" t="s">
        <v>53</v>
      </c>
      <c r="G369" s="5" t="s">
        <v>54</v>
      </c>
      <c r="H369" s="5" t="s">
        <v>1080</v>
      </c>
      <c r="I369" s="5" t="s">
        <v>175</v>
      </c>
      <c r="J369" s="5" t="s">
        <v>176</v>
      </c>
      <c r="K369" s="5" t="str">
        <f t="shared" si="15"/>
        <v>Jake Shulman</v>
      </c>
      <c r="L369" s="5" t="s">
        <v>57</v>
      </c>
      <c r="M369" s="6">
        <v>45809</v>
      </c>
      <c r="N369" s="6">
        <v>45992</v>
      </c>
      <c r="O369" s="7">
        <v>77.430000000000007</v>
      </c>
      <c r="P369" s="5">
        <f t="shared" si="16"/>
        <v>6</v>
      </c>
      <c r="Q369" s="5" t="s">
        <v>264</v>
      </c>
      <c r="R369" s="5" t="s">
        <v>1086</v>
      </c>
      <c r="S369" s="5" t="s">
        <v>58</v>
      </c>
      <c r="T369" s="8">
        <v>0.7</v>
      </c>
      <c r="U369" s="5" t="s">
        <v>60</v>
      </c>
      <c r="V369" s="5" t="s">
        <v>61</v>
      </c>
      <c r="W369" s="7">
        <v>54.2</v>
      </c>
      <c r="X369" s="7">
        <v>0</v>
      </c>
      <c r="Y369" s="7">
        <v>54.2</v>
      </c>
      <c r="Z369" s="5" t="s">
        <v>54</v>
      </c>
    </row>
    <row r="370" spans="1:26" x14ac:dyDescent="0.25">
      <c r="A370" s="5">
        <v>2028821221</v>
      </c>
      <c r="B370" s="5" t="s">
        <v>1043</v>
      </c>
      <c r="C370" s="5" t="s">
        <v>1044</v>
      </c>
      <c r="D370" s="5" t="str">
        <f t="shared" si="17"/>
        <v>SIMS ROSA</v>
      </c>
      <c r="E370" s="5" t="s">
        <v>69</v>
      </c>
      <c r="F370" s="5" t="s">
        <v>53</v>
      </c>
      <c r="G370" s="5" t="s">
        <v>54</v>
      </c>
      <c r="H370" s="5" t="s">
        <v>1080</v>
      </c>
      <c r="I370" s="5" t="s">
        <v>175</v>
      </c>
      <c r="J370" s="5" t="s">
        <v>176</v>
      </c>
      <c r="K370" s="5" t="str">
        <f t="shared" si="15"/>
        <v>Jake Shulman</v>
      </c>
      <c r="L370" s="5" t="s">
        <v>57</v>
      </c>
      <c r="M370" s="6">
        <v>45809</v>
      </c>
      <c r="N370" s="6">
        <v>45992</v>
      </c>
      <c r="O370" s="7">
        <v>46.08</v>
      </c>
      <c r="P370" s="5">
        <f t="shared" si="16"/>
        <v>6</v>
      </c>
      <c r="Q370" s="5" t="s">
        <v>264</v>
      </c>
      <c r="R370" s="5" t="s">
        <v>1086</v>
      </c>
      <c r="S370" s="5" t="s">
        <v>58</v>
      </c>
      <c r="T370" s="8">
        <v>0.7</v>
      </c>
      <c r="U370" s="5" t="s">
        <v>60</v>
      </c>
      <c r="V370" s="5" t="s">
        <v>61</v>
      </c>
      <c r="W370" s="7">
        <v>0</v>
      </c>
      <c r="X370" s="7">
        <v>32.26</v>
      </c>
      <c r="Y370" s="7">
        <v>32.26</v>
      </c>
      <c r="Z370" s="5" t="s">
        <v>54</v>
      </c>
    </row>
    <row r="371" spans="1:26" x14ac:dyDescent="0.25">
      <c r="A371" s="5">
        <v>2028847739</v>
      </c>
      <c r="B371" s="5" t="s">
        <v>927</v>
      </c>
      <c r="C371" s="5" t="s">
        <v>928</v>
      </c>
      <c r="D371" s="5" t="str">
        <f t="shared" si="17"/>
        <v>WHEATON ADRIAN</v>
      </c>
      <c r="E371" s="5" t="s">
        <v>165</v>
      </c>
      <c r="F371" s="5" t="s">
        <v>53</v>
      </c>
      <c r="G371" s="5" t="s">
        <v>54</v>
      </c>
      <c r="H371" s="5" t="s">
        <v>1080</v>
      </c>
      <c r="I371" s="5" t="s">
        <v>175</v>
      </c>
      <c r="J371" s="5" t="s">
        <v>176</v>
      </c>
      <c r="K371" s="5" t="str">
        <f t="shared" si="15"/>
        <v>Jake Shulman</v>
      </c>
      <c r="L371" s="5" t="s">
        <v>57</v>
      </c>
      <c r="M371" s="6">
        <v>45809</v>
      </c>
      <c r="N371" s="6">
        <v>45992</v>
      </c>
      <c r="O371" s="7">
        <v>31</v>
      </c>
      <c r="P371" s="5">
        <f t="shared" si="16"/>
        <v>6</v>
      </c>
      <c r="Q371" s="5" t="s">
        <v>264</v>
      </c>
      <c r="R371" s="5" t="s">
        <v>1086</v>
      </c>
      <c r="S371" s="5" t="s">
        <v>58</v>
      </c>
      <c r="T371" s="8">
        <v>0.7</v>
      </c>
      <c r="U371" s="5" t="s">
        <v>60</v>
      </c>
      <c r="V371" s="5" t="s">
        <v>61</v>
      </c>
      <c r="W371" s="7">
        <v>0</v>
      </c>
      <c r="X371" s="7">
        <v>21.7</v>
      </c>
      <c r="Y371" s="7">
        <v>21.7</v>
      </c>
      <c r="Z371" s="5" t="s">
        <v>54</v>
      </c>
    </row>
    <row r="372" spans="1:26" x14ac:dyDescent="0.25">
      <c r="A372" s="5">
        <v>2028912169</v>
      </c>
      <c r="B372" s="5" t="s">
        <v>934</v>
      </c>
      <c r="C372" s="5" t="s">
        <v>935</v>
      </c>
      <c r="D372" s="5" t="str">
        <f t="shared" si="17"/>
        <v>ALIKHAN RIZWAN</v>
      </c>
      <c r="E372" s="5" t="s">
        <v>52</v>
      </c>
      <c r="F372" s="5" t="s">
        <v>53</v>
      </c>
      <c r="G372" s="5" t="s">
        <v>54</v>
      </c>
      <c r="H372" s="5" t="s">
        <v>1080</v>
      </c>
      <c r="I372" s="5" t="s">
        <v>175</v>
      </c>
      <c r="J372" s="5" t="s">
        <v>176</v>
      </c>
      <c r="K372" s="5" t="str">
        <f t="shared" si="15"/>
        <v>Jake Shulman</v>
      </c>
      <c r="L372" s="5" t="s">
        <v>57</v>
      </c>
      <c r="M372" s="6">
        <v>45809</v>
      </c>
      <c r="N372" s="6">
        <v>45992</v>
      </c>
      <c r="O372" s="7">
        <v>33.54</v>
      </c>
      <c r="P372" s="5">
        <f t="shared" si="16"/>
        <v>6</v>
      </c>
      <c r="Q372" s="5" t="s">
        <v>264</v>
      </c>
      <c r="R372" s="5" t="s">
        <v>1086</v>
      </c>
      <c r="S372" s="5" t="s">
        <v>58</v>
      </c>
      <c r="T372" s="8">
        <v>0.7</v>
      </c>
      <c r="U372" s="5" t="s">
        <v>60</v>
      </c>
      <c r="V372" s="5" t="s">
        <v>61</v>
      </c>
      <c r="W372" s="7">
        <v>0</v>
      </c>
      <c r="X372" s="7">
        <v>23.48</v>
      </c>
      <c r="Y372" s="7">
        <v>23.48</v>
      </c>
      <c r="Z372" s="5" t="s">
        <v>54</v>
      </c>
    </row>
    <row r="373" spans="1:26" x14ac:dyDescent="0.25">
      <c r="A373" s="5">
        <v>2028775160</v>
      </c>
      <c r="B373" s="5" t="s">
        <v>1039</v>
      </c>
      <c r="C373" s="5" t="s">
        <v>1013</v>
      </c>
      <c r="D373" s="5" t="str">
        <f t="shared" si="17"/>
        <v>STRICKER CYNTHIA</v>
      </c>
      <c r="E373" s="5" t="s">
        <v>559</v>
      </c>
      <c r="F373" s="5" t="s">
        <v>53</v>
      </c>
      <c r="G373" s="5" t="s">
        <v>54</v>
      </c>
      <c r="H373" s="5">
        <v>16683808</v>
      </c>
      <c r="I373" s="5" t="s">
        <v>1040</v>
      </c>
      <c r="J373" s="5" t="s">
        <v>1041</v>
      </c>
      <c r="K373" s="5" t="str">
        <f t="shared" si="15"/>
        <v>Jonathan Aloff</v>
      </c>
      <c r="L373" s="5" t="s">
        <v>57</v>
      </c>
      <c r="M373" s="6">
        <v>45809</v>
      </c>
      <c r="N373" s="6">
        <v>45992</v>
      </c>
      <c r="O373" s="7">
        <v>101.99</v>
      </c>
      <c r="P373" s="5">
        <f t="shared" si="16"/>
        <v>6</v>
      </c>
      <c r="Q373" s="5" t="s">
        <v>264</v>
      </c>
      <c r="R373" s="5" t="s">
        <v>1086</v>
      </c>
      <c r="S373" s="5" t="s">
        <v>58</v>
      </c>
      <c r="T373" s="8">
        <v>0.7</v>
      </c>
      <c r="U373" s="5" t="s">
        <v>60</v>
      </c>
      <c r="V373" s="5" t="s">
        <v>61</v>
      </c>
      <c r="W373" s="7">
        <v>0</v>
      </c>
      <c r="X373" s="7">
        <v>71.39</v>
      </c>
      <c r="Y373" s="7">
        <v>71.39</v>
      </c>
      <c r="Z373" s="5" t="s">
        <v>54</v>
      </c>
    </row>
    <row r="374" spans="1:26" x14ac:dyDescent="0.25">
      <c r="A374" s="5">
        <v>2028858331</v>
      </c>
      <c r="B374" s="5" t="s">
        <v>929</v>
      </c>
      <c r="C374" s="5" t="s">
        <v>103</v>
      </c>
      <c r="D374" s="5" t="str">
        <f t="shared" si="17"/>
        <v>KINNEY THOMAS</v>
      </c>
      <c r="E374" s="5" t="s">
        <v>69</v>
      </c>
      <c r="F374" s="5" t="s">
        <v>53</v>
      </c>
      <c r="G374" s="5" t="s">
        <v>54</v>
      </c>
      <c r="H374" s="5">
        <v>21436172</v>
      </c>
      <c r="I374" s="5" t="s">
        <v>930</v>
      </c>
      <c r="J374" s="5" t="s">
        <v>931</v>
      </c>
      <c r="K374" s="5" t="str">
        <f t="shared" si="15"/>
        <v>Latesha Rose</v>
      </c>
      <c r="L374" s="5" t="s">
        <v>57</v>
      </c>
      <c r="M374" s="6">
        <v>45809</v>
      </c>
      <c r="N374" s="6">
        <v>45992</v>
      </c>
      <c r="O374" s="7">
        <v>110.53</v>
      </c>
      <c r="P374" s="5">
        <f t="shared" si="16"/>
        <v>6</v>
      </c>
      <c r="Q374" s="5" t="s">
        <v>264</v>
      </c>
      <c r="R374" s="5" t="s">
        <v>1086</v>
      </c>
      <c r="S374" s="5" t="s">
        <v>58</v>
      </c>
      <c r="T374" s="8">
        <v>0.7</v>
      </c>
      <c r="U374" s="5" t="s">
        <v>60</v>
      </c>
      <c r="V374" s="5" t="s">
        <v>61</v>
      </c>
      <c r="W374" s="7">
        <v>77.37</v>
      </c>
      <c r="X374" s="7">
        <v>0</v>
      </c>
      <c r="Y374" s="7">
        <v>77.37</v>
      </c>
      <c r="Z374" s="5" t="s">
        <v>54</v>
      </c>
    </row>
    <row r="375" spans="1:26" x14ac:dyDescent="0.25">
      <c r="A375" s="5">
        <v>2029118392</v>
      </c>
      <c r="B375" s="5" t="s">
        <v>1058</v>
      </c>
      <c r="C375" s="5" t="s">
        <v>1059</v>
      </c>
      <c r="D375" s="5" t="str">
        <f t="shared" si="17"/>
        <v>ALTAN TUUL</v>
      </c>
      <c r="E375" s="5" t="s">
        <v>69</v>
      </c>
      <c r="F375" s="5" t="s">
        <v>53</v>
      </c>
      <c r="G375" s="5" t="s">
        <v>54</v>
      </c>
      <c r="H375" s="5">
        <v>20220688</v>
      </c>
      <c r="I375" s="5" t="s">
        <v>769</v>
      </c>
      <c r="J375" s="5" t="s">
        <v>770</v>
      </c>
      <c r="K375" s="5" t="str">
        <f t="shared" si="15"/>
        <v>NASANDELGER ZANA</v>
      </c>
      <c r="L375" s="5" t="s">
        <v>57</v>
      </c>
      <c r="M375" s="6">
        <v>45803</v>
      </c>
      <c r="N375" s="6">
        <v>45987</v>
      </c>
      <c r="O375" s="7">
        <v>76.709999999999994</v>
      </c>
      <c r="P375" s="5">
        <f t="shared" si="16"/>
        <v>6</v>
      </c>
      <c r="Q375" s="5" t="s">
        <v>264</v>
      </c>
      <c r="R375" s="5" t="s">
        <v>1086</v>
      </c>
      <c r="S375" s="5" t="s">
        <v>58</v>
      </c>
      <c r="T375" s="8">
        <v>0.7</v>
      </c>
      <c r="U375" s="5" t="s">
        <v>60</v>
      </c>
      <c r="V375" s="5" t="s">
        <v>61</v>
      </c>
      <c r="W375" s="7">
        <v>53.69</v>
      </c>
      <c r="X375" s="7">
        <v>0.01</v>
      </c>
      <c r="Y375" s="7">
        <v>53.69</v>
      </c>
      <c r="Z375" s="5" t="s">
        <v>54</v>
      </c>
    </row>
    <row r="376" spans="1:26" x14ac:dyDescent="0.25">
      <c r="A376" s="5">
        <v>2029118625</v>
      </c>
      <c r="B376" s="5" t="s">
        <v>1058</v>
      </c>
      <c r="C376" s="5" t="s">
        <v>1060</v>
      </c>
      <c r="D376" s="5" t="str">
        <f t="shared" si="17"/>
        <v>ALTAN TUVSHINJARGAL</v>
      </c>
      <c r="E376" s="5" t="s">
        <v>69</v>
      </c>
      <c r="F376" s="5" t="s">
        <v>53</v>
      </c>
      <c r="G376" s="5" t="s">
        <v>54</v>
      </c>
      <c r="H376" s="5">
        <v>20220688</v>
      </c>
      <c r="I376" s="5" t="s">
        <v>769</v>
      </c>
      <c r="J376" s="5" t="s">
        <v>770</v>
      </c>
      <c r="K376" s="5" t="str">
        <f t="shared" si="15"/>
        <v>NASANDELGER ZANA</v>
      </c>
      <c r="L376" s="5" t="s">
        <v>57</v>
      </c>
      <c r="M376" s="6">
        <v>45803</v>
      </c>
      <c r="N376" s="6">
        <v>45987</v>
      </c>
      <c r="O376" s="7">
        <v>51</v>
      </c>
      <c r="P376" s="5">
        <f t="shared" si="16"/>
        <v>6</v>
      </c>
      <c r="Q376" s="5" t="s">
        <v>264</v>
      </c>
      <c r="R376" s="5" t="s">
        <v>1086</v>
      </c>
      <c r="S376" s="5" t="s">
        <v>58</v>
      </c>
      <c r="T376" s="8">
        <v>0.7</v>
      </c>
      <c r="U376" s="5" t="s">
        <v>60</v>
      </c>
      <c r="V376" s="5" t="s">
        <v>61</v>
      </c>
      <c r="W376" s="7">
        <v>35.700000000000003</v>
      </c>
      <c r="X376" s="7">
        <v>0</v>
      </c>
      <c r="Y376" s="7">
        <v>35.700000000000003</v>
      </c>
      <c r="Z376" s="5" t="s">
        <v>54</v>
      </c>
    </row>
    <row r="377" spans="1:26" x14ac:dyDescent="0.25">
      <c r="A377" s="5">
        <v>2028965158</v>
      </c>
      <c r="B377" s="5" t="s">
        <v>939</v>
      </c>
      <c r="C377" s="5" t="s">
        <v>886</v>
      </c>
      <c r="D377" s="5" t="str">
        <f t="shared" si="17"/>
        <v>MEDINA MARIA</v>
      </c>
      <c r="E377" s="5" t="s">
        <v>69</v>
      </c>
      <c r="F377" s="5" t="s">
        <v>53</v>
      </c>
      <c r="G377" s="5" t="s">
        <v>54</v>
      </c>
      <c r="H377" s="5">
        <v>19200754</v>
      </c>
      <c r="I377" s="5" t="s">
        <v>228</v>
      </c>
      <c r="J377" s="5" t="s">
        <v>229</v>
      </c>
      <c r="K377" s="5" t="str">
        <f t="shared" si="15"/>
        <v>RICARDO SANTOS</v>
      </c>
      <c r="L377" s="5" t="s">
        <v>57</v>
      </c>
      <c r="M377" s="6">
        <v>45809</v>
      </c>
      <c r="N377" s="6">
        <v>45992</v>
      </c>
      <c r="O377" s="7">
        <v>80.16</v>
      </c>
      <c r="P377" s="5">
        <f t="shared" si="16"/>
        <v>6</v>
      </c>
      <c r="Q377" s="5" t="s">
        <v>264</v>
      </c>
      <c r="R377" s="5" t="s">
        <v>1086</v>
      </c>
      <c r="S377" s="5" t="s">
        <v>58</v>
      </c>
      <c r="T377" s="8">
        <v>0.7</v>
      </c>
      <c r="U377" s="5" t="s">
        <v>60</v>
      </c>
      <c r="V377" s="5" t="s">
        <v>61</v>
      </c>
      <c r="W377" s="7">
        <v>56.11</v>
      </c>
      <c r="X377" s="7">
        <v>0</v>
      </c>
      <c r="Y377" s="7">
        <v>56.11</v>
      </c>
      <c r="Z377" s="5" t="s">
        <v>54</v>
      </c>
    </row>
    <row r="378" spans="1:26" x14ac:dyDescent="0.25">
      <c r="A378" s="5">
        <v>2029189478</v>
      </c>
      <c r="B378" s="5" t="s">
        <v>799</v>
      </c>
      <c r="C378" s="5" t="s">
        <v>296</v>
      </c>
      <c r="D378" s="5" t="str">
        <f t="shared" si="17"/>
        <v>GIAMPAPA ANTHONY</v>
      </c>
      <c r="E378" s="5" t="s">
        <v>69</v>
      </c>
      <c r="F378" s="5" t="s">
        <v>53</v>
      </c>
      <c r="G378" s="5" t="s">
        <v>54</v>
      </c>
      <c r="H378" s="5">
        <v>17126004</v>
      </c>
      <c r="I378" s="5" t="s">
        <v>800</v>
      </c>
      <c r="J378" s="5" t="s">
        <v>801</v>
      </c>
      <c r="K378" s="5" t="str">
        <f t="shared" si="15"/>
        <v>Stephanie Drapac</v>
      </c>
      <c r="L378" s="5" t="s">
        <v>57</v>
      </c>
      <c r="M378" s="6">
        <v>45809</v>
      </c>
      <c r="N378" s="6">
        <v>45992</v>
      </c>
      <c r="O378" s="7">
        <v>134.43</v>
      </c>
      <c r="P378" s="5">
        <f t="shared" si="16"/>
        <v>6</v>
      </c>
      <c r="Q378" s="5" t="s">
        <v>264</v>
      </c>
      <c r="R378" s="5" t="s">
        <v>1086</v>
      </c>
      <c r="S378" s="5" t="s">
        <v>58</v>
      </c>
      <c r="T378" s="8">
        <v>0.7</v>
      </c>
      <c r="U378" s="5" t="s">
        <v>60</v>
      </c>
      <c r="V378" s="5" t="s">
        <v>61</v>
      </c>
      <c r="W378" s="7">
        <v>94.1</v>
      </c>
      <c r="X378" s="7">
        <v>0</v>
      </c>
      <c r="Y378" s="7">
        <v>94.1</v>
      </c>
      <c r="Z378" s="5" t="s">
        <v>54</v>
      </c>
    </row>
    <row r="379" spans="1:26" x14ac:dyDescent="0.25">
      <c r="A379" s="5">
        <v>2028959745</v>
      </c>
      <c r="B379" s="5" t="s">
        <v>1052</v>
      </c>
      <c r="C379" s="5" t="s">
        <v>1053</v>
      </c>
      <c r="D379" s="5" t="str">
        <f t="shared" si="17"/>
        <v>VILLARREAL ELIUD</v>
      </c>
      <c r="E379" s="5" t="s">
        <v>69</v>
      </c>
      <c r="F379" s="5" t="s">
        <v>53</v>
      </c>
      <c r="G379" s="5" t="s">
        <v>54</v>
      </c>
      <c r="H379" s="5">
        <v>17126004</v>
      </c>
      <c r="I379" s="5" t="s">
        <v>800</v>
      </c>
      <c r="J379" s="5" t="s">
        <v>801</v>
      </c>
      <c r="K379" s="5" t="str">
        <f t="shared" si="15"/>
        <v>Stephanie Drapac</v>
      </c>
      <c r="L379" s="5" t="s">
        <v>57</v>
      </c>
      <c r="M379" s="6">
        <v>45809</v>
      </c>
      <c r="N379" s="6">
        <v>45992</v>
      </c>
      <c r="O379" s="7">
        <v>115.38</v>
      </c>
      <c r="P379" s="5">
        <f t="shared" si="16"/>
        <v>6</v>
      </c>
      <c r="Q379" s="5" t="s">
        <v>264</v>
      </c>
      <c r="R379" s="5" t="s">
        <v>1086</v>
      </c>
      <c r="S379" s="5" t="s">
        <v>58</v>
      </c>
      <c r="T379" s="8">
        <v>0.7</v>
      </c>
      <c r="U379" s="5" t="s">
        <v>60</v>
      </c>
      <c r="V379" s="5" t="s">
        <v>61</v>
      </c>
      <c r="W379" s="7">
        <v>0</v>
      </c>
      <c r="X379" s="7">
        <v>80.77</v>
      </c>
      <c r="Y379" s="7">
        <v>80.77</v>
      </c>
      <c r="Z379" s="5" t="s">
        <v>54</v>
      </c>
    </row>
    <row r="380" spans="1:26" x14ac:dyDescent="0.25">
      <c r="A380" s="5">
        <v>2028965279</v>
      </c>
      <c r="B380" s="5" t="s">
        <v>940</v>
      </c>
      <c r="C380" s="5" t="s">
        <v>427</v>
      </c>
      <c r="D380" s="5" t="str">
        <f t="shared" si="17"/>
        <v>PAULSEN JOSHUA</v>
      </c>
      <c r="E380" s="5" t="s">
        <v>69</v>
      </c>
      <c r="F380" s="5" t="s">
        <v>53</v>
      </c>
      <c r="G380" s="5" t="s">
        <v>54</v>
      </c>
      <c r="H380" s="5">
        <v>17126004</v>
      </c>
      <c r="I380" s="5" t="s">
        <v>800</v>
      </c>
      <c r="J380" s="5" t="s">
        <v>801</v>
      </c>
      <c r="K380" s="5" t="str">
        <f t="shared" si="15"/>
        <v>Stephanie Drapac</v>
      </c>
      <c r="L380" s="5" t="s">
        <v>57</v>
      </c>
      <c r="M380" s="6">
        <v>45809</v>
      </c>
      <c r="N380" s="6">
        <v>45992</v>
      </c>
      <c r="O380" s="7">
        <v>57.35</v>
      </c>
      <c r="P380" s="5">
        <f t="shared" si="16"/>
        <v>6</v>
      </c>
      <c r="Q380" s="5" t="s">
        <v>264</v>
      </c>
      <c r="R380" s="5" t="s">
        <v>1086</v>
      </c>
      <c r="S380" s="5" t="s">
        <v>58</v>
      </c>
      <c r="T380" s="8">
        <v>0.7</v>
      </c>
      <c r="U380" s="5" t="s">
        <v>60</v>
      </c>
      <c r="V380" s="5" t="s">
        <v>61</v>
      </c>
      <c r="W380" s="7">
        <v>0</v>
      </c>
      <c r="X380" s="7">
        <v>40.14</v>
      </c>
      <c r="Y380" s="7">
        <v>40.14</v>
      </c>
      <c r="Z380" s="5" t="s">
        <v>54</v>
      </c>
    </row>
    <row r="381" spans="1:26" x14ac:dyDescent="0.25">
      <c r="A381" s="5">
        <v>2029062372</v>
      </c>
      <c r="B381" s="5" t="s">
        <v>857</v>
      </c>
      <c r="C381" s="5" t="s">
        <v>945</v>
      </c>
      <c r="D381" s="5" t="str">
        <f t="shared" si="17"/>
        <v>SALAZAR VANESSA</v>
      </c>
      <c r="E381" s="5" t="s">
        <v>261</v>
      </c>
      <c r="F381" s="5" t="s">
        <v>53</v>
      </c>
      <c r="G381" s="5" t="s">
        <v>54</v>
      </c>
      <c r="H381" s="5">
        <v>371819</v>
      </c>
      <c r="I381" s="5" t="s">
        <v>237</v>
      </c>
      <c r="J381" s="5" t="s">
        <v>103</v>
      </c>
      <c r="K381" s="5" t="str">
        <f t="shared" si="15"/>
        <v>THOMAS PARDUE</v>
      </c>
      <c r="L381" s="5" t="s">
        <v>57</v>
      </c>
      <c r="M381" s="6">
        <v>45800</v>
      </c>
      <c r="N381" s="6">
        <v>45984</v>
      </c>
      <c r="O381" s="7">
        <v>29.48</v>
      </c>
      <c r="P381" s="5">
        <f t="shared" si="16"/>
        <v>6</v>
      </c>
      <c r="Q381" s="5" t="s">
        <v>264</v>
      </c>
      <c r="R381" s="5" t="s">
        <v>1086</v>
      </c>
      <c r="S381" s="5" t="s">
        <v>58</v>
      </c>
      <c r="T381" s="8">
        <v>0.7</v>
      </c>
      <c r="U381" s="5" t="s">
        <v>60</v>
      </c>
      <c r="V381" s="5" t="s">
        <v>61</v>
      </c>
      <c r="W381" s="7">
        <v>0</v>
      </c>
      <c r="X381" s="7">
        <v>20.64</v>
      </c>
      <c r="Y381" s="7">
        <v>20.64</v>
      </c>
      <c r="Z381" s="5" t="s">
        <v>54</v>
      </c>
    </row>
    <row r="382" spans="1:26" x14ac:dyDescent="0.25">
      <c r="A382" s="5">
        <v>2028799844</v>
      </c>
      <c r="B382" s="5" t="s">
        <v>637</v>
      </c>
      <c r="C382" s="5" t="s">
        <v>284</v>
      </c>
      <c r="D382" s="5" t="str">
        <f t="shared" si="17"/>
        <v>ALMENDARES CARLOS</v>
      </c>
      <c r="E382" s="5" t="s">
        <v>208</v>
      </c>
      <c r="F382" s="5" t="s">
        <v>53</v>
      </c>
      <c r="G382" s="5" t="s">
        <v>54</v>
      </c>
      <c r="H382" s="5" t="s">
        <v>1082</v>
      </c>
      <c r="I382" s="5" t="s">
        <v>371</v>
      </c>
      <c r="J382" s="5" t="s">
        <v>372</v>
      </c>
      <c r="K382" s="5" t="str">
        <f t="shared" si="15"/>
        <v>VICTOR FUENTES</v>
      </c>
      <c r="L382" s="5" t="s">
        <v>57</v>
      </c>
      <c r="M382" s="6">
        <v>45809</v>
      </c>
      <c r="N382" s="6">
        <v>45992</v>
      </c>
      <c r="O382" s="7">
        <v>142.91999999999999</v>
      </c>
      <c r="P382" s="5">
        <f t="shared" si="16"/>
        <v>6</v>
      </c>
      <c r="Q382" s="5" t="s">
        <v>264</v>
      </c>
      <c r="R382" s="5" t="s">
        <v>1086</v>
      </c>
      <c r="S382" s="5" t="s">
        <v>58</v>
      </c>
      <c r="T382" s="8">
        <v>0.7</v>
      </c>
      <c r="U382" s="5" t="s">
        <v>60</v>
      </c>
      <c r="V382" s="5" t="s">
        <v>61</v>
      </c>
      <c r="W382" s="7">
        <v>0</v>
      </c>
      <c r="X382" s="7">
        <v>100.04</v>
      </c>
      <c r="Y382" s="7">
        <v>100.04</v>
      </c>
      <c r="Z382" s="5" t="s">
        <v>54</v>
      </c>
    </row>
    <row r="383" spans="1:26" x14ac:dyDescent="0.25">
      <c r="A383" s="5">
        <v>2028627543</v>
      </c>
      <c r="B383" s="5" t="s">
        <v>689</v>
      </c>
      <c r="C383" s="5" t="s">
        <v>690</v>
      </c>
      <c r="D383" s="5" t="str">
        <f t="shared" si="17"/>
        <v>DIAZ DELIA</v>
      </c>
      <c r="E383" s="5" t="s">
        <v>145</v>
      </c>
      <c r="F383" s="5" t="s">
        <v>53</v>
      </c>
      <c r="G383" s="5" t="s">
        <v>54</v>
      </c>
      <c r="H383" s="5">
        <v>8325282</v>
      </c>
      <c r="I383" s="5" t="s">
        <v>447</v>
      </c>
      <c r="J383" s="5" t="s">
        <v>448</v>
      </c>
      <c r="K383" s="5" t="str">
        <f t="shared" si="15"/>
        <v>Dale Walenga</v>
      </c>
      <c r="L383" s="5" t="s">
        <v>57</v>
      </c>
      <c r="M383" s="6">
        <v>45774</v>
      </c>
      <c r="N383" s="6">
        <v>45988</v>
      </c>
      <c r="O383" s="7">
        <v>11.5</v>
      </c>
      <c r="P383" s="5">
        <f t="shared" si="16"/>
        <v>7</v>
      </c>
      <c r="Q383" s="5" t="s">
        <v>264</v>
      </c>
      <c r="R383" s="5" t="s">
        <v>1086</v>
      </c>
      <c r="S383" s="5" t="s">
        <v>58</v>
      </c>
      <c r="T383" s="8">
        <v>0.7</v>
      </c>
      <c r="U383" s="5" t="s">
        <v>60</v>
      </c>
      <c r="V383" s="5" t="s">
        <v>61</v>
      </c>
      <c r="W383" s="7">
        <v>0</v>
      </c>
      <c r="X383" s="7">
        <v>8.0500000000000007</v>
      </c>
      <c r="Y383" s="7">
        <v>8.0500000000000007</v>
      </c>
      <c r="Z383" s="5" t="s">
        <v>54</v>
      </c>
    </row>
    <row r="384" spans="1:26" x14ac:dyDescent="0.25">
      <c r="A384" s="5">
        <v>2028645330</v>
      </c>
      <c r="B384" s="5" t="s">
        <v>919</v>
      </c>
      <c r="C384" s="5" t="s">
        <v>110</v>
      </c>
      <c r="D384" s="5" t="str">
        <f t="shared" si="17"/>
        <v>BORTKO WILLIAM</v>
      </c>
      <c r="E384" s="5" t="s">
        <v>52</v>
      </c>
      <c r="F384" s="5" t="s">
        <v>53</v>
      </c>
      <c r="G384" s="5" t="s">
        <v>54</v>
      </c>
      <c r="H384" s="5">
        <v>21421111</v>
      </c>
      <c r="I384" s="5" t="s">
        <v>469</v>
      </c>
      <c r="J384" s="5" t="s">
        <v>470</v>
      </c>
      <c r="K384" s="5" t="str">
        <f t="shared" si="15"/>
        <v>Kirk Tigue</v>
      </c>
      <c r="L384" s="5" t="s">
        <v>57</v>
      </c>
      <c r="M384" s="6">
        <v>45776</v>
      </c>
      <c r="N384" s="6">
        <v>45990</v>
      </c>
      <c r="O384" s="7">
        <v>48.54</v>
      </c>
      <c r="P384" s="5">
        <f t="shared" si="16"/>
        <v>7</v>
      </c>
      <c r="Q384" s="5" t="s">
        <v>264</v>
      </c>
      <c r="R384" s="5" t="s">
        <v>1086</v>
      </c>
      <c r="S384" s="5" t="s">
        <v>58</v>
      </c>
      <c r="T384" s="8">
        <v>0.7</v>
      </c>
      <c r="U384" s="5" t="s">
        <v>60</v>
      </c>
      <c r="V384" s="5" t="s">
        <v>61</v>
      </c>
      <c r="W384" s="7">
        <v>0</v>
      </c>
      <c r="X384" s="7">
        <v>33.979999999999997</v>
      </c>
      <c r="Y384" s="7">
        <v>33.979999999999997</v>
      </c>
      <c r="Z384" s="5" t="s">
        <v>54</v>
      </c>
    </row>
    <row r="385" spans="1:26" x14ac:dyDescent="0.25">
      <c r="A385" s="5">
        <v>2028461882</v>
      </c>
      <c r="B385" s="5" t="s">
        <v>627</v>
      </c>
      <c r="C385" s="5" t="s">
        <v>628</v>
      </c>
      <c r="D385" s="5" t="str">
        <f t="shared" si="17"/>
        <v>LAIT JULIA</v>
      </c>
      <c r="E385" s="5" t="s">
        <v>145</v>
      </c>
      <c r="F385" s="5" t="s">
        <v>53</v>
      </c>
      <c r="G385" s="5" t="s">
        <v>54</v>
      </c>
      <c r="H385" s="5">
        <v>16633294</v>
      </c>
      <c r="I385" s="5" t="s">
        <v>70</v>
      </c>
      <c r="J385" s="5" t="s">
        <v>183</v>
      </c>
      <c r="K385" s="5" t="str">
        <f t="shared" si="15"/>
        <v>Richard Yale</v>
      </c>
      <c r="L385" s="5" t="s">
        <v>57</v>
      </c>
      <c r="M385" s="6">
        <v>45772</v>
      </c>
      <c r="N385" s="6">
        <v>45986</v>
      </c>
      <c r="O385" s="7">
        <v>58.94</v>
      </c>
      <c r="P385" s="5">
        <f t="shared" si="16"/>
        <v>7</v>
      </c>
      <c r="Q385" s="5" t="s">
        <v>264</v>
      </c>
      <c r="R385" s="5" t="s">
        <v>1086</v>
      </c>
      <c r="S385" s="5" t="s">
        <v>58</v>
      </c>
      <c r="T385" s="8">
        <v>0.7</v>
      </c>
      <c r="U385" s="5" t="s">
        <v>60</v>
      </c>
      <c r="V385" s="5" t="s">
        <v>61</v>
      </c>
      <c r="W385" s="7">
        <v>0</v>
      </c>
      <c r="X385" s="7">
        <v>41.26</v>
      </c>
      <c r="Y385" s="7">
        <v>41.26</v>
      </c>
      <c r="Z385" s="5" t="s">
        <v>54</v>
      </c>
    </row>
    <row r="386" spans="1:26" x14ac:dyDescent="0.25">
      <c r="A386" s="5">
        <v>2028498799</v>
      </c>
      <c r="B386" s="5" t="s">
        <v>629</v>
      </c>
      <c r="C386" s="5" t="s">
        <v>232</v>
      </c>
      <c r="D386" s="5" t="str">
        <f t="shared" si="17"/>
        <v>VAWTER TIMOTHY</v>
      </c>
      <c r="E386" s="5" t="s">
        <v>179</v>
      </c>
      <c r="F386" s="5" t="s">
        <v>53</v>
      </c>
      <c r="G386" s="5" t="s">
        <v>54</v>
      </c>
      <c r="H386" s="5">
        <v>16633294</v>
      </c>
      <c r="I386" s="5" t="s">
        <v>70</v>
      </c>
      <c r="J386" s="5" t="s">
        <v>183</v>
      </c>
      <c r="K386" s="5" t="str">
        <f t="shared" ref="K386:K449" si="18">CONCATENATE(J386, " ",I386)</f>
        <v>Richard Yale</v>
      </c>
      <c r="L386" s="5" t="s">
        <v>57</v>
      </c>
      <c r="M386" s="6">
        <v>45772</v>
      </c>
      <c r="N386" s="6">
        <v>45986</v>
      </c>
      <c r="O386" s="7">
        <v>30.58</v>
      </c>
      <c r="P386" s="5">
        <f t="shared" ref="P386:P449" si="19">DATEDIF(M386,N386,"M")</f>
        <v>7</v>
      </c>
      <c r="Q386" s="5" t="s">
        <v>264</v>
      </c>
      <c r="R386" s="5" t="s">
        <v>1086</v>
      </c>
      <c r="S386" s="5" t="s">
        <v>58</v>
      </c>
      <c r="T386" s="8">
        <v>0.7</v>
      </c>
      <c r="U386" s="5" t="s">
        <v>60</v>
      </c>
      <c r="V386" s="5" t="s">
        <v>61</v>
      </c>
      <c r="W386" s="7">
        <v>0</v>
      </c>
      <c r="X386" s="7">
        <v>21.41</v>
      </c>
      <c r="Y386" s="7">
        <v>21.41</v>
      </c>
      <c r="Z386" s="5" t="s">
        <v>54</v>
      </c>
    </row>
    <row r="387" spans="1:26" x14ac:dyDescent="0.25">
      <c r="A387" s="5">
        <v>2028654838</v>
      </c>
      <c r="B387" s="5" t="s">
        <v>920</v>
      </c>
      <c r="C387" s="5" t="s">
        <v>921</v>
      </c>
      <c r="D387" s="5" t="str">
        <f t="shared" ref="D387:D450" si="20">CONCATENATE(B387, " ",C387)</f>
        <v>TARPLEY SHAUN</v>
      </c>
      <c r="E387" s="5" t="s">
        <v>52</v>
      </c>
      <c r="F387" s="5" t="s">
        <v>53</v>
      </c>
      <c r="G387" s="5" t="s">
        <v>54</v>
      </c>
      <c r="H387" s="5">
        <v>16633294</v>
      </c>
      <c r="I387" s="5" t="s">
        <v>70</v>
      </c>
      <c r="J387" s="5" t="s">
        <v>183</v>
      </c>
      <c r="K387" s="5" t="str">
        <f t="shared" si="18"/>
        <v>Richard Yale</v>
      </c>
      <c r="L387" s="5" t="s">
        <v>57</v>
      </c>
      <c r="M387" s="6">
        <v>45776</v>
      </c>
      <c r="N387" s="6">
        <v>45990</v>
      </c>
      <c r="O387" s="7">
        <v>55.61</v>
      </c>
      <c r="P387" s="5">
        <f t="shared" si="19"/>
        <v>7</v>
      </c>
      <c r="Q387" s="5" t="s">
        <v>264</v>
      </c>
      <c r="R387" s="5" t="s">
        <v>1086</v>
      </c>
      <c r="S387" s="5" t="s">
        <v>58</v>
      </c>
      <c r="T387" s="8">
        <v>0.7</v>
      </c>
      <c r="U387" s="5" t="s">
        <v>60</v>
      </c>
      <c r="V387" s="5" t="s">
        <v>61</v>
      </c>
      <c r="W387" s="7">
        <v>0</v>
      </c>
      <c r="X387" s="7">
        <v>38.93</v>
      </c>
      <c r="Y387" s="7">
        <v>38.93</v>
      </c>
      <c r="Z387" s="5" t="s">
        <v>54</v>
      </c>
    </row>
    <row r="388" spans="1:26" x14ac:dyDescent="0.25">
      <c r="A388" s="5">
        <v>2028070290</v>
      </c>
      <c r="B388" s="5" t="s">
        <v>1030</v>
      </c>
      <c r="C388" s="5" t="s">
        <v>679</v>
      </c>
      <c r="D388" s="5" t="str">
        <f t="shared" si="20"/>
        <v>GABOURY SANDRA</v>
      </c>
      <c r="E388" s="5" t="s">
        <v>52</v>
      </c>
      <c r="F388" s="5" t="s">
        <v>53</v>
      </c>
      <c r="G388" s="5" t="s">
        <v>54</v>
      </c>
      <c r="H388" s="5">
        <v>16912722</v>
      </c>
      <c r="I388" s="5" t="s">
        <v>289</v>
      </c>
      <c r="J388" s="5" t="s">
        <v>290</v>
      </c>
      <c r="K388" s="5" t="str">
        <f t="shared" si="18"/>
        <v>ANDREA PETRUNGARO</v>
      </c>
      <c r="L388" s="5" t="s">
        <v>57</v>
      </c>
      <c r="M388" s="6">
        <v>45744</v>
      </c>
      <c r="N388" s="6">
        <v>45989</v>
      </c>
      <c r="O388" s="7">
        <v>95.41</v>
      </c>
      <c r="P388" s="5">
        <f t="shared" si="19"/>
        <v>8</v>
      </c>
      <c r="Q388" s="5" t="s">
        <v>264</v>
      </c>
      <c r="R388" s="5" t="s">
        <v>1086</v>
      </c>
      <c r="S388" s="5" t="s">
        <v>58</v>
      </c>
      <c r="T388" s="8">
        <v>0.7</v>
      </c>
      <c r="U388" s="5" t="s">
        <v>60</v>
      </c>
      <c r="V388" s="5" t="s">
        <v>61</v>
      </c>
      <c r="W388" s="7">
        <v>0</v>
      </c>
      <c r="X388" s="7">
        <v>66.790000000000006</v>
      </c>
      <c r="Y388" s="7">
        <v>66.790000000000006</v>
      </c>
      <c r="Z388" s="5" t="s">
        <v>54</v>
      </c>
    </row>
    <row r="389" spans="1:26" x14ac:dyDescent="0.25">
      <c r="A389" s="5">
        <v>2028005041</v>
      </c>
      <c r="B389" s="5" t="s">
        <v>904</v>
      </c>
      <c r="C389" s="5" t="s">
        <v>905</v>
      </c>
      <c r="D389" s="5" t="str">
        <f t="shared" si="20"/>
        <v>FERNANDEZ MELVIN</v>
      </c>
      <c r="E389" s="5" t="s">
        <v>69</v>
      </c>
      <c r="F389" s="5" t="s">
        <v>53</v>
      </c>
      <c r="G389" s="5" t="s">
        <v>54</v>
      </c>
      <c r="H389" s="5">
        <v>7470776</v>
      </c>
      <c r="I389" s="5" t="s">
        <v>74</v>
      </c>
      <c r="J389" s="5" t="s">
        <v>75</v>
      </c>
      <c r="K389" s="5" t="str">
        <f t="shared" si="18"/>
        <v>Andrew Choi</v>
      </c>
      <c r="L389" s="5" t="s">
        <v>57</v>
      </c>
      <c r="M389" s="6">
        <v>45741</v>
      </c>
      <c r="N389" s="6">
        <v>45986</v>
      </c>
      <c r="O389" s="7">
        <v>15.75</v>
      </c>
      <c r="P389" s="5">
        <f t="shared" si="19"/>
        <v>8</v>
      </c>
      <c r="Q389" s="5" t="s">
        <v>264</v>
      </c>
      <c r="R389" s="5" t="s">
        <v>1086</v>
      </c>
      <c r="S389" s="5" t="s">
        <v>58</v>
      </c>
      <c r="T389" s="8">
        <v>0.7</v>
      </c>
      <c r="U389" s="5" t="s">
        <v>60</v>
      </c>
      <c r="V389" s="5" t="s">
        <v>61</v>
      </c>
      <c r="W389" s="7">
        <v>0</v>
      </c>
      <c r="X389" s="7">
        <v>11.02</v>
      </c>
      <c r="Y389" s="7">
        <v>11.02</v>
      </c>
      <c r="Z389" s="5" t="s">
        <v>54</v>
      </c>
    </row>
    <row r="390" spans="1:26" x14ac:dyDescent="0.25">
      <c r="A390" s="5">
        <v>2028061837</v>
      </c>
      <c r="B390" s="5" t="s">
        <v>908</v>
      </c>
      <c r="C390" s="5" t="s">
        <v>67</v>
      </c>
      <c r="D390" s="5" t="str">
        <f t="shared" si="20"/>
        <v>TRIBUZIO GIUSEPPE</v>
      </c>
      <c r="E390" s="5" t="s">
        <v>69</v>
      </c>
      <c r="F390" s="5" t="s">
        <v>53</v>
      </c>
      <c r="G390" s="5" t="s">
        <v>54</v>
      </c>
      <c r="H390" s="5">
        <v>7470776</v>
      </c>
      <c r="I390" s="5" t="s">
        <v>74</v>
      </c>
      <c r="J390" s="5" t="s">
        <v>75</v>
      </c>
      <c r="K390" s="5" t="str">
        <f t="shared" si="18"/>
        <v>Andrew Choi</v>
      </c>
      <c r="L390" s="5" t="s">
        <v>57</v>
      </c>
      <c r="M390" s="6">
        <v>45748</v>
      </c>
      <c r="N390" s="6">
        <v>45992</v>
      </c>
      <c r="O390" s="7">
        <v>11.5</v>
      </c>
      <c r="P390" s="5">
        <f t="shared" si="19"/>
        <v>8</v>
      </c>
      <c r="Q390" s="5" t="s">
        <v>264</v>
      </c>
      <c r="R390" s="5" t="s">
        <v>1086</v>
      </c>
      <c r="S390" s="5" t="s">
        <v>58</v>
      </c>
      <c r="T390" s="8">
        <v>0.7</v>
      </c>
      <c r="U390" s="5" t="s">
        <v>60</v>
      </c>
      <c r="V390" s="5" t="s">
        <v>61</v>
      </c>
      <c r="W390" s="7">
        <v>0</v>
      </c>
      <c r="X390" s="7">
        <v>8.0500000000000007</v>
      </c>
      <c r="Y390" s="7">
        <v>8.0500000000000007</v>
      </c>
      <c r="Z390" s="5" t="s">
        <v>54</v>
      </c>
    </row>
    <row r="391" spans="1:26" x14ac:dyDescent="0.25">
      <c r="A391" s="5">
        <v>2027996023</v>
      </c>
      <c r="B391" s="5" t="s">
        <v>103</v>
      </c>
      <c r="C391" s="5" t="s">
        <v>621</v>
      </c>
      <c r="D391" s="5" t="str">
        <f t="shared" si="20"/>
        <v>THOMAS CAMERON</v>
      </c>
      <c r="E391" s="5" t="s">
        <v>52</v>
      </c>
      <c r="F391" s="5" t="s">
        <v>53</v>
      </c>
      <c r="G391" s="5" t="s">
        <v>54</v>
      </c>
      <c r="H391" s="5">
        <v>19586992</v>
      </c>
      <c r="I391" s="5" t="s">
        <v>398</v>
      </c>
      <c r="J391" s="5" t="s">
        <v>399</v>
      </c>
      <c r="K391" s="5" t="str">
        <f t="shared" si="18"/>
        <v>Barry Schumann</v>
      </c>
      <c r="L391" s="5" t="s">
        <v>57</v>
      </c>
      <c r="M391" s="6">
        <v>45743</v>
      </c>
      <c r="N391" s="6">
        <v>45988</v>
      </c>
      <c r="O391" s="7">
        <v>18.350000000000001</v>
      </c>
      <c r="P391" s="5">
        <f t="shared" si="19"/>
        <v>8</v>
      </c>
      <c r="Q391" s="5" t="s">
        <v>264</v>
      </c>
      <c r="R391" s="5" t="s">
        <v>1086</v>
      </c>
      <c r="S391" s="5" t="s">
        <v>58</v>
      </c>
      <c r="T391" s="8">
        <v>0.7</v>
      </c>
      <c r="U391" s="5" t="s">
        <v>60</v>
      </c>
      <c r="V391" s="5" t="s">
        <v>61</v>
      </c>
      <c r="W391" s="7">
        <v>0</v>
      </c>
      <c r="X391" s="7">
        <v>12.84</v>
      </c>
      <c r="Y391" s="7">
        <v>12.84</v>
      </c>
      <c r="Z391" s="5" t="s">
        <v>54</v>
      </c>
    </row>
    <row r="392" spans="1:26" x14ac:dyDescent="0.25">
      <c r="A392" s="5">
        <v>2028076164</v>
      </c>
      <c r="B392" s="5" t="s">
        <v>910</v>
      </c>
      <c r="C392" s="5" t="s">
        <v>911</v>
      </c>
      <c r="D392" s="5" t="str">
        <f t="shared" si="20"/>
        <v>BROMLEY MONIKA</v>
      </c>
      <c r="E392" s="5" t="s">
        <v>261</v>
      </c>
      <c r="F392" s="5" t="s">
        <v>53</v>
      </c>
      <c r="G392" s="5" t="s">
        <v>54</v>
      </c>
      <c r="H392" s="5">
        <v>19586992</v>
      </c>
      <c r="I392" s="5" t="s">
        <v>398</v>
      </c>
      <c r="J392" s="5" t="s">
        <v>399</v>
      </c>
      <c r="K392" s="5" t="str">
        <f t="shared" si="18"/>
        <v>Barry Schumann</v>
      </c>
      <c r="L392" s="5" t="s">
        <v>57</v>
      </c>
      <c r="M392" s="6">
        <v>45748</v>
      </c>
      <c r="N392" s="6">
        <v>45992</v>
      </c>
      <c r="O392" s="7">
        <v>101.99</v>
      </c>
      <c r="P392" s="5">
        <f t="shared" si="19"/>
        <v>8</v>
      </c>
      <c r="Q392" s="5" t="s">
        <v>264</v>
      </c>
      <c r="R392" s="5" t="s">
        <v>1086</v>
      </c>
      <c r="S392" s="5" t="s">
        <v>58</v>
      </c>
      <c r="T392" s="8">
        <v>0.7</v>
      </c>
      <c r="U392" s="5" t="s">
        <v>60</v>
      </c>
      <c r="V392" s="5" t="s">
        <v>61</v>
      </c>
      <c r="W392" s="7">
        <v>0</v>
      </c>
      <c r="X392" s="7">
        <v>71.39</v>
      </c>
      <c r="Y392" s="7">
        <v>71.39</v>
      </c>
      <c r="Z392" s="5" t="s">
        <v>54</v>
      </c>
    </row>
    <row r="393" spans="1:26" x14ac:dyDescent="0.25">
      <c r="A393" s="5">
        <v>2028149309</v>
      </c>
      <c r="B393" s="5" t="s">
        <v>626</v>
      </c>
      <c r="C393" s="5" t="s">
        <v>98</v>
      </c>
      <c r="D393" s="5" t="str">
        <f t="shared" si="20"/>
        <v>LATTANZIO MICHAEL</v>
      </c>
      <c r="E393" s="5" t="s">
        <v>69</v>
      </c>
      <c r="F393" s="5" t="s">
        <v>53</v>
      </c>
      <c r="G393" s="5" t="s">
        <v>54</v>
      </c>
      <c r="H393" s="5">
        <v>19586992</v>
      </c>
      <c r="I393" s="5" t="s">
        <v>398</v>
      </c>
      <c r="J393" s="5" t="s">
        <v>399</v>
      </c>
      <c r="K393" s="5" t="str">
        <f t="shared" si="18"/>
        <v>Barry Schumann</v>
      </c>
      <c r="L393" s="5" t="s">
        <v>57</v>
      </c>
      <c r="M393" s="6">
        <v>45748</v>
      </c>
      <c r="N393" s="6">
        <v>45992</v>
      </c>
      <c r="O393" s="7">
        <v>54.22</v>
      </c>
      <c r="P393" s="5">
        <f t="shared" si="19"/>
        <v>8</v>
      </c>
      <c r="Q393" s="5" t="s">
        <v>264</v>
      </c>
      <c r="R393" s="5" t="s">
        <v>1086</v>
      </c>
      <c r="S393" s="5" t="s">
        <v>58</v>
      </c>
      <c r="T393" s="8">
        <v>0.7</v>
      </c>
      <c r="U393" s="5" t="s">
        <v>60</v>
      </c>
      <c r="V393" s="5" t="s">
        <v>61</v>
      </c>
      <c r="W393" s="7">
        <v>0</v>
      </c>
      <c r="X393" s="7">
        <v>37.950000000000003</v>
      </c>
      <c r="Y393" s="7">
        <v>37.950000000000003</v>
      </c>
      <c r="Z393" s="5" t="s">
        <v>54</v>
      </c>
    </row>
    <row r="394" spans="1:26" x14ac:dyDescent="0.25">
      <c r="A394" s="5">
        <v>2028143928</v>
      </c>
      <c r="B394" s="5" t="s">
        <v>1032</v>
      </c>
      <c r="C394" s="5" t="s">
        <v>83</v>
      </c>
      <c r="D394" s="5" t="str">
        <f t="shared" si="20"/>
        <v>SHUST GARY</v>
      </c>
      <c r="E394" s="5" t="s">
        <v>69</v>
      </c>
      <c r="F394" s="5" t="s">
        <v>53</v>
      </c>
      <c r="G394" s="5" t="s">
        <v>54</v>
      </c>
      <c r="H394" s="5">
        <v>21104854</v>
      </c>
      <c r="I394" s="5" t="s">
        <v>973</v>
      </c>
      <c r="J394" s="5" t="s">
        <v>413</v>
      </c>
      <c r="K394" s="5" t="str">
        <f t="shared" si="18"/>
        <v>BRIAN STROHMAN</v>
      </c>
      <c r="L394" s="5" t="s">
        <v>57</v>
      </c>
      <c r="M394" s="6">
        <v>45748</v>
      </c>
      <c r="N394" s="6">
        <v>45992</v>
      </c>
      <c r="O394" s="7">
        <v>198.36</v>
      </c>
      <c r="P394" s="5">
        <f t="shared" si="19"/>
        <v>8</v>
      </c>
      <c r="Q394" s="5" t="s">
        <v>264</v>
      </c>
      <c r="R394" s="5" t="s">
        <v>1086</v>
      </c>
      <c r="S394" s="5" t="s">
        <v>58</v>
      </c>
      <c r="T394" s="8">
        <v>0.7</v>
      </c>
      <c r="U394" s="5" t="s">
        <v>60</v>
      </c>
      <c r="V394" s="5" t="s">
        <v>61</v>
      </c>
      <c r="W394" s="7">
        <v>0</v>
      </c>
      <c r="X394" s="7">
        <v>138.85</v>
      </c>
      <c r="Y394" s="7">
        <v>138.85</v>
      </c>
      <c r="Z394" s="5" t="s">
        <v>54</v>
      </c>
    </row>
    <row r="395" spans="1:26" x14ac:dyDescent="0.25">
      <c r="A395" s="5">
        <v>2027933174</v>
      </c>
      <c r="B395" s="5" t="s">
        <v>618</v>
      </c>
      <c r="C395" s="5" t="s">
        <v>612</v>
      </c>
      <c r="D395" s="5" t="str">
        <f t="shared" si="20"/>
        <v>COTY ANGELA</v>
      </c>
      <c r="E395" s="5" t="s">
        <v>145</v>
      </c>
      <c r="F395" s="5" t="s">
        <v>53</v>
      </c>
      <c r="G395" s="5" t="s">
        <v>54</v>
      </c>
      <c r="H395" s="5">
        <v>8814784</v>
      </c>
      <c r="I395" s="5" t="s">
        <v>147</v>
      </c>
      <c r="J395" s="5" t="s">
        <v>148</v>
      </c>
      <c r="K395" s="5" t="str">
        <f t="shared" si="18"/>
        <v>FRANK LISKOVEC</v>
      </c>
      <c r="L395" s="5" t="s">
        <v>57</v>
      </c>
      <c r="M395" s="6">
        <v>45748</v>
      </c>
      <c r="N395" s="6">
        <v>45992</v>
      </c>
      <c r="O395" s="7">
        <v>46.54</v>
      </c>
      <c r="P395" s="5">
        <f t="shared" si="19"/>
        <v>8</v>
      </c>
      <c r="Q395" s="5" t="s">
        <v>264</v>
      </c>
      <c r="R395" s="5" t="s">
        <v>1086</v>
      </c>
      <c r="S395" s="5" t="s">
        <v>58</v>
      </c>
      <c r="T395" s="8">
        <v>0.7</v>
      </c>
      <c r="U395" s="5" t="s">
        <v>60</v>
      </c>
      <c r="V395" s="5" t="s">
        <v>61</v>
      </c>
      <c r="W395" s="7">
        <v>0</v>
      </c>
      <c r="X395" s="7">
        <v>32.58</v>
      </c>
      <c r="Y395" s="7">
        <v>32.58</v>
      </c>
      <c r="Z395" s="5" t="s">
        <v>54</v>
      </c>
    </row>
    <row r="396" spans="1:26" x14ac:dyDescent="0.25">
      <c r="A396" s="5">
        <v>2028003033</v>
      </c>
      <c r="B396" s="5" t="s">
        <v>1019</v>
      </c>
      <c r="C396" s="5" t="s">
        <v>308</v>
      </c>
      <c r="D396" s="5" t="str">
        <f t="shared" si="20"/>
        <v>ZANE ELIZABETH</v>
      </c>
      <c r="E396" s="5" t="s">
        <v>69</v>
      </c>
      <c r="F396" s="5" t="s">
        <v>53</v>
      </c>
      <c r="G396" s="5" t="s">
        <v>54</v>
      </c>
      <c r="H396" s="5">
        <v>8814784</v>
      </c>
      <c r="I396" s="5" t="s">
        <v>147</v>
      </c>
      <c r="J396" s="5" t="s">
        <v>148</v>
      </c>
      <c r="K396" s="5" t="str">
        <f t="shared" si="18"/>
        <v>FRANK LISKOVEC</v>
      </c>
      <c r="L396" s="5" t="s">
        <v>57</v>
      </c>
      <c r="M396" s="6">
        <v>45748</v>
      </c>
      <c r="N396" s="6">
        <v>45992</v>
      </c>
      <c r="O396" s="7">
        <v>66.36</v>
      </c>
      <c r="P396" s="5">
        <f t="shared" si="19"/>
        <v>8</v>
      </c>
      <c r="Q396" s="5" t="s">
        <v>264</v>
      </c>
      <c r="R396" s="5" t="s">
        <v>1086</v>
      </c>
      <c r="S396" s="5" t="s">
        <v>58</v>
      </c>
      <c r="T396" s="8">
        <v>0.7</v>
      </c>
      <c r="U396" s="5" t="s">
        <v>60</v>
      </c>
      <c r="V396" s="5" t="s">
        <v>61</v>
      </c>
      <c r="W396" s="7">
        <v>0</v>
      </c>
      <c r="X396" s="7">
        <v>46.45</v>
      </c>
      <c r="Y396" s="7">
        <v>46.45</v>
      </c>
      <c r="Z396" s="5" t="s">
        <v>54</v>
      </c>
    </row>
    <row r="397" spans="1:26" x14ac:dyDescent="0.25">
      <c r="A397" s="5">
        <v>2028041239</v>
      </c>
      <c r="B397" s="5" t="s">
        <v>1026</v>
      </c>
      <c r="C397" s="5" t="s">
        <v>1027</v>
      </c>
      <c r="D397" s="5" t="str">
        <f t="shared" si="20"/>
        <v>DEJESUS KATHY</v>
      </c>
      <c r="E397" s="5" t="s">
        <v>69</v>
      </c>
      <c r="F397" s="5" t="s">
        <v>53</v>
      </c>
      <c r="G397" s="5" t="s">
        <v>54</v>
      </c>
      <c r="H397" s="5">
        <v>8814784</v>
      </c>
      <c r="I397" s="5" t="s">
        <v>147</v>
      </c>
      <c r="J397" s="5" t="s">
        <v>148</v>
      </c>
      <c r="K397" s="5" t="str">
        <f t="shared" si="18"/>
        <v>FRANK LISKOVEC</v>
      </c>
      <c r="L397" s="5" t="s">
        <v>57</v>
      </c>
      <c r="M397" s="6">
        <v>45748</v>
      </c>
      <c r="N397" s="6">
        <v>45992</v>
      </c>
      <c r="O397" s="7">
        <v>66.36</v>
      </c>
      <c r="P397" s="5">
        <f t="shared" si="19"/>
        <v>8</v>
      </c>
      <c r="Q397" s="5" t="s">
        <v>264</v>
      </c>
      <c r="R397" s="5" t="s">
        <v>1086</v>
      </c>
      <c r="S397" s="5" t="s">
        <v>58</v>
      </c>
      <c r="T397" s="8">
        <v>0.7</v>
      </c>
      <c r="U397" s="5" t="s">
        <v>60</v>
      </c>
      <c r="V397" s="5" t="s">
        <v>61</v>
      </c>
      <c r="W397" s="7">
        <v>0</v>
      </c>
      <c r="X397" s="7">
        <v>46.45</v>
      </c>
      <c r="Y397" s="7">
        <v>46.45</v>
      </c>
      <c r="Z397" s="5" t="s">
        <v>54</v>
      </c>
    </row>
    <row r="398" spans="1:26" x14ac:dyDescent="0.25">
      <c r="A398" s="5">
        <v>2027920263</v>
      </c>
      <c r="B398" s="5" t="s">
        <v>616</v>
      </c>
      <c r="C398" s="5" t="s">
        <v>617</v>
      </c>
      <c r="D398" s="5" t="str">
        <f t="shared" si="20"/>
        <v>LUTES NANCY</v>
      </c>
      <c r="E398" s="5" t="s">
        <v>92</v>
      </c>
      <c r="F398" s="5" t="s">
        <v>53</v>
      </c>
      <c r="G398" s="5" t="s">
        <v>54</v>
      </c>
      <c r="H398" s="5">
        <v>16865615</v>
      </c>
      <c r="I398" s="5" t="s">
        <v>93</v>
      </c>
      <c r="J398" s="5" t="s">
        <v>94</v>
      </c>
      <c r="K398" s="5" t="str">
        <f t="shared" si="18"/>
        <v>Heather Geske</v>
      </c>
      <c r="L398" s="5" t="s">
        <v>57</v>
      </c>
      <c r="M398" s="6">
        <v>45744</v>
      </c>
      <c r="N398" s="6">
        <v>45989</v>
      </c>
      <c r="O398" s="7">
        <v>9.1</v>
      </c>
      <c r="P398" s="5">
        <f t="shared" si="19"/>
        <v>8</v>
      </c>
      <c r="Q398" s="5" t="s">
        <v>264</v>
      </c>
      <c r="R398" s="5" t="s">
        <v>1086</v>
      </c>
      <c r="S398" s="5" t="s">
        <v>58</v>
      </c>
      <c r="T398" s="8">
        <v>0.7</v>
      </c>
      <c r="U398" s="5" t="s">
        <v>60</v>
      </c>
      <c r="V398" s="5" t="s">
        <v>61</v>
      </c>
      <c r="W398" s="7">
        <v>0</v>
      </c>
      <c r="X398" s="7">
        <v>6.37</v>
      </c>
      <c r="Y398" s="7">
        <v>6.37</v>
      </c>
      <c r="Z398" s="5" t="s">
        <v>54</v>
      </c>
    </row>
    <row r="399" spans="1:26" x14ac:dyDescent="0.25">
      <c r="A399" s="5">
        <v>2027936971</v>
      </c>
      <c r="B399" s="5" t="s">
        <v>619</v>
      </c>
      <c r="C399" s="5" t="s">
        <v>620</v>
      </c>
      <c r="D399" s="5" t="str">
        <f t="shared" si="20"/>
        <v>SKIPWORTH BECKY</v>
      </c>
      <c r="E399" s="5" t="s">
        <v>92</v>
      </c>
      <c r="F399" s="5" t="s">
        <v>53</v>
      </c>
      <c r="G399" s="5" t="s">
        <v>54</v>
      </c>
      <c r="H399" s="5">
        <v>16865615</v>
      </c>
      <c r="I399" s="5" t="s">
        <v>93</v>
      </c>
      <c r="J399" s="5" t="s">
        <v>94</v>
      </c>
      <c r="K399" s="5" t="str">
        <f t="shared" si="18"/>
        <v>Heather Geske</v>
      </c>
      <c r="L399" s="5" t="s">
        <v>57</v>
      </c>
      <c r="M399" s="6">
        <v>45748</v>
      </c>
      <c r="N399" s="6">
        <v>45992</v>
      </c>
      <c r="O399" s="7">
        <v>27.38</v>
      </c>
      <c r="P399" s="5">
        <f t="shared" si="19"/>
        <v>8</v>
      </c>
      <c r="Q399" s="5" t="s">
        <v>264</v>
      </c>
      <c r="R399" s="5" t="s">
        <v>1086</v>
      </c>
      <c r="S399" s="5" t="s">
        <v>58</v>
      </c>
      <c r="T399" s="8">
        <v>0.7</v>
      </c>
      <c r="U399" s="5" t="s">
        <v>60</v>
      </c>
      <c r="V399" s="5" t="s">
        <v>61</v>
      </c>
      <c r="W399" s="7">
        <v>0</v>
      </c>
      <c r="X399" s="7">
        <v>19.170000000000002</v>
      </c>
      <c r="Y399" s="7">
        <v>19.170000000000002</v>
      </c>
      <c r="Z399" s="5" t="s">
        <v>54</v>
      </c>
    </row>
    <row r="400" spans="1:26" x14ac:dyDescent="0.25">
      <c r="A400" s="5">
        <v>2028004035</v>
      </c>
      <c r="B400" s="5" t="s">
        <v>622</v>
      </c>
      <c r="C400" s="5" t="s">
        <v>623</v>
      </c>
      <c r="D400" s="5" t="str">
        <f t="shared" si="20"/>
        <v>LOYA BRENDA</v>
      </c>
      <c r="E400" s="5" t="s">
        <v>92</v>
      </c>
      <c r="F400" s="5" t="s">
        <v>53</v>
      </c>
      <c r="G400" s="5" t="s">
        <v>54</v>
      </c>
      <c r="H400" s="5">
        <v>16865615</v>
      </c>
      <c r="I400" s="5" t="s">
        <v>93</v>
      </c>
      <c r="J400" s="5" t="s">
        <v>94</v>
      </c>
      <c r="K400" s="5" t="str">
        <f t="shared" si="18"/>
        <v>Heather Geske</v>
      </c>
      <c r="L400" s="5" t="s">
        <v>57</v>
      </c>
      <c r="M400" s="6">
        <v>45741</v>
      </c>
      <c r="N400" s="6">
        <v>45986</v>
      </c>
      <c r="O400" s="7">
        <v>9.1</v>
      </c>
      <c r="P400" s="5">
        <f t="shared" si="19"/>
        <v>8</v>
      </c>
      <c r="Q400" s="5" t="s">
        <v>264</v>
      </c>
      <c r="R400" s="5" t="s">
        <v>1086</v>
      </c>
      <c r="S400" s="5" t="s">
        <v>58</v>
      </c>
      <c r="T400" s="8">
        <v>0.7</v>
      </c>
      <c r="U400" s="5" t="s">
        <v>60</v>
      </c>
      <c r="V400" s="5" t="s">
        <v>61</v>
      </c>
      <c r="W400" s="7">
        <v>0</v>
      </c>
      <c r="X400" s="7">
        <v>6.37</v>
      </c>
      <c r="Y400" s="7">
        <v>6.37</v>
      </c>
      <c r="Z400" s="5" t="s">
        <v>54</v>
      </c>
    </row>
    <row r="401" spans="1:26" x14ac:dyDescent="0.25">
      <c r="A401" s="5">
        <v>2027980063</v>
      </c>
      <c r="B401" s="5" t="s">
        <v>903</v>
      </c>
      <c r="C401" s="5" t="s">
        <v>342</v>
      </c>
      <c r="D401" s="5" t="str">
        <f t="shared" si="20"/>
        <v>MARVIN STEVEN</v>
      </c>
      <c r="E401" s="5" t="s">
        <v>69</v>
      </c>
      <c r="F401" s="5" t="s">
        <v>53</v>
      </c>
      <c r="G401" s="5" t="s">
        <v>54</v>
      </c>
      <c r="H401" s="5" t="s">
        <v>1080</v>
      </c>
      <c r="I401" s="5" t="s">
        <v>175</v>
      </c>
      <c r="J401" s="5" t="s">
        <v>176</v>
      </c>
      <c r="K401" s="5" t="str">
        <f t="shared" si="18"/>
        <v>Jake Shulman</v>
      </c>
      <c r="L401" s="5" t="s">
        <v>57</v>
      </c>
      <c r="M401" s="6">
        <v>45748</v>
      </c>
      <c r="N401" s="6">
        <v>45992</v>
      </c>
      <c r="O401" s="7">
        <v>31.6</v>
      </c>
      <c r="P401" s="5">
        <f t="shared" si="19"/>
        <v>8</v>
      </c>
      <c r="Q401" s="5" t="s">
        <v>264</v>
      </c>
      <c r="R401" s="5" t="s">
        <v>1086</v>
      </c>
      <c r="S401" s="5" t="s">
        <v>58</v>
      </c>
      <c r="T401" s="8">
        <v>0.7</v>
      </c>
      <c r="U401" s="5" t="s">
        <v>60</v>
      </c>
      <c r="V401" s="5" t="s">
        <v>61</v>
      </c>
      <c r="W401" s="7">
        <v>0</v>
      </c>
      <c r="X401" s="7">
        <v>22.12</v>
      </c>
      <c r="Y401" s="7">
        <v>22.12</v>
      </c>
      <c r="Z401" s="5" t="s">
        <v>54</v>
      </c>
    </row>
    <row r="402" spans="1:26" x14ac:dyDescent="0.25">
      <c r="A402" s="5">
        <v>2028019977</v>
      </c>
      <c r="B402" s="5" t="s">
        <v>557</v>
      </c>
      <c r="C402" s="5" t="s">
        <v>56</v>
      </c>
      <c r="D402" s="5" t="str">
        <f t="shared" si="20"/>
        <v>BROWN RYAN</v>
      </c>
      <c r="E402" s="5" t="s">
        <v>261</v>
      </c>
      <c r="F402" s="5" t="s">
        <v>53</v>
      </c>
      <c r="G402" s="5" t="s">
        <v>54</v>
      </c>
      <c r="H402" s="5">
        <v>21421111</v>
      </c>
      <c r="I402" s="5" t="s">
        <v>469</v>
      </c>
      <c r="J402" s="5" t="s">
        <v>470</v>
      </c>
      <c r="K402" s="5" t="str">
        <f t="shared" si="18"/>
        <v>Kirk Tigue</v>
      </c>
      <c r="L402" s="5" t="s">
        <v>57</v>
      </c>
      <c r="M402" s="6">
        <v>45742</v>
      </c>
      <c r="N402" s="6">
        <v>45987</v>
      </c>
      <c r="O402" s="7">
        <v>128.80000000000001</v>
      </c>
      <c r="P402" s="5">
        <f t="shared" si="19"/>
        <v>8</v>
      </c>
      <c r="Q402" s="5" t="s">
        <v>264</v>
      </c>
      <c r="R402" s="5" t="s">
        <v>1086</v>
      </c>
      <c r="S402" s="5" t="s">
        <v>58</v>
      </c>
      <c r="T402" s="8">
        <v>0.7</v>
      </c>
      <c r="U402" s="5" t="s">
        <v>60</v>
      </c>
      <c r="V402" s="5" t="s">
        <v>61</v>
      </c>
      <c r="W402" s="7">
        <v>0</v>
      </c>
      <c r="X402" s="7">
        <v>90.16</v>
      </c>
      <c r="Y402" s="7">
        <v>90.16</v>
      </c>
      <c r="Z402" s="5" t="s">
        <v>54</v>
      </c>
    </row>
    <row r="403" spans="1:26" x14ac:dyDescent="0.25">
      <c r="A403" s="5">
        <v>2028139274</v>
      </c>
      <c r="B403" s="5" t="s">
        <v>915</v>
      </c>
      <c r="C403" s="5" t="s">
        <v>312</v>
      </c>
      <c r="D403" s="5" t="str">
        <f t="shared" si="20"/>
        <v>CAUSE JOHN</v>
      </c>
      <c r="E403" s="5" t="s">
        <v>261</v>
      </c>
      <c r="F403" s="5" t="s">
        <v>53</v>
      </c>
      <c r="G403" s="5" t="s">
        <v>54</v>
      </c>
      <c r="H403" s="5">
        <v>21421111</v>
      </c>
      <c r="I403" s="5" t="s">
        <v>469</v>
      </c>
      <c r="J403" s="5" t="s">
        <v>470</v>
      </c>
      <c r="K403" s="5" t="str">
        <f t="shared" si="18"/>
        <v>Kirk Tigue</v>
      </c>
      <c r="L403" s="5" t="s">
        <v>57</v>
      </c>
      <c r="M403" s="6">
        <v>45748</v>
      </c>
      <c r="N403" s="6">
        <v>45992</v>
      </c>
      <c r="O403" s="7">
        <v>33.54</v>
      </c>
      <c r="P403" s="5">
        <f t="shared" si="19"/>
        <v>8</v>
      </c>
      <c r="Q403" s="5" t="s">
        <v>264</v>
      </c>
      <c r="R403" s="5" t="s">
        <v>1086</v>
      </c>
      <c r="S403" s="5" t="s">
        <v>58</v>
      </c>
      <c r="T403" s="8">
        <v>0.7</v>
      </c>
      <c r="U403" s="5" t="s">
        <v>60</v>
      </c>
      <c r="V403" s="5" t="s">
        <v>61</v>
      </c>
      <c r="W403" s="7">
        <v>0</v>
      </c>
      <c r="X403" s="7">
        <v>23.48</v>
      </c>
      <c r="Y403" s="7">
        <v>23.48</v>
      </c>
      <c r="Z403" s="5" t="s">
        <v>54</v>
      </c>
    </row>
    <row r="404" spans="1:26" x14ac:dyDescent="0.25">
      <c r="A404" s="5">
        <v>2027741055</v>
      </c>
      <c r="B404" s="5" t="s">
        <v>608</v>
      </c>
      <c r="C404" s="5" t="s">
        <v>609</v>
      </c>
      <c r="D404" s="5" t="str">
        <f t="shared" si="20"/>
        <v>CHYA JOSIAH</v>
      </c>
      <c r="E404" s="5" t="s">
        <v>69</v>
      </c>
      <c r="F404" s="5" t="s">
        <v>53</v>
      </c>
      <c r="G404" s="5" t="s">
        <v>54</v>
      </c>
      <c r="H404" s="5">
        <v>18828278</v>
      </c>
      <c r="I404" s="5" t="s">
        <v>97</v>
      </c>
      <c r="J404" s="5" t="s">
        <v>98</v>
      </c>
      <c r="K404" s="5" t="str">
        <f t="shared" si="18"/>
        <v>MICHAEL DUNAVANT</v>
      </c>
      <c r="L404" s="5" t="s">
        <v>57</v>
      </c>
      <c r="M404" s="6">
        <v>45748</v>
      </c>
      <c r="N404" s="6">
        <v>45992</v>
      </c>
      <c r="O404" s="7">
        <v>46.46</v>
      </c>
      <c r="P404" s="5">
        <f t="shared" si="19"/>
        <v>8</v>
      </c>
      <c r="Q404" s="5" t="s">
        <v>264</v>
      </c>
      <c r="R404" s="5" t="s">
        <v>1086</v>
      </c>
      <c r="S404" s="5" t="s">
        <v>58</v>
      </c>
      <c r="T404" s="8">
        <v>0.7</v>
      </c>
      <c r="U404" s="5" t="s">
        <v>60</v>
      </c>
      <c r="V404" s="5" t="s">
        <v>61</v>
      </c>
      <c r="W404" s="7">
        <v>0</v>
      </c>
      <c r="X404" s="7">
        <v>32.520000000000003</v>
      </c>
      <c r="Y404" s="7">
        <v>32.520000000000003</v>
      </c>
      <c r="Z404" s="5" t="s">
        <v>54</v>
      </c>
    </row>
    <row r="405" spans="1:26" x14ac:dyDescent="0.25">
      <c r="A405" s="5">
        <v>2027891947</v>
      </c>
      <c r="B405" s="5" t="s">
        <v>1016</v>
      </c>
      <c r="C405" s="5" t="s">
        <v>1017</v>
      </c>
      <c r="D405" s="5" t="str">
        <f t="shared" si="20"/>
        <v>ROSENAU JILL</v>
      </c>
      <c r="E405" s="5" t="s">
        <v>69</v>
      </c>
      <c r="F405" s="5" t="s">
        <v>53</v>
      </c>
      <c r="G405" s="5" t="s">
        <v>54</v>
      </c>
      <c r="H405" s="5">
        <v>18828278</v>
      </c>
      <c r="I405" s="5" t="s">
        <v>97</v>
      </c>
      <c r="J405" s="5" t="s">
        <v>98</v>
      </c>
      <c r="K405" s="5" t="str">
        <f t="shared" si="18"/>
        <v>MICHAEL DUNAVANT</v>
      </c>
      <c r="L405" s="5" t="s">
        <v>57</v>
      </c>
      <c r="M405" s="6">
        <v>45748</v>
      </c>
      <c r="N405" s="6">
        <v>45992</v>
      </c>
      <c r="O405" s="7">
        <v>137.41</v>
      </c>
      <c r="P405" s="5">
        <f t="shared" si="19"/>
        <v>8</v>
      </c>
      <c r="Q405" s="5" t="s">
        <v>264</v>
      </c>
      <c r="R405" s="5" t="s">
        <v>1086</v>
      </c>
      <c r="S405" s="5" t="s">
        <v>58</v>
      </c>
      <c r="T405" s="8">
        <v>0.7</v>
      </c>
      <c r="U405" s="5" t="s">
        <v>60</v>
      </c>
      <c r="V405" s="5" t="s">
        <v>61</v>
      </c>
      <c r="W405" s="7">
        <v>0</v>
      </c>
      <c r="X405" s="7">
        <v>96.19</v>
      </c>
      <c r="Y405" s="7">
        <v>96.19</v>
      </c>
      <c r="Z405" s="5" t="s">
        <v>54</v>
      </c>
    </row>
    <row r="406" spans="1:26" x14ac:dyDescent="0.25">
      <c r="A406" s="5">
        <v>2028062220</v>
      </c>
      <c r="B406" s="5" t="s">
        <v>280</v>
      </c>
      <c r="C406" s="5" t="s">
        <v>1029</v>
      </c>
      <c r="D406" s="5" t="str">
        <f t="shared" si="20"/>
        <v>MARTIN JEFF</v>
      </c>
      <c r="E406" s="5" t="s">
        <v>69</v>
      </c>
      <c r="F406" s="5" t="s">
        <v>53</v>
      </c>
      <c r="G406" s="5" t="s">
        <v>54</v>
      </c>
      <c r="H406" s="5">
        <v>18828278</v>
      </c>
      <c r="I406" s="5" t="s">
        <v>97</v>
      </c>
      <c r="J406" s="5" t="s">
        <v>98</v>
      </c>
      <c r="K406" s="5" t="str">
        <f t="shared" si="18"/>
        <v>MICHAEL DUNAVANT</v>
      </c>
      <c r="L406" s="5" t="s">
        <v>57</v>
      </c>
      <c r="M406" s="6">
        <v>45748</v>
      </c>
      <c r="N406" s="6">
        <v>45992</v>
      </c>
      <c r="O406" s="7">
        <v>34</v>
      </c>
      <c r="P406" s="5">
        <f t="shared" si="19"/>
        <v>8</v>
      </c>
      <c r="Q406" s="5" t="s">
        <v>264</v>
      </c>
      <c r="R406" s="5" t="s">
        <v>1086</v>
      </c>
      <c r="S406" s="5" t="s">
        <v>58</v>
      </c>
      <c r="T406" s="8">
        <v>0.7</v>
      </c>
      <c r="U406" s="5" t="s">
        <v>60</v>
      </c>
      <c r="V406" s="5" t="s">
        <v>61</v>
      </c>
      <c r="W406" s="7">
        <v>0</v>
      </c>
      <c r="X406" s="7">
        <v>23.8</v>
      </c>
      <c r="Y406" s="7">
        <v>23.8</v>
      </c>
      <c r="Z406" s="5" t="s">
        <v>54</v>
      </c>
    </row>
    <row r="407" spans="1:26" x14ac:dyDescent="0.25">
      <c r="A407" s="5">
        <v>2028007024</v>
      </c>
      <c r="B407" s="5" t="s">
        <v>1022</v>
      </c>
      <c r="C407" s="5" t="s">
        <v>1023</v>
      </c>
      <c r="D407" s="5" t="str">
        <f t="shared" si="20"/>
        <v>DAMDINVAANJIL TSOGOO</v>
      </c>
      <c r="E407" s="5" t="s">
        <v>69</v>
      </c>
      <c r="F407" s="5" t="s">
        <v>53</v>
      </c>
      <c r="G407" s="5" t="s">
        <v>54</v>
      </c>
      <c r="H407" s="5">
        <v>20999157</v>
      </c>
      <c r="I407" s="5" t="s">
        <v>1024</v>
      </c>
      <c r="J407" s="5" t="s">
        <v>1025</v>
      </c>
      <c r="K407" s="5" t="str">
        <f t="shared" si="18"/>
        <v>ODMAA ENKHTUR</v>
      </c>
      <c r="L407" s="5" t="s">
        <v>57</v>
      </c>
      <c r="M407" s="6">
        <v>45741</v>
      </c>
      <c r="N407" s="6">
        <v>45986</v>
      </c>
      <c r="O407" s="7">
        <v>19</v>
      </c>
      <c r="P407" s="5">
        <f t="shared" si="19"/>
        <v>8</v>
      </c>
      <c r="Q407" s="5" t="s">
        <v>264</v>
      </c>
      <c r="R407" s="5" t="s">
        <v>1086</v>
      </c>
      <c r="S407" s="5" t="s">
        <v>58</v>
      </c>
      <c r="T407" s="8">
        <v>0.7</v>
      </c>
      <c r="U407" s="5" t="s">
        <v>60</v>
      </c>
      <c r="V407" s="5" t="s">
        <v>61</v>
      </c>
      <c r="W407" s="7">
        <v>0</v>
      </c>
      <c r="X407" s="7">
        <v>13.3</v>
      </c>
      <c r="Y407" s="7">
        <v>13.3</v>
      </c>
      <c r="Z407" s="5" t="s">
        <v>54</v>
      </c>
    </row>
    <row r="408" spans="1:26" x14ac:dyDescent="0.25">
      <c r="A408" s="5">
        <v>2027858972</v>
      </c>
      <c r="B408" s="5" t="s">
        <v>893</v>
      </c>
      <c r="C408" s="5" t="s">
        <v>576</v>
      </c>
      <c r="D408" s="5" t="str">
        <f t="shared" si="20"/>
        <v>BETTIS JACKSON</v>
      </c>
      <c r="E408" s="5" t="s">
        <v>69</v>
      </c>
      <c r="F408" s="5" t="s">
        <v>53</v>
      </c>
      <c r="G408" s="5" t="s">
        <v>54</v>
      </c>
      <c r="H408" s="5">
        <v>8244481</v>
      </c>
      <c r="I408" s="5" t="s">
        <v>894</v>
      </c>
      <c r="J408" s="5" t="s">
        <v>675</v>
      </c>
      <c r="K408" s="5" t="str">
        <f t="shared" si="18"/>
        <v>PAMELA DEATON</v>
      </c>
      <c r="L408" s="5" t="s">
        <v>57</v>
      </c>
      <c r="M408" s="6">
        <v>45748</v>
      </c>
      <c r="N408" s="6">
        <v>45992</v>
      </c>
      <c r="O408" s="7">
        <v>11.5</v>
      </c>
      <c r="P408" s="5">
        <f t="shared" si="19"/>
        <v>8</v>
      </c>
      <c r="Q408" s="5" t="s">
        <v>264</v>
      </c>
      <c r="R408" s="5" t="s">
        <v>1086</v>
      </c>
      <c r="S408" s="5" t="s">
        <v>58</v>
      </c>
      <c r="T408" s="8">
        <v>0.7</v>
      </c>
      <c r="U408" s="5" t="s">
        <v>60</v>
      </c>
      <c r="V408" s="5" t="s">
        <v>61</v>
      </c>
      <c r="W408" s="7">
        <v>0</v>
      </c>
      <c r="X408" s="7">
        <v>8.0500000000000007</v>
      </c>
      <c r="Y408" s="7">
        <v>8.0500000000000007</v>
      </c>
      <c r="Z408" s="5" t="s">
        <v>54</v>
      </c>
    </row>
    <row r="409" spans="1:26" x14ac:dyDescent="0.25">
      <c r="A409" s="5">
        <v>2028064454</v>
      </c>
      <c r="B409" s="5" t="s">
        <v>909</v>
      </c>
      <c r="C409" s="5" t="s">
        <v>312</v>
      </c>
      <c r="D409" s="5" t="str">
        <f t="shared" si="20"/>
        <v>MCGIN JOHN</v>
      </c>
      <c r="E409" s="5" t="s">
        <v>81</v>
      </c>
      <c r="F409" s="5" t="s">
        <v>53</v>
      </c>
      <c r="G409" s="5" t="s">
        <v>54</v>
      </c>
      <c r="H409" s="5">
        <v>16633294</v>
      </c>
      <c r="I409" s="5" t="s">
        <v>70</v>
      </c>
      <c r="J409" s="5" t="s">
        <v>183</v>
      </c>
      <c r="K409" s="5" t="str">
        <f t="shared" si="18"/>
        <v>Richard Yale</v>
      </c>
      <c r="L409" s="5" t="s">
        <v>57</v>
      </c>
      <c r="M409" s="6">
        <v>45748</v>
      </c>
      <c r="N409" s="6">
        <v>45992</v>
      </c>
      <c r="O409" s="7">
        <v>120.5</v>
      </c>
      <c r="P409" s="5">
        <f t="shared" si="19"/>
        <v>8</v>
      </c>
      <c r="Q409" s="5" t="s">
        <v>264</v>
      </c>
      <c r="R409" s="5" t="s">
        <v>1086</v>
      </c>
      <c r="S409" s="5" t="s">
        <v>58</v>
      </c>
      <c r="T409" s="8">
        <v>0.7</v>
      </c>
      <c r="U409" s="5" t="s">
        <v>60</v>
      </c>
      <c r="V409" s="5" t="s">
        <v>61</v>
      </c>
      <c r="W409" s="7">
        <v>0</v>
      </c>
      <c r="X409" s="7">
        <v>84.35</v>
      </c>
      <c r="Y409" s="7">
        <v>84.35</v>
      </c>
      <c r="Z409" s="5" t="s">
        <v>54</v>
      </c>
    </row>
    <row r="410" spans="1:26" x14ac:dyDescent="0.25">
      <c r="A410" s="5">
        <v>2028112437</v>
      </c>
      <c r="B410" s="5" t="s">
        <v>914</v>
      </c>
      <c r="C410" s="5" t="s">
        <v>374</v>
      </c>
      <c r="D410" s="5" t="str">
        <f t="shared" si="20"/>
        <v>TINNEY ROBERT</v>
      </c>
      <c r="E410" s="5" t="s">
        <v>165</v>
      </c>
      <c r="F410" s="5" t="s">
        <v>53</v>
      </c>
      <c r="G410" s="5" t="s">
        <v>54</v>
      </c>
      <c r="H410" s="5">
        <v>16633294</v>
      </c>
      <c r="I410" s="5" t="s">
        <v>70</v>
      </c>
      <c r="J410" s="5" t="s">
        <v>183</v>
      </c>
      <c r="K410" s="5" t="str">
        <f t="shared" si="18"/>
        <v>Richard Yale</v>
      </c>
      <c r="L410" s="5" t="s">
        <v>57</v>
      </c>
      <c r="M410" s="6">
        <v>45748</v>
      </c>
      <c r="N410" s="6">
        <v>45992</v>
      </c>
      <c r="O410" s="7">
        <v>140.6</v>
      </c>
      <c r="P410" s="5">
        <f t="shared" si="19"/>
        <v>8</v>
      </c>
      <c r="Q410" s="5" t="s">
        <v>264</v>
      </c>
      <c r="R410" s="5" t="s">
        <v>1086</v>
      </c>
      <c r="S410" s="5" t="s">
        <v>58</v>
      </c>
      <c r="T410" s="8">
        <v>0.7</v>
      </c>
      <c r="U410" s="5" t="s">
        <v>60</v>
      </c>
      <c r="V410" s="5" t="s">
        <v>61</v>
      </c>
      <c r="W410" s="7">
        <v>0</v>
      </c>
      <c r="X410" s="7">
        <v>98.42</v>
      </c>
      <c r="Y410" s="7">
        <v>98.42</v>
      </c>
      <c r="Z410" s="5" t="s">
        <v>54</v>
      </c>
    </row>
    <row r="411" spans="1:26" x14ac:dyDescent="0.25">
      <c r="A411" s="5">
        <v>2027735221</v>
      </c>
      <c r="B411" s="5" t="s">
        <v>1010</v>
      </c>
      <c r="C411" s="5" t="s">
        <v>1011</v>
      </c>
      <c r="D411" s="5" t="str">
        <f t="shared" si="20"/>
        <v>ADOUT YUVAL</v>
      </c>
      <c r="E411" s="5" t="s">
        <v>69</v>
      </c>
      <c r="F411" s="5" t="s">
        <v>53</v>
      </c>
      <c r="G411" s="5" t="s">
        <v>54</v>
      </c>
      <c r="H411" s="5">
        <v>19481808</v>
      </c>
      <c r="I411" s="5" t="s">
        <v>502</v>
      </c>
      <c r="J411" s="5" t="s">
        <v>342</v>
      </c>
      <c r="K411" s="5" t="str">
        <f t="shared" si="18"/>
        <v>STEVEN WERNER</v>
      </c>
      <c r="L411" s="5" t="s">
        <v>57</v>
      </c>
      <c r="M411" s="6">
        <v>45748</v>
      </c>
      <c r="N411" s="6">
        <v>45992</v>
      </c>
      <c r="O411" s="7">
        <v>54.22</v>
      </c>
      <c r="P411" s="5">
        <f t="shared" si="19"/>
        <v>8</v>
      </c>
      <c r="Q411" s="5" t="s">
        <v>264</v>
      </c>
      <c r="R411" s="5" t="s">
        <v>1086</v>
      </c>
      <c r="S411" s="5" t="s">
        <v>58</v>
      </c>
      <c r="T411" s="8">
        <v>0.7</v>
      </c>
      <c r="U411" s="5" t="s">
        <v>60</v>
      </c>
      <c r="V411" s="5" t="s">
        <v>61</v>
      </c>
      <c r="W411" s="7">
        <v>0</v>
      </c>
      <c r="X411" s="7">
        <v>37.950000000000003</v>
      </c>
      <c r="Y411" s="7">
        <v>37.950000000000003</v>
      </c>
      <c r="Z411" s="5" t="s">
        <v>54</v>
      </c>
    </row>
    <row r="412" spans="1:26" x14ac:dyDescent="0.25">
      <c r="A412" s="5">
        <v>2028134802</v>
      </c>
      <c r="B412" s="5" t="s">
        <v>56</v>
      </c>
      <c r="C412" s="5" t="s">
        <v>1031</v>
      </c>
      <c r="D412" s="5" t="str">
        <f t="shared" si="20"/>
        <v>RYAN GRACE</v>
      </c>
      <c r="E412" s="5" t="s">
        <v>563</v>
      </c>
      <c r="F412" s="5" t="s">
        <v>53</v>
      </c>
      <c r="G412" s="5" t="s">
        <v>54</v>
      </c>
      <c r="H412" s="5">
        <v>371819</v>
      </c>
      <c r="I412" s="5" t="s">
        <v>237</v>
      </c>
      <c r="J412" s="5" t="s">
        <v>103</v>
      </c>
      <c r="K412" s="5" t="str">
        <f t="shared" si="18"/>
        <v>THOMAS PARDUE</v>
      </c>
      <c r="L412" s="5" t="s">
        <v>57</v>
      </c>
      <c r="M412" s="6">
        <v>45748</v>
      </c>
      <c r="N412" s="6">
        <v>45992</v>
      </c>
      <c r="O412" s="7">
        <v>17.64</v>
      </c>
      <c r="P412" s="5">
        <f t="shared" si="19"/>
        <v>8</v>
      </c>
      <c r="Q412" s="5" t="s">
        <v>264</v>
      </c>
      <c r="R412" s="5" t="s">
        <v>1086</v>
      </c>
      <c r="S412" s="5" t="s">
        <v>58</v>
      </c>
      <c r="T412" s="8">
        <v>0.7</v>
      </c>
      <c r="U412" s="5" t="s">
        <v>60</v>
      </c>
      <c r="V412" s="5" t="s">
        <v>61</v>
      </c>
      <c r="W412" s="7">
        <v>0</v>
      </c>
      <c r="X412" s="7">
        <v>12.35</v>
      </c>
      <c r="Y412" s="7">
        <v>12.35</v>
      </c>
      <c r="Z412" s="5" t="s">
        <v>54</v>
      </c>
    </row>
    <row r="413" spans="1:26" x14ac:dyDescent="0.25">
      <c r="A413" s="5">
        <v>2028152220</v>
      </c>
      <c r="B413" s="5" t="s">
        <v>1033</v>
      </c>
      <c r="C413" s="5" t="s">
        <v>574</v>
      </c>
      <c r="D413" s="5" t="str">
        <f t="shared" si="20"/>
        <v>GOZALES MELISSA</v>
      </c>
      <c r="E413" s="5" t="s">
        <v>52</v>
      </c>
      <c r="F413" s="5" t="s">
        <v>53</v>
      </c>
      <c r="G413" s="5" t="s">
        <v>54</v>
      </c>
      <c r="H413" s="5">
        <v>371819</v>
      </c>
      <c r="I413" s="5" t="s">
        <v>237</v>
      </c>
      <c r="J413" s="5" t="s">
        <v>103</v>
      </c>
      <c r="K413" s="5" t="str">
        <f t="shared" si="18"/>
        <v>THOMAS PARDUE</v>
      </c>
      <c r="L413" s="5" t="s">
        <v>57</v>
      </c>
      <c r="M413" s="6">
        <v>45748</v>
      </c>
      <c r="N413" s="6">
        <v>45992</v>
      </c>
      <c r="O413" s="7">
        <v>33.909999999999997</v>
      </c>
      <c r="P413" s="5">
        <f t="shared" si="19"/>
        <v>8</v>
      </c>
      <c r="Q413" s="5" t="s">
        <v>264</v>
      </c>
      <c r="R413" s="5" t="s">
        <v>1086</v>
      </c>
      <c r="S413" s="5" t="s">
        <v>58</v>
      </c>
      <c r="T413" s="8">
        <v>0.7</v>
      </c>
      <c r="U413" s="5" t="s">
        <v>60</v>
      </c>
      <c r="V413" s="5" t="s">
        <v>61</v>
      </c>
      <c r="W413" s="7">
        <v>0</v>
      </c>
      <c r="X413" s="7">
        <v>23.74</v>
      </c>
      <c r="Y413" s="7">
        <v>23.74</v>
      </c>
      <c r="Z413" s="5" t="s">
        <v>54</v>
      </c>
    </row>
    <row r="414" spans="1:26" x14ac:dyDescent="0.25">
      <c r="A414" s="5">
        <v>2028152248</v>
      </c>
      <c r="B414" s="5" t="s">
        <v>1034</v>
      </c>
      <c r="C414" s="5" t="s">
        <v>1035</v>
      </c>
      <c r="D414" s="5" t="str">
        <f t="shared" si="20"/>
        <v>NINO NOE</v>
      </c>
      <c r="E414" s="5" t="s">
        <v>52</v>
      </c>
      <c r="F414" s="5" t="s">
        <v>53</v>
      </c>
      <c r="G414" s="5" t="s">
        <v>54</v>
      </c>
      <c r="H414" s="5">
        <v>371819</v>
      </c>
      <c r="I414" s="5" t="s">
        <v>237</v>
      </c>
      <c r="J414" s="5" t="s">
        <v>103</v>
      </c>
      <c r="K414" s="5" t="str">
        <f t="shared" si="18"/>
        <v>THOMAS PARDUE</v>
      </c>
      <c r="L414" s="5" t="s">
        <v>57</v>
      </c>
      <c r="M414" s="6">
        <v>45748</v>
      </c>
      <c r="N414" s="6">
        <v>45992</v>
      </c>
      <c r="O414" s="7">
        <v>63.34</v>
      </c>
      <c r="P414" s="5">
        <f t="shared" si="19"/>
        <v>8</v>
      </c>
      <c r="Q414" s="5" t="s">
        <v>264</v>
      </c>
      <c r="R414" s="5" t="s">
        <v>1086</v>
      </c>
      <c r="S414" s="5" t="s">
        <v>58</v>
      </c>
      <c r="T414" s="8">
        <v>0.7</v>
      </c>
      <c r="U414" s="5" t="s">
        <v>60</v>
      </c>
      <c r="V414" s="5" t="s">
        <v>61</v>
      </c>
      <c r="W414" s="7">
        <v>0</v>
      </c>
      <c r="X414" s="7">
        <v>44.34</v>
      </c>
      <c r="Y414" s="7">
        <v>44.34</v>
      </c>
      <c r="Z414" s="5" t="s">
        <v>54</v>
      </c>
    </row>
    <row r="415" spans="1:26" x14ac:dyDescent="0.25">
      <c r="A415" s="5">
        <v>2027406567</v>
      </c>
      <c r="B415" s="5" t="s">
        <v>1002</v>
      </c>
      <c r="C415" s="5" t="s">
        <v>1003</v>
      </c>
      <c r="D415" s="5" t="str">
        <f t="shared" si="20"/>
        <v>LARSEN DEVIN</v>
      </c>
      <c r="E415" s="5" t="s">
        <v>69</v>
      </c>
      <c r="F415" s="5" t="s">
        <v>53</v>
      </c>
      <c r="G415" s="5" t="s">
        <v>54</v>
      </c>
      <c r="H415" s="5">
        <v>17301495</v>
      </c>
      <c r="I415" s="5" t="s">
        <v>1004</v>
      </c>
      <c r="J415" s="5" t="s">
        <v>1005</v>
      </c>
      <c r="K415" s="5" t="str">
        <f t="shared" si="18"/>
        <v>ESTHER HERRERA-LARSEN</v>
      </c>
      <c r="L415" s="5" t="s">
        <v>57</v>
      </c>
      <c r="M415" s="6">
        <v>45715</v>
      </c>
      <c r="N415" s="6">
        <v>45988</v>
      </c>
      <c r="O415" s="7">
        <v>101.22</v>
      </c>
      <c r="P415" s="5">
        <f t="shared" si="19"/>
        <v>9</v>
      </c>
      <c r="Q415" s="5" t="s">
        <v>264</v>
      </c>
      <c r="R415" s="5" t="s">
        <v>1086</v>
      </c>
      <c r="S415" s="5" t="s">
        <v>58</v>
      </c>
      <c r="T415" s="8">
        <v>0.7</v>
      </c>
      <c r="U415" s="5" t="s">
        <v>60</v>
      </c>
      <c r="V415" s="5" t="s">
        <v>61</v>
      </c>
      <c r="W415" s="7">
        <v>0</v>
      </c>
      <c r="X415" s="7">
        <v>70.849999999999994</v>
      </c>
      <c r="Y415" s="7">
        <v>70.849999999999994</v>
      </c>
      <c r="Z415" s="5" t="s">
        <v>54</v>
      </c>
    </row>
    <row r="416" spans="1:26" x14ac:dyDescent="0.25">
      <c r="A416" s="5">
        <v>2026734342</v>
      </c>
      <c r="B416" s="5" t="s">
        <v>594</v>
      </c>
      <c r="C416" s="5" t="s">
        <v>595</v>
      </c>
      <c r="D416" s="5" t="str">
        <f t="shared" si="20"/>
        <v>PAPADOPOULOS DEMETRA</v>
      </c>
      <c r="E416" s="5" t="s">
        <v>52</v>
      </c>
      <c r="F416" s="5" t="s">
        <v>53</v>
      </c>
      <c r="G416" s="5" t="s">
        <v>54</v>
      </c>
      <c r="H416" s="5">
        <v>16912722</v>
      </c>
      <c r="I416" s="5" t="s">
        <v>289</v>
      </c>
      <c r="J416" s="5" t="s">
        <v>290</v>
      </c>
      <c r="K416" s="5" t="str">
        <f t="shared" si="18"/>
        <v>ANDREA PETRUNGARO</v>
      </c>
      <c r="L416" s="5" t="s">
        <v>57</v>
      </c>
      <c r="M416" s="6">
        <v>45689</v>
      </c>
      <c r="N416" s="6">
        <v>45992</v>
      </c>
      <c r="O416" s="7">
        <v>57.27</v>
      </c>
      <c r="P416" s="5">
        <f t="shared" si="19"/>
        <v>10</v>
      </c>
      <c r="Q416" s="5" t="s">
        <v>264</v>
      </c>
      <c r="R416" s="5" t="s">
        <v>1086</v>
      </c>
      <c r="S416" s="5" t="s">
        <v>58</v>
      </c>
      <c r="T416" s="8">
        <v>0.7</v>
      </c>
      <c r="U416" s="5" t="s">
        <v>60</v>
      </c>
      <c r="V416" s="5" t="s">
        <v>61</v>
      </c>
      <c r="W416" s="7">
        <v>0</v>
      </c>
      <c r="X416" s="7">
        <v>40.090000000000003</v>
      </c>
      <c r="Y416" s="7">
        <v>40.090000000000003</v>
      </c>
      <c r="Z416" s="5" t="s">
        <v>54</v>
      </c>
    </row>
    <row r="417" spans="1:26" x14ac:dyDescent="0.25">
      <c r="A417" s="5">
        <v>2026809780</v>
      </c>
      <c r="B417" s="5" t="s">
        <v>877</v>
      </c>
      <c r="C417" s="5" t="s">
        <v>878</v>
      </c>
      <c r="D417" s="5" t="str">
        <f t="shared" si="20"/>
        <v>LEWIS ALAN</v>
      </c>
      <c r="E417" s="5" t="s">
        <v>69</v>
      </c>
      <c r="F417" s="5" t="s">
        <v>53</v>
      </c>
      <c r="G417" s="5" t="s">
        <v>54</v>
      </c>
      <c r="H417" s="5">
        <v>7470776</v>
      </c>
      <c r="I417" s="5" t="s">
        <v>74</v>
      </c>
      <c r="J417" s="5" t="s">
        <v>75</v>
      </c>
      <c r="K417" s="5" t="str">
        <f t="shared" si="18"/>
        <v>Andrew Choi</v>
      </c>
      <c r="L417" s="5" t="s">
        <v>57</v>
      </c>
      <c r="M417" s="6">
        <v>45689</v>
      </c>
      <c r="N417" s="6">
        <v>45992</v>
      </c>
      <c r="O417" s="7">
        <v>257.39999999999998</v>
      </c>
      <c r="P417" s="5">
        <f t="shared" si="19"/>
        <v>10</v>
      </c>
      <c r="Q417" s="5" t="s">
        <v>264</v>
      </c>
      <c r="R417" s="5" t="s">
        <v>1086</v>
      </c>
      <c r="S417" s="5" t="s">
        <v>58</v>
      </c>
      <c r="T417" s="8">
        <v>0.7</v>
      </c>
      <c r="U417" s="5" t="s">
        <v>60</v>
      </c>
      <c r="V417" s="5" t="s">
        <v>61</v>
      </c>
      <c r="W417" s="7">
        <v>0</v>
      </c>
      <c r="X417" s="7">
        <v>180.18</v>
      </c>
      <c r="Y417" s="7">
        <v>180.18</v>
      </c>
      <c r="Z417" s="5" t="s">
        <v>54</v>
      </c>
    </row>
    <row r="418" spans="1:26" x14ac:dyDescent="0.25">
      <c r="A418" s="5">
        <v>2026828234</v>
      </c>
      <c r="B418" s="5" t="s">
        <v>989</v>
      </c>
      <c r="C418" s="5" t="s">
        <v>990</v>
      </c>
      <c r="D418" s="5" t="str">
        <f t="shared" si="20"/>
        <v>MAGTOTO EDUARDO</v>
      </c>
      <c r="E418" s="5" t="s">
        <v>69</v>
      </c>
      <c r="F418" s="5" t="s">
        <v>53</v>
      </c>
      <c r="G418" s="5" t="s">
        <v>54</v>
      </c>
      <c r="H418" s="5">
        <v>7470776</v>
      </c>
      <c r="I418" s="5" t="s">
        <v>74</v>
      </c>
      <c r="J418" s="5" t="s">
        <v>75</v>
      </c>
      <c r="K418" s="5" t="str">
        <f t="shared" si="18"/>
        <v>Andrew Choi</v>
      </c>
      <c r="L418" s="5" t="s">
        <v>57</v>
      </c>
      <c r="M418" s="6">
        <v>45689</v>
      </c>
      <c r="N418" s="6">
        <v>45992</v>
      </c>
      <c r="O418" s="7">
        <v>62.8</v>
      </c>
      <c r="P418" s="5">
        <f t="shared" si="19"/>
        <v>10</v>
      </c>
      <c r="Q418" s="5" t="s">
        <v>264</v>
      </c>
      <c r="R418" s="5" t="s">
        <v>1086</v>
      </c>
      <c r="S418" s="5" t="s">
        <v>58</v>
      </c>
      <c r="T418" s="8">
        <v>0.7</v>
      </c>
      <c r="U418" s="5" t="s">
        <v>60</v>
      </c>
      <c r="V418" s="5" t="s">
        <v>61</v>
      </c>
      <c r="W418" s="7">
        <v>0</v>
      </c>
      <c r="X418" s="7">
        <v>43.96</v>
      </c>
      <c r="Y418" s="7">
        <v>43.96</v>
      </c>
      <c r="Z418" s="5" t="s">
        <v>54</v>
      </c>
    </row>
    <row r="419" spans="1:26" x14ac:dyDescent="0.25">
      <c r="A419" s="5">
        <v>2026528984</v>
      </c>
      <c r="B419" s="5" t="s">
        <v>971</v>
      </c>
      <c r="C419" s="5" t="s">
        <v>972</v>
      </c>
      <c r="D419" s="5" t="str">
        <f t="shared" si="20"/>
        <v>SULSKI STEPHEN</v>
      </c>
      <c r="E419" s="5" t="s">
        <v>69</v>
      </c>
      <c r="F419" s="5" t="s">
        <v>53</v>
      </c>
      <c r="G419" s="5" t="s">
        <v>54</v>
      </c>
      <c r="H419" s="5">
        <v>21104854</v>
      </c>
      <c r="I419" s="5" t="s">
        <v>973</v>
      </c>
      <c r="J419" s="5" t="s">
        <v>413</v>
      </c>
      <c r="K419" s="5" t="str">
        <f t="shared" si="18"/>
        <v>BRIAN STROHMAN</v>
      </c>
      <c r="L419" s="5" t="s">
        <v>57</v>
      </c>
      <c r="M419" s="6">
        <v>45689</v>
      </c>
      <c r="N419" s="6">
        <v>45992</v>
      </c>
      <c r="O419" s="7">
        <v>124.72</v>
      </c>
      <c r="P419" s="5">
        <f t="shared" si="19"/>
        <v>10</v>
      </c>
      <c r="Q419" s="5" t="s">
        <v>264</v>
      </c>
      <c r="R419" s="5" t="s">
        <v>1086</v>
      </c>
      <c r="S419" s="5" t="s">
        <v>58</v>
      </c>
      <c r="T419" s="8">
        <v>0.7</v>
      </c>
      <c r="U419" s="5" t="s">
        <v>60</v>
      </c>
      <c r="V419" s="5" t="s">
        <v>61</v>
      </c>
      <c r="W419" s="7">
        <v>0</v>
      </c>
      <c r="X419" s="7">
        <v>87.3</v>
      </c>
      <c r="Y419" s="7">
        <v>87.3</v>
      </c>
      <c r="Z419" s="5" t="s">
        <v>54</v>
      </c>
    </row>
    <row r="420" spans="1:26" x14ac:dyDescent="0.25">
      <c r="A420" s="5">
        <v>2026718142</v>
      </c>
      <c r="B420" s="5" t="s">
        <v>231</v>
      </c>
      <c r="C420" s="5" t="s">
        <v>485</v>
      </c>
      <c r="D420" s="5" t="str">
        <f t="shared" si="20"/>
        <v>JONES DOUGLAS</v>
      </c>
      <c r="E420" s="5" t="s">
        <v>69</v>
      </c>
      <c r="F420" s="5" t="s">
        <v>53</v>
      </c>
      <c r="G420" s="5" t="s">
        <v>54</v>
      </c>
      <c r="H420" s="5">
        <v>21104854</v>
      </c>
      <c r="I420" s="5" t="s">
        <v>973</v>
      </c>
      <c r="J420" s="5" t="s">
        <v>413</v>
      </c>
      <c r="K420" s="5" t="str">
        <f t="shared" si="18"/>
        <v>BRIAN STROHMAN</v>
      </c>
      <c r="L420" s="5" t="s">
        <v>57</v>
      </c>
      <c r="M420" s="6">
        <v>45689</v>
      </c>
      <c r="N420" s="6">
        <v>45992</v>
      </c>
      <c r="O420" s="7">
        <v>284.54000000000002</v>
      </c>
      <c r="P420" s="5">
        <f t="shared" si="19"/>
        <v>10</v>
      </c>
      <c r="Q420" s="5" t="s">
        <v>264</v>
      </c>
      <c r="R420" s="5" t="s">
        <v>1086</v>
      </c>
      <c r="S420" s="5" t="s">
        <v>58</v>
      </c>
      <c r="T420" s="8">
        <v>0.7</v>
      </c>
      <c r="U420" s="5" t="s">
        <v>60</v>
      </c>
      <c r="V420" s="5" t="s">
        <v>61</v>
      </c>
      <c r="W420" s="7">
        <v>0</v>
      </c>
      <c r="X420" s="7">
        <v>199.18</v>
      </c>
      <c r="Y420" s="7">
        <v>199.18</v>
      </c>
      <c r="Z420" s="5" t="s">
        <v>54</v>
      </c>
    </row>
    <row r="421" spans="1:26" x14ac:dyDescent="0.25">
      <c r="A421" s="5">
        <v>2026838333</v>
      </c>
      <c r="B421" s="5" t="s">
        <v>881</v>
      </c>
      <c r="C421" s="5" t="s">
        <v>216</v>
      </c>
      <c r="D421" s="5" t="str">
        <f t="shared" si="20"/>
        <v>KINCAID KEVIN</v>
      </c>
      <c r="E421" s="5" t="s">
        <v>69</v>
      </c>
      <c r="F421" s="5" t="s">
        <v>53</v>
      </c>
      <c r="G421" s="5" t="s">
        <v>54</v>
      </c>
      <c r="H421" s="5">
        <v>8814784</v>
      </c>
      <c r="I421" s="5" t="s">
        <v>147</v>
      </c>
      <c r="J421" s="5" t="s">
        <v>148</v>
      </c>
      <c r="K421" s="5" t="str">
        <f t="shared" si="18"/>
        <v>FRANK LISKOVEC</v>
      </c>
      <c r="L421" s="5" t="s">
        <v>57</v>
      </c>
      <c r="M421" s="6">
        <v>45689</v>
      </c>
      <c r="N421" s="6">
        <v>45992</v>
      </c>
      <c r="O421" s="7">
        <v>248.47</v>
      </c>
      <c r="P421" s="5">
        <f t="shared" si="19"/>
        <v>10</v>
      </c>
      <c r="Q421" s="5" t="s">
        <v>264</v>
      </c>
      <c r="R421" s="5" t="s">
        <v>1086</v>
      </c>
      <c r="S421" s="5" t="s">
        <v>58</v>
      </c>
      <c r="T421" s="8">
        <v>0.7</v>
      </c>
      <c r="U421" s="5" t="s">
        <v>60</v>
      </c>
      <c r="V421" s="5" t="s">
        <v>61</v>
      </c>
      <c r="W421" s="7">
        <v>0</v>
      </c>
      <c r="X421" s="7">
        <v>173.93</v>
      </c>
      <c r="Y421" s="7">
        <v>173.93</v>
      </c>
      <c r="Z421" s="5" t="s">
        <v>54</v>
      </c>
    </row>
    <row r="422" spans="1:26" x14ac:dyDescent="0.25">
      <c r="A422" s="5">
        <v>2026887839</v>
      </c>
      <c r="B422" s="5" t="s">
        <v>231</v>
      </c>
      <c r="C422" s="5" t="s">
        <v>998</v>
      </c>
      <c r="D422" s="5" t="str">
        <f t="shared" si="20"/>
        <v>JONES JAQUALINE</v>
      </c>
      <c r="E422" s="5" t="s">
        <v>69</v>
      </c>
      <c r="F422" s="5" t="s">
        <v>53</v>
      </c>
      <c r="G422" s="5" t="s">
        <v>54</v>
      </c>
      <c r="H422" s="5">
        <v>17094718</v>
      </c>
      <c r="I422" s="5" t="s">
        <v>335</v>
      </c>
      <c r="J422" s="5" t="s">
        <v>336</v>
      </c>
      <c r="K422" s="5" t="str">
        <f t="shared" si="18"/>
        <v>GREGORY HANSFORD</v>
      </c>
      <c r="L422" s="5" t="s">
        <v>57</v>
      </c>
      <c r="M422" s="6">
        <v>45689</v>
      </c>
      <c r="N422" s="6">
        <v>45992</v>
      </c>
      <c r="O422" s="7">
        <v>19</v>
      </c>
      <c r="P422" s="5">
        <f t="shared" si="19"/>
        <v>10</v>
      </c>
      <c r="Q422" s="5" t="s">
        <v>264</v>
      </c>
      <c r="R422" s="5" t="s">
        <v>1086</v>
      </c>
      <c r="S422" s="5" t="s">
        <v>58</v>
      </c>
      <c r="T422" s="8">
        <v>0.7</v>
      </c>
      <c r="U422" s="5" t="s">
        <v>60</v>
      </c>
      <c r="V422" s="5" t="s">
        <v>61</v>
      </c>
      <c r="W422" s="7">
        <v>0</v>
      </c>
      <c r="X422" s="7">
        <v>13.3</v>
      </c>
      <c r="Y422" s="7">
        <v>13.3</v>
      </c>
      <c r="Z422" s="5" t="s">
        <v>54</v>
      </c>
    </row>
    <row r="423" spans="1:26" x14ac:dyDescent="0.25">
      <c r="A423" s="5">
        <v>2026605719</v>
      </c>
      <c r="B423" s="5" t="s">
        <v>582</v>
      </c>
      <c r="C423" s="5" t="s">
        <v>106</v>
      </c>
      <c r="D423" s="5" t="str">
        <f t="shared" si="20"/>
        <v>FARNSWORTH ETHAN</v>
      </c>
      <c r="E423" s="5" t="s">
        <v>92</v>
      </c>
      <c r="F423" s="5" t="s">
        <v>53</v>
      </c>
      <c r="G423" s="5" t="s">
        <v>54</v>
      </c>
      <c r="H423" s="5">
        <v>16865615</v>
      </c>
      <c r="I423" s="5" t="s">
        <v>93</v>
      </c>
      <c r="J423" s="5" t="s">
        <v>94</v>
      </c>
      <c r="K423" s="5" t="str">
        <f t="shared" si="18"/>
        <v>Heather Geske</v>
      </c>
      <c r="L423" s="5" t="s">
        <v>57</v>
      </c>
      <c r="M423" s="6">
        <v>45689</v>
      </c>
      <c r="N423" s="6">
        <v>45992</v>
      </c>
      <c r="O423" s="7">
        <v>9.1</v>
      </c>
      <c r="P423" s="5">
        <f t="shared" si="19"/>
        <v>10</v>
      </c>
      <c r="Q423" s="5" t="s">
        <v>264</v>
      </c>
      <c r="R423" s="5" t="s">
        <v>1086</v>
      </c>
      <c r="S423" s="5" t="s">
        <v>58</v>
      </c>
      <c r="T423" s="8">
        <v>0.7</v>
      </c>
      <c r="U423" s="5" t="s">
        <v>60</v>
      </c>
      <c r="V423" s="5" t="s">
        <v>61</v>
      </c>
      <c r="W423" s="7">
        <v>0</v>
      </c>
      <c r="X423" s="7">
        <v>6.37</v>
      </c>
      <c r="Y423" s="7">
        <v>6.37</v>
      </c>
      <c r="Z423" s="5" t="s">
        <v>54</v>
      </c>
    </row>
    <row r="424" spans="1:26" x14ac:dyDescent="0.25">
      <c r="A424" s="5">
        <v>2026608092</v>
      </c>
      <c r="B424" s="5" t="s">
        <v>856</v>
      </c>
      <c r="C424" s="5" t="s">
        <v>268</v>
      </c>
      <c r="D424" s="5" t="str">
        <f t="shared" si="20"/>
        <v>RIO-COOPER JULIE</v>
      </c>
      <c r="E424" s="5" t="s">
        <v>92</v>
      </c>
      <c r="F424" s="5" t="s">
        <v>53</v>
      </c>
      <c r="G424" s="5" t="s">
        <v>54</v>
      </c>
      <c r="H424" s="5">
        <v>16865615</v>
      </c>
      <c r="I424" s="5" t="s">
        <v>93</v>
      </c>
      <c r="J424" s="5" t="s">
        <v>94</v>
      </c>
      <c r="K424" s="5" t="str">
        <f t="shared" si="18"/>
        <v>Heather Geske</v>
      </c>
      <c r="L424" s="5" t="s">
        <v>57</v>
      </c>
      <c r="M424" s="6">
        <v>45689</v>
      </c>
      <c r="N424" s="6">
        <v>45992</v>
      </c>
      <c r="O424" s="7">
        <v>9.1</v>
      </c>
      <c r="P424" s="5">
        <f t="shared" si="19"/>
        <v>10</v>
      </c>
      <c r="Q424" s="5" t="s">
        <v>264</v>
      </c>
      <c r="R424" s="5" t="s">
        <v>1086</v>
      </c>
      <c r="S424" s="5" t="s">
        <v>58</v>
      </c>
      <c r="T424" s="8">
        <v>0.7</v>
      </c>
      <c r="U424" s="5" t="s">
        <v>60</v>
      </c>
      <c r="V424" s="5" t="s">
        <v>61</v>
      </c>
      <c r="W424" s="7">
        <v>0</v>
      </c>
      <c r="X424" s="7">
        <v>6.37</v>
      </c>
      <c r="Y424" s="7">
        <v>6.37</v>
      </c>
      <c r="Z424" s="5" t="s">
        <v>54</v>
      </c>
    </row>
    <row r="425" spans="1:26" x14ac:dyDescent="0.25">
      <c r="A425" s="5">
        <v>2026615269</v>
      </c>
      <c r="B425" s="5" t="s">
        <v>584</v>
      </c>
      <c r="C425" s="5" t="s">
        <v>585</v>
      </c>
      <c r="D425" s="5" t="str">
        <f t="shared" si="20"/>
        <v>BOUCHARD PIERRE</v>
      </c>
      <c r="E425" s="5" t="s">
        <v>92</v>
      </c>
      <c r="F425" s="5" t="s">
        <v>53</v>
      </c>
      <c r="G425" s="5" t="s">
        <v>54</v>
      </c>
      <c r="H425" s="5">
        <v>16865615</v>
      </c>
      <c r="I425" s="5" t="s">
        <v>93</v>
      </c>
      <c r="J425" s="5" t="s">
        <v>94</v>
      </c>
      <c r="K425" s="5" t="str">
        <f t="shared" si="18"/>
        <v>Heather Geske</v>
      </c>
      <c r="L425" s="5" t="s">
        <v>57</v>
      </c>
      <c r="M425" s="6">
        <v>45689</v>
      </c>
      <c r="N425" s="6">
        <v>45992</v>
      </c>
      <c r="O425" s="7">
        <v>9.1</v>
      </c>
      <c r="P425" s="5">
        <f t="shared" si="19"/>
        <v>10</v>
      </c>
      <c r="Q425" s="5" t="s">
        <v>264</v>
      </c>
      <c r="R425" s="5" t="s">
        <v>1086</v>
      </c>
      <c r="S425" s="5" t="s">
        <v>58</v>
      </c>
      <c r="T425" s="8">
        <v>0.7</v>
      </c>
      <c r="U425" s="5" t="s">
        <v>60</v>
      </c>
      <c r="V425" s="5" t="s">
        <v>61</v>
      </c>
      <c r="W425" s="7">
        <v>0</v>
      </c>
      <c r="X425" s="7">
        <v>6.37</v>
      </c>
      <c r="Y425" s="7">
        <v>6.37</v>
      </c>
      <c r="Z425" s="5" t="s">
        <v>54</v>
      </c>
    </row>
    <row r="426" spans="1:26" x14ac:dyDescent="0.25">
      <c r="A426" s="5">
        <v>2026627935</v>
      </c>
      <c r="B426" s="5" t="s">
        <v>857</v>
      </c>
      <c r="C426" s="5" t="s">
        <v>858</v>
      </c>
      <c r="D426" s="5" t="str">
        <f t="shared" si="20"/>
        <v>SALAZAR JEFFREY</v>
      </c>
      <c r="E426" s="5" t="s">
        <v>92</v>
      </c>
      <c r="F426" s="5" t="s">
        <v>53</v>
      </c>
      <c r="G426" s="5" t="s">
        <v>54</v>
      </c>
      <c r="H426" s="5">
        <v>16865615</v>
      </c>
      <c r="I426" s="5" t="s">
        <v>93</v>
      </c>
      <c r="J426" s="5" t="s">
        <v>94</v>
      </c>
      <c r="K426" s="5" t="str">
        <f t="shared" si="18"/>
        <v>Heather Geske</v>
      </c>
      <c r="L426" s="5" t="s">
        <v>57</v>
      </c>
      <c r="M426" s="6">
        <v>45689</v>
      </c>
      <c r="N426" s="6">
        <v>45992</v>
      </c>
      <c r="O426" s="7">
        <v>18.2</v>
      </c>
      <c r="P426" s="5">
        <f t="shared" si="19"/>
        <v>10</v>
      </c>
      <c r="Q426" s="5" t="s">
        <v>264</v>
      </c>
      <c r="R426" s="5" t="s">
        <v>1086</v>
      </c>
      <c r="S426" s="5" t="s">
        <v>58</v>
      </c>
      <c r="T426" s="8">
        <v>0.7</v>
      </c>
      <c r="U426" s="5" t="s">
        <v>60</v>
      </c>
      <c r="V426" s="5" t="s">
        <v>61</v>
      </c>
      <c r="W426" s="7">
        <v>0</v>
      </c>
      <c r="X426" s="7">
        <v>12.74</v>
      </c>
      <c r="Y426" s="7">
        <v>12.74</v>
      </c>
      <c r="Z426" s="5" t="s">
        <v>54</v>
      </c>
    </row>
    <row r="427" spans="1:26" x14ac:dyDescent="0.25">
      <c r="A427" s="5">
        <v>2026735220</v>
      </c>
      <c r="B427" s="5" t="s">
        <v>596</v>
      </c>
      <c r="C427" s="5" t="s">
        <v>597</v>
      </c>
      <c r="D427" s="5" t="str">
        <f t="shared" si="20"/>
        <v>CHAMBERS BOBBI</v>
      </c>
      <c r="E427" s="5" t="s">
        <v>92</v>
      </c>
      <c r="F427" s="5" t="s">
        <v>53</v>
      </c>
      <c r="G427" s="5" t="s">
        <v>54</v>
      </c>
      <c r="H427" s="5">
        <v>16865615</v>
      </c>
      <c r="I427" s="5" t="s">
        <v>93</v>
      </c>
      <c r="J427" s="5" t="s">
        <v>94</v>
      </c>
      <c r="K427" s="5" t="str">
        <f t="shared" si="18"/>
        <v>Heather Geske</v>
      </c>
      <c r="L427" s="5" t="s">
        <v>57</v>
      </c>
      <c r="M427" s="6">
        <v>45689</v>
      </c>
      <c r="N427" s="6">
        <v>45992</v>
      </c>
      <c r="O427" s="7">
        <v>9.1</v>
      </c>
      <c r="P427" s="5">
        <f t="shared" si="19"/>
        <v>10</v>
      </c>
      <c r="Q427" s="5" t="s">
        <v>264</v>
      </c>
      <c r="R427" s="5" t="s">
        <v>1086</v>
      </c>
      <c r="S427" s="5" t="s">
        <v>58</v>
      </c>
      <c r="T427" s="8">
        <v>0.7</v>
      </c>
      <c r="U427" s="5" t="s">
        <v>60</v>
      </c>
      <c r="V427" s="5" t="s">
        <v>61</v>
      </c>
      <c r="W427" s="7">
        <v>0</v>
      </c>
      <c r="X427" s="7">
        <v>6.37</v>
      </c>
      <c r="Y427" s="7">
        <v>6.37</v>
      </c>
      <c r="Z427" s="5" t="s">
        <v>54</v>
      </c>
    </row>
    <row r="428" spans="1:26" x14ac:dyDescent="0.25">
      <c r="A428" s="5">
        <v>2026812432</v>
      </c>
      <c r="B428" s="5" t="s">
        <v>600</v>
      </c>
      <c r="C428" s="5" t="s">
        <v>601</v>
      </c>
      <c r="D428" s="5" t="str">
        <f t="shared" si="20"/>
        <v>JIMENEZ FIDEL</v>
      </c>
      <c r="E428" s="5" t="s">
        <v>92</v>
      </c>
      <c r="F428" s="5" t="s">
        <v>53</v>
      </c>
      <c r="G428" s="5" t="s">
        <v>54</v>
      </c>
      <c r="H428" s="5">
        <v>16865615</v>
      </c>
      <c r="I428" s="5" t="s">
        <v>93</v>
      </c>
      <c r="J428" s="5" t="s">
        <v>94</v>
      </c>
      <c r="K428" s="5" t="str">
        <f t="shared" si="18"/>
        <v>Heather Geske</v>
      </c>
      <c r="L428" s="5" t="s">
        <v>57</v>
      </c>
      <c r="M428" s="6">
        <v>45690</v>
      </c>
      <c r="N428" s="6">
        <v>45993</v>
      </c>
      <c r="O428" s="7">
        <v>29.2</v>
      </c>
      <c r="P428" s="5">
        <f t="shared" si="19"/>
        <v>10</v>
      </c>
      <c r="Q428" s="5" t="s">
        <v>264</v>
      </c>
      <c r="R428" s="5" t="s">
        <v>1086</v>
      </c>
      <c r="S428" s="5" t="s">
        <v>58</v>
      </c>
      <c r="T428" s="8">
        <v>0.7</v>
      </c>
      <c r="U428" s="5" t="s">
        <v>60</v>
      </c>
      <c r="V428" s="5" t="s">
        <v>61</v>
      </c>
      <c r="W428" s="7">
        <v>0</v>
      </c>
      <c r="X428" s="7">
        <v>20.440000000000001</v>
      </c>
      <c r="Y428" s="7">
        <v>20.440000000000001</v>
      </c>
      <c r="Z428" s="5" t="s">
        <v>54</v>
      </c>
    </row>
    <row r="429" spans="1:26" x14ac:dyDescent="0.25">
      <c r="A429" s="5">
        <v>2026836407</v>
      </c>
      <c r="B429" s="5" t="s">
        <v>991</v>
      </c>
      <c r="C429" s="5" t="s">
        <v>992</v>
      </c>
      <c r="D429" s="5" t="str">
        <f t="shared" si="20"/>
        <v>MCDANIEL ROWAN</v>
      </c>
      <c r="E429" s="5" t="s">
        <v>555</v>
      </c>
      <c r="F429" s="5" t="s">
        <v>53</v>
      </c>
      <c r="G429" s="5" t="s">
        <v>54</v>
      </c>
      <c r="H429" s="5">
        <v>16865615</v>
      </c>
      <c r="I429" s="5" t="s">
        <v>93</v>
      </c>
      <c r="J429" s="5" t="s">
        <v>94</v>
      </c>
      <c r="K429" s="5" t="str">
        <f t="shared" si="18"/>
        <v>Heather Geske</v>
      </c>
      <c r="L429" s="5" t="s">
        <v>57</v>
      </c>
      <c r="M429" s="6">
        <v>45691</v>
      </c>
      <c r="N429" s="6">
        <v>45994</v>
      </c>
      <c r="O429" s="7">
        <v>15.29</v>
      </c>
      <c r="P429" s="5">
        <f t="shared" si="19"/>
        <v>10</v>
      </c>
      <c r="Q429" s="5" t="s">
        <v>264</v>
      </c>
      <c r="R429" s="5" t="s">
        <v>1086</v>
      </c>
      <c r="S429" s="5" t="s">
        <v>58</v>
      </c>
      <c r="T429" s="8">
        <v>0.7</v>
      </c>
      <c r="U429" s="5" t="s">
        <v>60</v>
      </c>
      <c r="V429" s="5" t="s">
        <v>61</v>
      </c>
      <c r="W429" s="7">
        <v>0</v>
      </c>
      <c r="X429" s="7">
        <v>10.7</v>
      </c>
      <c r="Y429" s="7">
        <v>10.7</v>
      </c>
      <c r="Z429" s="5" t="s">
        <v>54</v>
      </c>
    </row>
    <row r="430" spans="1:26" x14ac:dyDescent="0.25">
      <c r="A430" s="5">
        <v>2026421012</v>
      </c>
      <c r="B430" s="5" t="s">
        <v>775</v>
      </c>
      <c r="C430" s="5" t="s">
        <v>230</v>
      </c>
      <c r="D430" s="5" t="str">
        <f t="shared" si="20"/>
        <v>PAINTER MARY</v>
      </c>
      <c r="E430" s="5" t="s">
        <v>69</v>
      </c>
      <c r="F430" s="5" t="s">
        <v>53</v>
      </c>
      <c r="G430" s="5" t="s">
        <v>54</v>
      </c>
      <c r="H430" s="5">
        <v>18828278</v>
      </c>
      <c r="I430" s="5" t="s">
        <v>97</v>
      </c>
      <c r="J430" s="5" t="s">
        <v>98</v>
      </c>
      <c r="K430" s="5" t="str">
        <f t="shared" si="18"/>
        <v>MICHAEL DUNAVANT</v>
      </c>
      <c r="L430" s="5" t="s">
        <v>57</v>
      </c>
      <c r="M430" s="6">
        <v>45689</v>
      </c>
      <c r="N430" s="6">
        <v>45992</v>
      </c>
      <c r="O430" s="7">
        <v>11.5</v>
      </c>
      <c r="P430" s="5">
        <f t="shared" si="19"/>
        <v>10</v>
      </c>
      <c r="Q430" s="5" t="s">
        <v>264</v>
      </c>
      <c r="R430" s="5" t="s">
        <v>1086</v>
      </c>
      <c r="S430" s="5" t="s">
        <v>58</v>
      </c>
      <c r="T430" s="8">
        <v>0.7</v>
      </c>
      <c r="U430" s="5" t="s">
        <v>60</v>
      </c>
      <c r="V430" s="5" t="s">
        <v>61</v>
      </c>
      <c r="W430" s="7">
        <v>0</v>
      </c>
      <c r="X430" s="7">
        <v>8.0500000000000007</v>
      </c>
      <c r="Y430" s="7">
        <v>8.0500000000000007</v>
      </c>
      <c r="Z430" s="5" t="s">
        <v>54</v>
      </c>
    </row>
    <row r="431" spans="1:26" x14ac:dyDescent="0.25">
      <c r="A431" s="5">
        <v>2026703544</v>
      </c>
      <c r="B431" s="5" t="s">
        <v>140</v>
      </c>
      <c r="C431" s="5" t="s">
        <v>485</v>
      </c>
      <c r="D431" s="5" t="str">
        <f t="shared" si="20"/>
        <v>WILLIAMS DOUGLAS</v>
      </c>
      <c r="E431" s="5" t="s">
        <v>69</v>
      </c>
      <c r="F431" s="5" t="s">
        <v>53</v>
      </c>
      <c r="G431" s="5" t="s">
        <v>54</v>
      </c>
      <c r="H431" s="5">
        <v>18828278</v>
      </c>
      <c r="I431" s="5" t="s">
        <v>97</v>
      </c>
      <c r="J431" s="5" t="s">
        <v>98</v>
      </c>
      <c r="K431" s="5" t="str">
        <f t="shared" si="18"/>
        <v>MICHAEL DUNAVANT</v>
      </c>
      <c r="L431" s="5" t="s">
        <v>57</v>
      </c>
      <c r="M431" s="6">
        <v>45689</v>
      </c>
      <c r="N431" s="6">
        <v>45992</v>
      </c>
      <c r="O431" s="7">
        <v>169.06</v>
      </c>
      <c r="P431" s="5">
        <f t="shared" si="19"/>
        <v>10</v>
      </c>
      <c r="Q431" s="5" t="s">
        <v>264</v>
      </c>
      <c r="R431" s="5" t="s">
        <v>1086</v>
      </c>
      <c r="S431" s="5" t="s">
        <v>58</v>
      </c>
      <c r="T431" s="8">
        <v>0.7</v>
      </c>
      <c r="U431" s="5" t="s">
        <v>60</v>
      </c>
      <c r="V431" s="5" t="s">
        <v>61</v>
      </c>
      <c r="W431" s="7">
        <v>0</v>
      </c>
      <c r="X431" s="7">
        <v>118.34</v>
      </c>
      <c r="Y431" s="7">
        <v>118.34</v>
      </c>
      <c r="Z431" s="5" t="s">
        <v>54</v>
      </c>
    </row>
    <row r="432" spans="1:26" x14ac:dyDescent="0.25">
      <c r="A432" s="5">
        <v>2026875934</v>
      </c>
      <c r="B432" s="5" t="s">
        <v>994</v>
      </c>
      <c r="C432" s="5" t="s">
        <v>995</v>
      </c>
      <c r="D432" s="5" t="str">
        <f t="shared" si="20"/>
        <v>RINCHINDORJ YERUULT</v>
      </c>
      <c r="E432" s="5" t="s">
        <v>69</v>
      </c>
      <c r="F432" s="5" t="s">
        <v>53</v>
      </c>
      <c r="G432" s="5" t="s">
        <v>54</v>
      </c>
      <c r="H432" s="5">
        <v>20220688</v>
      </c>
      <c r="I432" s="5" t="s">
        <v>769</v>
      </c>
      <c r="J432" s="5" t="s">
        <v>770</v>
      </c>
      <c r="K432" s="5" t="str">
        <f t="shared" si="18"/>
        <v>NASANDELGER ZANA</v>
      </c>
      <c r="L432" s="5" t="s">
        <v>57</v>
      </c>
      <c r="M432" s="6">
        <v>45689</v>
      </c>
      <c r="N432" s="6">
        <v>45992</v>
      </c>
      <c r="O432" s="7">
        <v>52</v>
      </c>
      <c r="P432" s="5">
        <f t="shared" si="19"/>
        <v>10</v>
      </c>
      <c r="Q432" s="5" t="s">
        <v>264</v>
      </c>
      <c r="R432" s="5" t="s">
        <v>1086</v>
      </c>
      <c r="S432" s="5" t="s">
        <v>58</v>
      </c>
      <c r="T432" s="8">
        <v>0.7</v>
      </c>
      <c r="U432" s="5" t="s">
        <v>60</v>
      </c>
      <c r="V432" s="5" t="s">
        <v>61</v>
      </c>
      <c r="W432" s="7">
        <v>0</v>
      </c>
      <c r="X432" s="7">
        <v>36.4</v>
      </c>
      <c r="Y432" s="7">
        <v>36.4</v>
      </c>
      <c r="Z432" s="5" t="s">
        <v>54</v>
      </c>
    </row>
    <row r="433" spans="1:26" x14ac:dyDescent="0.25">
      <c r="A433" s="5">
        <v>2026806627</v>
      </c>
      <c r="B433" s="5" t="s">
        <v>876</v>
      </c>
      <c r="C433" s="5" t="s">
        <v>647</v>
      </c>
      <c r="D433" s="5" t="str">
        <f t="shared" si="20"/>
        <v>FRIEDMAN EVAN</v>
      </c>
      <c r="E433" s="5" t="s">
        <v>190</v>
      </c>
      <c r="F433" s="5" t="s">
        <v>53</v>
      </c>
      <c r="G433" s="5" t="s">
        <v>54</v>
      </c>
      <c r="H433" s="5">
        <v>19200754</v>
      </c>
      <c r="I433" s="5" t="s">
        <v>228</v>
      </c>
      <c r="J433" s="5" t="s">
        <v>229</v>
      </c>
      <c r="K433" s="5" t="str">
        <f t="shared" si="18"/>
        <v>RICARDO SANTOS</v>
      </c>
      <c r="L433" s="5" t="s">
        <v>57</v>
      </c>
      <c r="M433" s="6">
        <v>45689</v>
      </c>
      <c r="N433" s="6">
        <v>45992</v>
      </c>
      <c r="O433" s="7">
        <v>26.32</v>
      </c>
      <c r="P433" s="5">
        <f t="shared" si="19"/>
        <v>10</v>
      </c>
      <c r="Q433" s="5" t="s">
        <v>264</v>
      </c>
      <c r="R433" s="5" t="s">
        <v>1086</v>
      </c>
      <c r="S433" s="5" t="s">
        <v>58</v>
      </c>
      <c r="T433" s="8">
        <v>0.7</v>
      </c>
      <c r="U433" s="5" t="s">
        <v>60</v>
      </c>
      <c r="V433" s="5" t="s">
        <v>61</v>
      </c>
      <c r="W433" s="7">
        <v>0</v>
      </c>
      <c r="X433" s="7">
        <v>18.420000000000002</v>
      </c>
      <c r="Y433" s="7">
        <v>18.420000000000002</v>
      </c>
      <c r="Z433" s="5" t="s">
        <v>54</v>
      </c>
    </row>
    <row r="434" spans="1:26" x14ac:dyDescent="0.25">
      <c r="A434" s="5">
        <v>2026756190</v>
      </c>
      <c r="B434" s="5" t="s">
        <v>984</v>
      </c>
      <c r="C434" s="5" t="s">
        <v>312</v>
      </c>
      <c r="D434" s="5" t="str">
        <f t="shared" si="20"/>
        <v>QIGLEY JOHN</v>
      </c>
      <c r="E434" s="5" t="s">
        <v>145</v>
      </c>
      <c r="F434" s="5" t="s">
        <v>53</v>
      </c>
      <c r="G434" s="5" t="s">
        <v>54</v>
      </c>
      <c r="H434" s="5">
        <v>16633294</v>
      </c>
      <c r="I434" s="5" t="s">
        <v>70</v>
      </c>
      <c r="J434" s="5" t="s">
        <v>183</v>
      </c>
      <c r="K434" s="5" t="str">
        <f t="shared" si="18"/>
        <v>Richard Yale</v>
      </c>
      <c r="L434" s="5" t="s">
        <v>57</v>
      </c>
      <c r="M434" s="6">
        <v>45689</v>
      </c>
      <c r="N434" s="6">
        <v>45992</v>
      </c>
      <c r="O434" s="7">
        <v>67.17</v>
      </c>
      <c r="P434" s="5">
        <f t="shared" si="19"/>
        <v>10</v>
      </c>
      <c r="Q434" s="5" t="s">
        <v>264</v>
      </c>
      <c r="R434" s="5" t="s">
        <v>1086</v>
      </c>
      <c r="S434" s="5" t="s">
        <v>58</v>
      </c>
      <c r="T434" s="8">
        <v>0.7</v>
      </c>
      <c r="U434" s="5" t="s">
        <v>60</v>
      </c>
      <c r="V434" s="5" t="s">
        <v>61</v>
      </c>
      <c r="W434" s="7">
        <v>0</v>
      </c>
      <c r="X434" s="7">
        <v>47.02</v>
      </c>
      <c r="Y434" s="7">
        <v>47.02</v>
      </c>
      <c r="Z434" s="5" t="s">
        <v>54</v>
      </c>
    </row>
    <row r="435" spans="1:26" x14ac:dyDescent="0.25">
      <c r="A435" s="5">
        <v>2026800264</v>
      </c>
      <c r="B435" s="5" t="s">
        <v>985</v>
      </c>
      <c r="C435" s="5" t="s">
        <v>986</v>
      </c>
      <c r="D435" s="5" t="str">
        <f t="shared" si="20"/>
        <v>BLACKSHAW KRISTIN</v>
      </c>
      <c r="E435" s="5" t="s">
        <v>69</v>
      </c>
      <c r="F435" s="5" t="s">
        <v>53</v>
      </c>
      <c r="G435" s="5" t="s">
        <v>54</v>
      </c>
      <c r="H435" s="5">
        <v>16633294</v>
      </c>
      <c r="I435" s="5" t="s">
        <v>70</v>
      </c>
      <c r="J435" s="5" t="s">
        <v>183</v>
      </c>
      <c r="K435" s="5" t="str">
        <f t="shared" si="18"/>
        <v>Richard Yale</v>
      </c>
      <c r="L435" s="5" t="s">
        <v>57</v>
      </c>
      <c r="M435" s="6">
        <v>45689</v>
      </c>
      <c r="N435" s="6">
        <v>45992</v>
      </c>
      <c r="O435" s="7">
        <v>67.900000000000006</v>
      </c>
      <c r="P435" s="5">
        <f t="shared" si="19"/>
        <v>10</v>
      </c>
      <c r="Q435" s="5" t="s">
        <v>264</v>
      </c>
      <c r="R435" s="5" t="s">
        <v>1086</v>
      </c>
      <c r="S435" s="5" t="s">
        <v>58</v>
      </c>
      <c r="T435" s="8">
        <v>0.7</v>
      </c>
      <c r="U435" s="5" t="s">
        <v>60</v>
      </c>
      <c r="V435" s="5" t="s">
        <v>61</v>
      </c>
      <c r="W435" s="7">
        <v>0</v>
      </c>
      <c r="X435" s="7">
        <v>47.53</v>
      </c>
      <c r="Y435" s="7">
        <v>47.53</v>
      </c>
      <c r="Z435" s="5" t="s">
        <v>54</v>
      </c>
    </row>
    <row r="436" spans="1:26" x14ac:dyDescent="0.25">
      <c r="A436" s="5">
        <v>2026806868</v>
      </c>
      <c r="B436" s="5" t="s">
        <v>987</v>
      </c>
      <c r="C436" s="5" t="s">
        <v>918</v>
      </c>
      <c r="D436" s="5" t="str">
        <f t="shared" si="20"/>
        <v>POHLMAN COURTNEY</v>
      </c>
      <c r="E436" s="5" t="s">
        <v>69</v>
      </c>
      <c r="F436" s="5" t="s">
        <v>53</v>
      </c>
      <c r="G436" s="5" t="s">
        <v>54</v>
      </c>
      <c r="H436" s="5">
        <v>16633294</v>
      </c>
      <c r="I436" s="5" t="s">
        <v>70</v>
      </c>
      <c r="J436" s="5" t="s">
        <v>183</v>
      </c>
      <c r="K436" s="5" t="str">
        <f t="shared" si="18"/>
        <v>Richard Yale</v>
      </c>
      <c r="L436" s="5" t="s">
        <v>57</v>
      </c>
      <c r="M436" s="6">
        <v>45689</v>
      </c>
      <c r="N436" s="6">
        <v>45992</v>
      </c>
      <c r="O436" s="7">
        <v>67.900000000000006</v>
      </c>
      <c r="P436" s="5">
        <f t="shared" si="19"/>
        <v>10</v>
      </c>
      <c r="Q436" s="5" t="s">
        <v>264</v>
      </c>
      <c r="R436" s="5" t="s">
        <v>1086</v>
      </c>
      <c r="S436" s="5" t="s">
        <v>58</v>
      </c>
      <c r="T436" s="8">
        <v>0.7</v>
      </c>
      <c r="U436" s="5" t="s">
        <v>60</v>
      </c>
      <c r="V436" s="5" t="s">
        <v>61</v>
      </c>
      <c r="W436" s="7">
        <v>0</v>
      </c>
      <c r="X436" s="7">
        <v>47.53</v>
      </c>
      <c r="Y436" s="7">
        <v>47.53</v>
      </c>
      <c r="Z436" s="5" t="s">
        <v>54</v>
      </c>
    </row>
    <row r="437" spans="1:26" x14ac:dyDescent="0.25">
      <c r="A437" s="5">
        <v>2026811301</v>
      </c>
      <c r="B437" s="5" t="s">
        <v>988</v>
      </c>
      <c r="C437" s="5" t="s">
        <v>66</v>
      </c>
      <c r="D437" s="5" t="str">
        <f t="shared" si="20"/>
        <v>HAVER MATTHEW</v>
      </c>
      <c r="E437" s="5" t="s">
        <v>69</v>
      </c>
      <c r="F437" s="5" t="s">
        <v>53</v>
      </c>
      <c r="G437" s="5" t="s">
        <v>54</v>
      </c>
      <c r="H437" s="5">
        <v>16633294</v>
      </c>
      <c r="I437" s="5" t="s">
        <v>70</v>
      </c>
      <c r="J437" s="5" t="s">
        <v>183</v>
      </c>
      <c r="K437" s="5" t="str">
        <f t="shared" si="18"/>
        <v>Richard Yale</v>
      </c>
      <c r="L437" s="5" t="s">
        <v>57</v>
      </c>
      <c r="M437" s="6">
        <v>45689</v>
      </c>
      <c r="N437" s="6">
        <v>45992</v>
      </c>
      <c r="O437" s="7">
        <v>190.44</v>
      </c>
      <c r="P437" s="5">
        <f t="shared" si="19"/>
        <v>10</v>
      </c>
      <c r="Q437" s="5" t="s">
        <v>264</v>
      </c>
      <c r="R437" s="5" t="s">
        <v>1086</v>
      </c>
      <c r="S437" s="5" t="s">
        <v>58</v>
      </c>
      <c r="T437" s="8">
        <v>0.7</v>
      </c>
      <c r="U437" s="5" t="s">
        <v>60</v>
      </c>
      <c r="V437" s="5" t="s">
        <v>61</v>
      </c>
      <c r="W437" s="7">
        <v>0</v>
      </c>
      <c r="X437" s="7">
        <v>133.31</v>
      </c>
      <c r="Y437" s="7">
        <v>133.31</v>
      </c>
      <c r="Z437" s="5" t="s">
        <v>54</v>
      </c>
    </row>
    <row r="438" spans="1:26" x14ac:dyDescent="0.25">
      <c r="A438" s="5">
        <v>2026857362</v>
      </c>
      <c r="B438" s="5" t="s">
        <v>993</v>
      </c>
      <c r="C438" s="5" t="s">
        <v>550</v>
      </c>
      <c r="D438" s="5" t="str">
        <f t="shared" si="20"/>
        <v>MORRELL TAMARA</v>
      </c>
      <c r="E438" s="5" t="s">
        <v>69</v>
      </c>
      <c r="F438" s="5" t="s">
        <v>53</v>
      </c>
      <c r="G438" s="5" t="s">
        <v>54</v>
      </c>
      <c r="H438" s="5">
        <v>16633294</v>
      </c>
      <c r="I438" s="5" t="s">
        <v>70</v>
      </c>
      <c r="J438" s="5" t="s">
        <v>183</v>
      </c>
      <c r="K438" s="5" t="str">
        <f t="shared" si="18"/>
        <v>Richard Yale</v>
      </c>
      <c r="L438" s="5" t="s">
        <v>57</v>
      </c>
      <c r="M438" s="6">
        <v>45689</v>
      </c>
      <c r="N438" s="6">
        <v>45992</v>
      </c>
      <c r="O438" s="7">
        <v>148.32</v>
      </c>
      <c r="P438" s="5">
        <f t="shared" si="19"/>
        <v>10</v>
      </c>
      <c r="Q438" s="5" t="s">
        <v>264</v>
      </c>
      <c r="R438" s="5" t="s">
        <v>1086</v>
      </c>
      <c r="S438" s="5" t="s">
        <v>58</v>
      </c>
      <c r="T438" s="8">
        <v>0.7</v>
      </c>
      <c r="U438" s="5" t="s">
        <v>60</v>
      </c>
      <c r="V438" s="5" t="s">
        <v>61</v>
      </c>
      <c r="W438" s="7">
        <v>0</v>
      </c>
      <c r="X438" s="7">
        <v>103.82</v>
      </c>
      <c r="Y438" s="7">
        <v>103.82</v>
      </c>
      <c r="Z438" s="5" t="s">
        <v>54</v>
      </c>
    </row>
    <row r="439" spans="1:26" x14ac:dyDescent="0.25">
      <c r="A439" s="5">
        <v>2026766427</v>
      </c>
      <c r="B439" s="5" t="s">
        <v>873</v>
      </c>
      <c r="C439" s="5" t="s">
        <v>874</v>
      </c>
      <c r="D439" s="5" t="str">
        <f t="shared" si="20"/>
        <v>MURATA SARAH</v>
      </c>
      <c r="E439" s="5" t="s">
        <v>69</v>
      </c>
      <c r="F439" s="5" t="s">
        <v>53</v>
      </c>
      <c r="G439" s="5" t="s">
        <v>54</v>
      </c>
      <c r="H439" s="5" t="s">
        <v>1082</v>
      </c>
      <c r="I439" s="5" t="s">
        <v>371</v>
      </c>
      <c r="J439" s="5" t="s">
        <v>372</v>
      </c>
      <c r="K439" s="5" t="str">
        <f t="shared" si="18"/>
        <v>VICTOR FUENTES</v>
      </c>
      <c r="L439" s="5" t="s">
        <v>57</v>
      </c>
      <c r="M439" s="6">
        <v>45689</v>
      </c>
      <c r="N439" s="6">
        <v>45992</v>
      </c>
      <c r="O439" s="7">
        <v>145.41999999999999</v>
      </c>
      <c r="P439" s="5">
        <f t="shared" si="19"/>
        <v>10</v>
      </c>
      <c r="Q439" s="5" t="s">
        <v>264</v>
      </c>
      <c r="R439" s="5" t="s">
        <v>1086</v>
      </c>
      <c r="S439" s="5" t="s">
        <v>58</v>
      </c>
      <c r="T439" s="8">
        <v>0.7</v>
      </c>
      <c r="U439" s="5" t="s">
        <v>60</v>
      </c>
      <c r="V439" s="5" t="s">
        <v>61</v>
      </c>
      <c r="W439" s="7">
        <v>0</v>
      </c>
      <c r="X439" s="7">
        <v>101.79</v>
      </c>
      <c r="Y439" s="7">
        <v>101.79</v>
      </c>
      <c r="Z439" s="5" t="s">
        <v>54</v>
      </c>
    </row>
    <row r="440" spans="1:26" x14ac:dyDescent="0.25">
      <c r="A440" s="5">
        <v>2026817012</v>
      </c>
      <c r="B440" s="5" t="s">
        <v>602</v>
      </c>
      <c r="C440" s="5" t="s">
        <v>603</v>
      </c>
      <c r="D440" s="5" t="str">
        <f t="shared" si="20"/>
        <v>BRINK JENNA</v>
      </c>
      <c r="E440" s="5" t="s">
        <v>92</v>
      </c>
      <c r="F440" s="5" t="s">
        <v>53</v>
      </c>
      <c r="G440" s="5" t="s">
        <v>54</v>
      </c>
      <c r="H440" s="5">
        <v>21313588</v>
      </c>
      <c r="I440" s="5" t="s">
        <v>604</v>
      </c>
      <c r="J440" s="5" t="s">
        <v>110</v>
      </c>
      <c r="K440" s="5" t="str">
        <f t="shared" si="18"/>
        <v>WILLIAM GESKE</v>
      </c>
      <c r="L440" s="5" t="s">
        <v>57</v>
      </c>
      <c r="M440" s="6">
        <v>45689</v>
      </c>
      <c r="N440" s="6">
        <v>45992</v>
      </c>
      <c r="O440" s="7">
        <v>9.1</v>
      </c>
      <c r="P440" s="5">
        <f t="shared" si="19"/>
        <v>10</v>
      </c>
      <c r="Q440" s="5" t="s">
        <v>264</v>
      </c>
      <c r="R440" s="5" t="s">
        <v>1086</v>
      </c>
      <c r="S440" s="5" t="s">
        <v>58</v>
      </c>
      <c r="T440" s="8">
        <v>0.7</v>
      </c>
      <c r="U440" s="5" t="s">
        <v>60</v>
      </c>
      <c r="V440" s="5" t="s">
        <v>61</v>
      </c>
      <c r="W440" s="7">
        <v>0</v>
      </c>
      <c r="X440" s="7">
        <v>6.37</v>
      </c>
      <c r="Y440" s="7">
        <v>6.37</v>
      </c>
      <c r="Z440" s="5" t="s">
        <v>54</v>
      </c>
    </row>
    <row r="441" spans="1:26" x14ac:dyDescent="0.25">
      <c r="A441" s="5">
        <v>2026262565</v>
      </c>
      <c r="B441" s="5" t="s">
        <v>580</v>
      </c>
      <c r="C441" s="5" t="s">
        <v>581</v>
      </c>
      <c r="D441" s="5" t="str">
        <f t="shared" si="20"/>
        <v>RIZO ESTEBAN</v>
      </c>
      <c r="E441" s="5" t="s">
        <v>92</v>
      </c>
      <c r="F441" s="5" t="s">
        <v>53</v>
      </c>
      <c r="G441" s="5" t="s">
        <v>54</v>
      </c>
      <c r="H441" s="5">
        <v>16865615</v>
      </c>
      <c r="I441" s="5" t="s">
        <v>93</v>
      </c>
      <c r="J441" s="5" t="s">
        <v>94</v>
      </c>
      <c r="K441" s="5" t="str">
        <f t="shared" si="18"/>
        <v>Heather Geske</v>
      </c>
      <c r="L441" s="5" t="s">
        <v>57</v>
      </c>
      <c r="M441" s="6">
        <v>45647</v>
      </c>
      <c r="N441" s="6">
        <v>45982</v>
      </c>
      <c r="O441" s="7">
        <v>9.1</v>
      </c>
      <c r="P441" s="5">
        <f t="shared" si="19"/>
        <v>11</v>
      </c>
      <c r="Q441" s="5" t="s">
        <v>264</v>
      </c>
      <c r="R441" s="5" t="s">
        <v>1086</v>
      </c>
      <c r="S441" s="5" t="s">
        <v>58</v>
      </c>
      <c r="T441" s="8">
        <v>0.7</v>
      </c>
      <c r="U441" s="5" t="s">
        <v>60</v>
      </c>
      <c r="V441" s="5" t="s">
        <v>61</v>
      </c>
      <c r="W441" s="7">
        <v>0</v>
      </c>
      <c r="X441" s="7">
        <v>6.37</v>
      </c>
      <c r="Y441" s="7">
        <v>6.37</v>
      </c>
      <c r="Z441" s="5" t="s">
        <v>54</v>
      </c>
    </row>
    <row r="442" spans="1:26" x14ac:dyDescent="0.25">
      <c r="A442" s="5">
        <v>2026341991</v>
      </c>
      <c r="B442" s="5" t="s">
        <v>773</v>
      </c>
      <c r="C442" s="5" t="s">
        <v>774</v>
      </c>
      <c r="D442" s="5" t="str">
        <f t="shared" si="20"/>
        <v>BAYARSAIKHAN BATBOLD</v>
      </c>
      <c r="E442" s="5" t="s">
        <v>69</v>
      </c>
      <c r="F442" s="5" t="s">
        <v>53</v>
      </c>
      <c r="G442" s="5" t="s">
        <v>54</v>
      </c>
      <c r="H442" s="5">
        <v>20220688</v>
      </c>
      <c r="I442" s="5" t="s">
        <v>769</v>
      </c>
      <c r="J442" s="5" t="s">
        <v>770</v>
      </c>
      <c r="K442" s="5" t="str">
        <f t="shared" si="18"/>
        <v>NASANDELGER ZANA</v>
      </c>
      <c r="L442" s="5" t="s">
        <v>57</v>
      </c>
      <c r="M442" s="6">
        <v>45654</v>
      </c>
      <c r="N442" s="6">
        <v>45989</v>
      </c>
      <c r="O442" s="7">
        <v>58.24</v>
      </c>
      <c r="P442" s="5">
        <f t="shared" si="19"/>
        <v>11</v>
      </c>
      <c r="Q442" s="5" t="s">
        <v>264</v>
      </c>
      <c r="R442" s="5" t="s">
        <v>1086</v>
      </c>
      <c r="S442" s="5" t="s">
        <v>58</v>
      </c>
      <c r="T442" s="8">
        <v>0.7</v>
      </c>
      <c r="U442" s="5" t="s">
        <v>60</v>
      </c>
      <c r="V442" s="5" t="s">
        <v>61</v>
      </c>
      <c r="W442" s="7">
        <v>0</v>
      </c>
      <c r="X442" s="7">
        <v>40.770000000000003</v>
      </c>
      <c r="Y442" s="7">
        <v>40.770000000000003</v>
      </c>
      <c r="Z442" s="5" t="s">
        <v>54</v>
      </c>
    </row>
    <row r="443" spans="1:26" x14ac:dyDescent="0.25">
      <c r="A443" s="5">
        <v>2025961561</v>
      </c>
      <c r="B443" s="5" t="s">
        <v>767</v>
      </c>
      <c r="C443" s="5" t="s">
        <v>768</v>
      </c>
      <c r="D443" s="5" t="str">
        <f t="shared" si="20"/>
        <v>BATDELGER TSERENBAT</v>
      </c>
      <c r="E443" s="5" t="s">
        <v>69</v>
      </c>
      <c r="F443" s="5" t="s">
        <v>53</v>
      </c>
      <c r="G443" s="5" t="s">
        <v>54</v>
      </c>
      <c r="H443" s="5">
        <v>20220688</v>
      </c>
      <c r="I443" s="5" t="s">
        <v>769</v>
      </c>
      <c r="J443" s="5" t="s">
        <v>770</v>
      </c>
      <c r="K443" s="5" t="str">
        <f t="shared" si="18"/>
        <v>NASANDELGER ZANA</v>
      </c>
      <c r="L443" s="5" t="s">
        <v>57</v>
      </c>
      <c r="M443" s="6">
        <v>45624</v>
      </c>
      <c r="N443" s="6">
        <v>45989</v>
      </c>
      <c r="O443" s="7">
        <v>102.7</v>
      </c>
      <c r="P443" s="5">
        <f t="shared" si="19"/>
        <v>12</v>
      </c>
      <c r="Q443" s="5" t="s">
        <v>264</v>
      </c>
      <c r="R443" s="5" t="s">
        <v>1086</v>
      </c>
      <c r="S443" s="5" t="s">
        <v>58</v>
      </c>
      <c r="T443" s="8">
        <v>0.7</v>
      </c>
      <c r="U443" s="5" t="s">
        <v>60</v>
      </c>
      <c r="V443" s="5" t="s">
        <v>61</v>
      </c>
      <c r="W443" s="7">
        <v>0</v>
      </c>
      <c r="X443" s="7">
        <v>71.89</v>
      </c>
      <c r="Y443" s="7">
        <v>71.89</v>
      </c>
      <c r="Z443" s="5" t="s">
        <v>54</v>
      </c>
    </row>
    <row r="444" spans="1:26" x14ac:dyDescent="0.25">
      <c r="A444">
        <v>2030297553</v>
      </c>
      <c r="B444" t="s">
        <v>236</v>
      </c>
      <c r="C444" t="s">
        <v>56</v>
      </c>
      <c r="D444" s="5" t="str">
        <f t="shared" si="20"/>
        <v>HEATHER RYAN</v>
      </c>
      <c r="E444" t="s">
        <v>165</v>
      </c>
      <c r="F444" t="s">
        <v>53</v>
      </c>
      <c r="G444" t="s">
        <v>54</v>
      </c>
      <c r="H444" t="s">
        <v>1083</v>
      </c>
      <c r="I444" t="s">
        <v>70</v>
      </c>
      <c r="J444" t="s">
        <v>71</v>
      </c>
      <c r="K444" t="str">
        <f t="shared" si="18"/>
        <v>Chad Yale</v>
      </c>
      <c r="L444" t="s">
        <v>57</v>
      </c>
      <c r="M444" s="1">
        <v>45901</v>
      </c>
      <c r="N444" s="1">
        <v>45962</v>
      </c>
      <c r="O444" s="2">
        <v>28.38</v>
      </c>
      <c r="P444">
        <f t="shared" si="19"/>
        <v>2</v>
      </c>
      <c r="Q444" t="s">
        <v>264</v>
      </c>
      <c r="R444" t="s">
        <v>1086</v>
      </c>
      <c r="S444" t="s">
        <v>58</v>
      </c>
      <c r="T444" s="3">
        <v>0.7</v>
      </c>
      <c r="U444" t="s">
        <v>60</v>
      </c>
      <c r="V444" t="s">
        <v>61</v>
      </c>
      <c r="W444" s="2">
        <v>19.87</v>
      </c>
      <c r="X444" s="2">
        <v>0</v>
      </c>
      <c r="Y444" s="2">
        <v>19.87</v>
      </c>
      <c r="Z444" s="5" t="s">
        <v>54</v>
      </c>
    </row>
    <row r="445" spans="1:26" x14ac:dyDescent="0.25">
      <c r="A445">
        <v>2031266651</v>
      </c>
      <c r="B445" t="s">
        <v>255</v>
      </c>
      <c r="C445" t="s">
        <v>256</v>
      </c>
      <c r="D445" s="5" t="str">
        <f t="shared" si="20"/>
        <v>LESTER SAVANNAH</v>
      </c>
      <c r="E445" t="s">
        <v>190</v>
      </c>
      <c r="F445" t="s">
        <v>53</v>
      </c>
      <c r="G445" t="s">
        <v>54</v>
      </c>
      <c r="H445" t="s">
        <v>1081</v>
      </c>
      <c r="I445" t="s">
        <v>191</v>
      </c>
      <c r="J445" t="s">
        <v>192</v>
      </c>
      <c r="K445" t="str">
        <f t="shared" si="18"/>
        <v>JARED KINYUA</v>
      </c>
      <c r="L445" t="s">
        <v>57</v>
      </c>
      <c r="M445" s="1">
        <v>45926</v>
      </c>
      <c r="N445" s="1">
        <v>45987</v>
      </c>
      <c r="O445" s="2">
        <v>23.28</v>
      </c>
      <c r="P445">
        <f t="shared" si="19"/>
        <v>2</v>
      </c>
      <c r="Q445" t="s">
        <v>264</v>
      </c>
      <c r="R445" t="s">
        <v>1086</v>
      </c>
      <c r="S445" t="s">
        <v>58</v>
      </c>
      <c r="T445" s="3">
        <v>0.7</v>
      </c>
      <c r="U445" t="s">
        <v>60</v>
      </c>
      <c r="V445" t="s">
        <v>61</v>
      </c>
      <c r="W445" s="2">
        <v>16.3</v>
      </c>
      <c r="X445" s="2">
        <v>0</v>
      </c>
      <c r="Y445" s="2">
        <v>16.3</v>
      </c>
      <c r="Z445" s="5" t="s">
        <v>54</v>
      </c>
    </row>
    <row r="446" spans="1:26" x14ac:dyDescent="0.25">
      <c r="A446">
        <v>2030857319</v>
      </c>
      <c r="B446" t="s">
        <v>239</v>
      </c>
      <c r="C446" t="s">
        <v>240</v>
      </c>
      <c r="D446" s="5" t="str">
        <f t="shared" si="20"/>
        <v>HOPSON JUSTIN</v>
      </c>
      <c r="E446" t="s">
        <v>234</v>
      </c>
      <c r="F446" t="s">
        <v>53</v>
      </c>
      <c r="G446" t="s">
        <v>54</v>
      </c>
      <c r="H446" t="s">
        <v>1081</v>
      </c>
      <c r="I446" t="s">
        <v>191</v>
      </c>
      <c r="J446" t="s">
        <v>192</v>
      </c>
      <c r="K446" t="str">
        <f t="shared" si="18"/>
        <v>JARED KINYUA</v>
      </c>
      <c r="L446" t="s">
        <v>57</v>
      </c>
      <c r="M446" s="1">
        <v>45904</v>
      </c>
      <c r="N446" s="1">
        <v>45965</v>
      </c>
      <c r="O446" s="2">
        <v>30.88</v>
      </c>
      <c r="P446">
        <f t="shared" si="19"/>
        <v>2</v>
      </c>
      <c r="Q446" t="s">
        <v>264</v>
      </c>
      <c r="R446" t="s">
        <v>1086</v>
      </c>
      <c r="S446" t="s">
        <v>58</v>
      </c>
      <c r="T446" s="3">
        <v>0.7</v>
      </c>
      <c r="U446" t="s">
        <v>60</v>
      </c>
      <c r="V446" t="s">
        <v>61</v>
      </c>
      <c r="W446" s="2">
        <v>21.62</v>
      </c>
      <c r="X446" s="2">
        <v>0</v>
      </c>
      <c r="Y446" s="2">
        <v>21.62</v>
      </c>
      <c r="Z446" s="5" t="s">
        <v>54</v>
      </c>
    </row>
    <row r="447" spans="1:26" x14ac:dyDescent="0.25">
      <c r="A447">
        <v>2030801810</v>
      </c>
      <c r="B447" t="s">
        <v>232</v>
      </c>
      <c r="C447" t="s">
        <v>233</v>
      </c>
      <c r="D447" s="5" t="str">
        <f t="shared" si="20"/>
        <v>TIMOTHY CHAPMAN</v>
      </c>
      <c r="E447" t="s">
        <v>234</v>
      </c>
      <c r="F447" t="s">
        <v>53</v>
      </c>
      <c r="G447" t="s">
        <v>54</v>
      </c>
      <c r="H447">
        <v>9079571</v>
      </c>
      <c r="I447" t="s">
        <v>155</v>
      </c>
      <c r="J447" t="s">
        <v>156</v>
      </c>
      <c r="K447" t="str">
        <f t="shared" si="18"/>
        <v>ADAM RICHTER</v>
      </c>
      <c r="L447" t="s">
        <v>57</v>
      </c>
      <c r="M447" s="1">
        <v>45901</v>
      </c>
      <c r="N447" s="1">
        <v>45992</v>
      </c>
      <c r="O447" s="2">
        <v>15.29</v>
      </c>
      <c r="P447">
        <f t="shared" si="19"/>
        <v>3</v>
      </c>
      <c r="Q447" t="s">
        <v>264</v>
      </c>
      <c r="R447" t="s">
        <v>1086</v>
      </c>
      <c r="S447" t="s">
        <v>58</v>
      </c>
      <c r="T447" s="3">
        <v>0.7</v>
      </c>
      <c r="U447" t="s">
        <v>60</v>
      </c>
      <c r="V447" t="s">
        <v>61</v>
      </c>
      <c r="W447" s="2">
        <v>10.7</v>
      </c>
      <c r="X447" s="2">
        <v>0</v>
      </c>
      <c r="Y447" s="2">
        <v>10.7</v>
      </c>
      <c r="Z447" s="5" t="s">
        <v>54</v>
      </c>
    </row>
    <row r="448" spans="1:26" x14ac:dyDescent="0.25">
      <c r="A448">
        <v>2030453119</v>
      </c>
      <c r="B448" t="s">
        <v>86</v>
      </c>
      <c r="C448" t="s">
        <v>87</v>
      </c>
      <c r="D448" s="5" t="str">
        <f t="shared" si="20"/>
        <v>NICHOLAS FUS</v>
      </c>
      <c r="E448" t="s">
        <v>69</v>
      </c>
      <c r="F448" t="s">
        <v>53</v>
      </c>
      <c r="G448" t="s">
        <v>54</v>
      </c>
      <c r="H448">
        <v>21348299</v>
      </c>
      <c r="I448" t="s">
        <v>88</v>
      </c>
      <c r="J448" t="s">
        <v>89</v>
      </c>
      <c r="K448" t="str">
        <f t="shared" si="18"/>
        <v>BARRY BRENNER</v>
      </c>
      <c r="L448" t="s">
        <v>57</v>
      </c>
      <c r="M448" s="1">
        <v>45901</v>
      </c>
      <c r="N448" s="1">
        <v>45992</v>
      </c>
      <c r="O448" s="2">
        <v>31.6</v>
      </c>
      <c r="P448">
        <f t="shared" si="19"/>
        <v>3</v>
      </c>
      <c r="Q448" t="s">
        <v>264</v>
      </c>
      <c r="R448" t="s">
        <v>1086</v>
      </c>
      <c r="S448" t="s">
        <v>58</v>
      </c>
      <c r="T448" s="3">
        <v>0.7</v>
      </c>
      <c r="U448" t="s">
        <v>60</v>
      </c>
      <c r="V448" t="s">
        <v>61</v>
      </c>
      <c r="W448" s="2">
        <v>22.12</v>
      </c>
      <c r="X448" s="2">
        <v>0</v>
      </c>
      <c r="Y448" s="2">
        <v>22.12</v>
      </c>
      <c r="Z448" s="5" t="s">
        <v>54</v>
      </c>
    </row>
    <row r="449" spans="1:26" x14ac:dyDescent="0.25">
      <c r="A449">
        <v>2030361122</v>
      </c>
      <c r="B449" t="s">
        <v>67</v>
      </c>
      <c r="C449" t="s">
        <v>68</v>
      </c>
      <c r="D449" s="5" t="str">
        <f t="shared" si="20"/>
        <v>GIUSEPPE PULVINO</v>
      </c>
      <c r="E449" t="s">
        <v>69</v>
      </c>
      <c r="F449" t="s">
        <v>53</v>
      </c>
      <c r="G449" t="s">
        <v>54</v>
      </c>
      <c r="H449" t="s">
        <v>1083</v>
      </c>
      <c r="I449" t="s">
        <v>70</v>
      </c>
      <c r="J449" t="s">
        <v>71</v>
      </c>
      <c r="K449" t="str">
        <f t="shared" si="18"/>
        <v>Chad Yale</v>
      </c>
      <c r="L449" t="s">
        <v>57</v>
      </c>
      <c r="M449" s="1">
        <v>45901</v>
      </c>
      <c r="N449" s="1">
        <v>45992</v>
      </c>
      <c r="O449" s="2">
        <v>78.069999999999993</v>
      </c>
      <c r="P449">
        <f t="shared" si="19"/>
        <v>3</v>
      </c>
      <c r="Q449" t="s">
        <v>264</v>
      </c>
      <c r="R449" t="s">
        <v>1086</v>
      </c>
      <c r="S449" t="s">
        <v>58</v>
      </c>
      <c r="T449" s="3">
        <v>0.7</v>
      </c>
      <c r="U449" t="s">
        <v>60</v>
      </c>
      <c r="V449" t="s">
        <v>61</v>
      </c>
      <c r="W449" s="2">
        <v>54.65</v>
      </c>
      <c r="X449" s="2">
        <v>0</v>
      </c>
      <c r="Y449" s="2">
        <v>54.65</v>
      </c>
      <c r="Z449" s="5" t="s">
        <v>54</v>
      </c>
    </row>
    <row r="450" spans="1:26" x14ac:dyDescent="0.25">
      <c r="A450">
        <v>2030570950</v>
      </c>
      <c r="B450" t="s">
        <v>137</v>
      </c>
      <c r="C450" t="s">
        <v>138</v>
      </c>
      <c r="D450" s="5" t="str">
        <f t="shared" si="20"/>
        <v>LESA CRANE</v>
      </c>
      <c r="E450" t="s">
        <v>69</v>
      </c>
      <c r="F450" t="s">
        <v>53</v>
      </c>
      <c r="G450" t="s">
        <v>54</v>
      </c>
      <c r="H450" t="s">
        <v>1083</v>
      </c>
      <c r="I450" t="s">
        <v>70</v>
      </c>
      <c r="J450" t="s">
        <v>71</v>
      </c>
      <c r="K450" t="str">
        <f t="shared" ref="K450:K513" si="21">CONCATENATE(J450, " ",I450)</f>
        <v>Chad Yale</v>
      </c>
      <c r="L450" t="s">
        <v>57</v>
      </c>
      <c r="M450" s="1">
        <v>45901</v>
      </c>
      <c r="N450" s="1">
        <v>45992</v>
      </c>
      <c r="O450" s="2">
        <v>66.36</v>
      </c>
      <c r="P450">
        <f t="shared" ref="P450:P513" si="22">DATEDIF(M450,N450,"M")</f>
        <v>3</v>
      </c>
      <c r="Q450" t="s">
        <v>264</v>
      </c>
      <c r="R450" t="s">
        <v>1086</v>
      </c>
      <c r="S450" t="s">
        <v>58</v>
      </c>
      <c r="T450" s="3">
        <v>0.7</v>
      </c>
      <c r="U450" t="s">
        <v>60</v>
      </c>
      <c r="V450" t="s">
        <v>61</v>
      </c>
      <c r="W450" s="2">
        <v>46.45</v>
      </c>
      <c r="X450" s="2">
        <v>0</v>
      </c>
      <c r="Y450" s="2">
        <v>46.45</v>
      </c>
      <c r="Z450" s="5" t="s">
        <v>54</v>
      </c>
    </row>
    <row r="451" spans="1:26" x14ac:dyDescent="0.25">
      <c r="A451">
        <v>2030297553</v>
      </c>
      <c r="B451" t="s">
        <v>236</v>
      </c>
      <c r="C451" t="s">
        <v>56</v>
      </c>
      <c r="D451" s="5" t="str">
        <f t="shared" ref="D451:D514" si="23">CONCATENATE(B451, " ",C451)</f>
        <v>HEATHER RYAN</v>
      </c>
      <c r="E451" t="s">
        <v>165</v>
      </c>
      <c r="F451" t="s">
        <v>53</v>
      </c>
      <c r="G451" t="s">
        <v>54</v>
      </c>
      <c r="H451" t="s">
        <v>1083</v>
      </c>
      <c r="I451" t="s">
        <v>70</v>
      </c>
      <c r="J451" t="s">
        <v>71</v>
      </c>
      <c r="K451" t="str">
        <f t="shared" si="21"/>
        <v>Chad Yale</v>
      </c>
      <c r="L451" t="s">
        <v>57</v>
      </c>
      <c r="M451" s="1">
        <v>45901</v>
      </c>
      <c r="N451" s="1">
        <v>45992</v>
      </c>
      <c r="O451" s="2">
        <v>28.38</v>
      </c>
      <c r="P451">
        <f t="shared" si="22"/>
        <v>3</v>
      </c>
      <c r="Q451" t="s">
        <v>264</v>
      </c>
      <c r="R451" t="s">
        <v>1086</v>
      </c>
      <c r="S451" t="s">
        <v>58</v>
      </c>
      <c r="T451" s="3">
        <v>0.7</v>
      </c>
      <c r="U451" t="s">
        <v>60</v>
      </c>
      <c r="V451" t="s">
        <v>61</v>
      </c>
      <c r="W451" s="2">
        <v>19.87</v>
      </c>
      <c r="X451" s="2">
        <v>0</v>
      </c>
      <c r="Y451" s="2">
        <v>19.87</v>
      </c>
      <c r="Z451" s="5" t="s">
        <v>54</v>
      </c>
    </row>
    <row r="452" spans="1:26" x14ac:dyDescent="0.25">
      <c r="A452">
        <v>2030659851</v>
      </c>
      <c r="B452" t="s">
        <v>167</v>
      </c>
      <c r="C452" t="s">
        <v>168</v>
      </c>
      <c r="D452" s="5" t="str">
        <f t="shared" si="23"/>
        <v>CHARLES BENISH</v>
      </c>
      <c r="E452" t="s">
        <v>69</v>
      </c>
      <c r="F452" t="s">
        <v>53</v>
      </c>
      <c r="G452" t="s">
        <v>54</v>
      </c>
      <c r="H452">
        <v>17437820</v>
      </c>
      <c r="I452" t="s">
        <v>169</v>
      </c>
      <c r="J452" t="s">
        <v>170</v>
      </c>
      <c r="K452" t="str">
        <f t="shared" si="21"/>
        <v>COLLEEN FINNIGAN</v>
      </c>
      <c r="L452" t="s">
        <v>57</v>
      </c>
      <c r="M452" s="1">
        <v>45901</v>
      </c>
      <c r="N452" s="1">
        <v>45992</v>
      </c>
      <c r="O452" s="2">
        <v>31.6</v>
      </c>
      <c r="P452">
        <f t="shared" si="22"/>
        <v>3</v>
      </c>
      <c r="Q452" t="s">
        <v>264</v>
      </c>
      <c r="R452" t="s">
        <v>1086</v>
      </c>
      <c r="S452" t="s">
        <v>58</v>
      </c>
      <c r="T452" s="3">
        <v>0.7</v>
      </c>
      <c r="U452" t="s">
        <v>60</v>
      </c>
      <c r="V452" t="s">
        <v>61</v>
      </c>
      <c r="W452" s="2">
        <v>22.12</v>
      </c>
      <c r="X452" s="2">
        <v>0</v>
      </c>
      <c r="Y452" s="2">
        <v>22.12</v>
      </c>
      <c r="Z452" s="5" t="s">
        <v>54</v>
      </c>
    </row>
    <row r="453" spans="1:26" x14ac:dyDescent="0.25">
      <c r="A453">
        <v>2030800611</v>
      </c>
      <c r="B453" t="s">
        <v>230</v>
      </c>
      <c r="C453" t="s">
        <v>231</v>
      </c>
      <c r="D453" s="5" t="str">
        <f t="shared" si="23"/>
        <v>MARY JONES</v>
      </c>
      <c r="E453" t="s">
        <v>69</v>
      </c>
      <c r="F453" t="s">
        <v>53</v>
      </c>
      <c r="G453" t="s">
        <v>54</v>
      </c>
      <c r="H453">
        <v>9213293</v>
      </c>
      <c r="I453" t="s">
        <v>82</v>
      </c>
      <c r="J453" t="s">
        <v>83</v>
      </c>
      <c r="K453" t="str">
        <f t="shared" si="21"/>
        <v>GARY PORTUGAL</v>
      </c>
      <c r="L453" t="s">
        <v>57</v>
      </c>
      <c r="M453" s="1">
        <v>45901</v>
      </c>
      <c r="N453" s="1">
        <v>45992</v>
      </c>
      <c r="O453" s="2">
        <v>95.54</v>
      </c>
      <c r="P453">
        <f t="shared" si="22"/>
        <v>3</v>
      </c>
      <c r="Q453" t="s">
        <v>264</v>
      </c>
      <c r="R453" t="s">
        <v>1086</v>
      </c>
      <c r="S453" t="s">
        <v>58</v>
      </c>
      <c r="T453" s="3">
        <v>0.7</v>
      </c>
      <c r="U453" t="s">
        <v>60</v>
      </c>
      <c r="V453" t="s">
        <v>61</v>
      </c>
      <c r="W453" s="2">
        <v>66.88</v>
      </c>
      <c r="X453" s="2">
        <v>0</v>
      </c>
      <c r="Y453" s="2">
        <v>66.88</v>
      </c>
      <c r="Z453" s="5" t="s">
        <v>54</v>
      </c>
    </row>
    <row r="454" spans="1:26" x14ac:dyDescent="0.25">
      <c r="A454">
        <v>2030409866</v>
      </c>
      <c r="B454" t="s">
        <v>79</v>
      </c>
      <c r="C454" t="s">
        <v>80</v>
      </c>
      <c r="D454" s="5" t="str">
        <f t="shared" si="23"/>
        <v>KRISTOPHER WOLFF</v>
      </c>
      <c r="E454" t="s">
        <v>81</v>
      </c>
      <c r="F454" t="s">
        <v>53</v>
      </c>
      <c r="G454" t="s">
        <v>54</v>
      </c>
      <c r="H454">
        <v>9213293</v>
      </c>
      <c r="I454" t="s">
        <v>82</v>
      </c>
      <c r="J454" t="s">
        <v>83</v>
      </c>
      <c r="K454" t="str">
        <f t="shared" si="21"/>
        <v>GARY PORTUGAL</v>
      </c>
      <c r="L454" t="s">
        <v>57</v>
      </c>
      <c r="M454" s="1">
        <v>45901</v>
      </c>
      <c r="N454" s="1">
        <v>45992</v>
      </c>
      <c r="O454" s="2">
        <v>66.239999999999995</v>
      </c>
      <c r="P454">
        <f t="shared" si="22"/>
        <v>3</v>
      </c>
      <c r="Q454" t="s">
        <v>264</v>
      </c>
      <c r="R454" t="s">
        <v>1086</v>
      </c>
      <c r="S454" t="s">
        <v>58</v>
      </c>
      <c r="T454" s="3">
        <v>0.7</v>
      </c>
      <c r="U454" t="s">
        <v>60</v>
      </c>
      <c r="V454" t="s">
        <v>61</v>
      </c>
      <c r="W454" s="2">
        <v>46.37</v>
      </c>
      <c r="X454" s="2">
        <v>0</v>
      </c>
      <c r="Y454" s="2">
        <v>46.37</v>
      </c>
      <c r="Z454" s="5" t="s">
        <v>54</v>
      </c>
    </row>
    <row r="455" spans="1:26" x14ac:dyDescent="0.25">
      <c r="A455">
        <v>2030579017</v>
      </c>
      <c r="B455" t="s">
        <v>143</v>
      </c>
      <c r="C455" t="s">
        <v>144</v>
      </c>
      <c r="D455" s="5" t="str">
        <f t="shared" si="23"/>
        <v>DUSTIN CALKINS</v>
      </c>
      <c r="E455" t="s">
        <v>145</v>
      </c>
      <c r="F455" t="s">
        <v>53</v>
      </c>
      <c r="G455" t="s">
        <v>54</v>
      </c>
      <c r="H455">
        <v>18754354</v>
      </c>
      <c r="I455" t="s">
        <v>114</v>
      </c>
      <c r="J455" t="s">
        <v>115</v>
      </c>
      <c r="K455" t="str">
        <f t="shared" si="21"/>
        <v>JACOB YALE</v>
      </c>
      <c r="L455" t="s">
        <v>57</v>
      </c>
      <c r="M455" s="1">
        <v>45901</v>
      </c>
      <c r="N455" s="1">
        <v>45992</v>
      </c>
      <c r="O455" s="2">
        <v>109.25</v>
      </c>
      <c r="P455">
        <f t="shared" si="22"/>
        <v>3</v>
      </c>
      <c r="Q455" t="s">
        <v>264</v>
      </c>
      <c r="R455" t="s">
        <v>1086</v>
      </c>
      <c r="S455" t="s">
        <v>58</v>
      </c>
      <c r="T455" s="3">
        <v>0.7</v>
      </c>
      <c r="U455" t="s">
        <v>60</v>
      </c>
      <c r="V455" t="s">
        <v>61</v>
      </c>
      <c r="W455" s="2">
        <v>76.48</v>
      </c>
      <c r="X455" s="2">
        <v>0</v>
      </c>
      <c r="Y455" s="2">
        <v>76.48</v>
      </c>
      <c r="Z455" s="5" t="s">
        <v>54</v>
      </c>
    </row>
    <row r="456" spans="1:26" x14ac:dyDescent="0.25">
      <c r="A456">
        <v>2030499770</v>
      </c>
      <c r="B456" t="s">
        <v>112</v>
      </c>
      <c r="C456" t="s">
        <v>113</v>
      </c>
      <c r="D456" s="5" t="str">
        <f t="shared" si="23"/>
        <v>WENDELL ARNOLD</v>
      </c>
      <c r="E456" t="s">
        <v>52</v>
      </c>
      <c r="F456" t="s">
        <v>53</v>
      </c>
      <c r="G456" t="s">
        <v>54</v>
      </c>
      <c r="H456">
        <v>18754354</v>
      </c>
      <c r="I456" t="s">
        <v>114</v>
      </c>
      <c r="J456" t="s">
        <v>115</v>
      </c>
      <c r="K456" t="str">
        <f t="shared" si="21"/>
        <v>JACOB YALE</v>
      </c>
      <c r="L456" t="s">
        <v>57</v>
      </c>
      <c r="M456" s="1">
        <v>45901</v>
      </c>
      <c r="N456" s="1">
        <v>45992</v>
      </c>
      <c r="O456" s="2">
        <v>30.86</v>
      </c>
      <c r="P456">
        <f t="shared" si="22"/>
        <v>3</v>
      </c>
      <c r="Q456" t="s">
        <v>264</v>
      </c>
      <c r="R456" t="s">
        <v>1086</v>
      </c>
      <c r="S456" t="s">
        <v>58</v>
      </c>
      <c r="T456" s="3">
        <v>0.7</v>
      </c>
      <c r="U456" t="s">
        <v>60</v>
      </c>
      <c r="V456" t="s">
        <v>61</v>
      </c>
      <c r="W456" s="2">
        <v>21.6</v>
      </c>
      <c r="X456" s="2">
        <v>0</v>
      </c>
      <c r="Y456" s="2">
        <v>21.6</v>
      </c>
      <c r="Z456" s="5" t="s">
        <v>54</v>
      </c>
    </row>
    <row r="457" spans="1:26" x14ac:dyDescent="0.25">
      <c r="A457">
        <v>2030748533</v>
      </c>
      <c r="B457" t="s">
        <v>206</v>
      </c>
      <c r="C457" t="s">
        <v>207</v>
      </c>
      <c r="D457" s="5" t="str">
        <f t="shared" si="23"/>
        <v>KENNETH JR.</v>
      </c>
      <c r="E457" t="s">
        <v>208</v>
      </c>
      <c r="F457" t="s">
        <v>53</v>
      </c>
      <c r="G457" t="s">
        <v>54</v>
      </c>
      <c r="H457" t="s">
        <v>1081</v>
      </c>
      <c r="I457" t="s">
        <v>191</v>
      </c>
      <c r="J457" t="s">
        <v>192</v>
      </c>
      <c r="K457" t="str">
        <f t="shared" si="21"/>
        <v>JARED KINYUA</v>
      </c>
      <c r="L457" t="s">
        <v>57</v>
      </c>
      <c r="M457" s="1">
        <v>45898</v>
      </c>
      <c r="N457" s="1">
        <v>45990</v>
      </c>
      <c r="O457" s="2">
        <v>39.25</v>
      </c>
      <c r="P457">
        <f t="shared" si="22"/>
        <v>3</v>
      </c>
      <c r="Q457" t="s">
        <v>264</v>
      </c>
      <c r="R457" t="s">
        <v>1086</v>
      </c>
      <c r="S457" t="s">
        <v>58</v>
      </c>
      <c r="T457" s="3">
        <v>0.7</v>
      </c>
      <c r="U457" t="s">
        <v>60</v>
      </c>
      <c r="V457" t="s">
        <v>61</v>
      </c>
      <c r="W457" s="2">
        <v>27.48</v>
      </c>
      <c r="X457" s="2">
        <v>0</v>
      </c>
      <c r="Y457" s="2">
        <v>27.48</v>
      </c>
      <c r="Z457" s="5" t="s">
        <v>54</v>
      </c>
    </row>
    <row r="458" spans="1:26" x14ac:dyDescent="0.25">
      <c r="A458">
        <v>2030694666</v>
      </c>
      <c r="B458" t="s">
        <v>188</v>
      </c>
      <c r="C458" t="s">
        <v>189</v>
      </c>
      <c r="D458" s="5" t="str">
        <f t="shared" si="23"/>
        <v>ANGILA GARRETT</v>
      </c>
      <c r="E458" t="s">
        <v>190</v>
      </c>
      <c r="F458" t="s">
        <v>53</v>
      </c>
      <c r="G458" t="s">
        <v>54</v>
      </c>
      <c r="H458" t="s">
        <v>1081</v>
      </c>
      <c r="I458" t="s">
        <v>191</v>
      </c>
      <c r="J458" t="s">
        <v>192</v>
      </c>
      <c r="K458" t="str">
        <f t="shared" si="21"/>
        <v>JARED KINYUA</v>
      </c>
      <c r="L458" t="s">
        <v>57</v>
      </c>
      <c r="M458" s="1">
        <v>45896</v>
      </c>
      <c r="N458" s="1">
        <v>45988</v>
      </c>
      <c r="O458" s="2">
        <v>26.32</v>
      </c>
      <c r="P458">
        <f t="shared" si="22"/>
        <v>3</v>
      </c>
      <c r="Q458" t="s">
        <v>264</v>
      </c>
      <c r="R458" t="s">
        <v>1086</v>
      </c>
      <c r="S458" t="s">
        <v>58</v>
      </c>
      <c r="T458" s="3">
        <v>0.7</v>
      </c>
      <c r="U458" t="s">
        <v>60</v>
      </c>
      <c r="V458" t="s">
        <v>61</v>
      </c>
      <c r="W458" s="2">
        <v>18.420000000000002</v>
      </c>
      <c r="X458" s="2">
        <v>0</v>
      </c>
      <c r="Y458" s="2">
        <v>18.420000000000002</v>
      </c>
      <c r="Z458" s="5" t="s">
        <v>54</v>
      </c>
    </row>
    <row r="459" spans="1:26" x14ac:dyDescent="0.25">
      <c r="A459">
        <v>2030707328</v>
      </c>
      <c r="B459" t="s">
        <v>198</v>
      </c>
      <c r="C459" t="s">
        <v>199</v>
      </c>
      <c r="D459" s="5" t="str">
        <f t="shared" si="23"/>
        <v>SUNG YEOUN</v>
      </c>
      <c r="E459" t="s">
        <v>92</v>
      </c>
      <c r="F459" t="s">
        <v>53</v>
      </c>
      <c r="G459" t="s">
        <v>54</v>
      </c>
      <c r="H459" t="s">
        <v>1081</v>
      </c>
      <c r="I459" t="s">
        <v>191</v>
      </c>
      <c r="J459" t="s">
        <v>192</v>
      </c>
      <c r="K459" t="str">
        <f t="shared" si="21"/>
        <v>JARED KINYUA</v>
      </c>
      <c r="L459" t="s">
        <v>57</v>
      </c>
      <c r="M459" s="1">
        <v>45896</v>
      </c>
      <c r="N459" s="1">
        <v>45988</v>
      </c>
      <c r="O459" s="2">
        <v>19.489999999999998</v>
      </c>
      <c r="P459">
        <f t="shared" si="22"/>
        <v>3</v>
      </c>
      <c r="Q459" t="s">
        <v>264</v>
      </c>
      <c r="R459" t="s">
        <v>1086</v>
      </c>
      <c r="S459" t="s">
        <v>58</v>
      </c>
      <c r="T459" s="3">
        <v>0.7</v>
      </c>
      <c r="U459" t="s">
        <v>60</v>
      </c>
      <c r="V459" t="s">
        <v>61</v>
      </c>
      <c r="W459" s="2">
        <v>13.64</v>
      </c>
      <c r="X459" s="2">
        <v>0</v>
      </c>
      <c r="Y459" s="2">
        <v>13.64</v>
      </c>
      <c r="Z459" s="5" t="s">
        <v>54</v>
      </c>
    </row>
    <row r="460" spans="1:26" x14ac:dyDescent="0.25">
      <c r="A460">
        <v>2029854213</v>
      </c>
      <c r="B460" t="s">
        <v>275</v>
      </c>
      <c r="C460" t="s">
        <v>961</v>
      </c>
      <c r="D460" s="5" t="str">
        <f t="shared" si="23"/>
        <v>MICHELE CRUMP</v>
      </c>
      <c r="E460" t="s">
        <v>69</v>
      </c>
      <c r="F460" t="s">
        <v>53</v>
      </c>
      <c r="G460" t="s">
        <v>54</v>
      </c>
      <c r="H460">
        <v>16228684</v>
      </c>
      <c r="I460" t="s">
        <v>141</v>
      </c>
      <c r="J460" t="s">
        <v>142</v>
      </c>
      <c r="K460" t="str">
        <f t="shared" si="21"/>
        <v>Jason Roller</v>
      </c>
      <c r="L460" t="s">
        <v>57</v>
      </c>
      <c r="M460" s="1">
        <v>45901</v>
      </c>
      <c r="N460" s="1">
        <v>45992</v>
      </c>
      <c r="O460" s="2">
        <v>208.32</v>
      </c>
      <c r="P460">
        <f t="shared" si="22"/>
        <v>3</v>
      </c>
      <c r="Q460" t="s">
        <v>264</v>
      </c>
      <c r="R460" t="s">
        <v>1086</v>
      </c>
      <c r="S460" t="s">
        <v>58</v>
      </c>
      <c r="T460" s="3">
        <v>0.7</v>
      </c>
      <c r="U460" t="s">
        <v>60</v>
      </c>
      <c r="V460" t="s">
        <v>61</v>
      </c>
      <c r="W460" s="2">
        <v>145.82</v>
      </c>
      <c r="X460" s="2">
        <v>0</v>
      </c>
      <c r="Y460" s="2">
        <v>145.82</v>
      </c>
      <c r="Z460" s="5" t="s">
        <v>54</v>
      </c>
    </row>
    <row r="461" spans="1:26" x14ac:dyDescent="0.25">
      <c r="A461">
        <v>2030625305</v>
      </c>
      <c r="B461" t="s">
        <v>161</v>
      </c>
      <c r="C461" t="s">
        <v>162</v>
      </c>
      <c r="D461" s="5" t="str">
        <f t="shared" si="23"/>
        <v>BRAXTON HART</v>
      </c>
      <c r="E461" t="s">
        <v>69</v>
      </c>
      <c r="F461" t="s">
        <v>53</v>
      </c>
      <c r="G461" t="s">
        <v>54</v>
      </c>
      <c r="H461">
        <v>16228684</v>
      </c>
      <c r="I461" t="s">
        <v>141</v>
      </c>
      <c r="J461" t="s">
        <v>142</v>
      </c>
      <c r="K461" t="str">
        <f t="shared" si="21"/>
        <v>Jason Roller</v>
      </c>
      <c r="L461" t="s">
        <v>57</v>
      </c>
      <c r="M461" s="1">
        <v>45901</v>
      </c>
      <c r="N461" s="1">
        <v>45992</v>
      </c>
      <c r="O461" s="2">
        <v>59.4</v>
      </c>
      <c r="P461">
        <f t="shared" si="22"/>
        <v>3</v>
      </c>
      <c r="Q461" t="s">
        <v>264</v>
      </c>
      <c r="R461" t="s">
        <v>1086</v>
      </c>
      <c r="S461" t="s">
        <v>58</v>
      </c>
      <c r="T461" s="3">
        <v>0.7</v>
      </c>
      <c r="U461" t="s">
        <v>60</v>
      </c>
      <c r="V461" t="s">
        <v>61</v>
      </c>
      <c r="W461" s="2">
        <v>41.58</v>
      </c>
      <c r="X461" s="2">
        <v>0</v>
      </c>
      <c r="Y461" s="2">
        <v>41.58</v>
      </c>
      <c r="Z461" s="5" t="s">
        <v>54</v>
      </c>
    </row>
    <row r="462" spans="1:26" x14ac:dyDescent="0.25">
      <c r="A462">
        <v>2030578219</v>
      </c>
      <c r="B462" t="s">
        <v>139</v>
      </c>
      <c r="C462" t="s">
        <v>140</v>
      </c>
      <c r="D462" s="5" t="str">
        <f t="shared" si="23"/>
        <v>STEPHANIE WILLIAMS</v>
      </c>
      <c r="E462" t="s">
        <v>69</v>
      </c>
      <c r="F462" t="s">
        <v>53</v>
      </c>
      <c r="G462" t="s">
        <v>54</v>
      </c>
      <c r="H462">
        <v>16228684</v>
      </c>
      <c r="I462" t="s">
        <v>141</v>
      </c>
      <c r="J462" t="s">
        <v>142</v>
      </c>
      <c r="K462" t="str">
        <f t="shared" si="21"/>
        <v>Jason Roller</v>
      </c>
      <c r="L462" t="s">
        <v>57</v>
      </c>
      <c r="M462" s="1">
        <v>45901</v>
      </c>
      <c r="N462" s="1">
        <v>45992</v>
      </c>
      <c r="O462" s="2">
        <v>34</v>
      </c>
      <c r="P462">
        <f t="shared" si="22"/>
        <v>3</v>
      </c>
      <c r="Q462" t="s">
        <v>264</v>
      </c>
      <c r="R462" t="s">
        <v>1086</v>
      </c>
      <c r="S462" t="s">
        <v>58</v>
      </c>
      <c r="T462" s="3">
        <v>0.7</v>
      </c>
      <c r="U462" t="s">
        <v>60</v>
      </c>
      <c r="V462" t="s">
        <v>61</v>
      </c>
      <c r="W462" s="2">
        <v>23.8</v>
      </c>
      <c r="X462" s="2">
        <v>0</v>
      </c>
      <c r="Y462" s="2">
        <v>23.8</v>
      </c>
      <c r="Z462" s="5" t="s">
        <v>54</v>
      </c>
    </row>
    <row r="463" spans="1:26" x14ac:dyDescent="0.25">
      <c r="A463">
        <v>2030552136</v>
      </c>
      <c r="B463" t="s">
        <v>127</v>
      </c>
      <c r="C463" t="s">
        <v>128</v>
      </c>
      <c r="D463" s="5" t="str">
        <f t="shared" si="23"/>
        <v>JEREMY LIST</v>
      </c>
      <c r="E463" t="s">
        <v>129</v>
      </c>
      <c r="F463" t="s">
        <v>53</v>
      </c>
      <c r="G463" t="s">
        <v>54</v>
      </c>
      <c r="H463">
        <v>21564088</v>
      </c>
      <c r="I463" t="s">
        <v>130</v>
      </c>
      <c r="J463" t="s">
        <v>131</v>
      </c>
      <c r="K463" t="str">
        <f t="shared" si="21"/>
        <v>Jennifer Halsaver</v>
      </c>
      <c r="L463" t="s">
        <v>57</v>
      </c>
      <c r="M463" s="1">
        <v>45901</v>
      </c>
      <c r="N463" s="1">
        <v>45992</v>
      </c>
      <c r="O463" s="2">
        <v>65.48</v>
      </c>
      <c r="P463">
        <f t="shared" si="22"/>
        <v>3</v>
      </c>
      <c r="Q463" t="s">
        <v>264</v>
      </c>
      <c r="R463" t="s">
        <v>1086</v>
      </c>
      <c r="S463" t="s">
        <v>58</v>
      </c>
      <c r="T463" s="3">
        <v>0.7</v>
      </c>
      <c r="U463" t="s">
        <v>60</v>
      </c>
      <c r="V463" t="s">
        <v>61</v>
      </c>
      <c r="W463" s="2">
        <v>45.84</v>
      </c>
      <c r="X463" s="2">
        <v>0</v>
      </c>
      <c r="Y463" s="2">
        <v>45.84</v>
      </c>
      <c r="Z463" s="5" t="s">
        <v>54</v>
      </c>
    </row>
    <row r="464" spans="1:26" x14ac:dyDescent="0.25">
      <c r="A464">
        <v>2030694347</v>
      </c>
      <c r="B464" t="s">
        <v>186</v>
      </c>
      <c r="C464" t="s">
        <v>187</v>
      </c>
      <c r="D464" s="5" t="str">
        <f t="shared" si="23"/>
        <v>ALEXANDRA FRASER</v>
      </c>
      <c r="E464" t="s">
        <v>129</v>
      </c>
      <c r="F464" t="s">
        <v>53</v>
      </c>
      <c r="G464" t="s">
        <v>54</v>
      </c>
      <c r="H464">
        <v>21564088</v>
      </c>
      <c r="I464" t="s">
        <v>130</v>
      </c>
      <c r="J464" t="s">
        <v>131</v>
      </c>
      <c r="K464" t="str">
        <f t="shared" si="21"/>
        <v>Jennifer Halsaver</v>
      </c>
      <c r="L464" t="s">
        <v>57</v>
      </c>
      <c r="M464" s="1">
        <v>45901</v>
      </c>
      <c r="N464" s="1">
        <v>45992</v>
      </c>
      <c r="O464" s="2">
        <v>53.04</v>
      </c>
      <c r="P464">
        <f t="shared" si="22"/>
        <v>3</v>
      </c>
      <c r="Q464" t="s">
        <v>264</v>
      </c>
      <c r="R464" t="s">
        <v>1086</v>
      </c>
      <c r="S464" t="s">
        <v>58</v>
      </c>
      <c r="T464" s="3">
        <v>0.7</v>
      </c>
      <c r="U464" t="s">
        <v>60</v>
      </c>
      <c r="V464" t="s">
        <v>61</v>
      </c>
      <c r="W464" s="2">
        <v>37.130000000000003</v>
      </c>
      <c r="X464" s="2">
        <v>0</v>
      </c>
      <c r="Y464" s="2">
        <v>37.130000000000003</v>
      </c>
      <c r="Z464" s="5" t="s">
        <v>54</v>
      </c>
    </row>
    <row r="465" spans="1:26" x14ac:dyDescent="0.25">
      <c r="A465">
        <v>2030762531</v>
      </c>
      <c r="B465" t="s">
        <v>209</v>
      </c>
      <c r="C465" t="s">
        <v>210</v>
      </c>
      <c r="D465" s="5" t="str">
        <f t="shared" si="23"/>
        <v>PHILLIP III</v>
      </c>
      <c r="E465" t="s">
        <v>129</v>
      </c>
      <c r="F465" t="s">
        <v>53</v>
      </c>
      <c r="G465" t="s">
        <v>54</v>
      </c>
      <c r="H465">
        <v>18142208</v>
      </c>
      <c r="I465" t="s">
        <v>211</v>
      </c>
      <c r="J465" t="s">
        <v>212</v>
      </c>
      <c r="K465" t="str">
        <f t="shared" si="21"/>
        <v>Jill Shepard</v>
      </c>
      <c r="L465" t="s">
        <v>57</v>
      </c>
      <c r="M465" s="1">
        <v>45899</v>
      </c>
      <c r="N465" s="1">
        <v>45991</v>
      </c>
      <c r="O465" s="2">
        <v>30.51</v>
      </c>
      <c r="P465">
        <f t="shared" si="22"/>
        <v>3</v>
      </c>
      <c r="Q465" t="s">
        <v>264</v>
      </c>
      <c r="R465" t="s">
        <v>1086</v>
      </c>
      <c r="S465" t="s">
        <v>58</v>
      </c>
      <c r="T465" s="3">
        <v>0.7</v>
      </c>
      <c r="U465" t="s">
        <v>60</v>
      </c>
      <c r="V465" t="s">
        <v>61</v>
      </c>
      <c r="W465" s="2">
        <v>21.36</v>
      </c>
      <c r="X465" s="2">
        <v>0</v>
      </c>
      <c r="Y465" s="2">
        <v>21.36</v>
      </c>
      <c r="Z465" s="5" t="s">
        <v>54</v>
      </c>
    </row>
    <row r="466" spans="1:26" x14ac:dyDescent="0.25">
      <c r="A466">
        <v>2030488470</v>
      </c>
      <c r="B466" t="s">
        <v>102</v>
      </c>
      <c r="C466" t="s">
        <v>103</v>
      </c>
      <c r="D466" s="5" t="str">
        <f t="shared" si="23"/>
        <v>TRAIE THOMAS</v>
      </c>
      <c r="E466" t="s">
        <v>69</v>
      </c>
      <c r="F466" t="s">
        <v>53</v>
      </c>
      <c r="G466" t="s">
        <v>54</v>
      </c>
      <c r="H466">
        <v>17516272</v>
      </c>
      <c r="I466" t="s">
        <v>104</v>
      </c>
      <c r="J466" t="s">
        <v>105</v>
      </c>
      <c r="K466" t="str">
        <f t="shared" si="21"/>
        <v>Kenneth Weitzman</v>
      </c>
      <c r="L466" t="s">
        <v>57</v>
      </c>
      <c r="M466" s="1">
        <v>45901</v>
      </c>
      <c r="N466" s="1">
        <v>45992</v>
      </c>
      <c r="O466" s="2">
        <v>65.55</v>
      </c>
      <c r="P466">
        <f t="shared" si="22"/>
        <v>3</v>
      </c>
      <c r="Q466" t="s">
        <v>264</v>
      </c>
      <c r="R466" t="s">
        <v>1086</v>
      </c>
      <c r="S466" t="s">
        <v>58</v>
      </c>
      <c r="T466" s="3">
        <v>0.7</v>
      </c>
      <c r="U466" t="s">
        <v>60</v>
      </c>
      <c r="V466" t="s">
        <v>61</v>
      </c>
      <c r="W466" s="2">
        <v>45.88</v>
      </c>
      <c r="X466" s="2">
        <v>0</v>
      </c>
      <c r="Y466" s="2">
        <v>45.88</v>
      </c>
      <c r="Z466" s="5" t="s">
        <v>54</v>
      </c>
    </row>
    <row r="467" spans="1:26" x14ac:dyDescent="0.25">
      <c r="A467">
        <v>2030552095</v>
      </c>
      <c r="B467" t="s">
        <v>125</v>
      </c>
      <c r="C467" t="s">
        <v>126</v>
      </c>
      <c r="D467" s="5" t="str">
        <f t="shared" si="23"/>
        <v>JEANA HENDRICKSON</v>
      </c>
      <c r="E467" t="s">
        <v>101</v>
      </c>
      <c r="F467" t="s">
        <v>53</v>
      </c>
      <c r="G467" t="s">
        <v>54</v>
      </c>
      <c r="H467">
        <v>1706194</v>
      </c>
      <c r="I467" t="s">
        <v>65</v>
      </c>
      <c r="J467" t="s">
        <v>66</v>
      </c>
      <c r="K467" t="str">
        <f t="shared" si="21"/>
        <v>MATTHEW DAUGHERTY</v>
      </c>
      <c r="L467" t="s">
        <v>57</v>
      </c>
      <c r="M467" s="1">
        <v>45901</v>
      </c>
      <c r="N467" s="1">
        <v>45992</v>
      </c>
      <c r="O467" s="2">
        <v>88.71</v>
      </c>
      <c r="P467">
        <f t="shared" si="22"/>
        <v>3</v>
      </c>
      <c r="Q467" t="s">
        <v>264</v>
      </c>
      <c r="R467" t="s">
        <v>1086</v>
      </c>
      <c r="S467" t="s">
        <v>58</v>
      </c>
      <c r="T467" s="3">
        <v>0.7</v>
      </c>
      <c r="U467" t="s">
        <v>60</v>
      </c>
      <c r="V467" t="s">
        <v>61</v>
      </c>
      <c r="W467" s="2">
        <v>62.1</v>
      </c>
      <c r="X467" s="2">
        <v>0</v>
      </c>
      <c r="Y467" s="2">
        <v>62.1</v>
      </c>
      <c r="Z467" s="5" t="s">
        <v>54</v>
      </c>
    </row>
    <row r="468" spans="1:26" x14ac:dyDescent="0.25">
      <c r="A468">
        <v>2030468293</v>
      </c>
      <c r="B468" t="s">
        <v>99</v>
      </c>
      <c r="C468" t="s">
        <v>100</v>
      </c>
      <c r="D468" s="5" t="str">
        <f t="shared" si="23"/>
        <v>TINA HATANPAA</v>
      </c>
      <c r="E468" t="s">
        <v>101</v>
      </c>
      <c r="F468" t="s">
        <v>53</v>
      </c>
      <c r="G468" t="s">
        <v>54</v>
      </c>
      <c r="H468">
        <v>1706194</v>
      </c>
      <c r="I468" t="s">
        <v>65</v>
      </c>
      <c r="J468" t="s">
        <v>66</v>
      </c>
      <c r="K468" t="str">
        <f t="shared" si="21"/>
        <v>MATTHEW DAUGHERTY</v>
      </c>
      <c r="L468" t="s">
        <v>57</v>
      </c>
      <c r="M468" s="1">
        <v>45901</v>
      </c>
      <c r="N468" s="1">
        <v>45992</v>
      </c>
      <c r="O468" s="2">
        <v>74.14</v>
      </c>
      <c r="P468">
        <f t="shared" si="22"/>
        <v>3</v>
      </c>
      <c r="Q468" t="s">
        <v>264</v>
      </c>
      <c r="R468" t="s">
        <v>1086</v>
      </c>
      <c r="S468" t="s">
        <v>58</v>
      </c>
      <c r="T468" s="3">
        <v>0.7</v>
      </c>
      <c r="U468" t="s">
        <v>60</v>
      </c>
      <c r="V468" t="s">
        <v>61</v>
      </c>
      <c r="W468" s="2">
        <v>51.9</v>
      </c>
      <c r="X468" s="2">
        <v>0</v>
      </c>
      <c r="Y468" s="2">
        <v>51.9</v>
      </c>
      <c r="Z468" s="5" t="s">
        <v>54</v>
      </c>
    </row>
    <row r="469" spans="1:26" x14ac:dyDescent="0.25">
      <c r="A469">
        <v>2030743323</v>
      </c>
      <c r="B469" t="s">
        <v>204</v>
      </c>
      <c r="C469" t="s">
        <v>205</v>
      </c>
      <c r="D469" s="5" t="str">
        <f t="shared" si="23"/>
        <v>WESTON ADAMS</v>
      </c>
      <c r="E469" t="s">
        <v>165</v>
      </c>
      <c r="F469" t="s">
        <v>53</v>
      </c>
      <c r="G469" t="s">
        <v>54</v>
      </c>
      <c r="H469">
        <v>1706194</v>
      </c>
      <c r="I469" t="s">
        <v>65</v>
      </c>
      <c r="J469" t="s">
        <v>66</v>
      </c>
      <c r="K469" t="str">
        <f t="shared" si="21"/>
        <v>MATTHEW DAUGHERTY</v>
      </c>
      <c r="L469" t="s">
        <v>57</v>
      </c>
      <c r="M469" s="1">
        <v>45901</v>
      </c>
      <c r="N469" s="1">
        <v>45992</v>
      </c>
      <c r="O469" s="2">
        <v>50.24</v>
      </c>
      <c r="P469">
        <f t="shared" si="22"/>
        <v>3</v>
      </c>
      <c r="Q469" t="s">
        <v>264</v>
      </c>
      <c r="R469" t="s">
        <v>1086</v>
      </c>
      <c r="S469" t="s">
        <v>58</v>
      </c>
      <c r="T469" s="3">
        <v>0.7</v>
      </c>
      <c r="U469" t="s">
        <v>60</v>
      </c>
      <c r="V469" t="s">
        <v>61</v>
      </c>
      <c r="W469" s="2">
        <v>35.17</v>
      </c>
      <c r="X469" s="2">
        <v>0</v>
      </c>
      <c r="Y469" s="2">
        <v>35.17</v>
      </c>
      <c r="Z469" s="5" t="s">
        <v>54</v>
      </c>
    </row>
    <row r="470" spans="1:26" x14ac:dyDescent="0.25">
      <c r="A470">
        <v>2030383551</v>
      </c>
      <c r="B470" t="s">
        <v>76</v>
      </c>
      <c r="C470" t="s">
        <v>77</v>
      </c>
      <c r="D470" s="5" t="str">
        <f t="shared" si="23"/>
        <v>LORRETTA MARSHALL</v>
      </c>
      <c r="E470" t="s">
        <v>78</v>
      </c>
      <c r="F470" t="s">
        <v>53</v>
      </c>
      <c r="G470" t="s">
        <v>54</v>
      </c>
      <c r="H470">
        <v>1706194</v>
      </c>
      <c r="I470" t="s">
        <v>65</v>
      </c>
      <c r="J470" t="s">
        <v>66</v>
      </c>
      <c r="K470" t="str">
        <f t="shared" si="21"/>
        <v>MATTHEW DAUGHERTY</v>
      </c>
      <c r="L470" t="s">
        <v>57</v>
      </c>
      <c r="M470" s="1">
        <v>45901</v>
      </c>
      <c r="N470" s="1">
        <v>45992</v>
      </c>
      <c r="O470" s="2">
        <v>36.58</v>
      </c>
      <c r="P470">
        <f t="shared" si="22"/>
        <v>3</v>
      </c>
      <c r="Q470" t="s">
        <v>264</v>
      </c>
      <c r="R470" t="s">
        <v>1086</v>
      </c>
      <c r="S470" t="s">
        <v>58</v>
      </c>
      <c r="T470" s="3">
        <v>0.7</v>
      </c>
      <c r="U470" t="s">
        <v>60</v>
      </c>
      <c r="V470" t="s">
        <v>61</v>
      </c>
      <c r="W470" s="2">
        <v>25.61</v>
      </c>
      <c r="X470" s="2">
        <v>0</v>
      </c>
      <c r="Y470" s="2">
        <v>25.61</v>
      </c>
      <c r="Z470" s="5" t="s">
        <v>54</v>
      </c>
    </row>
    <row r="471" spans="1:26" x14ac:dyDescent="0.25">
      <c r="A471">
        <v>2030328061</v>
      </c>
      <c r="B471" t="s">
        <v>62</v>
      </c>
      <c r="C471" t="s">
        <v>63</v>
      </c>
      <c r="D471" s="5" t="str">
        <f t="shared" si="23"/>
        <v>LISA YOUNG</v>
      </c>
      <c r="E471" t="s">
        <v>64</v>
      </c>
      <c r="F471" t="s">
        <v>53</v>
      </c>
      <c r="G471" t="s">
        <v>54</v>
      </c>
      <c r="H471">
        <v>1706194</v>
      </c>
      <c r="I471" t="s">
        <v>65</v>
      </c>
      <c r="J471" t="s">
        <v>66</v>
      </c>
      <c r="K471" t="str">
        <f t="shared" si="21"/>
        <v>MATTHEW DAUGHERTY</v>
      </c>
      <c r="L471" t="s">
        <v>57</v>
      </c>
      <c r="M471" s="1">
        <v>45901</v>
      </c>
      <c r="N471" s="1">
        <v>45992</v>
      </c>
      <c r="O471" s="2">
        <v>13.71</v>
      </c>
      <c r="P471">
        <f t="shared" si="22"/>
        <v>3</v>
      </c>
      <c r="Q471" t="s">
        <v>264</v>
      </c>
      <c r="R471" t="s">
        <v>1086</v>
      </c>
      <c r="S471" t="s">
        <v>58</v>
      </c>
      <c r="T471" s="3">
        <v>0.7</v>
      </c>
      <c r="U471" t="s">
        <v>60</v>
      </c>
      <c r="V471" t="s">
        <v>61</v>
      </c>
      <c r="W471" s="2">
        <v>9.6</v>
      </c>
      <c r="X471" s="2">
        <v>0</v>
      </c>
      <c r="Y471" s="2">
        <v>9.6</v>
      </c>
      <c r="Z471" s="5" t="s">
        <v>54</v>
      </c>
    </row>
    <row r="472" spans="1:26" x14ac:dyDescent="0.25">
      <c r="A472">
        <v>2029877050</v>
      </c>
      <c r="B472" t="s">
        <v>551</v>
      </c>
      <c r="C472" t="s">
        <v>552</v>
      </c>
      <c r="D472" s="5" t="str">
        <f t="shared" si="23"/>
        <v>BRYAN VIVIANO</v>
      </c>
      <c r="E472" t="s">
        <v>129</v>
      </c>
      <c r="F472" t="s">
        <v>53</v>
      </c>
      <c r="G472" t="s">
        <v>54</v>
      </c>
      <c r="H472">
        <v>8977234</v>
      </c>
      <c r="I472" t="s">
        <v>55</v>
      </c>
      <c r="J472" t="s">
        <v>56</v>
      </c>
      <c r="K472" t="str">
        <f t="shared" si="21"/>
        <v>RYAN CALTAGIRONE</v>
      </c>
      <c r="L472" t="s">
        <v>57</v>
      </c>
      <c r="M472" s="1">
        <v>45901</v>
      </c>
      <c r="N472" s="1">
        <v>45992</v>
      </c>
      <c r="O472" s="2">
        <v>122.88</v>
      </c>
      <c r="P472">
        <f t="shared" si="22"/>
        <v>3</v>
      </c>
      <c r="Q472" t="s">
        <v>264</v>
      </c>
      <c r="R472" t="s">
        <v>1086</v>
      </c>
      <c r="S472" t="s">
        <v>58</v>
      </c>
      <c r="T472" s="3">
        <v>0.7</v>
      </c>
      <c r="U472" t="s">
        <v>60</v>
      </c>
      <c r="V472" t="s">
        <v>61</v>
      </c>
      <c r="W472" s="2">
        <v>86.02</v>
      </c>
      <c r="X472" s="2">
        <v>0</v>
      </c>
      <c r="Y472" s="2">
        <v>86.02</v>
      </c>
      <c r="Z472" s="5" t="s">
        <v>54</v>
      </c>
    </row>
    <row r="473" spans="1:26" x14ac:dyDescent="0.25">
      <c r="A473">
        <v>2030313588</v>
      </c>
      <c r="B473" t="s">
        <v>49</v>
      </c>
      <c r="C473" t="s">
        <v>50</v>
      </c>
      <c r="D473" s="5" t="str">
        <f t="shared" si="23"/>
        <v>WILLANDA BURT-HOLSENDOLPH</v>
      </c>
      <c r="E473" t="s">
        <v>52</v>
      </c>
      <c r="F473" t="s">
        <v>53</v>
      </c>
      <c r="G473" t="s">
        <v>54</v>
      </c>
      <c r="H473">
        <v>8977234</v>
      </c>
      <c r="I473" t="s">
        <v>55</v>
      </c>
      <c r="J473" t="s">
        <v>56</v>
      </c>
      <c r="K473" t="str">
        <f t="shared" si="21"/>
        <v>RYAN CALTAGIRONE</v>
      </c>
      <c r="L473" t="s">
        <v>57</v>
      </c>
      <c r="M473" s="1">
        <v>45894</v>
      </c>
      <c r="N473" s="1">
        <v>45986</v>
      </c>
      <c r="O473" s="2">
        <v>120.91</v>
      </c>
      <c r="P473">
        <f t="shared" si="22"/>
        <v>3</v>
      </c>
      <c r="Q473" t="s">
        <v>264</v>
      </c>
      <c r="R473" t="s">
        <v>1086</v>
      </c>
      <c r="S473" t="s">
        <v>58</v>
      </c>
      <c r="T473" s="3">
        <v>0.7</v>
      </c>
      <c r="U473" t="s">
        <v>60</v>
      </c>
      <c r="V473" t="s">
        <v>61</v>
      </c>
      <c r="W473" s="2">
        <v>84.64</v>
      </c>
      <c r="X473" s="2">
        <v>0</v>
      </c>
      <c r="Y473" s="2">
        <v>84.64</v>
      </c>
      <c r="Z473" s="5" t="s">
        <v>54</v>
      </c>
    </row>
    <row r="474" spans="1:26" x14ac:dyDescent="0.25">
      <c r="A474">
        <v>2030500796</v>
      </c>
      <c r="B474" t="s">
        <v>123</v>
      </c>
      <c r="C474" t="s">
        <v>124</v>
      </c>
      <c r="D474" s="5" t="str">
        <f t="shared" si="23"/>
        <v>CHELSEA TALARICO</v>
      </c>
      <c r="E474" t="s">
        <v>69</v>
      </c>
      <c r="F474" t="s">
        <v>53</v>
      </c>
      <c r="G474" t="s">
        <v>54</v>
      </c>
      <c r="H474">
        <v>8977234</v>
      </c>
      <c r="I474" t="s">
        <v>55</v>
      </c>
      <c r="J474" t="s">
        <v>56</v>
      </c>
      <c r="K474" t="str">
        <f t="shared" si="21"/>
        <v>RYAN CALTAGIRONE</v>
      </c>
      <c r="L474" t="s">
        <v>57</v>
      </c>
      <c r="M474" s="1">
        <v>45901</v>
      </c>
      <c r="N474" s="1">
        <v>45992</v>
      </c>
      <c r="O474" s="2">
        <v>119.57</v>
      </c>
      <c r="P474">
        <f t="shared" si="22"/>
        <v>3</v>
      </c>
      <c r="Q474" t="s">
        <v>264</v>
      </c>
      <c r="R474" t="s">
        <v>1086</v>
      </c>
      <c r="S474" t="s">
        <v>58</v>
      </c>
      <c r="T474" s="3">
        <v>0.7</v>
      </c>
      <c r="U474" t="s">
        <v>60</v>
      </c>
      <c r="V474" t="s">
        <v>61</v>
      </c>
      <c r="W474" s="2">
        <v>83.7</v>
      </c>
      <c r="X474" s="2">
        <v>0</v>
      </c>
      <c r="Y474" s="2">
        <v>83.7</v>
      </c>
      <c r="Z474" s="5" t="s">
        <v>54</v>
      </c>
    </row>
    <row r="475" spans="1:26" x14ac:dyDescent="0.25">
      <c r="A475">
        <v>2030673650</v>
      </c>
      <c r="B475" t="s">
        <v>177</v>
      </c>
      <c r="C475" t="s">
        <v>178</v>
      </c>
      <c r="D475" s="5" t="str">
        <f t="shared" si="23"/>
        <v>JODI DEBERARD</v>
      </c>
      <c r="E475" t="s">
        <v>179</v>
      </c>
      <c r="F475" t="s">
        <v>53</v>
      </c>
      <c r="G475" t="s">
        <v>54</v>
      </c>
      <c r="H475">
        <v>8977234</v>
      </c>
      <c r="I475" t="s">
        <v>55</v>
      </c>
      <c r="J475" t="s">
        <v>56</v>
      </c>
      <c r="K475" t="str">
        <f t="shared" si="21"/>
        <v>RYAN CALTAGIRONE</v>
      </c>
      <c r="L475" t="s">
        <v>57</v>
      </c>
      <c r="M475" s="1">
        <v>45901</v>
      </c>
      <c r="N475" s="1">
        <v>45992</v>
      </c>
      <c r="O475" s="2">
        <v>113.98</v>
      </c>
      <c r="P475">
        <f t="shared" si="22"/>
        <v>3</v>
      </c>
      <c r="Q475" t="s">
        <v>264</v>
      </c>
      <c r="R475" t="s">
        <v>1086</v>
      </c>
      <c r="S475" t="s">
        <v>58</v>
      </c>
      <c r="T475" s="3">
        <v>0.7</v>
      </c>
      <c r="U475" t="s">
        <v>60</v>
      </c>
      <c r="V475" t="s">
        <v>61</v>
      </c>
      <c r="W475" s="2">
        <v>79.790000000000006</v>
      </c>
      <c r="X475" s="2">
        <v>0</v>
      </c>
      <c r="Y475" s="2">
        <v>79.790000000000006</v>
      </c>
      <c r="Z475" s="5" t="s">
        <v>54</v>
      </c>
    </row>
    <row r="476" spans="1:26" x14ac:dyDescent="0.25">
      <c r="A476">
        <v>2030638848</v>
      </c>
      <c r="B476" t="s">
        <v>163</v>
      </c>
      <c r="C476" t="s">
        <v>164</v>
      </c>
      <c r="D476" s="5" t="str">
        <f t="shared" si="23"/>
        <v>TIFFANY RIOS</v>
      </c>
      <c r="E476" t="s">
        <v>165</v>
      </c>
      <c r="F476" t="s">
        <v>53</v>
      </c>
      <c r="G476" t="s">
        <v>54</v>
      </c>
      <c r="H476">
        <v>8977234</v>
      </c>
      <c r="I476" t="s">
        <v>55</v>
      </c>
      <c r="J476" t="s">
        <v>56</v>
      </c>
      <c r="K476" t="str">
        <f t="shared" si="21"/>
        <v>RYAN CALTAGIRONE</v>
      </c>
      <c r="L476" t="s">
        <v>57</v>
      </c>
      <c r="M476" s="1">
        <v>45901</v>
      </c>
      <c r="N476" s="1">
        <v>45992</v>
      </c>
      <c r="O476" s="2">
        <v>69.14</v>
      </c>
      <c r="P476">
        <f t="shared" si="22"/>
        <v>3</v>
      </c>
      <c r="Q476" t="s">
        <v>264</v>
      </c>
      <c r="R476" t="s">
        <v>1086</v>
      </c>
      <c r="S476" t="s">
        <v>58</v>
      </c>
      <c r="T476" s="3">
        <v>0.7</v>
      </c>
      <c r="U476" t="s">
        <v>60</v>
      </c>
      <c r="V476" t="s">
        <v>61</v>
      </c>
      <c r="W476" s="2">
        <v>48.4</v>
      </c>
      <c r="X476" s="2">
        <v>0</v>
      </c>
      <c r="Y476" s="2">
        <v>48.4</v>
      </c>
      <c r="Z476" s="5" t="s">
        <v>54</v>
      </c>
    </row>
    <row r="477" spans="1:26" x14ac:dyDescent="0.25">
      <c r="A477">
        <v>2030439490</v>
      </c>
      <c r="B477" t="s">
        <v>84</v>
      </c>
      <c r="C477" t="s">
        <v>85</v>
      </c>
      <c r="D477" s="5" t="str">
        <f t="shared" si="23"/>
        <v>NATALIE FILIPPO</v>
      </c>
      <c r="E477" t="s">
        <v>69</v>
      </c>
      <c r="F477" t="s">
        <v>53</v>
      </c>
      <c r="G477" t="s">
        <v>54</v>
      </c>
      <c r="H477">
        <v>8977234</v>
      </c>
      <c r="I477" t="s">
        <v>55</v>
      </c>
      <c r="J477" t="s">
        <v>56</v>
      </c>
      <c r="K477" t="str">
        <f t="shared" si="21"/>
        <v>RYAN CALTAGIRONE</v>
      </c>
      <c r="L477" t="s">
        <v>57</v>
      </c>
      <c r="M477" s="1">
        <v>45901</v>
      </c>
      <c r="N477" s="1">
        <v>45992</v>
      </c>
      <c r="O477" s="2">
        <v>60.25</v>
      </c>
      <c r="P477">
        <f t="shared" si="22"/>
        <v>3</v>
      </c>
      <c r="Q477" t="s">
        <v>264</v>
      </c>
      <c r="R477" t="s">
        <v>1086</v>
      </c>
      <c r="S477" t="s">
        <v>58</v>
      </c>
      <c r="T477" s="3">
        <v>0.7</v>
      </c>
      <c r="U477" t="s">
        <v>60</v>
      </c>
      <c r="V477" t="s">
        <v>61</v>
      </c>
      <c r="W477" s="2">
        <v>42.18</v>
      </c>
      <c r="X477" s="2">
        <v>0</v>
      </c>
      <c r="Y477" s="2">
        <v>42.18</v>
      </c>
      <c r="Z477" s="5" t="s">
        <v>54</v>
      </c>
    </row>
    <row r="478" spans="1:26" x14ac:dyDescent="0.25">
      <c r="A478">
        <v>2030493936</v>
      </c>
      <c r="B478" t="s">
        <v>110</v>
      </c>
      <c r="C478" t="s">
        <v>111</v>
      </c>
      <c r="D478" s="5" t="str">
        <f t="shared" si="23"/>
        <v>WILLIAM TRAMMELL</v>
      </c>
      <c r="E478" t="s">
        <v>52</v>
      </c>
      <c r="F478" t="s">
        <v>53</v>
      </c>
      <c r="G478" t="s">
        <v>54</v>
      </c>
      <c r="H478">
        <v>8977234</v>
      </c>
      <c r="I478" t="s">
        <v>55</v>
      </c>
      <c r="J478" t="s">
        <v>56</v>
      </c>
      <c r="K478" t="str">
        <f t="shared" si="21"/>
        <v>RYAN CALTAGIRONE</v>
      </c>
      <c r="L478" t="s">
        <v>57</v>
      </c>
      <c r="M478" s="1">
        <v>45901</v>
      </c>
      <c r="N478" s="1">
        <v>45992</v>
      </c>
      <c r="O478" s="2">
        <v>59.57</v>
      </c>
      <c r="P478">
        <f t="shared" si="22"/>
        <v>3</v>
      </c>
      <c r="Q478" t="s">
        <v>264</v>
      </c>
      <c r="R478" t="s">
        <v>1086</v>
      </c>
      <c r="S478" t="s">
        <v>58</v>
      </c>
      <c r="T478" s="3">
        <v>0.7</v>
      </c>
      <c r="U478" t="s">
        <v>60</v>
      </c>
      <c r="V478" t="s">
        <v>61</v>
      </c>
      <c r="W478" s="2">
        <v>41.7</v>
      </c>
      <c r="X478" s="2">
        <v>0</v>
      </c>
      <c r="Y478" s="2">
        <v>41.7</v>
      </c>
      <c r="Z478" s="5" t="s">
        <v>54</v>
      </c>
    </row>
    <row r="479" spans="1:26" x14ac:dyDescent="0.25">
      <c r="A479">
        <v>2030642689</v>
      </c>
      <c r="B479" t="s">
        <v>103</v>
      </c>
      <c r="C479" t="s">
        <v>166</v>
      </c>
      <c r="D479" s="5" t="str">
        <f t="shared" si="23"/>
        <v>THOMAS MARSICO</v>
      </c>
      <c r="E479" t="s">
        <v>52</v>
      </c>
      <c r="F479" t="s">
        <v>53</v>
      </c>
      <c r="G479" t="s">
        <v>54</v>
      </c>
      <c r="H479">
        <v>8977234</v>
      </c>
      <c r="I479" t="s">
        <v>55</v>
      </c>
      <c r="J479" t="s">
        <v>56</v>
      </c>
      <c r="K479" t="str">
        <f t="shared" si="21"/>
        <v>RYAN CALTAGIRONE</v>
      </c>
      <c r="L479" t="s">
        <v>57</v>
      </c>
      <c r="M479" s="1">
        <v>45901</v>
      </c>
      <c r="N479" s="1">
        <v>45992</v>
      </c>
      <c r="O479" s="2">
        <v>41.75</v>
      </c>
      <c r="P479">
        <f t="shared" si="22"/>
        <v>3</v>
      </c>
      <c r="Q479" t="s">
        <v>264</v>
      </c>
      <c r="R479" t="s">
        <v>1086</v>
      </c>
      <c r="S479" t="s">
        <v>58</v>
      </c>
      <c r="T479" s="3">
        <v>0.7</v>
      </c>
      <c r="U479" t="s">
        <v>60</v>
      </c>
      <c r="V479" t="s">
        <v>61</v>
      </c>
      <c r="W479" s="2">
        <v>29.22</v>
      </c>
      <c r="X479" s="2">
        <v>0</v>
      </c>
      <c r="Y479" s="2">
        <v>29.22</v>
      </c>
      <c r="Z479" s="5" t="s">
        <v>54</v>
      </c>
    </row>
    <row r="480" spans="1:26" x14ac:dyDescent="0.25">
      <c r="A480">
        <v>2030569259</v>
      </c>
      <c r="B480" t="s">
        <v>133</v>
      </c>
      <c r="C480" t="s">
        <v>134</v>
      </c>
      <c r="D480" s="5" t="str">
        <f t="shared" si="23"/>
        <v>TRACY DORENCZ</v>
      </c>
      <c r="E480" t="s">
        <v>69</v>
      </c>
      <c r="F480" t="s">
        <v>53</v>
      </c>
      <c r="G480" t="s">
        <v>54</v>
      </c>
      <c r="H480">
        <v>19396223</v>
      </c>
      <c r="I480" t="s">
        <v>135</v>
      </c>
      <c r="J480" t="s">
        <v>136</v>
      </c>
      <c r="K480" t="str">
        <f t="shared" si="21"/>
        <v>Saadia Abdul</v>
      </c>
      <c r="L480" t="s">
        <v>57</v>
      </c>
      <c r="M480" s="1">
        <v>45901</v>
      </c>
      <c r="N480" s="1">
        <v>45992</v>
      </c>
      <c r="O480" s="2">
        <v>11.5</v>
      </c>
      <c r="P480">
        <f t="shared" si="22"/>
        <v>3</v>
      </c>
      <c r="Q480" t="s">
        <v>264</v>
      </c>
      <c r="R480" t="s">
        <v>1086</v>
      </c>
      <c r="S480" t="s">
        <v>58</v>
      </c>
      <c r="T480" s="3">
        <v>0.7</v>
      </c>
      <c r="U480" t="s">
        <v>60</v>
      </c>
      <c r="V480" t="s">
        <v>61</v>
      </c>
      <c r="W480" s="2">
        <v>8.0500000000000007</v>
      </c>
      <c r="X480" s="2">
        <v>0</v>
      </c>
      <c r="Y480" s="2">
        <v>8.0500000000000007</v>
      </c>
      <c r="Z480" s="5" t="s">
        <v>54</v>
      </c>
    </row>
    <row r="481" spans="1:26" x14ac:dyDescent="0.25">
      <c r="A481">
        <v>2030491855</v>
      </c>
      <c r="B481" t="s">
        <v>106</v>
      </c>
      <c r="C481" t="s">
        <v>107</v>
      </c>
      <c r="D481" s="5" t="str">
        <f t="shared" si="23"/>
        <v>ETHAN ANDERSON</v>
      </c>
      <c r="E481" t="s">
        <v>69</v>
      </c>
      <c r="F481" t="s">
        <v>53</v>
      </c>
      <c r="G481" t="s">
        <v>54</v>
      </c>
      <c r="H481">
        <v>21475206</v>
      </c>
      <c r="I481" t="s">
        <v>108</v>
      </c>
      <c r="J481" t="s">
        <v>109</v>
      </c>
      <c r="K481" t="str">
        <f t="shared" si="21"/>
        <v>Sandra Sentman</v>
      </c>
      <c r="L481" t="s">
        <v>57</v>
      </c>
      <c r="M481" s="1">
        <v>45901</v>
      </c>
      <c r="N481" s="1">
        <v>45992</v>
      </c>
      <c r="O481" s="2">
        <v>19</v>
      </c>
      <c r="P481">
        <f t="shared" si="22"/>
        <v>3</v>
      </c>
      <c r="Q481" t="s">
        <v>264</v>
      </c>
      <c r="R481" t="s">
        <v>1086</v>
      </c>
      <c r="S481" t="s">
        <v>58</v>
      </c>
      <c r="T481" s="3">
        <v>0.7</v>
      </c>
      <c r="U481" t="s">
        <v>60</v>
      </c>
      <c r="V481" t="s">
        <v>61</v>
      </c>
      <c r="W481" s="2">
        <v>13.3</v>
      </c>
      <c r="X481" s="2">
        <v>0</v>
      </c>
      <c r="Y481" s="2">
        <v>13.3</v>
      </c>
      <c r="Z481" s="5" t="s">
        <v>54</v>
      </c>
    </row>
    <row r="482" spans="1:26" x14ac:dyDescent="0.25">
      <c r="A482">
        <v>2030594430</v>
      </c>
      <c r="B482" t="s">
        <v>149</v>
      </c>
      <c r="C482" t="s">
        <v>150</v>
      </c>
      <c r="D482" s="5" t="str">
        <f t="shared" si="23"/>
        <v>MATHIAS HIBBARD</v>
      </c>
      <c r="E482" t="s">
        <v>145</v>
      </c>
      <c r="F482" t="s">
        <v>53</v>
      </c>
      <c r="G482" t="s">
        <v>54</v>
      </c>
      <c r="H482">
        <v>18581063</v>
      </c>
      <c r="I482" t="s">
        <v>151</v>
      </c>
      <c r="J482" t="s">
        <v>152</v>
      </c>
      <c r="K482" t="str">
        <f t="shared" si="21"/>
        <v>Timothy Hodgman</v>
      </c>
      <c r="L482" t="s">
        <v>57</v>
      </c>
      <c r="M482" s="1">
        <v>45898</v>
      </c>
      <c r="N482" s="1">
        <v>45990</v>
      </c>
      <c r="O482" s="2">
        <v>41.5</v>
      </c>
      <c r="P482">
        <f t="shared" si="22"/>
        <v>3</v>
      </c>
      <c r="Q482" t="s">
        <v>264</v>
      </c>
      <c r="R482" t="s">
        <v>1086</v>
      </c>
      <c r="S482" t="s">
        <v>58</v>
      </c>
      <c r="T482" s="3">
        <v>0.7</v>
      </c>
      <c r="U482" t="s">
        <v>60</v>
      </c>
      <c r="V482" t="s">
        <v>61</v>
      </c>
      <c r="W482" s="2">
        <v>29.05</v>
      </c>
      <c r="X482" s="2">
        <v>0</v>
      </c>
      <c r="Y482" s="2">
        <v>29.05</v>
      </c>
      <c r="Z482" s="5" t="s">
        <v>54</v>
      </c>
    </row>
    <row r="483" spans="1:26" x14ac:dyDescent="0.25">
      <c r="A483">
        <v>2030125457</v>
      </c>
      <c r="B483" t="s">
        <v>962</v>
      </c>
      <c r="C483" t="s">
        <v>963</v>
      </c>
      <c r="D483" s="5" t="str">
        <f t="shared" si="23"/>
        <v>MATHEW EVERS</v>
      </c>
      <c r="E483" t="s">
        <v>165</v>
      </c>
      <c r="F483" t="s">
        <v>53</v>
      </c>
      <c r="G483" t="s">
        <v>54</v>
      </c>
      <c r="H483" t="s">
        <v>1083</v>
      </c>
      <c r="I483" t="s">
        <v>70</v>
      </c>
      <c r="J483" t="s">
        <v>71</v>
      </c>
      <c r="K483" t="str">
        <f t="shared" si="21"/>
        <v>Chad Yale</v>
      </c>
      <c r="L483" t="s">
        <v>57</v>
      </c>
      <c r="M483" s="1">
        <v>45863</v>
      </c>
      <c r="N483" s="1">
        <v>45986</v>
      </c>
      <c r="O483" s="2">
        <v>13</v>
      </c>
      <c r="P483">
        <f t="shared" si="22"/>
        <v>4</v>
      </c>
      <c r="Q483" t="s">
        <v>264</v>
      </c>
      <c r="R483" t="s">
        <v>1086</v>
      </c>
      <c r="S483" t="s">
        <v>58</v>
      </c>
      <c r="T483" s="3">
        <v>0.7</v>
      </c>
      <c r="U483" t="s">
        <v>60</v>
      </c>
      <c r="V483" t="s">
        <v>61</v>
      </c>
      <c r="W483" s="2">
        <v>9.1</v>
      </c>
      <c r="X483" s="2">
        <v>0</v>
      </c>
      <c r="Y483" s="2">
        <v>9.1</v>
      </c>
      <c r="Z483" s="5" t="s">
        <v>54</v>
      </c>
    </row>
    <row r="484" spans="1:26" x14ac:dyDescent="0.25">
      <c r="A484">
        <v>2029665028</v>
      </c>
      <c r="B484" t="s">
        <v>937</v>
      </c>
      <c r="C484" t="s">
        <v>1069</v>
      </c>
      <c r="D484" s="5" t="str">
        <f t="shared" si="23"/>
        <v>SAMANTHA PRICE</v>
      </c>
      <c r="E484" t="s">
        <v>455</v>
      </c>
      <c r="F484" t="s">
        <v>53</v>
      </c>
      <c r="G484" t="s">
        <v>54</v>
      </c>
      <c r="H484">
        <v>9213293</v>
      </c>
      <c r="I484" t="s">
        <v>82</v>
      </c>
      <c r="J484" t="s">
        <v>83</v>
      </c>
      <c r="K484" t="str">
        <f t="shared" si="21"/>
        <v>GARY PORTUGAL</v>
      </c>
      <c r="L484" t="s">
        <v>57</v>
      </c>
      <c r="M484" s="1">
        <v>45835</v>
      </c>
      <c r="N484" s="1">
        <v>45988</v>
      </c>
      <c r="O484" s="2">
        <v>34</v>
      </c>
      <c r="P484">
        <f t="shared" si="22"/>
        <v>5</v>
      </c>
      <c r="Q484" t="s">
        <v>264</v>
      </c>
      <c r="R484" t="s">
        <v>1086</v>
      </c>
      <c r="S484" t="s">
        <v>58</v>
      </c>
      <c r="T484" s="3">
        <v>0.7</v>
      </c>
      <c r="U484" t="s">
        <v>60</v>
      </c>
      <c r="V484" t="s">
        <v>61</v>
      </c>
      <c r="W484" s="2">
        <v>23.8</v>
      </c>
      <c r="X484" s="2">
        <v>0</v>
      </c>
      <c r="Y484" s="2">
        <v>23.8</v>
      </c>
      <c r="Z484" s="5" t="s">
        <v>54</v>
      </c>
    </row>
    <row r="485" spans="1:26" x14ac:dyDescent="0.25">
      <c r="A485">
        <v>2029204336</v>
      </c>
      <c r="B485" t="s">
        <v>953</v>
      </c>
      <c r="C485" t="s">
        <v>354</v>
      </c>
      <c r="D485" s="5" t="str">
        <f t="shared" si="23"/>
        <v>GOODSON JAMES</v>
      </c>
      <c r="E485" t="s">
        <v>179</v>
      </c>
      <c r="F485" t="s">
        <v>53</v>
      </c>
      <c r="G485" t="s">
        <v>54</v>
      </c>
      <c r="H485" t="s">
        <v>1081</v>
      </c>
      <c r="I485" t="s">
        <v>191</v>
      </c>
      <c r="J485" t="s">
        <v>192</v>
      </c>
      <c r="K485" t="str">
        <f t="shared" si="21"/>
        <v>JARED KINYUA</v>
      </c>
      <c r="L485" t="s">
        <v>57</v>
      </c>
      <c r="M485" s="1">
        <v>45808</v>
      </c>
      <c r="N485" s="1">
        <v>45991</v>
      </c>
      <c r="O485" s="2">
        <v>34.03</v>
      </c>
      <c r="P485">
        <f t="shared" si="22"/>
        <v>5</v>
      </c>
      <c r="Q485" t="s">
        <v>264</v>
      </c>
      <c r="R485" t="s">
        <v>1086</v>
      </c>
      <c r="S485" t="s">
        <v>58</v>
      </c>
      <c r="T485" s="3">
        <v>0.7</v>
      </c>
      <c r="U485" t="s">
        <v>60</v>
      </c>
      <c r="V485" t="s">
        <v>61</v>
      </c>
      <c r="W485" s="2">
        <v>23.82</v>
      </c>
      <c r="X485" s="2">
        <v>0</v>
      </c>
      <c r="Y485" s="2">
        <v>23.82</v>
      </c>
      <c r="Z485" s="5" t="s">
        <v>54</v>
      </c>
    </row>
    <row r="486" spans="1:26" x14ac:dyDescent="0.25">
      <c r="A486">
        <v>2029692901</v>
      </c>
      <c r="B486" t="s">
        <v>314</v>
      </c>
      <c r="C486" t="s">
        <v>1071</v>
      </c>
      <c r="D486" s="5" t="str">
        <f t="shared" si="23"/>
        <v>JASON ROLLER</v>
      </c>
      <c r="E486" t="s">
        <v>179</v>
      </c>
      <c r="F486" t="s">
        <v>53</v>
      </c>
      <c r="G486" t="s">
        <v>54</v>
      </c>
      <c r="H486">
        <v>16228684</v>
      </c>
      <c r="I486" t="s">
        <v>141</v>
      </c>
      <c r="J486" t="s">
        <v>142</v>
      </c>
      <c r="K486" t="str">
        <f t="shared" si="21"/>
        <v>Jason Roller</v>
      </c>
      <c r="L486" t="s">
        <v>57</v>
      </c>
      <c r="M486" s="1">
        <v>45836</v>
      </c>
      <c r="N486" s="1">
        <v>45989</v>
      </c>
      <c r="O486" s="2">
        <v>15.18</v>
      </c>
      <c r="P486">
        <f t="shared" si="22"/>
        <v>5</v>
      </c>
      <c r="Q486" t="s">
        <v>264</v>
      </c>
      <c r="R486" t="s">
        <v>1086</v>
      </c>
      <c r="S486" t="s">
        <v>58</v>
      </c>
      <c r="T486" s="3">
        <v>0.7</v>
      </c>
      <c r="U486" t="s">
        <v>60</v>
      </c>
      <c r="V486" t="s">
        <v>61</v>
      </c>
      <c r="W486" s="2">
        <v>10.63</v>
      </c>
      <c r="X486" s="2">
        <v>0</v>
      </c>
      <c r="Y486" s="2">
        <v>10.63</v>
      </c>
      <c r="Z486" s="5" t="s">
        <v>54</v>
      </c>
    </row>
    <row r="487" spans="1:26" x14ac:dyDescent="0.25">
      <c r="A487">
        <v>2028938952</v>
      </c>
      <c r="B487" t="s">
        <v>785</v>
      </c>
      <c r="C487" t="s">
        <v>506</v>
      </c>
      <c r="D487" s="5" t="str">
        <f t="shared" si="23"/>
        <v>KONTOS GEORGE</v>
      </c>
      <c r="E487" t="s">
        <v>69</v>
      </c>
      <c r="F487" t="s">
        <v>53</v>
      </c>
      <c r="G487" t="s">
        <v>54</v>
      </c>
      <c r="H487">
        <v>8977234</v>
      </c>
      <c r="I487" t="s">
        <v>55</v>
      </c>
      <c r="J487" t="s">
        <v>56</v>
      </c>
      <c r="K487" t="str">
        <f t="shared" si="21"/>
        <v>RYAN CALTAGIRONE</v>
      </c>
      <c r="L487" t="s">
        <v>57</v>
      </c>
      <c r="M487" s="1">
        <v>45836</v>
      </c>
      <c r="N487" s="1">
        <v>45989</v>
      </c>
      <c r="O487" s="2">
        <v>105.02</v>
      </c>
      <c r="P487">
        <f t="shared" si="22"/>
        <v>5</v>
      </c>
      <c r="Q487" t="s">
        <v>264</v>
      </c>
      <c r="R487" t="s">
        <v>1086</v>
      </c>
      <c r="S487" t="s">
        <v>58</v>
      </c>
      <c r="T487" s="3">
        <v>0.7</v>
      </c>
      <c r="U487" t="s">
        <v>60</v>
      </c>
      <c r="V487" t="s">
        <v>61</v>
      </c>
      <c r="W487" s="2">
        <v>0</v>
      </c>
      <c r="X487" s="2">
        <v>73.510000000000005</v>
      </c>
      <c r="Y487" s="2">
        <v>73.510000000000005</v>
      </c>
      <c r="Z487" s="5" t="s">
        <v>54</v>
      </c>
    </row>
    <row r="488" spans="1:26" x14ac:dyDescent="0.25">
      <c r="A488">
        <v>2029183288</v>
      </c>
      <c r="B488" t="s">
        <v>796</v>
      </c>
      <c r="C488" t="s">
        <v>89</v>
      </c>
      <c r="D488" s="5" t="str">
        <f t="shared" si="23"/>
        <v>AUSTIN BARRY</v>
      </c>
      <c r="E488" t="s">
        <v>165</v>
      </c>
      <c r="F488" t="s">
        <v>53</v>
      </c>
      <c r="G488" t="s">
        <v>54</v>
      </c>
      <c r="H488">
        <v>21348299</v>
      </c>
      <c r="I488" t="s">
        <v>88</v>
      </c>
      <c r="J488" t="s">
        <v>89</v>
      </c>
      <c r="K488" t="str">
        <f t="shared" si="21"/>
        <v>BARRY BRENNER</v>
      </c>
      <c r="L488" t="s">
        <v>57</v>
      </c>
      <c r="M488" s="1">
        <v>45807</v>
      </c>
      <c r="N488" s="1">
        <v>45991</v>
      </c>
      <c r="O488" s="2">
        <v>13</v>
      </c>
      <c r="P488">
        <f t="shared" si="22"/>
        <v>6</v>
      </c>
      <c r="Q488" t="s">
        <v>264</v>
      </c>
      <c r="R488" t="s">
        <v>1086</v>
      </c>
      <c r="S488" t="s">
        <v>58</v>
      </c>
      <c r="T488" s="3">
        <v>0.7</v>
      </c>
      <c r="U488" t="s">
        <v>60</v>
      </c>
      <c r="V488" t="s">
        <v>61</v>
      </c>
      <c r="W488" s="2">
        <v>9.1</v>
      </c>
      <c r="X488" s="2">
        <v>0</v>
      </c>
      <c r="Y488" s="2">
        <v>9.1</v>
      </c>
      <c r="Z488" s="5" t="s">
        <v>54</v>
      </c>
    </row>
    <row r="489" spans="1:26" x14ac:dyDescent="0.25">
      <c r="A489">
        <v>2028960905</v>
      </c>
      <c r="B489" t="s">
        <v>789</v>
      </c>
      <c r="C489" t="s">
        <v>790</v>
      </c>
      <c r="D489" s="5" t="str">
        <f t="shared" si="23"/>
        <v>SCHOENDIENST LINDSEY</v>
      </c>
      <c r="E489" t="s">
        <v>69</v>
      </c>
      <c r="F489" t="s">
        <v>53</v>
      </c>
      <c r="G489" t="s">
        <v>54</v>
      </c>
      <c r="H489" t="s">
        <v>1083</v>
      </c>
      <c r="I489" t="s">
        <v>70</v>
      </c>
      <c r="J489" t="s">
        <v>71</v>
      </c>
      <c r="K489" t="str">
        <f t="shared" si="21"/>
        <v>Chad Yale</v>
      </c>
      <c r="L489" t="s">
        <v>57</v>
      </c>
      <c r="M489" s="1">
        <v>45809</v>
      </c>
      <c r="N489" s="1">
        <v>45992</v>
      </c>
      <c r="O489" s="2">
        <v>46.46</v>
      </c>
      <c r="P489">
        <f t="shared" si="22"/>
        <v>6</v>
      </c>
      <c r="Q489" t="s">
        <v>264</v>
      </c>
      <c r="R489" t="s">
        <v>1086</v>
      </c>
      <c r="S489" t="s">
        <v>58</v>
      </c>
      <c r="T489" s="3">
        <v>0.7</v>
      </c>
      <c r="U489" t="s">
        <v>60</v>
      </c>
      <c r="V489" t="s">
        <v>61</v>
      </c>
      <c r="W489" s="2">
        <v>32.520000000000003</v>
      </c>
      <c r="X489" s="2">
        <v>0</v>
      </c>
      <c r="Y489" s="2">
        <v>32.520000000000003</v>
      </c>
      <c r="Z489" s="5" t="s">
        <v>54</v>
      </c>
    </row>
    <row r="490" spans="1:26" x14ac:dyDescent="0.25">
      <c r="A490">
        <v>2028897604</v>
      </c>
      <c r="B490" t="s">
        <v>778</v>
      </c>
      <c r="C490" t="s">
        <v>779</v>
      </c>
      <c r="D490" s="5" t="str">
        <f t="shared" si="23"/>
        <v>ACEVEDO JORGE</v>
      </c>
      <c r="E490" t="s">
        <v>165</v>
      </c>
      <c r="F490" t="s">
        <v>53</v>
      </c>
      <c r="G490" t="s">
        <v>54</v>
      </c>
      <c r="H490" t="s">
        <v>1083</v>
      </c>
      <c r="I490" t="s">
        <v>70</v>
      </c>
      <c r="J490" t="s">
        <v>71</v>
      </c>
      <c r="K490" t="str">
        <f t="shared" si="21"/>
        <v>Chad Yale</v>
      </c>
      <c r="L490" t="s">
        <v>57</v>
      </c>
      <c r="M490" s="1">
        <v>45809</v>
      </c>
      <c r="N490" s="1">
        <v>45992</v>
      </c>
      <c r="O490" s="2">
        <v>28.38</v>
      </c>
      <c r="P490">
        <f t="shared" si="22"/>
        <v>6</v>
      </c>
      <c r="Q490" t="s">
        <v>264</v>
      </c>
      <c r="R490" t="s">
        <v>1086</v>
      </c>
      <c r="S490" t="s">
        <v>58</v>
      </c>
      <c r="T490" s="3">
        <v>0.7</v>
      </c>
      <c r="U490" t="s">
        <v>60</v>
      </c>
      <c r="V490" t="s">
        <v>61</v>
      </c>
      <c r="W490" s="2">
        <v>0</v>
      </c>
      <c r="X490" s="2">
        <v>19.87</v>
      </c>
      <c r="Y490" s="2">
        <v>19.87</v>
      </c>
      <c r="Z490" s="5" t="s">
        <v>54</v>
      </c>
    </row>
    <row r="491" spans="1:26" x14ac:dyDescent="0.25">
      <c r="A491">
        <v>2029068609</v>
      </c>
      <c r="B491" t="s">
        <v>946</v>
      </c>
      <c r="C491" t="s">
        <v>947</v>
      </c>
      <c r="D491" s="5" t="str">
        <f t="shared" si="23"/>
        <v>CONLEY BRIT</v>
      </c>
      <c r="E491" t="s">
        <v>69</v>
      </c>
      <c r="F491" t="s">
        <v>53</v>
      </c>
      <c r="G491" t="s">
        <v>54</v>
      </c>
      <c r="H491">
        <v>9213293</v>
      </c>
      <c r="I491" t="s">
        <v>82</v>
      </c>
      <c r="J491" t="s">
        <v>83</v>
      </c>
      <c r="K491" t="str">
        <f t="shared" si="21"/>
        <v>GARY PORTUGAL</v>
      </c>
      <c r="L491" t="s">
        <v>57</v>
      </c>
      <c r="M491" s="1">
        <v>45809</v>
      </c>
      <c r="N491" s="1">
        <v>45992</v>
      </c>
      <c r="O491" s="2">
        <v>52</v>
      </c>
      <c r="P491">
        <f t="shared" si="22"/>
        <v>6</v>
      </c>
      <c r="Q491" t="s">
        <v>264</v>
      </c>
      <c r="R491" t="s">
        <v>1086</v>
      </c>
      <c r="S491" t="s">
        <v>58</v>
      </c>
      <c r="T491" s="3">
        <v>0.7</v>
      </c>
      <c r="U491" t="s">
        <v>60</v>
      </c>
      <c r="V491" t="s">
        <v>61</v>
      </c>
      <c r="W491" s="2">
        <v>36.4</v>
      </c>
      <c r="X491" s="2">
        <v>0</v>
      </c>
      <c r="Y491" s="2">
        <v>36.4</v>
      </c>
      <c r="Z491" s="5" t="s">
        <v>54</v>
      </c>
    </row>
    <row r="492" spans="1:26" x14ac:dyDescent="0.25">
      <c r="A492">
        <v>2029112078</v>
      </c>
      <c r="B492" t="s">
        <v>1057</v>
      </c>
      <c r="C492" t="s">
        <v>704</v>
      </c>
      <c r="D492" s="5" t="str">
        <f t="shared" si="23"/>
        <v>DEQUAKER JUDITH</v>
      </c>
      <c r="E492" t="s">
        <v>69</v>
      </c>
      <c r="F492" t="s">
        <v>53</v>
      </c>
      <c r="G492" t="s">
        <v>54</v>
      </c>
      <c r="H492">
        <v>9213293</v>
      </c>
      <c r="I492" t="s">
        <v>82</v>
      </c>
      <c r="J492" t="s">
        <v>83</v>
      </c>
      <c r="K492" t="str">
        <f t="shared" si="21"/>
        <v>GARY PORTUGAL</v>
      </c>
      <c r="L492" t="s">
        <v>57</v>
      </c>
      <c r="M492" s="1">
        <v>45802</v>
      </c>
      <c r="N492" s="1">
        <v>45986</v>
      </c>
      <c r="O492" s="2">
        <v>46.08</v>
      </c>
      <c r="P492">
        <f t="shared" si="22"/>
        <v>6</v>
      </c>
      <c r="Q492" t="s">
        <v>264</v>
      </c>
      <c r="R492" t="s">
        <v>1086</v>
      </c>
      <c r="S492" t="s">
        <v>58</v>
      </c>
      <c r="T492" s="3">
        <v>0.7</v>
      </c>
      <c r="U492" t="s">
        <v>60</v>
      </c>
      <c r="V492" t="s">
        <v>61</v>
      </c>
      <c r="W492" s="2">
        <v>32.26</v>
      </c>
      <c r="X492" s="2">
        <v>0</v>
      </c>
      <c r="Y492" s="2">
        <v>32.26</v>
      </c>
      <c r="Z492" s="5" t="s">
        <v>54</v>
      </c>
    </row>
    <row r="493" spans="1:26" x14ac:dyDescent="0.25">
      <c r="A493">
        <v>2028952684</v>
      </c>
      <c r="B493" t="s">
        <v>1050</v>
      </c>
      <c r="C493" t="s">
        <v>1051</v>
      </c>
      <c r="D493" s="5" t="str">
        <f t="shared" si="23"/>
        <v>BAAS KASSONDRA</v>
      </c>
      <c r="E493" t="s">
        <v>145</v>
      </c>
      <c r="F493" t="s">
        <v>53</v>
      </c>
      <c r="G493" t="s">
        <v>54</v>
      </c>
      <c r="H493">
        <v>9213293</v>
      </c>
      <c r="I493" t="s">
        <v>82</v>
      </c>
      <c r="J493" t="s">
        <v>83</v>
      </c>
      <c r="K493" t="str">
        <f t="shared" si="21"/>
        <v>GARY PORTUGAL</v>
      </c>
      <c r="L493" t="s">
        <v>57</v>
      </c>
      <c r="M493" s="1">
        <v>45809</v>
      </c>
      <c r="N493" s="1">
        <v>45992</v>
      </c>
      <c r="O493" s="2">
        <v>70.25</v>
      </c>
      <c r="P493">
        <f t="shared" si="22"/>
        <v>6</v>
      </c>
      <c r="Q493" t="s">
        <v>264</v>
      </c>
      <c r="R493" t="s">
        <v>1086</v>
      </c>
      <c r="S493" t="s">
        <v>58</v>
      </c>
      <c r="T493" s="3">
        <v>0.7</v>
      </c>
      <c r="U493" t="s">
        <v>60</v>
      </c>
      <c r="V493" t="s">
        <v>61</v>
      </c>
      <c r="W493" s="2">
        <v>0</v>
      </c>
      <c r="X493" s="2">
        <v>49.18</v>
      </c>
      <c r="Y493" s="2">
        <v>49.18</v>
      </c>
      <c r="Z493" s="5" t="s">
        <v>54</v>
      </c>
    </row>
    <row r="494" spans="1:26" x14ac:dyDescent="0.25">
      <c r="A494">
        <v>2028905068</v>
      </c>
      <c r="B494" t="s">
        <v>782</v>
      </c>
      <c r="C494" t="s">
        <v>783</v>
      </c>
      <c r="D494" s="5" t="str">
        <f t="shared" si="23"/>
        <v>MARTINEZ ALDO</v>
      </c>
      <c r="E494" t="s">
        <v>165</v>
      </c>
      <c r="F494" t="s">
        <v>53</v>
      </c>
      <c r="G494" t="s">
        <v>54</v>
      </c>
      <c r="H494">
        <v>1706194</v>
      </c>
      <c r="I494" t="s">
        <v>65</v>
      </c>
      <c r="J494" t="s">
        <v>66</v>
      </c>
      <c r="K494" t="str">
        <f t="shared" si="21"/>
        <v>MATTHEW DAUGHERTY</v>
      </c>
      <c r="L494" t="s">
        <v>57</v>
      </c>
      <c r="M494" s="1">
        <v>45809</v>
      </c>
      <c r="N494" s="1">
        <v>45992</v>
      </c>
      <c r="O494" s="2">
        <v>49.12</v>
      </c>
      <c r="P494">
        <f t="shared" si="22"/>
        <v>6</v>
      </c>
      <c r="Q494" t="s">
        <v>264</v>
      </c>
      <c r="R494" t="s">
        <v>1086</v>
      </c>
      <c r="S494" t="s">
        <v>58</v>
      </c>
      <c r="T494" s="3">
        <v>0.7</v>
      </c>
      <c r="U494" t="s">
        <v>60</v>
      </c>
      <c r="V494" t="s">
        <v>61</v>
      </c>
      <c r="W494" s="2">
        <v>34.380000000000003</v>
      </c>
      <c r="X494" s="2">
        <v>0</v>
      </c>
      <c r="Y494" s="2">
        <v>34.380000000000003</v>
      </c>
      <c r="Z494" s="5" t="s">
        <v>54</v>
      </c>
    </row>
    <row r="495" spans="1:26" x14ac:dyDescent="0.25">
      <c r="A495">
        <v>2028905614</v>
      </c>
      <c r="B495" t="s">
        <v>784</v>
      </c>
      <c r="C495" t="s">
        <v>354</v>
      </c>
      <c r="D495" s="5" t="str">
        <f t="shared" si="23"/>
        <v>OWENS JAMES</v>
      </c>
      <c r="E495" t="s">
        <v>165</v>
      </c>
      <c r="F495" t="s">
        <v>53</v>
      </c>
      <c r="G495" t="s">
        <v>54</v>
      </c>
      <c r="H495">
        <v>1706194</v>
      </c>
      <c r="I495" t="s">
        <v>65</v>
      </c>
      <c r="J495" t="s">
        <v>66</v>
      </c>
      <c r="K495" t="str">
        <f t="shared" si="21"/>
        <v>MATTHEW DAUGHERTY</v>
      </c>
      <c r="L495" t="s">
        <v>57</v>
      </c>
      <c r="M495" s="1">
        <v>45809</v>
      </c>
      <c r="N495" s="1">
        <v>45992</v>
      </c>
      <c r="O495" s="2">
        <v>28.38</v>
      </c>
      <c r="P495">
        <f t="shared" si="22"/>
        <v>6</v>
      </c>
      <c r="Q495" t="s">
        <v>264</v>
      </c>
      <c r="R495" t="s">
        <v>1086</v>
      </c>
      <c r="S495" t="s">
        <v>58</v>
      </c>
      <c r="T495" s="3">
        <v>0.7</v>
      </c>
      <c r="U495" t="s">
        <v>60</v>
      </c>
      <c r="V495" t="s">
        <v>61</v>
      </c>
      <c r="W495" s="2">
        <v>19.87</v>
      </c>
      <c r="X495" s="2">
        <v>0</v>
      </c>
      <c r="Y495" s="2">
        <v>19.87</v>
      </c>
      <c r="Z495" s="5" t="s">
        <v>54</v>
      </c>
    </row>
    <row r="496" spans="1:26" x14ac:dyDescent="0.25">
      <c r="A496">
        <v>2028992069</v>
      </c>
      <c r="B496" t="s">
        <v>791</v>
      </c>
      <c r="C496" t="s">
        <v>490</v>
      </c>
      <c r="D496" s="5" t="str">
        <f t="shared" si="23"/>
        <v>CROWE SCOTT</v>
      </c>
      <c r="E496" t="s">
        <v>179</v>
      </c>
      <c r="F496" t="s">
        <v>53</v>
      </c>
      <c r="G496" t="s">
        <v>54</v>
      </c>
      <c r="H496">
        <v>1706194</v>
      </c>
      <c r="I496" t="s">
        <v>65</v>
      </c>
      <c r="J496" t="s">
        <v>66</v>
      </c>
      <c r="K496" t="str">
        <f t="shared" si="21"/>
        <v>MATTHEW DAUGHERTY</v>
      </c>
      <c r="L496" t="s">
        <v>57</v>
      </c>
      <c r="M496" s="1">
        <v>45799</v>
      </c>
      <c r="N496" s="1">
        <v>45983</v>
      </c>
      <c r="O496" s="2">
        <v>-9.0500000000000007</v>
      </c>
      <c r="P496">
        <f t="shared" si="22"/>
        <v>6</v>
      </c>
      <c r="Q496" t="s">
        <v>264</v>
      </c>
      <c r="R496" t="s">
        <v>1086</v>
      </c>
      <c r="S496" t="s">
        <v>58</v>
      </c>
      <c r="T496" s="3">
        <v>0.7</v>
      </c>
      <c r="U496" t="s">
        <v>60</v>
      </c>
      <c r="V496" t="s">
        <v>61</v>
      </c>
      <c r="W496" s="2">
        <v>0</v>
      </c>
      <c r="X496" s="2">
        <v>-6.34</v>
      </c>
      <c r="Y496" s="2">
        <v>-6.34</v>
      </c>
      <c r="Z496" s="5" t="s">
        <v>54</v>
      </c>
    </row>
    <row r="497" spans="1:26" x14ac:dyDescent="0.25">
      <c r="A497">
        <v>2028915915</v>
      </c>
      <c r="B497" t="s">
        <v>113</v>
      </c>
      <c r="C497" t="s">
        <v>1047</v>
      </c>
      <c r="D497" s="5" t="str">
        <f t="shared" si="23"/>
        <v>ARNOLD SHANON</v>
      </c>
      <c r="E497" t="s">
        <v>165</v>
      </c>
      <c r="F497" t="s">
        <v>53</v>
      </c>
      <c r="G497" t="s">
        <v>54</v>
      </c>
      <c r="H497">
        <v>16615811</v>
      </c>
      <c r="I497" t="s">
        <v>1048</v>
      </c>
      <c r="J497" t="s">
        <v>1049</v>
      </c>
      <c r="K497" t="str">
        <f t="shared" si="21"/>
        <v>Patrick Byrne</v>
      </c>
      <c r="L497" t="s">
        <v>57</v>
      </c>
      <c r="M497" s="1">
        <v>45809</v>
      </c>
      <c r="N497" s="1">
        <v>45992</v>
      </c>
      <c r="O497" s="2">
        <v>72.400000000000006</v>
      </c>
      <c r="P497">
        <f t="shared" si="22"/>
        <v>6</v>
      </c>
      <c r="Q497" t="s">
        <v>264</v>
      </c>
      <c r="R497" t="s">
        <v>1086</v>
      </c>
      <c r="S497" t="s">
        <v>58</v>
      </c>
      <c r="T497" s="3">
        <v>0.7</v>
      </c>
      <c r="U497" t="s">
        <v>60</v>
      </c>
      <c r="V497" t="s">
        <v>61</v>
      </c>
      <c r="W497" s="2">
        <v>0</v>
      </c>
      <c r="X497" s="2">
        <v>50.68</v>
      </c>
      <c r="Y497" s="2">
        <v>50.68</v>
      </c>
      <c r="Z497" s="5" t="s">
        <v>54</v>
      </c>
    </row>
    <row r="498" spans="1:26" x14ac:dyDescent="0.25">
      <c r="A498">
        <v>2028800424</v>
      </c>
      <c r="B498" t="s">
        <v>107</v>
      </c>
      <c r="C498" t="s">
        <v>99</v>
      </c>
      <c r="D498" s="5" t="str">
        <f t="shared" si="23"/>
        <v>ANDERSON TINA</v>
      </c>
      <c r="E498" t="s">
        <v>636</v>
      </c>
      <c r="F498" t="s">
        <v>53</v>
      </c>
      <c r="G498" t="s">
        <v>54</v>
      </c>
      <c r="H498">
        <v>8977234</v>
      </c>
      <c r="I498" t="s">
        <v>55</v>
      </c>
      <c r="J498" t="s">
        <v>56</v>
      </c>
      <c r="K498" t="str">
        <f t="shared" si="21"/>
        <v>RYAN CALTAGIRONE</v>
      </c>
      <c r="L498" t="s">
        <v>57</v>
      </c>
      <c r="M498" s="1">
        <v>45804</v>
      </c>
      <c r="N498" s="1">
        <v>45988</v>
      </c>
      <c r="O498" s="2">
        <v>141.32</v>
      </c>
      <c r="P498">
        <f t="shared" si="22"/>
        <v>6</v>
      </c>
      <c r="Q498" t="s">
        <v>264</v>
      </c>
      <c r="R498" t="s">
        <v>1086</v>
      </c>
      <c r="S498" t="s">
        <v>58</v>
      </c>
      <c r="T498" s="3">
        <v>0.7</v>
      </c>
      <c r="U498" t="s">
        <v>60</v>
      </c>
      <c r="V498" t="s">
        <v>61</v>
      </c>
      <c r="W498" s="2">
        <v>98.92</v>
      </c>
      <c r="X498" s="2">
        <v>0</v>
      </c>
      <c r="Y498" s="2">
        <v>98.92</v>
      </c>
      <c r="Z498" s="5" t="s">
        <v>54</v>
      </c>
    </row>
    <row r="499" spans="1:26" x14ac:dyDescent="0.25">
      <c r="A499">
        <v>2029011564</v>
      </c>
      <c r="B499" t="s">
        <v>265</v>
      </c>
      <c r="C499" t="s">
        <v>792</v>
      </c>
      <c r="D499" s="5" t="str">
        <f t="shared" si="23"/>
        <v>LARSON RANDALL</v>
      </c>
      <c r="E499" t="s">
        <v>69</v>
      </c>
      <c r="F499" t="s">
        <v>53</v>
      </c>
      <c r="G499" t="s">
        <v>54</v>
      </c>
      <c r="H499">
        <v>8977234</v>
      </c>
      <c r="I499" t="s">
        <v>55</v>
      </c>
      <c r="J499" t="s">
        <v>56</v>
      </c>
      <c r="K499" t="str">
        <f t="shared" si="21"/>
        <v>RYAN CALTAGIRONE</v>
      </c>
      <c r="L499" t="s">
        <v>57</v>
      </c>
      <c r="M499" s="1">
        <v>45809</v>
      </c>
      <c r="N499" s="1">
        <v>45992</v>
      </c>
      <c r="O499" s="2">
        <v>96</v>
      </c>
      <c r="P499">
        <f t="shared" si="22"/>
        <v>6</v>
      </c>
      <c r="Q499" t="s">
        <v>264</v>
      </c>
      <c r="R499" t="s">
        <v>1086</v>
      </c>
      <c r="S499" t="s">
        <v>58</v>
      </c>
      <c r="T499" s="3">
        <v>0.7</v>
      </c>
      <c r="U499" t="s">
        <v>60</v>
      </c>
      <c r="V499" t="s">
        <v>61</v>
      </c>
      <c r="W499" s="2">
        <v>67.2</v>
      </c>
      <c r="X499" s="2">
        <v>0</v>
      </c>
      <c r="Y499" s="2">
        <v>67.2</v>
      </c>
      <c r="Z499" s="5" t="s">
        <v>54</v>
      </c>
    </row>
    <row r="500" spans="1:26" x14ac:dyDescent="0.25">
      <c r="A500">
        <v>2028934221</v>
      </c>
      <c r="B500" t="s">
        <v>545</v>
      </c>
      <c r="C500" t="s">
        <v>546</v>
      </c>
      <c r="D500" s="5" t="str">
        <f t="shared" si="23"/>
        <v>SHIPPEE JACK</v>
      </c>
      <c r="E500" t="s">
        <v>190</v>
      </c>
      <c r="F500" t="s">
        <v>53</v>
      </c>
      <c r="G500" t="s">
        <v>54</v>
      </c>
      <c r="H500">
        <v>8977234</v>
      </c>
      <c r="I500" t="s">
        <v>55</v>
      </c>
      <c r="J500" t="s">
        <v>56</v>
      </c>
      <c r="K500" t="str">
        <f t="shared" si="21"/>
        <v>RYAN CALTAGIRONE</v>
      </c>
      <c r="L500" t="s">
        <v>57</v>
      </c>
      <c r="M500" s="1">
        <v>45809</v>
      </c>
      <c r="N500" s="1">
        <v>45992</v>
      </c>
      <c r="O500" s="2">
        <v>52.31</v>
      </c>
      <c r="P500">
        <f t="shared" si="22"/>
        <v>6</v>
      </c>
      <c r="Q500" t="s">
        <v>264</v>
      </c>
      <c r="R500" t="s">
        <v>1086</v>
      </c>
      <c r="S500" t="s">
        <v>58</v>
      </c>
      <c r="T500" s="3">
        <v>0.7</v>
      </c>
      <c r="U500" t="s">
        <v>60</v>
      </c>
      <c r="V500" t="s">
        <v>61</v>
      </c>
      <c r="W500" s="2">
        <v>36.61</v>
      </c>
      <c r="X500" s="2">
        <v>0.01</v>
      </c>
      <c r="Y500" s="2">
        <v>36.61</v>
      </c>
      <c r="Z500" s="5" t="s">
        <v>54</v>
      </c>
    </row>
    <row r="501" spans="1:26" x14ac:dyDescent="0.25">
      <c r="A501">
        <v>2029014822</v>
      </c>
      <c r="B501" t="s">
        <v>793</v>
      </c>
      <c r="C501" t="s">
        <v>794</v>
      </c>
      <c r="D501" s="5" t="str">
        <f t="shared" si="23"/>
        <v>WRING JOSEPH</v>
      </c>
      <c r="E501" t="s">
        <v>69</v>
      </c>
      <c r="F501" t="s">
        <v>53</v>
      </c>
      <c r="G501" t="s">
        <v>54</v>
      </c>
      <c r="H501">
        <v>8977234</v>
      </c>
      <c r="I501" t="s">
        <v>55</v>
      </c>
      <c r="J501" t="s">
        <v>56</v>
      </c>
      <c r="K501" t="str">
        <f t="shared" si="21"/>
        <v>RYAN CALTAGIRONE</v>
      </c>
      <c r="L501" t="s">
        <v>57</v>
      </c>
      <c r="M501" s="1">
        <v>45809</v>
      </c>
      <c r="N501" s="1">
        <v>45992</v>
      </c>
      <c r="O501" s="2">
        <v>41.95</v>
      </c>
      <c r="P501">
        <f t="shared" si="22"/>
        <v>6</v>
      </c>
      <c r="Q501" t="s">
        <v>264</v>
      </c>
      <c r="R501" t="s">
        <v>1086</v>
      </c>
      <c r="S501" t="s">
        <v>58</v>
      </c>
      <c r="T501" s="3">
        <v>0.7</v>
      </c>
      <c r="U501" t="s">
        <v>60</v>
      </c>
      <c r="V501" t="s">
        <v>61</v>
      </c>
      <c r="W501" s="2">
        <v>29.36</v>
      </c>
      <c r="X501" s="2">
        <v>0</v>
      </c>
      <c r="Y501" s="2">
        <v>29.36</v>
      </c>
      <c r="Z501" s="5" t="s">
        <v>54</v>
      </c>
    </row>
    <row r="502" spans="1:26" x14ac:dyDescent="0.25">
      <c r="A502">
        <v>2029034660</v>
      </c>
      <c r="B502" t="s">
        <v>265</v>
      </c>
      <c r="C502" t="s">
        <v>797</v>
      </c>
      <c r="D502" s="5" t="str">
        <f t="shared" si="23"/>
        <v>LARSON DANIEL</v>
      </c>
      <c r="E502" t="s">
        <v>69</v>
      </c>
      <c r="F502" t="s">
        <v>53</v>
      </c>
      <c r="G502" t="s">
        <v>54</v>
      </c>
      <c r="H502">
        <v>8977234</v>
      </c>
      <c r="I502" t="s">
        <v>55</v>
      </c>
      <c r="J502" t="s">
        <v>56</v>
      </c>
      <c r="K502" t="str">
        <f t="shared" si="21"/>
        <v>RYAN CALTAGIRONE</v>
      </c>
      <c r="L502" t="s">
        <v>57</v>
      </c>
      <c r="M502" s="1">
        <v>45809</v>
      </c>
      <c r="N502" s="1">
        <v>45992</v>
      </c>
      <c r="O502" s="2">
        <v>33.119999999999997</v>
      </c>
      <c r="P502">
        <f t="shared" si="22"/>
        <v>6</v>
      </c>
      <c r="Q502" t="s">
        <v>264</v>
      </c>
      <c r="R502" t="s">
        <v>1086</v>
      </c>
      <c r="S502" t="s">
        <v>58</v>
      </c>
      <c r="T502" s="3">
        <v>0.7</v>
      </c>
      <c r="U502" t="s">
        <v>60</v>
      </c>
      <c r="V502" t="s">
        <v>61</v>
      </c>
      <c r="W502" s="2">
        <v>23.18</v>
      </c>
      <c r="X502" s="2">
        <v>0</v>
      </c>
      <c r="Y502" s="2">
        <v>23.18</v>
      </c>
      <c r="Z502" s="5" t="s">
        <v>54</v>
      </c>
    </row>
    <row r="503" spans="1:26" x14ac:dyDescent="0.25">
      <c r="A503">
        <v>2028663282</v>
      </c>
      <c r="B503" t="s">
        <v>1038</v>
      </c>
      <c r="C503" t="s">
        <v>413</v>
      </c>
      <c r="D503" s="5" t="str">
        <f t="shared" si="23"/>
        <v>LUNDBERG BRIAN</v>
      </c>
      <c r="E503" t="s">
        <v>69</v>
      </c>
      <c r="F503" t="s">
        <v>53</v>
      </c>
      <c r="G503" t="s">
        <v>54</v>
      </c>
      <c r="H503">
        <v>8977234</v>
      </c>
      <c r="I503" t="s">
        <v>55</v>
      </c>
      <c r="J503" t="s">
        <v>56</v>
      </c>
      <c r="K503" t="str">
        <f t="shared" si="21"/>
        <v>RYAN CALTAGIRONE</v>
      </c>
      <c r="L503" t="s">
        <v>57</v>
      </c>
      <c r="M503" s="1">
        <v>45809</v>
      </c>
      <c r="N503" s="1">
        <v>45992</v>
      </c>
      <c r="O503" s="2">
        <v>27.5</v>
      </c>
      <c r="P503">
        <f t="shared" si="22"/>
        <v>6</v>
      </c>
      <c r="Q503" t="s">
        <v>264</v>
      </c>
      <c r="R503" t="s">
        <v>1086</v>
      </c>
      <c r="S503" t="s">
        <v>58</v>
      </c>
      <c r="T503" s="3">
        <v>0.7</v>
      </c>
      <c r="U503" t="s">
        <v>60</v>
      </c>
      <c r="V503" t="s">
        <v>61</v>
      </c>
      <c r="W503" s="2">
        <v>19.25</v>
      </c>
      <c r="X503" s="2">
        <v>0</v>
      </c>
      <c r="Y503" s="2">
        <v>19.25</v>
      </c>
      <c r="Z503" s="5" t="s">
        <v>54</v>
      </c>
    </row>
    <row r="504" spans="1:26" x14ac:dyDescent="0.25">
      <c r="A504">
        <v>2028565271</v>
      </c>
      <c r="B504" t="s">
        <v>538</v>
      </c>
      <c r="C504" t="s">
        <v>539</v>
      </c>
      <c r="D504" s="5" t="str">
        <f t="shared" si="23"/>
        <v>LANCASTER DERRICK</v>
      </c>
      <c r="E504" t="s">
        <v>190</v>
      </c>
      <c r="F504" t="s">
        <v>53</v>
      </c>
      <c r="G504" t="s">
        <v>54</v>
      </c>
      <c r="H504">
        <v>8977234</v>
      </c>
      <c r="I504" t="s">
        <v>55</v>
      </c>
      <c r="J504" t="s">
        <v>56</v>
      </c>
      <c r="K504" t="str">
        <f t="shared" si="21"/>
        <v>RYAN CALTAGIRONE</v>
      </c>
      <c r="L504" t="s">
        <v>57</v>
      </c>
      <c r="M504" s="1">
        <v>45809</v>
      </c>
      <c r="N504" s="1">
        <v>45992</v>
      </c>
      <c r="O504" s="2">
        <v>24.78</v>
      </c>
      <c r="P504">
        <f t="shared" si="22"/>
        <v>6</v>
      </c>
      <c r="Q504" t="s">
        <v>264</v>
      </c>
      <c r="R504" t="s">
        <v>1086</v>
      </c>
      <c r="S504" t="s">
        <v>58</v>
      </c>
      <c r="T504" s="3">
        <v>0.7</v>
      </c>
      <c r="U504" t="s">
        <v>60</v>
      </c>
      <c r="V504" t="s">
        <v>61</v>
      </c>
      <c r="W504" s="2">
        <v>17.350000000000001</v>
      </c>
      <c r="X504" s="2">
        <v>0</v>
      </c>
      <c r="Y504" s="2">
        <v>17.350000000000001</v>
      </c>
      <c r="Z504" s="5" t="s">
        <v>54</v>
      </c>
    </row>
    <row r="505" spans="1:26" x14ac:dyDescent="0.25">
      <c r="A505">
        <v>2028893261</v>
      </c>
      <c r="B505" t="s">
        <v>1045</v>
      </c>
      <c r="C505" t="s">
        <v>1046</v>
      </c>
      <c r="D505" s="5" t="str">
        <f t="shared" si="23"/>
        <v>BROCKSMITH KENT</v>
      </c>
      <c r="E505" t="s">
        <v>179</v>
      </c>
      <c r="F505" t="s">
        <v>53</v>
      </c>
      <c r="G505" t="s">
        <v>54</v>
      </c>
      <c r="H505">
        <v>8977234</v>
      </c>
      <c r="I505" t="s">
        <v>55</v>
      </c>
      <c r="J505" t="s">
        <v>56</v>
      </c>
      <c r="K505" t="str">
        <f t="shared" si="21"/>
        <v>RYAN CALTAGIRONE</v>
      </c>
      <c r="L505" t="s">
        <v>57</v>
      </c>
      <c r="M505" s="1">
        <v>45809</v>
      </c>
      <c r="N505" s="1">
        <v>45992</v>
      </c>
      <c r="O505" s="2">
        <v>10.18</v>
      </c>
      <c r="P505">
        <f t="shared" si="22"/>
        <v>6</v>
      </c>
      <c r="Q505" t="s">
        <v>264</v>
      </c>
      <c r="R505" t="s">
        <v>1086</v>
      </c>
      <c r="S505" t="s">
        <v>58</v>
      </c>
      <c r="T505" s="3">
        <v>0.7</v>
      </c>
      <c r="U505" t="s">
        <v>60</v>
      </c>
      <c r="V505" t="s">
        <v>61</v>
      </c>
      <c r="W505" s="2">
        <v>7.13</v>
      </c>
      <c r="X505" s="2">
        <v>0</v>
      </c>
      <c r="Y505" s="2">
        <v>7.13</v>
      </c>
      <c r="Z505" s="5" t="s">
        <v>54</v>
      </c>
    </row>
    <row r="506" spans="1:26" x14ac:dyDescent="0.25">
      <c r="A506">
        <v>2028448242</v>
      </c>
      <c r="B506" t="s">
        <v>536</v>
      </c>
      <c r="C506" t="s">
        <v>537</v>
      </c>
      <c r="D506" s="5" t="str">
        <f t="shared" si="23"/>
        <v>HUNT SUSAN</v>
      </c>
      <c r="E506" t="s">
        <v>179</v>
      </c>
      <c r="F506" t="s">
        <v>53</v>
      </c>
      <c r="G506" t="s">
        <v>54</v>
      </c>
      <c r="H506">
        <v>8977234</v>
      </c>
      <c r="I506" t="s">
        <v>55</v>
      </c>
      <c r="J506" t="s">
        <v>56</v>
      </c>
      <c r="K506" t="str">
        <f t="shared" si="21"/>
        <v>RYAN CALTAGIRONE</v>
      </c>
      <c r="L506" t="s">
        <v>57</v>
      </c>
      <c r="M506" s="1">
        <v>45809</v>
      </c>
      <c r="N506" s="1">
        <v>45992</v>
      </c>
      <c r="O506" s="2">
        <v>45.3</v>
      </c>
      <c r="P506">
        <f t="shared" si="22"/>
        <v>6</v>
      </c>
      <c r="Q506" t="s">
        <v>264</v>
      </c>
      <c r="R506" t="s">
        <v>1086</v>
      </c>
      <c r="S506" t="s">
        <v>58</v>
      </c>
      <c r="T506" s="3">
        <v>0.7</v>
      </c>
      <c r="U506" t="s">
        <v>60</v>
      </c>
      <c r="V506" t="s">
        <v>61</v>
      </c>
      <c r="W506" s="2">
        <v>0</v>
      </c>
      <c r="X506" s="2">
        <v>31.71</v>
      </c>
      <c r="Y506" s="2">
        <v>31.71</v>
      </c>
      <c r="Z506" s="5" t="s">
        <v>54</v>
      </c>
    </row>
    <row r="507" spans="1:26" x14ac:dyDescent="0.25">
      <c r="A507">
        <v>2028773696</v>
      </c>
      <c r="B507" t="s">
        <v>542</v>
      </c>
      <c r="C507" t="s">
        <v>632</v>
      </c>
      <c r="D507" s="5" t="str">
        <f t="shared" si="23"/>
        <v>KISSEL SETH</v>
      </c>
      <c r="E507" t="s">
        <v>179</v>
      </c>
      <c r="F507" t="s">
        <v>53</v>
      </c>
      <c r="G507" t="s">
        <v>54</v>
      </c>
      <c r="H507">
        <v>8977234</v>
      </c>
      <c r="I507" t="s">
        <v>55</v>
      </c>
      <c r="J507" t="s">
        <v>56</v>
      </c>
      <c r="K507" t="str">
        <f t="shared" si="21"/>
        <v>RYAN CALTAGIRONE</v>
      </c>
      <c r="L507" t="s">
        <v>57</v>
      </c>
      <c r="M507" s="1">
        <v>45809</v>
      </c>
      <c r="N507" s="1">
        <v>45992</v>
      </c>
      <c r="O507" s="2">
        <v>28.4</v>
      </c>
      <c r="P507">
        <f t="shared" si="22"/>
        <v>6</v>
      </c>
      <c r="Q507" t="s">
        <v>264</v>
      </c>
      <c r="R507" t="s">
        <v>1086</v>
      </c>
      <c r="S507" t="s">
        <v>58</v>
      </c>
      <c r="T507" s="3">
        <v>0.7</v>
      </c>
      <c r="U507" t="s">
        <v>60</v>
      </c>
      <c r="V507" t="s">
        <v>61</v>
      </c>
      <c r="W507" s="2">
        <v>0</v>
      </c>
      <c r="X507" s="2">
        <v>19.88</v>
      </c>
      <c r="Y507" s="2">
        <v>19.88</v>
      </c>
      <c r="Z507" s="5" t="s">
        <v>54</v>
      </c>
    </row>
    <row r="508" spans="1:26" x14ac:dyDescent="0.25">
      <c r="A508">
        <v>2028774420</v>
      </c>
      <c r="B508" t="s">
        <v>542</v>
      </c>
      <c r="C508" t="s">
        <v>543</v>
      </c>
      <c r="D508" s="5" t="str">
        <f t="shared" si="23"/>
        <v>KISSEL AMY</v>
      </c>
      <c r="E508" t="s">
        <v>179</v>
      </c>
      <c r="F508" t="s">
        <v>53</v>
      </c>
      <c r="G508" t="s">
        <v>54</v>
      </c>
      <c r="H508">
        <v>8977234</v>
      </c>
      <c r="I508" t="s">
        <v>55</v>
      </c>
      <c r="J508" t="s">
        <v>56</v>
      </c>
      <c r="K508" t="str">
        <f t="shared" si="21"/>
        <v>RYAN CALTAGIRONE</v>
      </c>
      <c r="L508" t="s">
        <v>57</v>
      </c>
      <c r="M508" s="1">
        <v>45809</v>
      </c>
      <c r="N508" s="1">
        <v>45992</v>
      </c>
      <c r="O508" s="2">
        <v>143.66</v>
      </c>
      <c r="P508">
        <f t="shared" si="22"/>
        <v>6</v>
      </c>
      <c r="Q508" t="s">
        <v>264</v>
      </c>
      <c r="R508" t="s">
        <v>1086</v>
      </c>
      <c r="S508" t="s">
        <v>58</v>
      </c>
      <c r="T508" s="3">
        <v>0.7</v>
      </c>
      <c r="U508" t="s">
        <v>60</v>
      </c>
      <c r="V508" t="s">
        <v>61</v>
      </c>
      <c r="W508" s="2">
        <v>0</v>
      </c>
      <c r="X508" s="2">
        <v>100.56</v>
      </c>
      <c r="Y508" s="2">
        <v>100.56</v>
      </c>
      <c r="Z508" s="5" t="s">
        <v>54</v>
      </c>
    </row>
    <row r="509" spans="1:26" x14ac:dyDescent="0.25">
      <c r="A509">
        <v>2028776889</v>
      </c>
      <c r="B509" t="s">
        <v>635</v>
      </c>
      <c r="C509" t="s">
        <v>354</v>
      </c>
      <c r="D509" s="5" t="str">
        <f t="shared" si="23"/>
        <v>RIDING JAMES</v>
      </c>
      <c r="E509" t="s">
        <v>636</v>
      </c>
      <c r="F509" t="s">
        <v>53</v>
      </c>
      <c r="G509" t="s">
        <v>54</v>
      </c>
      <c r="H509">
        <v>8977234</v>
      </c>
      <c r="I509" t="s">
        <v>55</v>
      </c>
      <c r="J509" t="s">
        <v>56</v>
      </c>
      <c r="K509" t="str">
        <f t="shared" si="21"/>
        <v>RYAN CALTAGIRONE</v>
      </c>
      <c r="L509" t="s">
        <v>57</v>
      </c>
      <c r="M509" s="1">
        <v>45809</v>
      </c>
      <c r="N509" s="1">
        <v>45992</v>
      </c>
      <c r="O509" s="2">
        <v>292.8</v>
      </c>
      <c r="P509">
        <f t="shared" si="22"/>
        <v>6</v>
      </c>
      <c r="Q509" t="s">
        <v>264</v>
      </c>
      <c r="R509" t="s">
        <v>1086</v>
      </c>
      <c r="S509" t="s">
        <v>58</v>
      </c>
      <c r="T509" s="3">
        <v>0.7</v>
      </c>
      <c r="U509" t="s">
        <v>60</v>
      </c>
      <c r="V509" t="s">
        <v>61</v>
      </c>
      <c r="W509" s="2">
        <v>0</v>
      </c>
      <c r="X509" s="2">
        <v>204.96</v>
      </c>
      <c r="Y509" s="2">
        <v>204.96</v>
      </c>
      <c r="Z509" s="5" t="s">
        <v>54</v>
      </c>
    </row>
    <row r="510" spans="1:26" x14ac:dyDescent="0.25">
      <c r="A510">
        <v>2028923136</v>
      </c>
      <c r="B510" t="s">
        <v>938</v>
      </c>
      <c r="C510" t="s">
        <v>385</v>
      </c>
      <c r="D510" s="5" t="str">
        <f t="shared" si="23"/>
        <v>SNARSKI PATRICIA</v>
      </c>
      <c r="E510" t="s">
        <v>69</v>
      </c>
      <c r="F510" t="s">
        <v>53</v>
      </c>
      <c r="G510" t="s">
        <v>54</v>
      </c>
      <c r="H510">
        <v>19396223</v>
      </c>
      <c r="I510" t="s">
        <v>135</v>
      </c>
      <c r="J510" t="s">
        <v>136</v>
      </c>
      <c r="K510" t="str">
        <f t="shared" si="21"/>
        <v>Saadia Abdul</v>
      </c>
      <c r="L510" t="s">
        <v>57</v>
      </c>
      <c r="M510" s="1">
        <v>45809</v>
      </c>
      <c r="N510" s="1">
        <v>45992</v>
      </c>
      <c r="O510" s="2">
        <v>15.75</v>
      </c>
      <c r="P510">
        <f t="shared" si="22"/>
        <v>6</v>
      </c>
      <c r="Q510" t="s">
        <v>264</v>
      </c>
      <c r="R510" t="s">
        <v>1086</v>
      </c>
      <c r="S510" t="s">
        <v>58</v>
      </c>
      <c r="T510" s="3">
        <v>0.7</v>
      </c>
      <c r="U510" t="s">
        <v>60</v>
      </c>
      <c r="V510" t="s">
        <v>61</v>
      </c>
      <c r="W510" s="2">
        <v>11.02</v>
      </c>
      <c r="X510" s="2">
        <v>0</v>
      </c>
      <c r="Y510" s="2">
        <v>11.02</v>
      </c>
      <c r="Z510" s="5" t="s">
        <v>54</v>
      </c>
    </row>
    <row r="511" spans="1:26" x14ac:dyDescent="0.25">
      <c r="A511">
        <v>2027785590</v>
      </c>
      <c r="B511" t="s">
        <v>1012</v>
      </c>
      <c r="C511" t="s">
        <v>1013</v>
      </c>
      <c r="D511" s="5" t="str">
        <f t="shared" si="23"/>
        <v>ROBINSON-MARTIN CYNTHIA</v>
      </c>
      <c r="E511" t="s">
        <v>165</v>
      </c>
      <c r="F511" t="s">
        <v>53</v>
      </c>
      <c r="G511" t="s">
        <v>54</v>
      </c>
      <c r="H511">
        <v>21348299</v>
      </c>
      <c r="I511" t="s">
        <v>88</v>
      </c>
      <c r="J511" t="s">
        <v>89</v>
      </c>
      <c r="K511" t="str">
        <f t="shared" si="21"/>
        <v>BARRY BRENNER</v>
      </c>
      <c r="L511" t="s">
        <v>57</v>
      </c>
      <c r="M511" s="1">
        <v>45748</v>
      </c>
      <c r="N511" s="1">
        <v>45992</v>
      </c>
      <c r="O511" s="2">
        <v>28.38</v>
      </c>
      <c r="P511">
        <f t="shared" si="22"/>
        <v>8</v>
      </c>
      <c r="Q511" t="s">
        <v>264</v>
      </c>
      <c r="R511" t="s">
        <v>1086</v>
      </c>
      <c r="S511" t="s">
        <v>58</v>
      </c>
      <c r="T511" s="3">
        <v>0.7</v>
      </c>
      <c r="U511" t="s">
        <v>60</v>
      </c>
      <c r="V511" t="s">
        <v>61</v>
      </c>
      <c r="W511" s="2">
        <v>0</v>
      </c>
      <c r="X511" s="2">
        <v>19.87</v>
      </c>
      <c r="Y511" s="2">
        <v>19.87</v>
      </c>
      <c r="Z511" s="5" t="s">
        <v>54</v>
      </c>
    </row>
    <row r="512" spans="1:26" x14ac:dyDescent="0.25">
      <c r="A512">
        <v>2028043912</v>
      </c>
      <c r="B512" t="s">
        <v>280</v>
      </c>
      <c r="C512" t="s">
        <v>907</v>
      </c>
      <c r="D512" s="5" t="str">
        <f t="shared" si="23"/>
        <v>MARTIN TRACEY</v>
      </c>
      <c r="E512" t="s">
        <v>69</v>
      </c>
      <c r="F512" t="s">
        <v>53</v>
      </c>
      <c r="G512" t="s">
        <v>54</v>
      </c>
      <c r="H512">
        <v>21348299</v>
      </c>
      <c r="I512" t="s">
        <v>88</v>
      </c>
      <c r="J512" t="s">
        <v>89</v>
      </c>
      <c r="K512" t="str">
        <f t="shared" si="21"/>
        <v>BARRY BRENNER</v>
      </c>
      <c r="L512" t="s">
        <v>57</v>
      </c>
      <c r="M512" s="1">
        <v>45748</v>
      </c>
      <c r="N512" s="1">
        <v>45992</v>
      </c>
      <c r="O512" s="2">
        <v>19</v>
      </c>
      <c r="P512">
        <f t="shared" si="22"/>
        <v>8</v>
      </c>
      <c r="Q512" t="s">
        <v>264</v>
      </c>
      <c r="R512" t="s">
        <v>1086</v>
      </c>
      <c r="S512" t="s">
        <v>58</v>
      </c>
      <c r="T512" s="3">
        <v>0.7</v>
      </c>
      <c r="U512" t="s">
        <v>60</v>
      </c>
      <c r="V512" t="s">
        <v>61</v>
      </c>
      <c r="W512" s="2">
        <v>0</v>
      </c>
      <c r="X512" s="2">
        <v>13.3</v>
      </c>
      <c r="Y512" s="2">
        <v>13.3</v>
      </c>
      <c r="Z512" s="5" t="s">
        <v>54</v>
      </c>
    </row>
    <row r="513" spans="1:26" x14ac:dyDescent="0.25">
      <c r="A513">
        <v>2027694241</v>
      </c>
      <c r="B513" t="s">
        <v>1008</v>
      </c>
      <c r="C513" t="s">
        <v>1009</v>
      </c>
      <c r="D513" s="5" t="str">
        <f t="shared" si="23"/>
        <v>MONTOYA JOHANNA</v>
      </c>
      <c r="E513" t="s">
        <v>69</v>
      </c>
      <c r="F513" t="s">
        <v>53</v>
      </c>
      <c r="G513" t="s">
        <v>54</v>
      </c>
      <c r="H513">
        <v>9213293</v>
      </c>
      <c r="I513" t="s">
        <v>82</v>
      </c>
      <c r="J513" t="s">
        <v>83</v>
      </c>
      <c r="K513" t="str">
        <f t="shared" si="21"/>
        <v>GARY PORTUGAL</v>
      </c>
      <c r="L513" t="s">
        <v>57</v>
      </c>
      <c r="M513" s="1">
        <v>45748</v>
      </c>
      <c r="N513" s="1">
        <v>45992</v>
      </c>
      <c r="O513" s="2">
        <v>80.95</v>
      </c>
      <c r="P513">
        <f t="shared" si="22"/>
        <v>8</v>
      </c>
      <c r="Q513" t="s">
        <v>264</v>
      </c>
      <c r="R513" t="s">
        <v>1086</v>
      </c>
      <c r="S513" t="s">
        <v>58</v>
      </c>
      <c r="T513" s="3">
        <v>0.7</v>
      </c>
      <c r="U513" t="s">
        <v>60</v>
      </c>
      <c r="V513" t="s">
        <v>61</v>
      </c>
      <c r="W513" s="2">
        <v>0</v>
      </c>
      <c r="X513" s="2">
        <v>56.66</v>
      </c>
      <c r="Y513" s="2">
        <v>56.66</v>
      </c>
      <c r="Z513" s="5" t="s">
        <v>54</v>
      </c>
    </row>
    <row r="514" spans="1:26" x14ac:dyDescent="0.25">
      <c r="A514">
        <v>2027855573</v>
      </c>
      <c r="B514" t="s">
        <v>611</v>
      </c>
      <c r="C514" t="s">
        <v>612</v>
      </c>
      <c r="D514" s="5" t="str">
        <f t="shared" si="23"/>
        <v>ROBSON ANGELA</v>
      </c>
      <c r="E514" t="s">
        <v>613</v>
      </c>
      <c r="F514" t="s">
        <v>53</v>
      </c>
      <c r="G514" t="s">
        <v>54</v>
      </c>
      <c r="H514">
        <v>8307933</v>
      </c>
      <c r="I514" t="s">
        <v>560</v>
      </c>
      <c r="J514" t="s">
        <v>336</v>
      </c>
      <c r="K514" t="str">
        <f t="shared" ref="K514:K551" si="24">CONCATENATE(J514, " ",I514)</f>
        <v>GREGORY TEIPEL</v>
      </c>
      <c r="L514" t="s">
        <v>57</v>
      </c>
      <c r="M514" s="1">
        <v>45734</v>
      </c>
      <c r="N514" s="1">
        <v>45979</v>
      </c>
      <c r="O514" s="2">
        <v>79.84</v>
      </c>
      <c r="P514">
        <f t="shared" ref="P514:P577" si="25">DATEDIF(M514,N514,"M")</f>
        <v>8</v>
      </c>
      <c r="Q514" t="s">
        <v>264</v>
      </c>
      <c r="R514" t="s">
        <v>1086</v>
      </c>
      <c r="S514" t="s">
        <v>58</v>
      </c>
      <c r="T514" s="3">
        <v>0.7</v>
      </c>
      <c r="U514" t="s">
        <v>60</v>
      </c>
      <c r="V514" t="s">
        <v>61</v>
      </c>
      <c r="W514" s="2">
        <v>0</v>
      </c>
      <c r="X514" s="2">
        <v>55.89</v>
      </c>
      <c r="Y514" s="2">
        <v>55.89</v>
      </c>
      <c r="Z514" s="5" t="s">
        <v>54</v>
      </c>
    </row>
    <row r="515" spans="1:26" x14ac:dyDescent="0.25">
      <c r="A515">
        <v>2027336918</v>
      </c>
      <c r="B515" t="s">
        <v>1000</v>
      </c>
      <c r="C515" t="s">
        <v>1001</v>
      </c>
      <c r="D515" s="5" t="str">
        <f t="shared" ref="D515:D578" si="26">CONCATENATE(B515, " ",C515)</f>
        <v>ZAWACKI GAVIN</v>
      </c>
      <c r="E515" t="s">
        <v>69</v>
      </c>
      <c r="F515" t="s">
        <v>53</v>
      </c>
      <c r="G515" t="s">
        <v>54</v>
      </c>
      <c r="H515">
        <v>18754354</v>
      </c>
      <c r="I515" t="s">
        <v>114</v>
      </c>
      <c r="J515" t="s">
        <v>115</v>
      </c>
      <c r="K515" t="str">
        <f t="shared" si="24"/>
        <v>JACOB YALE</v>
      </c>
      <c r="L515" t="s">
        <v>57</v>
      </c>
      <c r="M515" s="1">
        <v>45748</v>
      </c>
      <c r="N515" s="1">
        <v>45992</v>
      </c>
      <c r="O515" s="2">
        <v>46.46</v>
      </c>
      <c r="P515">
        <f t="shared" si="25"/>
        <v>8</v>
      </c>
      <c r="Q515" t="s">
        <v>264</v>
      </c>
      <c r="R515" t="s">
        <v>1086</v>
      </c>
      <c r="S515" t="s">
        <v>58</v>
      </c>
      <c r="T515" s="3">
        <v>0.7</v>
      </c>
      <c r="U515" t="s">
        <v>60</v>
      </c>
      <c r="V515" t="s">
        <v>61</v>
      </c>
      <c r="W515" s="2">
        <v>0</v>
      </c>
      <c r="X515" s="2">
        <v>32.520000000000003</v>
      </c>
      <c r="Y515" s="2">
        <v>32.520000000000003</v>
      </c>
      <c r="Z515" s="5" t="s">
        <v>54</v>
      </c>
    </row>
    <row r="516" spans="1:26" x14ac:dyDescent="0.25">
      <c r="A516">
        <v>2027868982</v>
      </c>
      <c r="B516" t="s">
        <v>895</v>
      </c>
      <c r="C516" t="s">
        <v>896</v>
      </c>
      <c r="D516" s="5" t="str">
        <f t="shared" si="26"/>
        <v>EDIZER BOGAC</v>
      </c>
      <c r="E516" t="s">
        <v>69</v>
      </c>
      <c r="F516" t="s">
        <v>53</v>
      </c>
      <c r="G516" t="s">
        <v>54</v>
      </c>
      <c r="H516">
        <v>18754354</v>
      </c>
      <c r="I516" t="s">
        <v>114</v>
      </c>
      <c r="J516" t="s">
        <v>115</v>
      </c>
      <c r="K516" t="str">
        <f t="shared" si="24"/>
        <v>JACOB YALE</v>
      </c>
      <c r="L516" t="s">
        <v>57</v>
      </c>
      <c r="M516" s="1">
        <v>45748</v>
      </c>
      <c r="N516" s="1">
        <v>45992</v>
      </c>
      <c r="O516" s="2">
        <v>15.75</v>
      </c>
      <c r="P516">
        <f t="shared" si="25"/>
        <v>8</v>
      </c>
      <c r="Q516" t="s">
        <v>264</v>
      </c>
      <c r="R516" t="s">
        <v>1086</v>
      </c>
      <c r="S516" t="s">
        <v>58</v>
      </c>
      <c r="T516" s="3">
        <v>0.7</v>
      </c>
      <c r="U516" t="s">
        <v>60</v>
      </c>
      <c r="V516" t="s">
        <v>61</v>
      </c>
      <c r="W516" s="2">
        <v>0</v>
      </c>
      <c r="X516" s="2">
        <v>11.02</v>
      </c>
      <c r="Y516" s="2">
        <v>11.02</v>
      </c>
      <c r="Z516" s="5" t="s">
        <v>54</v>
      </c>
    </row>
    <row r="517" spans="1:26" x14ac:dyDescent="0.25">
      <c r="A517">
        <v>2028052818</v>
      </c>
      <c r="B517" t="s">
        <v>624</v>
      </c>
      <c r="C517" t="s">
        <v>625</v>
      </c>
      <c r="D517" s="5" t="str">
        <f t="shared" si="26"/>
        <v>LIVELY LANDON</v>
      </c>
      <c r="E517" t="s">
        <v>165</v>
      </c>
      <c r="F517" t="s">
        <v>53</v>
      </c>
      <c r="G517" t="s">
        <v>54</v>
      </c>
      <c r="H517">
        <v>1706194</v>
      </c>
      <c r="I517" t="s">
        <v>65</v>
      </c>
      <c r="J517" t="s">
        <v>66</v>
      </c>
      <c r="K517" t="str">
        <f t="shared" si="24"/>
        <v>MATTHEW DAUGHERTY</v>
      </c>
      <c r="L517" t="s">
        <v>57</v>
      </c>
      <c r="M517" s="1">
        <v>45748</v>
      </c>
      <c r="N517" s="1">
        <v>45992</v>
      </c>
      <c r="O517" s="2">
        <v>163.43</v>
      </c>
      <c r="P517">
        <f t="shared" si="25"/>
        <v>8</v>
      </c>
      <c r="Q517" t="s">
        <v>264</v>
      </c>
      <c r="R517" t="s">
        <v>1086</v>
      </c>
      <c r="S517" t="s">
        <v>58</v>
      </c>
      <c r="T517" s="3">
        <v>0.7</v>
      </c>
      <c r="U517" t="s">
        <v>60</v>
      </c>
      <c r="V517" t="s">
        <v>61</v>
      </c>
      <c r="W517" s="2">
        <v>0</v>
      </c>
      <c r="X517" s="2">
        <v>114.4</v>
      </c>
      <c r="Y517" s="2">
        <v>114.4</v>
      </c>
      <c r="Z517" s="5" t="s">
        <v>54</v>
      </c>
    </row>
    <row r="518" spans="1:26" x14ac:dyDescent="0.25">
      <c r="A518">
        <v>2027054029</v>
      </c>
      <c r="B518" t="s">
        <v>999</v>
      </c>
      <c r="C518" t="s">
        <v>312</v>
      </c>
      <c r="D518" s="5" t="str">
        <f t="shared" si="26"/>
        <v>BLEVINS JOHN</v>
      </c>
      <c r="E518" t="s">
        <v>636</v>
      </c>
      <c r="F518" t="s">
        <v>53</v>
      </c>
      <c r="G518" t="s">
        <v>54</v>
      </c>
      <c r="H518">
        <v>8977234</v>
      </c>
      <c r="I518" t="s">
        <v>55</v>
      </c>
      <c r="J518" t="s">
        <v>56</v>
      </c>
      <c r="K518" t="str">
        <f t="shared" si="24"/>
        <v>RYAN CALTAGIRONE</v>
      </c>
      <c r="L518" t="s">
        <v>57</v>
      </c>
      <c r="M518" s="1">
        <v>45748</v>
      </c>
      <c r="N518" s="1">
        <v>45992</v>
      </c>
      <c r="O518" s="2">
        <v>196.82</v>
      </c>
      <c r="P518">
        <f t="shared" si="25"/>
        <v>8</v>
      </c>
      <c r="Q518" t="s">
        <v>264</v>
      </c>
      <c r="R518" t="s">
        <v>1086</v>
      </c>
      <c r="S518" t="s">
        <v>58</v>
      </c>
      <c r="T518" s="3">
        <v>0.7</v>
      </c>
      <c r="U518" t="s">
        <v>60</v>
      </c>
      <c r="V518" t="s">
        <v>61</v>
      </c>
      <c r="W518" s="2">
        <v>0</v>
      </c>
      <c r="X518" s="2">
        <v>137.77000000000001</v>
      </c>
      <c r="Y518" s="2">
        <v>137.77000000000001</v>
      </c>
      <c r="Z518" s="5" t="s">
        <v>54</v>
      </c>
    </row>
    <row r="519" spans="1:26" x14ac:dyDescent="0.25">
      <c r="A519">
        <v>2027398849</v>
      </c>
      <c r="B519" t="s">
        <v>606</v>
      </c>
      <c r="C519" t="s">
        <v>607</v>
      </c>
      <c r="D519" s="5" t="str">
        <f t="shared" si="26"/>
        <v>CHRISTALDI GINA</v>
      </c>
      <c r="E519" t="s">
        <v>52</v>
      </c>
      <c r="F519" t="s">
        <v>53</v>
      </c>
      <c r="G519" t="s">
        <v>54</v>
      </c>
      <c r="H519">
        <v>8977234</v>
      </c>
      <c r="I519" t="s">
        <v>55</v>
      </c>
      <c r="J519" t="s">
        <v>56</v>
      </c>
      <c r="K519" t="str">
        <f t="shared" si="24"/>
        <v>RYAN CALTAGIRONE</v>
      </c>
      <c r="L519" t="s">
        <v>57</v>
      </c>
      <c r="M519" s="1">
        <v>45748</v>
      </c>
      <c r="N519" s="1">
        <v>45992</v>
      </c>
      <c r="O519" s="2">
        <v>22.19</v>
      </c>
      <c r="P519">
        <f t="shared" si="25"/>
        <v>8</v>
      </c>
      <c r="Q519" t="s">
        <v>264</v>
      </c>
      <c r="R519" t="s">
        <v>1086</v>
      </c>
      <c r="S519" t="s">
        <v>58</v>
      </c>
      <c r="T519" s="3">
        <v>0.7</v>
      </c>
      <c r="U519" t="s">
        <v>60</v>
      </c>
      <c r="V519" t="s">
        <v>61</v>
      </c>
      <c r="W519" s="2">
        <v>0</v>
      </c>
      <c r="X519" s="2">
        <v>15.53</v>
      </c>
      <c r="Y519" s="2">
        <v>15.53</v>
      </c>
      <c r="Z519" s="5" t="s">
        <v>54</v>
      </c>
    </row>
    <row r="520" spans="1:26" x14ac:dyDescent="0.25">
      <c r="A520">
        <v>2027743281</v>
      </c>
      <c r="B520" t="s">
        <v>610</v>
      </c>
      <c r="C520" t="s">
        <v>324</v>
      </c>
      <c r="D520" s="5" t="str">
        <f t="shared" si="26"/>
        <v>SZYMANSKI KATHLEEN</v>
      </c>
      <c r="E520" t="s">
        <v>182</v>
      </c>
      <c r="F520" t="s">
        <v>53</v>
      </c>
      <c r="G520" t="s">
        <v>54</v>
      </c>
      <c r="H520">
        <v>8977234</v>
      </c>
      <c r="I520" t="s">
        <v>55</v>
      </c>
      <c r="J520" t="s">
        <v>56</v>
      </c>
      <c r="K520" t="str">
        <f t="shared" si="24"/>
        <v>RYAN CALTAGIRONE</v>
      </c>
      <c r="L520" t="s">
        <v>57</v>
      </c>
      <c r="M520" s="1">
        <v>45748</v>
      </c>
      <c r="N520" s="1">
        <v>45992</v>
      </c>
      <c r="O520" s="2">
        <v>70.069999999999993</v>
      </c>
      <c r="P520">
        <f t="shared" si="25"/>
        <v>8</v>
      </c>
      <c r="Q520" t="s">
        <v>264</v>
      </c>
      <c r="R520" t="s">
        <v>1086</v>
      </c>
      <c r="S520" t="s">
        <v>58</v>
      </c>
      <c r="T520" s="3">
        <v>0.7</v>
      </c>
      <c r="U520" t="s">
        <v>60</v>
      </c>
      <c r="V520" t="s">
        <v>61</v>
      </c>
      <c r="W520" s="2">
        <v>0</v>
      </c>
      <c r="X520" s="2">
        <v>49.05</v>
      </c>
      <c r="Y520" s="2">
        <v>49.05</v>
      </c>
      <c r="Z520" s="5" t="s">
        <v>54</v>
      </c>
    </row>
    <row r="521" spans="1:26" x14ac:dyDescent="0.25">
      <c r="A521">
        <v>2027937824</v>
      </c>
      <c r="B521" t="s">
        <v>899</v>
      </c>
      <c r="C521" t="s">
        <v>900</v>
      </c>
      <c r="D521" s="5" t="str">
        <f t="shared" si="26"/>
        <v>USHIJIMA RYOSUKE</v>
      </c>
      <c r="E521" t="s">
        <v>636</v>
      </c>
      <c r="F521" t="s">
        <v>53</v>
      </c>
      <c r="G521" t="s">
        <v>54</v>
      </c>
      <c r="H521">
        <v>8977234</v>
      </c>
      <c r="I521" t="s">
        <v>55</v>
      </c>
      <c r="J521" t="s">
        <v>56</v>
      </c>
      <c r="K521" t="str">
        <f t="shared" si="24"/>
        <v>RYAN CALTAGIRONE</v>
      </c>
      <c r="L521" t="s">
        <v>57</v>
      </c>
      <c r="M521" s="1">
        <v>45748</v>
      </c>
      <c r="N521" s="1">
        <v>45992</v>
      </c>
      <c r="O521" s="2">
        <v>142.59</v>
      </c>
      <c r="P521">
        <f t="shared" si="25"/>
        <v>8</v>
      </c>
      <c r="Q521" t="s">
        <v>264</v>
      </c>
      <c r="R521" t="s">
        <v>1086</v>
      </c>
      <c r="S521" t="s">
        <v>58</v>
      </c>
      <c r="T521" s="3">
        <v>0.7</v>
      </c>
      <c r="U521" t="s">
        <v>60</v>
      </c>
      <c r="V521" t="s">
        <v>61</v>
      </c>
      <c r="W521" s="2">
        <v>0</v>
      </c>
      <c r="X521" s="2">
        <v>99.81</v>
      </c>
      <c r="Y521" s="2">
        <v>99.81</v>
      </c>
      <c r="Z521" s="5" t="s">
        <v>54</v>
      </c>
    </row>
    <row r="522" spans="1:26" x14ac:dyDescent="0.25">
      <c r="A522">
        <v>2028005610</v>
      </c>
      <c r="B522" t="s">
        <v>1020</v>
      </c>
      <c r="C522" t="s">
        <v>1021</v>
      </c>
      <c r="D522" s="5" t="str">
        <f t="shared" si="26"/>
        <v>WUTHRICH LORI</v>
      </c>
      <c r="E522" t="s">
        <v>179</v>
      </c>
      <c r="F522" t="s">
        <v>53</v>
      </c>
      <c r="G522" t="s">
        <v>54</v>
      </c>
      <c r="H522">
        <v>8977234</v>
      </c>
      <c r="I522" t="s">
        <v>55</v>
      </c>
      <c r="J522" t="s">
        <v>56</v>
      </c>
      <c r="K522" t="str">
        <f t="shared" si="24"/>
        <v>RYAN CALTAGIRONE</v>
      </c>
      <c r="L522" t="s">
        <v>57</v>
      </c>
      <c r="M522" s="1">
        <v>45748</v>
      </c>
      <c r="N522" s="1">
        <v>45992</v>
      </c>
      <c r="O522" s="2">
        <v>67.87</v>
      </c>
      <c r="P522">
        <f t="shared" si="25"/>
        <v>8</v>
      </c>
      <c r="Q522" t="s">
        <v>264</v>
      </c>
      <c r="R522" t="s">
        <v>1086</v>
      </c>
      <c r="S522" t="s">
        <v>58</v>
      </c>
      <c r="T522" s="3">
        <v>0.7</v>
      </c>
      <c r="U522" t="s">
        <v>60</v>
      </c>
      <c r="V522" t="s">
        <v>61</v>
      </c>
      <c r="W522" s="2">
        <v>0</v>
      </c>
      <c r="X522" s="2">
        <v>47.51</v>
      </c>
      <c r="Y522" s="2">
        <v>47.51</v>
      </c>
      <c r="Z522" s="5" t="s">
        <v>54</v>
      </c>
    </row>
    <row r="523" spans="1:26" x14ac:dyDescent="0.25">
      <c r="A523">
        <v>2027857789</v>
      </c>
      <c r="B523" t="s">
        <v>891</v>
      </c>
      <c r="C523" t="s">
        <v>892</v>
      </c>
      <c r="D523" s="5" t="str">
        <f t="shared" si="26"/>
        <v>JOLI-COEUR NADINE</v>
      </c>
      <c r="E523" t="s">
        <v>165</v>
      </c>
      <c r="F523" t="s">
        <v>53</v>
      </c>
      <c r="G523" t="s">
        <v>54</v>
      </c>
      <c r="H523">
        <v>18581063</v>
      </c>
      <c r="I523" t="s">
        <v>151</v>
      </c>
      <c r="J523" t="s">
        <v>152</v>
      </c>
      <c r="K523" t="str">
        <f t="shared" si="24"/>
        <v>Timothy Hodgman</v>
      </c>
      <c r="L523" t="s">
        <v>57</v>
      </c>
      <c r="M523" s="1">
        <v>45748</v>
      </c>
      <c r="N523" s="1">
        <v>45992</v>
      </c>
      <c r="O523" s="2">
        <v>140.6</v>
      </c>
      <c r="P523">
        <f t="shared" si="25"/>
        <v>8</v>
      </c>
      <c r="Q523" t="s">
        <v>264</v>
      </c>
      <c r="R523" t="s">
        <v>1086</v>
      </c>
      <c r="S523" t="s">
        <v>58</v>
      </c>
      <c r="T523" s="3">
        <v>0.7</v>
      </c>
      <c r="U523" t="s">
        <v>60</v>
      </c>
      <c r="V523" t="s">
        <v>61</v>
      </c>
      <c r="W523" s="2">
        <v>0</v>
      </c>
      <c r="X523" s="2">
        <v>98.42</v>
      </c>
      <c r="Y523" s="2">
        <v>98.42</v>
      </c>
      <c r="Z523" s="5" t="s">
        <v>54</v>
      </c>
    </row>
    <row r="524" spans="1:26" x14ac:dyDescent="0.25">
      <c r="A524">
        <v>2027419633</v>
      </c>
      <c r="B524" t="s">
        <v>1006</v>
      </c>
      <c r="C524" t="s">
        <v>1007</v>
      </c>
      <c r="D524" s="5" t="str">
        <f t="shared" si="26"/>
        <v>OLMOS ALBERTO</v>
      </c>
      <c r="E524" t="s">
        <v>165</v>
      </c>
      <c r="F524" t="s">
        <v>53</v>
      </c>
      <c r="G524" t="s">
        <v>54</v>
      </c>
      <c r="H524">
        <v>21348299</v>
      </c>
      <c r="I524" t="s">
        <v>88</v>
      </c>
      <c r="J524" t="s">
        <v>89</v>
      </c>
      <c r="K524" t="str">
        <f t="shared" si="24"/>
        <v>BARRY BRENNER</v>
      </c>
      <c r="L524" t="s">
        <v>57</v>
      </c>
      <c r="M524" s="1">
        <v>45716</v>
      </c>
      <c r="N524" s="1">
        <v>45989</v>
      </c>
      <c r="O524" s="2">
        <v>163.43</v>
      </c>
      <c r="P524">
        <f t="shared" si="25"/>
        <v>9</v>
      </c>
      <c r="Q524" t="s">
        <v>264</v>
      </c>
      <c r="R524" t="s">
        <v>1086</v>
      </c>
      <c r="S524" t="s">
        <v>58</v>
      </c>
      <c r="T524" s="3">
        <v>0.7</v>
      </c>
      <c r="U524" t="s">
        <v>60</v>
      </c>
      <c r="V524" t="s">
        <v>61</v>
      </c>
      <c r="W524" s="2">
        <v>0</v>
      </c>
      <c r="X524" s="2">
        <v>114.4</v>
      </c>
      <c r="Y524" s="2">
        <v>114.4</v>
      </c>
      <c r="Z524" s="5" t="s">
        <v>54</v>
      </c>
    </row>
    <row r="525" spans="1:26" x14ac:dyDescent="0.25">
      <c r="A525">
        <v>2027321379</v>
      </c>
      <c r="B525" t="s">
        <v>883</v>
      </c>
      <c r="C525" t="s">
        <v>884</v>
      </c>
      <c r="D525" s="5" t="str">
        <f t="shared" si="26"/>
        <v>JENSEN EDWINA</v>
      </c>
      <c r="E525" t="s">
        <v>69</v>
      </c>
      <c r="F525" t="s">
        <v>53</v>
      </c>
      <c r="G525" t="s">
        <v>54</v>
      </c>
      <c r="H525">
        <v>8977234</v>
      </c>
      <c r="I525" t="s">
        <v>55</v>
      </c>
      <c r="J525" t="s">
        <v>56</v>
      </c>
      <c r="K525" t="str">
        <f t="shared" si="24"/>
        <v>RYAN CALTAGIRONE</v>
      </c>
      <c r="L525" t="s">
        <v>57</v>
      </c>
      <c r="M525" s="1">
        <v>45713</v>
      </c>
      <c r="N525" s="1">
        <v>45986</v>
      </c>
      <c r="O525" s="2">
        <v>169.06</v>
      </c>
      <c r="P525">
        <f t="shared" si="25"/>
        <v>9</v>
      </c>
      <c r="Q525" t="s">
        <v>264</v>
      </c>
      <c r="R525" t="s">
        <v>1086</v>
      </c>
      <c r="S525" t="s">
        <v>58</v>
      </c>
      <c r="T525" s="3">
        <v>0.7</v>
      </c>
      <c r="U525" t="s">
        <v>60</v>
      </c>
      <c r="V525" t="s">
        <v>61</v>
      </c>
      <c r="W525" s="2">
        <v>0</v>
      </c>
      <c r="X525" s="2">
        <v>118.34</v>
      </c>
      <c r="Y525" s="2">
        <v>118.34</v>
      </c>
      <c r="Z525" s="5" t="s">
        <v>54</v>
      </c>
    </row>
    <row r="526" spans="1:26" x14ac:dyDescent="0.25">
      <c r="A526">
        <v>2027343740</v>
      </c>
      <c r="B526" t="s">
        <v>885</v>
      </c>
      <c r="C526" t="s">
        <v>886</v>
      </c>
      <c r="D526" s="5" t="str">
        <f t="shared" si="26"/>
        <v>GONZALEZ MARIA</v>
      </c>
      <c r="E526" t="s">
        <v>261</v>
      </c>
      <c r="F526" t="s">
        <v>53</v>
      </c>
      <c r="G526" t="s">
        <v>54</v>
      </c>
      <c r="H526">
        <v>8977234</v>
      </c>
      <c r="I526" t="s">
        <v>55</v>
      </c>
      <c r="J526" t="s">
        <v>56</v>
      </c>
      <c r="K526" t="str">
        <f t="shared" si="24"/>
        <v>RYAN CALTAGIRONE</v>
      </c>
      <c r="L526" t="s">
        <v>57</v>
      </c>
      <c r="M526" s="1">
        <v>45714</v>
      </c>
      <c r="N526" s="1">
        <v>45987</v>
      </c>
      <c r="O526" s="2">
        <v>10.82</v>
      </c>
      <c r="P526">
        <f t="shared" si="25"/>
        <v>9</v>
      </c>
      <c r="Q526" t="s">
        <v>264</v>
      </c>
      <c r="R526" t="s">
        <v>1086</v>
      </c>
      <c r="S526" t="s">
        <v>58</v>
      </c>
      <c r="T526" s="3">
        <v>0.7</v>
      </c>
      <c r="U526" t="s">
        <v>60</v>
      </c>
      <c r="V526" t="s">
        <v>61</v>
      </c>
      <c r="W526" s="2">
        <v>0</v>
      </c>
      <c r="X526" s="2">
        <v>7.57</v>
      </c>
      <c r="Y526" s="2">
        <v>7.57</v>
      </c>
      <c r="Z526" s="5" t="s">
        <v>54</v>
      </c>
    </row>
    <row r="527" spans="1:26" x14ac:dyDescent="0.25">
      <c r="A527">
        <v>2027348181</v>
      </c>
      <c r="B527" t="s">
        <v>605</v>
      </c>
      <c r="C527" t="s">
        <v>543</v>
      </c>
      <c r="D527" s="5" t="str">
        <f t="shared" si="26"/>
        <v>DUARTE AMY</v>
      </c>
      <c r="E527" t="s">
        <v>69</v>
      </c>
      <c r="F527" t="s">
        <v>53</v>
      </c>
      <c r="G527" t="s">
        <v>54</v>
      </c>
      <c r="H527">
        <v>8977234</v>
      </c>
      <c r="I527" t="s">
        <v>55</v>
      </c>
      <c r="J527" t="s">
        <v>56</v>
      </c>
      <c r="K527" t="str">
        <f t="shared" si="24"/>
        <v>RYAN CALTAGIRONE</v>
      </c>
      <c r="L527" t="s">
        <v>57</v>
      </c>
      <c r="M527" s="1">
        <v>45716</v>
      </c>
      <c r="N527" s="1">
        <v>45989</v>
      </c>
      <c r="O527" s="2">
        <v>47.95</v>
      </c>
      <c r="P527">
        <f t="shared" si="25"/>
        <v>9</v>
      </c>
      <c r="Q527" t="s">
        <v>264</v>
      </c>
      <c r="R527" t="s">
        <v>1086</v>
      </c>
      <c r="S527" t="s">
        <v>58</v>
      </c>
      <c r="T527" s="3">
        <v>0.7</v>
      </c>
      <c r="U527" t="s">
        <v>60</v>
      </c>
      <c r="V527" t="s">
        <v>61</v>
      </c>
      <c r="W527" s="2">
        <v>0</v>
      </c>
      <c r="X527" s="2">
        <v>33.56</v>
      </c>
      <c r="Y527" s="2">
        <v>33.56</v>
      </c>
      <c r="Z527" s="5" t="s">
        <v>54</v>
      </c>
    </row>
    <row r="528" spans="1:26" x14ac:dyDescent="0.25">
      <c r="A528">
        <v>2026805532</v>
      </c>
      <c r="B528" t="s">
        <v>680</v>
      </c>
      <c r="C528" t="s">
        <v>681</v>
      </c>
      <c r="D528" s="5" t="str">
        <f t="shared" si="26"/>
        <v>MITCHELL CLEON</v>
      </c>
      <c r="E528" t="s">
        <v>165</v>
      </c>
      <c r="F528" t="s">
        <v>53</v>
      </c>
      <c r="G528" t="s">
        <v>54</v>
      </c>
      <c r="H528">
        <v>17425766</v>
      </c>
      <c r="I528" t="s">
        <v>357</v>
      </c>
      <c r="J528" t="s">
        <v>358</v>
      </c>
      <c r="K528" t="str">
        <f t="shared" si="24"/>
        <v>CAROL FOLEY</v>
      </c>
      <c r="L528" t="s">
        <v>57</v>
      </c>
      <c r="M528" s="1">
        <v>45689</v>
      </c>
      <c r="N528" s="1">
        <v>45992</v>
      </c>
      <c r="O528" s="2">
        <v>22</v>
      </c>
      <c r="P528">
        <f t="shared" si="25"/>
        <v>10</v>
      </c>
      <c r="Q528" t="s">
        <v>264</v>
      </c>
      <c r="R528" t="s">
        <v>1086</v>
      </c>
      <c r="S528" t="s">
        <v>58</v>
      </c>
      <c r="T528" s="3">
        <v>0.7</v>
      </c>
      <c r="U528" t="s">
        <v>60</v>
      </c>
      <c r="V528" t="s">
        <v>61</v>
      </c>
      <c r="W528" s="2">
        <v>0</v>
      </c>
      <c r="X528" s="2">
        <v>15.4</v>
      </c>
      <c r="Y528" s="2">
        <v>15.4</v>
      </c>
      <c r="Z528" s="5" t="s">
        <v>54</v>
      </c>
    </row>
    <row r="529" spans="1:26" x14ac:dyDescent="0.25">
      <c r="A529">
        <v>2026624654</v>
      </c>
      <c r="B529" t="s">
        <v>981</v>
      </c>
      <c r="C529" t="s">
        <v>982</v>
      </c>
      <c r="D529" s="5" t="str">
        <f t="shared" si="26"/>
        <v>MEYER ALICIA</v>
      </c>
      <c r="E529" t="s">
        <v>69</v>
      </c>
      <c r="F529" t="s">
        <v>53</v>
      </c>
      <c r="G529" t="s">
        <v>54</v>
      </c>
      <c r="H529">
        <v>8307933</v>
      </c>
      <c r="I529" t="s">
        <v>560</v>
      </c>
      <c r="J529" t="s">
        <v>336</v>
      </c>
      <c r="K529" t="str">
        <f t="shared" si="24"/>
        <v>GREGORY TEIPEL</v>
      </c>
      <c r="L529" t="s">
        <v>57</v>
      </c>
      <c r="M529" s="1">
        <v>45689</v>
      </c>
      <c r="N529" s="1">
        <v>45992</v>
      </c>
      <c r="O529" s="2">
        <v>145.41999999999999</v>
      </c>
      <c r="P529">
        <f t="shared" si="25"/>
        <v>10</v>
      </c>
      <c r="Q529" t="s">
        <v>264</v>
      </c>
      <c r="R529" t="s">
        <v>1086</v>
      </c>
      <c r="S529" t="s">
        <v>58</v>
      </c>
      <c r="T529" s="3">
        <v>0.7</v>
      </c>
      <c r="U529" t="s">
        <v>60</v>
      </c>
      <c r="V529" t="s">
        <v>61</v>
      </c>
      <c r="W529" s="2">
        <v>0</v>
      </c>
      <c r="X529" s="2">
        <v>101.79</v>
      </c>
      <c r="Y529" s="2">
        <v>101.79</v>
      </c>
      <c r="Z529" s="5" t="s">
        <v>54</v>
      </c>
    </row>
    <row r="530" spans="1:26" x14ac:dyDescent="0.25">
      <c r="A530">
        <v>2026548461</v>
      </c>
      <c r="B530" t="s">
        <v>974</v>
      </c>
      <c r="C530" t="s">
        <v>173</v>
      </c>
      <c r="D530" s="5" t="str">
        <f t="shared" si="26"/>
        <v>STOETZEL ROBYN</v>
      </c>
      <c r="E530" t="s">
        <v>69</v>
      </c>
      <c r="F530" t="s">
        <v>53</v>
      </c>
      <c r="G530" t="s">
        <v>54</v>
      </c>
      <c r="H530">
        <v>18754354</v>
      </c>
      <c r="I530" t="s">
        <v>114</v>
      </c>
      <c r="J530" t="s">
        <v>115</v>
      </c>
      <c r="K530" t="str">
        <f t="shared" si="24"/>
        <v>JACOB YALE</v>
      </c>
      <c r="L530" t="s">
        <v>57</v>
      </c>
      <c r="M530" s="1">
        <v>45689</v>
      </c>
      <c r="N530" s="1">
        <v>45992</v>
      </c>
      <c r="O530" s="2">
        <v>198.36</v>
      </c>
      <c r="P530">
        <f t="shared" si="25"/>
        <v>10</v>
      </c>
      <c r="Q530" t="s">
        <v>264</v>
      </c>
      <c r="R530" t="s">
        <v>1086</v>
      </c>
      <c r="S530" t="s">
        <v>58</v>
      </c>
      <c r="T530" s="3">
        <v>0.7</v>
      </c>
      <c r="U530" t="s">
        <v>60</v>
      </c>
      <c r="V530" t="s">
        <v>61</v>
      </c>
      <c r="W530" s="2">
        <v>0</v>
      </c>
      <c r="X530" s="2">
        <v>138.85</v>
      </c>
      <c r="Y530" s="2">
        <v>138.85</v>
      </c>
      <c r="Z530" s="5" t="s">
        <v>54</v>
      </c>
    </row>
    <row r="531" spans="1:26" x14ac:dyDescent="0.25">
      <c r="A531">
        <v>2026549078</v>
      </c>
      <c r="B531" t="s">
        <v>974</v>
      </c>
      <c r="C531" t="s">
        <v>975</v>
      </c>
      <c r="D531" s="5" t="str">
        <f t="shared" si="26"/>
        <v>STOETZEL TYLLER</v>
      </c>
      <c r="E531" t="s">
        <v>69</v>
      </c>
      <c r="F531" t="s">
        <v>53</v>
      </c>
      <c r="G531" t="s">
        <v>54</v>
      </c>
      <c r="H531">
        <v>18754354</v>
      </c>
      <c r="I531" t="s">
        <v>114</v>
      </c>
      <c r="J531" t="s">
        <v>115</v>
      </c>
      <c r="K531" t="str">
        <f t="shared" si="24"/>
        <v>JACOB YALE</v>
      </c>
      <c r="L531" t="s">
        <v>57</v>
      </c>
      <c r="M531" s="1">
        <v>45689</v>
      </c>
      <c r="N531" s="1">
        <v>45992</v>
      </c>
      <c r="O531" s="2">
        <v>28.9</v>
      </c>
      <c r="P531">
        <f t="shared" si="25"/>
        <v>10</v>
      </c>
      <c r="Q531" t="s">
        <v>264</v>
      </c>
      <c r="R531" t="s">
        <v>1086</v>
      </c>
      <c r="S531" t="s">
        <v>58</v>
      </c>
      <c r="T531" s="3">
        <v>0.7</v>
      </c>
      <c r="U531" t="s">
        <v>60</v>
      </c>
      <c r="V531" t="s">
        <v>61</v>
      </c>
      <c r="W531" s="2">
        <v>0</v>
      </c>
      <c r="X531" s="2">
        <v>20.23</v>
      </c>
      <c r="Y531" s="2">
        <v>20.23</v>
      </c>
      <c r="Z531" s="5" t="s">
        <v>54</v>
      </c>
    </row>
    <row r="532" spans="1:26" x14ac:dyDescent="0.25">
      <c r="A532">
        <v>2026593656</v>
      </c>
      <c r="B532" t="s">
        <v>977</v>
      </c>
      <c r="C532" t="s">
        <v>978</v>
      </c>
      <c r="D532" s="5" t="str">
        <f t="shared" si="26"/>
        <v>PEIFER LOGAN</v>
      </c>
      <c r="E532" t="s">
        <v>52</v>
      </c>
      <c r="F532" t="s">
        <v>53</v>
      </c>
      <c r="G532" t="s">
        <v>54</v>
      </c>
      <c r="H532">
        <v>18754354</v>
      </c>
      <c r="I532" t="s">
        <v>114</v>
      </c>
      <c r="J532" t="s">
        <v>115</v>
      </c>
      <c r="K532" t="str">
        <f t="shared" si="24"/>
        <v>JACOB YALE</v>
      </c>
      <c r="L532" t="s">
        <v>57</v>
      </c>
      <c r="M532" s="1">
        <v>45689</v>
      </c>
      <c r="N532" s="1">
        <v>45992</v>
      </c>
      <c r="O532" s="2">
        <v>8.59</v>
      </c>
      <c r="P532">
        <f t="shared" si="25"/>
        <v>10</v>
      </c>
      <c r="Q532" t="s">
        <v>264</v>
      </c>
      <c r="R532" t="s">
        <v>1086</v>
      </c>
      <c r="S532" t="s">
        <v>58</v>
      </c>
      <c r="T532" s="3">
        <v>0.7</v>
      </c>
      <c r="U532" t="s">
        <v>60</v>
      </c>
      <c r="V532" t="s">
        <v>61</v>
      </c>
      <c r="W532" s="2">
        <v>0</v>
      </c>
      <c r="X532" s="2">
        <v>6.01</v>
      </c>
      <c r="Y532" s="2">
        <v>6.01</v>
      </c>
      <c r="Z532" s="5" t="s">
        <v>54</v>
      </c>
    </row>
    <row r="533" spans="1:26" x14ac:dyDescent="0.25">
      <c r="A533">
        <v>2026637549</v>
      </c>
      <c r="B533" t="s">
        <v>859</v>
      </c>
      <c r="C533" t="s">
        <v>860</v>
      </c>
      <c r="D533" s="5" t="str">
        <f t="shared" si="26"/>
        <v>WENGERSKI ANITA</v>
      </c>
      <c r="E533" t="s">
        <v>69</v>
      </c>
      <c r="F533" t="s">
        <v>53</v>
      </c>
      <c r="G533" t="s">
        <v>54</v>
      </c>
      <c r="H533">
        <v>18754354</v>
      </c>
      <c r="I533" t="s">
        <v>114</v>
      </c>
      <c r="J533" t="s">
        <v>115</v>
      </c>
      <c r="K533" t="str">
        <f t="shared" si="24"/>
        <v>JACOB YALE</v>
      </c>
      <c r="L533" t="s">
        <v>57</v>
      </c>
      <c r="M533" s="1">
        <v>45689</v>
      </c>
      <c r="N533" s="1">
        <v>45992</v>
      </c>
      <c r="O533" s="2">
        <v>11.5</v>
      </c>
      <c r="P533">
        <f t="shared" si="25"/>
        <v>10</v>
      </c>
      <c r="Q533" t="s">
        <v>264</v>
      </c>
      <c r="R533" t="s">
        <v>1086</v>
      </c>
      <c r="S533" t="s">
        <v>58</v>
      </c>
      <c r="T533" s="3">
        <v>0.7</v>
      </c>
      <c r="U533" t="s">
        <v>60</v>
      </c>
      <c r="V533" t="s">
        <v>61</v>
      </c>
      <c r="W533" s="2">
        <v>0</v>
      </c>
      <c r="X533" s="2">
        <v>8.0500000000000007</v>
      </c>
      <c r="Y533" s="2">
        <v>8.0500000000000007</v>
      </c>
      <c r="Z533" s="5" t="s">
        <v>54</v>
      </c>
    </row>
    <row r="534" spans="1:26" x14ac:dyDescent="0.25">
      <c r="A534">
        <v>2026653706</v>
      </c>
      <c r="B534" t="s">
        <v>861</v>
      </c>
      <c r="C534" t="s">
        <v>543</v>
      </c>
      <c r="D534" s="5" t="str">
        <f t="shared" si="26"/>
        <v>LAZZARETTI AMY</v>
      </c>
      <c r="E534" t="s">
        <v>69</v>
      </c>
      <c r="F534" t="s">
        <v>53</v>
      </c>
      <c r="G534" t="s">
        <v>54</v>
      </c>
      <c r="H534">
        <v>18754354</v>
      </c>
      <c r="I534" t="s">
        <v>114</v>
      </c>
      <c r="J534" t="s">
        <v>115</v>
      </c>
      <c r="K534" t="str">
        <f t="shared" si="24"/>
        <v>JACOB YALE</v>
      </c>
      <c r="L534" t="s">
        <v>57</v>
      </c>
      <c r="M534" s="1">
        <v>45689</v>
      </c>
      <c r="N534" s="1">
        <v>45992</v>
      </c>
      <c r="O534" s="2">
        <v>11.5</v>
      </c>
      <c r="P534">
        <f t="shared" si="25"/>
        <v>10</v>
      </c>
      <c r="Q534" t="s">
        <v>264</v>
      </c>
      <c r="R534" t="s">
        <v>1086</v>
      </c>
      <c r="S534" t="s">
        <v>58</v>
      </c>
      <c r="T534" s="3">
        <v>0.7</v>
      </c>
      <c r="U534" t="s">
        <v>60</v>
      </c>
      <c r="V534" t="s">
        <v>61</v>
      </c>
      <c r="W534" s="2">
        <v>0</v>
      </c>
      <c r="X534" s="2">
        <v>8.0500000000000007</v>
      </c>
      <c r="Y534" s="2">
        <v>8.0500000000000007</v>
      </c>
      <c r="Z534" s="5" t="s">
        <v>54</v>
      </c>
    </row>
    <row r="535" spans="1:26" x14ac:dyDescent="0.25">
      <c r="A535">
        <v>2026836001</v>
      </c>
      <c r="B535" t="s">
        <v>879</v>
      </c>
      <c r="C535" t="s">
        <v>880</v>
      </c>
      <c r="D535" s="5" t="str">
        <f t="shared" si="26"/>
        <v>CALDERON SARAI</v>
      </c>
      <c r="E535" t="s">
        <v>69</v>
      </c>
      <c r="F535" t="s">
        <v>53</v>
      </c>
      <c r="G535" t="s">
        <v>54</v>
      </c>
      <c r="H535">
        <v>18754354</v>
      </c>
      <c r="I535" t="s">
        <v>114</v>
      </c>
      <c r="J535" t="s">
        <v>115</v>
      </c>
      <c r="K535" t="str">
        <f t="shared" si="24"/>
        <v>JACOB YALE</v>
      </c>
      <c r="L535" t="s">
        <v>57</v>
      </c>
      <c r="M535" s="1">
        <v>45689</v>
      </c>
      <c r="N535" s="1">
        <v>45992</v>
      </c>
      <c r="O535" s="2">
        <v>58.24</v>
      </c>
      <c r="P535">
        <f t="shared" si="25"/>
        <v>10</v>
      </c>
      <c r="Q535" t="s">
        <v>264</v>
      </c>
      <c r="R535" t="s">
        <v>1086</v>
      </c>
      <c r="S535" t="s">
        <v>58</v>
      </c>
      <c r="T535" s="3">
        <v>0.7</v>
      </c>
      <c r="U535" t="s">
        <v>60</v>
      </c>
      <c r="V535" t="s">
        <v>61</v>
      </c>
      <c r="W535" s="2">
        <v>0</v>
      </c>
      <c r="X535" s="2">
        <v>40.770000000000003</v>
      </c>
      <c r="Y535" s="2">
        <v>40.770000000000003</v>
      </c>
      <c r="Z535" s="5" t="s">
        <v>54</v>
      </c>
    </row>
    <row r="536" spans="1:26" x14ac:dyDescent="0.25">
      <c r="A536">
        <v>2026606538</v>
      </c>
      <c r="B536" t="s">
        <v>979</v>
      </c>
      <c r="C536" t="s">
        <v>980</v>
      </c>
      <c r="D536" s="5" t="str">
        <f t="shared" si="26"/>
        <v>COLLINS DEBRA</v>
      </c>
      <c r="E536" t="s">
        <v>165</v>
      </c>
      <c r="F536" t="s">
        <v>53</v>
      </c>
      <c r="G536" t="s">
        <v>54</v>
      </c>
      <c r="H536">
        <v>1706194</v>
      </c>
      <c r="I536" t="s">
        <v>65</v>
      </c>
      <c r="J536" t="s">
        <v>66</v>
      </c>
      <c r="K536" t="str">
        <f t="shared" si="24"/>
        <v>MATTHEW DAUGHERTY</v>
      </c>
      <c r="L536" t="s">
        <v>57</v>
      </c>
      <c r="M536" s="1">
        <v>45689</v>
      </c>
      <c r="N536" s="1">
        <v>45992</v>
      </c>
      <c r="O536" s="2">
        <v>237.05</v>
      </c>
      <c r="P536">
        <f t="shared" si="25"/>
        <v>10</v>
      </c>
      <c r="Q536" t="s">
        <v>264</v>
      </c>
      <c r="R536" t="s">
        <v>1086</v>
      </c>
      <c r="S536" t="s">
        <v>58</v>
      </c>
      <c r="T536" s="3">
        <v>0.7</v>
      </c>
      <c r="U536" t="s">
        <v>60</v>
      </c>
      <c r="V536" t="s">
        <v>61</v>
      </c>
      <c r="W536" s="2">
        <v>0</v>
      </c>
      <c r="X536" s="2">
        <v>165.94</v>
      </c>
      <c r="Y536" s="2">
        <v>165.94</v>
      </c>
      <c r="Z536" s="5" t="s">
        <v>54</v>
      </c>
    </row>
    <row r="537" spans="1:26" x14ac:dyDescent="0.25">
      <c r="A537">
        <v>2026618581</v>
      </c>
      <c r="B537" t="s">
        <v>589</v>
      </c>
      <c r="C537" t="s">
        <v>590</v>
      </c>
      <c r="D537" s="5" t="str">
        <f t="shared" si="26"/>
        <v>WADDLE LYNSEY</v>
      </c>
      <c r="E537" t="s">
        <v>64</v>
      </c>
      <c r="F537" t="s">
        <v>53</v>
      </c>
      <c r="G537" t="s">
        <v>54</v>
      </c>
      <c r="H537">
        <v>1706194</v>
      </c>
      <c r="I537" t="s">
        <v>65</v>
      </c>
      <c r="J537" t="s">
        <v>66</v>
      </c>
      <c r="K537" t="str">
        <f t="shared" si="24"/>
        <v>MATTHEW DAUGHERTY</v>
      </c>
      <c r="L537" t="s">
        <v>57</v>
      </c>
      <c r="M537" s="1">
        <v>45689</v>
      </c>
      <c r="N537" s="1">
        <v>45992</v>
      </c>
      <c r="O537" s="2">
        <v>59.89</v>
      </c>
      <c r="P537">
        <f t="shared" si="25"/>
        <v>10</v>
      </c>
      <c r="Q537" t="s">
        <v>264</v>
      </c>
      <c r="R537" t="s">
        <v>1086</v>
      </c>
      <c r="S537" t="s">
        <v>58</v>
      </c>
      <c r="T537" s="3">
        <v>0.7</v>
      </c>
      <c r="U537" t="s">
        <v>60</v>
      </c>
      <c r="V537" t="s">
        <v>61</v>
      </c>
      <c r="W537" s="2">
        <v>0</v>
      </c>
      <c r="X537" s="2">
        <v>41.92</v>
      </c>
      <c r="Y537" s="2">
        <v>41.92</v>
      </c>
      <c r="Z537" s="5" t="s">
        <v>54</v>
      </c>
    </row>
    <row r="538" spans="1:26" x14ac:dyDescent="0.25">
      <c r="A538">
        <v>2026701618</v>
      </c>
      <c r="B538" t="s">
        <v>593</v>
      </c>
      <c r="C538" t="s">
        <v>90</v>
      </c>
      <c r="D538" s="5" t="str">
        <f t="shared" si="26"/>
        <v>CROSSETT DEANNA</v>
      </c>
      <c r="E538" t="s">
        <v>69</v>
      </c>
      <c r="F538" t="s">
        <v>53</v>
      </c>
      <c r="G538" t="s">
        <v>54</v>
      </c>
      <c r="H538">
        <v>1706194</v>
      </c>
      <c r="I538" t="s">
        <v>65</v>
      </c>
      <c r="J538" t="s">
        <v>66</v>
      </c>
      <c r="K538" t="str">
        <f t="shared" si="24"/>
        <v>MATTHEW DAUGHERTY</v>
      </c>
      <c r="L538" t="s">
        <v>57</v>
      </c>
      <c r="M538" s="1">
        <v>45689</v>
      </c>
      <c r="N538" s="1">
        <v>45992</v>
      </c>
      <c r="O538" s="2">
        <v>212.26</v>
      </c>
      <c r="P538">
        <f t="shared" si="25"/>
        <v>10</v>
      </c>
      <c r="Q538" t="s">
        <v>264</v>
      </c>
      <c r="R538" t="s">
        <v>1086</v>
      </c>
      <c r="S538" t="s">
        <v>58</v>
      </c>
      <c r="T538" s="3">
        <v>0.7</v>
      </c>
      <c r="U538" t="s">
        <v>60</v>
      </c>
      <c r="V538" t="s">
        <v>61</v>
      </c>
      <c r="W538" s="2">
        <v>0</v>
      </c>
      <c r="X538" s="2">
        <v>148.58000000000001</v>
      </c>
      <c r="Y538" s="2">
        <v>148.58000000000001</v>
      </c>
      <c r="Z538" s="5" t="s">
        <v>54</v>
      </c>
    </row>
    <row r="539" spans="1:26" x14ac:dyDescent="0.25">
      <c r="A539">
        <v>2025997430</v>
      </c>
      <c r="B539" t="s">
        <v>579</v>
      </c>
      <c r="C539" t="s">
        <v>490</v>
      </c>
      <c r="D539" s="5" t="str">
        <f t="shared" si="26"/>
        <v>JEPPERSON SCOTT</v>
      </c>
      <c r="E539" t="s">
        <v>81</v>
      </c>
      <c r="F539" t="s">
        <v>53</v>
      </c>
      <c r="G539" t="s">
        <v>54</v>
      </c>
      <c r="H539">
        <v>8977234</v>
      </c>
      <c r="I539" t="s">
        <v>55</v>
      </c>
      <c r="J539" t="s">
        <v>56</v>
      </c>
      <c r="K539" t="str">
        <f t="shared" si="24"/>
        <v>RYAN CALTAGIRONE</v>
      </c>
      <c r="L539" t="s">
        <v>57</v>
      </c>
      <c r="M539" s="1">
        <v>45689</v>
      </c>
      <c r="N539" s="1">
        <v>45992</v>
      </c>
      <c r="O539" s="2">
        <v>120.5</v>
      </c>
      <c r="P539">
        <f t="shared" si="25"/>
        <v>10</v>
      </c>
      <c r="Q539" t="s">
        <v>264</v>
      </c>
      <c r="R539" t="s">
        <v>1086</v>
      </c>
      <c r="S539" t="s">
        <v>58</v>
      </c>
      <c r="T539" s="3">
        <v>0.7</v>
      </c>
      <c r="U539" t="s">
        <v>60</v>
      </c>
      <c r="V539" t="s">
        <v>61</v>
      </c>
      <c r="W539" s="2">
        <v>0</v>
      </c>
      <c r="X539" s="2">
        <v>84.35</v>
      </c>
      <c r="Y539" s="2">
        <v>84.35</v>
      </c>
      <c r="Z539" s="5" t="s">
        <v>54</v>
      </c>
    </row>
    <row r="540" spans="1:26" x14ac:dyDescent="0.25">
      <c r="A540">
        <v>2026471870</v>
      </c>
      <c r="B540" t="s">
        <v>510</v>
      </c>
      <c r="C540" t="s">
        <v>511</v>
      </c>
      <c r="D540" s="5" t="str">
        <f t="shared" si="26"/>
        <v>STEHLIK NATHAN</v>
      </c>
      <c r="E540" t="s">
        <v>182</v>
      </c>
      <c r="F540" t="s">
        <v>53</v>
      </c>
      <c r="G540" t="s">
        <v>54</v>
      </c>
      <c r="H540">
        <v>8977234</v>
      </c>
      <c r="I540" t="s">
        <v>55</v>
      </c>
      <c r="J540" t="s">
        <v>56</v>
      </c>
      <c r="K540" t="str">
        <f t="shared" si="24"/>
        <v>RYAN CALTAGIRONE</v>
      </c>
      <c r="L540" t="s">
        <v>57</v>
      </c>
      <c r="M540" s="1">
        <v>45689</v>
      </c>
      <c r="N540" s="1">
        <v>45992</v>
      </c>
      <c r="O540" s="2">
        <v>26.82</v>
      </c>
      <c r="P540">
        <f t="shared" si="25"/>
        <v>10</v>
      </c>
      <c r="Q540" t="s">
        <v>264</v>
      </c>
      <c r="R540" t="s">
        <v>1086</v>
      </c>
      <c r="S540" t="s">
        <v>58</v>
      </c>
      <c r="T540" s="3">
        <v>0.7</v>
      </c>
      <c r="U540" t="s">
        <v>60</v>
      </c>
      <c r="V540" t="s">
        <v>61</v>
      </c>
      <c r="W540" s="2">
        <v>0</v>
      </c>
      <c r="X540" s="2">
        <v>18.77</v>
      </c>
      <c r="Y540" s="2">
        <v>18.77</v>
      </c>
      <c r="Z540" s="5" t="s">
        <v>54</v>
      </c>
    </row>
    <row r="541" spans="1:26" x14ac:dyDescent="0.25">
      <c r="A541">
        <v>2026477626</v>
      </c>
      <c r="B541" t="s">
        <v>776</v>
      </c>
      <c r="C541" t="s">
        <v>777</v>
      </c>
      <c r="D541" s="5" t="str">
        <f t="shared" si="26"/>
        <v>REPPAL RAMEEM</v>
      </c>
      <c r="E541" t="s">
        <v>165</v>
      </c>
      <c r="F541" t="s">
        <v>53</v>
      </c>
      <c r="G541" t="s">
        <v>54</v>
      </c>
      <c r="H541">
        <v>8977234</v>
      </c>
      <c r="I541" t="s">
        <v>55</v>
      </c>
      <c r="J541" t="s">
        <v>56</v>
      </c>
      <c r="K541" t="str">
        <f t="shared" si="24"/>
        <v>RYAN CALTAGIRONE</v>
      </c>
      <c r="L541" t="s">
        <v>57</v>
      </c>
      <c r="M541" s="1">
        <v>45689</v>
      </c>
      <c r="N541" s="1">
        <v>45992</v>
      </c>
      <c r="O541" s="2">
        <v>132.82</v>
      </c>
      <c r="P541">
        <f t="shared" si="25"/>
        <v>10</v>
      </c>
      <c r="Q541" t="s">
        <v>264</v>
      </c>
      <c r="R541" t="s">
        <v>1086</v>
      </c>
      <c r="S541" t="s">
        <v>58</v>
      </c>
      <c r="T541" s="3">
        <v>0.7</v>
      </c>
      <c r="U541" t="s">
        <v>60</v>
      </c>
      <c r="V541" t="s">
        <v>61</v>
      </c>
      <c r="W541" s="2">
        <v>0</v>
      </c>
      <c r="X541" s="2">
        <v>92.97</v>
      </c>
      <c r="Y541" s="2">
        <v>92.97</v>
      </c>
      <c r="Z541" s="5" t="s">
        <v>54</v>
      </c>
    </row>
    <row r="542" spans="1:26" x14ac:dyDescent="0.25">
      <c r="A542">
        <v>2026568844</v>
      </c>
      <c r="B542" t="s">
        <v>976</v>
      </c>
      <c r="C542" t="s">
        <v>535</v>
      </c>
      <c r="D542" s="5" t="str">
        <f t="shared" si="26"/>
        <v>SERRANO MAGDALENA</v>
      </c>
      <c r="E542" t="s">
        <v>129</v>
      </c>
      <c r="F542" t="s">
        <v>53</v>
      </c>
      <c r="G542" t="s">
        <v>54</v>
      </c>
      <c r="H542">
        <v>8977234</v>
      </c>
      <c r="I542" t="s">
        <v>55</v>
      </c>
      <c r="J542" t="s">
        <v>56</v>
      </c>
      <c r="K542" t="str">
        <f t="shared" si="24"/>
        <v>RYAN CALTAGIRONE</v>
      </c>
      <c r="L542" t="s">
        <v>57</v>
      </c>
      <c r="M542" s="1">
        <v>45689</v>
      </c>
      <c r="N542" s="1">
        <v>45992</v>
      </c>
      <c r="O542" s="2">
        <v>34</v>
      </c>
      <c r="P542">
        <f t="shared" si="25"/>
        <v>10</v>
      </c>
      <c r="Q542" t="s">
        <v>264</v>
      </c>
      <c r="R542" t="s">
        <v>1086</v>
      </c>
      <c r="S542" t="s">
        <v>58</v>
      </c>
      <c r="T542" s="3">
        <v>0.7</v>
      </c>
      <c r="U542" t="s">
        <v>60</v>
      </c>
      <c r="V542" t="s">
        <v>61</v>
      </c>
      <c r="W542" s="2">
        <v>0</v>
      </c>
      <c r="X542" s="2">
        <v>23.8</v>
      </c>
      <c r="Y542" s="2">
        <v>23.8</v>
      </c>
      <c r="Z542" s="5" t="s">
        <v>54</v>
      </c>
    </row>
    <row r="543" spans="1:26" x14ac:dyDescent="0.25">
      <c r="A543">
        <v>2026613381</v>
      </c>
      <c r="B543" t="s">
        <v>583</v>
      </c>
      <c r="C543" t="s">
        <v>490</v>
      </c>
      <c r="D543" s="5" t="str">
        <f t="shared" si="26"/>
        <v>KELLOGG SCOTT</v>
      </c>
      <c r="E543" t="s">
        <v>52</v>
      </c>
      <c r="F543" t="s">
        <v>53</v>
      </c>
      <c r="G543" t="s">
        <v>54</v>
      </c>
      <c r="H543">
        <v>8977234</v>
      </c>
      <c r="I543" t="s">
        <v>55</v>
      </c>
      <c r="J543" t="s">
        <v>56</v>
      </c>
      <c r="K543" t="str">
        <f t="shared" si="24"/>
        <v>RYAN CALTAGIRONE</v>
      </c>
      <c r="L543" t="s">
        <v>57</v>
      </c>
      <c r="M543" s="1">
        <v>45689</v>
      </c>
      <c r="N543" s="1">
        <v>45992</v>
      </c>
      <c r="O543" s="2">
        <v>98.21</v>
      </c>
      <c r="P543">
        <f t="shared" si="25"/>
        <v>10</v>
      </c>
      <c r="Q543" t="s">
        <v>264</v>
      </c>
      <c r="R543" t="s">
        <v>1086</v>
      </c>
      <c r="S543" t="s">
        <v>58</v>
      </c>
      <c r="T543" s="3">
        <v>0.7</v>
      </c>
      <c r="U543" t="s">
        <v>60</v>
      </c>
      <c r="V543" t="s">
        <v>61</v>
      </c>
      <c r="W543" s="2">
        <v>0</v>
      </c>
      <c r="X543" s="2">
        <v>68.75</v>
      </c>
      <c r="Y543" s="2">
        <v>68.75</v>
      </c>
      <c r="Z543" s="5" t="s">
        <v>54</v>
      </c>
    </row>
    <row r="544" spans="1:26" x14ac:dyDescent="0.25">
      <c r="A544">
        <v>2026616496</v>
      </c>
      <c r="B544" t="s">
        <v>586</v>
      </c>
      <c r="C544" t="s">
        <v>354</v>
      </c>
      <c r="D544" s="5" t="str">
        <f t="shared" si="26"/>
        <v>RAGGETT JAMES</v>
      </c>
      <c r="E544" t="s">
        <v>182</v>
      </c>
      <c r="F544" t="s">
        <v>53</v>
      </c>
      <c r="G544" t="s">
        <v>54</v>
      </c>
      <c r="H544">
        <v>8977234</v>
      </c>
      <c r="I544" t="s">
        <v>55</v>
      </c>
      <c r="J544" t="s">
        <v>56</v>
      </c>
      <c r="K544" t="str">
        <f t="shared" si="24"/>
        <v>RYAN CALTAGIRONE</v>
      </c>
      <c r="L544" t="s">
        <v>57</v>
      </c>
      <c r="M544" s="1">
        <v>45689</v>
      </c>
      <c r="N544" s="1">
        <v>45992</v>
      </c>
      <c r="O544" s="2">
        <v>35.04</v>
      </c>
      <c r="P544">
        <f t="shared" si="25"/>
        <v>10</v>
      </c>
      <c r="Q544" t="s">
        <v>264</v>
      </c>
      <c r="R544" t="s">
        <v>1086</v>
      </c>
      <c r="S544" t="s">
        <v>58</v>
      </c>
      <c r="T544" s="3">
        <v>0.7</v>
      </c>
      <c r="U544" t="s">
        <v>60</v>
      </c>
      <c r="V544" t="s">
        <v>61</v>
      </c>
      <c r="W544" s="2">
        <v>0</v>
      </c>
      <c r="X544" s="2">
        <v>24.53</v>
      </c>
      <c r="Y544" s="2">
        <v>24.53</v>
      </c>
      <c r="Z544" s="5" t="s">
        <v>54</v>
      </c>
    </row>
    <row r="545" spans="1:26" x14ac:dyDescent="0.25">
      <c r="A545">
        <v>2026619108</v>
      </c>
      <c r="B545" t="s">
        <v>591</v>
      </c>
      <c r="C545" t="s">
        <v>592</v>
      </c>
      <c r="D545" s="5" t="str">
        <f t="shared" si="26"/>
        <v>BRUCK MAX</v>
      </c>
      <c r="E545" t="s">
        <v>165</v>
      </c>
      <c r="F545" t="s">
        <v>53</v>
      </c>
      <c r="G545" t="s">
        <v>54</v>
      </c>
      <c r="H545">
        <v>8977234</v>
      </c>
      <c r="I545" t="s">
        <v>55</v>
      </c>
      <c r="J545" t="s">
        <v>56</v>
      </c>
      <c r="K545" t="str">
        <f t="shared" si="24"/>
        <v>RYAN CALTAGIRONE</v>
      </c>
      <c r="L545" t="s">
        <v>57</v>
      </c>
      <c r="M545" s="1">
        <v>45689</v>
      </c>
      <c r="N545" s="1">
        <v>45992</v>
      </c>
      <c r="O545" s="2">
        <v>109.36</v>
      </c>
      <c r="P545">
        <f t="shared" si="25"/>
        <v>10</v>
      </c>
      <c r="Q545" t="s">
        <v>264</v>
      </c>
      <c r="R545" t="s">
        <v>1086</v>
      </c>
      <c r="S545" t="s">
        <v>58</v>
      </c>
      <c r="T545" s="3">
        <v>0.7</v>
      </c>
      <c r="U545" t="s">
        <v>60</v>
      </c>
      <c r="V545" t="s">
        <v>61</v>
      </c>
      <c r="W545" s="2">
        <v>0</v>
      </c>
      <c r="X545" s="2">
        <v>76.55</v>
      </c>
      <c r="Y545" s="2">
        <v>76.55</v>
      </c>
      <c r="Z545" s="5" t="s">
        <v>54</v>
      </c>
    </row>
    <row r="546" spans="1:26" x14ac:dyDescent="0.25">
      <c r="A546">
        <v>2026730179</v>
      </c>
      <c r="B546" t="s">
        <v>983</v>
      </c>
      <c r="C546" t="s">
        <v>485</v>
      </c>
      <c r="D546" s="5" t="str">
        <f t="shared" si="26"/>
        <v>DUKE DOUGLAS</v>
      </c>
      <c r="E546" t="s">
        <v>261</v>
      </c>
      <c r="F546" t="s">
        <v>53</v>
      </c>
      <c r="G546" t="s">
        <v>54</v>
      </c>
      <c r="H546">
        <v>8977234</v>
      </c>
      <c r="I546" t="s">
        <v>55</v>
      </c>
      <c r="J546" t="s">
        <v>56</v>
      </c>
      <c r="K546" t="str">
        <f t="shared" si="24"/>
        <v>RYAN CALTAGIRONE</v>
      </c>
      <c r="L546" t="s">
        <v>57</v>
      </c>
      <c r="M546" s="1">
        <v>45689</v>
      </c>
      <c r="N546" s="1">
        <v>45992</v>
      </c>
      <c r="O546" s="2">
        <v>158.44999999999999</v>
      </c>
      <c r="P546">
        <f t="shared" si="25"/>
        <v>10</v>
      </c>
      <c r="Q546" t="s">
        <v>264</v>
      </c>
      <c r="R546" t="s">
        <v>1086</v>
      </c>
      <c r="S546" t="s">
        <v>58</v>
      </c>
      <c r="T546" s="3">
        <v>0.7</v>
      </c>
      <c r="U546" t="s">
        <v>60</v>
      </c>
      <c r="V546" t="s">
        <v>61</v>
      </c>
      <c r="W546" s="2">
        <v>0</v>
      </c>
      <c r="X546" s="2">
        <v>110.92</v>
      </c>
      <c r="Y546" s="2">
        <v>110.92</v>
      </c>
      <c r="Z546" s="5" t="s">
        <v>54</v>
      </c>
    </row>
    <row r="547" spans="1:26" x14ac:dyDescent="0.25">
      <c r="A547">
        <v>2026755178</v>
      </c>
      <c r="B547" t="s">
        <v>867</v>
      </c>
      <c r="C547" t="s">
        <v>868</v>
      </c>
      <c r="D547" s="5" t="str">
        <f t="shared" si="26"/>
        <v>FOGLE EUGENE</v>
      </c>
      <c r="E547" t="s">
        <v>247</v>
      </c>
      <c r="F547" t="s">
        <v>53</v>
      </c>
      <c r="G547" t="s">
        <v>54</v>
      </c>
      <c r="H547">
        <v>8977234</v>
      </c>
      <c r="I547" t="s">
        <v>55</v>
      </c>
      <c r="J547" t="s">
        <v>56</v>
      </c>
      <c r="K547" t="str">
        <f t="shared" si="24"/>
        <v>RYAN CALTAGIRONE</v>
      </c>
      <c r="L547" t="s">
        <v>57</v>
      </c>
      <c r="M547" s="1">
        <v>45689</v>
      </c>
      <c r="N547" s="1">
        <v>45992</v>
      </c>
      <c r="O547" s="2">
        <v>142.85</v>
      </c>
      <c r="P547">
        <f t="shared" si="25"/>
        <v>10</v>
      </c>
      <c r="Q547" t="s">
        <v>264</v>
      </c>
      <c r="R547" t="s">
        <v>1086</v>
      </c>
      <c r="S547" t="s">
        <v>58</v>
      </c>
      <c r="T547" s="3">
        <v>0.7</v>
      </c>
      <c r="U547" t="s">
        <v>60</v>
      </c>
      <c r="V547" t="s">
        <v>61</v>
      </c>
      <c r="W547" s="2">
        <v>0</v>
      </c>
      <c r="X547" s="2">
        <v>100</v>
      </c>
      <c r="Y547" s="2">
        <v>100</v>
      </c>
      <c r="Z547" s="5" t="s">
        <v>54</v>
      </c>
    </row>
    <row r="548" spans="1:26" x14ac:dyDescent="0.25">
      <c r="A548">
        <v>2026807605</v>
      </c>
      <c r="B548" t="s">
        <v>598</v>
      </c>
      <c r="C548" t="s">
        <v>599</v>
      </c>
      <c r="D548" s="5" t="str">
        <f t="shared" si="26"/>
        <v>HEON AUDREY</v>
      </c>
      <c r="E548" t="s">
        <v>247</v>
      </c>
      <c r="F548" t="s">
        <v>53</v>
      </c>
      <c r="G548" t="s">
        <v>54</v>
      </c>
      <c r="H548">
        <v>8977234</v>
      </c>
      <c r="I548" t="s">
        <v>55</v>
      </c>
      <c r="J548" t="s">
        <v>56</v>
      </c>
      <c r="K548" t="str">
        <f t="shared" si="24"/>
        <v>RYAN CALTAGIRONE</v>
      </c>
      <c r="L548" t="s">
        <v>57</v>
      </c>
      <c r="M548" s="1">
        <v>45689</v>
      </c>
      <c r="N548" s="1">
        <v>45992</v>
      </c>
      <c r="O548" s="2">
        <v>77.930000000000007</v>
      </c>
      <c r="P548">
        <f t="shared" si="25"/>
        <v>10</v>
      </c>
      <c r="Q548" t="s">
        <v>264</v>
      </c>
      <c r="R548" t="s">
        <v>1086</v>
      </c>
      <c r="S548" t="s">
        <v>58</v>
      </c>
      <c r="T548" s="3">
        <v>0.7</v>
      </c>
      <c r="U548" t="s">
        <v>60</v>
      </c>
      <c r="V548" t="s">
        <v>61</v>
      </c>
      <c r="W548" s="2">
        <v>0</v>
      </c>
      <c r="X548" s="2">
        <v>54.55</v>
      </c>
      <c r="Y548" s="2">
        <v>54.55</v>
      </c>
      <c r="Z548" s="5" t="s">
        <v>54</v>
      </c>
    </row>
    <row r="549" spans="1:26" x14ac:dyDescent="0.25">
      <c r="A549">
        <v>2026728416</v>
      </c>
      <c r="B549" t="s">
        <v>864</v>
      </c>
      <c r="C549" t="s">
        <v>865</v>
      </c>
      <c r="D549" s="5" t="str">
        <f t="shared" si="26"/>
        <v>STRUCHEN KELSEY</v>
      </c>
      <c r="E549" t="s">
        <v>69</v>
      </c>
      <c r="F549" t="s">
        <v>53</v>
      </c>
      <c r="G549" t="s">
        <v>54</v>
      </c>
      <c r="H549">
        <v>18581063</v>
      </c>
      <c r="I549" t="s">
        <v>151</v>
      </c>
      <c r="J549" t="s">
        <v>152</v>
      </c>
      <c r="K549" t="str">
        <f t="shared" si="24"/>
        <v>Timothy Hodgman</v>
      </c>
      <c r="L549" t="s">
        <v>57</v>
      </c>
      <c r="M549" s="1">
        <v>45689</v>
      </c>
      <c r="N549" s="1">
        <v>45992</v>
      </c>
      <c r="O549" s="2">
        <v>126.92</v>
      </c>
      <c r="P549">
        <f t="shared" si="25"/>
        <v>10</v>
      </c>
      <c r="Q549" t="s">
        <v>264</v>
      </c>
      <c r="R549" t="s">
        <v>1086</v>
      </c>
      <c r="S549" t="s">
        <v>58</v>
      </c>
      <c r="T549" s="3">
        <v>0.7</v>
      </c>
      <c r="U549" t="s">
        <v>60</v>
      </c>
      <c r="V549" t="s">
        <v>61</v>
      </c>
      <c r="W549" s="2">
        <v>0</v>
      </c>
      <c r="X549" s="2">
        <v>88.84</v>
      </c>
      <c r="Y549" s="2">
        <v>88.84</v>
      </c>
      <c r="Z549" s="5" t="s">
        <v>54</v>
      </c>
    </row>
    <row r="550" spans="1:26" x14ac:dyDescent="0.25">
      <c r="A550">
        <v>2026839646</v>
      </c>
      <c r="B550" t="s">
        <v>882</v>
      </c>
      <c r="C550" t="s">
        <v>417</v>
      </c>
      <c r="D550" s="5" t="str">
        <f t="shared" si="26"/>
        <v>SAUL JESSICA</v>
      </c>
      <c r="E550" t="s">
        <v>145</v>
      </c>
      <c r="F550" t="s">
        <v>53</v>
      </c>
      <c r="G550" t="s">
        <v>54</v>
      </c>
      <c r="H550">
        <v>18581063</v>
      </c>
      <c r="I550" t="s">
        <v>151</v>
      </c>
      <c r="J550" t="s">
        <v>152</v>
      </c>
      <c r="K550" t="str">
        <f t="shared" si="24"/>
        <v>Timothy Hodgman</v>
      </c>
      <c r="L550" t="s">
        <v>57</v>
      </c>
      <c r="M550" s="1">
        <v>45689</v>
      </c>
      <c r="N550" s="1">
        <v>45992</v>
      </c>
      <c r="O550" s="2">
        <v>61.66</v>
      </c>
      <c r="P550">
        <f t="shared" si="25"/>
        <v>10</v>
      </c>
      <c r="Q550" t="s">
        <v>264</v>
      </c>
      <c r="R550" t="s">
        <v>1086</v>
      </c>
      <c r="S550" t="s">
        <v>58</v>
      </c>
      <c r="T550" s="3">
        <v>0.7</v>
      </c>
      <c r="U550" t="s">
        <v>60</v>
      </c>
      <c r="V550" t="s">
        <v>61</v>
      </c>
      <c r="W550" s="2">
        <v>0</v>
      </c>
      <c r="X550" s="2">
        <v>43.16</v>
      </c>
      <c r="Y550" s="2">
        <v>43.16</v>
      </c>
      <c r="Z550" s="5" t="s">
        <v>54</v>
      </c>
    </row>
    <row r="551" spans="1:26" x14ac:dyDescent="0.25">
      <c r="A551">
        <v>2026006726</v>
      </c>
      <c r="B551" t="s">
        <v>771</v>
      </c>
      <c r="C551" t="s">
        <v>772</v>
      </c>
      <c r="D551" s="5" t="str">
        <f t="shared" si="26"/>
        <v>KALMAN THERESA</v>
      </c>
      <c r="E551" t="s">
        <v>129</v>
      </c>
      <c r="F551" t="s">
        <v>53</v>
      </c>
      <c r="G551" t="s">
        <v>54</v>
      </c>
      <c r="H551">
        <v>8977234</v>
      </c>
      <c r="I551" t="s">
        <v>55</v>
      </c>
      <c r="J551" t="s">
        <v>56</v>
      </c>
      <c r="K551" t="str">
        <f t="shared" si="24"/>
        <v>RYAN CALTAGIRONE</v>
      </c>
      <c r="L551" t="s">
        <v>57</v>
      </c>
      <c r="M551" s="1">
        <v>45655</v>
      </c>
      <c r="N551" s="1">
        <v>45990</v>
      </c>
      <c r="O551" s="2">
        <v>140.80000000000001</v>
      </c>
      <c r="P551">
        <f t="shared" si="25"/>
        <v>11</v>
      </c>
      <c r="Q551" t="s">
        <v>264</v>
      </c>
      <c r="R551" t="s">
        <v>1086</v>
      </c>
      <c r="S551" t="s">
        <v>58</v>
      </c>
      <c r="T551" s="3">
        <v>0.7</v>
      </c>
      <c r="U551" t="s">
        <v>60</v>
      </c>
      <c r="V551" t="s">
        <v>61</v>
      </c>
      <c r="W551" s="2">
        <v>0</v>
      </c>
      <c r="X551" s="2">
        <v>98.56</v>
      </c>
      <c r="Y551" s="2">
        <v>98.56</v>
      </c>
      <c r="Z551" s="5" t="s">
        <v>54</v>
      </c>
    </row>
    <row r="552" spans="1:26" x14ac:dyDescent="0.25">
      <c r="A552" s="10">
        <v>2029132495</v>
      </c>
      <c r="B552" s="10" t="s">
        <v>948</v>
      </c>
      <c r="C552" s="10" t="s">
        <v>66</v>
      </c>
      <c r="D552" s="5" t="str">
        <f t="shared" si="26"/>
        <v>POWERS MATTHEW</v>
      </c>
      <c r="E552" s="10" t="s">
        <v>439</v>
      </c>
      <c r="F552" s="10" t="s">
        <v>53</v>
      </c>
      <c r="G552" s="10" t="s">
        <v>54</v>
      </c>
      <c r="H552" s="10">
        <v>20411454</v>
      </c>
      <c r="I552" s="10" t="s">
        <v>440</v>
      </c>
      <c r="J552" s="10" t="s">
        <v>407</v>
      </c>
      <c r="K552" s="10" t="s">
        <v>1088</v>
      </c>
      <c r="L552" s="10" t="s">
        <v>57</v>
      </c>
      <c r="M552" s="11">
        <v>45809</v>
      </c>
      <c r="N552" s="11">
        <v>45992</v>
      </c>
      <c r="O552" s="12">
        <v>23.24</v>
      </c>
      <c r="P552" s="10">
        <f t="shared" si="25"/>
        <v>6</v>
      </c>
      <c r="Q552" s="10" t="s">
        <v>264</v>
      </c>
      <c r="R552" s="10" t="s">
        <v>1086</v>
      </c>
      <c r="S552" s="10" t="s">
        <v>58</v>
      </c>
      <c r="T552" s="13">
        <v>0.3</v>
      </c>
      <c r="U552" s="10" t="s">
        <v>60</v>
      </c>
      <c r="V552" s="10" t="s">
        <v>61</v>
      </c>
      <c r="W552" s="12">
        <v>23.24</v>
      </c>
      <c r="X552" s="12">
        <v>0</v>
      </c>
      <c r="Y552" s="12">
        <v>23.24</v>
      </c>
      <c r="Z552" s="10" t="s">
        <v>1087</v>
      </c>
    </row>
    <row r="553" spans="1:26" x14ac:dyDescent="0.25">
      <c r="A553" s="5">
        <v>2025256824</v>
      </c>
      <c r="B553" s="5" t="s">
        <v>762</v>
      </c>
      <c r="C553" s="5" t="s">
        <v>763</v>
      </c>
      <c r="D553" s="5" t="str">
        <f t="shared" si="26"/>
        <v>SHANKS CHRISTOPHER</v>
      </c>
      <c r="E553" s="5" t="s">
        <v>69</v>
      </c>
      <c r="F553" s="5" t="s">
        <v>53</v>
      </c>
      <c r="G553" s="5" t="s">
        <v>54</v>
      </c>
      <c r="H553" s="5">
        <v>18828278</v>
      </c>
      <c r="I553" s="5" t="s">
        <v>97</v>
      </c>
      <c r="J553" s="5" t="s">
        <v>98</v>
      </c>
      <c r="K553" s="5" t="str">
        <f t="shared" ref="K553:K584" si="27">CONCATENATE(J553, " ",I553)</f>
        <v>MICHAEL DUNAVANT</v>
      </c>
      <c r="L553" s="5" t="s">
        <v>57</v>
      </c>
      <c r="M553" s="6">
        <v>45597</v>
      </c>
      <c r="N553" s="6">
        <v>45992</v>
      </c>
      <c r="O553" s="7">
        <v>129.79</v>
      </c>
      <c r="P553" s="5">
        <f t="shared" si="25"/>
        <v>13</v>
      </c>
      <c r="Q553" s="5" t="s">
        <v>264</v>
      </c>
      <c r="R553" s="5" t="s">
        <v>1086</v>
      </c>
      <c r="S553" s="5" t="s">
        <v>58</v>
      </c>
      <c r="T553" s="8">
        <v>0.15</v>
      </c>
      <c r="U553" s="5" t="s">
        <v>264</v>
      </c>
      <c r="V553" s="5" t="s">
        <v>61</v>
      </c>
      <c r="W553" s="7">
        <v>0</v>
      </c>
      <c r="X553" s="7">
        <v>19.47</v>
      </c>
      <c r="Y553" s="7">
        <v>19.47</v>
      </c>
      <c r="Z553" s="5" t="s">
        <v>54</v>
      </c>
    </row>
    <row r="554" spans="1:26" x14ac:dyDescent="0.25">
      <c r="A554" s="5">
        <v>2025022512</v>
      </c>
      <c r="B554" s="5" t="s">
        <v>289</v>
      </c>
      <c r="C554" s="5" t="s">
        <v>290</v>
      </c>
      <c r="D554" s="5" t="str">
        <f t="shared" si="26"/>
        <v>PETRUNGARO ANDREA</v>
      </c>
      <c r="E554" s="5" t="s">
        <v>69</v>
      </c>
      <c r="F554" s="5" t="s">
        <v>53</v>
      </c>
      <c r="G554" s="5" t="s">
        <v>54</v>
      </c>
      <c r="H554" s="5">
        <v>16912722</v>
      </c>
      <c r="I554" s="5" t="s">
        <v>289</v>
      </c>
      <c r="J554" s="5" t="s">
        <v>290</v>
      </c>
      <c r="K554" s="5" t="str">
        <f t="shared" si="27"/>
        <v>ANDREA PETRUNGARO</v>
      </c>
      <c r="L554" s="5" t="s">
        <v>57</v>
      </c>
      <c r="M554" s="6">
        <v>45561</v>
      </c>
      <c r="N554" s="6">
        <v>45987</v>
      </c>
      <c r="O554" s="7">
        <v>122.22</v>
      </c>
      <c r="P554" s="5">
        <f t="shared" si="25"/>
        <v>14</v>
      </c>
      <c r="Q554" s="5" t="s">
        <v>264</v>
      </c>
      <c r="R554" s="5" t="s">
        <v>1086</v>
      </c>
      <c r="S554" s="5" t="s">
        <v>58</v>
      </c>
      <c r="T554" s="8">
        <v>0.15</v>
      </c>
      <c r="U554" s="5" t="s">
        <v>264</v>
      </c>
      <c r="V554" s="5" t="s">
        <v>61</v>
      </c>
      <c r="W554" s="7">
        <v>0</v>
      </c>
      <c r="X554" s="7">
        <v>18.329999999999998</v>
      </c>
      <c r="Y554" s="7">
        <v>18.329999999999998</v>
      </c>
      <c r="Z554" s="5" t="s">
        <v>54</v>
      </c>
    </row>
    <row r="555" spans="1:26" x14ac:dyDescent="0.25">
      <c r="A555" s="5">
        <v>2024635791</v>
      </c>
      <c r="B555" s="5" t="s">
        <v>761</v>
      </c>
      <c r="C555" s="5" t="s">
        <v>621</v>
      </c>
      <c r="D555" s="5" t="str">
        <f t="shared" si="26"/>
        <v>GOTH CAMERON</v>
      </c>
      <c r="E555" s="5" t="s">
        <v>69</v>
      </c>
      <c r="F555" s="5" t="s">
        <v>53</v>
      </c>
      <c r="G555" s="5" t="s">
        <v>54</v>
      </c>
      <c r="H555" s="5">
        <v>17094718</v>
      </c>
      <c r="I555" s="5" t="s">
        <v>335</v>
      </c>
      <c r="J555" s="5" t="s">
        <v>336</v>
      </c>
      <c r="K555" s="5" t="str">
        <f t="shared" si="27"/>
        <v>GREGORY HANSFORD</v>
      </c>
      <c r="L555" s="5" t="s">
        <v>57</v>
      </c>
      <c r="M555" s="6">
        <v>45536</v>
      </c>
      <c r="N555" s="6">
        <v>45992</v>
      </c>
      <c r="O555" s="7">
        <v>102.7</v>
      </c>
      <c r="P555" s="5">
        <f t="shared" si="25"/>
        <v>15</v>
      </c>
      <c r="Q555" s="5" t="s">
        <v>264</v>
      </c>
      <c r="R555" s="5" t="s">
        <v>1086</v>
      </c>
      <c r="S555" s="5" t="s">
        <v>58</v>
      </c>
      <c r="T555" s="8">
        <v>0.15</v>
      </c>
      <c r="U555" s="5" t="s">
        <v>264</v>
      </c>
      <c r="V555" s="5" t="s">
        <v>61</v>
      </c>
      <c r="W555" s="7">
        <v>0</v>
      </c>
      <c r="X555" s="7">
        <v>15.4</v>
      </c>
      <c r="Y555" s="7">
        <v>15.4</v>
      </c>
      <c r="Z555" s="5" t="s">
        <v>54</v>
      </c>
    </row>
    <row r="556" spans="1:26" x14ac:dyDescent="0.25">
      <c r="A556">
        <v>2025563317</v>
      </c>
      <c r="B556" t="s">
        <v>674</v>
      </c>
      <c r="C556" t="s">
        <v>675</v>
      </c>
      <c r="D556" s="5" t="str">
        <f t="shared" si="26"/>
        <v>HENDERSON PAMELA</v>
      </c>
      <c r="E556" t="s">
        <v>78</v>
      </c>
      <c r="F556" t="s">
        <v>53</v>
      </c>
      <c r="G556" t="s">
        <v>54</v>
      </c>
      <c r="H556">
        <v>17425766</v>
      </c>
      <c r="I556" t="s">
        <v>357</v>
      </c>
      <c r="J556" t="s">
        <v>358</v>
      </c>
      <c r="K556" t="str">
        <f t="shared" si="27"/>
        <v>CAROL FOLEY</v>
      </c>
      <c r="L556" t="s">
        <v>57</v>
      </c>
      <c r="M556" s="1">
        <v>45597</v>
      </c>
      <c r="N556" s="1">
        <v>45992</v>
      </c>
      <c r="O556" s="2">
        <v>11.5</v>
      </c>
      <c r="P556">
        <f t="shared" si="25"/>
        <v>13</v>
      </c>
      <c r="Q556" t="s">
        <v>264</v>
      </c>
      <c r="R556" t="s">
        <v>1086</v>
      </c>
      <c r="S556" t="s">
        <v>58</v>
      </c>
      <c r="T556" s="3">
        <v>0.15</v>
      </c>
      <c r="U556" t="s">
        <v>264</v>
      </c>
      <c r="V556" t="s">
        <v>61</v>
      </c>
      <c r="W556" s="2">
        <v>0</v>
      </c>
      <c r="X556" s="2">
        <v>1.72</v>
      </c>
      <c r="Y556" s="2">
        <v>1.72</v>
      </c>
      <c r="Z556" s="5" t="s">
        <v>54</v>
      </c>
    </row>
    <row r="557" spans="1:26" x14ac:dyDescent="0.25">
      <c r="A557">
        <v>2025410372</v>
      </c>
      <c r="B557" t="s">
        <v>516</v>
      </c>
      <c r="C557" t="s">
        <v>515</v>
      </c>
      <c r="D557" s="5" t="str">
        <f t="shared" si="26"/>
        <v>MURRAY AMANDA</v>
      </c>
      <c r="E557" t="s">
        <v>261</v>
      </c>
      <c r="F557" t="s">
        <v>53</v>
      </c>
      <c r="G557" t="s">
        <v>54</v>
      </c>
      <c r="H557">
        <v>8307933</v>
      </c>
      <c r="I557" t="s">
        <v>560</v>
      </c>
      <c r="J557" t="s">
        <v>336</v>
      </c>
      <c r="K557" t="str">
        <f t="shared" si="27"/>
        <v>GREGORY TEIPEL</v>
      </c>
      <c r="L557" t="s">
        <v>57</v>
      </c>
      <c r="M557" s="1">
        <v>45597</v>
      </c>
      <c r="N557" s="1">
        <v>45992</v>
      </c>
      <c r="O557" s="2">
        <v>66.12</v>
      </c>
      <c r="P557">
        <f t="shared" si="25"/>
        <v>13</v>
      </c>
      <c r="Q557" t="s">
        <v>264</v>
      </c>
      <c r="R557" t="s">
        <v>1086</v>
      </c>
      <c r="S557" t="s">
        <v>58</v>
      </c>
      <c r="T557" s="3">
        <v>0.15</v>
      </c>
      <c r="U557" t="s">
        <v>264</v>
      </c>
      <c r="V557" t="s">
        <v>61</v>
      </c>
      <c r="W557" s="2">
        <v>0</v>
      </c>
      <c r="X557" s="2">
        <v>9.92</v>
      </c>
      <c r="Y557" s="2">
        <v>9.92</v>
      </c>
      <c r="Z557" s="5" t="s">
        <v>54</v>
      </c>
    </row>
    <row r="558" spans="1:26" x14ac:dyDescent="0.25">
      <c r="A558">
        <v>2025366541</v>
      </c>
      <c r="B558" t="s">
        <v>667</v>
      </c>
      <c r="C558" t="s">
        <v>668</v>
      </c>
      <c r="D558" s="5" t="str">
        <f t="shared" si="26"/>
        <v>LANDRY JESSE</v>
      </c>
      <c r="E558" t="s">
        <v>234</v>
      </c>
      <c r="F558" t="s">
        <v>53</v>
      </c>
      <c r="G558" t="s">
        <v>54</v>
      </c>
      <c r="H558" t="s">
        <v>1081</v>
      </c>
      <c r="I558" t="s">
        <v>191</v>
      </c>
      <c r="J558" t="s">
        <v>192</v>
      </c>
      <c r="K558" t="str">
        <f t="shared" si="27"/>
        <v>JARED KINYUA</v>
      </c>
      <c r="L558" t="s">
        <v>57</v>
      </c>
      <c r="M558" s="1">
        <v>45597</v>
      </c>
      <c r="N558" s="1">
        <v>45992</v>
      </c>
      <c r="O558" s="2">
        <v>46.17</v>
      </c>
      <c r="P558">
        <f t="shared" si="25"/>
        <v>13</v>
      </c>
      <c r="Q558" t="s">
        <v>264</v>
      </c>
      <c r="R558" t="s">
        <v>1086</v>
      </c>
      <c r="S558" t="s">
        <v>58</v>
      </c>
      <c r="T558" s="3">
        <v>0.15</v>
      </c>
      <c r="U558" t="s">
        <v>264</v>
      </c>
      <c r="V558" t="s">
        <v>61</v>
      </c>
      <c r="W558" s="2">
        <v>0</v>
      </c>
      <c r="X558" s="2">
        <v>6.93</v>
      </c>
      <c r="Y558" s="2">
        <v>6.93</v>
      </c>
      <c r="Z558" s="5" t="s">
        <v>54</v>
      </c>
    </row>
    <row r="559" spans="1:26" x14ac:dyDescent="0.25">
      <c r="A559">
        <v>2025535693</v>
      </c>
      <c r="B559" t="s">
        <v>764</v>
      </c>
      <c r="C559" t="s">
        <v>765</v>
      </c>
      <c r="D559" s="5" t="str">
        <f t="shared" si="26"/>
        <v>JACKSON-EILAND TINYA</v>
      </c>
      <c r="E559" t="s">
        <v>52</v>
      </c>
      <c r="F559" t="s">
        <v>53</v>
      </c>
      <c r="G559" t="s">
        <v>54</v>
      </c>
      <c r="H559" t="s">
        <v>1081</v>
      </c>
      <c r="I559" t="s">
        <v>191</v>
      </c>
      <c r="J559" t="s">
        <v>192</v>
      </c>
      <c r="K559" t="str">
        <f t="shared" si="27"/>
        <v>JARED KINYUA</v>
      </c>
      <c r="L559" t="s">
        <v>57</v>
      </c>
      <c r="M559" s="1">
        <v>45595</v>
      </c>
      <c r="N559" s="1">
        <v>45991</v>
      </c>
      <c r="O559" s="2">
        <v>31.1</v>
      </c>
      <c r="P559">
        <f t="shared" si="25"/>
        <v>13</v>
      </c>
      <c r="Q559" t="s">
        <v>264</v>
      </c>
      <c r="R559" t="s">
        <v>1086</v>
      </c>
      <c r="S559" t="s">
        <v>58</v>
      </c>
      <c r="T559" s="3">
        <v>0.15</v>
      </c>
      <c r="U559" t="s">
        <v>264</v>
      </c>
      <c r="V559" t="s">
        <v>61</v>
      </c>
      <c r="W559" s="2">
        <v>0</v>
      </c>
      <c r="X559" s="2">
        <v>4.66</v>
      </c>
      <c r="Y559" s="2">
        <v>4.66</v>
      </c>
      <c r="Z559" s="5" t="s">
        <v>54</v>
      </c>
    </row>
    <row r="560" spans="1:26" x14ac:dyDescent="0.25">
      <c r="A560">
        <v>2025550300</v>
      </c>
      <c r="B560" t="s">
        <v>766</v>
      </c>
      <c r="C560" t="s">
        <v>240</v>
      </c>
      <c r="D560" s="5" t="str">
        <f t="shared" si="26"/>
        <v>LAWRENCE JUSTIN</v>
      </c>
      <c r="E560" t="s">
        <v>52</v>
      </c>
      <c r="F560" t="s">
        <v>53</v>
      </c>
      <c r="G560" t="s">
        <v>54</v>
      </c>
      <c r="H560">
        <v>15278437</v>
      </c>
      <c r="I560" t="s">
        <v>313</v>
      </c>
      <c r="J560" t="s">
        <v>314</v>
      </c>
      <c r="K560" t="str">
        <f t="shared" si="27"/>
        <v>JASON HOFFMANN</v>
      </c>
      <c r="L560" t="s">
        <v>57</v>
      </c>
      <c r="M560" s="1">
        <v>45597</v>
      </c>
      <c r="N560" s="1">
        <v>45992</v>
      </c>
      <c r="O560" s="2">
        <v>45.51</v>
      </c>
      <c r="P560">
        <f t="shared" si="25"/>
        <v>13</v>
      </c>
      <c r="Q560" t="s">
        <v>264</v>
      </c>
      <c r="R560" t="s">
        <v>1086</v>
      </c>
      <c r="S560" t="s">
        <v>58</v>
      </c>
      <c r="T560" s="3">
        <v>0.15</v>
      </c>
      <c r="U560" t="s">
        <v>264</v>
      </c>
      <c r="V560" t="s">
        <v>61</v>
      </c>
      <c r="W560" s="2">
        <v>0</v>
      </c>
      <c r="X560" s="2">
        <v>6.83</v>
      </c>
      <c r="Y560" s="2">
        <v>6.83</v>
      </c>
      <c r="Z560" s="5" t="s">
        <v>54</v>
      </c>
    </row>
    <row r="561" spans="1:26" x14ac:dyDescent="0.25">
      <c r="A561">
        <v>2025082288</v>
      </c>
      <c r="B561" t="s">
        <v>557</v>
      </c>
      <c r="C561" t="s">
        <v>153</v>
      </c>
      <c r="D561" s="5" t="str">
        <f t="shared" si="26"/>
        <v>BROWN DAVID</v>
      </c>
      <c r="E561" t="s">
        <v>52</v>
      </c>
      <c r="F561" t="s">
        <v>53</v>
      </c>
      <c r="G561" t="s">
        <v>54</v>
      </c>
      <c r="H561" t="s">
        <v>1081</v>
      </c>
      <c r="I561" t="s">
        <v>191</v>
      </c>
      <c r="J561" t="s">
        <v>192</v>
      </c>
      <c r="K561" t="str">
        <f t="shared" si="27"/>
        <v>JARED KINYUA</v>
      </c>
      <c r="L561" t="s">
        <v>57</v>
      </c>
      <c r="M561" s="1">
        <v>45564</v>
      </c>
      <c r="N561" s="1">
        <v>45990</v>
      </c>
      <c r="O561" s="2">
        <v>34.159999999999997</v>
      </c>
      <c r="P561">
        <f t="shared" si="25"/>
        <v>14</v>
      </c>
      <c r="Q561" t="s">
        <v>264</v>
      </c>
      <c r="R561" t="s">
        <v>1086</v>
      </c>
      <c r="S561" t="s">
        <v>58</v>
      </c>
      <c r="T561" s="3">
        <v>0.15</v>
      </c>
      <c r="U561" t="s">
        <v>264</v>
      </c>
      <c r="V561" t="s">
        <v>61</v>
      </c>
      <c r="W561" s="2">
        <v>0</v>
      </c>
      <c r="X561" s="2">
        <v>5.12</v>
      </c>
      <c r="Y561" s="2">
        <v>5.12</v>
      </c>
      <c r="Z561" s="5" t="s">
        <v>54</v>
      </c>
    </row>
    <row r="562" spans="1:26" x14ac:dyDescent="0.25">
      <c r="A562">
        <v>2024569206</v>
      </c>
      <c r="B562" t="s">
        <v>758</v>
      </c>
      <c r="C562" t="s">
        <v>759</v>
      </c>
      <c r="D562" s="5" t="str">
        <f t="shared" si="26"/>
        <v>CASILLAS CAROLINA</v>
      </c>
      <c r="E562" t="s">
        <v>719</v>
      </c>
      <c r="F562" t="s">
        <v>53</v>
      </c>
      <c r="G562" t="s">
        <v>54</v>
      </c>
      <c r="H562">
        <v>19278370</v>
      </c>
      <c r="I562" t="s">
        <v>321</v>
      </c>
      <c r="J562" t="s">
        <v>322</v>
      </c>
      <c r="K562" t="str">
        <f t="shared" si="27"/>
        <v>ANNE MARIE KOZACHECK</v>
      </c>
      <c r="L562" t="s">
        <v>57</v>
      </c>
      <c r="M562" s="1">
        <v>45531</v>
      </c>
      <c r="N562" s="1">
        <v>45988</v>
      </c>
      <c r="O562" s="2">
        <v>10.82</v>
      </c>
      <c r="P562">
        <f t="shared" si="25"/>
        <v>15</v>
      </c>
      <c r="Q562" t="s">
        <v>264</v>
      </c>
      <c r="R562" t="s">
        <v>1086</v>
      </c>
      <c r="S562" t="s">
        <v>58</v>
      </c>
      <c r="T562" s="3">
        <v>0.15</v>
      </c>
      <c r="U562" t="s">
        <v>264</v>
      </c>
      <c r="V562" t="s">
        <v>61</v>
      </c>
      <c r="W562" s="2">
        <v>0</v>
      </c>
      <c r="X562" s="2">
        <v>1.62</v>
      </c>
      <c r="Y562" s="2">
        <v>1.62</v>
      </c>
      <c r="Z562" s="5" t="s">
        <v>54</v>
      </c>
    </row>
    <row r="563" spans="1:26" x14ac:dyDescent="0.25">
      <c r="A563">
        <v>2024136817</v>
      </c>
      <c r="B563" t="s">
        <v>283</v>
      </c>
      <c r="C563" t="s">
        <v>284</v>
      </c>
      <c r="D563" s="5" t="str">
        <f t="shared" si="26"/>
        <v>SALGADO CARLOS</v>
      </c>
      <c r="E563" t="s">
        <v>52</v>
      </c>
      <c r="F563" t="s">
        <v>53</v>
      </c>
      <c r="G563" t="s">
        <v>54</v>
      </c>
      <c r="H563">
        <v>8977234</v>
      </c>
      <c r="I563" t="s">
        <v>55</v>
      </c>
      <c r="J563" t="s">
        <v>56</v>
      </c>
      <c r="K563" t="str">
        <f t="shared" si="27"/>
        <v>RYAN CALTAGIRONE</v>
      </c>
      <c r="L563" t="s">
        <v>57</v>
      </c>
      <c r="M563" s="1">
        <v>45536</v>
      </c>
      <c r="N563" s="1">
        <v>45992</v>
      </c>
      <c r="O563" s="2">
        <v>78.44</v>
      </c>
      <c r="P563">
        <f t="shared" si="25"/>
        <v>15</v>
      </c>
      <c r="Q563" t="s">
        <v>264</v>
      </c>
      <c r="R563" t="s">
        <v>1086</v>
      </c>
      <c r="S563" t="s">
        <v>58</v>
      </c>
      <c r="T563" s="3">
        <v>0.15</v>
      </c>
      <c r="U563" t="s">
        <v>264</v>
      </c>
      <c r="V563" t="s">
        <v>61</v>
      </c>
      <c r="W563" s="2">
        <v>0</v>
      </c>
      <c r="X563" s="2">
        <v>11.77</v>
      </c>
      <c r="Y563" s="2">
        <v>11.77</v>
      </c>
      <c r="Z563" s="5" t="s">
        <v>54</v>
      </c>
    </row>
    <row r="564" spans="1:26" x14ac:dyDescent="0.25">
      <c r="A564">
        <v>2024384775</v>
      </c>
      <c r="B564" t="s">
        <v>578</v>
      </c>
      <c r="C564" t="s">
        <v>413</v>
      </c>
      <c r="D564" s="5" t="str">
        <f t="shared" si="26"/>
        <v>BUSCHELL BRIAN</v>
      </c>
      <c r="E564" t="s">
        <v>182</v>
      </c>
      <c r="F564" t="s">
        <v>53</v>
      </c>
      <c r="G564" t="s">
        <v>54</v>
      </c>
      <c r="H564">
        <v>8977234</v>
      </c>
      <c r="I564" t="s">
        <v>55</v>
      </c>
      <c r="J564" t="s">
        <v>56</v>
      </c>
      <c r="K564" t="str">
        <f t="shared" si="27"/>
        <v>RYAN CALTAGIRONE</v>
      </c>
      <c r="L564" t="s">
        <v>57</v>
      </c>
      <c r="M564" s="1">
        <v>45536</v>
      </c>
      <c r="N564" s="1">
        <v>45992</v>
      </c>
      <c r="O564" s="2">
        <v>26.82</v>
      </c>
      <c r="P564">
        <f t="shared" si="25"/>
        <v>15</v>
      </c>
      <c r="Q564" t="s">
        <v>264</v>
      </c>
      <c r="R564" t="s">
        <v>1086</v>
      </c>
      <c r="S564" t="s">
        <v>58</v>
      </c>
      <c r="T564" s="3">
        <v>0.15</v>
      </c>
      <c r="U564" t="s">
        <v>264</v>
      </c>
      <c r="V564" t="s">
        <v>61</v>
      </c>
      <c r="W564" s="2">
        <v>0</v>
      </c>
      <c r="X564" s="2">
        <v>4.0199999999999996</v>
      </c>
      <c r="Y564" s="2">
        <v>4.0199999999999996</v>
      </c>
      <c r="Z564" s="5" t="s">
        <v>54</v>
      </c>
    </row>
    <row r="565" spans="1:26" x14ac:dyDescent="0.25">
      <c r="A565">
        <v>2024460935</v>
      </c>
      <c r="B565" t="s">
        <v>756</v>
      </c>
      <c r="C565" t="s">
        <v>757</v>
      </c>
      <c r="D565" s="5" t="str">
        <f t="shared" si="26"/>
        <v>CULLIMORE SHAYLEE</v>
      </c>
      <c r="E565" t="s">
        <v>636</v>
      </c>
      <c r="F565" t="s">
        <v>53</v>
      </c>
      <c r="G565" t="s">
        <v>54</v>
      </c>
      <c r="H565">
        <v>8977234</v>
      </c>
      <c r="I565" t="s">
        <v>55</v>
      </c>
      <c r="J565" t="s">
        <v>56</v>
      </c>
      <c r="K565" t="str">
        <f t="shared" si="27"/>
        <v>RYAN CALTAGIRONE</v>
      </c>
      <c r="L565" t="s">
        <v>57</v>
      </c>
      <c r="M565" s="1">
        <v>45536</v>
      </c>
      <c r="N565" s="1">
        <v>45992</v>
      </c>
      <c r="O565" s="2">
        <v>194.67</v>
      </c>
      <c r="P565">
        <f t="shared" si="25"/>
        <v>15</v>
      </c>
      <c r="Q565" t="s">
        <v>264</v>
      </c>
      <c r="R565" t="s">
        <v>1086</v>
      </c>
      <c r="S565" t="s">
        <v>58</v>
      </c>
      <c r="T565" s="3">
        <v>0.15</v>
      </c>
      <c r="U565" t="s">
        <v>264</v>
      </c>
      <c r="V565" t="s">
        <v>61</v>
      </c>
      <c r="W565" s="2">
        <v>0</v>
      </c>
      <c r="X565" s="2">
        <v>29.2</v>
      </c>
      <c r="Y565" s="2">
        <v>29.2</v>
      </c>
      <c r="Z565" s="5" t="s">
        <v>54</v>
      </c>
    </row>
    <row r="566" spans="1:26" x14ac:dyDescent="0.25">
      <c r="A566">
        <v>2024621873</v>
      </c>
      <c r="B566" t="s">
        <v>760</v>
      </c>
      <c r="C566" t="s">
        <v>312</v>
      </c>
      <c r="D566" s="5" t="str">
        <f t="shared" si="26"/>
        <v>ERSTE JOHN</v>
      </c>
      <c r="E566" t="s">
        <v>145</v>
      </c>
      <c r="F566" t="s">
        <v>53</v>
      </c>
      <c r="G566" t="s">
        <v>54</v>
      </c>
      <c r="H566">
        <v>8977234</v>
      </c>
      <c r="I566" t="s">
        <v>55</v>
      </c>
      <c r="J566" t="s">
        <v>56</v>
      </c>
      <c r="K566" t="str">
        <f t="shared" si="27"/>
        <v>RYAN CALTAGIRONE</v>
      </c>
      <c r="L566" t="s">
        <v>57</v>
      </c>
      <c r="M566" s="1">
        <v>45536</v>
      </c>
      <c r="N566" s="1">
        <v>45992</v>
      </c>
      <c r="O566" s="2">
        <v>126.1</v>
      </c>
      <c r="P566">
        <f t="shared" si="25"/>
        <v>15</v>
      </c>
      <c r="Q566" t="s">
        <v>264</v>
      </c>
      <c r="R566" t="s">
        <v>1086</v>
      </c>
      <c r="S566" t="s">
        <v>58</v>
      </c>
      <c r="T566" s="3">
        <v>0.15</v>
      </c>
      <c r="U566" t="s">
        <v>264</v>
      </c>
      <c r="V566" t="s">
        <v>61</v>
      </c>
      <c r="W566" s="2">
        <v>0</v>
      </c>
      <c r="X566" s="2">
        <v>18.920000000000002</v>
      </c>
      <c r="Y566" s="2">
        <v>18.920000000000002</v>
      </c>
      <c r="Z566" s="5" t="s">
        <v>54</v>
      </c>
    </row>
    <row r="567" spans="1:26" x14ac:dyDescent="0.25">
      <c r="A567">
        <v>2023153966</v>
      </c>
      <c r="B567" t="s">
        <v>755</v>
      </c>
      <c r="C567" t="s">
        <v>98</v>
      </c>
      <c r="D567" s="5" t="str">
        <f t="shared" si="26"/>
        <v>GUGLIELMO MICHAEL</v>
      </c>
      <c r="E567" t="s">
        <v>247</v>
      </c>
      <c r="F567" t="s">
        <v>53</v>
      </c>
      <c r="G567" t="s">
        <v>54</v>
      </c>
      <c r="H567">
        <v>20436896</v>
      </c>
      <c r="I567" t="s">
        <v>55</v>
      </c>
      <c r="J567" t="s">
        <v>566</v>
      </c>
      <c r="K567" t="str">
        <f t="shared" si="27"/>
        <v>KATELENN CALTAGIRONE</v>
      </c>
      <c r="L567" t="s">
        <v>57</v>
      </c>
      <c r="M567" s="1">
        <v>45444</v>
      </c>
      <c r="N567" s="1">
        <v>45992</v>
      </c>
      <c r="O567" s="2">
        <v>78.760000000000005</v>
      </c>
      <c r="P567">
        <f t="shared" si="25"/>
        <v>18</v>
      </c>
      <c r="Q567" t="s">
        <v>264</v>
      </c>
      <c r="R567" t="s">
        <v>1086</v>
      </c>
      <c r="S567" t="s">
        <v>58</v>
      </c>
      <c r="T567" s="3">
        <v>0.15</v>
      </c>
      <c r="U567" t="s">
        <v>264</v>
      </c>
      <c r="V567" t="s">
        <v>61</v>
      </c>
      <c r="W567" s="2">
        <v>0</v>
      </c>
      <c r="X567" s="2">
        <v>11.81</v>
      </c>
      <c r="Y567" s="2">
        <v>11.81</v>
      </c>
      <c r="Z567" s="5" t="s">
        <v>54</v>
      </c>
    </row>
    <row r="568" spans="1:26" x14ac:dyDescent="0.25">
      <c r="A568">
        <v>2022463458</v>
      </c>
      <c r="B568" t="s">
        <v>753</v>
      </c>
      <c r="C568" t="s">
        <v>754</v>
      </c>
      <c r="D568" s="5" t="str">
        <f t="shared" si="26"/>
        <v>WESTAWSKI JONI</v>
      </c>
      <c r="E568" t="s">
        <v>52</v>
      </c>
      <c r="F568" t="s">
        <v>53</v>
      </c>
      <c r="G568" t="s">
        <v>54</v>
      </c>
      <c r="H568">
        <v>15278437</v>
      </c>
      <c r="I568" t="s">
        <v>313</v>
      </c>
      <c r="J568" t="s">
        <v>314</v>
      </c>
      <c r="K568" t="str">
        <f t="shared" si="27"/>
        <v>JASON HOFFMANN</v>
      </c>
      <c r="L568" t="s">
        <v>57</v>
      </c>
      <c r="M568" s="1">
        <v>45383</v>
      </c>
      <c r="N568" s="1">
        <v>45992</v>
      </c>
      <c r="O568" s="2">
        <v>79.819999999999993</v>
      </c>
      <c r="P568">
        <f t="shared" si="25"/>
        <v>20</v>
      </c>
      <c r="Q568" t="s">
        <v>264</v>
      </c>
      <c r="R568" t="s">
        <v>1086</v>
      </c>
      <c r="S568" t="s">
        <v>58</v>
      </c>
      <c r="T568" s="3">
        <v>0.15</v>
      </c>
      <c r="U568" t="s">
        <v>264</v>
      </c>
      <c r="V568" t="s">
        <v>61</v>
      </c>
      <c r="W568" s="2">
        <v>0</v>
      </c>
      <c r="X568" s="2">
        <v>11.97</v>
      </c>
      <c r="Y568" s="2">
        <v>11.97</v>
      </c>
      <c r="Z568" s="5" t="s">
        <v>54</v>
      </c>
    </row>
    <row r="569" spans="1:26" x14ac:dyDescent="0.25">
      <c r="A569">
        <v>2022351917</v>
      </c>
      <c r="B569" t="s">
        <v>752</v>
      </c>
      <c r="C569" t="s">
        <v>106</v>
      </c>
      <c r="D569" s="5" t="str">
        <f t="shared" si="26"/>
        <v>FARNAM ETHAN</v>
      </c>
      <c r="E569" t="s">
        <v>69</v>
      </c>
      <c r="F569" t="s">
        <v>53</v>
      </c>
      <c r="G569" t="s">
        <v>54</v>
      </c>
      <c r="H569">
        <v>8977234</v>
      </c>
      <c r="I569" t="s">
        <v>55</v>
      </c>
      <c r="J569" t="s">
        <v>56</v>
      </c>
      <c r="K569" t="str">
        <f t="shared" si="27"/>
        <v>RYAN CALTAGIRONE</v>
      </c>
      <c r="L569" t="s">
        <v>57</v>
      </c>
      <c r="M569" s="1">
        <v>45383</v>
      </c>
      <c r="N569" s="1">
        <v>45992</v>
      </c>
      <c r="O569" s="2">
        <v>81.150000000000006</v>
      </c>
      <c r="P569">
        <f t="shared" si="25"/>
        <v>20</v>
      </c>
      <c r="Q569" t="s">
        <v>264</v>
      </c>
      <c r="R569" t="s">
        <v>1086</v>
      </c>
      <c r="S569" t="s">
        <v>58</v>
      </c>
      <c r="T569" s="3">
        <v>0.15</v>
      </c>
      <c r="U569" t="s">
        <v>264</v>
      </c>
      <c r="V569" t="s">
        <v>61</v>
      </c>
      <c r="W569" s="2">
        <v>0</v>
      </c>
      <c r="X569" s="2">
        <v>12.17</v>
      </c>
      <c r="Y569" s="2">
        <v>12.17</v>
      </c>
      <c r="Z569" s="5" t="s">
        <v>54</v>
      </c>
    </row>
    <row r="570" spans="1:26" x14ac:dyDescent="0.25">
      <c r="A570">
        <v>2022371779</v>
      </c>
      <c r="B570" t="s">
        <v>672</v>
      </c>
      <c r="C570" t="s">
        <v>524</v>
      </c>
      <c r="D570" s="5" t="str">
        <f t="shared" si="26"/>
        <v>MURPHY SHAWN</v>
      </c>
      <c r="E570" t="s">
        <v>52</v>
      </c>
      <c r="F570" t="s">
        <v>53</v>
      </c>
      <c r="G570" t="s">
        <v>54</v>
      </c>
      <c r="H570">
        <v>8977234</v>
      </c>
      <c r="I570" t="s">
        <v>55</v>
      </c>
      <c r="J570" t="s">
        <v>56</v>
      </c>
      <c r="K570" t="str">
        <f t="shared" si="27"/>
        <v>RYAN CALTAGIRONE</v>
      </c>
      <c r="L570" t="s">
        <v>57</v>
      </c>
      <c r="M570" s="1">
        <v>45383</v>
      </c>
      <c r="N570" s="1">
        <v>45992</v>
      </c>
      <c r="O570" s="2">
        <v>187.41</v>
      </c>
      <c r="P570">
        <f t="shared" si="25"/>
        <v>20</v>
      </c>
      <c r="Q570" t="s">
        <v>264</v>
      </c>
      <c r="R570" t="s">
        <v>1086</v>
      </c>
      <c r="S570" t="s">
        <v>58</v>
      </c>
      <c r="T570" s="3">
        <v>0.15</v>
      </c>
      <c r="U570" t="s">
        <v>264</v>
      </c>
      <c r="V570" t="s">
        <v>61</v>
      </c>
      <c r="W570" s="2">
        <v>0</v>
      </c>
      <c r="X570" s="2">
        <v>28.11</v>
      </c>
      <c r="Y570" s="2">
        <v>28.11</v>
      </c>
      <c r="Z570" s="5" t="s">
        <v>54</v>
      </c>
    </row>
    <row r="571" spans="1:26" x14ac:dyDescent="0.25">
      <c r="A571">
        <v>2021427319</v>
      </c>
      <c r="B571" t="s">
        <v>575</v>
      </c>
      <c r="C571" t="s">
        <v>103</v>
      </c>
      <c r="D571" s="5" t="str">
        <f t="shared" si="26"/>
        <v>WEBB THOMAS</v>
      </c>
      <c r="E571" t="s">
        <v>261</v>
      </c>
      <c r="F571" t="s">
        <v>53</v>
      </c>
      <c r="G571" t="s">
        <v>54</v>
      </c>
      <c r="H571">
        <v>8977234</v>
      </c>
      <c r="I571" t="s">
        <v>55</v>
      </c>
      <c r="J571" t="s">
        <v>56</v>
      </c>
      <c r="K571" t="str">
        <f t="shared" si="27"/>
        <v>RYAN CALTAGIRONE</v>
      </c>
      <c r="L571" t="s">
        <v>57</v>
      </c>
      <c r="M571" s="1">
        <v>45351</v>
      </c>
      <c r="N571" s="1">
        <v>45990</v>
      </c>
      <c r="O571" s="2">
        <v>53.13</v>
      </c>
      <c r="P571">
        <f t="shared" si="25"/>
        <v>21</v>
      </c>
      <c r="Q571" t="s">
        <v>264</v>
      </c>
      <c r="R571" t="s">
        <v>1086</v>
      </c>
      <c r="S571" t="s">
        <v>58</v>
      </c>
      <c r="T571" s="3">
        <v>0.15</v>
      </c>
      <c r="U571" t="s">
        <v>264</v>
      </c>
      <c r="V571" t="s">
        <v>61</v>
      </c>
      <c r="W571" s="2">
        <v>0</v>
      </c>
      <c r="X571" s="2">
        <v>7.97</v>
      </c>
      <c r="Y571" s="2">
        <v>7.97</v>
      </c>
      <c r="Z571" s="5" t="s">
        <v>54</v>
      </c>
    </row>
    <row r="572" spans="1:26" x14ac:dyDescent="0.25">
      <c r="A572">
        <v>2021234695</v>
      </c>
      <c r="B572" t="s">
        <v>747</v>
      </c>
      <c r="C572" t="s">
        <v>748</v>
      </c>
      <c r="D572" s="5" t="str">
        <f t="shared" si="26"/>
        <v>RAMBOLDT WENDY</v>
      </c>
      <c r="E572" t="s">
        <v>563</v>
      </c>
      <c r="F572" t="s">
        <v>53</v>
      </c>
      <c r="G572" t="s">
        <v>54</v>
      </c>
      <c r="H572">
        <v>8307933</v>
      </c>
      <c r="I572" t="s">
        <v>560</v>
      </c>
      <c r="J572" t="s">
        <v>336</v>
      </c>
      <c r="K572" t="str">
        <f t="shared" si="27"/>
        <v>GREGORY TEIPEL</v>
      </c>
      <c r="L572" t="s">
        <v>57</v>
      </c>
      <c r="M572" s="1">
        <v>45290</v>
      </c>
      <c r="N572" s="1">
        <v>45991</v>
      </c>
      <c r="O572" s="2">
        <v>46.72</v>
      </c>
      <c r="P572">
        <f t="shared" si="25"/>
        <v>23</v>
      </c>
      <c r="Q572" t="s">
        <v>264</v>
      </c>
      <c r="R572" t="s">
        <v>1086</v>
      </c>
      <c r="S572" t="s">
        <v>58</v>
      </c>
      <c r="T572" s="3">
        <v>0.15</v>
      </c>
      <c r="U572" t="s">
        <v>264</v>
      </c>
      <c r="V572" t="s">
        <v>61</v>
      </c>
      <c r="W572" s="2">
        <v>0</v>
      </c>
      <c r="X572" s="2">
        <v>7.01</v>
      </c>
      <c r="Y572" s="2">
        <v>7.01</v>
      </c>
      <c r="Z572" s="5" t="s">
        <v>54</v>
      </c>
    </row>
    <row r="573" spans="1:26" x14ac:dyDescent="0.25">
      <c r="A573">
        <v>2020160887</v>
      </c>
      <c r="B573" t="s">
        <v>739</v>
      </c>
      <c r="C573" t="s">
        <v>740</v>
      </c>
      <c r="D573" s="5" t="str">
        <f t="shared" si="26"/>
        <v>ZUMPELLA DENISE</v>
      </c>
      <c r="E573" t="s">
        <v>129</v>
      </c>
      <c r="F573" t="s">
        <v>53</v>
      </c>
      <c r="G573" t="s">
        <v>54</v>
      </c>
      <c r="H573">
        <v>8977234</v>
      </c>
      <c r="I573" t="s">
        <v>55</v>
      </c>
      <c r="J573" t="s">
        <v>56</v>
      </c>
      <c r="K573" t="str">
        <f t="shared" si="27"/>
        <v>RYAN CALTAGIRONE</v>
      </c>
      <c r="L573" t="s">
        <v>57</v>
      </c>
      <c r="M573" s="1">
        <v>45231</v>
      </c>
      <c r="N573" s="1">
        <v>45992</v>
      </c>
      <c r="O573" s="2">
        <v>122.88</v>
      </c>
      <c r="P573">
        <f t="shared" si="25"/>
        <v>25</v>
      </c>
      <c r="Q573" t="s">
        <v>264</v>
      </c>
      <c r="R573" t="s">
        <v>1086</v>
      </c>
      <c r="S573" t="s">
        <v>58</v>
      </c>
      <c r="T573" s="3">
        <v>0.15</v>
      </c>
      <c r="U573" t="s">
        <v>264</v>
      </c>
      <c r="V573" t="s">
        <v>61</v>
      </c>
      <c r="W573" s="2">
        <v>0</v>
      </c>
      <c r="X573" s="2">
        <v>18.43</v>
      </c>
      <c r="Y573" s="2">
        <v>18.43</v>
      </c>
      <c r="Z573" s="5" t="s">
        <v>54</v>
      </c>
    </row>
    <row r="574" spans="1:26" x14ac:dyDescent="0.25">
      <c r="A574">
        <v>2019662568</v>
      </c>
      <c r="B574" t="s">
        <v>737</v>
      </c>
      <c r="C574" t="s">
        <v>738</v>
      </c>
      <c r="D574" s="5" t="str">
        <f t="shared" si="26"/>
        <v>BEST MICHAYLA</v>
      </c>
      <c r="E574" t="s">
        <v>190</v>
      </c>
      <c r="F574" t="s">
        <v>53</v>
      </c>
      <c r="G574" t="s">
        <v>54</v>
      </c>
      <c r="H574">
        <v>8977234</v>
      </c>
      <c r="I574" t="s">
        <v>55</v>
      </c>
      <c r="J574" t="s">
        <v>56</v>
      </c>
      <c r="K574" t="str">
        <f t="shared" si="27"/>
        <v>RYAN CALTAGIRONE</v>
      </c>
      <c r="L574" t="s">
        <v>57</v>
      </c>
      <c r="M574" s="1">
        <v>45170</v>
      </c>
      <c r="N574" s="1">
        <v>45992</v>
      </c>
      <c r="O574" s="2">
        <v>82.76</v>
      </c>
      <c r="P574">
        <f t="shared" si="25"/>
        <v>27</v>
      </c>
      <c r="Q574" t="s">
        <v>264</v>
      </c>
      <c r="R574" t="s">
        <v>1086</v>
      </c>
      <c r="S574" t="s">
        <v>58</v>
      </c>
      <c r="T574" s="3">
        <v>0.15</v>
      </c>
      <c r="U574" t="s">
        <v>264</v>
      </c>
      <c r="V574" t="s">
        <v>61</v>
      </c>
      <c r="W574" s="2">
        <v>0</v>
      </c>
      <c r="X574" s="2">
        <v>12.41</v>
      </c>
      <c r="Y574" s="2">
        <v>12.41</v>
      </c>
      <c r="Z574" s="5" t="s">
        <v>54</v>
      </c>
    </row>
    <row r="575" spans="1:26" x14ac:dyDescent="0.25">
      <c r="A575">
        <v>2018621162</v>
      </c>
      <c r="B575" t="s">
        <v>267</v>
      </c>
      <c r="C575" t="s">
        <v>268</v>
      </c>
      <c r="D575" s="5" t="str">
        <f t="shared" si="26"/>
        <v>DEBORD JULIE</v>
      </c>
      <c r="E575" t="s">
        <v>129</v>
      </c>
      <c r="F575" t="s">
        <v>53</v>
      </c>
      <c r="G575" t="s">
        <v>54</v>
      </c>
      <c r="H575">
        <v>8977234</v>
      </c>
      <c r="I575" t="s">
        <v>55</v>
      </c>
      <c r="J575" t="s">
        <v>56</v>
      </c>
      <c r="K575" t="str">
        <f t="shared" si="27"/>
        <v>RYAN CALTAGIRONE</v>
      </c>
      <c r="L575" t="s">
        <v>57</v>
      </c>
      <c r="M575" s="1">
        <v>45078</v>
      </c>
      <c r="N575" s="1">
        <v>45992</v>
      </c>
      <c r="O575" s="2">
        <v>44</v>
      </c>
      <c r="P575">
        <f t="shared" si="25"/>
        <v>30</v>
      </c>
      <c r="Q575" t="s">
        <v>264</v>
      </c>
      <c r="R575" t="s">
        <v>1086</v>
      </c>
      <c r="S575" t="s">
        <v>58</v>
      </c>
      <c r="T575" s="3">
        <v>0.15</v>
      </c>
      <c r="U575" t="s">
        <v>264</v>
      </c>
      <c r="V575" t="s">
        <v>61</v>
      </c>
      <c r="W575" s="2">
        <v>0</v>
      </c>
      <c r="X575" s="2">
        <v>6.6</v>
      </c>
      <c r="Y575" s="2">
        <v>6.6</v>
      </c>
      <c r="Z575" s="5" t="s">
        <v>54</v>
      </c>
    </row>
    <row r="576" spans="1:26" x14ac:dyDescent="0.25">
      <c r="A576">
        <v>2018107017</v>
      </c>
      <c r="B576" t="s">
        <v>728</v>
      </c>
      <c r="C576" t="s">
        <v>729</v>
      </c>
      <c r="D576" s="5" t="str">
        <f t="shared" si="26"/>
        <v>MAERTENS HEIDI</v>
      </c>
      <c r="E576" t="s">
        <v>81</v>
      </c>
      <c r="F576" t="s">
        <v>53</v>
      </c>
      <c r="G576" t="s">
        <v>54</v>
      </c>
      <c r="H576">
        <v>8977234</v>
      </c>
      <c r="I576" t="s">
        <v>55</v>
      </c>
      <c r="J576" t="s">
        <v>56</v>
      </c>
      <c r="K576" t="str">
        <f t="shared" si="27"/>
        <v>RYAN CALTAGIRONE</v>
      </c>
      <c r="L576" t="s">
        <v>57</v>
      </c>
      <c r="M576" s="1">
        <v>45012</v>
      </c>
      <c r="N576" s="1">
        <v>45988</v>
      </c>
      <c r="O576" s="2">
        <v>35.369999999999997</v>
      </c>
      <c r="P576">
        <f t="shared" si="25"/>
        <v>32</v>
      </c>
      <c r="Q576" t="s">
        <v>264</v>
      </c>
      <c r="R576" t="s">
        <v>1086</v>
      </c>
      <c r="S576" t="s">
        <v>58</v>
      </c>
      <c r="T576" s="3">
        <v>0.15</v>
      </c>
      <c r="U576" t="s">
        <v>264</v>
      </c>
      <c r="V576" t="s">
        <v>61</v>
      </c>
      <c r="W576" s="2">
        <v>0</v>
      </c>
      <c r="X576" s="2">
        <v>5.31</v>
      </c>
      <c r="Y576" s="2">
        <v>5.31</v>
      </c>
      <c r="Z576" s="5" t="s">
        <v>54</v>
      </c>
    </row>
    <row r="577" spans="1:26" x14ac:dyDescent="0.25">
      <c r="A577">
        <v>2017355242</v>
      </c>
      <c r="B577" t="s">
        <v>717</v>
      </c>
      <c r="C577" t="s">
        <v>718</v>
      </c>
      <c r="D577" s="5" t="str">
        <f t="shared" si="26"/>
        <v>JUSTICE-BOWERS KIMBERLY</v>
      </c>
      <c r="E577" t="s">
        <v>719</v>
      </c>
      <c r="F577" t="s">
        <v>53</v>
      </c>
      <c r="G577" t="s">
        <v>54</v>
      </c>
      <c r="H577">
        <v>15278437</v>
      </c>
      <c r="I577" t="s">
        <v>313</v>
      </c>
      <c r="J577" t="s">
        <v>314</v>
      </c>
      <c r="K577" t="str">
        <f t="shared" si="27"/>
        <v>JASON HOFFMANN</v>
      </c>
      <c r="L577" t="s">
        <v>57</v>
      </c>
      <c r="M577" s="1">
        <v>44958</v>
      </c>
      <c r="N577" s="1">
        <v>45992</v>
      </c>
      <c r="O577" s="2">
        <v>166.17</v>
      </c>
      <c r="P577">
        <f t="shared" si="25"/>
        <v>34</v>
      </c>
      <c r="Q577" t="s">
        <v>264</v>
      </c>
      <c r="R577" t="s">
        <v>1086</v>
      </c>
      <c r="S577" t="s">
        <v>58</v>
      </c>
      <c r="T577" s="3">
        <v>0.15</v>
      </c>
      <c r="U577" t="s">
        <v>264</v>
      </c>
      <c r="V577" t="s">
        <v>61</v>
      </c>
      <c r="W577" s="2">
        <v>0</v>
      </c>
      <c r="X577" s="2">
        <v>24.93</v>
      </c>
      <c r="Y577" s="2">
        <v>24.93</v>
      </c>
      <c r="Z577" s="5" t="s">
        <v>54</v>
      </c>
    </row>
    <row r="578" spans="1:26" x14ac:dyDescent="0.25">
      <c r="A578">
        <v>2016956443</v>
      </c>
      <c r="B578" t="s">
        <v>715</v>
      </c>
      <c r="C578" t="s">
        <v>98</v>
      </c>
      <c r="D578" s="5" t="str">
        <f t="shared" si="26"/>
        <v>SONG MICHAEL</v>
      </c>
      <c r="E578" t="s">
        <v>52</v>
      </c>
      <c r="F578" t="s">
        <v>53</v>
      </c>
      <c r="G578" t="s">
        <v>54</v>
      </c>
      <c r="H578">
        <v>20436896</v>
      </c>
      <c r="I578" t="s">
        <v>55</v>
      </c>
      <c r="J578" t="s">
        <v>566</v>
      </c>
      <c r="K578" t="str">
        <f t="shared" si="27"/>
        <v>KATELENN CALTAGIRONE</v>
      </c>
      <c r="L578" t="s">
        <v>57</v>
      </c>
      <c r="M578" s="1">
        <v>44958</v>
      </c>
      <c r="N578" s="1">
        <v>45992</v>
      </c>
      <c r="O578" s="2">
        <v>67.31</v>
      </c>
      <c r="P578">
        <f t="shared" ref="P578:P641" si="28">DATEDIF(M578,N578,"M")</f>
        <v>34</v>
      </c>
      <c r="Q578" t="s">
        <v>264</v>
      </c>
      <c r="R578" t="s">
        <v>1086</v>
      </c>
      <c r="S578" t="s">
        <v>58</v>
      </c>
      <c r="T578" s="3">
        <v>0.15</v>
      </c>
      <c r="U578" t="s">
        <v>264</v>
      </c>
      <c r="V578" t="s">
        <v>61</v>
      </c>
      <c r="W578" s="2">
        <v>0</v>
      </c>
      <c r="X578" s="2">
        <v>10.1</v>
      </c>
      <c r="Y578" s="2">
        <v>10.1</v>
      </c>
      <c r="Z578" s="5" t="s">
        <v>54</v>
      </c>
    </row>
    <row r="579" spans="1:26" x14ac:dyDescent="0.25">
      <c r="A579">
        <v>2017333574</v>
      </c>
      <c r="B579" t="s">
        <v>569</v>
      </c>
      <c r="C579" t="s">
        <v>570</v>
      </c>
      <c r="D579" s="5" t="str">
        <f t="shared" ref="D579:D642" si="29">CONCATENATE(B579, " ",C579)</f>
        <v>GAINES BRIDGETT</v>
      </c>
      <c r="E579" t="s">
        <v>261</v>
      </c>
      <c r="F579" t="s">
        <v>53</v>
      </c>
      <c r="G579" t="s">
        <v>54</v>
      </c>
      <c r="H579">
        <v>20436896</v>
      </c>
      <c r="I579" t="s">
        <v>55</v>
      </c>
      <c r="J579" t="s">
        <v>566</v>
      </c>
      <c r="K579" t="str">
        <f t="shared" si="27"/>
        <v>KATELENN CALTAGIRONE</v>
      </c>
      <c r="L579" t="s">
        <v>57</v>
      </c>
      <c r="M579" s="1">
        <v>44958</v>
      </c>
      <c r="N579" s="1">
        <v>45992</v>
      </c>
      <c r="O579" s="2">
        <v>96.96</v>
      </c>
      <c r="P579">
        <f t="shared" si="28"/>
        <v>34</v>
      </c>
      <c r="Q579" t="s">
        <v>264</v>
      </c>
      <c r="R579" t="s">
        <v>1086</v>
      </c>
      <c r="S579" t="s">
        <v>58</v>
      </c>
      <c r="T579" s="3">
        <v>0.15</v>
      </c>
      <c r="U579" t="s">
        <v>264</v>
      </c>
      <c r="V579" t="s">
        <v>61</v>
      </c>
      <c r="W579" s="2">
        <v>0</v>
      </c>
      <c r="X579" s="2">
        <v>14.54</v>
      </c>
      <c r="Y579" s="2">
        <v>14.54</v>
      </c>
      <c r="Z579" s="5" t="s">
        <v>54</v>
      </c>
    </row>
    <row r="580" spans="1:26" x14ac:dyDescent="0.25">
      <c r="A580">
        <v>2017416710</v>
      </c>
      <c r="B580" t="s">
        <v>722</v>
      </c>
      <c r="C580" t="s">
        <v>723</v>
      </c>
      <c r="D580" s="5" t="str">
        <f t="shared" si="29"/>
        <v>BISCHOFFER CHESTER</v>
      </c>
      <c r="E580" t="s">
        <v>261</v>
      </c>
      <c r="F580" t="s">
        <v>53</v>
      </c>
      <c r="G580" t="s">
        <v>54</v>
      </c>
      <c r="H580">
        <v>20436896</v>
      </c>
      <c r="I580" t="s">
        <v>55</v>
      </c>
      <c r="J580" t="s">
        <v>566</v>
      </c>
      <c r="K580" t="str">
        <f t="shared" si="27"/>
        <v>KATELENN CALTAGIRONE</v>
      </c>
      <c r="L580" t="s">
        <v>57</v>
      </c>
      <c r="M580" s="1">
        <v>44958</v>
      </c>
      <c r="N580" s="1">
        <v>45992</v>
      </c>
      <c r="O580" s="2">
        <v>86.35</v>
      </c>
      <c r="P580">
        <f t="shared" si="28"/>
        <v>34</v>
      </c>
      <c r="Q580" t="s">
        <v>264</v>
      </c>
      <c r="R580" t="s">
        <v>1086</v>
      </c>
      <c r="S580" t="s">
        <v>58</v>
      </c>
      <c r="T580" s="3">
        <v>0.15</v>
      </c>
      <c r="U580" t="s">
        <v>264</v>
      </c>
      <c r="V580" t="s">
        <v>61</v>
      </c>
      <c r="W580" s="2">
        <v>0</v>
      </c>
      <c r="X580" s="2">
        <v>12.95</v>
      </c>
      <c r="Y580" s="2">
        <v>12.95</v>
      </c>
      <c r="Z580" s="5" t="s">
        <v>54</v>
      </c>
    </row>
    <row r="581" spans="1:26" x14ac:dyDescent="0.25">
      <c r="A581">
        <v>2017420303</v>
      </c>
      <c r="B581" t="s">
        <v>724</v>
      </c>
      <c r="C581" t="s">
        <v>537</v>
      </c>
      <c r="D581" s="5" t="str">
        <f t="shared" si="29"/>
        <v>FULLER SUSAN</v>
      </c>
      <c r="E581" t="s">
        <v>52</v>
      </c>
      <c r="F581" t="s">
        <v>53</v>
      </c>
      <c r="G581" t="s">
        <v>54</v>
      </c>
      <c r="H581">
        <v>20436896</v>
      </c>
      <c r="I581" t="s">
        <v>55</v>
      </c>
      <c r="J581" t="s">
        <v>566</v>
      </c>
      <c r="K581" t="str">
        <f t="shared" si="27"/>
        <v>KATELENN CALTAGIRONE</v>
      </c>
      <c r="L581" t="s">
        <v>57</v>
      </c>
      <c r="M581" s="1">
        <v>44958</v>
      </c>
      <c r="N581" s="1">
        <v>45992</v>
      </c>
      <c r="O581" s="2">
        <v>37.880000000000003</v>
      </c>
      <c r="P581">
        <f t="shared" si="28"/>
        <v>34</v>
      </c>
      <c r="Q581" t="s">
        <v>264</v>
      </c>
      <c r="R581" t="s">
        <v>1086</v>
      </c>
      <c r="S581" t="s">
        <v>58</v>
      </c>
      <c r="T581" s="3">
        <v>0.15</v>
      </c>
      <c r="U581" t="s">
        <v>264</v>
      </c>
      <c r="V581" t="s">
        <v>61</v>
      </c>
      <c r="W581" s="2">
        <v>0</v>
      </c>
      <c r="X581" s="2">
        <v>5.68</v>
      </c>
      <c r="Y581" s="2">
        <v>5.68</v>
      </c>
      <c r="Z581" s="5" t="s">
        <v>54</v>
      </c>
    </row>
    <row r="582" spans="1:26" x14ac:dyDescent="0.25">
      <c r="A582">
        <v>2017521114</v>
      </c>
      <c r="B582" t="s">
        <v>725</v>
      </c>
      <c r="C582" t="s">
        <v>726</v>
      </c>
      <c r="D582" s="5" t="str">
        <f t="shared" si="29"/>
        <v>BLADES CHERYL</v>
      </c>
      <c r="E582" t="s">
        <v>182</v>
      </c>
      <c r="F582" t="s">
        <v>53</v>
      </c>
      <c r="G582" t="s">
        <v>54</v>
      </c>
      <c r="H582">
        <v>20436896</v>
      </c>
      <c r="I582" t="s">
        <v>55</v>
      </c>
      <c r="J582" t="s">
        <v>566</v>
      </c>
      <c r="K582" t="str">
        <f t="shared" si="27"/>
        <v>KATELENN CALTAGIRONE</v>
      </c>
      <c r="L582" t="s">
        <v>57</v>
      </c>
      <c r="M582" s="1">
        <v>44958</v>
      </c>
      <c r="N582" s="1">
        <v>45992</v>
      </c>
      <c r="O582" s="2">
        <v>35.04</v>
      </c>
      <c r="P582">
        <f t="shared" si="28"/>
        <v>34</v>
      </c>
      <c r="Q582" t="s">
        <v>264</v>
      </c>
      <c r="R582" t="s">
        <v>1086</v>
      </c>
      <c r="S582" t="s">
        <v>58</v>
      </c>
      <c r="T582" s="3">
        <v>0.15</v>
      </c>
      <c r="U582" t="s">
        <v>264</v>
      </c>
      <c r="V582" t="s">
        <v>61</v>
      </c>
      <c r="W582" s="2">
        <v>0</v>
      </c>
      <c r="X582" s="2">
        <v>5.26</v>
      </c>
      <c r="Y582" s="2">
        <v>5.26</v>
      </c>
      <c r="Z582" s="5" t="s">
        <v>54</v>
      </c>
    </row>
    <row r="583" spans="1:26" x14ac:dyDescent="0.25">
      <c r="A583">
        <v>2016502598</v>
      </c>
      <c r="B583" t="s">
        <v>714</v>
      </c>
      <c r="C583" t="s">
        <v>577</v>
      </c>
      <c r="D583" s="5" t="str">
        <f t="shared" si="29"/>
        <v>WEAVER RICHARD</v>
      </c>
      <c r="E583" t="s">
        <v>52</v>
      </c>
      <c r="F583" t="s">
        <v>53</v>
      </c>
      <c r="G583" t="s">
        <v>54</v>
      </c>
      <c r="H583">
        <v>20436896</v>
      </c>
      <c r="I583" t="s">
        <v>55</v>
      </c>
      <c r="J583" t="s">
        <v>566</v>
      </c>
      <c r="K583" t="str">
        <f t="shared" si="27"/>
        <v>KATELENN CALTAGIRONE</v>
      </c>
      <c r="L583" t="s">
        <v>57</v>
      </c>
      <c r="M583" s="1">
        <v>44866</v>
      </c>
      <c r="N583" s="1">
        <v>45992</v>
      </c>
      <c r="O583" s="2">
        <v>54.43</v>
      </c>
      <c r="P583">
        <f t="shared" si="28"/>
        <v>37</v>
      </c>
      <c r="Q583" t="s">
        <v>264</v>
      </c>
      <c r="R583" t="s">
        <v>1086</v>
      </c>
      <c r="S583" t="s">
        <v>58</v>
      </c>
      <c r="T583" s="3">
        <v>0.15</v>
      </c>
      <c r="U583" t="s">
        <v>264</v>
      </c>
      <c r="V583" t="s">
        <v>61</v>
      </c>
      <c r="W583" s="2">
        <v>0</v>
      </c>
      <c r="X583" s="2">
        <v>8.16</v>
      </c>
      <c r="Y583" s="2">
        <v>8.16</v>
      </c>
      <c r="Z583" s="5" t="s">
        <v>54</v>
      </c>
    </row>
    <row r="584" spans="1:26" x14ac:dyDescent="0.25">
      <c r="A584">
        <v>2016611650</v>
      </c>
      <c r="B584" t="s">
        <v>564</v>
      </c>
      <c r="C584" t="s">
        <v>565</v>
      </c>
      <c r="D584" s="5" t="str">
        <f t="shared" si="29"/>
        <v>MEHAFFEY LANCE</v>
      </c>
      <c r="E584" t="s">
        <v>69</v>
      </c>
      <c r="F584" t="s">
        <v>53</v>
      </c>
      <c r="G584" t="s">
        <v>54</v>
      </c>
      <c r="H584">
        <v>20436896</v>
      </c>
      <c r="I584" t="s">
        <v>55</v>
      </c>
      <c r="J584" t="s">
        <v>566</v>
      </c>
      <c r="K584" t="str">
        <f t="shared" si="27"/>
        <v>KATELENN CALTAGIRONE</v>
      </c>
      <c r="L584" t="s">
        <v>57</v>
      </c>
      <c r="M584" s="1">
        <v>44866</v>
      </c>
      <c r="N584" s="1">
        <v>45992</v>
      </c>
      <c r="O584" s="2">
        <v>66.42</v>
      </c>
      <c r="P584">
        <f t="shared" si="28"/>
        <v>37</v>
      </c>
      <c r="Q584" t="s">
        <v>264</v>
      </c>
      <c r="R584" t="s">
        <v>1086</v>
      </c>
      <c r="S584" t="s">
        <v>58</v>
      </c>
      <c r="T584" s="3">
        <v>0.15</v>
      </c>
      <c r="U584" t="s">
        <v>264</v>
      </c>
      <c r="V584" t="s">
        <v>61</v>
      </c>
      <c r="W584" s="2">
        <v>0</v>
      </c>
      <c r="X584" s="2">
        <v>9.9600000000000009</v>
      </c>
      <c r="Y584" s="2">
        <v>9.9600000000000009</v>
      </c>
      <c r="Z584" s="5" t="s">
        <v>54</v>
      </c>
    </row>
    <row r="585" spans="1:26" x14ac:dyDescent="0.25">
      <c r="A585" s="5">
        <v>2031249950</v>
      </c>
      <c r="B585" s="5" t="s">
        <v>250</v>
      </c>
      <c r="C585" s="5" t="s">
        <v>98</v>
      </c>
      <c r="D585" s="5" t="str">
        <f t="shared" si="29"/>
        <v>ITURBE MICHAEL</v>
      </c>
      <c r="E585" s="5" t="s">
        <v>69</v>
      </c>
      <c r="F585" s="5" t="s">
        <v>378</v>
      </c>
      <c r="G585" s="5" t="s">
        <v>379</v>
      </c>
      <c r="H585" s="5">
        <v>20212926</v>
      </c>
      <c r="I585" s="5" t="s">
        <v>251</v>
      </c>
      <c r="J585" s="5" t="s">
        <v>252</v>
      </c>
      <c r="K585" s="5" t="str">
        <f t="shared" ref="K585:K616" si="30">CONCATENATE(J585, " ",I585)</f>
        <v>JOSE TORRES</v>
      </c>
      <c r="L585" s="5" t="s">
        <v>57</v>
      </c>
      <c r="M585" s="6">
        <v>45925</v>
      </c>
      <c r="N585" s="6">
        <v>45986</v>
      </c>
      <c r="O585" s="7">
        <v>53.87</v>
      </c>
      <c r="P585" s="5">
        <f t="shared" si="28"/>
        <v>2</v>
      </c>
      <c r="Q585" s="5" t="s">
        <v>264</v>
      </c>
      <c r="R585" s="5" t="s">
        <v>1085</v>
      </c>
      <c r="S585" s="5" t="s">
        <v>58</v>
      </c>
      <c r="T585" s="9">
        <v>0.375</v>
      </c>
      <c r="U585" s="5" t="s">
        <v>60</v>
      </c>
      <c r="V585" s="5" t="s">
        <v>61</v>
      </c>
      <c r="W585" s="7">
        <v>20.2</v>
      </c>
      <c r="X585" s="7">
        <v>0</v>
      </c>
      <c r="Y585" s="7">
        <v>20.2</v>
      </c>
      <c r="Z585" s="5" t="s">
        <v>379</v>
      </c>
    </row>
    <row r="586" spans="1:26" x14ac:dyDescent="0.25">
      <c r="A586" s="5">
        <v>2031255007</v>
      </c>
      <c r="B586" s="5" t="s">
        <v>253</v>
      </c>
      <c r="C586" s="5" t="s">
        <v>254</v>
      </c>
      <c r="D586" s="5" t="str">
        <f t="shared" si="29"/>
        <v>SALMETE ACE</v>
      </c>
      <c r="E586" s="5" t="s">
        <v>69</v>
      </c>
      <c r="F586" s="5" t="s">
        <v>378</v>
      </c>
      <c r="G586" s="5" t="s">
        <v>379</v>
      </c>
      <c r="H586" s="5">
        <v>19200754</v>
      </c>
      <c r="I586" s="5" t="s">
        <v>228</v>
      </c>
      <c r="J586" s="5" t="s">
        <v>229</v>
      </c>
      <c r="K586" s="5" t="str">
        <f t="shared" si="30"/>
        <v>RICARDO SANTOS</v>
      </c>
      <c r="L586" s="5" t="s">
        <v>57</v>
      </c>
      <c r="M586" s="6">
        <v>45925</v>
      </c>
      <c r="N586" s="6">
        <v>45986</v>
      </c>
      <c r="O586" s="7">
        <v>257.49</v>
      </c>
      <c r="P586" s="5">
        <f t="shared" si="28"/>
        <v>2</v>
      </c>
      <c r="Q586" s="5" t="s">
        <v>264</v>
      </c>
      <c r="R586" s="5" t="s">
        <v>1085</v>
      </c>
      <c r="S586" s="5" t="s">
        <v>58</v>
      </c>
      <c r="T586" s="9">
        <v>0.375</v>
      </c>
      <c r="U586" s="5" t="s">
        <v>60</v>
      </c>
      <c r="V586" s="5" t="s">
        <v>61</v>
      </c>
      <c r="W586" s="7">
        <v>96.56</v>
      </c>
      <c r="X586" s="7">
        <v>0</v>
      </c>
      <c r="Y586" s="7">
        <v>96.56</v>
      </c>
      <c r="Z586" s="5" t="s">
        <v>379</v>
      </c>
    </row>
    <row r="587" spans="1:26" x14ac:dyDescent="0.25">
      <c r="A587" s="5">
        <v>2031190207</v>
      </c>
      <c r="B587" s="5" t="s">
        <v>245</v>
      </c>
      <c r="C587" s="5" t="s">
        <v>246</v>
      </c>
      <c r="D587" s="5" t="str">
        <f t="shared" si="29"/>
        <v>SEMPRINI JANICE</v>
      </c>
      <c r="E587" s="5" t="s">
        <v>247</v>
      </c>
      <c r="F587" s="5" t="s">
        <v>378</v>
      </c>
      <c r="G587" s="5" t="s">
        <v>379</v>
      </c>
      <c r="H587" s="5">
        <v>16633294</v>
      </c>
      <c r="I587" s="5" t="s">
        <v>70</v>
      </c>
      <c r="J587" s="5" t="s">
        <v>183</v>
      </c>
      <c r="K587" s="5" t="str">
        <f t="shared" si="30"/>
        <v>Richard Yale</v>
      </c>
      <c r="L587" s="5" t="s">
        <v>57</v>
      </c>
      <c r="M587" s="6">
        <v>45925</v>
      </c>
      <c r="N587" s="6">
        <v>45986</v>
      </c>
      <c r="O587" s="7">
        <v>63.74</v>
      </c>
      <c r="P587" s="5">
        <f t="shared" si="28"/>
        <v>2</v>
      </c>
      <c r="Q587" s="5" t="s">
        <v>264</v>
      </c>
      <c r="R587" s="5" t="s">
        <v>1085</v>
      </c>
      <c r="S587" s="5" t="s">
        <v>58</v>
      </c>
      <c r="T587" s="9">
        <v>0.375</v>
      </c>
      <c r="U587" s="5" t="s">
        <v>60</v>
      </c>
      <c r="V587" s="5" t="s">
        <v>61</v>
      </c>
      <c r="W587" s="7">
        <v>23.9</v>
      </c>
      <c r="X587" s="7">
        <v>0</v>
      </c>
      <c r="Y587" s="7">
        <v>23.9</v>
      </c>
      <c r="Z587" s="5" t="s">
        <v>379</v>
      </c>
    </row>
    <row r="588" spans="1:26" x14ac:dyDescent="0.25">
      <c r="A588" s="5">
        <v>2030823303</v>
      </c>
      <c r="B588" s="5" t="s">
        <v>235</v>
      </c>
      <c r="C588" s="5" t="s">
        <v>236</v>
      </c>
      <c r="D588" s="5" t="str">
        <f t="shared" si="29"/>
        <v>FRIEDMANN HEATHER</v>
      </c>
      <c r="E588" s="5" t="s">
        <v>52</v>
      </c>
      <c r="F588" s="5" t="s">
        <v>378</v>
      </c>
      <c r="G588" s="5" t="s">
        <v>379</v>
      </c>
      <c r="H588" s="5">
        <v>371819</v>
      </c>
      <c r="I588" s="5" t="s">
        <v>237</v>
      </c>
      <c r="J588" s="5" t="s">
        <v>103</v>
      </c>
      <c r="K588" s="5" t="str">
        <f t="shared" si="30"/>
        <v>THOMAS PARDUE</v>
      </c>
      <c r="L588" s="5" t="s">
        <v>57</v>
      </c>
      <c r="M588" s="6">
        <v>45927</v>
      </c>
      <c r="N588" s="6">
        <v>45988</v>
      </c>
      <c r="O588" s="7">
        <v>65.2</v>
      </c>
      <c r="P588" s="5">
        <f t="shared" si="28"/>
        <v>2</v>
      </c>
      <c r="Q588" s="5" t="s">
        <v>264</v>
      </c>
      <c r="R588" s="5" t="s">
        <v>1085</v>
      </c>
      <c r="S588" s="5" t="s">
        <v>58</v>
      </c>
      <c r="T588" s="9">
        <v>0.375</v>
      </c>
      <c r="U588" s="5" t="s">
        <v>60</v>
      </c>
      <c r="V588" s="5" t="s">
        <v>61</v>
      </c>
      <c r="W588" s="7">
        <v>24.45</v>
      </c>
      <c r="X588" s="7">
        <v>0</v>
      </c>
      <c r="Y588" s="7">
        <v>24.45</v>
      </c>
      <c r="Z588" s="5" t="s">
        <v>379</v>
      </c>
    </row>
    <row r="589" spans="1:26" x14ac:dyDescent="0.25">
      <c r="A589" s="5">
        <v>2030372673</v>
      </c>
      <c r="B589" s="5" t="s">
        <v>72</v>
      </c>
      <c r="C589" s="5" t="s">
        <v>73</v>
      </c>
      <c r="D589" s="5" t="str">
        <f t="shared" si="29"/>
        <v>VALERIE CORBEIL</v>
      </c>
      <c r="E589" s="5" t="s">
        <v>69</v>
      </c>
      <c r="F589" s="5" t="s">
        <v>378</v>
      </c>
      <c r="G589" s="5" t="s">
        <v>379</v>
      </c>
      <c r="H589" s="5">
        <v>7470776</v>
      </c>
      <c r="I589" s="5" t="s">
        <v>74</v>
      </c>
      <c r="J589" s="5" t="s">
        <v>75</v>
      </c>
      <c r="K589" s="5" t="str">
        <f t="shared" si="30"/>
        <v>Andrew Choi</v>
      </c>
      <c r="L589" s="5" t="s">
        <v>57</v>
      </c>
      <c r="M589" s="6">
        <v>45901</v>
      </c>
      <c r="N589" s="6">
        <v>45992</v>
      </c>
      <c r="O589" s="7">
        <v>61.64</v>
      </c>
      <c r="P589" s="5">
        <f t="shared" si="28"/>
        <v>3</v>
      </c>
      <c r="Q589" s="5" t="s">
        <v>264</v>
      </c>
      <c r="R589" s="5" t="s">
        <v>1085</v>
      </c>
      <c r="S589" s="5" t="s">
        <v>58</v>
      </c>
      <c r="T589" s="9">
        <v>0.375</v>
      </c>
      <c r="U589" s="5" t="s">
        <v>60</v>
      </c>
      <c r="V589" s="5" t="s">
        <v>61</v>
      </c>
      <c r="W589" s="7">
        <v>23.12</v>
      </c>
      <c r="X589" s="7">
        <v>0</v>
      </c>
      <c r="Y589" s="7">
        <v>23.12</v>
      </c>
      <c r="Z589" s="5" t="s">
        <v>379</v>
      </c>
    </row>
    <row r="590" spans="1:26" x14ac:dyDescent="0.25">
      <c r="A590" s="5">
        <v>2030670299</v>
      </c>
      <c r="B590" s="5" t="s">
        <v>171</v>
      </c>
      <c r="C590" s="5" t="s">
        <v>172</v>
      </c>
      <c r="D590" s="5" t="str">
        <f t="shared" si="29"/>
        <v>LOUIS DELLIS</v>
      </c>
      <c r="E590" s="5" t="s">
        <v>52</v>
      </c>
      <c r="F590" s="5" t="s">
        <v>378</v>
      </c>
      <c r="G590" s="5" t="s">
        <v>379</v>
      </c>
      <c r="H590" s="5">
        <v>8814784</v>
      </c>
      <c r="I590" s="5" t="s">
        <v>147</v>
      </c>
      <c r="J590" s="5" t="s">
        <v>148</v>
      </c>
      <c r="K590" s="5" t="str">
        <f t="shared" si="30"/>
        <v>FRANK LISKOVEC</v>
      </c>
      <c r="L590" s="5" t="s">
        <v>57</v>
      </c>
      <c r="M590" s="6">
        <v>45901</v>
      </c>
      <c r="N590" s="6">
        <v>45992</v>
      </c>
      <c r="O590" s="7">
        <v>36.119999999999997</v>
      </c>
      <c r="P590" s="5">
        <f t="shared" si="28"/>
        <v>3</v>
      </c>
      <c r="Q590" s="5" t="s">
        <v>264</v>
      </c>
      <c r="R590" s="5" t="s">
        <v>1085</v>
      </c>
      <c r="S590" s="5" t="s">
        <v>58</v>
      </c>
      <c r="T590" s="9">
        <v>0.375</v>
      </c>
      <c r="U590" s="5" t="s">
        <v>60</v>
      </c>
      <c r="V590" s="5" t="s">
        <v>61</v>
      </c>
      <c r="W590" s="7">
        <v>13.54</v>
      </c>
      <c r="X590" s="7">
        <v>0</v>
      </c>
      <c r="Y590" s="7">
        <v>13.54</v>
      </c>
      <c r="Z590" s="5" t="s">
        <v>379</v>
      </c>
    </row>
    <row r="591" spans="1:26" x14ac:dyDescent="0.25">
      <c r="A591" s="5">
        <v>2030453867</v>
      </c>
      <c r="B591" s="5" t="s">
        <v>90</v>
      </c>
      <c r="C591" s="5" t="s">
        <v>91</v>
      </c>
      <c r="D591" s="5" t="str">
        <f t="shared" si="29"/>
        <v>DEANNA NEIGHBORS</v>
      </c>
      <c r="E591" s="5" t="s">
        <v>92</v>
      </c>
      <c r="F591" s="5" t="s">
        <v>378</v>
      </c>
      <c r="G591" s="5" t="s">
        <v>379</v>
      </c>
      <c r="H591" s="5">
        <v>16865615</v>
      </c>
      <c r="I591" s="5" t="s">
        <v>93</v>
      </c>
      <c r="J591" s="5" t="s">
        <v>94</v>
      </c>
      <c r="K591" s="5" t="str">
        <f t="shared" si="30"/>
        <v>Heather Geske</v>
      </c>
      <c r="L591" s="5" t="s">
        <v>57</v>
      </c>
      <c r="M591" s="6">
        <v>45901</v>
      </c>
      <c r="N591" s="6">
        <v>45992</v>
      </c>
      <c r="O591" s="7">
        <v>63.62</v>
      </c>
      <c r="P591" s="5">
        <f t="shared" si="28"/>
        <v>3</v>
      </c>
      <c r="Q591" s="5" t="s">
        <v>264</v>
      </c>
      <c r="R591" s="5" t="s">
        <v>1085</v>
      </c>
      <c r="S591" s="5" t="s">
        <v>58</v>
      </c>
      <c r="T591" s="9">
        <v>0.375</v>
      </c>
      <c r="U591" s="5" t="s">
        <v>60</v>
      </c>
      <c r="V591" s="5" t="s">
        <v>61</v>
      </c>
      <c r="W591" s="7">
        <v>23.86</v>
      </c>
      <c r="X591" s="7">
        <v>0</v>
      </c>
      <c r="Y591" s="7">
        <v>23.86</v>
      </c>
      <c r="Z591" s="5" t="s">
        <v>379</v>
      </c>
    </row>
    <row r="592" spans="1:26" x14ac:dyDescent="0.25">
      <c r="A592" s="5">
        <v>2030779467</v>
      </c>
      <c r="B592" s="5" t="s">
        <v>220</v>
      </c>
      <c r="C592" s="5" t="s">
        <v>221</v>
      </c>
      <c r="D592" s="5" t="str">
        <f t="shared" si="29"/>
        <v>JEAN AYALA</v>
      </c>
      <c r="E592" s="5" t="s">
        <v>92</v>
      </c>
      <c r="F592" s="5" t="s">
        <v>378</v>
      </c>
      <c r="G592" s="5" t="s">
        <v>379</v>
      </c>
      <c r="H592" s="5">
        <v>16865615</v>
      </c>
      <c r="I592" s="5" t="s">
        <v>93</v>
      </c>
      <c r="J592" s="5" t="s">
        <v>94</v>
      </c>
      <c r="K592" s="5" t="str">
        <f t="shared" si="30"/>
        <v>Heather Geske</v>
      </c>
      <c r="L592" s="5" t="s">
        <v>57</v>
      </c>
      <c r="M592" s="6">
        <v>45901</v>
      </c>
      <c r="N592" s="6">
        <v>45992</v>
      </c>
      <c r="O592" s="7">
        <v>54.57</v>
      </c>
      <c r="P592" s="5">
        <f t="shared" si="28"/>
        <v>3</v>
      </c>
      <c r="Q592" s="5" t="s">
        <v>264</v>
      </c>
      <c r="R592" s="5" t="s">
        <v>1085</v>
      </c>
      <c r="S592" s="5" t="s">
        <v>58</v>
      </c>
      <c r="T592" s="9">
        <v>0.375</v>
      </c>
      <c r="U592" s="5" t="s">
        <v>60</v>
      </c>
      <c r="V592" s="5" t="s">
        <v>61</v>
      </c>
      <c r="W592" s="7">
        <v>20.46</v>
      </c>
      <c r="X592" s="7">
        <v>0</v>
      </c>
      <c r="Y592" s="7">
        <v>20.46</v>
      </c>
      <c r="Z592" s="5" t="s">
        <v>379</v>
      </c>
    </row>
    <row r="593" spans="1:26" x14ac:dyDescent="0.25">
      <c r="A593" s="5">
        <v>2030720374</v>
      </c>
      <c r="B593" s="5" t="s">
        <v>202</v>
      </c>
      <c r="C593" s="5" t="s">
        <v>203</v>
      </c>
      <c r="D593" s="5" t="str">
        <f t="shared" si="29"/>
        <v>LAURA RIEDEL</v>
      </c>
      <c r="E593" s="5" t="s">
        <v>92</v>
      </c>
      <c r="F593" s="5" t="s">
        <v>378</v>
      </c>
      <c r="G593" s="5" t="s">
        <v>379</v>
      </c>
      <c r="H593" s="5">
        <v>16865615</v>
      </c>
      <c r="I593" s="5" t="s">
        <v>93</v>
      </c>
      <c r="J593" s="5" t="s">
        <v>94</v>
      </c>
      <c r="K593" s="5" t="str">
        <f t="shared" si="30"/>
        <v>Heather Geske</v>
      </c>
      <c r="L593" s="5" t="s">
        <v>57</v>
      </c>
      <c r="M593" s="6">
        <v>45901</v>
      </c>
      <c r="N593" s="6">
        <v>45992</v>
      </c>
      <c r="O593" s="7">
        <v>54.2</v>
      </c>
      <c r="P593" s="5">
        <f t="shared" si="28"/>
        <v>3</v>
      </c>
      <c r="Q593" s="5" t="s">
        <v>264</v>
      </c>
      <c r="R593" s="5" t="s">
        <v>1085</v>
      </c>
      <c r="S593" s="5" t="s">
        <v>58</v>
      </c>
      <c r="T593" s="9">
        <v>0.375</v>
      </c>
      <c r="U593" s="5" t="s">
        <v>60</v>
      </c>
      <c r="V593" s="5" t="s">
        <v>61</v>
      </c>
      <c r="W593" s="7">
        <v>20.32</v>
      </c>
      <c r="X593" s="7">
        <v>0</v>
      </c>
      <c r="Y593" s="7">
        <v>20.32</v>
      </c>
      <c r="Z593" s="5" t="s">
        <v>379</v>
      </c>
    </row>
    <row r="594" spans="1:26" x14ac:dyDescent="0.25">
      <c r="A594" s="5">
        <v>2030686024</v>
      </c>
      <c r="B594" s="5" t="s">
        <v>184</v>
      </c>
      <c r="C594" s="5" t="s">
        <v>185</v>
      </c>
      <c r="D594" s="5" t="str">
        <f t="shared" si="29"/>
        <v>JONAH LINDBLAD</v>
      </c>
      <c r="E594" s="5" t="s">
        <v>92</v>
      </c>
      <c r="F594" s="5" t="s">
        <v>378</v>
      </c>
      <c r="G594" s="5" t="s">
        <v>379</v>
      </c>
      <c r="H594" s="5">
        <v>16865615</v>
      </c>
      <c r="I594" s="5" t="s">
        <v>93</v>
      </c>
      <c r="J594" s="5" t="s">
        <v>94</v>
      </c>
      <c r="K594" s="5" t="str">
        <f t="shared" si="30"/>
        <v>Heather Geske</v>
      </c>
      <c r="L594" s="5" t="s">
        <v>57</v>
      </c>
      <c r="M594" s="6">
        <v>45901</v>
      </c>
      <c r="N594" s="6">
        <v>45992</v>
      </c>
      <c r="O594" s="7">
        <v>39.590000000000003</v>
      </c>
      <c r="P594" s="5">
        <f t="shared" si="28"/>
        <v>3</v>
      </c>
      <c r="Q594" s="5" t="s">
        <v>264</v>
      </c>
      <c r="R594" s="5" t="s">
        <v>1085</v>
      </c>
      <c r="S594" s="5" t="s">
        <v>58</v>
      </c>
      <c r="T594" s="9">
        <v>0.375</v>
      </c>
      <c r="U594" s="5" t="s">
        <v>60</v>
      </c>
      <c r="V594" s="5" t="s">
        <v>61</v>
      </c>
      <c r="W594" s="7">
        <v>14.85</v>
      </c>
      <c r="X594" s="7">
        <v>0</v>
      </c>
      <c r="Y594" s="7">
        <v>14.85</v>
      </c>
      <c r="Z594" s="5" t="s">
        <v>379</v>
      </c>
    </row>
    <row r="595" spans="1:26" x14ac:dyDescent="0.25">
      <c r="A595" s="5">
        <v>2030788954</v>
      </c>
      <c r="B595" s="5" t="s">
        <v>224</v>
      </c>
      <c r="C595" s="5" t="s">
        <v>225</v>
      </c>
      <c r="D595" s="5" t="str">
        <f t="shared" si="29"/>
        <v>ANDREW HILDEBRAND</v>
      </c>
      <c r="E595" s="5" t="s">
        <v>92</v>
      </c>
      <c r="F595" s="5" t="s">
        <v>378</v>
      </c>
      <c r="G595" s="5" t="s">
        <v>379</v>
      </c>
      <c r="H595" s="5">
        <v>16865615</v>
      </c>
      <c r="I595" s="5" t="s">
        <v>93</v>
      </c>
      <c r="J595" s="5" t="s">
        <v>94</v>
      </c>
      <c r="K595" s="5" t="str">
        <f t="shared" si="30"/>
        <v>Heather Geske</v>
      </c>
      <c r="L595" s="5" t="s">
        <v>57</v>
      </c>
      <c r="M595" s="6">
        <v>45901</v>
      </c>
      <c r="N595" s="6">
        <v>45992</v>
      </c>
      <c r="O595" s="7">
        <v>29.82</v>
      </c>
      <c r="P595" s="5">
        <f t="shared" si="28"/>
        <v>3</v>
      </c>
      <c r="Q595" s="5" t="s">
        <v>264</v>
      </c>
      <c r="R595" s="5" t="s">
        <v>1085</v>
      </c>
      <c r="S595" s="5" t="s">
        <v>58</v>
      </c>
      <c r="T595" s="9">
        <v>0.375</v>
      </c>
      <c r="U595" s="5" t="s">
        <v>60</v>
      </c>
      <c r="V595" s="5" t="s">
        <v>61</v>
      </c>
      <c r="W595" s="7">
        <v>11.18</v>
      </c>
      <c r="X595" s="7">
        <v>0</v>
      </c>
      <c r="Y595" s="7">
        <v>11.18</v>
      </c>
      <c r="Z595" s="5" t="s">
        <v>379</v>
      </c>
    </row>
    <row r="596" spans="1:26" x14ac:dyDescent="0.25">
      <c r="A596" s="5">
        <v>2030790525</v>
      </c>
      <c r="B596" s="5" t="s">
        <v>226</v>
      </c>
      <c r="C596" s="5" t="s">
        <v>227</v>
      </c>
      <c r="D596" s="5" t="str">
        <f t="shared" si="29"/>
        <v>MEGAN MASUD</v>
      </c>
      <c r="E596" s="5" t="s">
        <v>69</v>
      </c>
      <c r="F596" s="5" t="s">
        <v>378</v>
      </c>
      <c r="G596" s="5" t="s">
        <v>379</v>
      </c>
      <c r="H596" s="5">
        <v>19200754</v>
      </c>
      <c r="I596" s="5" t="s">
        <v>228</v>
      </c>
      <c r="J596" s="5" t="s">
        <v>229</v>
      </c>
      <c r="K596" s="5" t="str">
        <f t="shared" si="30"/>
        <v>RICARDO SANTOS</v>
      </c>
      <c r="L596" s="5" t="s">
        <v>57</v>
      </c>
      <c r="M596" s="6">
        <v>45901</v>
      </c>
      <c r="N596" s="6">
        <v>45992</v>
      </c>
      <c r="O596" s="7">
        <v>77.48</v>
      </c>
      <c r="P596" s="5">
        <f t="shared" si="28"/>
        <v>3</v>
      </c>
      <c r="Q596" s="5" t="s">
        <v>264</v>
      </c>
      <c r="R596" s="5" t="s">
        <v>1085</v>
      </c>
      <c r="S596" s="5" t="s">
        <v>58</v>
      </c>
      <c r="T596" s="9">
        <v>0.375</v>
      </c>
      <c r="U596" s="5" t="s">
        <v>60</v>
      </c>
      <c r="V596" s="5" t="s">
        <v>61</v>
      </c>
      <c r="W596" s="7">
        <v>29.06</v>
      </c>
      <c r="X596" s="7">
        <v>0</v>
      </c>
      <c r="Y596" s="7">
        <v>29.06</v>
      </c>
      <c r="Z596" s="5" t="s">
        <v>379</v>
      </c>
    </row>
    <row r="597" spans="1:26" x14ac:dyDescent="0.25">
      <c r="A597" s="5">
        <v>2030784685</v>
      </c>
      <c r="B597" s="5" t="s">
        <v>222</v>
      </c>
      <c r="C597" s="5" t="s">
        <v>223</v>
      </c>
      <c r="D597" s="5" t="str">
        <f t="shared" si="29"/>
        <v>CRAIG WEIS</v>
      </c>
      <c r="E597" s="5" t="s">
        <v>101</v>
      </c>
      <c r="F597" s="5" t="s">
        <v>378</v>
      </c>
      <c r="G597" s="5" t="s">
        <v>379</v>
      </c>
      <c r="H597" s="5">
        <v>16633294</v>
      </c>
      <c r="I597" s="5" t="s">
        <v>70</v>
      </c>
      <c r="J597" s="5" t="s">
        <v>183</v>
      </c>
      <c r="K597" s="5" t="str">
        <f t="shared" si="30"/>
        <v>Richard Yale</v>
      </c>
      <c r="L597" s="5" t="s">
        <v>57</v>
      </c>
      <c r="M597" s="6">
        <v>45901</v>
      </c>
      <c r="N597" s="6">
        <v>45992</v>
      </c>
      <c r="O597" s="7">
        <v>171.32</v>
      </c>
      <c r="P597" s="5">
        <f t="shared" si="28"/>
        <v>3</v>
      </c>
      <c r="Q597" s="5" t="s">
        <v>264</v>
      </c>
      <c r="R597" s="5" t="s">
        <v>1085</v>
      </c>
      <c r="S597" s="5" t="s">
        <v>58</v>
      </c>
      <c r="T597" s="9">
        <v>0.375</v>
      </c>
      <c r="U597" s="5" t="s">
        <v>60</v>
      </c>
      <c r="V597" s="5" t="s">
        <v>61</v>
      </c>
      <c r="W597" s="7">
        <v>64.239999999999995</v>
      </c>
      <c r="X597" s="7">
        <v>0</v>
      </c>
      <c r="Y597" s="7">
        <v>64.239999999999995</v>
      </c>
      <c r="Z597" s="5" t="s">
        <v>379</v>
      </c>
    </row>
    <row r="598" spans="1:26" x14ac:dyDescent="0.25">
      <c r="A598" s="5">
        <v>2030675166</v>
      </c>
      <c r="B598" s="5" t="s">
        <v>180</v>
      </c>
      <c r="C598" s="5" t="s">
        <v>181</v>
      </c>
      <c r="D598" s="5" t="str">
        <f t="shared" si="29"/>
        <v>MELANIE KRAUTER</v>
      </c>
      <c r="E598" s="5" t="s">
        <v>182</v>
      </c>
      <c r="F598" s="5" t="s">
        <v>378</v>
      </c>
      <c r="G598" s="5" t="s">
        <v>379</v>
      </c>
      <c r="H598" s="5">
        <v>16633294</v>
      </c>
      <c r="I598" s="5" t="s">
        <v>70</v>
      </c>
      <c r="J598" s="5" t="s">
        <v>183</v>
      </c>
      <c r="K598" s="5" t="str">
        <f t="shared" si="30"/>
        <v>Richard Yale</v>
      </c>
      <c r="L598" s="5" t="s">
        <v>57</v>
      </c>
      <c r="M598" s="6">
        <v>45901</v>
      </c>
      <c r="N598" s="6">
        <v>45992</v>
      </c>
      <c r="O598" s="7">
        <v>64.16</v>
      </c>
      <c r="P598" s="5">
        <f t="shared" si="28"/>
        <v>3</v>
      </c>
      <c r="Q598" s="5" t="s">
        <v>264</v>
      </c>
      <c r="R598" s="5" t="s">
        <v>1085</v>
      </c>
      <c r="S598" s="5" t="s">
        <v>58</v>
      </c>
      <c r="T598" s="9">
        <v>0.375</v>
      </c>
      <c r="U598" s="5" t="s">
        <v>60</v>
      </c>
      <c r="V598" s="5" t="s">
        <v>61</v>
      </c>
      <c r="W598" s="7">
        <v>24.06</v>
      </c>
      <c r="X598" s="7">
        <v>0</v>
      </c>
      <c r="Y598" s="7">
        <v>24.06</v>
      </c>
      <c r="Z598" s="5" t="s">
        <v>379</v>
      </c>
    </row>
    <row r="599" spans="1:26" x14ac:dyDescent="0.25">
      <c r="A599" s="5">
        <v>2030178516</v>
      </c>
      <c r="B599" s="5" t="s">
        <v>964</v>
      </c>
      <c r="C599" s="5" t="s">
        <v>965</v>
      </c>
      <c r="D599" s="5" t="str">
        <f t="shared" si="29"/>
        <v>SARA RIVERA</v>
      </c>
      <c r="E599" s="5" t="s">
        <v>247</v>
      </c>
      <c r="F599" s="5" t="s">
        <v>378</v>
      </c>
      <c r="G599" s="5" t="s">
        <v>379</v>
      </c>
      <c r="H599" s="5">
        <v>21421111</v>
      </c>
      <c r="I599" s="5" t="s">
        <v>469</v>
      </c>
      <c r="J599" s="5" t="s">
        <v>470</v>
      </c>
      <c r="K599" s="5" t="str">
        <f t="shared" si="30"/>
        <v>Kirk Tigue</v>
      </c>
      <c r="L599" s="5" t="s">
        <v>57</v>
      </c>
      <c r="M599" s="6">
        <v>45867</v>
      </c>
      <c r="N599" s="6">
        <v>45990</v>
      </c>
      <c r="O599" s="7">
        <v>23.34</v>
      </c>
      <c r="P599" s="5">
        <f t="shared" si="28"/>
        <v>4</v>
      </c>
      <c r="Q599" s="5" t="s">
        <v>264</v>
      </c>
      <c r="R599" s="5" t="s">
        <v>1085</v>
      </c>
      <c r="S599" s="5" t="s">
        <v>58</v>
      </c>
      <c r="T599" s="9">
        <v>0.375</v>
      </c>
      <c r="U599" s="5" t="s">
        <v>60</v>
      </c>
      <c r="V599" s="5" t="s">
        <v>61</v>
      </c>
      <c r="W599" s="7">
        <v>8.75</v>
      </c>
      <c r="X599" s="7">
        <v>0</v>
      </c>
      <c r="Y599" s="7">
        <v>8.75</v>
      </c>
      <c r="Z599" s="5" t="s">
        <v>379</v>
      </c>
    </row>
    <row r="600" spans="1:26" x14ac:dyDescent="0.25">
      <c r="A600" s="5">
        <v>2029494258</v>
      </c>
      <c r="B600" s="5" t="s">
        <v>954</v>
      </c>
      <c r="C600" s="5" t="s">
        <v>955</v>
      </c>
      <c r="D600" s="5" t="str">
        <f t="shared" si="29"/>
        <v>HOSMAN CRUZ</v>
      </c>
      <c r="E600" s="5" t="s">
        <v>208</v>
      </c>
      <c r="F600" s="5" t="s">
        <v>378</v>
      </c>
      <c r="G600" s="5" t="s">
        <v>379</v>
      </c>
      <c r="H600" s="5" t="s">
        <v>1082</v>
      </c>
      <c r="I600" s="5" t="s">
        <v>371</v>
      </c>
      <c r="J600" s="5" t="s">
        <v>372</v>
      </c>
      <c r="K600" s="5" t="str">
        <f t="shared" si="30"/>
        <v>VICTOR FUENTES</v>
      </c>
      <c r="L600" s="5" t="s">
        <v>57</v>
      </c>
      <c r="M600" s="6">
        <v>45839</v>
      </c>
      <c r="N600" s="6">
        <v>45962</v>
      </c>
      <c r="O600" s="7">
        <v>72.37</v>
      </c>
      <c r="P600" s="5">
        <f t="shared" si="28"/>
        <v>4</v>
      </c>
      <c r="Q600" s="5" t="s">
        <v>264</v>
      </c>
      <c r="R600" s="5" t="s">
        <v>1085</v>
      </c>
      <c r="S600" s="5" t="s">
        <v>58</v>
      </c>
      <c r="T600" s="9">
        <v>0.375</v>
      </c>
      <c r="U600" s="5" t="s">
        <v>60</v>
      </c>
      <c r="V600" s="5" t="s">
        <v>61</v>
      </c>
      <c r="W600" s="7">
        <v>27.14</v>
      </c>
      <c r="X600" s="7">
        <v>0</v>
      </c>
      <c r="Y600" s="7">
        <v>27.14</v>
      </c>
      <c r="Z600" s="5" t="s">
        <v>379</v>
      </c>
    </row>
    <row r="601" spans="1:26" x14ac:dyDescent="0.25">
      <c r="A601" s="5">
        <v>2029694327</v>
      </c>
      <c r="B601" s="5" t="s">
        <v>959</v>
      </c>
      <c r="C601" s="5" t="s">
        <v>960</v>
      </c>
      <c r="D601" s="5" t="str">
        <f t="shared" si="29"/>
        <v>CHARLIE MORROW</v>
      </c>
      <c r="E601" s="5" t="s">
        <v>293</v>
      </c>
      <c r="F601" s="5" t="s">
        <v>378</v>
      </c>
      <c r="G601" s="5" t="s">
        <v>379</v>
      </c>
      <c r="H601" s="5">
        <v>21421111</v>
      </c>
      <c r="I601" s="5" t="s">
        <v>469</v>
      </c>
      <c r="J601" s="5" t="s">
        <v>470</v>
      </c>
      <c r="K601" s="5" t="str">
        <f t="shared" si="30"/>
        <v>Kirk Tigue</v>
      </c>
      <c r="L601" s="5" t="s">
        <v>57</v>
      </c>
      <c r="M601" s="6">
        <v>45837</v>
      </c>
      <c r="N601" s="6">
        <v>45990</v>
      </c>
      <c r="O601" s="7">
        <v>27.04</v>
      </c>
      <c r="P601" s="5">
        <f t="shared" si="28"/>
        <v>5</v>
      </c>
      <c r="Q601" s="5" t="s">
        <v>264</v>
      </c>
      <c r="R601" s="5" t="s">
        <v>1085</v>
      </c>
      <c r="S601" s="5" t="s">
        <v>58</v>
      </c>
      <c r="T601" s="9">
        <v>0.375</v>
      </c>
      <c r="U601" s="5" t="s">
        <v>60</v>
      </c>
      <c r="V601" s="5" t="s">
        <v>61</v>
      </c>
      <c r="W601" s="7">
        <v>10.14</v>
      </c>
      <c r="X601" s="7">
        <v>0</v>
      </c>
      <c r="Y601" s="7">
        <v>10.14</v>
      </c>
      <c r="Z601" s="5" t="s">
        <v>379</v>
      </c>
    </row>
    <row r="602" spans="1:26" x14ac:dyDescent="0.25">
      <c r="A602" s="5">
        <v>2029624409</v>
      </c>
      <c r="B602" s="5" t="s">
        <v>956</v>
      </c>
      <c r="C602" s="5" t="s">
        <v>485</v>
      </c>
      <c r="D602" s="5" t="str">
        <f t="shared" si="29"/>
        <v>ASHLEY DOUGLAS</v>
      </c>
      <c r="E602" s="5" t="s">
        <v>261</v>
      </c>
      <c r="F602" s="5" t="s">
        <v>378</v>
      </c>
      <c r="G602" s="5" t="s">
        <v>379</v>
      </c>
      <c r="H602" s="5">
        <v>21421111</v>
      </c>
      <c r="I602" s="5" t="s">
        <v>469</v>
      </c>
      <c r="J602" s="5" t="s">
        <v>470</v>
      </c>
      <c r="K602" s="5" t="str">
        <f t="shared" si="30"/>
        <v>Kirk Tigue</v>
      </c>
      <c r="L602" s="5" t="s">
        <v>57</v>
      </c>
      <c r="M602" s="6">
        <v>45838</v>
      </c>
      <c r="N602" s="6">
        <v>45991</v>
      </c>
      <c r="O602" s="7">
        <v>18.62</v>
      </c>
      <c r="P602" s="5">
        <f t="shared" si="28"/>
        <v>5</v>
      </c>
      <c r="Q602" s="5" t="s">
        <v>264</v>
      </c>
      <c r="R602" s="5" t="s">
        <v>1085</v>
      </c>
      <c r="S602" s="5" t="s">
        <v>58</v>
      </c>
      <c r="T602" s="9">
        <v>0.375</v>
      </c>
      <c r="U602" s="5" t="s">
        <v>60</v>
      </c>
      <c r="V602" s="5" t="s">
        <v>61</v>
      </c>
      <c r="W602" s="7">
        <v>6.98</v>
      </c>
      <c r="X602" s="7">
        <v>0</v>
      </c>
      <c r="Y602" s="7">
        <v>6.98</v>
      </c>
      <c r="Z602" s="5" t="s">
        <v>379</v>
      </c>
    </row>
    <row r="603" spans="1:26" x14ac:dyDescent="0.25">
      <c r="A603" s="5">
        <v>2029690054</v>
      </c>
      <c r="B603" s="5" t="s">
        <v>957</v>
      </c>
      <c r="C603" s="5" t="s">
        <v>958</v>
      </c>
      <c r="D603" s="5" t="str">
        <f t="shared" si="29"/>
        <v>BRANDY FARROW</v>
      </c>
      <c r="E603" s="5" t="s">
        <v>195</v>
      </c>
      <c r="F603" s="5" t="s">
        <v>378</v>
      </c>
      <c r="G603" s="5" t="s">
        <v>379</v>
      </c>
      <c r="H603" s="5">
        <v>8971826</v>
      </c>
      <c r="I603" s="5" t="s">
        <v>489</v>
      </c>
      <c r="J603" s="5" t="s">
        <v>490</v>
      </c>
      <c r="K603" s="5" t="str">
        <f t="shared" si="30"/>
        <v>SCOTT AGUGLIA</v>
      </c>
      <c r="L603" s="5" t="s">
        <v>57</v>
      </c>
      <c r="M603" s="6">
        <v>45836</v>
      </c>
      <c r="N603" s="6">
        <v>45989</v>
      </c>
      <c r="O603" s="7">
        <v>58.98</v>
      </c>
      <c r="P603" s="5">
        <f t="shared" si="28"/>
        <v>5</v>
      </c>
      <c r="Q603" s="5" t="s">
        <v>264</v>
      </c>
      <c r="R603" s="5" t="s">
        <v>1085</v>
      </c>
      <c r="S603" s="5" t="s">
        <v>58</v>
      </c>
      <c r="T603" s="9">
        <v>0.375</v>
      </c>
      <c r="U603" s="5" t="s">
        <v>60</v>
      </c>
      <c r="V603" s="5" t="s">
        <v>61</v>
      </c>
      <c r="W603" s="7">
        <v>22.12</v>
      </c>
      <c r="X603" s="7">
        <v>0</v>
      </c>
      <c r="Y603" s="7">
        <v>22.12</v>
      </c>
      <c r="Z603" s="5" t="s">
        <v>379</v>
      </c>
    </row>
    <row r="604" spans="1:26" x14ac:dyDescent="0.25">
      <c r="A604" s="5">
        <v>2029034138</v>
      </c>
      <c r="B604" s="5" t="s">
        <v>943</v>
      </c>
      <c r="C604" s="5" t="s">
        <v>944</v>
      </c>
      <c r="D604" s="5" t="str">
        <f t="shared" si="29"/>
        <v>MAKSIMOWICZ IZABELA</v>
      </c>
      <c r="E604" s="5" t="s">
        <v>69</v>
      </c>
      <c r="F604" s="5" t="s">
        <v>378</v>
      </c>
      <c r="G604" s="5" t="s">
        <v>379</v>
      </c>
      <c r="H604" s="5">
        <v>7470776</v>
      </c>
      <c r="I604" s="5" t="s">
        <v>74</v>
      </c>
      <c r="J604" s="5" t="s">
        <v>75</v>
      </c>
      <c r="K604" s="5" t="str">
        <f t="shared" si="30"/>
        <v>Andrew Choi</v>
      </c>
      <c r="L604" s="5" t="s">
        <v>57</v>
      </c>
      <c r="M604" s="6">
        <v>45809</v>
      </c>
      <c r="N604" s="6">
        <v>45992</v>
      </c>
      <c r="O604" s="7">
        <v>217.26</v>
      </c>
      <c r="P604" s="5">
        <f t="shared" si="28"/>
        <v>6</v>
      </c>
      <c r="Q604" s="5" t="s">
        <v>264</v>
      </c>
      <c r="R604" s="5" t="s">
        <v>1086</v>
      </c>
      <c r="S604" s="5" t="s">
        <v>58</v>
      </c>
      <c r="T604" s="9">
        <v>0.375</v>
      </c>
      <c r="U604" s="5" t="s">
        <v>60</v>
      </c>
      <c r="V604" s="5" t="s">
        <v>61</v>
      </c>
      <c r="W604" s="7">
        <v>81.47</v>
      </c>
      <c r="X604" s="7">
        <v>0</v>
      </c>
      <c r="Y604" s="7">
        <v>81.47</v>
      </c>
      <c r="Z604" s="5" t="s">
        <v>379</v>
      </c>
    </row>
    <row r="605" spans="1:26" x14ac:dyDescent="0.25">
      <c r="A605" s="5">
        <v>2028736517</v>
      </c>
      <c r="B605" s="5" t="s">
        <v>925</v>
      </c>
      <c r="C605" s="5" t="s">
        <v>926</v>
      </c>
      <c r="D605" s="5" t="str">
        <f t="shared" si="29"/>
        <v>DICKSON JOANN</v>
      </c>
      <c r="E605" s="5" t="s">
        <v>69</v>
      </c>
      <c r="F605" s="5" t="s">
        <v>378</v>
      </c>
      <c r="G605" s="5" t="s">
        <v>379</v>
      </c>
      <c r="H605" s="5">
        <v>7470776</v>
      </c>
      <c r="I605" s="5" t="s">
        <v>74</v>
      </c>
      <c r="J605" s="5" t="s">
        <v>75</v>
      </c>
      <c r="K605" s="5" t="str">
        <f t="shared" si="30"/>
        <v>Andrew Choi</v>
      </c>
      <c r="L605" s="5" t="s">
        <v>57</v>
      </c>
      <c r="M605" s="6">
        <v>45809</v>
      </c>
      <c r="N605" s="6">
        <v>45992</v>
      </c>
      <c r="O605" s="7">
        <v>67.19</v>
      </c>
      <c r="P605" s="5">
        <f t="shared" si="28"/>
        <v>6</v>
      </c>
      <c r="Q605" s="5" t="s">
        <v>264</v>
      </c>
      <c r="R605" s="5" t="s">
        <v>1086</v>
      </c>
      <c r="S605" s="5" t="s">
        <v>58</v>
      </c>
      <c r="T605" s="9">
        <v>0.375</v>
      </c>
      <c r="U605" s="5" t="s">
        <v>60</v>
      </c>
      <c r="V605" s="5" t="s">
        <v>61</v>
      </c>
      <c r="W605" s="7">
        <v>25.19</v>
      </c>
      <c r="X605" s="7">
        <v>0.01</v>
      </c>
      <c r="Y605" s="7">
        <v>25.19</v>
      </c>
      <c r="Z605" s="5" t="s">
        <v>379</v>
      </c>
    </row>
    <row r="606" spans="1:26" x14ac:dyDescent="0.25">
      <c r="A606" s="5">
        <v>2028695300</v>
      </c>
      <c r="B606" s="5" t="s">
        <v>924</v>
      </c>
      <c r="C606" s="5" t="s">
        <v>568</v>
      </c>
      <c r="D606" s="5" t="str">
        <f t="shared" si="29"/>
        <v>MUEHLFELDER LINDA</v>
      </c>
      <c r="E606" s="5" t="s">
        <v>69</v>
      </c>
      <c r="F606" s="5" t="s">
        <v>378</v>
      </c>
      <c r="G606" s="5" t="s">
        <v>379</v>
      </c>
      <c r="H606" s="5">
        <v>7470776</v>
      </c>
      <c r="I606" s="5" t="s">
        <v>74</v>
      </c>
      <c r="J606" s="5" t="s">
        <v>75</v>
      </c>
      <c r="K606" s="5" t="str">
        <f t="shared" si="30"/>
        <v>Andrew Choi</v>
      </c>
      <c r="L606" s="5" t="s">
        <v>57</v>
      </c>
      <c r="M606" s="6">
        <v>45809</v>
      </c>
      <c r="N606" s="6">
        <v>45992</v>
      </c>
      <c r="O606" s="7">
        <v>67.19</v>
      </c>
      <c r="P606" s="5">
        <f t="shared" si="28"/>
        <v>6</v>
      </c>
      <c r="Q606" s="5" t="s">
        <v>264</v>
      </c>
      <c r="R606" s="5" t="s">
        <v>1086</v>
      </c>
      <c r="S606" s="5" t="s">
        <v>58</v>
      </c>
      <c r="T606" s="9">
        <v>0.375</v>
      </c>
      <c r="U606" s="5" t="s">
        <v>60</v>
      </c>
      <c r="V606" s="5" t="s">
        <v>61</v>
      </c>
      <c r="W606" s="7">
        <v>0</v>
      </c>
      <c r="X606" s="7">
        <v>25.2</v>
      </c>
      <c r="Y606" s="7">
        <v>25.2</v>
      </c>
      <c r="Z606" s="5" t="s">
        <v>379</v>
      </c>
    </row>
    <row r="607" spans="1:26" x14ac:dyDescent="0.25">
      <c r="A607" s="5">
        <v>2028949434</v>
      </c>
      <c r="B607" s="5" t="s">
        <v>786</v>
      </c>
      <c r="C607" s="5" t="s">
        <v>787</v>
      </c>
      <c r="D607" s="5" t="str">
        <f t="shared" si="29"/>
        <v>MAES CLARICE</v>
      </c>
      <c r="E607" s="5" t="s">
        <v>69</v>
      </c>
      <c r="F607" s="5" t="s">
        <v>378</v>
      </c>
      <c r="G607" s="5" t="s">
        <v>379</v>
      </c>
      <c r="H607" s="5">
        <v>7470776</v>
      </c>
      <c r="I607" s="5" t="s">
        <v>74</v>
      </c>
      <c r="J607" s="5" t="s">
        <v>75</v>
      </c>
      <c r="K607" s="5" t="str">
        <f t="shared" si="30"/>
        <v>Andrew Choi</v>
      </c>
      <c r="L607" s="5" t="s">
        <v>57</v>
      </c>
      <c r="M607" s="6">
        <v>45809</v>
      </c>
      <c r="N607" s="6">
        <v>45992</v>
      </c>
      <c r="O607" s="7">
        <v>41.17</v>
      </c>
      <c r="P607" s="5">
        <f t="shared" si="28"/>
        <v>6</v>
      </c>
      <c r="Q607" s="5" t="s">
        <v>264</v>
      </c>
      <c r="R607" s="5" t="s">
        <v>1086</v>
      </c>
      <c r="S607" s="5" t="s">
        <v>58</v>
      </c>
      <c r="T607" s="9">
        <v>0.375</v>
      </c>
      <c r="U607" s="5" t="s">
        <v>60</v>
      </c>
      <c r="V607" s="5" t="s">
        <v>61</v>
      </c>
      <c r="W607" s="7">
        <v>0</v>
      </c>
      <c r="X607" s="7">
        <v>15.44</v>
      </c>
      <c r="Y607" s="7">
        <v>15.44</v>
      </c>
      <c r="Z607" s="5" t="s">
        <v>379</v>
      </c>
    </row>
    <row r="608" spans="1:26" x14ac:dyDescent="0.25">
      <c r="A608" s="5">
        <v>2029005832</v>
      </c>
      <c r="B608" s="5" t="s">
        <v>941</v>
      </c>
      <c r="C608" s="5" t="s">
        <v>942</v>
      </c>
      <c r="D608" s="5" t="str">
        <f t="shared" si="29"/>
        <v>ABNEY KRISTY</v>
      </c>
      <c r="E608" s="5" t="s">
        <v>563</v>
      </c>
      <c r="F608" s="5" t="s">
        <v>378</v>
      </c>
      <c r="G608" s="5" t="s">
        <v>379</v>
      </c>
      <c r="H608" s="5">
        <v>7146581</v>
      </c>
      <c r="I608" s="5" t="s">
        <v>159</v>
      </c>
      <c r="J608" s="5" t="s">
        <v>160</v>
      </c>
      <c r="K608" s="5" t="str">
        <f t="shared" si="30"/>
        <v>Anthony Hunsberger</v>
      </c>
      <c r="L608" s="5" t="s">
        <v>57</v>
      </c>
      <c r="M608" s="6">
        <v>45809</v>
      </c>
      <c r="N608" s="6">
        <v>45992</v>
      </c>
      <c r="O608" s="7">
        <v>114.15</v>
      </c>
      <c r="P608" s="5">
        <f t="shared" si="28"/>
        <v>6</v>
      </c>
      <c r="Q608" s="5" t="s">
        <v>264</v>
      </c>
      <c r="R608" s="5" t="s">
        <v>1086</v>
      </c>
      <c r="S608" s="5" t="s">
        <v>58</v>
      </c>
      <c r="T608" s="9">
        <v>0.375</v>
      </c>
      <c r="U608" s="5" t="s">
        <v>60</v>
      </c>
      <c r="V608" s="5" t="s">
        <v>61</v>
      </c>
      <c r="W608" s="7">
        <v>42.8</v>
      </c>
      <c r="X608" s="7">
        <v>0.01</v>
      </c>
      <c r="Y608" s="7">
        <v>42.8</v>
      </c>
      <c r="Z608" s="5" t="s">
        <v>379</v>
      </c>
    </row>
    <row r="609" spans="1:26" x14ac:dyDescent="0.25">
      <c r="A609" s="5">
        <v>2028673528</v>
      </c>
      <c r="B609" s="5" t="s">
        <v>922</v>
      </c>
      <c r="C609" s="5" t="s">
        <v>923</v>
      </c>
      <c r="D609" s="5" t="str">
        <f t="shared" si="29"/>
        <v>KRYST JANET</v>
      </c>
      <c r="E609" s="5" t="s">
        <v>69</v>
      </c>
      <c r="F609" s="5" t="s">
        <v>378</v>
      </c>
      <c r="G609" s="5" t="s">
        <v>379</v>
      </c>
      <c r="H609" s="5">
        <v>7146581</v>
      </c>
      <c r="I609" s="5" t="s">
        <v>159</v>
      </c>
      <c r="J609" s="5" t="s">
        <v>160</v>
      </c>
      <c r="K609" s="5" t="str">
        <f t="shared" si="30"/>
        <v>Anthony Hunsberger</v>
      </c>
      <c r="L609" s="5" t="s">
        <v>57</v>
      </c>
      <c r="M609" s="6">
        <v>45809</v>
      </c>
      <c r="N609" s="6">
        <v>45992</v>
      </c>
      <c r="O609" s="7">
        <v>67.19</v>
      </c>
      <c r="P609" s="5">
        <f t="shared" si="28"/>
        <v>6</v>
      </c>
      <c r="Q609" s="5" t="s">
        <v>264</v>
      </c>
      <c r="R609" s="5" t="s">
        <v>1086</v>
      </c>
      <c r="S609" s="5" t="s">
        <v>58</v>
      </c>
      <c r="T609" s="9">
        <v>0.375</v>
      </c>
      <c r="U609" s="5" t="s">
        <v>60</v>
      </c>
      <c r="V609" s="5" t="s">
        <v>61</v>
      </c>
      <c r="W609" s="7">
        <v>25.19</v>
      </c>
      <c r="X609" s="7">
        <v>0.01</v>
      </c>
      <c r="Y609" s="7">
        <v>25.19</v>
      </c>
      <c r="Z609" s="5" t="s">
        <v>379</v>
      </c>
    </row>
    <row r="610" spans="1:26" x14ac:dyDescent="0.25">
      <c r="A610" s="5">
        <v>2028899051</v>
      </c>
      <c r="B610" s="5" t="s">
        <v>691</v>
      </c>
      <c r="C610" s="5" t="s">
        <v>692</v>
      </c>
      <c r="D610" s="5" t="str">
        <f t="shared" si="29"/>
        <v>MACTAVISH MADISON</v>
      </c>
      <c r="E610" s="5" t="s">
        <v>69</v>
      </c>
      <c r="F610" s="5" t="s">
        <v>378</v>
      </c>
      <c r="G610" s="5" t="s">
        <v>379</v>
      </c>
      <c r="H610" s="5">
        <v>8325282</v>
      </c>
      <c r="I610" s="5" t="s">
        <v>447</v>
      </c>
      <c r="J610" s="5" t="s">
        <v>448</v>
      </c>
      <c r="K610" s="5" t="str">
        <f t="shared" si="30"/>
        <v>Dale Walenga</v>
      </c>
      <c r="L610" s="5" t="s">
        <v>57</v>
      </c>
      <c r="M610" s="6">
        <v>45809</v>
      </c>
      <c r="N610" s="6">
        <v>45992</v>
      </c>
      <c r="O610" s="7">
        <v>32.67</v>
      </c>
      <c r="P610" s="5">
        <f t="shared" si="28"/>
        <v>6</v>
      </c>
      <c r="Q610" s="5" t="s">
        <v>264</v>
      </c>
      <c r="R610" s="5" t="s">
        <v>1086</v>
      </c>
      <c r="S610" s="5" t="s">
        <v>58</v>
      </c>
      <c r="T610" s="9">
        <v>0.375</v>
      </c>
      <c r="U610" s="5" t="s">
        <v>60</v>
      </c>
      <c r="V610" s="5" t="s">
        <v>61</v>
      </c>
      <c r="W610" s="7">
        <v>12.25</v>
      </c>
      <c r="X610" s="7">
        <v>0</v>
      </c>
      <c r="Y610" s="7">
        <v>12.25</v>
      </c>
      <c r="Z610" s="5" t="s">
        <v>379</v>
      </c>
    </row>
    <row r="611" spans="1:26" x14ac:dyDescent="0.25">
      <c r="A611" s="5">
        <v>2029145084</v>
      </c>
      <c r="B611" s="5" t="s">
        <v>703</v>
      </c>
      <c r="C611" s="5" t="s">
        <v>704</v>
      </c>
      <c r="D611" s="5" t="str">
        <f t="shared" si="29"/>
        <v>O'REILLY JUDITH</v>
      </c>
      <c r="E611" s="5" t="s">
        <v>69</v>
      </c>
      <c r="F611" s="5" t="s">
        <v>378</v>
      </c>
      <c r="G611" s="5" t="s">
        <v>379</v>
      </c>
      <c r="H611" s="5">
        <v>17094718</v>
      </c>
      <c r="I611" s="5" t="s">
        <v>335</v>
      </c>
      <c r="J611" s="5" t="s">
        <v>336</v>
      </c>
      <c r="K611" s="5" t="str">
        <f t="shared" si="30"/>
        <v>GREGORY HANSFORD</v>
      </c>
      <c r="L611" s="5" t="s">
        <v>57</v>
      </c>
      <c r="M611" s="6">
        <v>45805</v>
      </c>
      <c r="N611" s="6">
        <v>45989</v>
      </c>
      <c r="O611" s="7">
        <v>27.64</v>
      </c>
      <c r="P611" s="5">
        <f t="shared" si="28"/>
        <v>6</v>
      </c>
      <c r="Q611" s="5" t="s">
        <v>264</v>
      </c>
      <c r="R611" s="5" t="s">
        <v>1086</v>
      </c>
      <c r="S611" s="5" t="s">
        <v>58</v>
      </c>
      <c r="T611" s="9">
        <v>0.375</v>
      </c>
      <c r="U611" s="5" t="s">
        <v>60</v>
      </c>
      <c r="V611" s="5" t="s">
        <v>61</v>
      </c>
      <c r="W611" s="7">
        <v>10.36</v>
      </c>
      <c r="X611" s="7">
        <v>0</v>
      </c>
      <c r="Y611" s="7">
        <v>10.36</v>
      </c>
      <c r="Z611" s="5" t="s">
        <v>379</v>
      </c>
    </row>
    <row r="612" spans="1:26" x14ac:dyDescent="0.25">
      <c r="A612" s="5">
        <v>2029031322</v>
      </c>
      <c r="B612" s="5" t="s">
        <v>796</v>
      </c>
      <c r="C612" s="5" t="s">
        <v>308</v>
      </c>
      <c r="D612" s="5" t="str">
        <f t="shared" si="29"/>
        <v>AUSTIN ELIZABETH</v>
      </c>
      <c r="E612" s="5" t="s">
        <v>92</v>
      </c>
      <c r="F612" s="5" t="s">
        <v>378</v>
      </c>
      <c r="G612" s="5" t="s">
        <v>379</v>
      </c>
      <c r="H612" s="5">
        <v>16865615</v>
      </c>
      <c r="I612" s="5" t="s">
        <v>93</v>
      </c>
      <c r="J612" s="5" t="s">
        <v>94</v>
      </c>
      <c r="K612" s="5" t="str">
        <f t="shared" si="30"/>
        <v>Heather Geske</v>
      </c>
      <c r="L612" s="5" t="s">
        <v>57</v>
      </c>
      <c r="M612" s="6">
        <v>45809</v>
      </c>
      <c r="N612" s="6">
        <v>45992</v>
      </c>
      <c r="O612" s="7">
        <v>62.45</v>
      </c>
      <c r="P612" s="5">
        <f t="shared" si="28"/>
        <v>6</v>
      </c>
      <c r="Q612" s="5" t="s">
        <v>264</v>
      </c>
      <c r="R612" s="5" t="s">
        <v>1086</v>
      </c>
      <c r="S612" s="5" t="s">
        <v>58</v>
      </c>
      <c r="T612" s="9">
        <v>0.375</v>
      </c>
      <c r="U612" s="5" t="s">
        <v>60</v>
      </c>
      <c r="V612" s="5" t="s">
        <v>61</v>
      </c>
      <c r="W612" s="7">
        <v>23.41</v>
      </c>
      <c r="X612" s="7">
        <v>0.01</v>
      </c>
      <c r="Y612" s="7">
        <v>23.41</v>
      </c>
      <c r="Z612" s="5" t="s">
        <v>379</v>
      </c>
    </row>
    <row r="613" spans="1:26" x14ac:dyDescent="0.25">
      <c r="A613" s="5">
        <v>2029210002</v>
      </c>
      <c r="B613" s="5" t="s">
        <v>255</v>
      </c>
      <c r="C613" s="5" t="s">
        <v>404</v>
      </c>
      <c r="D613" s="5" t="str">
        <f t="shared" si="29"/>
        <v>LESTER LORA</v>
      </c>
      <c r="E613" s="5" t="s">
        <v>81</v>
      </c>
      <c r="F613" s="5" t="s">
        <v>378</v>
      </c>
      <c r="G613" s="5" t="s">
        <v>379</v>
      </c>
      <c r="H613" s="5" t="s">
        <v>1080</v>
      </c>
      <c r="I613" s="5" t="s">
        <v>175</v>
      </c>
      <c r="J613" s="5" t="s">
        <v>176</v>
      </c>
      <c r="K613" s="5" t="str">
        <f t="shared" si="30"/>
        <v>Jake Shulman</v>
      </c>
      <c r="L613" s="5" t="s">
        <v>57</v>
      </c>
      <c r="M613" s="6">
        <v>45809</v>
      </c>
      <c r="N613" s="6">
        <v>45992</v>
      </c>
      <c r="O613" s="7">
        <v>50.54</v>
      </c>
      <c r="P613" s="5">
        <f t="shared" si="28"/>
        <v>6</v>
      </c>
      <c r="Q613" s="5" t="s">
        <v>264</v>
      </c>
      <c r="R613" s="5" t="s">
        <v>1086</v>
      </c>
      <c r="S613" s="5" t="s">
        <v>58</v>
      </c>
      <c r="T613" s="9">
        <v>0.375</v>
      </c>
      <c r="U613" s="5" t="s">
        <v>60</v>
      </c>
      <c r="V613" s="5" t="s">
        <v>61</v>
      </c>
      <c r="W613" s="7">
        <v>18.95</v>
      </c>
      <c r="X613" s="7">
        <v>0</v>
      </c>
      <c r="Y613" s="7">
        <v>18.95</v>
      </c>
      <c r="Z613" s="5" t="s">
        <v>379</v>
      </c>
    </row>
    <row r="614" spans="1:26" x14ac:dyDescent="0.25">
      <c r="A614" s="5">
        <v>2028847738</v>
      </c>
      <c r="B614" s="5" t="s">
        <v>927</v>
      </c>
      <c r="C614" s="5" t="s">
        <v>928</v>
      </c>
      <c r="D614" s="5" t="str">
        <f t="shared" si="29"/>
        <v>WHEATON ADRIAN</v>
      </c>
      <c r="E614" s="5" t="s">
        <v>165</v>
      </c>
      <c r="F614" s="5" t="s">
        <v>378</v>
      </c>
      <c r="G614" s="5" t="s">
        <v>379</v>
      </c>
      <c r="H614" s="5" t="s">
        <v>1080</v>
      </c>
      <c r="I614" s="5" t="s">
        <v>175</v>
      </c>
      <c r="J614" s="5" t="s">
        <v>176</v>
      </c>
      <c r="K614" s="5" t="str">
        <f t="shared" si="30"/>
        <v>Jake Shulman</v>
      </c>
      <c r="L614" s="5" t="s">
        <v>57</v>
      </c>
      <c r="M614" s="6">
        <v>45809</v>
      </c>
      <c r="N614" s="6">
        <v>45992</v>
      </c>
      <c r="O614" s="7">
        <v>27.95</v>
      </c>
      <c r="P614" s="5">
        <f t="shared" si="28"/>
        <v>6</v>
      </c>
      <c r="Q614" s="5" t="s">
        <v>264</v>
      </c>
      <c r="R614" s="5" t="s">
        <v>1086</v>
      </c>
      <c r="S614" s="5" t="s">
        <v>58</v>
      </c>
      <c r="T614" s="9">
        <v>0.375</v>
      </c>
      <c r="U614" s="5" t="s">
        <v>60</v>
      </c>
      <c r="V614" s="5" t="s">
        <v>61</v>
      </c>
      <c r="W614" s="7">
        <v>0</v>
      </c>
      <c r="X614" s="7">
        <v>10.48</v>
      </c>
      <c r="Y614" s="7">
        <v>10.48</v>
      </c>
      <c r="Z614" s="5" t="s">
        <v>379</v>
      </c>
    </row>
    <row r="615" spans="1:26" x14ac:dyDescent="0.25">
      <c r="A615" s="5">
        <v>2028912170</v>
      </c>
      <c r="B615" s="5" t="s">
        <v>934</v>
      </c>
      <c r="C615" s="5" t="s">
        <v>935</v>
      </c>
      <c r="D615" s="5" t="str">
        <f t="shared" si="29"/>
        <v>ALIKHAN RIZWAN</v>
      </c>
      <c r="E615" s="5" t="s">
        <v>52</v>
      </c>
      <c r="F615" s="5" t="s">
        <v>378</v>
      </c>
      <c r="G615" s="5" t="s">
        <v>379</v>
      </c>
      <c r="H615" s="5" t="s">
        <v>1080</v>
      </c>
      <c r="I615" s="5" t="s">
        <v>175</v>
      </c>
      <c r="J615" s="5" t="s">
        <v>176</v>
      </c>
      <c r="K615" s="5" t="str">
        <f t="shared" si="30"/>
        <v>Jake Shulman</v>
      </c>
      <c r="L615" s="5" t="s">
        <v>57</v>
      </c>
      <c r="M615" s="6">
        <v>45809</v>
      </c>
      <c r="N615" s="6">
        <v>45992</v>
      </c>
      <c r="O615" s="7">
        <v>65.2</v>
      </c>
      <c r="P615" s="5">
        <f t="shared" si="28"/>
        <v>6</v>
      </c>
      <c r="Q615" s="5" t="s">
        <v>264</v>
      </c>
      <c r="R615" s="5" t="s">
        <v>1086</v>
      </c>
      <c r="S615" s="5" t="s">
        <v>58</v>
      </c>
      <c r="T615" s="9">
        <v>0.375</v>
      </c>
      <c r="U615" s="5" t="s">
        <v>60</v>
      </c>
      <c r="V615" s="5" t="s">
        <v>61</v>
      </c>
      <c r="W615" s="7">
        <v>0</v>
      </c>
      <c r="X615" s="7">
        <v>24.45</v>
      </c>
      <c r="Y615" s="7">
        <v>24.45</v>
      </c>
      <c r="Z615" s="5" t="s">
        <v>379</v>
      </c>
    </row>
    <row r="616" spans="1:26" x14ac:dyDescent="0.25">
      <c r="A616" s="5">
        <v>2028914240</v>
      </c>
      <c r="B616" s="5" t="s">
        <v>936</v>
      </c>
      <c r="C616" s="5" t="s">
        <v>937</v>
      </c>
      <c r="D616" s="5" t="str">
        <f t="shared" si="29"/>
        <v>CASTELLO SAMANTHA</v>
      </c>
      <c r="E616" s="5" t="s">
        <v>69</v>
      </c>
      <c r="F616" s="5" t="s">
        <v>378</v>
      </c>
      <c r="G616" s="5" t="s">
        <v>379</v>
      </c>
      <c r="H616" s="5">
        <v>17143996</v>
      </c>
      <c r="I616" s="5" t="s">
        <v>389</v>
      </c>
      <c r="J616" s="5" t="s">
        <v>390</v>
      </c>
      <c r="K616" s="5" t="str">
        <f t="shared" si="30"/>
        <v>James Allen</v>
      </c>
      <c r="L616" s="5" t="s">
        <v>57</v>
      </c>
      <c r="M616" s="6">
        <v>45809</v>
      </c>
      <c r="N616" s="6">
        <v>45992</v>
      </c>
      <c r="O616" s="7">
        <v>38.44</v>
      </c>
      <c r="P616" s="5">
        <f t="shared" si="28"/>
        <v>6</v>
      </c>
      <c r="Q616" s="5" t="s">
        <v>264</v>
      </c>
      <c r="R616" s="5" t="s">
        <v>1086</v>
      </c>
      <c r="S616" s="5" t="s">
        <v>58</v>
      </c>
      <c r="T616" s="9">
        <v>0.375</v>
      </c>
      <c r="U616" s="5" t="s">
        <v>60</v>
      </c>
      <c r="V616" s="5" t="s">
        <v>61</v>
      </c>
      <c r="W616" s="7">
        <v>14.41</v>
      </c>
      <c r="X616" s="7">
        <v>0.01</v>
      </c>
      <c r="Y616" s="7">
        <v>14.41</v>
      </c>
      <c r="Z616" s="5" t="s">
        <v>379</v>
      </c>
    </row>
    <row r="617" spans="1:26" x14ac:dyDescent="0.25">
      <c r="A617" s="5">
        <v>2029159005</v>
      </c>
      <c r="B617" s="5" t="s">
        <v>950</v>
      </c>
      <c r="C617" s="5" t="s">
        <v>951</v>
      </c>
      <c r="D617" s="5" t="str">
        <f t="shared" si="29"/>
        <v>RICORDER GABRIEL</v>
      </c>
      <c r="E617" s="5" t="s">
        <v>165</v>
      </c>
      <c r="F617" s="5" t="s">
        <v>378</v>
      </c>
      <c r="G617" s="5" t="s">
        <v>379</v>
      </c>
      <c r="H617" s="5">
        <v>21421111</v>
      </c>
      <c r="I617" s="5" t="s">
        <v>469</v>
      </c>
      <c r="J617" s="5" t="s">
        <v>470</v>
      </c>
      <c r="K617" s="5" t="str">
        <f t="shared" ref="K617:K648" si="31">CONCATENATE(J617, " ",I617)</f>
        <v>Kirk Tigue</v>
      </c>
      <c r="L617" s="5" t="s">
        <v>57</v>
      </c>
      <c r="M617" s="6">
        <v>45806</v>
      </c>
      <c r="N617" s="6">
        <v>45990</v>
      </c>
      <c r="O617" s="7">
        <v>22.88</v>
      </c>
      <c r="P617" s="5">
        <f t="shared" si="28"/>
        <v>6</v>
      </c>
      <c r="Q617" s="5" t="s">
        <v>264</v>
      </c>
      <c r="R617" s="5" t="s">
        <v>1086</v>
      </c>
      <c r="S617" s="5" t="s">
        <v>58</v>
      </c>
      <c r="T617" s="9">
        <v>0.375</v>
      </c>
      <c r="U617" s="5" t="s">
        <v>60</v>
      </c>
      <c r="V617" s="5" t="s">
        <v>61</v>
      </c>
      <c r="W617" s="7">
        <v>8.58</v>
      </c>
      <c r="X617" s="7">
        <v>0</v>
      </c>
      <c r="Y617" s="7">
        <v>8.58</v>
      </c>
      <c r="Z617" s="5" t="s">
        <v>379</v>
      </c>
    </row>
    <row r="618" spans="1:26" x14ac:dyDescent="0.25">
      <c r="A618" s="5">
        <v>2028858329</v>
      </c>
      <c r="B618" s="5" t="s">
        <v>929</v>
      </c>
      <c r="C618" s="5" t="s">
        <v>103</v>
      </c>
      <c r="D618" s="5" t="str">
        <f t="shared" si="29"/>
        <v>KINNEY THOMAS</v>
      </c>
      <c r="E618" s="5" t="s">
        <v>69</v>
      </c>
      <c r="F618" s="5" t="s">
        <v>378</v>
      </c>
      <c r="G618" s="5" t="s">
        <v>379</v>
      </c>
      <c r="H618" s="5">
        <v>21436172</v>
      </c>
      <c r="I618" s="5" t="s">
        <v>930</v>
      </c>
      <c r="J618" s="5" t="s">
        <v>931</v>
      </c>
      <c r="K618" s="5" t="str">
        <f t="shared" si="31"/>
        <v>Latesha Rose</v>
      </c>
      <c r="L618" s="5" t="s">
        <v>57</v>
      </c>
      <c r="M618" s="6">
        <v>45809</v>
      </c>
      <c r="N618" s="6">
        <v>45992</v>
      </c>
      <c r="O618" s="7">
        <v>217.26</v>
      </c>
      <c r="P618" s="5">
        <f t="shared" si="28"/>
        <v>6</v>
      </c>
      <c r="Q618" s="5" t="s">
        <v>264</v>
      </c>
      <c r="R618" s="5" t="s">
        <v>1086</v>
      </c>
      <c r="S618" s="5" t="s">
        <v>58</v>
      </c>
      <c r="T618" s="9">
        <v>0.375</v>
      </c>
      <c r="U618" s="5" t="s">
        <v>60</v>
      </c>
      <c r="V618" s="5" t="s">
        <v>61</v>
      </c>
      <c r="W618" s="7">
        <v>81.47</v>
      </c>
      <c r="X618" s="7">
        <v>0</v>
      </c>
      <c r="Y618" s="7">
        <v>81.47</v>
      </c>
      <c r="Z618" s="5" t="s">
        <v>379</v>
      </c>
    </row>
    <row r="619" spans="1:26" x14ac:dyDescent="0.25">
      <c r="A619" s="5">
        <v>2028965157</v>
      </c>
      <c r="B619" s="5" t="s">
        <v>939</v>
      </c>
      <c r="C619" s="5" t="s">
        <v>886</v>
      </c>
      <c r="D619" s="5" t="str">
        <f t="shared" si="29"/>
        <v>MEDINA MARIA</v>
      </c>
      <c r="E619" s="5" t="s">
        <v>69</v>
      </c>
      <c r="F619" s="5" t="s">
        <v>378</v>
      </c>
      <c r="G619" s="5" t="s">
        <v>379</v>
      </c>
      <c r="H619" s="5">
        <v>19200754</v>
      </c>
      <c r="I619" s="5" t="s">
        <v>228</v>
      </c>
      <c r="J619" s="5" t="s">
        <v>229</v>
      </c>
      <c r="K619" s="5" t="str">
        <f t="shared" si="31"/>
        <v>RICARDO SANTOS</v>
      </c>
      <c r="L619" s="5" t="s">
        <v>57</v>
      </c>
      <c r="M619" s="6">
        <v>45809</v>
      </c>
      <c r="N619" s="6">
        <v>45992</v>
      </c>
      <c r="O619" s="7">
        <v>76.19</v>
      </c>
      <c r="P619" s="5">
        <f t="shared" si="28"/>
        <v>6</v>
      </c>
      <c r="Q619" s="5" t="s">
        <v>264</v>
      </c>
      <c r="R619" s="5" t="s">
        <v>1086</v>
      </c>
      <c r="S619" s="5" t="s">
        <v>58</v>
      </c>
      <c r="T619" s="9">
        <v>0.375</v>
      </c>
      <c r="U619" s="5" t="s">
        <v>60</v>
      </c>
      <c r="V619" s="5" t="s">
        <v>61</v>
      </c>
      <c r="W619" s="7">
        <v>28.57</v>
      </c>
      <c r="X619" s="7">
        <v>0</v>
      </c>
      <c r="Y619" s="7">
        <v>28.57</v>
      </c>
      <c r="Z619" s="5" t="s">
        <v>379</v>
      </c>
    </row>
    <row r="620" spans="1:26" x14ac:dyDescent="0.25">
      <c r="A620" s="5">
        <v>2028965280</v>
      </c>
      <c r="B620" s="5" t="s">
        <v>940</v>
      </c>
      <c r="C620" s="5" t="s">
        <v>427</v>
      </c>
      <c r="D620" s="5" t="str">
        <f t="shared" si="29"/>
        <v>PAULSEN JOSHUA</v>
      </c>
      <c r="E620" s="5" t="s">
        <v>69</v>
      </c>
      <c r="F620" s="5" t="s">
        <v>378</v>
      </c>
      <c r="G620" s="5" t="s">
        <v>379</v>
      </c>
      <c r="H620" s="5">
        <v>17126004</v>
      </c>
      <c r="I620" s="5" t="s">
        <v>800</v>
      </c>
      <c r="J620" s="5" t="s">
        <v>801</v>
      </c>
      <c r="K620" s="5" t="str">
        <f t="shared" si="31"/>
        <v>Stephanie Drapac</v>
      </c>
      <c r="L620" s="5" t="s">
        <v>57</v>
      </c>
      <c r="M620" s="6">
        <v>45809</v>
      </c>
      <c r="N620" s="6">
        <v>45992</v>
      </c>
      <c r="O620" s="7">
        <v>43.36</v>
      </c>
      <c r="P620" s="5">
        <f t="shared" si="28"/>
        <v>6</v>
      </c>
      <c r="Q620" s="5" t="s">
        <v>264</v>
      </c>
      <c r="R620" s="5" t="s">
        <v>1086</v>
      </c>
      <c r="S620" s="5" t="s">
        <v>58</v>
      </c>
      <c r="T620" s="9">
        <v>0.375</v>
      </c>
      <c r="U620" s="5" t="s">
        <v>60</v>
      </c>
      <c r="V620" s="5" t="s">
        <v>61</v>
      </c>
      <c r="W620" s="7">
        <v>0</v>
      </c>
      <c r="X620" s="7">
        <v>16.260000000000002</v>
      </c>
      <c r="Y620" s="7">
        <v>16.260000000000002</v>
      </c>
      <c r="Z620" s="5" t="s">
        <v>379</v>
      </c>
    </row>
    <row r="621" spans="1:26" x14ac:dyDescent="0.25">
      <c r="A621" s="5">
        <v>2029062370</v>
      </c>
      <c r="B621" s="5" t="s">
        <v>857</v>
      </c>
      <c r="C621" s="5" t="s">
        <v>945</v>
      </c>
      <c r="D621" s="5" t="str">
        <f t="shared" si="29"/>
        <v>SALAZAR VANESSA</v>
      </c>
      <c r="E621" s="5" t="s">
        <v>261</v>
      </c>
      <c r="F621" s="5" t="s">
        <v>378</v>
      </c>
      <c r="G621" s="5" t="s">
        <v>379</v>
      </c>
      <c r="H621" s="5">
        <v>371819</v>
      </c>
      <c r="I621" s="5" t="s">
        <v>237</v>
      </c>
      <c r="J621" s="5" t="s">
        <v>103</v>
      </c>
      <c r="K621" s="5" t="str">
        <f t="shared" si="31"/>
        <v>THOMAS PARDUE</v>
      </c>
      <c r="L621" s="5" t="s">
        <v>57</v>
      </c>
      <c r="M621" s="6">
        <v>45800</v>
      </c>
      <c r="N621" s="6">
        <v>45984</v>
      </c>
      <c r="O621" s="7">
        <v>122.99</v>
      </c>
      <c r="P621" s="5">
        <f t="shared" si="28"/>
        <v>6</v>
      </c>
      <c r="Q621" s="5" t="s">
        <v>264</v>
      </c>
      <c r="R621" s="5" t="s">
        <v>1086</v>
      </c>
      <c r="S621" s="5" t="s">
        <v>58</v>
      </c>
      <c r="T621" s="9">
        <v>0.375</v>
      </c>
      <c r="U621" s="5" t="s">
        <v>60</v>
      </c>
      <c r="V621" s="5" t="s">
        <v>61</v>
      </c>
      <c r="W621" s="7">
        <v>0</v>
      </c>
      <c r="X621" s="7">
        <v>46.12</v>
      </c>
      <c r="Y621" s="7">
        <v>46.12</v>
      </c>
      <c r="Z621" s="5" t="s">
        <v>379</v>
      </c>
    </row>
    <row r="622" spans="1:26" x14ac:dyDescent="0.25">
      <c r="A622" s="5">
        <v>2028627544</v>
      </c>
      <c r="B622" s="5" t="s">
        <v>689</v>
      </c>
      <c r="C622" s="5" t="s">
        <v>690</v>
      </c>
      <c r="D622" s="5" t="str">
        <f t="shared" si="29"/>
        <v>DIAZ DELIA</v>
      </c>
      <c r="E622" s="5" t="s">
        <v>145</v>
      </c>
      <c r="F622" s="5" t="s">
        <v>378</v>
      </c>
      <c r="G622" s="5" t="s">
        <v>379</v>
      </c>
      <c r="H622" s="5">
        <v>8325282</v>
      </c>
      <c r="I622" s="5" t="s">
        <v>447</v>
      </c>
      <c r="J622" s="5" t="s">
        <v>448</v>
      </c>
      <c r="K622" s="5" t="str">
        <f t="shared" si="31"/>
        <v>Dale Walenga</v>
      </c>
      <c r="L622" s="5" t="s">
        <v>57</v>
      </c>
      <c r="M622" s="6">
        <v>45774</v>
      </c>
      <c r="N622" s="6">
        <v>45988</v>
      </c>
      <c r="O622" s="7">
        <v>18.64</v>
      </c>
      <c r="P622" s="5">
        <f t="shared" si="28"/>
        <v>7</v>
      </c>
      <c r="Q622" s="5" t="s">
        <v>264</v>
      </c>
      <c r="R622" s="5" t="s">
        <v>1086</v>
      </c>
      <c r="S622" s="5" t="s">
        <v>58</v>
      </c>
      <c r="T622" s="9">
        <v>0.375</v>
      </c>
      <c r="U622" s="5" t="s">
        <v>60</v>
      </c>
      <c r="V622" s="5" t="s">
        <v>61</v>
      </c>
      <c r="W622" s="7">
        <v>0</v>
      </c>
      <c r="X622" s="7">
        <v>6.99</v>
      </c>
      <c r="Y622" s="7">
        <v>6.99</v>
      </c>
      <c r="Z622" s="5" t="s">
        <v>379</v>
      </c>
    </row>
    <row r="623" spans="1:26" x14ac:dyDescent="0.25">
      <c r="A623" s="5">
        <v>2028643492</v>
      </c>
      <c r="B623" s="5" t="s">
        <v>63</v>
      </c>
      <c r="C623" s="5" t="s">
        <v>918</v>
      </c>
      <c r="D623" s="5" t="str">
        <f t="shared" si="29"/>
        <v>YOUNG COURTNEY</v>
      </c>
      <c r="E623" s="5" t="s">
        <v>261</v>
      </c>
      <c r="F623" s="5" t="s">
        <v>378</v>
      </c>
      <c r="G623" s="5" t="s">
        <v>379</v>
      </c>
      <c r="H623" s="5">
        <v>21421111</v>
      </c>
      <c r="I623" s="5" t="s">
        <v>469</v>
      </c>
      <c r="J623" s="5" t="s">
        <v>470</v>
      </c>
      <c r="K623" s="5" t="str">
        <f t="shared" si="31"/>
        <v>Kirk Tigue</v>
      </c>
      <c r="L623" s="5" t="s">
        <v>57</v>
      </c>
      <c r="M623" s="6">
        <v>45776</v>
      </c>
      <c r="N623" s="6">
        <v>45990</v>
      </c>
      <c r="O623" s="7">
        <v>31.91</v>
      </c>
      <c r="P623" s="5">
        <f t="shared" si="28"/>
        <v>7</v>
      </c>
      <c r="Q623" s="5" t="s">
        <v>264</v>
      </c>
      <c r="R623" s="5" t="s">
        <v>1086</v>
      </c>
      <c r="S623" s="5" t="s">
        <v>58</v>
      </c>
      <c r="T623" s="9">
        <v>0.375</v>
      </c>
      <c r="U623" s="5" t="s">
        <v>60</v>
      </c>
      <c r="V623" s="5" t="s">
        <v>61</v>
      </c>
      <c r="W623" s="7">
        <v>0</v>
      </c>
      <c r="X623" s="7">
        <v>11.97</v>
      </c>
      <c r="Y623" s="7">
        <v>11.97</v>
      </c>
      <c r="Z623" s="5" t="s">
        <v>379</v>
      </c>
    </row>
    <row r="624" spans="1:26" x14ac:dyDescent="0.25">
      <c r="A624" s="5">
        <v>2028645329</v>
      </c>
      <c r="B624" s="5" t="s">
        <v>919</v>
      </c>
      <c r="C624" s="5" t="s">
        <v>110</v>
      </c>
      <c r="D624" s="5" t="str">
        <f t="shared" si="29"/>
        <v>BORTKO WILLIAM</v>
      </c>
      <c r="E624" s="5" t="s">
        <v>52</v>
      </c>
      <c r="F624" s="5" t="s">
        <v>378</v>
      </c>
      <c r="G624" s="5" t="s">
        <v>379</v>
      </c>
      <c r="H624" s="5">
        <v>21421111</v>
      </c>
      <c r="I624" s="5" t="s">
        <v>469</v>
      </c>
      <c r="J624" s="5" t="s">
        <v>470</v>
      </c>
      <c r="K624" s="5" t="str">
        <f t="shared" si="31"/>
        <v>Kirk Tigue</v>
      </c>
      <c r="L624" s="5" t="s">
        <v>57</v>
      </c>
      <c r="M624" s="6">
        <v>45776</v>
      </c>
      <c r="N624" s="6">
        <v>45990</v>
      </c>
      <c r="O624" s="7">
        <v>24.54</v>
      </c>
      <c r="P624" s="5">
        <f t="shared" si="28"/>
        <v>7</v>
      </c>
      <c r="Q624" s="5" t="s">
        <v>264</v>
      </c>
      <c r="R624" s="5" t="s">
        <v>1086</v>
      </c>
      <c r="S624" s="5" t="s">
        <v>58</v>
      </c>
      <c r="T624" s="9">
        <v>0.375</v>
      </c>
      <c r="U624" s="5" t="s">
        <v>60</v>
      </c>
      <c r="V624" s="5" t="s">
        <v>61</v>
      </c>
      <c r="W624" s="7">
        <v>0</v>
      </c>
      <c r="X624" s="7">
        <v>9.1999999999999993</v>
      </c>
      <c r="Y624" s="7">
        <v>9.1999999999999993</v>
      </c>
      <c r="Z624" s="5" t="s">
        <v>379</v>
      </c>
    </row>
    <row r="625" spans="1:26" x14ac:dyDescent="0.25">
      <c r="A625" s="5">
        <v>2028320247</v>
      </c>
      <c r="B625" s="5" t="s">
        <v>534</v>
      </c>
      <c r="C625" s="5" t="s">
        <v>535</v>
      </c>
      <c r="D625" s="5" t="str">
        <f t="shared" si="29"/>
        <v>CABRAL MAGDALENA</v>
      </c>
      <c r="E625" s="5" t="s">
        <v>190</v>
      </c>
      <c r="F625" s="5" t="s">
        <v>378</v>
      </c>
      <c r="G625" s="5" t="s">
        <v>379</v>
      </c>
      <c r="H625" s="5">
        <v>16633294</v>
      </c>
      <c r="I625" s="5" t="s">
        <v>70</v>
      </c>
      <c r="J625" s="5" t="s">
        <v>183</v>
      </c>
      <c r="K625" s="5" t="str">
        <f t="shared" si="31"/>
        <v>Richard Yale</v>
      </c>
      <c r="L625" s="5" t="s">
        <v>57</v>
      </c>
      <c r="M625" s="6">
        <v>45772</v>
      </c>
      <c r="N625" s="6">
        <v>45986</v>
      </c>
      <c r="O625" s="7">
        <v>66.5</v>
      </c>
      <c r="P625" s="5">
        <f t="shared" si="28"/>
        <v>7</v>
      </c>
      <c r="Q625" s="5" t="s">
        <v>264</v>
      </c>
      <c r="R625" s="5" t="s">
        <v>1086</v>
      </c>
      <c r="S625" s="5" t="s">
        <v>58</v>
      </c>
      <c r="T625" s="9">
        <v>0.375</v>
      </c>
      <c r="U625" s="5" t="s">
        <v>60</v>
      </c>
      <c r="V625" s="5" t="s">
        <v>61</v>
      </c>
      <c r="W625" s="7">
        <v>0</v>
      </c>
      <c r="X625" s="7">
        <v>24.94</v>
      </c>
      <c r="Y625" s="7">
        <v>24.94</v>
      </c>
      <c r="Z625" s="5" t="s">
        <v>379</v>
      </c>
    </row>
    <row r="626" spans="1:26" x14ac:dyDescent="0.25">
      <c r="A626" s="5">
        <v>2028461881</v>
      </c>
      <c r="B626" s="5" t="s">
        <v>627</v>
      </c>
      <c r="C626" s="5" t="s">
        <v>628</v>
      </c>
      <c r="D626" s="5" t="str">
        <f t="shared" si="29"/>
        <v>LAIT JULIA</v>
      </c>
      <c r="E626" s="5" t="s">
        <v>145</v>
      </c>
      <c r="F626" s="5" t="s">
        <v>378</v>
      </c>
      <c r="G626" s="5" t="s">
        <v>379</v>
      </c>
      <c r="H626" s="5">
        <v>16633294</v>
      </c>
      <c r="I626" s="5" t="s">
        <v>70</v>
      </c>
      <c r="J626" s="5" t="s">
        <v>183</v>
      </c>
      <c r="K626" s="5" t="str">
        <f t="shared" si="31"/>
        <v>Richard Yale</v>
      </c>
      <c r="L626" s="5" t="s">
        <v>57</v>
      </c>
      <c r="M626" s="6">
        <v>45772</v>
      </c>
      <c r="N626" s="6">
        <v>45986</v>
      </c>
      <c r="O626" s="7">
        <v>78.41</v>
      </c>
      <c r="P626" s="5">
        <f t="shared" si="28"/>
        <v>7</v>
      </c>
      <c r="Q626" s="5" t="s">
        <v>264</v>
      </c>
      <c r="R626" s="5" t="s">
        <v>1086</v>
      </c>
      <c r="S626" s="5" t="s">
        <v>58</v>
      </c>
      <c r="T626" s="9">
        <v>0.375</v>
      </c>
      <c r="U626" s="5" t="s">
        <v>60</v>
      </c>
      <c r="V626" s="5" t="s">
        <v>61</v>
      </c>
      <c r="W626" s="7">
        <v>0</v>
      </c>
      <c r="X626" s="7">
        <v>29.4</v>
      </c>
      <c r="Y626" s="7">
        <v>29.4</v>
      </c>
      <c r="Z626" s="5" t="s">
        <v>379</v>
      </c>
    </row>
    <row r="627" spans="1:26" x14ac:dyDescent="0.25">
      <c r="A627" s="5">
        <v>2028498798</v>
      </c>
      <c r="B627" s="5" t="s">
        <v>629</v>
      </c>
      <c r="C627" s="5" t="s">
        <v>232</v>
      </c>
      <c r="D627" s="5" t="str">
        <f t="shared" si="29"/>
        <v>VAWTER TIMOTHY</v>
      </c>
      <c r="E627" s="5" t="s">
        <v>179</v>
      </c>
      <c r="F627" s="5" t="s">
        <v>378</v>
      </c>
      <c r="G627" s="5" t="s">
        <v>379</v>
      </c>
      <c r="H627" s="5">
        <v>16633294</v>
      </c>
      <c r="I627" s="5" t="s">
        <v>70</v>
      </c>
      <c r="J627" s="5" t="s">
        <v>183</v>
      </c>
      <c r="K627" s="5" t="str">
        <f t="shared" si="31"/>
        <v>Richard Yale</v>
      </c>
      <c r="L627" s="5" t="s">
        <v>57</v>
      </c>
      <c r="M627" s="6">
        <v>45772</v>
      </c>
      <c r="N627" s="6">
        <v>45986</v>
      </c>
      <c r="O627" s="7">
        <v>58.15</v>
      </c>
      <c r="P627" s="5">
        <f t="shared" si="28"/>
        <v>7</v>
      </c>
      <c r="Q627" s="5" t="s">
        <v>264</v>
      </c>
      <c r="R627" s="5" t="s">
        <v>1086</v>
      </c>
      <c r="S627" s="5" t="s">
        <v>58</v>
      </c>
      <c r="T627" s="9">
        <v>0.375</v>
      </c>
      <c r="U627" s="5" t="s">
        <v>60</v>
      </c>
      <c r="V627" s="5" t="s">
        <v>61</v>
      </c>
      <c r="W627" s="7">
        <v>0</v>
      </c>
      <c r="X627" s="7">
        <v>21.81</v>
      </c>
      <c r="Y627" s="7">
        <v>21.81</v>
      </c>
      <c r="Z627" s="5" t="s">
        <v>379</v>
      </c>
    </row>
    <row r="628" spans="1:26" x14ac:dyDescent="0.25">
      <c r="A628" s="5">
        <v>2028654837</v>
      </c>
      <c r="B628" s="5" t="s">
        <v>920</v>
      </c>
      <c r="C628" s="5" t="s">
        <v>921</v>
      </c>
      <c r="D628" s="5" t="str">
        <f t="shared" si="29"/>
        <v>TARPLEY SHAUN</v>
      </c>
      <c r="E628" s="5" t="s">
        <v>52</v>
      </c>
      <c r="F628" s="5" t="s">
        <v>378</v>
      </c>
      <c r="G628" s="5" t="s">
        <v>379</v>
      </c>
      <c r="H628" s="5">
        <v>16633294</v>
      </c>
      <c r="I628" s="5" t="s">
        <v>70</v>
      </c>
      <c r="J628" s="5" t="s">
        <v>183</v>
      </c>
      <c r="K628" s="5" t="str">
        <f t="shared" si="31"/>
        <v>Richard Yale</v>
      </c>
      <c r="L628" s="5" t="s">
        <v>57</v>
      </c>
      <c r="M628" s="6">
        <v>45776</v>
      </c>
      <c r="N628" s="6">
        <v>45990</v>
      </c>
      <c r="O628" s="7">
        <v>102.62</v>
      </c>
      <c r="P628" s="5">
        <f t="shared" si="28"/>
        <v>7</v>
      </c>
      <c r="Q628" s="5" t="s">
        <v>264</v>
      </c>
      <c r="R628" s="5" t="s">
        <v>1086</v>
      </c>
      <c r="S628" s="5" t="s">
        <v>58</v>
      </c>
      <c r="T628" s="9">
        <v>0.375</v>
      </c>
      <c r="U628" s="5" t="s">
        <v>60</v>
      </c>
      <c r="V628" s="5" t="s">
        <v>61</v>
      </c>
      <c r="W628" s="7">
        <v>0</v>
      </c>
      <c r="X628" s="7">
        <v>38.479999999999997</v>
      </c>
      <c r="Y628" s="7">
        <v>38.479999999999997</v>
      </c>
      <c r="Z628" s="5" t="s">
        <v>379</v>
      </c>
    </row>
    <row r="629" spans="1:26" x14ac:dyDescent="0.25">
      <c r="A629" s="5">
        <v>2028005040</v>
      </c>
      <c r="B629" s="5" t="s">
        <v>904</v>
      </c>
      <c r="C629" s="5" t="s">
        <v>905</v>
      </c>
      <c r="D629" s="5" t="str">
        <f t="shared" si="29"/>
        <v>FERNANDEZ MELVIN</v>
      </c>
      <c r="E629" s="5" t="s">
        <v>69</v>
      </c>
      <c r="F629" s="5" t="s">
        <v>378</v>
      </c>
      <c r="G629" s="5" t="s">
        <v>379</v>
      </c>
      <c r="H629" s="5">
        <v>7470776</v>
      </c>
      <c r="I629" s="5" t="s">
        <v>74</v>
      </c>
      <c r="J629" s="5" t="s">
        <v>75</v>
      </c>
      <c r="K629" s="5" t="str">
        <f t="shared" si="31"/>
        <v>Andrew Choi</v>
      </c>
      <c r="L629" s="5" t="s">
        <v>57</v>
      </c>
      <c r="M629" s="6">
        <v>45741</v>
      </c>
      <c r="N629" s="6">
        <v>45986</v>
      </c>
      <c r="O629" s="7">
        <v>184.68</v>
      </c>
      <c r="P629" s="5">
        <f t="shared" si="28"/>
        <v>8</v>
      </c>
      <c r="Q629" s="5" t="s">
        <v>264</v>
      </c>
      <c r="R629" s="5" t="s">
        <v>1086</v>
      </c>
      <c r="S629" s="5" t="s">
        <v>58</v>
      </c>
      <c r="T629" s="9">
        <v>0.375</v>
      </c>
      <c r="U629" s="5" t="s">
        <v>60</v>
      </c>
      <c r="V629" s="5" t="s">
        <v>61</v>
      </c>
      <c r="W629" s="7">
        <v>0</v>
      </c>
      <c r="X629" s="7">
        <v>69.260000000000005</v>
      </c>
      <c r="Y629" s="7">
        <v>69.260000000000005</v>
      </c>
      <c r="Z629" s="5" t="s">
        <v>379</v>
      </c>
    </row>
    <row r="630" spans="1:26" x14ac:dyDescent="0.25">
      <c r="A630" s="5">
        <v>2028061836</v>
      </c>
      <c r="B630" s="5" t="s">
        <v>908</v>
      </c>
      <c r="C630" s="5" t="s">
        <v>67</v>
      </c>
      <c r="D630" s="5" t="str">
        <f t="shared" si="29"/>
        <v>TRIBUZIO GIUSEPPE</v>
      </c>
      <c r="E630" s="5" t="s">
        <v>69</v>
      </c>
      <c r="F630" s="5" t="s">
        <v>378</v>
      </c>
      <c r="G630" s="5" t="s">
        <v>379</v>
      </c>
      <c r="H630" s="5">
        <v>7470776</v>
      </c>
      <c r="I630" s="5" t="s">
        <v>74</v>
      </c>
      <c r="J630" s="5" t="s">
        <v>75</v>
      </c>
      <c r="K630" s="5" t="str">
        <f t="shared" si="31"/>
        <v>Andrew Choi</v>
      </c>
      <c r="L630" s="5" t="s">
        <v>57</v>
      </c>
      <c r="M630" s="6">
        <v>45748</v>
      </c>
      <c r="N630" s="6">
        <v>45992</v>
      </c>
      <c r="O630" s="7">
        <v>67.19</v>
      </c>
      <c r="P630" s="5">
        <f t="shared" si="28"/>
        <v>8</v>
      </c>
      <c r="Q630" s="5" t="s">
        <v>264</v>
      </c>
      <c r="R630" s="5" t="s">
        <v>1086</v>
      </c>
      <c r="S630" s="5" t="s">
        <v>58</v>
      </c>
      <c r="T630" s="9">
        <v>0.375</v>
      </c>
      <c r="U630" s="5" t="s">
        <v>60</v>
      </c>
      <c r="V630" s="5" t="s">
        <v>61</v>
      </c>
      <c r="W630" s="7">
        <v>0</v>
      </c>
      <c r="X630" s="7">
        <v>25.2</v>
      </c>
      <c r="Y630" s="7">
        <v>25.2</v>
      </c>
      <c r="Z630" s="5" t="s">
        <v>379</v>
      </c>
    </row>
    <row r="631" spans="1:26" x14ac:dyDescent="0.25">
      <c r="A631" s="5">
        <v>2028076165</v>
      </c>
      <c r="B631" s="5" t="s">
        <v>910</v>
      </c>
      <c r="C631" s="5" t="s">
        <v>911</v>
      </c>
      <c r="D631" s="5" t="str">
        <f t="shared" si="29"/>
        <v>BROMLEY MONIKA</v>
      </c>
      <c r="E631" s="5" t="s">
        <v>261</v>
      </c>
      <c r="F631" s="5" t="s">
        <v>378</v>
      </c>
      <c r="G631" s="5" t="s">
        <v>379</v>
      </c>
      <c r="H631" s="5">
        <v>19586992</v>
      </c>
      <c r="I631" s="5" t="s">
        <v>398</v>
      </c>
      <c r="J631" s="5" t="s">
        <v>399</v>
      </c>
      <c r="K631" s="5" t="str">
        <f t="shared" si="31"/>
        <v>Barry Schumann</v>
      </c>
      <c r="L631" s="5" t="s">
        <v>57</v>
      </c>
      <c r="M631" s="6">
        <v>45748</v>
      </c>
      <c r="N631" s="6">
        <v>45992</v>
      </c>
      <c r="O631" s="7">
        <v>55.04</v>
      </c>
      <c r="P631" s="5">
        <f t="shared" si="28"/>
        <v>8</v>
      </c>
      <c r="Q631" s="5" t="s">
        <v>264</v>
      </c>
      <c r="R631" s="5" t="s">
        <v>1086</v>
      </c>
      <c r="S631" s="5" t="s">
        <v>58</v>
      </c>
      <c r="T631" s="9">
        <v>0.375</v>
      </c>
      <c r="U631" s="5" t="s">
        <v>60</v>
      </c>
      <c r="V631" s="5" t="s">
        <v>61</v>
      </c>
      <c r="W631" s="7">
        <v>0</v>
      </c>
      <c r="X631" s="7">
        <v>20.64</v>
      </c>
      <c r="Y631" s="7">
        <v>20.64</v>
      </c>
      <c r="Z631" s="5" t="s">
        <v>379</v>
      </c>
    </row>
    <row r="632" spans="1:26" x14ac:dyDescent="0.25">
      <c r="A632" s="5">
        <v>2027920262</v>
      </c>
      <c r="B632" s="5" t="s">
        <v>616</v>
      </c>
      <c r="C632" s="5" t="s">
        <v>617</v>
      </c>
      <c r="D632" s="5" t="str">
        <f t="shared" si="29"/>
        <v>LUTES NANCY</v>
      </c>
      <c r="E632" s="5" t="s">
        <v>92</v>
      </c>
      <c r="F632" s="5" t="s">
        <v>378</v>
      </c>
      <c r="G632" s="5" t="s">
        <v>379</v>
      </c>
      <c r="H632" s="5">
        <v>16865615</v>
      </c>
      <c r="I632" s="5" t="s">
        <v>93</v>
      </c>
      <c r="J632" s="5" t="s">
        <v>94</v>
      </c>
      <c r="K632" s="5" t="str">
        <f t="shared" si="31"/>
        <v>Heather Geske</v>
      </c>
      <c r="L632" s="5" t="s">
        <v>57</v>
      </c>
      <c r="M632" s="6">
        <v>45744</v>
      </c>
      <c r="N632" s="6">
        <v>45989</v>
      </c>
      <c r="O632" s="7">
        <v>53.08</v>
      </c>
      <c r="P632" s="5">
        <f t="shared" si="28"/>
        <v>8</v>
      </c>
      <c r="Q632" s="5" t="s">
        <v>264</v>
      </c>
      <c r="R632" s="5" t="s">
        <v>1086</v>
      </c>
      <c r="S632" s="5" t="s">
        <v>58</v>
      </c>
      <c r="T632" s="9">
        <v>0.375</v>
      </c>
      <c r="U632" s="5" t="s">
        <v>60</v>
      </c>
      <c r="V632" s="5" t="s">
        <v>61</v>
      </c>
      <c r="W632" s="7">
        <v>0</v>
      </c>
      <c r="X632" s="7">
        <v>19.899999999999999</v>
      </c>
      <c r="Y632" s="7">
        <v>19.899999999999999</v>
      </c>
      <c r="Z632" s="5" t="s">
        <v>379</v>
      </c>
    </row>
    <row r="633" spans="1:26" x14ac:dyDescent="0.25">
      <c r="A633" s="5">
        <v>2027916436</v>
      </c>
      <c r="B633" s="5" t="s">
        <v>898</v>
      </c>
      <c r="C633" s="5" t="s">
        <v>224</v>
      </c>
      <c r="D633" s="5" t="str">
        <f t="shared" si="29"/>
        <v>ZESSAR ANDREW</v>
      </c>
      <c r="E633" s="5" t="s">
        <v>69</v>
      </c>
      <c r="F633" s="5" t="s">
        <v>378</v>
      </c>
      <c r="G633" s="5" t="s">
        <v>379</v>
      </c>
      <c r="H633" s="5" t="s">
        <v>1080</v>
      </c>
      <c r="I633" s="5" t="s">
        <v>175</v>
      </c>
      <c r="J633" s="5" t="s">
        <v>176</v>
      </c>
      <c r="K633" s="5" t="str">
        <f t="shared" si="31"/>
        <v>Jake Shulman</v>
      </c>
      <c r="L633" s="5" t="s">
        <v>57</v>
      </c>
      <c r="M633" s="6">
        <v>45748</v>
      </c>
      <c r="N633" s="6">
        <v>45992</v>
      </c>
      <c r="O633" s="7">
        <v>22.52</v>
      </c>
      <c r="P633" s="5">
        <f t="shared" si="28"/>
        <v>8</v>
      </c>
      <c r="Q633" s="5" t="s">
        <v>264</v>
      </c>
      <c r="R633" s="5" t="s">
        <v>1086</v>
      </c>
      <c r="S633" s="5" t="s">
        <v>58</v>
      </c>
      <c r="T633" s="9">
        <v>0.375</v>
      </c>
      <c r="U633" s="5" t="s">
        <v>60</v>
      </c>
      <c r="V633" s="5" t="s">
        <v>61</v>
      </c>
      <c r="W633" s="7">
        <v>0</v>
      </c>
      <c r="X633" s="7">
        <v>8.44</v>
      </c>
      <c r="Y633" s="7">
        <v>8.44</v>
      </c>
      <c r="Z633" s="5" t="s">
        <v>379</v>
      </c>
    </row>
    <row r="634" spans="1:26" x14ac:dyDescent="0.25">
      <c r="A634" s="5">
        <v>2027980064</v>
      </c>
      <c r="B634" s="5" t="s">
        <v>903</v>
      </c>
      <c r="C634" s="5" t="s">
        <v>342</v>
      </c>
      <c r="D634" s="5" t="str">
        <f t="shared" si="29"/>
        <v>MARVIN STEVEN</v>
      </c>
      <c r="E634" s="5" t="s">
        <v>69</v>
      </c>
      <c r="F634" s="5" t="s">
        <v>378</v>
      </c>
      <c r="G634" s="5" t="s">
        <v>379</v>
      </c>
      <c r="H634" s="5" t="s">
        <v>1080</v>
      </c>
      <c r="I634" s="5" t="s">
        <v>175</v>
      </c>
      <c r="J634" s="5" t="s">
        <v>176</v>
      </c>
      <c r="K634" s="5" t="str">
        <f t="shared" si="31"/>
        <v>Jake Shulman</v>
      </c>
      <c r="L634" s="5" t="s">
        <v>57</v>
      </c>
      <c r="M634" s="6">
        <v>45748</v>
      </c>
      <c r="N634" s="6">
        <v>45992</v>
      </c>
      <c r="O634" s="7">
        <v>48.61</v>
      </c>
      <c r="P634" s="5">
        <f t="shared" si="28"/>
        <v>8</v>
      </c>
      <c r="Q634" s="5" t="s">
        <v>264</v>
      </c>
      <c r="R634" s="5" t="s">
        <v>1086</v>
      </c>
      <c r="S634" s="5" t="s">
        <v>58</v>
      </c>
      <c r="T634" s="9">
        <v>0.375</v>
      </c>
      <c r="U634" s="5" t="s">
        <v>60</v>
      </c>
      <c r="V634" s="5" t="s">
        <v>61</v>
      </c>
      <c r="W634" s="7">
        <v>0</v>
      </c>
      <c r="X634" s="7">
        <v>18.23</v>
      </c>
      <c r="Y634" s="7">
        <v>18.23</v>
      </c>
      <c r="Z634" s="5" t="s">
        <v>379</v>
      </c>
    </row>
    <row r="635" spans="1:26" x14ac:dyDescent="0.25">
      <c r="A635" s="5">
        <v>2028139273</v>
      </c>
      <c r="B635" s="5" t="s">
        <v>915</v>
      </c>
      <c r="C635" s="5" t="s">
        <v>312</v>
      </c>
      <c r="D635" s="5" t="str">
        <f t="shared" si="29"/>
        <v>CAUSE JOHN</v>
      </c>
      <c r="E635" s="5" t="s">
        <v>261</v>
      </c>
      <c r="F635" s="5" t="s">
        <v>378</v>
      </c>
      <c r="G635" s="5" t="s">
        <v>379</v>
      </c>
      <c r="H635" s="5">
        <v>21421111</v>
      </c>
      <c r="I635" s="5" t="s">
        <v>469</v>
      </c>
      <c r="J635" s="5" t="s">
        <v>470</v>
      </c>
      <c r="K635" s="5" t="str">
        <f t="shared" si="31"/>
        <v>Kirk Tigue</v>
      </c>
      <c r="L635" s="5" t="s">
        <v>57</v>
      </c>
      <c r="M635" s="6">
        <v>45748</v>
      </c>
      <c r="N635" s="6">
        <v>45992</v>
      </c>
      <c r="O635" s="7">
        <v>18.62</v>
      </c>
      <c r="P635" s="5">
        <f t="shared" si="28"/>
        <v>8</v>
      </c>
      <c r="Q635" s="5" t="s">
        <v>264</v>
      </c>
      <c r="R635" s="5" t="s">
        <v>1086</v>
      </c>
      <c r="S635" s="5" t="s">
        <v>58</v>
      </c>
      <c r="T635" s="9">
        <v>0.375</v>
      </c>
      <c r="U635" s="5" t="s">
        <v>60</v>
      </c>
      <c r="V635" s="5" t="s">
        <v>61</v>
      </c>
      <c r="W635" s="7">
        <v>0</v>
      </c>
      <c r="X635" s="7">
        <v>6.98</v>
      </c>
      <c r="Y635" s="7">
        <v>6.98</v>
      </c>
      <c r="Z635" s="5" t="s">
        <v>379</v>
      </c>
    </row>
    <row r="636" spans="1:26" x14ac:dyDescent="0.25">
      <c r="A636" s="5">
        <v>2027741057</v>
      </c>
      <c r="B636" s="5" t="s">
        <v>608</v>
      </c>
      <c r="C636" s="5" t="s">
        <v>609</v>
      </c>
      <c r="D636" s="5" t="str">
        <f t="shared" si="29"/>
        <v>CHYA JOSIAH</v>
      </c>
      <c r="E636" s="5" t="s">
        <v>69</v>
      </c>
      <c r="F636" s="5" t="s">
        <v>378</v>
      </c>
      <c r="G636" s="5" t="s">
        <v>379</v>
      </c>
      <c r="H636" s="5">
        <v>18828278</v>
      </c>
      <c r="I636" s="5" t="s">
        <v>97</v>
      </c>
      <c r="J636" s="5" t="s">
        <v>98</v>
      </c>
      <c r="K636" s="5" t="str">
        <f t="shared" si="31"/>
        <v>MICHAEL DUNAVANT</v>
      </c>
      <c r="L636" s="5" t="s">
        <v>57</v>
      </c>
      <c r="M636" s="6">
        <v>45748</v>
      </c>
      <c r="N636" s="6">
        <v>45992</v>
      </c>
      <c r="O636" s="7">
        <v>32.67</v>
      </c>
      <c r="P636" s="5">
        <f t="shared" si="28"/>
        <v>8</v>
      </c>
      <c r="Q636" s="5" t="s">
        <v>264</v>
      </c>
      <c r="R636" s="5" t="s">
        <v>1086</v>
      </c>
      <c r="S636" s="5" t="s">
        <v>58</v>
      </c>
      <c r="T636" s="9">
        <v>0.375</v>
      </c>
      <c r="U636" s="5" t="s">
        <v>60</v>
      </c>
      <c r="V636" s="5" t="s">
        <v>61</v>
      </c>
      <c r="W636" s="7">
        <v>0</v>
      </c>
      <c r="X636" s="7">
        <v>12.25</v>
      </c>
      <c r="Y636" s="7">
        <v>12.25</v>
      </c>
      <c r="Z636" s="5" t="s">
        <v>379</v>
      </c>
    </row>
    <row r="637" spans="1:26" x14ac:dyDescent="0.25">
      <c r="A637" s="5">
        <v>2027858971</v>
      </c>
      <c r="B637" s="5" t="s">
        <v>893</v>
      </c>
      <c r="C637" s="5" t="s">
        <v>576</v>
      </c>
      <c r="D637" s="5" t="str">
        <f t="shared" si="29"/>
        <v>BETTIS JACKSON</v>
      </c>
      <c r="E637" s="5" t="s">
        <v>69</v>
      </c>
      <c r="F637" s="5" t="s">
        <v>378</v>
      </c>
      <c r="G637" s="5" t="s">
        <v>379</v>
      </c>
      <c r="H637" s="5">
        <v>8244481</v>
      </c>
      <c r="I637" s="5" t="s">
        <v>894</v>
      </c>
      <c r="J637" s="5" t="s">
        <v>675</v>
      </c>
      <c r="K637" s="5" t="str">
        <f t="shared" si="31"/>
        <v>PAMELA DEATON</v>
      </c>
      <c r="L637" s="5" t="s">
        <v>57</v>
      </c>
      <c r="M637" s="6">
        <v>45748</v>
      </c>
      <c r="N637" s="6">
        <v>45992</v>
      </c>
      <c r="O637" s="7">
        <v>57.11</v>
      </c>
      <c r="P637" s="5">
        <f t="shared" si="28"/>
        <v>8</v>
      </c>
      <c r="Q637" s="5" t="s">
        <v>264</v>
      </c>
      <c r="R637" s="5" t="s">
        <v>1086</v>
      </c>
      <c r="S637" s="5" t="s">
        <v>58</v>
      </c>
      <c r="T637" s="9">
        <v>0.375</v>
      </c>
      <c r="U637" s="5" t="s">
        <v>60</v>
      </c>
      <c r="V637" s="5" t="s">
        <v>61</v>
      </c>
      <c r="W637" s="7">
        <v>0</v>
      </c>
      <c r="X637" s="7">
        <v>21.42</v>
      </c>
      <c r="Y637" s="7">
        <v>21.42</v>
      </c>
      <c r="Z637" s="5" t="s">
        <v>379</v>
      </c>
    </row>
    <row r="638" spans="1:26" x14ac:dyDescent="0.25">
      <c r="A638" s="5">
        <v>2028064455</v>
      </c>
      <c r="B638" s="5" t="s">
        <v>909</v>
      </c>
      <c r="C638" s="5" t="s">
        <v>312</v>
      </c>
      <c r="D638" s="5" t="str">
        <f t="shared" si="29"/>
        <v>MCGIN JOHN</v>
      </c>
      <c r="E638" s="5" t="s">
        <v>81</v>
      </c>
      <c r="F638" s="5" t="s">
        <v>378</v>
      </c>
      <c r="G638" s="5" t="s">
        <v>379</v>
      </c>
      <c r="H638" s="5">
        <v>16633294</v>
      </c>
      <c r="I638" s="5" t="s">
        <v>70</v>
      </c>
      <c r="J638" s="5" t="s">
        <v>183</v>
      </c>
      <c r="K638" s="5" t="str">
        <f t="shared" si="31"/>
        <v>Richard Yale</v>
      </c>
      <c r="L638" s="5" t="s">
        <v>57</v>
      </c>
      <c r="M638" s="6">
        <v>45748</v>
      </c>
      <c r="N638" s="6">
        <v>45992</v>
      </c>
      <c r="O638" s="7">
        <v>69.67</v>
      </c>
      <c r="P638" s="5">
        <f t="shared" si="28"/>
        <v>8</v>
      </c>
      <c r="Q638" s="5" t="s">
        <v>264</v>
      </c>
      <c r="R638" s="5" t="s">
        <v>1086</v>
      </c>
      <c r="S638" s="5" t="s">
        <v>58</v>
      </c>
      <c r="T638" s="9">
        <v>0.375</v>
      </c>
      <c r="U638" s="5" t="s">
        <v>60</v>
      </c>
      <c r="V638" s="5" t="s">
        <v>61</v>
      </c>
      <c r="W638" s="7">
        <v>0</v>
      </c>
      <c r="X638" s="7">
        <v>26.13</v>
      </c>
      <c r="Y638" s="7">
        <v>26.13</v>
      </c>
      <c r="Z638" s="5" t="s">
        <v>379</v>
      </c>
    </row>
    <row r="639" spans="1:26" x14ac:dyDescent="0.25">
      <c r="A639" s="5">
        <v>2028112436</v>
      </c>
      <c r="B639" s="5" t="s">
        <v>914</v>
      </c>
      <c r="C639" s="5" t="s">
        <v>374</v>
      </c>
      <c r="D639" s="5" t="str">
        <f t="shared" si="29"/>
        <v>TINNEY ROBERT</v>
      </c>
      <c r="E639" s="5" t="s">
        <v>165</v>
      </c>
      <c r="F639" s="5" t="s">
        <v>378</v>
      </c>
      <c r="G639" s="5" t="s">
        <v>379</v>
      </c>
      <c r="H639" s="5">
        <v>16633294</v>
      </c>
      <c r="I639" s="5" t="s">
        <v>70</v>
      </c>
      <c r="J639" s="5" t="s">
        <v>183</v>
      </c>
      <c r="K639" s="5" t="str">
        <f t="shared" si="31"/>
        <v>Richard Yale</v>
      </c>
      <c r="L639" s="5" t="s">
        <v>57</v>
      </c>
      <c r="M639" s="6">
        <v>45748</v>
      </c>
      <c r="N639" s="6">
        <v>45992</v>
      </c>
      <c r="O639" s="7">
        <v>49.19</v>
      </c>
      <c r="P639" s="5">
        <f t="shared" si="28"/>
        <v>8</v>
      </c>
      <c r="Q639" s="5" t="s">
        <v>264</v>
      </c>
      <c r="R639" s="5" t="s">
        <v>1086</v>
      </c>
      <c r="S639" s="5" t="s">
        <v>58</v>
      </c>
      <c r="T639" s="9">
        <v>0.375</v>
      </c>
      <c r="U639" s="5" t="s">
        <v>60</v>
      </c>
      <c r="V639" s="5" t="s">
        <v>61</v>
      </c>
      <c r="W639" s="7">
        <v>0</v>
      </c>
      <c r="X639" s="7">
        <v>18.45</v>
      </c>
      <c r="Y639" s="7">
        <v>18.45</v>
      </c>
      <c r="Z639" s="5" t="s">
        <v>379</v>
      </c>
    </row>
    <row r="640" spans="1:26" x14ac:dyDescent="0.25">
      <c r="A640" s="5">
        <v>2027430396</v>
      </c>
      <c r="B640" s="5" t="s">
        <v>887</v>
      </c>
      <c r="C640" s="5" t="s">
        <v>888</v>
      </c>
      <c r="D640" s="5" t="str">
        <f t="shared" si="29"/>
        <v>WOJTASIK JAY</v>
      </c>
      <c r="E640" s="5" t="s">
        <v>69</v>
      </c>
      <c r="F640" s="5" t="s">
        <v>378</v>
      </c>
      <c r="G640" s="5" t="s">
        <v>379</v>
      </c>
      <c r="H640" s="5">
        <v>20220688</v>
      </c>
      <c r="I640" s="5" t="s">
        <v>769</v>
      </c>
      <c r="J640" s="5" t="s">
        <v>770</v>
      </c>
      <c r="K640" s="5" t="str">
        <f t="shared" si="31"/>
        <v>NASANDELGER ZANA</v>
      </c>
      <c r="L640" s="5" t="s">
        <v>57</v>
      </c>
      <c r="M640" s="6">
        <v>45716</v>
      </c>
      <c r="N640" s="6">
        <v>45989</v>
      </c>
      <c r="O640" s="7">
        <v>113.66</v>
      </c>
      <c r="P640" s="5">
        <f t="shared" si="28"/>
        <v>9</v>
      </c>
      <c r="Q640" s="5" t="s">
        <v>264</v>
      </c>
      <c r="R640" s="5" t="s">
        <v>1086</v>
      </c>
      <c r="S640" s="5" t="s">
        <v>58</v>
      </c>
      <c r="T640" s="9">
        <v>0.375</v>
      </c>
      <c r="U640" s="5" t="s">
        <v>60</v>
      </c>
      <c r="V640" s="5" t="s">
        <v>61</v>
      </c>
      <c r="W640" s="7">
        <v>0</v>
      </c>
      <c r="X640" s="7">
        <v>42.62</v>
      </c>
      <c r="Y640" s="7">
        <v>42.62</v>
      </c>
      <c r="Z640" s="5" t="s">
        <v>379</v>
      </c>
    </row>
    <row r="641" spans="1:26" x14ac:dyDescent="0.25">
      <c r="A641" s="5">
        <v>2027431059</v>
      </c>
      <c r="B641" s="5" t="s">
        <v>889</v>
      </c>
      <c r="C641" s="5" t="s">
        <v>890</v>
      </c>
      <c r="D641" s="5" t="str">
        <f t="shared" si="29"/>
        <v>DIAKITE FATOUMATA</v>
      </c>
      <c r="E641" s="5" t="s">
        <v>190</v>
      </c>
      <c r="F641" s="5" t="s">
        <v>378</v>
      </c>
      <c r="G641" s="5" t="s">
        <v>379</v>
      </c>
      <c r="H641" s="5">
        <v>371819</v>
      </c>
      <c r="I641" s="5" t="s">
        <v>237</v>
      </c>
      <c r="J641" s="5" t="s">
        <v>103</v>
      </c>
      <c r="K641" s="5" t="str">
        <f t="shared" si="31"/>
        <v>THOMAS PARDUE</v>
      </c>
      <c r="L641" s="5" t="s">
        <v>57</v>
      </c>
      <c r="M641" s="6">
        <v>45716</v>
      </c>
      <c r="N641" s="6">
        <v>45989</v>
      </c>
      <c r="O641" s="7">
        <v>29.06</v>
      </c>
      <c r="P641" s="5">
        <f t="shared" si="28"/>
        <v>9</v>
      </c>
      <c r="Q641" s="5" t="s">
        <v>264</v>
      </c>
      <c r="R641" s="5" t="s">
        <v>1086</v>
      </c>
      <c r="S641" s="5" t="s">
        <v>58</v>
      </c>
      <c r="T641" s="9">
        <v>0.375</v>
      </c>
      <c r="U641" s="5" t="s">
        <v>60</v>
      </c>
      <c r="V641" s="5" t="s">
        <v>61</v>
      </c>
      <c r="W641" s="7">
        <v>0</v>
      </c>
      <c r="X641" s="7">
        <v>10.9</v>
      </c>
      <c r="Y641" s="7">
        <v>10.9</v>
      </c>
      <c r="Z641" s="5" t="s">
        <v>379</v>
      </c>
    </row>
    <row r="642" spans="1:26" x14ac:dyDescent="0.25">
      <c r="A642" s="5">
        <v>2026809781</v>
      </c>
      <c r="B642" s="5" t="s">
        <v>877</v>
      </c>
      <c r="C642" s="5" t="s">
        <v>878</v>
      </c>
      <c r="D642" s="5" t="str">
        <f t="shared" si="29"/>
        <v>LEWIS ALAN</v>
      </c>
      <c r="E642" s="5" t="s">
        <v>69</v>
      </c>
      <c r="F642" s="5" t="s">
        <v>378</v>
      </c>
      <c r="G642" s="5" t="s">
        <v>379</v>
      </c>
      <c r="H642" s="5">
        <v>7470776</v>
      </c>
      <c r="I642" s="5" t="s">
        <v>74</v>
      </c>
      <c r="J642" s="5" t="s">
        <v>75</v>
      </c>
      <c r="K642" s="5" t="str">
        <f t="shared" si="31"/>
        <v>Andrew Choi</v>
      </c>
      <c r="L642" s="5" t="s">
        <v>57</v>
      </c>
      <c r="M642" s="6">
        <v>45689</v>
      </c>
      <c r="N642" s="6">
        <v>45992</v>
      </c>
      <c r="O642" s="7">
        <v>64.760000000000005</v>
      </c>
      <c r="P642" s="5">
        <f t="shared" ref="P642:P705" si="32">DATEDIF(M642,N642,"M")</f>
        <v>10</v>
      </c>
      <c r="Q642" s="5" t="s">
        <v>264</v>
      </c>
      <c r="R642" s="5" t="s">
        <v>1086</v>
      </c>
      <c r="S642" s="5" t="s">
        <v>58</v>
      </c>
      <c r="T642" s="9">
        <v>0.375</v>
      </c>
      <c r="U642" s="5" t="s">
        <v>60</v>
      </c>
      <c r="V642" s="5" t="s">
        <v>61</v>
      </c>
      <c r="W642" s="7">
        <v>0</v>
      </c>
      <c r="X642" s="7">
        <v>24.28</v>
      </c>
      <c r="Y642" s="7">
        <v>24.28</v>
      </c>
      <c r="Z642" s="5" t="s">
        <v>379</v>
      </c>
    </row>
    <row r="643" spans="1:26" x14ac:dyDescent="0.25">
      <c r="A643" s="5">
        <v>2026838332</v>
      </c>
      <c r="B643" s="5" t="s">
        <v>881</v>
      </c>
      <c r="C643" s="5" t="s">
        <v>216</v>
      </c>
      <c r="D643" s="5" t="str">
        <f t="shared" ref="D643:D706" si="33">CONCATENATE(B643, " ",C643)</f>
        <v>KINCAID KEVIN</v>
      </c>
      <c r="E643" s="5" t="s">
        <v>69</v>
      </c>
      <c r="F643" s="5" t="s">
        <v>378</v>
      </c>
      <c r="G643" s="5" t="s">
        <v>379</v>
      </c>
      <c r="H643" s="5">
        <v>8814784</v>
      </c>
      <c r="I643" s="5" t="s">
        <v>147</v>
      </c>
      <c r="J643" s="5" t="s">
        <v>148</v>
      </c>
      <c r="K643" s="5" t="str">
        <f t="shared" si="31"/>
        <v>FRANK LISKOVEC</v>
      </c>
      <c r="L643" s="5" t="s">
        <v>57</v>
      </c>
      <c r="M643" s="6">
        <v>45689</v>
      </c>
      <c r="N643" s="6">
        <v>45992</v>
      </c>
      <c r="O643" s="7">
        <v>83.05</v>
      </c>
      <c r="P643" s="5">
        <f t="shared" si="32"/>
        <v>10</v>
      </c>
      <c r="Q643" s="5" t="s">
        <v>264</v>
      </c>
      <c r="R643" s="5" t="s">
        <v>1086</v>
      </c>
      <c r="S643" s="5" t="s">
        <v>58</v>
      </c>
      <c r="T643" s="9">
        <v>0.375</v>
      </c>
      <c r="U643" s="5" t="s">
        <v>60</v>
      </c>
      <c r="V643" s="5" t="s">
        <v>61</v>
      </c>
      <c r="W643" s="7">
        <v>0</v>
      </c>
      <c r="X643" s="7">
        <v>31.14</v>
      </c>
      <c r="Y643" s="7">
        <v>31.14</v>
      </c>
      <c r="Z643" s="5" t="s">
        <v>379</v>
      </c>
    </row>
    <row r="644" spans="1:26" x14ac:dyDescent="0.25">
      <c r="A644" s="5">
        <v>2026605718</v>
      </c>
      <c r="B644" s="5" t="s">
        <v>582</v>
      </c>
      <c r="C644" s="5" t="s">
        <v>106</v>
      </c>
      <c r="D644" s="5" t="str">
        <f t="shared" si="33"/>
        <v>FARNSWORTH ETHAN</v>
      </c>
      <c r="E644" s="5" t="s">
        <v>92</v>
      </c>
      <c r="F644" s="5" t="s">
        <v>378</v>
      </c>
      <c r="G644" s="5" t="s">
        <v>379</v>
      </c>
      <c r="H644" s="5">
        <v>16865615</v>
      </c>
      <c r="I644" s="5" t="s">
        <v>93</v>
      </c>
      <c r="J644" s="5" t="s">
        <v>94</v>
      </c>
      <c r="K644" s="5" t="str">
        <f t="shared" si="31"/>
        <v>Heather Geske</v>
      </c>
      <c r="L644" s="5" t="s">
        <v>57</v>
      </c>
      <c r="M644" s="6">
        <v>45689</v>
      </c>
      <c r="N644" s="6">
        <v>45992</v>
      </c>
      <c r="O644" s="7">
        <v>29.18</v>
      </c>
      <c r="P644" s="5">
        <f t="shared" si="32"/>
        <v>10</v>
      </c>
      <c r="Q644" s="5" t="s">
        <v>264</v>
      </c>
      <c r="R644" s="5" t="s">
        <v>1086</v>
      </c>
      <c r="S644" s="5" t="s">
        <v>58</v>
      </c>
      <c r="T644" s="9">
        <v>0.375</v>
      </c>
      <c r="U644" s="5" t="s">
        <v>60</v>
      </c>
      <c r="V644" s="5" t="s">
        <v>61</v>
      </c>
      <c r="W644" s="7">
        <v>0</v>
      </c>
      <c r="X644" s="7">
        <v>10.94</v>
      </c>
      <c r="Y644" s="7">
        <v>10.94</v>
      </c>
      <c r="Z644" s="5" t="s">
        <v>379</v>
      </c>
    </row>
    <row r="645" spans="1:26" x14ac:dyDescent="0.25">
      <c r="A645" s="5">
        <v>2026608091</v>
      </c>
      <c r="B645" s="5" t="s">
        <v>856</v>
      </c>
      <c r="C645" s="5" t="s">
        <v>268</v>
      </c>
      <c r="D645" s="5" t="str">
        <f t="shared" si="33"/>
        <v>RIO-COOPER JULIE</v>
      </c>
      <c r="E645" s="5" t="s">
        <v>92</v>
      </c>
      <c r="F645" s="5" t="s">
        <v>378</v>
      </c>
      <c r="G645" s="5" t="s">
        <v>379</v>
      </c>
      <c r="H645" s="5">
        <v>16865615</v>
      </c>
      <c r="I645" s="5" t="s">
        <v>93</v>
      </c>
      <c r="J645" s="5" t="s">
        <v>94</v>
      </c>
      <c r="K645" s="5" t="str">
        <f t="shared" si="31"/>
        <v>Heather Geske</v>
      </c>
      <c r="L645" s="5" t="s">
        <v>57</v>
      </c>
      <c r="M645" s="6">
        <v>45689</v>
      </c>
      <c r="N645" s="6">
        <v>45992</v>
      </c>
      <c r="O645" s="7">
        <v>38.74</v>
      </c>
      <c r="P645" s="5">
        <f t="shared" si="32"/>
        <v>10</v>
      </c>
      <c r="Q645" s="5" t="s">
        <v>264</v>
      </c>
      <c r="R645" s="5" t="s">
        <v>1086</v>
      </c>
      <c r="S645" s="5" t="s">
        <v>58</v>
      </c>
      <c r="T645" s="9">
        <v>0.375</v>
      </c>
      <c r="U645" s="5" t="s">
        <v>60</v>
      </c>
      <c r="V645" s="5" t="s">
        <v>61</v>
      </c>
      <c r="W645" s="7">
        <v>0</v>
      </c>
      <c r="X645" s="7">
        <v>14.53</v>
      </c>
      <c r="Y645" s="7">
        <v>14.53</v>
      </c>
      <c r="Z645" s="5" t="s">
        <v>379</v>
      </c>
    </row>
    <row r="646" spans="1:26" x14ac:dyDescent="0.25">
      <c r="A646" s="5">
        <v>2026627934</v>
      </c>
      <c r="B646" s="5" t="s">
        <v>857</v>
      </c>
      <c r="C646" s="5" t="s">
        <v>858</v>
      </c>
      <c r="D646" s="5" t="str">
        <f t="shared" si="33"/>
        <v>SALAZAR JEFFREY</v>
      </c>
      <c r="E646" s="5" t="s">
        <v>92</v>
      </c>
      <c r="F646" s="5" t="s">
        <v>378</v>
      </c>
      <c r="G646" s="5" t="s">
        <v>379</v>
      </c>
      <c r="H646" s="5">
        <v>16865615</v>
      </c>
      <c r="I646" s="5" t="s">
        <v>93</v>
      </c>
      <c r="J646" s="5" t="s">
        <v>94</v>
      </c>
      <c r="K646" s="5" t="str">
        <f t="shared" si="31"/>
        <v>Heather Geske</v>
      </c>
      <c r="L646" s="5" t="s">
        <v>57</v>
      </c>
      <c r="M646" s="6">
        <v>45689</v>
      </c>
      <c r="N646" s="6">
        <v>45992</v>
      </c>
      <c r="O646" s="7">
        <v>79.06</v>
      </c>
      <c r="P646" s="5">
        <f t="shared" si="32"/>
        <v>10</v>
      </c>
      <c r="Q646" s="5" t="s">
        <v>264</v>
      </c>
      <c r="R646" s="5" t="s">
        <v>1086</v>
      </c>
      <c r="S646" s="5" t="s">
        <v>58</v>
      </c>
      <c r="T646" s="9">
        <v>0.375</v>
      </c>
      <c r="U646" s="5" t="s">
        <v>60</v>
      </c>
      <c r="V646" s="5" t="s">
        <v>61</v>
      </c>
      <c r="W646" s="7">
        <v>0</v>
      </c>
      <c r="X646" s="7">
        <v>29.65</v>
      </c>
      <c r="Y646" s="7">
        <v>29.65</v>
      </c>
      <c r="Z646" s="5" t="s">
        <v>379</v>
      </c>
    </row>
    <row r="647" spans="1:26" x14ac:dyDescent="0.25">
      <c r="A647" s="5">
        <v>2026812431</v>
      </c>
      <c r="B647" s="5" t="s">
        <v>600</v>
      </c>
      <c r="C647" s="5" t="s">
        <v>601</v>
      </c>
      <c r="D647" s="5" t="str">
        <f t="shared" si="33"/>
        <v>JIMENEZ FIDEL</v>
      </c>
      <c r="E647" s="5" t="s">
        <v>92</v>
      </c>
      <c r="F647" s="5" t="s">
        <v>378</v>
      </c>
      <c r="G647" s="5" t="s">
        <v>379</v>
      </c>
      <c r="H647" s="5">
        <v>16865615</v>
      </c>
      <c r="I647" s="5" t="s">
        <v>93</v>
      </c>
      <c r="J647" s="5" t="s">
        <v>94</v>
      </c>
      <c r="K647" s="5" t="str">
        <f t="shared" si="31"/>
        <v>Heather Geske</v>
      </c>
      <c r="L647" s="5" t="s">
        <v>57</v>
      </c>
      <c r="M647" s="6">
        <v>45690</v>
      </c>
      <c r="N647" s="6">
        <v>45993</v>
      </c>
      <c r="O647" s="7">
        <v>158.06</v>
      </c>
      <c r="P647" s="5">
        <f t="shared" si="32"/>
        <v>10</v>
      </c>
      <c r="Q647" s="5" t="s">
        <v>264</v>
      </c>
      <c r="R647" s="5" t="s">
        <v>1086</v>
      </c>
      <c r="S647" s="5" t="s">
        <v>58</v>
      </c>
      <c r="T647" s="9">
        <v>0.375</v>
      </c>
      <c r="U647" s="5" t="s">
        <v>60</v>
      </c>
      <c r="V647" s="5" t="s">
        <v>61</v>
      </c>
      <c r="W647" s="7">
        <v>0</v>
      </c>
      <c r="X647" s="7">
        <v>59.27</v>
      </c>
      <c r="Y647" s="7">
        <v>59.27</v>
      </c>
      <c r="Z647" s="5" t="s">
        <v>379</v>
      </c>
    </row>
    <row r="648" spans="1:26" x14ac:dyDescent="0.25">
      <c r="A648" s="5">
        <v>2026421011</v>
      </c>
      <c r="B648" s="5" t="s">
        <v>775</v>
      </c>
      <c r="C648" s="5" t="s">
        <v>230</v>
      </c>
      <c r="D648" s="5" t="str">
        <f t="shared" si="33"/>
        <v>PAINTER MARY</v>
      </c>
      <c r="E648" s="5" t="s">
        <v>69</v>
      </c>
      <c r="F648" s="5" t="s">
        <v>378</v>
      </c>
      <c r="G648" s="5" t="s">
        <v>379</v>
      </c>
      <c r="H648" s="5">
        <v>18828278</v>
      </c>
      <c r="I648" s="5" t="s">
        <v>97</v>
      </c>
      <c r="J648" s="5" t="s">
        <v>98</v>
      </c>
      <c r="K648" s="5" t="str">
        <f t="shared" si="31"/>
        <v>MICHAEL DUNAVANT</v>
      </c>
      <c r="L648" s="5" t="s">
        <v>57</v>
      </c>
      <c r="M648" s="6">
        <v>45689</v>
      </c>
      <c r="N648" s="6">
        <v>45992</v>
      </c>
      <c r="O648" s="7">
        <v>48.61</v>
      </c>
      <c r="P648" s="5">
        <f t="shared" si="32"/>
        <v>10</v>
      </c>
      <c r="Q648" s="5" t="s">
        <v>264</v>
      </c>
      <c r="R648" s="5" t="s">
        <v>1086</v>
      </c>
      <c r="S648" s="5" t="s">
        <v>58</v>
      </c>
      <c r="T648" s="9">
        <v>0.375</v>
      </c>
      <c r="U648" s="5" t="s">
        <v>60</v>
      </c>
      <c r="V648" s="5" t="s">
        <v>61</v>
      </c>
      <c r="W648" s="7">
        <v>0</v>
      </c>
      <c r="X648" s="7">
        <v>18.23</v>
      </c>
      <c r="Y648" s="7">
        <v>18.23</v>
      </c>
      <c r="Z648" s="5" t="s">
        <v>379</v>
      </c>
    </row>
    <row r="649" spans="1:26" x14ac:dyDescent="0.25">
      <c r="A649" s="5">
        <v>2026490244</v>
      </c>
      <c r="B649" s="5" t="s">
        <v>854</v>
      </c>
      <c r="C649" s="5" t="s">
        <v>855</v>
      </c>
      <c r="D649" s="5" t="str">
        <f t="shared" si="33"/>
        <v>VOELZKE ALICE</v>
      </c>
      <c r="E649" s="5" t="s">
        <v>69</v>
      </c>
      <c r="F649" s="5" t="s">
        <v>378</v>
      </c>
      <c r="G649" s="5" t="s">
        <v>379</v>
      </c>
      <c r="H649" s="5">
        <v>18828278</v>
      </c>
      <c r="I649" s="5" t="s">
        <v>97</v>
      </c>
      <c r="J649" s="5" t="s">
        <v>98</v>
      </c>
      <c r="K649" s="5" t="str">
        <f t="shared" ref="K649:K680" si="34">CONCATENATE(J649, " ",I649)</f>
        <v>MICHAEL DUNAVANT</v>
      </c>
      <c r="L649" s="5" t="s">
        <v>57</v>
      </c>
      <c r="M649" s="6">
        <v>45689</v>
      </c>
      <c r="N649" s="6">
        <v>45992</v>
      </c>
      <c r="O649" s="7">
        <v>22.52</v>
      </c>
      <c r="P649" s="5">
        <f t="shared" si="32"/>
        <v>10</v>
      </c>
      <c r="Q649" s="5" t="s">
        <v>264</v>
      </c>
      <c r="R649" s="5" t="s">
        <v>1086</v>
      </c>
      <c r="S649" s="5" t="s">
        <v>58</v>
      </c>
      <c r="T649" s="9">
        <v>0.375</v>
      </c>
      <c r="U649" s="5" t="s">
        <v>60</v>
      </c>
      <c r="V649" s="5" t="s">
        <v>61</v>
      </c>
      <c r="W649" s="7">
        <v>0</v>
      </c>
      <c r="X649" s="7">
        <v>8.44</v>
      </c>
      <c r="Y649" s="7">
        <v>8.44</v>
      </c>
      <c r="Z649" s="5" t="s">
        <v>379</v>
      </c>
    </row>
    <row r="650" spans="1:26" x14ac:dyDescent="0.25">
      <c r="A650" s="5">
        <v>2025639473</v>
      </c>
      <c r="B650" s="5" t="s">
        <v>851</v>
      </c>
      <c r="C650" s="5" t="s">
        <v>852</v>
      </c>
      <c r="D650" s="5" t="str">
        <f t="shared" si="33"/>
        <v>KEO PRANY</v>
      </c>
      <c r="E650" s="5" t="s">
        <v>69</v>
      </c>
      <c r="F650" s="5" t="s">
        <v>378</v>
      </c>
      <c r="G650" s="5" t="s">
        <v>379</v>
      </c>
      <c r="H650" s="5">
        <v>8405446</v>
      </c>
      <c r="I650" s="5" t="s">
        <v>243</v>
      </c>
      <c r="J650" s="5" t="s">
        <v>244</v>
      </c>
      <c r="K650" s="5" t="str">
        <f t="shared" si="34"/>
        <v>PATSAMON THANADABOUTH</v>
      </c>
      <c r="L650" s="5" t="s">
        <v>57</v>
      </c>
      <c r="M650" s="6">
        <v>45689</v>
      </c>
      <c r="N650" s="6">
        <v>45992</v>
      </c>
      <c r="O650" s="7">
        <v>60.94</v>
      </c>
      <c r="P650" s="5">
        <f t="shared" si="32"/>
        <v>10</v>
      </c>
      <c r="Q650" s="5" t="s">
        <v>264</v>
      </c>
      <c r="R650" s="5" t="s">
        <v>1086</v>
      </c>
      <c r="S650" s="5" t="s">
        <v>58</v>
      </c>
      <c r="T650" s="9">
        <v>0.375</v>
      </c>
      <c r="U650" s="5" t="s">
        <v>60</v>
      </c>
      <c r="V650" s="5" t="s">
        <v>61</v>
      </c>
      <c r="W650" s="7">
        <v>0</v>
      </c>
      <c r="X650" s="7">
        <v>22.85</v>
      </c>
      <c r="Y650" s="7">
        <v>22.85</v>
      </c>
      <c r="Z650" s="5" t="s">
        <v>379</v>
      </c>
    </row>
    <row r="651" spans="1:26" x14ac:dyDescent="0.25">
      <c r="A651" s="5">
        <v>2026757479</v>
      </c>
      <c r="B651" s="5" t="s">
        <v>869</v>
      </c>
      <c r="C651" s="5" t="s">
        <v>354</v>
      </c>
      <c r="D651" s="5" t="str">
        <f t="shared" si="33"/>
        <v>ROBINSON JAMES</v>
      </c>
      <c r="E651" s="5" t="s">
        <v>52</v>
      </c>
      <c r="F651" s="5" t="s">
        <v>378</v>
      </c>
      <c r="G651" s="5" t="s">
        <v>379</v>
      </c>
      <c r="H651" s="5">
        <v>16509456</v>
      </c>
      <c r="I651" s="5" t="s">
        <v>155</v>
      </c>
      <c r="J651" s="5" t="s">
        <v>481</v>
      </c>
      <c r="K651" s="5" t="str">
        <f t="shared" si="34"/>
        <v>PETER RICHTER</v>
      </c>
      <c r="L651" s="5" t="s">
        <v>57</v>
      </c>
      <c r="M651" s="6">
        <v>45682</v>
      </c>
      <c r="N651" s="6">
        <v>45986</v>
      </c>
      <c r="O651" s="7">
        <v>61.9</v>
      </c>
      <c r="P651" s="5">
        <f t="shared" si="32"/>
        <v>10</v>
      </c>
      <c r="Q651" s="5" t="s">
        <v>264</v>
      </c>
      <c r="R651" s="5" t="s">
        <v>1086</v>
      </c>
      <c r="S651" s="5" t="s">
        <v>58</v>
      </c>
      <c r="T651" s="9">
        <v>0.375</v>
      </c>
      <c r="U651" s="5" t="s">
        <v>60</v>
      </c>
      <c r="V651" s="5" t="s">
        <v>61</v>
      </c>
      <c r="W651" s="7">
        <v>0</v>
      </c>
      <c r="X651" s="7">
        <v>23.21</v>
      </c>
      <c r="Y651" s="7">
        <v>23.21</v>
      </c>
      <c r="Z651" s="5" t="s">
        <v>379</v>
      </c>
    </row>
    <row r="652" spans="1:26" x14ac:dyDescent="0.25">
      <c r="A652" s="5">
        <v>2026806628</v>
      </c>
      <c r="B652" s="5" t="s">
        <v>876</v>
      </c>
      <c r="C652" s="5" t="s">
        <v>647</v>
      </c>
      <c r="D652" s="5" t="str">
        <f t="shared" si="33"/>
        <v>FRIEDMAN EVAN</v>
      </c>
      <c r="E652" s="5" t="s">
        <v>190</v>
      </c>
      <c r="F652" s="5" t="s">
        <v>378</v>
      </c>
      <c r="G652" s="5" t="s">
        <v>379</v>
      </c>
      <c r="H652" s="5">
        <v>19200754</v>
      </c>
      <c r="I652" s="5" t="s">
        <v>228</v>
      </c>
      <c r="J652" s="5" t="s">
        <v>229</v>
      </c>
      <c r="K652" s="5" t="str">
        <f t="shared" si="34"/>
        <v>RICARDO SANTOS</v>
      </c>
      <c r="L652" s="5" t="s">
        <v>57</v>
      </c>
      <c r="M652" s="6">
        <v>45689</v>
      </c>
      <c r="N652" s="6">
        <v>45992</v>
      </c>
      <c r="O652" s="7">
        <v>56.52</v>
      </c>
      <c r="P652" s="5">
        <f t="shared" si="32"/>
        <v>10</v>
      </c>
      <c r="Q652" s="5" t="s">
        <v>264</v>
      </c>
      <c r="R652" s="5" t="s">
        <v>1086</v>
      </c>
      <c r="S652" s="5" t="s">
        <v>58</v>
      </c>
      <c r="T652" s="9">
        <v>0.375</v>
      </c>
      <c r="U652" s="5" t="s">
        <v>60</v>
      </c>
      <c r="V652" s="5" t="s">
        <v>61</v>
      </c>
      <c r="W652" s="7">
        <v>0</v>
      </c>
      <c r="X652" s="7">
        <v>21.2</v>
      </c>
      <c r="Y652" s="7">
        <v>21.2</v>
      </c>
      <c r="Z652" s="5" t="s">
        <v>379</v>
      </c>
    </row>
    <row r="653" spans="1:26" x14ac:dyDescent="0.25">
      <c r="A653" s="5">
        <v>2026760029</v>
      </c>
      <c r="B653" s="5" t="s">
        <v>870</v>
      </c>
      <c r="C653" s="5" t="s">
        <v>871</v>
      </c>
      <c r="D653" s="5" t="str">
        <f t="shared" si="33"/>
        <v>WORDEN EMALEE</v>
      </c>
      <c r="E653" s="5" t="s">
        <v>872</v>
      </c>
      <c r="F653" s="5" t="s">
        <v>378</v>
      </c>
      <c r="G653" s="5" t="s">
        <v>379</v>
      </c>
      <c r="H653" s="5">
        <v>371819</v>
      </c>
      <c r="I653" s="5" t="s">
        <v>237</v>
      </c>
      <c r="J653" s="5" t="s">
        <v>103</v>
      </c>
      <c r="K653" s="5" t="str">
        <f t="shared" si="34"/>
        <v>THOMAS PARDUE</v>
      </c>
      <c r="L653" s="5" t="s">
        <v>57</v>
      </c>
      <c r="M653" s="6">
        <v>45682</v>
      </c>
      <c r="N653" s="6">
        <v>45986</v>
      </c>
      <c r="O653" s="7">
        <v>22.84</v>
      </c>
      <c r="P653" s="5">
        <f t="shared" si="32"/>
        <v>10</v>
      </c>
      <c r="Q653" s="5" t="s">
        <v>264</v>
      </c>
      <c r="R653" s="5" t="s">
        <v>1086</v>
      </c>
      <c r="S653" s="5" t="s">
        <v>58</v>
      </c>
      <c r="T653" s="9">
        <v>0.375</v>
      </c>
      <c r="U653" s="5" t="s">
        <v>60</v>
      </c>
      <c r="V653" s="5" t="s">
        <v>61</v>
      </c>
      <c r="W653" s="7">
        <v>0</v>
      </c>
      <c r="X653" s="7">
        <v>8.56</v>
      </c>
      <c r="Y653" s="7">
        <v>8.56</v>
      </c>
      <c r="Z653" s="5" t="s">
        <v>379</v>
      </c>
    </row>
    <row r="654" spans="1:26" x14ac:dyDescent="0.25">
      <c r="A654" s="5">
        <v>2026766428</v>
      </c>
      <c r="B654" s="5" t="s">
        <v>873</v>
      </c>
      <c r="C654" s="5" t="s">
        <v>874</v>
      </c>
      <c r="D654" s="5" t="str">
        <f t="shared" si="33"/>
        <v>MURATA SARAH</v>
      </c>
      <c r="E654" s="5" t="s">
        <v>69</v>
      </c>
      <c r="F654" s="5" t="s">
        <v>378</v>
      </c>
      <c r="G654" s="5" t="s">
        <v>379</v>
      </c>
      <c r="H654" s="5" t="s">
        <v>1082</v>
      </c>
      <c r="I654" s="5" t="s">
        <v>371</v>
      </c>
      <c r="J654" s="5" t="s">
        <v>372</v>
      </c>
      <c r="K654" s="5" t="str">
        <f t="shared" si="34"/>
        <v>VICTOR FUENTES</v>
      </c>
      <c r="L654" s="5" t="s">
        <v>57</v>
      </c>
      <c r="M654" s="6">
        <v>45689</v>
      </c>
      <c r="N654" s="6">
        <v>45992</v>
      </c>
      <c r="O654" s="7">
        <v>90.76</v>
      </c>
      <c r="P654" s="5">
        <f t="shared" si="32"/>
        <v>10</v>
      </c>
      <c r="Q654" s="5" t="s">
        <v>264</v>
      </c>
      <c r="R654" s="5" t="s">
        <v>1086</v>
      </c>
      <c r="S654" s="5" t="s">
        <v>58</v>
      </c>
      <c r="T654" s="9">
        <v>0.375</v>
      </c>
      <c r="U654" s="5" t="s">
        <v>60</v>
      </c>
      <c r="V654" s="5" t="s">
        <v>61</v>
      </c>
      <c r="W654" s="7">
        <v>0</v>
      </c>
      <c r="X654" s="7">
        <v>34.04</v>
      </c>
      <c r="Y654" s="7">
        <v>34.04</v>
      </c>
      <c r="Z654" s="5" t="s">
        <v>379</v>
      </c>
    </row>
    <row r="655" spans="1:26" x14ac:dyDescent="0.25">
      <c r="A655" s="5">
        <v>2026817011</v>
      </c>
      <c r="B655" s="5" t="s">
        <v>602</v>
      </c>
      <c r="C655" s="5" t="s">
        <v>603</v>
      </c>
      <c r="D655" s="5" t="str">
        <f t="shared" si="33"/>
        <v>BRINK JENNA</v>
      </c>
      <c r="E655" s="5" t="s">
        <v>92</v>
      </c>
      <c r="F655" s="5" t="s">
        <v>378</v>
      </c>
      <c r="G655" s="5" t="s">
        <v>379</v>
      </c>
      <c r="H655" s="5">
        <v>21313588</v>
      </c>
      <c r="I655" s="5" t="s">
        <v>604</v>
      </c>
      <c r="J655" s="5" t="s">
        <v>110</v>
      </c>
      <c r="K655" s="5" t="str">
        <f t="shared" si="34"/>
        <v>WILLIAM GESKE</v>
      </c>
      <c r="L655" s="5" t="s">
        <v>57</v>
      </c>
      <c r="M655" s="6">
        <v>45689</v>
      </c>
      <c r="N655" s="6">
        <v>45992</v>
      </c>
      <c r="O655" s="7">
        <v>53.08</v>
      </c>
      <c r="P655" s="5">
        <f t="shared" si="32"/>
        <v>10</v>
      </c>
      <c r="Q655" s="5" t="s">
        <v>264</v>
      </c>
      <c r="R655" s="5" t="s">
        <v>1086</v>
      </c>
      <c r="S655" s="5" t="s">
        <v>58</v>
      </c>
      <c r="T655" s="9">
        <v>0.375</v>
      </c>
      <c r="U655" s="5" t="s">
        <v>60</v>
      </c>
      <c r="V655" s="5" t="s">
        <v>61</v>
      </c>
      <c r="W655" s="7">
        <v>0</v>
      </c>
      <c r="X655" s="7">
        <v>19.899999999999999</v>
      </c>
      <c r="Y655" s="7">
        <v>19.899999999999999</v>
      </c>
      <c r="Z655" s="5" t="s">
        <v>379</v>
      </c>
    </row>
    <row r="656" spans="1:26" x14ac:dyDescent="0.25">
      <c r="A656">
        <v>2030857318</v>
      </c>
      <c r="B656" t="s">
        <v>239</v>
      </c>
      <c r="C656" t="s">
        <v>240</v>
      </c>
      <c r="D656" s="5" t="str">
        <f t="shared" si="33"/>
        <v>HOPSON JUSTIN</v>
      </c>
      <c r="E656" t="s">
        <v>234</v>
      </c>
      <c r="F656" t="s">
        <v>378</v>
      </c>
      <c r="G656" t="s">
        <v>379</v>
      </c>
      <c r="H656" t="s">
        <v>1081</v>
      </c>
      <c r="I656" t="s">
        <v>191</v>
      </c>
      <c r="J656" t="s">
        <v>192</v>
      </c>
      <c r="K656" t="str">
        <f t="shared" si="34"/>
        <v>JARED KINYUA</v>
      </c>
      <c r="L656" t="s">
        <v>57</v>
      </c>
      <c r="M656" s="1">
        <v>45904</v>
      </c>
      <c r="N656" s="1">
        <v>45965</v>
      </c>
      <c r="O656" s="2">
        <v>53.29</v>
      </c>
      <c r="P656">
        <f t="shared" si="32"/>
        <v>2</v>
      </c>
      <c r="Q656" t="s">
        <v>264</v>
      </c>
      <c r="R656" t="s">
        <v>1086</v>
      </c>
      <c r="S656" t="s">
        <v>58</v>
      </c>
      <c r="T656" s="4">
        <v>0.375</v>
      </c>
      <c r="U656" t="s">
        <v>60</v>
      </c>
      <c r="V656" t="s">
        <v>61</v>
      </c>
      <c r="W656" s="2">
        <v>19.98</v>
      </c>
      <c r="X656" s="2">
        <v>0</v>
      </c>
      <c r="Y656" s="2">
        <v>19.98</v>
      </c>
      <c r="Z656" s="5" t="s">
        <v>379</v>
      </c>
    </row>
    <row r="657" spans="1:26" x14ac:dyDescent="0.25">
      <c r="A657">
        <v>2030801811</v>
      </c>
      <c r="B657" t="s">
        <v>232</v>
      </c>
      <c r="C657" t="s">
        <v>233</v>
      </c>
      <c r="D657" s="5" t="str">
        <f t="shared" si="33"/>
        <v>TIMOTHY CHAPMAN</v>
      </c>
      <c r="E657" t="s">
        <v>234</v>
      </c>
      <c r="F657" t="s">
        <v>378</v>
      </c>
      <c r="G657" t="s">
        <v>379</v>
      </c>
      <c r="H657">
        <v>9079571</v>
      </c>
      <c r="I657" t="s">
        <v>155</v>
      </c>
      <c r="J657" t="s">
        <v>156</v>
      </c>
      <c r="K657" t="str">
        <f t="shared" si="34"/>
        <v>ADAM RICHTER</v>
      </c>
      <c r="L657" t="s">
        <v>57</v>
      </c>
      <c r="M657" s="1">
        <v>45901</v>
      </c>
      <c r="N657" s="1">
        <v>45992</v>
      </c>
      <c r="O657" s="2">
        <v>14.76</v>
      </c>
      <c r="P657">
        <f t="shared" si="32"/>
        <v>3</v>
      </c>
      <c r="Q657" t="s">
        <v>264</v>
      </c>
      <c r="R657" t="s">
        <v>1086</v>
      </c>
      <c r="S657" t="s">
        <v>58</v>
      </c>
      <c r="T657" s="4">
        <v>0.375</v>
      </c>
      <c r="U657" t="s">
        <v>60</v>
      </c>
      <c r="V657" t="s">
        <v>61</v>
      </c>
      <c r="W657" s="2">
        <v>5.54</v>
      </c>
      <c r="X657" s="2">
        <v>0</v>
      </c>
      <c r="Y657" s="2">
        <v>5.54</v>
      </c>
      <c r="Z657" s="5" t="s">
        <v>379</v>
      </c>
    </row>
    <row r="658" spans="1:26" x14ac:dyDescent="0.25">
      <c r="A658">
        <v>2030400632</v>
      </c>
      <c r="B658" t="s">
        <v>553</v>
      </c>
      <c r="C658" t="s">
        <v>554</v>
      </c>
      <c r="D658" s="5" t="str">
        <f t="shared" si="33"/>
        <v>SHEILA MORGAN</v>
      </c>
      <c r="E658" t="s">
        <v>555</v>
      </c>
      <c r="F658" t="s">
        <v>378</v>
      </c>
      <c r="G658" t="s">
        <v>379</v>
      </c>
      <c r="H658">
        <v>17425766</v>
      </c>
      <c r="I658" t="s">
        <v>357</v>
      </c>
      <c r="J658" t="s">
        <v>358</v>
      </c>
      <c r="K658" t="str">
        <f t="shared" si="34"/>
        <v>CAROL FOLEY</v>
      </c>
      <c r="L658" t="s">
        <v>57</v>
      </c>
      <c r="M658" s="1">
        <v>45901</v>
      </c>
      <c r="N658" s="1">
        <v>45992</v>
      </c>
      <c r="O658" s="2">
        <v>77.47</v>
      </c>
      <c r="P658">
        <f t="shared" si="32"/>
        <v>3</v>
      </c>
      <c r="Q658" t="s">
        <v>264</v>
      </c>
      <c r="R658" t="s">
        <v>1086</v>
      </c>
      <c r="S658" t="s">
        <v>58</v>
      </c>
      <c r="T658" s="4">
        <v>0.375</v>
      </c>
      <c r="U658" t="s">
        <v>60</v>
      </c>
      <c r="V658" t="s">
        <v>61</v>
      </c>
      <c r="W658" s="2">
        <v>29.05</v>
      </c>
      <c r="X658" s="2">
        <v>0</v>
      </c>
      <c r="Y658" s="2">
        <v>29.05</v>
      </c>
      <c r="Z658" s="5" t="s">
        <v>379</v>
      </c>
    </row>
    <row r="659" spans="1:26" x14ac:dyDescent="0.25">
      <c r="A659">
        <v>2030670142</v>
      </c>
      <c r="B659" t="s">
        <v>709</v>
      </c>
      <c r="C659" t="s">
        <v>710</v>
      </c>
      <c r="D659" s="5" t="str">
        <f t="shared" si="33"/>
        <v>TAKASHI KANAI</v>
      </c>
      <c r="E659" t="s">
        <v>195</v>
      </c>
      <c r="F659" t="s">
        <v>378</v>
      </c>
      <c r="G659" t="s">
        <v>379</v>
      </c>
      <c r="H659">
        <v>17425766</v>
      </c>
      <c r="I659" t="s">
        <v>357</v>
      </c>
      <c r="J659" t="s">
        <v>358</v>
      </c>
      <c r="K659" t="str">
        <f t="shared" si="34"/>
        <v>CAROL FOLEY</v>
      </c>
      <c r="L659" t="s">
        <v>57</v>
      </c>
      <c r="M659" s="1">
        <v>45895</v>
      </c>
      <c r="N659" s="1">
        <v>45987</v>
      </c>
      <c r="O659" s="2">
        <v>36.11</v>
      </c>
      <c r="P659">
        <f t="shared" si="32"/>
        <v>3</v>
      </c>
      <c r="Q659" t="s">
        <v>264</v>
      </c>
      <c r="R659" t="s">
        <v>1086</v>
      </c>
      <c r="S659" t="s">
        <v>58</v>
      </c>
      <c r="T659" s="4">
        <v>0.375</v>
      </c>
      <c r="U659" t="s">
        <v>60</v>
      </c>
      <c r="V659" t="s">
        <v>61</v>
      </c>
      <c r="W659" s="2">
        <v>13.54</v>
      </c>
      <c r="X659" s="2">
        <v>0</v>
      </c>
      <c r="Y659" s="2">
        <v>13.54</v>
      </c>
      <c r="Z659" s="5" t="s">
        <v>379</v>
      </c>
    </row>
    <row r="660" spans="1:26" x14ac:dyDescent="0.25">
      <c r="A660">
        <v>2030717366</v>
      </c>
      <c r="B660" t="s">
        <v>617</v>
      </c>
      <c r="C660" t="s">
        <v>966</v>
      </c>
      <c r="D660" s="5" t="str">
        <f t="shared" si="33"/>
        <v>NANCY PRESSLEY</v>
      </c>
      <c r="E660" t="s">
        <v>64</v>
      </c>
      <c r="F660" t="s">
        <v>378</v>
      </c>
      <c r="G660" t="s">
        <v>379</v>
      </c>
      <c r="H660" t="s">
        <v>1083</v>
      </c>
      <c r="I660" t="s">
        <v>70</v>
      </c>
      <c r="J660" t="s">
        <v>71</v>
      </c>
      <c r="K660" t="str">
        <f t="shared" si="34"/>
        <v>Chad Yale</v>
      </c>
      <c r="L660" t="s">
        <v>57</v>
      </c>
      <c r="M660" s="1">
        <v>45901</v>
      </c>
      <c r="N660" s="1">
        <v>45992</v>
      </c>
      <c r="O660" s="2">
        <v>55.85</v>
      </c>
      <c r="P660">
        <f t="shared" si="32"/>
        <v>3</v>
      </c>
      <c r="Q660" t="s">
        <v>264</v>
      </c>
      <c r="R660" t="s">
        <v>1086</v>
      </c>
      <c r="S660" t="s">
        <v>58</v>
      </c>
      <c r="T660" s="4">
        <v>0.375</v>
      </c>
      <c r="U660" t="s">
        <v>60</v>
      </c>
      <c r="V660" t="s">
        <v>61</v>
      </c>
      <c r="W660" s="2">
        <v>20.94</v>
      </c>
      <c r="X660" s="2">
        <v>0</v>
      </c>
      <c r="Y660" s="2">
        <v>20.94</v>
      </c>
      <c r="Z660" s="5" t="s">
        <v>379</v>
      </c>
    </row>
    <row r="661" spans="1:26" x14ac:dyDescent="0.25">
      <c r="A661">
        <v>2030560229</v>
      </c>
      <c r="B661" t="s">
        <v>230</v>
      </c>
      <c r="C661" t="s">
        <v>561</v>
      </c>
      <c r="D661" s="5" t="str">
        <f t="shared" si="33"/>
        <v>MARY POWELL</v>
      </c>
      <c r="E661" t="s">
        <v>247</v>
      </c>
      <c r="F661" t="s">
        <v>378</v>
      </c>
      <c r="G661" t="s">
        <v>379</v>
      </c>
      <c r="H661">
        <v>17437820</v>
      </c>
      <c r="I661" t="s">
        <v>169</v>
      </c>
      <c r="J661" t="s">
        <v>170</v>
      </c>
      <c r="K661" t="str">
        <f t="shared" si="34"/>
        <v>COLLEEN FINNIGAN</v>
      </c>
      <c r="L661" t="s">
        <v>57</v>
      </c>
      <c r="M661" s="1">
        <v>45901</v>
      </c>
      <c r="N661" s="1">
        <v>45992</v>
      </c>
      <c r="O661" s="2">
        <v>118.71</v>
      </c>
      <c r="P661">
        <f t="shared" si="32"/>
        <v>3</v>
      </c>
      <c r="Q661" t="s">
        <v>264</v>
      </c>
      <c r="R661" t="s">
        <v>1086</v>
      </c>
      <c r="S661" t="s">
        <v>58</v>
      </c>
      <c r="T661" s="4">
        <v>0.375</v>
      </c>
      <c r="U661" t="s">
        <v>60</v>
      </c>
      <c r="V661" t="s">
        <v>61</v>
      </c>
      <c r="W661" s="2">
        <v>44.52</v>
      </c>
      <c r="X661" s="2">
        <v>0</v>
      </c>
      <c r="Y661" s="2">
        <v>44.52</v>
      </c>
      <c r="Z661" s="5" t="s">
        <v>379</v>
      </c>
    </row>
    <row r="662" spans="1:26" x14ac:dyDescent="0.25">
      <c r="A662">
        <v>2030499771</v>
      </c>
      <c r="B662" t="s">
        <v>112</v>
      </c>
      <c r="C662" t="s">
        <v>113</v>
      </c>
      <c r="D662" s="5" t="str">
        <f t="shared" si="33"/>
        <v>WENDELL ARNOLD</v>
      </c>
      <c r="E662" t="s">
        <v>52</v>
      </c>
      <c r="F662" t="s">
        <v>378</v>
      </c>
      <c r="G662" t="s">
        <v>379</v>
      </c>
      <c r="H662">
        <v>18754354</v>
      </c>
      <c r="I662" t="s">
        <v>114</v>
      </c>
      <c r="J662" t="s">
        <v>115</v>
      </c>
      <c r="K662" t="str">
        <f t="shared" si="34"/>
        <v>JACOB YALE</v>
      </c>
      <c r="L662" t="s">
        <v>57</v>
      </c>
      <c r="M662" s="1">
        <v>45901</v>
      </c>
      <c r="N662" s="1">
        <v>45992</v>
      </c>
      <c r="O662" s="2">
        <v>52.62</v>
      </c>
      <c r="P662">
        <f t="shared" si="32"/>
        <v>3</v>
      </c>
      <c r="Q662" t="s">
        <v>264</v>
      </c>
      <c r="R662" t="s">
        <v>1086</v>
      </c>
      <c r="S662" t="s">
        <v>58</v>
      </c>
      <c r="T662" s="4">
        <v>0.375</v>
      </c>
      <c r="U662" t="s">
        <v>60</v>
      </c>
      <c r="V662" t="s">
        <v>61</v>
      </c>
      <c r="W662" s="2">
        <v>19.73</v>
      </c>
      <c r="X662" s="2">
        <v>0</v>
      </c>
      <c r="Y662" s="2">
        <v>19.73</v>
      </c>
      <c r="Z662" s="5" t="s">
        <v>379</v>
      </c>
    </row>
    <row r="663" spans="1:26" x14ac:dyDescent="0.25">
      <c r="A663">
        <v>2030694665</v>
      </c>
      <c r="B663" t="s">
        <v>188</v>
      </c>
      <c r="C663" t="s">
        <v>189</v>
      </c>
      <c r="D663" s="5" t="str">
        <f t="shared" si="33"/>
        <v>ANGILA GARRETT</v>
      </c>
      <c r="E663" t="s">
        <v>190</v>
      </c>
      <c r="F663" t="s">
        <v>378</v>
      </c>
      <c r="G663" t="s">
        <v>379</v>
      </c>
      <c r="H663" t="s">
        <v>1081</v>
      </c>
      <c r="I663" t="s">
        <v>191</v>
      </c>
      <c r="J663" t="s">
        <v>192</v>
      </c>
      <c r="K663" t="str">
        <f t="shared" si="34"/>
        <v>JARED KINYUA</v>
      </c>
      <c r="L663" t="s">
        <v>57</v>
      </c>
      <c r="M663" s="1">
        <v>45896</v>
      </c>
      <c r="N663" s="1">
        <v>45988</v>
      </c>
      <c r="O663" s="2">
        <v>67.56</v>
      </c>
      <c r="P663">
        <f t="shared" si="32"/>
        <v>3</v>
      </c>
      <c r="Q663" t="s">
        <v>264</v>
      </c>
      <c r="R663" t="s">
        <v>1086</v>
      </c>
      <c r="S663" t="s">
        <v>58</v>
      </c>
      <c r="T663" s="4">
        <v>0.375</v>
      </c>
      <c r="U663" t="s">
        <v>60</v>
      </c>
      <c r="V663" t="s">
        <v>61</v>
      </c>
      <c r="W663" s="2">
        <v>25.34</v>
      </c>
      <c r="X663" s="2">
        <v>0</v>
      </c>
      <c r="Y663" s="2">
        <v>25.34</v>
      </c>
      <c r="Z663" s="5" t="s">
        <v>379</v>
      </c>
    </row>
    <row r="664" spans="1:26" x14ac:dyDescent="0.25">
      <c r="A664">
        <v>2029854212</v>
      </c>
      <c r="B664" t="s">
        <v>275</v>
      </c>
      <c r="C664" t="s">
        <v>961</v>
      </c>
      <c r="D664" s="5" t="str">
        <f t="shared" si="33"/>
        <v>MICHELE CRUMP</v>
      </c>
      <c r="E664" t="s">
        <v>69</v>
      </c>
      <c r="F664" t="s">
        <v>378</v>
      </c>
      <c r="G664" t="s">
        <v>379</v>
      </c>
      <c r="H664">
        <v>16228684</v>
      </c>
      <c r="I664" t="s">
        <v>141</v>
      </c>
      <c r="J664" t="s">
        <v>142</v>
      </c>
      <c r="K664" t="str">
        <f t="shared" si="34"/>
        <v>Jason Roller</v>
      </c>
      <c r="L664" t="s">
        <v>57</v>
      </c>
      <c r="M664" s="1">
        <v>45901</v>
      </c>
      <c r="N664" s="1">
        <v>45992</v>
      </c>
      <c r="O664" s="2">
        <v>77.48</v>
      </c>
      <c r="P664">
        <f t="shared" si="32"/>
        <v>3</v>
      </c>
      <c r="Q664" t="s">
        <v>264</v>
      </c>
      <c r="R664" t="s">
        <v>1086</v>
      </c>
      <c r="S664" t="s">
        <v>58</v>
      </c>
      <c r="T664" s="4">
        <v>0.375</v>
      </c>
      <c r="U664" t="s">
        <v>60</v>
      </c>
      <c r="V664" t="s">
        <v>61</v>
      </c>
      <c r="W664" s="2">
        <v>29.06</v>
      </c>
      <c r="X664" s="2">
        <v>0</v>
      </c>
      <c r="Y664" s="2">
        <v>29.06</v>
      </c>
      <c r="Z664" s="5" t="s">
        <v>379</v>
      </c>
    </row>
    <row r="665" spans="1:26" x14ac:dyDescent="0.25">
      <c r="A665">
        <v>2030578218</v>
      </c>
      <c r="B665" t="s">
        <v>139</v>
      </c>
      <c r="C665" t="s">
        <v>140</v>
      </c>
      <c r="D665" s="5" t="str">
        <f t="shared" si="33"/>
        <v>STEPHANIE WILLIAMS</v>
      </c>
      <c r="E665" t="s">
        <v>69</v>
      </c>
      <c r="F665" t="s">
        <v>378</v>
      </c>
      <c r="G665" t="s">
        <v>379</v>
      </c>
      <c r="H665">
        <v>16228684</v>
      </c>
      <c r="I665" t="s">
        <v>141</v>
      </c>
      <c r="J665" t="s">
        <v>142</v>
      </c>
      <c r="K665" t="str">
        <f t="shared" si="34"/>
        <v>Jason Roller</v>
      </c>
      <c r="L665" t="s">
        <v>57</v>
      </c>
      <c r="M665" s="1">
        <v>45901</v>
      </c>
      <c r="N665" s="1">
        <v>45992</v>
      </c>
      <c r="O665" s="2">
        <v>77.48</v>
      </c>
      <c r="P665">
        <f t="shared" si="32"/>
        <v>3</v>
      </c>
      <c r="Q665" t="s">
        <v>264</v>
      </c>
      <c r="R665" t="s">
        <v>1086</v>
      </c>
      <c r="S665" t="s">
        <v>58</v>
      </c>
      <c r="T665" s="4">
        <v>0.375</v>
      </c>
      <c r="U665" t="s">
        <v>60</v>
      </c>
      <c r="V665" t="s">
        <v>61</v>
      </c>
      <c r="W665" s="2">
        <v>29.06</v>
      </c>
      <c r="X665" s="2">
        <v>0</v>
      </c>
      <c r="Y665" s="2">
        <v>29.06</v>
      </c>
      <c r="Z665" s="5" t="s">
        <v>379</v>
      </c>
    </row>
    <row r="666" spans="1:26" x14ac:dyDescent="0.25">
      <c r="A666">
        <v>2030625304</v>
      </c>
      <c r="B666" t="s">
        <v>161</v>
      </c>
      <c r="C666" t="s">
        <v>162</v>
      </c>
      <c r="D666" s="5" t="str">
        <f t="shared" si="33"/>
        <v>BRAXTON HART</v>
      </c>
      <c r="E666" t="s">
        <v>69</v>
      </c>
      <c r="F666" t="s">
        <v>378</v>
      </c>
      <c r="G666" t="s">
        <v>379</v>
      </c>
      <c r="H666">
        <v>16228684</v>
      </c>
      <c r="I666" t="s">
        <v>141</v>
      </c>
      <c r="J666" t="s">
        <v>142</v>
      </c>
      <c r="K666" t="str">
        <f t="shared" si="34"/>
        <v>Jason Roller</v>
      </c>
      <c r="L666" t="s">
        <v>57</v>
      </c>
      <c r="M666" s="1">
        <v>45901</v>
      </c>
      <c r="N666" s="1">
        <v>45992</v>
      </c>
      <c r="O666" s="2">
        <v>77.48</v>
      </c>
      <c r="P666">
        <f t="shared" si="32"/>
        <v>3</v>
      </c>
      <c r="Q666" t="s">
        <v>264</v>
      </c>
      <c r="R666" t="s">
        <v>1086</v>
      </c>
      <c r="S666" t="s">
        <v>58</v>
      </c>
      <c r="T666" s="4">
        <v>0.375</v>
      </c>
      <c r="U666" t="s">
        <v>60</v>
      </c>
      <c r="V666" t="s">
        <v>61</v>
      </c>
      <c r="W666" s="2">
        <v>29.06</v>
      </c>
      <c r="X666" s="2">
        <v>0</v>
      </c>
      <c r="Y666" s="2">
        <v>29.06</v>
      </c>
      <c r="Z666" s="5" t="s">
        <v>379</v>
      </c>
    </row>
    <row r="667" spans="1:26" x14ac:dyDescent="0.25">
      <c r="A667">
        <v>2030552139</v>
      </c>
      <c r="B667" t="s">
        <v>127</v>
      </c>
      <c r="C667" t="s">
        <v>128</v>
      </c>
      <c r="D667" s="5" t="str">
        <f t="shared" si="33"/>
        <v>JEREMY LIST</v>
      </c>
      <c r="E667" t="s">
        <v>129</v>
      </c>
      <c r="F667" t="s">
        <v>378</v>
      </c>
      <c r="G667" t="s">
        <v>379</v>
      </c>
      <c r="H667">
        <v>21564088</v>
      </c>
      <c r="I667" t="s">
        <v>130</v>
      </c>
      <c r="J667" t="s">
        <v>131</v>
      </c>
      <c r="K667" t="str">
        <f t="shared" si="34"/>
        <v>Jennifer Halsaver</v>
      </c>
      <c r="L667" t="s">
        <v>57</v>
      </c>
      <c r="M667" s="1">
        <v>45901</v>
      </c>
      <c r="N667" s="1">
        <v>45992</v>
      </c>
      <c r="O667" s="2">
        <v>54.54</v>
      </c>
      <c r="P667">
        <f t="shared" si="32"/>
        <v>3</v>
      </c>
      <c r="Q667" t="s">
        <v>264</v>
      </c>
      <c r="R667" t="s">
        <v>1086</v>
      </c>
      <c r="S667" t="s">
        <v>58</v>
      </c>
      <c r="T667" s="4">
        <v>0.375</v>
      </c>
      <c r="U667" t="s">
        <v>60</v>
      </c>
      <c r="V667" t="s">
        <v>61</v>
      </c>
      <c r="W667" s="2">
        <v>20.45</v>
      </c>
      <c r="X667" s="2">
        <v>0</v>
      </c>
      <c r="Y667" s="2">
        <v>20.45</v>
      </c>
      <c r="Z667" s="5" t="s">
        <v>379</v>
      </c>
    </row>
    <row r="668" spans="1:26" x14ac:dyDescent="0.25">
      <c r="A668">
        <v>2030801743</v>
      </c>
      <c r="B668" t="s">
        <v>812</v>
      </c>
      <c r="C668" t="s">
        <v>813</v>
      </c>
      <c r="D668" s="5" t="str">
        <f t="shared" si="33"/>
        <v>THURSTON HARRISON</v>
      </c>
      <c r="E668" t="s">
        <v>129</v>
      </c>
      <c r="F668" t="s">
        <v>378</v>
      </c>
      <c r="G668" t="s">
        <v>379</v>
      </c>
      <c r="H668">
        <v>21564088</v>
      </c>
      <c r="I668" t="s">
        <v>130</v>
      </c>
      <c r="J668" t="s">
        <v>131</v>
      </c>
      <c r="K668" t="str">
        <f t="shared" si="34"/>
        <v>Jennifer Halsaver</v>
      </c>
      <c r="L668" t="s">
        <v>57</v>
      </c>
      <c r="M668" s="1">
        <v>45901</v>
      </c>
      <c r="N668" s="1">
        <v>45992</v>
      </c>
      <c r="O668" s="2">
        <v>38.39</v>
      </c>
      <c r="P668">
        <f t="shared" si="32"/>
        <v>3</v>
      </c>
      <c r="Q668" t="s">
        <v>264</v>
      </c>
      <c r="R668" t="s">
        <v>1086</v>
      </c>
      <c r="S668" t="s">
        <v>58</v>
      </c>
      <c r="T668" s="4">
        <v>0.375</v>
      </c>
      <c r="U668" t="s">
        <v>60</v>
      </c>
      <c r="V668" t="s">
        <v>61</v>
      </c>
      <c r="W668" s="2">
        <v>14.4</v>
      </c>
      <c r="X668" s="2">
        <v>0</v>
      </c>
      <c r="Y668" s="2">
        <v>14.4</v>
      </c>
      <c r="Z668" s="5" t="s">
        <v>379</v>
      </c>
    </row>
    <row r="669" spans="1:26" x14ac:dyDescent="0.25">
      <c r="A669">
        <v>2030488469</v>
      </c>
      <c r="B669" t="s">
        <v>102</v>
      </c>
      <c r="C669" t="s">
        <v>103</v>
      </c>
      <c r="D669" s="5" t="str">
        <f t="shared" si="33"/>
        <v>TRAIE THOMAS</v>
      </c>
      <c r="E669" t="s">
        <v>69</v>
      </c>
      <c r="F669" t="s">
        <v>378</v>
      </c>
      <c r="G669" t="s">
        <v>379</v>
      </c>
      <c r="H669">
        <v>17516272</v>
      </c>
      <c r="I669" t="s">
        <v>104</v>
      </c>
      <c r="J669" t="s">
        <v>105</v>
      </c>
      <c r="K669" t="str">
        <f t="shared" si="34"/>
        <v>Kenneth Weitzman</v>
      </c>
      <c r="L669" t="s">
        <v>57</v>
      </c>
      <c r="M669" s="1">
        <v>45901</v>
      </c>
      <c r="N669" s="1">
        <v>45992</v>
      </c>
      <c r="O669" s="2">
        <v>53.87</v>
      </c>
      <c r="P669">
        <f t="shared" si="32"/>
        <v>3</v>
      </c>
      <c r="Q669" t="s">
        <v>264</v>
      </c>
      <c r="R669" t="s">
        <v>1086</v>
      </c>
      <c r="S669" t="s">
        <v>58</v>
      </c>
      <c r="T669" s="4">
        <v>0.375</v>
      </c>
      <c r="U669" t="s">
        <v>60</v>
      </c>
      <c r="V669" t="s">
        <v>61</v>
      </c>
      <c r="W669" s="2">
        <v>20.2</v>
      </c>
      <c r="X669" s="2">
        <v>0</v>
      </c>
      <c r="Y669" s="2">
        <v>20.2</v>
      </c>
      <c r="Z669" s="5" t="s">
        <v>379</v>
      </c>
    </row>
    <row r="670" spans="1:26" x14ac:dyDescent="0.25">
      <c r="A670">
        <v>2029877052</v>
      </c>
      <c r="B670" t="s">
        <v>551</v>
      </c>
      <c r="C670" t="s">
        <v>552</v>
      </c>
      <c r="D670" s="5" t="str">
        <f t="shared" si="33"/>
        <v>BRYAN VIVIANO</v>
      </c>
      <c r="E670" t="s">
        <v>129</v>
      </c>
      <c r="F670" t="s">
        <v>378</v>
      </c>
      <c r="G670" t="s">
        <v>379</v>
      </c>
      <c r="H670">
        <v>8977234</v>
      </c>
      <c r="I670" t="s">
        <v>55</v>
      </c>
      <c r="J670" t="s">
        <v>56</v>
      </c>
      <c r="K670" t="str">
        <f t="shared" si="34"/>
        <v>RYAN CALTAGIRONE</v>
      </c>
      <c r="L670" t="s">
        <v>57</v>
      </c>
      <c r="M670" s="1">
        <v>45901</v>
      </c>
      <c r="N670" s="1">
        <v>45992</v>
      </c>
      <c r="O670" s="2">
        <v>57.07</v>
      </c>
      <c r="P670">
        <f t="shared" si="32"/>
        <v>3</v>
      </c>
      <c r="Q670" t="s">
        <v>264</v>
      </c>
      <c r="R670" t="s">
        <v>1086</v>
      </c>
      <c r="S670" t="s">
        <v>58</v>
      </c>
      <c r="T670" s="4">
        <v>0.375</v>
      </c>
      <c r="U670" t="s">
        <v>60</v>
      </c>
      <c r="V670" t="s">
        <v>61</v>
      </c>
      <c r="W670" s="2">
        <v>21.4</v>
      </c>
      <c r="X670" s="2">
        <v>0</v>
      </c>
      <c r="Y670" s="2">
        <v>21.4</v>
      </c>
      <c r="Z670" s="5" t="s">
        <v>379</v>
      </c>
    </row>
    <row r="671" spans="1:26" x14ac:dyDescent="0.25">
      <c r="A671">
        <v>2030673652</v>
      </c>
      <c r="B671" t="s">
        <v>177</v>
      </c>
      <c r="C671" t="s">
        <v>178</v>
      </c>
      <c r="D671" s="5" t="str">
        <f t="shared" si="33"/>
        <v>JODI DEBERARD</v>
      </c>
      <c r="E671" t="s">
        <v>179</v>
      </c>
      <c r="F671" t="s">
        <v>378</v>
      </c>
      <c r="G671" t="s">
        <v>379</v>
      </c>
      <c r="H671">
        <v>8977234</v>
      </c>
      <c r="I671" t="s">
        <v>55</v>
      </c>
      <c r="J671" t="s">
        <v>56</v>
      </c>
      <c r="K671" t="str">
        <f t="shared" si="34"/>
        <v>RYAN CALTAGIRONE</v>
      </c>
      <c r="L671" t="s">
        <v>57</v>
      </c>
      <c r="M671" s="1">
        <v>45901</v>
      </c>
      <c r="N671" s="1">
        <v>45992</v>
      </c>
      <c r="O671" s="2">
        <v>48.15</v>
      </c>
      <c r="P671">
        <f t="shared" si="32"/>
        <v>3</v>
      </c>
      <c r="Q671" t="s">
        <v>264</v>
      </c>
      <c r="R671" t="s">
        <v>1086</v>
      </c>
      <c r="S671" t="s">
        <v>58</v>
      </c>
      <c r="T671" s="4">
        <v>0.375</v>
      </c>
      <c r="U671" t="s">
        <v>60</v>
      </c>
      <c r="V671" t="s">
        <v>61</v>
      </c>
      <c r="W671" s="2">
        <v>18.059999999999999</v>
      </c>
      <c r="X671" s="2">
        <v>0</v>
      </c>
      <c r="Y671" s="2">
        <v>18.059999999999999</v>
      </c>
      <c r="Z671" s="5" t="s">
        <v>379</v>
      </c>
    </row>
    <row r="672" spans="1:26" x14ac:dyDescent="0.25">
      <c r="A672">
        <v>2030751664</v>
      </c>
      <c r="B672" t="s">
        <v>967</v>
      </c>
      <c r="C672" t="s">
        <v>968</v>
      </c>
      <c r="D672" s="5" t="str">
        <f t="shared" si="33"/>
        <v>ALLISON SOLOMON</v>
      </c>
      <c r="E672" t="s">
        <v>261</v>
      </c>
      <c r="F672" t="s">
        <v>378</v>
      </c>
      <c r="G672" t="s">
        <v>379</v>
      </c>
      <c r="H672">
        <v>8977234</v>
      </c>
      <c r="I672" t="s">
        <v>55</v>
      </c>
      <c r="J672" t="s">
        <v>56</v>
      </c>
      <c r="K672" t="str">
        <f t="shared" si="34"/>
        <v>RYAN CALTAGIRONE</v>
      </c>
      <c r="L672" t="s">
        <v>57</v>
      </c>
      <c r="M672" s="1">
        <v>45898</v>
      </c>
      <c r="N672" s="1">
        <v>45990</v>
      </c>
      <c r="O672" s="2">
        <v>22.34</v>
      </c>
      <c r="P672">
        <f t="shared" si="32"/>
        <v>3</v>
      </c>
      <c r="Q672" t="s">
        <v>264</v>
      </c>
      <c r="R672" t="s">
        <v>1086</v>
      </c>
      <c r="S672" t="s">
        <v>58</v>
      </c>
      <c r="T672" s="4">
        <v>0.375</v>
      </c>
      <c r="U672" t="s">
        <v>60</v>
      </c>
      <c r="V672" t="s">
        <v>61</v>
      </c>
      <c r="W672" s="2">
        <v>8.3800000000000008</v>
      </c>
      <c r="X672" s="2">
        <v>0</v>
      </c>
      <c r="Y672" s="2">
        <v>8.3800000000000008</v>
      </c>
      <c r="Z672" s="5" t="s">
        <v>379</v>
      </c>
    </row>
    <row r="673" spans="1:26" x14ac:dyDescent="0.25">
      <c r="A673">
        <v>2030697180</v>
      </c>
      <c r="B673" t="s">
        <v>193</v>
      </c>
      <c r="C673" t="s">
        <v>194</v>
      </c>
      <c r="D673" s="5" t="str">
        <f t="shared" si="33"/>
        <v>ABBEY BORROUGHS</v>
      </c>
      <c r="E673" t="s">
        <v>195</v>
      </c>
      <c r="F673" t="s">
        <v>378</v>
      </c>
      <c r="G673" t="s">
        <v>379</v>
      </c>
      <c r="H673">
        <v>15950276</v>
      </c>
      <c r="I673" t="s">
        <v>196</v>
      </c>
      <c r="J673" t="s">
        <v>197</v>
      </c>
      <c r="K673" t="str">
        <f t="shared" si="34"/>
        <v>Ryan Stocker</v>
      </c>
      <c r="L673" t="s">
        <v>57</v>
      </c>
      <c r="M673" s="1">
        <v>45901</v>
      </c>
      <c r="N673" s="1">
        <v>45992</v>
      </c>
      <c r="O673" s="2">
        <v>89</v>
      </c>
      <c r="P673">
        <f t="shared" si="32"/>
        <v>3</v>
      </c>
      <c r="Q673" t="s">
        <v>264</v>
      </c>
      <c r="R673" t="s">
        <v>1086</v>
      </c>
      <c r="S673" t="s">
        <v>58</v>
      </c>
      <c r="T673" s="4">
        <v>0.375</v>
      </c>
      <c r="U673" t="s">
        <v>60</v>
      </c>
      <c r="V673" t="s">
        <v>61</v>
      </c>
      <c r="W673" s="2">
        <v>33.380000000000003</v>
      </c>
      <c r="X673" s="2">
        <v>0</v>
      </c>
      <c r="Y673" s="2">
        <v>33.380000000000003</v>
      </c>
      <c r="Z673" s="5" t="s">
        <v>379</v>
      </c>
    </row>
    <row r="674" spans="1:26" x14ac:dyDescent="0.25">
      <c r="A674">
        <v>2030791103</v>
      </c>
      <c r="B674" t="s">
        <v>192</v>
      </c>
      <c r="C674" t="s">
        <v>557</v>
      </c>
      <c r="D674" s="5" t="str">
        <f t="shared" si="33"/>
        <v>JARED BROWN</v>
      </c>
      <c r="E674" t="s">
        <v>195</v>
      </c>
      <c r="F674" t="s">
        <v>378</v>
      </c>
      <c r="G674" t="s">
        <v>379</v>
      </c>
      <c r="H674">
        <v>15950276</v>
      </c>
      <c r="I674" t="s">
        <v>196</v>
      </c>
      <c r="J674" t="s">
        <v>197</v>
      </c>
      <c r="K674" t="str">
        <f t="shared" si="34"/>
        <v>Ryan Stocker</v>
      </c>
      <c r="L674" t="s">
        <v>57</v>
      </c>
      <c r="M674" s="1">
        <v>45901</v>
      </c>
      <c r="N674" s="1">
        <v>45992</v>
      </c>
      <c r="O674" s="2">
        <v>36.11</v>
      </c>
      <c r="P674">
        <f t="shared" si="32"/>
        <v>3</v>
      </c>
      <c r="Q674" t="s">
        <v>264</v>
      </c>
      <c r="R674" t="s">
        <v>1086</v>
      </c>
      <c r="S674" t="s">
        <v>58</v>
      </c>
      <c r="T674" s="4">
        <v>0.375</v>
      </c>
      <c r="U674" t="s">
        <v>60</v>
      </c>
      <c r="V674" t="s">
        <v>61</v>
      </c>
      <c r="W674" s="2">
        <v>13.54</v>
      </c>
      <c r="X674" s="2">
        <v>0</v>
      </c>
      <c r="Y674" s="2">
        <v>13.54</v>
      </c>
      <c r="Z674" s="5" t="s">
        <v>379</v>
      </c>
    </row>
    <row r="675" spans="1:26" x14ac:dyDescent="0.25">
      <c r="A675">
        <v>2030569258</v>
      </c>
      <c r="B675" t="s">
        <v>133</v>
      </c>
      <c r="C675" t="s">
        <v>134</v>
      </c>
      <c r="D675" s="5" t="str">
        <f t="shared" si="33"/>
        <v>TRACY DORENCZ</v>
      </c>
      <c r="E675" t="s">
        <v>69</v>
      </c>
      <c r="F675" t="s">
        <v>378</v>
      </c>
      <c r="G675" t="s">
        <v>379</v>
      </c>
      <c r="H675">
        <v>19396223</v>
      </c>
      <c r="I675" t="s">
        <v>135</v>
      </c>
      <c r="J675" t="s">
        <v>136</v>
      </c>
      <c r="K675" t="str">
        <f t="shared" si="34"/>
        <v>Saadia Abdul</v>
      </c>
      <c r="L675" t="s">
        <v>57</v>
      </c>
      <c r="M675" s="1">
        <v>45901</v>
      </c>
      <c r="N675" s="1">
        <v>45992</v>
      </c>
      <c r="O675" s="2">
        <v>77.48</v>
      </c>
      <c r="P675">
        <f t="shared" si="32"/>
        <v>3</v>
      </c>
      <c r="Q675" t="s">
        <v>264</v>
      </c>
      <c r="R675" t="s">
        <v>1086</v>
      </c>
      <c r="S675" t="s">
        <v>58</v>
      </c>
      <c r="T675" s="4">
        <v>0.375</v>
      </c>
      <c r="U675" t="s">
        <v>60</v>
      </c>
      <c r="V675" t="s">
        <v>61</v>
      </c>
      <c r="W675" s="2">
        <v>29.06</v>
      </c>
      <c r="X675" s="2">
        <v>0</v>
      </c>
      <c r="Y675" s="2">
        <v>29.06</v>
      </c>
      <c r="Z675" s="5" t="s">
        <v>379</v>
      </c>
    </row>
    <row r="676" spans="1:26" x14ac:dyDescent="0.25">
      <c r="A676">
        <v>2030491854</v>
      </c>
      <c r="B676" t="s">
        <v>106</v>
      </c>
      <c r="C676" t="s">
        <v>107</v>
      </c>
      <c r="D676" s="5" t="str">
        <f t="shared" si="33"/>
        <v>ETHAN ANDERSON</v>
      </c>
      <c r="E676" t="s">
        <v>69</v>
      </c>
      <c r="F676" t="s">
        <v>378</v>
      </c>
      <c r="G676" t="s">
        <v>379</v>
      </c>
      <c r="H676">
        <v>21475206</v>
      </c>
      <c r="I676" t="s">
        <v>108</v>
      </c>
      <c r="J676" t="s">
        <v>109</v>
      </c>
      <c r="K676" t="str">
        <f t="shared" si="34"/>
        <v>Sandra Sentman</v>
      </c>
      <c r="L676" t="s">
        <v>57</v>
      </c>
      <c r="M676" s="1">
        <v>45901</v>
      </c>
      <c r="N676" s="1">
        <v>45992</v>
      </c>
      <c r="O676" s="2">
        <v>77.48</v>
      </c>
      <c r="P676">
        <f t="shared" si="32"/>
        <v>3</v>
      </c>
      <c r="Q676" t="s">
        <v>264</v>
      </c>
      <c r="R676" t="s">
        <v>1086</v>
      </c>
      <c r="S676" t="s">
        <v>58</v>
      </c>
      <c r="T676" s="4">
        <v>0.375</v>
      </c>
      <c r="U676" t="s">
        <v>60</v>
      </c>
      <c r="V676" t="s">
        <v>61</v>
      </c>
      <c r="W676" s="2">
        <v>29.06</v>
      </c>
      <c r="X676" s="2">
        <v>0</v>
      </c>
      <c r="Y676" s="2">
        <v>29.06</v>
      </c>
      <c r="Z676" s="5" t="s">
        <v>379</v>
      </c>
    </row>
    <row r="677" spans="1:26" x14ac:dyDescent="0.25">
      <c r="A677">
        <v>2030594429</v>
      </c>
      <c r="B677" t="s">
        <v>149</v>
      </c>
      <c r="C677" t="s">
        <v>150</v>
      </c>
      <c r="D677" s="5" t="str">
        <f t="shared" si="33"/>
        <v>MATHIAS HIBBARD</v>
      </c>
      <c r="E677" t="s">
        <v>145</v>
      </c>
      <c r="F677" t="s">
        <v>378</v>
      </c>
      <c r="G677" t="s">
        <v>379</v>
      </c>
      <c r="H677">
        <v>18581063</v>
      </c>
      <c r="I677" t="s">
        <v>151</v>
      </c>
      <c r="J677" t="s">
        <v>152</v>
      </c>
      <c r="K677" t="str">
        <f t="shared" si="34"/>
        <v>Timothy Hodgman</v>
      </c>
      <c r="L677" t="s">
        <v>57</v>
      </c>
      <c r="M677" s="1">
        <v>45898</v>
      </c>
      <c r="N677" s="1">
        <v>45990</v>
      </c>
      <c r="O677" s="2">
        <v>60.74</v>
      </c>
      <c r="P677">
        <f t="shared" si="32"/>
        <v>3</v>
      </c>
      <c r="Q677" t="s">
        <v>264</v>
      </c>
      <c r="R677" t="s">
        <v>1086</v>
      </c>
      <c r="S677" t="s">
        <v>58</v>
      </c>
      <c r="T677" s="4">
        <v>0.375</v>
      </c>
      <c r="U677" t="s">
        <v>60</v>
      </c>
      <c r="V677" t="s">
        <v>61</v>
      </c>
      <c r="W677" s="2">
        <v>22.78</v>
      </c>
      <c r="X677" s="2">
        <v>0</v>
      </c>
      <c r="Y677" s="2">
        <v>22.78</v>
      </c>
      <c r="Z677" s="5" t="s">
        <v>379</v>
      </c>
    </row>
    <row r="678" spans="1:26" x14ac:dyDescent="0.25">
      <c r="A678">
        <v>2030125458</v>
      </c>
      <c r="B678" t="s">
        <v>962</v>
      </c>
      <c r="C678" t="s">
        <v>963</v>
      </c>
      <c r="D678" s="5" t="str">
        <f t="shared" si="33"/>
        <v>MATHEW EVERS</v>
      </c>
      <c r="E678" t="s">
        <v>165</v>
      </c>
      <c r="F678" t="s">
        <v>378</v>
      </c>
      <c r="G678" t="s">
        <v>379</v>
      </c>
      <c r="H678" t="s">
        <v>1083</v>
      </c>
      <c r="I678" t="s">
        <v>70</v>
      </c>
      <c r="J678" t="s">
        <v>71</v>
      </c>
      <c r="K678" t="str">
        <f t="shared" si="34"/>
        <v>Chad Yale</v>
      </c>
      <c r="L678" t="s">
        <v>57</v>
      </c>
      <c r="M678" s="1">
        <v>45863</v>
      </c>
      <c r="N678" s="1">
        <v>45986</v>
      </c>
      <c r="O678" s="2">
        <v>50.3</v>
      </c>
      <c r="P678">
        <f t="shared" si="32"/>
        <v>4</v>
      </c>
      <c r="Q678" t="s">
        <v>264</v>
      </c>
      <c r="R678" t="s">
        <v>1086</v>
      </c>
      <c r="S678" t="s">
        <v>58</v>
      </c>
      <c r="T678" s="4">
        <v>0.375</v>
      </c>
      <c r="U678" t="s">
        <v>60</v>
      </c>
      <c r="V678" t="s">
        <v>61</v>
      </c>
      <c r="W678" s="2">
        <v>18.86</v>
      </c>
      <c r="X678" s="2">
        <v>0</v>
      </c>
      <c r="Y678" s="2">
        <v>18.86</v>
      </c>
      <c r="Z678" s="5" t="s">
        <v>379</v>
      </c>
    </row>
    <row r="679" spans="1:26" x14ac:dyDescent="0.25">
      <c r="A679">
        <v>2029204335</v>
      </c>
      <c r="B679" t="s">
        <v>953</v>
      </c>
      <c r="C679" t="s">
        <v>354</v>
      </c>
      <c r="D679" s="5" t="str">
        <f t="shared" si="33"/>
        <v>GOODSON JAMES</v>
      </c>
      <c r="E679" t="s">
        <v>179</v>
      </c>
      <c r="F679" t="s">
        <v>378</v>
      </c>
      <c r="G679" t="s">
        <v>379</v>
      </c>
      <c r="H679" t="s">
        <v>1081</v>
      </c>
      <c r="I679" t="s">
        <v>191</v>
      </c>
      <c r="J679" t="s">
        <v>192</v>
      </c>
      <c r="K679" t="str">
        <f t="shared" si="34"/>
        <v>JARED KINYUA</v>
      </c>
      <c r="L679" t="s">
        <v>57</v>
      </c>
      <c r="M679" s="1">
        <v>45808</v>
      </c>
      <c r="N679" s="1">
        <v>45991</v>
      </c>
      <c r="O679" s="2">
        <v>34.28</v>
      </c>
      <c r="P679">
        <f t="shared" si="32"/>
        <v>5</v>
      </c>
      <c r="Q679" t="s">
        <v>264</v>
      </c>
      <c r="R679" t="s">
        <v>1086</v>
      </c>
      <c r="S679" t="s">
        <v>58</v>
      </c>
      <c r="T679" s="4">
        <v>0.375</v>
      </c>
      <c r="U679" t="s">
        <v>60</v>
      </c>
      <c r="V679" t="s">
        <v>61</v>
      </c>
      <c r="W679" s="2">
        <v>12.85</v>
      </c>
      <c r="X679" s="2">
        <v>0.01</v>
      </c>
      <c r="Y679" s="2">
        <v>12.85</v>
      </c>
      <c r="Z679" s="5" t="s">
        <v>379</v>
      </c>
    </row>
    <row r="680" spans="1:26" x14ac:dyDescent="0.25">
      <c r="A680">
        <v>2029202227</v>
      </c>
      <c r="B680" t="s">
        <v>547</v>
      </c>
      <c r="C680" t="s">
        <v>548</v>
      </c>
      <c r="D680" s="5" t="str">
        <f t="shared" si="33"/>
        <v>BROOKS DOMINICK</v>
      </c>
      <c r="E680" t="s">
        <v>195</v>
      </c>
      <c r="F680" t="s">
        <v>378</v>
      </c>
      <c r="G680" t="s">
        <v>379</v>
      </c>
      <c r="H680">
        <v>19278370</v>
      </c>
      <c r="I680" t="s">
        <v>321</v>
      </c>
      <c r="J680" t="s">
        <v>322</v>
      </c>
      <c r="K680" t="str">
        <f t="shared" si="34"/>
        <v>ANNE MARIE KOZACHECK</v>
      </c>
      <c r="L680" t="s">
        <v>57</v>
      </c>
      <c r="M680" s="1">
        <v>45809</v>
      </c>
      <c r="N680" s="1">
        <v>45992</v>
      </c>
      <c r="O680" s="2">
        <v>35.979999999999997</v>
      </c>
      <c r="P680">
        <f t="shared" si="32"/>
        <v>6</v>
      </c>
      <c r="Q680" t="s">
        <v>264</v>
      </c>
      <c r="R680" t="s">
        <v>1086</v>
      </c>
      <c r="S680" t="s">
        <v>58</v>
      </c>
      <c r="T680" s="4">
        <v>0.375</v>
      </c>
      <c r="U680" t="s">
        <v>60</v>
      </c>
      <c r="V680" t="s">
        <v>61</v>
      </c>
      <c r="W680" s="2">
        <v>13.49</v>
      </c>
      <c r="X680" s="2">
        <v>0</v>
      </c>
      <c r="Y680" s="2">
        <v>13.49</v>
      </c>
      <c r="Z680" s="5" t="s">
        <v>379</v>
      </c>
    </row>
    <row r="681" spans="1:26" x14ac:dyDescent="0.25">
      <c r="A681">
        <v>2028584435</v>
      </c>
      <c r="B681" t="s">
        <v>540</v>
      </c>
      <c r="C681" t="s">
        <v>541</v>
      </c>
      <c r="D681" s="5" t="str">
        <f t="shared" si="33"/>
        <v>EDWARDS KHALIL</v>
      </c>
      <c r="E681" t="s">
        <v>195</v>
      </c>
      <c r="F681" t="s">
        <v>378</v>
      </c>
      <c r="G681" t="s">
        <v>379</v>
      </c>
      <c r="H681">
        <v>19278370</v>
      </c>
      <c r="I681" t="s">
        <v>321</v>
      </c>
      <c r="J681" t="s">
        <v>322</v>
      </c>
      <c r="K681" t="str">
        <f t="shared" ref="K681:K712" si="35">CONCATENATE(J681, " ",I681)</f>
        <v>ANNE MARIE KOZACHECK</v>
      </c>
      <c r="L681" t="s">
        <v>57</v>
      </c>
      <c r="M681" s="1">
        <v>45778</v>
      </c>
      <c r="N681" s="1">
        <v>45962</v>
      </c>
      <c r="O681" s="2">
        <v>35.979999999999997</v>
      </c>
      <c r="P681">
        <f t="shared" si="32"/>
        <v>6</v>
      </c>
      <c r="Q681" t="s">
        <v>264</v>
      </c>
      <c r="R681" t="s">
        <v>1086</v>
      </c>
      <c r="S681" t="s">
        <v>58</v>
      </c>
      <c r="T681" s="4">
        <v>0.375</v>
      </c>
      <c r="U681" t="s">
        <v>60</v>
      </c>
      <c r="V681" t="s">
        <v>61</v>
      </c>
      <c r="W681" s="2">
        <v>0</v>
      </c>
      <c r="X681" s="2">
        <v>13.49</v>
      </c>
      <c r="Y681" s="2">
        <v>13.49</v>
      </c>
      <c r="Z681" s="5" t="s">
        <v>379</v>
      </c>
    </row>
    <row r="682" spans="1:26" x14ac:dyDescent="0.25">
      <c r="A682">
        <v>2029183289</v>
      </c>
      <c r="B682" t="s">
        <v>796</v>
      </c>
      <c r="C682" t="s">
        <v>89</v>
      </c>
      <c r="D682" s="5" t="str">
        <f t="shared" si="33"/>
        <v>AUSTIN BARRY</v>
      </c>
      <c r="E682" t="s">
        <v>165</v>
      </c>
      <c r="F682" t="s">
        <v>378</v>
      </c>
      <c r="G682" t="s">
        <v>379</v>
      </c>
      <c r="H682">
        <v>21348299</v>
      </c>
      <c r="I682" t="s">
        <v>88</v>
      </c>
      <c r="J682" t="s">
        <v>89</v>
      </c>
      <c r="K682" t="str">
        <f t="shared" si="35"/>
        <v>BARRY BRENNER</v>
      </c>
      <c r="L682" t="s">
        <v>57</v>
      </c>
      <c r="M682" s="1">
        <v>45807</v>
      </c>
      <c r="N682" s="1">
        <v>45991</v>
      </c>
      <c r="O682" s="2">
        <v>49.19</v>
      </c>
      <c r="P682">
        <f t="shared" si="32"/>
        <v>6</v>
      </c>
      <c r="Q682" t="s">
        <v>264</v>
      </c>
      <c r="R682" t="s">
        <v>1086</v>
      </c>
      <c r="S682" t="s">
        <v>58</v>
      </c>
      <c r="T682" s="4">
        <v>0.375</v>
      </c>
      <c r="U682" t="s">
        <v>60</v>
      </c>
      <c r="V682" t="s">
        <v>61</v>
      </c>
      <c r="W682" s="2">
        <v>18.440000000000001</v>
      </c>
      <c r="X682" s="2">
        <v>0.01</v>
      </c>
      <c r="Y682" s="2">
        <v>18.440000000000001</v>
      </c>
      <c r="Z682" s="5" t="s">
        <v>379</v>
      </c>
    </row>
    <row r="683" spans="1:26" x14ac:dyDescent="0.25">
      <c r="A683">
        <v>2029196871</v>
      </c>
      <c r="B683" t="s">
        <v>952</v>
      </c>
      <c r="C683" t="s">
        <v>797</v>
      </c>
      <c r="D683" s="5" t="str">
        <f t="shared" si="33"/>
        <v>WIMBERLY DANIEL</v>
      </c>
      <c r="E683" t="s">
        <v>208</v>
      </c>
      <c r="F683" t="s">
        <v>378</v>
      </c>
      <c r="G683" t="s">
        <v>379</v>
      </c>
      <c r="H683">
        <v>17425766</v>
      </c>
      <c r="I683" t="s">
        <v>357</v>
      </c>
      <c r="J683" t="s">
        <v>358</v>
      </c>
      <c r="K683" t="str">
        <f t="shared" si="35"/>
        <v>CAROL FOLEY</v>
      </c>
      <c r="L683" t="s">
        <v>57</v>
      </c>
      <c r="M683" s="1">
        <v>45809</v>
      </c>
      <c r="N683" s="1">
        <v>45992</v>
      </c>
      <c r="O683" s="2">
        <v>28.07</v>
      </c>
      <c r="P683">
        <f t="shared" si="32"/>
        <v>6</v>
      </c>
      <c r="Q683" t="s">
        <v>264</v>
      </c>
      <c r="R683" t="s">
        <v>1086</v>
      </c>
      <c r="S683" t="s">
        <v>58</v>
      </c>
      <c r="T683" s="4">
        <v>0.375</v>
      </c>
      <c r="U683" t="s">
        <v>60</v>
      </c>
      <c r="V683" t="s">
        <v>61</v>
      </c>
      <c r="W683" s="2">
        <v>10.52</v>
      </c>
      <c r="X683" s="2">
        <v>0.01</v>
      </c>
      <c r="Y683" s="2">
        <v>10.52</v>
      </c>
      <c r="Z683" s="5" t="s">
        <v>379</v>
      </c>
    </row>
    <row r="684" spans="1:26" x14ac:dyDescent="0.25">
      <c r="A684">
        <v>2028960908</v>
      </c>
      <c r="B684" t="s">
        <v>789</v>
      </c>
      <c r="C684" t="s">
        <v>790</v>
      </c>
      <c r="D684" s="5" t="str">
        <f t="shared" si="33"/>
        <v>SCHOENDIENST LINDSEY</v>
      </c>
      <c r="E684" t="s">
        <v>69</v>
      </c>
      <c r="F684" t="s">
        <v>378</v>
      </c>
      <c r="G684" t="s">
        <v>379</v>
      </c>
      <c r="H684" t="s">
        <v>1083</v>
      </c>
      <c r="I684" t="s">
        <v>70</v>
      </c>
      <c r="J684" t="s">
        <v>71</v>
      </c>
      <c r="K684" t="str">
        <f t="shared" si="35"/>
        <v>Chad Yale</v>
      </c>
      <c r="L684" t="s">
        <v>57</v>
      </c>
      <c r="M684" s="1">
        <v>45809</v>
      </c>
      <c r="N684" s="1">
        <v>45992</v>
      </c>
      <c r="O684" s="2">
        <v>41.17</v>
      </c>
      <c r="P684">
        <f t="shared" si="32"/>
        <v>6</v>
      </c>
      <c r="Q684" t="s">
        <v>264</v>
      </c>
      <c r="R684" t="s">
        <v>1086</v>
      </c>
      <c r="S684" t="s">
        <v>58</v>
      </c>
      <c r="T684" s="4">
        <v>0.375</v>
      </c>
      <c r="U684" t="s">
        <v>60</v>
      </c>
      <c r="V684" t="s">
        <v>61</v>
      </c>
      <c r="W684" s="2">
        <v>15.43</v>
      </c>
      <c r="X684" s="2">
        <v>0.01</v>
      </c>
      <c r="Y684" s="2">
        <v>15.43</v>
      </c>
      <c r="Z684" s="5" t="s">
        <v>379</v>
      </c>
    </row>
    <row r="685" spans="1:26" x14ac:dyDescent="0.25">
      <c r="A685">
        <v>2028910082</v>
      </c>
      <c r="B685" t="s">
        <v>932</v>
      </c>
      <c r="C685" t="s">
        <v>933</v>
      </c>
      <c r="D685" s="5" t="str">
        <f t="shared" si="33"/>
        <v>PETROV PETAR</v>
      </c>
      <c r="E685" t="s">
        <v>69</v>
      </c>
      <c r="F685" t="s">
        <v>378</v>
      </c>
      <c r="G685" t="s">
        <v>379</v>
      </c>
      <c r="H685">
        <v>21435997</v>
      </c>
      <c r="I685" t="s">
        <v>380</v>
      </c>
      <c r="J685" t="s">
        <v>381</v>
      </c>
      <c r="K685" t="str">
        <f t="shared" si="35"/>
        <v>Christopher Brousseau</v>
      </c>
      <c r="L685" t="s">
        <v>57</v>
      </c>
      <c r="M685" s="1">
        <v>45809</v>
      </c>
      <c r="N685" s="1">
        <v>45992</v>
      </c>
      <c r="O685" s="2">
        <v>77.7</v>
      </c>
      <c r="P685">
        <f t="shared" si="32"/>
        <v>6</v>
      </c>
      <c r="Q685" t="s">
        <v>264</v>
      </c>
      <c r="R685" t="s">
        <v>1086</v>
      </c>
      <c r="S685" t="s">
        <v>58</v>
      </c>
      <c r="T685" s="4">
        <v>0.375</v>
      </c>
      <c r="U685" t="s">
        <v>60</v>
      </c>
      <c r="V685" t="s">
        <v>61</v>
      </c>
      <c r="W685" s="2">
        <v>29.14</v>
      </c>
      <c r="X685" s="2">
        <v>0</v>
      </c>
      <c r="Y685" s="2">
        <v>29.14</v>
      </c>
      <c r="Z685" s="5" t="s">
        <v>379</v>
      </c>
    </row>
    <row r="686" spans="1:26" x14ac:dyDescent="0.25">
      <c r="A686">
        <v>2029158439</v>
      </c>
      <c r="B686" t="s">
        <v>949</v>
      </c>
      <c r="C686" t="s">
        <v>433</v>
      </c>
      <c r="D686" s="5" t="str">
        <f t="shared" si="33"/>
        <v>KEE LESLIE</v>
      </c>
      <c r="E686" t="s">
        <v>165</v>
      </c>
      <c r="F686" t="s">
        <v>378</v>
      </c>
      <c r="G686" t="s">
        <v>379</v>
      </c>
      <c r="H686">
        <v>21435997</v>
      </c>
      <c r="I686" t="s">
        <v>380</v>
      </c>
      <c r="J686" t="s">
        <v>381</v>
      </c>
      <c r="K686" t="str">
        <f t="shared" si="35"/>
        <v>Christopher Brousseau</v>
      </c>
      <c r="L686" t="s">
        <v>57</v>
      </c>
      <c r="M686" s="1">
        <v>45809</v>
      </c>
      <c r="N686" s="1">
        <v>45992</v>
      </c>
      <c r="O686" s="2">
        <v>22.88</v>
      </c>
      <c r="P686">
        <f t="shared" si="32"/>
        <v>6</v>
      </c>
      <c r="Q686" t="s">
        <v>264</v>
      </c>
      <c r="R686" t="s">
        <v>1086</v>
      </c>
      <c r="S686" t="s">
        <v>58</v>
      </c>
      <c r="T686" s="4">
        <v>0.375</v>
      </c>
      <c r="U686" t="s">
        <v>60</v>
      </c>
      <c r="V686" t="s">
        <v>61</v>
      </c>
      <c r="W686" s="2">
        <v>8.58</v>
      </c>
      <c r="X686" s="2">
        <v>0</v>
      </c>
      <c r="Y686" s="2">
        <v>8.58</v>
      </c>
      <c r="Z686" s="5" t="s">
        <v>379</v>
      </c>
    </row>
    <row r="687" spans="1:26" x14ac:dyDescent="0.25">
      <c r="A687">
        <v>2029068610</v>
      </c>
      <c r="B687" t="s">
        <v>946</v>
      </c>
      <c r="C687" t="s">
        <v>947</v>
      </c>
      <c r="D687" s="5" t="str">
        <f t="shared" si="33"/>
        <v>CONLEY BRIT</v>
      </c>
      <c r="E687" t="s">
        <v>69</v>
      </c>
      <c r="F687" t="s">
        <v>378</v>
      </c>
      <c r="G687" t="s">
        <v>379</v>
      </c>
      <c r="H687">
        <v>9213293</v>
      </c>
      <c r="I687" t="s">
        <v>82</v>
      </c>
      <c r="J687" t="s">
        <v>83</v>
      </c>
      <c r="K687" t="str">
        <f t="shared" si="35"/>
        <v>GARY PORTUGAL</v>
      </c>
      <c r="L687" t="s">
        <v>57</v>
      </c>
      <c r="M687" s="1">
        <v>45809</v>
      </c>
      <c r="N687" s="1">
        <v>45992</v>
      </c>
      <c r="O687" s="2">
        <v>57.19</v>
      </c>
      <c r="P687">
        <f t="shared" si="32"/>
        <v>6</v>
      </c>
      <c r="Q687" t="s">
        <v>264</v>
      </c>
      <c r="R687" t="s">
        <v>1086</v>
      </c>
      <c r="S687" t="s">
        <v>58</v>
      </c>
      <c r="T687" s="4">
        <v>0.375</v>
      </c>
      <c r="U687" t="s">
        <v>60</v>
      </c>
      <c r="V687" t="s">
        <v>61</v>
      </c>
      <c r="W687" s="2">
        <v>21.44</v>
      </c>
      <c r="X687" s="2">
        <v>0.01</v>
      </c>
      <c r="Y687" s="2">
        <v>21.44</v>
      </c>
      <c r="Z687" s="5" t="s">
        <v>379</v>
      </c>
    </row>
    <row r="688" spans="1:26" x14ac:dyDescent="0.25">
      <c r="A688">
        <v>2028901561</v>
      </c>
      <c r="B688" t="s">
        <v>693</v>
      </c>
      <c r="C688" t="s">
        <v>694</v>
      </c>
      <c r="D688" s="5" t="str">
        <f t="shared" si="33"/>
        <v>MATHIEU ISAAC</v>
      </c>
      <c r="E688" t="s">
        <v>195</v>
      </c>
      <c r="F688" t="s">
        <v>378</v>
      </c>
      <c r="G688" t="s">
        <v>379</v>
      </c>
      <c r="H688">
        <v>18781057</v>
      </c>
      <c r="I688" t="s">
        <v>349</v>
      </c>
      <c r="J688" t="s">
        <v>312</v>
      </c>
      <c r="K688" t="str">
        <f t="shared" si="35"/>
        <v>JOHN ROKEN</v>
      </c>
      <c r="L688" t="s">
        <v>57</v>
      </c>
      <c r="M688" s="1">
        <v>45809</v>
      </c>
      <c r="N688" s="1">
        <v>45992</v>
      </c>
      <c r="O688" s="2">
        <v>24.88</v>
      </c>
      <c r="P688">
        <f t="shared" si="32"/>
        <v>6</v>
      </c>
      <c r="Q688" t="s">
        <v>264</v>
      </c>
      <c r="R688" t="s">
        <v>1086</v>
      </c>
      <c r="S688" t="s">
        <v>58</v>
      </c>
      <c r="T688" s="4">
        <v>0.375</v>
      </c>
      <c r="U688" t="s">
        <v>60</v>
      </c>
      <c r="V688" t="s">
        <v>61</v>
      </c>
      <c r="W688" s="2">
        <v>0</v>
      </c>
      <c r="X688" s="2">
        <v>9.33</v>
      </c>
      <c r="Y688" s="2">
        <v>9.33</v>
      </c>
      <c r="Z688" s="5" t="s">
        <v>379</v>
      </c>
    </row>
    <row r="689" spans="1:26" x14ac:dyDescent="0.25">
      <c r="A689">
        <v>2029011566</v>
      </c>
      <c r="B689" t="s">
        <v>265</v>
      </c>
      <c r="C689" t="s">
        <v>792</v>
      </c>
      <c r="D689" s="5" t="str">
        <f t="shared" si="33"/>
        <v>LARSON RANDALL</v>
      </c>
      <c r="E689" t="s">
        <v>69</v>
      </c>
      <c r="F689" t="s">
        <v>378</v>
      </c>
      <c r="G689" t="s">
        <v>379</v>
      </c>
      <c r="H689">
        <v>8977234</v>
      </c>
      <c r="I689" t="s">
        <v>55</v>
      </c>
      <c r="J689" t="s">
        <v>56</v>
      </c>
      <c r="K689" t="str">
        <f t="shared" si="35"/>
        <v>RYAN CALTAGIRONE</v>
      </c>
      <c r="L689" t="s">
        <v>57</v>
      </c>
      <c r="M689" s="1">
        <v>45809</v>
      </c>
      <c r="N689" s="1">
        <v>45992</v>
      </c>
      <c r="O689" s="2">
        <v>67.19</v>
      </c>
      <c r="P689">
        <f t="shared" si="32"/>
        <v>6</v>
      </c>
      <c r="Q689" t="s">
        <v>264</v>
      </c>
      <c r="R689" t="s">
        <v>1086</v>
      </c>
      <c r="S689" t="s">
        <v>58</v>
      </c>
      <c r="T689" s="4">
        <v>0.375</v>
      </c>
      <c r="U689" t="s">
        <v>60</v>
      </c>
      <c r="V689" t="s">
        <v>61</v>
      </c>
      <c r="W689" s="2">
        <v>25.19</v>
      </c>
      <c r="X689" s="2">
        <v>0.01</v>
      </c>
      <c r="Y689" s="2">
        <v>25.19</v>
      </c>
      <c r="Z689" s="5" t="s">
        <v>379</v>
      </c>
    </row>
    <row r="690" spans="1:26" x14ac:dyDescent="0.25">
      <c r="A690">
        <v>2028565273</v>
      </c>
      <c r="B690" t="s">
        <v>538</v>
      </c>
      <c r="C690" t="s">
        <v>539</v>
      </c>
      <c r="D690" s="5" t="str">
        <f t="shared" si="33"/>
        <v>LANCASTER DERRICK</v>
      </c>
      <c r="E690" t="s">
        <v>190</v>
      </c>
      <c r="F690" t="s">
        <v>378</v>
      </c>
      <c r="G690" t="s">
        <v>379</v>
      </c>
      <c r="H690">
        <v>8977234</v>
      </c>
      <c r="I690" t="s">
        <v>55</v>
      </c>
      <c r="J690" t="s">
        <v>56</v>
      </c>
      <c r="K690" t="str">
        <f t="shared" si="35"/>
        <v>RYAN CALTAGIRONE</v>
      </c>
      <c r="L690" t="s">
        <v>57</v>
      </c>
      <c r="M690" s="1">
        <v>45809</v>
      </c>
      <c r="N690" s="1">
        <v>45992</v>
      </c>
      <c r="O690" s="2">
        <v>57.5</v>
      </c>
      <c r="P690">
        <f t="shared" si="32"/>
        <v>6</v>
      </c>
      <c r="Q690" t="s">
        <v>264</v>
      </c>
      <c r="R690" t="s">
        <v>1086</v>
      </c>
      <c r="S690" t="s">
        <v>58</v>
      </c>
      <c r="T690" s="4">
        <v>0.375</v>
      </c>
      <c r="U690" t="s">
        <v>60</v>
      </c>
      <c r="V690" t="s">
        <v>61</v>
      </c>
      <c r="W690" s="2">
        <v>21.56</v>
      </c>
      <c r="X690" s="2">
        <v>0</v>
      </c>
      <c r="Y690" s="2">
        <v>21.56</v>
      </c>
      <c r="Z690" s="5" t="s">
        <v>379</v>
      </c>
    </row>
    <row r="691" spans="1:26" x14ac:dyDescent="0.25">
      <c r="A691">
        <v>2029034662</v>
      </c>
      <c r="B691" t="s">
        <v>265</v>
      </c>
      <c r="C691" t="s">
        <v>797</v>
      </c>
      <c r="D691" s="5" t="str">
        <f t="shared" si="33"/>
        <v>LARSON DANIEL</v>
      </c>
      <c r="E691" t="s">
        <v>69</v>
      </c>
      <c r="F691" t="s">
        <v>378</v>
      </c>
      <c r="G691" t="s">
        <v>379</v>
      </c>
      <c r="H691">
        <v>8977234</v>
      </c>
      <c r="I691" t="s">
        <v>55</v>
      </c>
      <c r="J691" t="s">
        <v>56</v>
      </c>
      <c r="K691" t="str">
        <f t="shared" si="35"/>
        <v>RYAN CALTAGIRONE</v>
      </c>
      <c r="L691" t="s">
        <v>57</v>
      </c>
      <c r="M691" s="1">
        <v>45809</v>
      </c>
      <c r="N691" s="1">
        <v>45992</v>
      </c>
      <c r="O691" s="2">
        <v>27.64</v>
      </c>
      <c r="P691">
        <f t="shared" si="32"/>
        <v>6</v>
      </c>
      <c r="Q691" t="s">
        <v>264</v>
      </c>
      <c r="R691" t="s">
        <v>1086</v>
      </c>
      <c r="S691" t="s">
        <v>58</v>
      </c>
      <c r="T691" s="4">
        <v>0.375</v>
      </c>
      <c r="U691" t="s">
        <v>60</v>
      </c>
      <c r="V691" t="s">
        <v>61</v>
      </c>
      <c r="W691" s="2">
        <v>10.36</v>
      </c>
      <c r="X691" s="2">
        <v>0</v>
      </c>
      <c r="Y691" s="2">
        <v>10.36</v>
      </c>
      <c r="Z691" s="5" t="s">
        <v>379</v>
      </c>
    </row>
    <row r="692" spans="1:26" x14ac:dyDescent="0.25">
      <c r="A692">
        <v>2028776891</v>
      </c>
      <c r="B692" t="s">
        <v>635</v>
      </c>
      <c r="C692" t="s">
        <v>354</v>
      </c>
      <c r="D692" s="5" t="str">
        <f t="shared" si="33"/>
        <v>RIDING JAMES</v>
      </c>
      <c r="E692" t="s">
        <v>636</v>
      </c>
      <c r="F692" t="s">
        <v>378</v>
      </c>
      <c r="G692" t="s">
        <v>379</v>
      </c>
      <c r="H692">
        <v>8977234</v>
      </c>
      <c r="I692" t="s">
        <v>55</v>
      </c>
      <c r="J692" t="s">
        <v>56</v>
      </c>
      <c r="K692" t="str">
        <f t="shared" si="35"/>
        <v>RYAN CALTAGIRONE</v>
      </c>
      <c r="L692" t="s">
        <v>57</v>
      </c>
      <c r="M692" s="1">
        <v>45809</v>
      </c>
      <c r="N692" s="1">
        <v>45992</v>
      </c>
      <c r="O692" s="2">
        <v>34.1</v>
      </c>
      <c r="P692">
        <f t="shared" si="32"/>
        <v>6</v>
      </c>
      <c r="Q692" t="s">
        <v>264</v>
      </c>
      <c r="R692" t="s">
        <v>1086</v>
      </c>
      <c r="S692" t="s">
        <v>58</v>
      </c>
      <c r="T692" s="4">
        <v>0.375</v>
      </c>
      <c r="U692" t="s">
        <v>60</v>
      </c>
      <c r="V692" t="s">
        <v>61</v>
      </c>
      <c r="W692" s="2">
        <v>0</v>
      </c>
      <c r="X692" s="2">
        <v>12.79</v>
      </c>
      <c r="Y692" s="2">
        <v>12.79</v>
      </c>
      <c r="Z692" s="5" t="s">
        <v>379</v>
      </c>
    </row>
    <row r="693" spans="1:26" x14ac:dyDescent="0.25">
      <c r="A693">
        <v>2028923135</v>
      </c>
      <c r="B693" t="s">
        <v>938</v>
      </c>
      <c r="C693" t="s">
        <v>385</v>
      </c>
      <c r="D693" s="5" t="str">
        <f t="shared" si="33"/>
        <v>SNARSKI PATRICIA</v>
      </c>
      <c r="E693" t="s">
        <v>69</v>
      </c>
      <c r="F693" t="s">
        <v>378</v>
      </c>
      <c r="G693" t="s">
        <v>379</v>
      </c>
      <c r="H693">
        <v>19396223</v>
      </c>
      <c r="I693" t="s">
        <v>135</v>
      </c>
      <c r="J693" t="s">
        <v>136</v>
      </c>
      <c r="K693" t="str">
        <f t="shared" si="35"/>
        <v>Saadia Abdul</v>
      </c>
      <c r="L693" t="s">
        <v>57</v>
      </c>
      <c r="M693" s="1">
        <v>45809</v>
      </c>
      <c r="N693" s="1">
        <v>45992</v>
      </c>
      <c r="O693" s="2">
        <v>156.16</v>
      </c>
      <c r="P693">
        <f t="shared" si="32"/>
        <v>6</v>
      </c>
      <c r="Q693" t="s">
        <v>264</v>
      </c>
      <c r="R693" t="s">
        <v>1086</v>
      </c>
      <c r="S693" t="s">
        <v>58</v>
      </c>
      <c r="T693" s="4">
        <v>0.375</v>
      </c>
      <c r="U693" t="s">
        <v>60</v>
      </c>
      <c r="V693" t="s">
        <v>61</v>
      </c>
      <c r="W693" s="2">
        <v>58.56</v>
      </c>
      <c r="X693" s="2">
        <v>0</v>
      </c>
      <c r="Y693" s="2">
        <v>58.56</v>
      </c>
      <c r="Z693" s="5" t="s">
        <v>379</v>
      </c>
    </row>
    <row r="694" spans="1:26" x14ac:dyDescent="0.25">
      <c r="A694">
        <v>2028043911</v>
      </c>
      <c r="B694" t="s">
        <v>280</v>
      </c>
      <c r="C694" t="s">
        <v>907</v>
      </c>
      <c r="D694" s="5" t="str">
        <f t="shared" si="33"/>
        <v>MARTIN TRACEY</v>
      </c>
      <c r="E694" t="s">
        <v>69</v>
      </c>
      <c r="F694" t="s">
        <v>378</v>
      </c>
      <c r="G694" t="s">
        <v>379</v>
      </c>
      <c r="H694">
        <v>21348299</v>
      </c>
      <c r="I694" t="s">
        <v>88</v>
      </c>
      <c r="J694" t="s">
        <v>89</v>
      </c>
      <c r="K694" t="str">
        <f t="shared" si="35"/>
        <v>BARRY BRENNER</v>
      </c>
      <c r="L694" t="s">
        <v>57</v>
      </c>
      <c r="M694" s="1">
        <v>45748</v>
      </c>
      <c r="N694" s="1">
        <v>45992</v>
      </c>
      <c r="O694" s="2">
        <v>90.76</v>
      </c>
      <c r="P694">
        <f t="shared" si="32"/>
        <v>8</v>
      </c>
      <c r="Q694" t="s">
        <v>264</v>
      </c>
      <c r="R694" t="s">
        <v>1086</v>
      </c>
      <c r="S694" t="s">
        <v>58</v>
      </c>
      <c r="T694" s="4">
        <v>0.375</v>
      </c>
      <c r="U694" t="s">
        <v>60</v>
      </c>
      <c r="V694" t="s">
        <v>61</v>
      </c>
      <c r="W694" s="2">
        <v>0</v>
      </c>
      <c r="X694" s="2">
        <v>34.04</v>
      </c>
      <c r="Y694" s="2">
        <v>34.04</v>
      </c>
      <c r="Z694" s="5" t="s">
        <v>379</v>
      </c>
    </row>
    <row r="695" spans="1:26" x14ac:dyDescent="0.25">
      <c r="A695">
        <v>2028149728</v>
      </c>
      <c r="B695" t="s">
        <v>916</v>
      </c>
      <c r="C695" t="s">
        <v>917</v>
      </c>
      <c r="D695" s="5" t="str">
        <f t="shared" si="33"/>
        <v>KRAMER-KAHNY RUSSELL</v>
      </c>
      <c r="E695" t="s">
        <v>52</v>
      </c>
      <c r="F695" t="s">
        <v>378</v>
      </c>
      <c r="G695" t="s">
        <v>379</v>
      </c>
      <c r="H695">
        <v>17425766</v>
      </c>
      <c r="I695" t="s">
        <v>357</v>
      </c>
      <c r="J695" t="s">
        <v>358</v>
      </c>
      <c r="K695" t="str">
        <f t="shared" si="35"/>
        <v>CAROL FOLEY</v>
      </c>
      <c r="L695" t="s">
        <v>57</v>
      </c>
      <c r="M695" s="1">
        <v>45748</v>
      </c>
      <c r="N695" s="1">
        <v>45992</v>
      </c>
      <c r="O695" s="2">
        <v>16.39</v>
      </c>
      <c r="P695">
        <f t="shared" si="32"/>
        <v>8</v>
      </c>
      <c r="Q695" t="s">
        <v>264</v>
      </c>
      <c r="R695" t="s">
        <v>1086</v>
      </c>
      <c r="S695" t="s">
        <v>58</v>
      </c>
      <c r="T695" s="4">
        <v>0.375</v>
      </c>
      <c r="U695" t="s">
        <v>60</v>
      </c>
      <c r="V695" t="s">
        <v>61</v>
      </c>
      <c r="W695" s="2">
        <v>0</v>
      </c>
      <c r="X695" s="2">
        <v>6.15</v>
      </c>
      <c r="Y695" s="2">
        <v>6.15</v>
      </c>
      <c r="Z695" s="5" t="s">
        <v>379</v>
      </c>
    </row>
    <row r="696" spans="1:26" x14ac:dyDescent="0.25">
      <c r="A696">
        <v>2027883494</v>
      </c>
      <c r="B696" t="s">
        <v>318</v>
      </c>
      <c r="C696" t="s">
        <v>897</v>
      </c>
      <c r="D696" s="5" t="str">
        <f t="shared" si="33"/>
        <v>KELLY PATRICK</v>
      </c>
      <c r="E696" t="s">
        <v>195</v>
      </c>
      <c r="F696" t="s">
        <v>378</v>
      </c>
      <c r="G696" t="s">
        <v>379</v>
      </c>
      <c r="H696" t="s">
        <v>1079</v>
      </c>
      <c r="I696" t="s">
        <v>325</v>
      </c>
      <c r="J696" t="s">
        <v>326</v>
      </c>
      <c r="K696" t="str">
        <f t="shared" si="35"/>
        <v>DEBORAH INSKIPT</v>
      </c>
      <c r="L696" t="s">
        <v>57</v>
      </c>
      <c r="M696" s="1">
        <v>45735</v>
      </c>
      <c r="N696" s="1">
        <v>45980</v>
      </c>
      <c r="O696" s="2">
        <v>49.98</v>
      </c>
      <c r="P696">
        <f t="shared" si="32"/>
        <v>8</v>
      </c>
      <c r="Q696" t="s">
        <v>264</v>
      </c>
      <c r="R696" t="s">
        <v>1086</v>
      </c>
      <c r="S696" t="s">
        <v>58</v>
      </c>
      <c r="T696" s="4">
        <v>0.375</v>
      </c>
      <c r="U696" t="s">
        <v>60</v>
      </c>
      <c r="V696" t="s">
        <v>61</v>
      </c>
      <c r="W696" s="2">
        <v>0</v>
      </c>
      <c r="X696" s="2">
        <v>18.739999999999998</v>
      </c>
      <c r="Y696" s="2">
        <v>18.739999999999998</v>
      </c>
      <c r="Z696" s="5" t="s">
        <v>379</v>
      </c>
    </row>
    <row r="697" spans="1:26" x14ac:dyDescent="0.25">
      <c r="A697">
        <v>2028020256</v>
      </c>
      <c r="B697" t="s">
        <v>906</v>
      </c>
      <c r="C697" t="s">
        <v>326</v>
      </c>
      <c r="D697" s="5" t="str">
        <f t="shared" si="33"/>
        <v>OAKMAN DEBORAH</v>
      </c>
      <c r="E697" t="s">
        <v>195</v>
      </c>
      <c r="F697" t="s">
        <v>378</v>
      </c>
      <c r="G697" t="s">
        <v>379</v>
      </c>
      <c r="H697" t="s">
        <v>1079</v>
      </c>
      <c r="I697" t="s">
        <v>325</v>
      </c>
      <c r="J697" t="s">
        <v>326</v>
      </c>
      <c r="K697" t="str">
        <f t="shared" si="35"/>
        <v>DEBORAH INSKIPT</v>
      </c>
      <c r="L697" t="s">
        <v>57</v>
      </c>
      <c r="M697" s="1">
        <v>45748</v>
      </c>
      <c r="N697" s="1">
        <v>45992</v>
      </c>
      <c r="O697" s="2">
        <v>39.979999999999997</v>
      </c>
      <c r="P697">
        <f t="shared" si="32"/>
        <v>8</v>
      </c>
      <c r="Q697" t="s">
        <v>264</v>
      </c>
      <c r="R697" t="s">
        <v>1086</v>
      </c>
      <c r="S697" t="s">
        <v>58</v>
      </c>
      <c r="T697" s="4">
        <v>0.375</v>
      </c>
      <c r="U697" t="s">
        <v>60</v>
      </c>
      <c r="V697" t="s">
        <v>61</v>
      </c>
      <c r="W697" s="2">
        <v>0</v>
      </c>
      <c r="X697" s="2">
        <v>14.99</v>
      </c>
      <c r="Y697" s="2">
        <v>14.99</v>
      </c>
      <c r="Z697" s="5" t="s">
        <v>379</v>
      </c>
    </row>
    <row r="698" spans="1:26" x14ac:dyDescent="0.25">
      <c r="A698">
        <v>2027868981</v>
      </c>
      <c r="B698" t="s">
        <v>895</v>
      </c>
      <c r="C698" t="s">
        <v>896</v>
      </c>
      <c r="D698" s="5" t="str">
        <f t="shared" si="33"/>
        <v>EDIZER BOGAC</v>
      </c>
      <c r="E698" t="s">
        <v>69</v>
      </c>
      <c r="F698" t="s">
        <v>378</v>
      </c>
      <c r="G698" t="s">
        <v>379</v>
      </c>
      <c r="H698">
        <v>18754354</v>
      </c>
      <c r="I698" t="s">
        <v>114</v>
      </c>
      <c r="J698" t="s">
        <v>115</v>
      </c>
      <c r="K698" t="str">
        <f t="shared" si="35"/>
        <v>JACOB YALE</v>
      </c>
      <c r="L698" t="s">
        <v>57</v>
      </c>
      <c r="M698" s="1">
        <v>45748</v>
      </c>
      <c r="N698" s="1">
        <v>45992</v>
      </c>
      <c r="O698" s="2">
        <v>150.44999999999999</v>
      </c>
      <c r="P698">
        <f t="shared" si="32"/>
        <v>8</v>
      </c>
      <c r="Q698" t="s">
        <v>264</v>
      </c>
      <c r="R698" t="s">
        <v>1086</v>
      </c>
      <c r="S698" t="s">
        <v>58</v>
      </c>
      <c r="T698" s="4">
        <v>0.375</v>
      </c>
      <c r="U698" t="s">
        <v>60</v>
      </c>
      <c r="V698" t="s">
        <v>61</v>
      </c>
      <c r="W698" s="2">
        <v>0</v>
      </c>
      <c r="X698" s="2">
        <v>56.42</v>
      </c>
      <c r="Y698" s="2">
        <v>56.42</v>
      </c>
      <c r="Z698" s="5" t="s">
        <v>379</v>
      </c>
    </row>
    <row r="699" spans="1:26" x14ac:dyDescent="0.25">
      <c r="A699">
        <v>2027943424</v>
      </c>
      <c r="B699" t="s">
        <v>901</v>
      </c>
      <c r="C699" t="s">
        <v>902</v>
      </c>
      <c r="D699" s="5" t="str">
        <f t="shared" si="33"/>
        <v>BATIO ZACHARY</v>
      </c>
      <c r="E699" t="s">
        <v>69</v>
      </c>
      <c r="F699" t="s">
        <v>378</v>
      </c>
      <c r="G699" t="s">
        <v>379</v>
      </c>
      <c r="H699">
        <v>18754354</v>
      </c>
      <c r="I699" t="s">
        <v>114</v>
      </c>
      <c r="J699" t="s">
        <v>115</v>
      </c>
      <c r="K699" t="str">
        <f t="shared" si="35"/>
        <v>JACOB YALE</v>
      </c>
      <c r="L699" t="s">
        <v>57</v>
      </c>
      <c r="M699" s="1">
        <v>45748</v>
      </c>
      <c r="N699" s="1">
        <v>45992</v>
      </c>
      <c r="O699" s="2">
        <v>22.52</v>
      </c>
      <c r="P699">
        <f t="shared" si="32"/>
        <v>8</v>
      </c>
      <c r="Q699" t="s">
        <v>264</v>
      </c>
      <c r="R699" t="s">
        <v>1086</v>
      </c>
      <c r="S699" t="s">
        <v>58</v>
      </c>
      <c r="T699" s="4">
        <v>0.375</v>
      </c>
      <c r="U699" t="s">
        <v>60</v>
      </c>
      <c r="V699" t="s">
        <v>61</v>
      </c>
      <c r="W699" s="2">
        <v>0</v>
      </c>
      <c r="X699" s="2">
        <v>8.44</v>
      </c>
      <c r="Y699" s="2">
        <v>8.44</v>
      </c>
      <c r="Z699" s="5" t="s">
        <v>379</v>
      </c>
    </row>
    <row r="700" spans="1:26" x14ac:dyDescent="0.25">
      <c r="A700">
        <v>2028087322</v>
      </c>
      <c r="B700" t="s">
        <v>912</v>
      </c>
      <c r="C700" t="s">
        <v>913</v>
      </c>
      <c r="D700" s="5" t="str">
        <f t="shared" si="33"/>
        <v>SHIPBAUGH BROOKE</v>
      </c>
      <c r="E700" t="s">
        <v>69</v>
      </c>
      <c r="F700" t="s">
        <v>378</v>
      </c>
      <c r="G700" t="s">
        <v>379</v>
      </c>
      <c r="H700">
        <v>18754354</v>
      </c>
      <c r="I700" t="s">
        <v>114</v>
      </c>
      <c r="J700" t="s">
        <v>115</v>
      </c>
      <c r="K700" t="str">
        <f t="shared" si="35"/>
        <v>JACOB YALE</v>
      </c>
      <c r="L700" t="s">
        <v>57</v>
      </c>
      <c r="M700" s="1">
        <v>45745</v>
      </c>
      <c r="N700" s="1">
        <v>45990</v>
      </c>
      <c r="O700" s="2">
        <v>22.52</v>
      </c>
      <c r="P700">
        <f t="shared" si="32"/>
        <v>8</v>
      </c>
      <c r="Q700" t="s">
        <v>264</v>
      </c>
      <c r="R700" t="s">
        <v>1086</v>
      </c>
      <c r="S700" t="s">
        <v>58</v>
      </c>
      <c r="T700" s="4">
        <v>0.375</v>
      </c>
      <c r="U700" t="s">
        <v>60</v>
      </c>
      <c r="V700" t="s">
        <v>61</v>
      </c>
      <c r="W700" s="2">
        <v>0</v>
      </c>
      <c r="X700" s="2">
        <v>8.44</v>
      </c>
      <c r="Y700" s="2">
        <v>8.44</v>
      </c>
      <c r="Z700" s="5" t="s">
        <v>379</v>
      </c>
    </row>
    <row r="701" spans="1:26" x14ac:dyDescent="0.25">
      <c r="A701">
        <v>2028052820</v>
      </c>
      <c r="B701" t="s">
        <v>624</v>
      </c>
      <c r="C701" t="s">
        <v>625</v>
      </c>
      <c r="D701" s="5" t="str">
        <f t="shared" si="33"/>
        <v>LIVELY LANDON</v>
      </c>
      <c r="E701" t="s">
        <v>165</v>
      </c>
      <c r="F701" t="s">
        <v>378</v>
      </c>
      <c r="G701" t="s">
        <v>379</v>
      </c>
      <c r="H701">
        <v>1706194</v>
      </c>
      <c r="I701" t="s">
        <v>65</v>
      </c>
      <c r="J701" t="s">
        <v>66</v>
      </c>
      <c r="K701" t="str">
        <f t="shared" si="35"/>
        <v>MATTHEW DAUGHERTY</v>
      </c>
      <c r="L701" t="s">
        <v>57</v>
      </c>
      <c r="M701" s="1">
        <v>45748</v>
      </c>
      <c r="N701" s="1">
        <v>45992</v>
      </c>
      <c r="O701" s="2">
        <v>132.93</v>
      </c>
      <c r="P701">
        <f t="shared" si="32"/>
        <v>8</v>
      </c>
      <c r="Q701" t="s">
        <v>264</v>
      </c>
      <c r="R701" t="s">
        <v>1086</v>
      </c>
      <c r="S701" t="s">
        <v>58</v>
      </c>
      <c r="T701" s="4">
        <v>0.375</v>
      </c>
      <c r="U701" t="s">
        <v>60</v>
      </c>
      <c r="V701" t="s">
        <v>61</v>
      </c>
      <c r="W701" s="2">
        <v>0</v>
      </c>
      <c r="X701" s="2">
        <v>49.85</v>
      </c>
      <c r="Y701" s="2">
        <v>49.85</v>
      </c>
      <c r="Z701" s="5" t="s">
        <v>379</v>
      </c>
    </row>
    <row r="702" spans="1:26" x14ac:dyDescent="0.25">
      <c r="A702">
        <v>2028028176</v>
      </c>
      <c r="B702" t="s">
        <v>531</v>
      </c>
      <c r="C702" t="s">
        <v>532</v>
      </c>
      <c r="D702" s="5" t="str">
        <f t="shared" si="33"/>
        <v>GAMBAL DION</v>
      </c>
      <c r="E702" t="s">
        <v>195</v>
      </c>
      <c r="F702" t="s">
        <v>378</v>
      </c>
      <c r="G702" t="s">
        <v>379</v>
      </c>
      <c r="H702">
        <v>5442438</v>
      </c>
      <c r="I702" t="s">
        <v>120</v>
      </c>
      <c r="J702" t="s">
        <v>121</v>
      </c>
      <c r="K702" t="str">
        <f t="shared" si="35"/>
        <v>Ronald Max</v>
      </c>
      <c r="L702" t="s">
        <v>57</v>
      </c>
      <c r="M702" s="1">
        <v>45748</v>
      </c>
      <c r="N702" s="1">
        <v>45992</v>
      </c>
      <c r="O702" s="2">
        <v>27.11</v>
      </c>
      <c r="P702">
        <f t="shared" si="32"/>
        <v>8</v>
      </c>
      <c r="Q702" t="s">
        <v>264</v>
      </c>
      <c r="R702" t="s">
        <v>1086</v>
      </c>
      <c r="S702" t="s">
        <v>58</v>
      </c>
      <c r="T702" s="4">
        <v>0.375</v>
      </c>
      <c r="U702" t="s">
        <v>60</v>
      </c>
      <c r="V702" t="s">
        <v>61</v>
      </c>
      <c r="W702" s="2">
        <v>0</v>
      </c>
      <c r="X702" s="2">
        <v>10.17</v>
      </c>
      <c r="Y702" s="2">
        <v>10.17</v>
      </c>
      <c r="Z702" s="5" t="s">
        <v>379</v>
      </c>
    </row>
    <row r="703" spans="1:26" x14ac:dyDescent="0.25">
      <c r="A703">
        <v>2027398848</v>
      </c>
      <c r="B703" t="s">
        <v>606</v>
      </c>
      <c r="C703" t="s">
        <v>607</v>
      </c>
      <c r="D703" s="5" t="str">
        <f t="shared" si="33"/>
        <v>CHRISTALDI GINA</v>
      </c>
      <c r="E703" t="s">
        <v>52</v>
      </c>
      <c r="F703" t="s">
        <v>378</v>
      </c>
      <c r="G703" t="s">
        <v>379</v>
      </c>
      <c r="H703">
        <v>8977234</v>
      </c>
      <c r="I703" t="s">
        <v>55</v>
      </c>
      <c r="J703" t="s">
        <v>56</v>
      </c>
      <c r="K703" t="str">
        <f t="shared" si="35"/>
        <v>RYAN CALTAGIRONE</v>
      </c>
      <c r="L703" t="s">
        <v>57</v>
      </c>
      <c r="M703" s="1">
        <v>45748</v>
      </c>
      <c r="N703" s="1">
        <v>45992</v>
      </c>
      <c r="O703" s="2">
        <v>92.08</v>
      </c>
      <c r="P703">
        <f t="shared" si="32"/>
        <v>8</v>
      </c>
      <c r="Q703" t="s">
        <v>264</v>
      </c>
      <c r="R703" t="s">
        <v>1086</v>
      </c>
      <c r="S703" t="s">
        <v>58</v>
      </c>
      <c r="T703" s="4">
        <v>0.375</v>
      </c>
      <c r="U703" t="s">
        <v>60</v>
      </c>
      <c r="V703" t="s">
        <v>61</v>
      </c>
      <c r="W703" s="2">
        <v>0</v>
      </c>
      <c r="X703" s="2">
        <v>34.53</v>
      </c>
      <c r="Y703" s="2">
        <v>34.53</v>
      </c>
      <c r="Z703" s="5" t="s">
        <v>379</v>
      </c>
    </row>
    <row r="704" spans="1:26" x14ac:dyDescent="0.25">
      <c r="A704">
        <v>2027743284</v>
      </c>
      <c r="B704" t="s">
        <v>610</v>
      </c>
      <c r="C704" t="s">
        <v>324</v>
      </c>
      <c r="D704" s="5" t="str">
        <f t="shared" si="33"/>
        <v>SZYMANSKI KATHLEEN</v>
      </c>
      <c r="E704" t="s">
        <v>182</v>
      </c>
      <c r="F704" t="s">
        <v>378</v>
      </c>
      <c r="G704" t="s">
        <v>379</v>
      </c>
      <c r="H704">
        <v>8977234</v>
      </c>
      <c r="I704" t="s">
        <v>55</v>
      </c>
      <c r="J704" t="s">
        <v>56</v>
      </c>
      <c r="K704" t="str">
        <f t="shared" si="35"/>
        <v>RYAN CALTAGIRONE</v>
      </c>
      <c r="L704" t="s">
        <v>57</v>
      </c>
      <c r="M704" s="1">
        <v>45748</v>
      </c>
      <c r="N704" s="1">
        <v>45992</v>
      </c>
      <c r="O704" s="2">
        <v>103.95</v>
      </c>
      <c r="P704">
        <f t="shared" si="32"/>
        <v>8</v>
      </c>
      <c r="Q704" t="s">
        <v>264</v>
      </c>
      <c r="R704" t="s">
        <v>1086</v>
      </c>
      <c r="S704" t="s">
        <v>58</v>
      </c>
      <c r="T704" s="4">
        <v>0.375</v>
      </c>
      <c r="U704" t="s">
        <v>60</v>
      </c>
      <c r="V704" t="s">
        <v>61</v>
      </c>
      <c r="W704" s="2">
        <v>0</v>
      </c>
      <c r="X704" s="2">
        <v>38.979999999999997</v>
      </c>
      <c r="Y704" s="2">
        <v>38.979999999999997</v>
      </c>
      <c r="Z704" s="5" t="s">
        <v>379</v>
      </c>
    </row>
    <row r="705" spans="1:26" x14ac:dyDescent="0.25">
      <c r="A705">
        <v>2027745348</v>
      </c>
      <c r="B705" t="s">
        <v>526</v>
      </c>
      <c r="C705" t="s">
        <v>527</v>
      </c>
      <c r="D705" s="5" t="str">
        <f t="shared" si="33"/>
        <v>ENGLE FORRY</v>
      </c>
      <c r="E705" t="s">
        <v>276</v>
      </c>
      <c r="F705" t="s">
        <v>378</v>
      </c>
      <c r="G705" t="s">
        <v>379</v>
      </c>
      <c r="H705">
        <v>8977234</v>
      </c>
      <c r="I705" t="s">
        <v>55</v>
      </c>
      <c r="J705" t="s">
        <v>56</v>
      </c>
      <c r="K705" t="str">
        <f t="shared" si="35"/>
        <v>RYAN CALTAGIRONE</v>
      </c>
      <c r="L705" t="s">
        <v>57</v>
      </c>
      <c r="M705" s="1">
        <v>45748</v>
      </c>
      <c r="N705" s="1">
        <v>45992</v>
      </c>
      <c r="O705" s="2">
        <v>45.77</v>
      </c>
      <c r="P705">
        <f t="shared" si="32"/>
        <v>8</v>
      </c>
      <c r="Q705" t="s">
        <v>264</v>
      </c>
      <c r="R705" t="s">
        <v>1086</v>
      </c>
      <c r="S705" t="s">
        <v>58</v>
      </c>
      <c r="T705" s="4">
        <v>0.375</v>
      </c>
      <c r="U705" t="s">
        <v>60</v>
      </c>
      <c r="V705" t="s">
        <v>61</v>
      </c>
      <c r="W705" s="2">
        <v>0</v>
      </c>
      <c r="X705" s="2">
        <v>17.16</v>
      </c>
      <c r="Y705" s="2">
        <v>17.16</v>
      </c>
      <c r="Z705" s="5" t="s">
        <v>379</v>
      </c>
    </row>
    <row r="706" spans="1:26" x14ac:dyDescent="0.25">
      <c r="A706">
        <v>2027937825</v>
      </c>
      <c r="B706" t="s">
        <v>899</v>
      </c>
      <c r="C706" t="s">
        <v>900</v>
      </c>
      <c r="D706" s="5" t="str">
        <f t="shared" si="33"/>
        <v>USHIJIMA RYOSUKE</v>
      </c>
      <c r="E706" t="s">
        <v>636</v>
      </c>
      <c r="F706" t="s">
        <v>378</v>
      </c>
      <c r="G706" t="s">
        <v>379</v>
      </c>
      <c r="H706">
        <v>8977234</v>
      </c>
      <c r="I706" t="s">
        <v>55</v>
      </c>
      <c r="J706" t="s">
        <v>56</v>
      </c>
      <c r="K706" t="str">
        <f t="shared" si="35"/>
        <v>RYAN CALTAGIRONE</v>
      </c>
      <c r="L706" t="s">
        <v>57</v>
      </c>
      <c r="M706" s="1">
        <v>45748</v>
      </c>
      <c r="N706" s="1">
        <v>45992</v>
      </c>
      <c r="O706" s="2">
        <v>43.03</v>
      </c>
      <c r="P706">
        <f t="shared" ref="P706:P769" si="36">DATEDIF(M706,N706,"M")</f>
        <v>8</v>
      </c>
      <c r="Q706" t="s">
        <v>264</v>
      </c>
      <c r="R706" t="s">
        <v>1086</v>
      </c>
      <c r="S706" t="s">
        <v>58</v>
      </c>
      <c r="T706" s="4">
        <v>0.375</v>
      </c>
      <c r="U706" t="s">
        <v>60</v>
      </c>
      <c r="V706" t="s">
        <v>61</v>
      </c>
      <c r="W706" s="2">
        <v>0</v>
      </c>
      <c r="X706" s="2">
        <v>16.14</v>
      </c>
      <c r="Y706" s="2">
        <v>16.14</v>
      </c>
      <c r="Z706" s="5" t="s">
        <v>379</v>
      </c>
    </row>
    <row r="707" spans="1:26" x14ac:dyDescent="0.25">
      <c r="A707">
        <v>2027857788</v>
      </c>
      <c r="B707" t="s">
        <v>891</v>
      </c>
      <c r="C707" t="s">
        <v>892</v>
      </c>
      <c r="D707" s="5" t="str">
        <f t="shared" ref="D707:D770" si="37">CONCATENATE(B707, " ",C707)</f>
        <v>JOLI-COEUR NADINE</v>
      </c>
      <c r="E707" t="s">
        <v>165</v>
      </c>
      <c r="F707" t="s">
        <v>378</v>
      </c>
      <c r="G707" t="s">
        <v>379</v>
      </c>
      <c r="H707">
        <v>18581063</v>
      </c>
      <c r="I707" t="s">
        <v>151</v>
      </c>
      <c r="J707" t="s">
        <v>152</v>
      </c>
      <c r="K707" t="str">
        <f t="shared" si="35"/>
        <v>Timothy Hodgman</v>
      </c>
      <c r="L707" t="s">
        <v>57</v>
      </c>
      <c r="M707" s="1">
        <v>45748</v>
      </c>
      <c r="N707" s="1">
        <v>45992</v>
      </c>
      <c r="O707" s="2">
        <v>37.869999999999997</v>
      </c>
      <c r="P707">
        <f t="shared" si="36"/>
        <v>8</v>
      </c>
      <c r="Q707" t="s">
        <v>264</v>
      </c>
      <c r="R707" t="s">
        <v>1086</v>
      </c>
      <c r="S707" t="s">
        <v>58</v>
      </c>
      <c r="T707" s="4">
        <v>0.375</v>
      </c>
      <c r="U707" t="s">
        <v>60</v>
      </c>
      <c r="V707" t="s">
        <v>61</v>
      </c>
      <c r="W707" s="2">
        <v>0</v>
      </c>
      <c r="X707" s="2">
        <v>14.2</v>
      </c>
      <c r="Y707" s="2">
        <v>14.2</v>
      </c>
      <c r="Z707" s="5" t="s">
        <v>379</v>
      </c>
    </row>
    <row r="708" spans="1:26" x14ac:dyDescent="0.25">
      <c r="A708">
        <v>2027321380</v>
      </c>
      <c r="B708" t="s">
        <v>883</v>
      </c>
      <c r="C708" t="s">
        <v>884</v>
      </c>
      <c r="D708" s="5" t="str">
        <f t="shared" si="37"/>
        <v>JENSEN EDWINA</v>
      </c>
      <c r="E708" t="s">
        <v>69</v>
      </c>
      <c r="F708" t="s">
        <v>378</v>
      </c>
      <c r="G708" t="s">
        <v>379</v>
      </c>
      <c r="H708">
        <v>8977234</v>
      </c>
      <c r="I708" t="s">
        <v>55</v>
      </c>
      <c r="J708" t="s">
        <v>56</v>
      </c>
      <c r="K708" t="str">
        <f t="shared" si="35"/>
        <v>RYAN CALTAGIRONE</v>
      </c>
      <c r="L708" t="s">
        <v>57</v>
      </c>
      <c r="M708" s="1">
        <v>45713</v>
      </c>
      <c r="N708" s="1">
        <v>45986</v>
      </c>
      <c r="O708" s="2">
        <v>27.64</v>
      </c>
      <c r="P708">
        <f t="shared" si="36"/>
        <v>9</v>
      </c>
      <c r="Q708" t="s">
        <v>264</v>
      </c>
      <c r="R708" t="s">
        <v>1086</v>
      </c>
      <c r="S708" t="s">
        <v>58</v>
      </c>
      <c r="T708" s="4">
        <v>0.375</v>
      </c>
      <c r="U708" t="s">
        <v>60</v>
      </c>
      <c r="V708" t="s">
        <v>61</v>
      </c>
      <c r="W708" s="2">
        <v>0</v>
      </c>
      <c r="X708" s="2">
        <v>10.36</v>
      </c>
      <c r="Y708" s="2">
        <v>10.36</v>
      </c>
      <c r="Z708" s="5" t="s">
        <v>379</v>
      </c>
    </row>
    <row r="709" spans="1:26" x14ac:dyDescent="0.25">
      <c r="A709">
        <v>2027343741</v>
      </c>
      <c r="B709" t="s">
        <v>885</v>
      </c>
      <c r="C709" t="s">
        <v>886</v>
      </c>
      <c r="D709" s="5" t="str">
        <f t="shared" si="37"/>
        <v>GONZALEZ MARIA</v>
      </c>
      <c r="E709" t="s">
        <v>261</v>
      </c>
      <c r="F709" t="s">
        <v>378</v>
      </c>
      <c r="G709" t="s">
        <v>379</v>
      </c>
      <c r="H709">
        <v>8977234</v>
      </c>
      <c r="I709" t="s">
        <v>55</v>
      </c>
      <c r="J709" t="s">
        <v>56</v>
      </c>
      <c r="K709" t="str">
        <f t="shared" si="35"/>
        <v>RYAN CALTAGIRONE</v>
      </c>
      <c r="L709" t="s">
        <v>57</v>
      </c>
      <c r="M709" s="1">
        <v>45714</v>
      </c>
      <c r="N709" s="1">
        <v>45987</v>
      </c>
      <c r="O709" s="2">
        <v>59.58</v>
      </c>
      <c r="P709">
        <f t="shared" si="36"/>
        <v>9</v>
      </c>
      <c r="Q709" t="s">
        <v>264</v>
      </c>
      <c r="R709" t="s">
        <v>1086</v>
      </c>
      <c r="S709" t="s">
        <v>58</v>
      </c>
      <c r="T709" s="4">
        <v>0.375</v>
      </c>
      <c r="U709" t="s">
        <v>60</v>
      </c>
      <c r="V709" t="s">
        <v>61</v>
      </c>
      <c r="W709" s="2">
        <v>0</v>
      </c>
      <c r="X709" s="2">
        <v>22.34</v>
      </c>
      <c r="Y709" s="2">
        <v>22.34</v>
      </c>
      <c r="Z709" s="5" t="s">
        <v>379</v>
      </c>
    </row>
    <row r="710" spans="1:26" x14ac:dyDescent="0.25">
      <c r="A710">
        <v>2026748269</v>
      </c>
      <c r="B710" t="s">
        <v>518</v>
      </c>
      <c r="C710" t="s">
        <v>519</v>
      </c>
      <c r="D710" s="5" t="str">
        <f t="shared" si="37"/>
        <v>KAPADIA RAJ</v>
      </c>
      <c r="E710" t="s">
        <v>195</v>
      </c>
      <c r="F710" t="s">
        <v>378</v>
      </c>
      <c r="G710" t="s">
        <v>379</v>
      </c>
      <c r="H710">
        <v>19278370</v>
      </c>
      <c r="I710" t="s">
        <v>321</v>
      </c>
      <c r="J710" t="s">
        <v>322</v>
      </c>
      <c r="K710" t="str">
        <f t="shared" si="35"/>
        <v>ANNE MARIE KOZACHECK</v>
      </c>
      <c r="L710" t="s">
        <v>57</v>
      </c>
      <c r="M710" s="1">
        <v>45689</v>
      </c>
      <c r="N710" s="1">
        <v>45992</v>
      </c>
      <c r="O710" s="2">
        <v>111.84</v>
      </c>
      <c r="P710">
        <f t="shared" si="36"/>
        <v>10</v>
      </c>
      <c r="Q710" t="s">
        <v>264</v>
      </c>
      <c r="R710" t="s">
        <v>1086</v>
      </c>
      <c r="S710" t="s">
        <v>58</v>
      </c>
      <c r="T710" s="4">
        <v>0.375</v>
      </c>
      <c r="U710" t="s">
        <v>60</v>
      </c>
      <c r="V710" t="s">
        <v>61</v>
      </c>
      <c r="W710" s="2">
        <v>0</v>
      </c>
      <c r="X710" s="2">
        <v>41.94</v>
      </c>
      <c r="Y710" s="2">
        <v>41.94</v>
      </c>
      <c r="Z710" s="5" t="s">
        <v>379</v>
      </c>
    </row>
    <row r="711" spans="1:26" x14ac:dyDescent="0.25">
      <c r="A711">
        <v>2026541090</v>
      </c>
      <c r="B711" t="s">
        <v>678</v>
      </c>
      <c r="C711" t="s">
        <v>679</v>
      </c>
      <c r="D711" s="5" t="str">
        <f t="shared" si="37"/>
        <v>HERRICK SANDRA</v>
      </c>
      <c r="E711" t="s">
        <v>195</v>
      </c>
      <c r="F711" t="s">
        <v>378</v>
      </c>
      <c r="G711" t="s">
        <v>379</v>
      </c>
      <c r="H711">
        <v>17425766</v>
      </c>
      <c r="I711" t="s">
        <v>357</v>
      </c>
      <c r="J711" t="s">
        <v>358</v>
      </c>
      <c r="K711" t="str">
        <f t="shared" si="35"/>
        <v>CAROL FOLEY</v>
      </c>
      <c r="L711" t="s">
        <v>57</v>
      </c>
      <c r="M711" s="1">
        <v>45689</v>
      </c>
      <c r="N711" s="1">
        <v>45992</v>
      </c>
      <c r="O711" s="2">
        <v>53.08</v>
      </c>
      <c r="P711">
        <f t="shared" si="36"/>
        <v>10</v>
      </c>
      <c r="Q711" t="s">
        <v>264</v>
      </c>
      <c r="R711" t="s">
        <v>1086</v>
      </c>
      <c r="S711" t="s">
        <v>58</v>
      </c>
      <c r="T711" s="4">
        <v>0.375</v>
      </c>
      <c r="U711" t="s">
        <v>60</v>
      </c>
      <c r="V711" t="s">
        <v>61</v>
      </c>
      <c r="W711" s="2">
        <v>0</v>
      </c>
      <c r="X711" s="2">
        <v>19.899999999999999</v>
      </c>
      <c r="Y711" s="2">
        <v>19.899999999999999</v>
      </c>
      <c r="Z711" s="5" t="s">
        <v>379</v>
      </c>
    </row>
    <row r="712" spans="1:26" x14ac:dyDescent="0.25">
      <c r="A712">
        <v>2026637550</v>
      </c>
      <c r="B712" t="s">
        <v>859</v>
      </c>
      <c r="C712" t="s">
        <v>860</v>
      </c>
      <c r="D712" s="5" t="str">
        <f t="shared" si="37"/>
        <v>WENGERSKI ANITA</v>
      </c>
      <c r="E712" t="s">
        <v>69</v>
      </c>
      <c r="F712" t="s">
        <v>378</v>
      </c>
      <c r="G712" t="s">
        <v>379</v>
      </c>
      <c r="H712">
        <v>18754354</v>
      </c>
      <c r="I712" t="s">
        <v>114</v>
      </c>
      <c r="J712" t="s">
        <v>115</v>
      </c>
      <c r="K712" t="str">
        <f t="shared" si="35"/>
        <v>JACOB YALE</v>
      </c>
      <c r="L712" t="s">
        <v>57</v>
      </c>
      <c r="M712" s="1">
        <v>45689</v>
      </c>
      <c r="N712" s="1">
        <v>45992</v>
      </c>
      <c r="O712" s="2">
        <v>48.61</v>
      </c>
      <c r="P712">
        <f t="shared" si="36"/>
        <v>10</v>
      </c>
      <c r="Q712" t="s">
        <v>264</v>
      </c>
      <c r="R712" t="s">
        <v>1086</v>
      </c>
      <c r="S712" t="s">
        <v>58</v>
      </c>
      <c r="T712" s="4">
        <v>0.375</v>
      </c>
      <c r="U712" t="s">
        <v>60</v>
      </c>
      <c r="V712" t="s">
        <v>61</v>
      </c>
      <c r="W712" s="2">
        <v>0</v>
      </c>
      <c r="X712" s="2">
        <v>18.23</v>
      </c>
      <c r="Y712" s="2">
        <v>18.23</v>
      </c>
      <c r="Z712" s="5" t="s">
        <v>379</v>
      </c>
    </row>
    <row r="713" spans="1:26" x14ac:dyDescent="0.25">
      <c r="A713">
        <v>2026653705</v>
      </c>
      <c r="B713" t="s">
        <v>861</v>
      </c>
      <c r="C713" t="s">
        <v>543</v>
      </c>
      <c r="D713" s="5" t="str">
        <f t="shared" si="37"/>
        <v>LAZZARETTI AMY</v>
      </c>
      <c r="E713" t="s">
        <v>69</v>
      </c>
      <c r="F713" t="s">
        <v>378</v>
      </c>
      <c r="G713" t="s">
        <v>379</v>
      </c>
      <c r="H713">
        <v>18754354</v>
      </c>
      <c r="I713" t="s">
        <v>114</v>
      </c>
      <c r="J713" t="s">
        <v>115</v>
      </c>
      <c r="K713" t="str">
        <f t="shared" ref="K713:K733" si="38">CONCATENATE(J713, " ",I713)</f>
        <v>JACOB YALE</v>
      </c>
      <c r="L713" t="s">
        <v>57</v>
      </c>
      <c r="M713" s="1">
        <v>45689</v>
      </c>
      <c r="N713" s="1">
        <v>45992</v>
      </c>
      <c r="O713" s="2">
        <v>48.61</v>
      </c>
      <c r="P713">
        <f t="shared" si="36"/>
        <v>10</v>
      </c>
      <c r="Q713" t="s">
        <v>264</v>
      </c>
      <c r="R713" t="s">
        <v>1086</v>
      </c>
      <c r="S713" t="s">
        <v>58</v>
      </c>
      <c r="T713" s="4">
        <v>0.375</v>
      </c>
      <c r="U713" t="s">
        <v>60</v>
      </c>
      <c r="V713" t="s">
        <v>61</v>
      </c>
      <c r="W713" s="2">
        <v>0</v>
      </c>
      <c r="X713" s="2">
        <v>18.23</v>
      </c>
      <c r="Y713" s="2">
        <v>18.23</v>
      </c>
      <c r="Z713" s="5" t="s">
        <v>379</v>
      </c>
    </row>
    <row r="714" spans="1:26" x14ac:dyDescent="0.25">
      <c r="A714">
        <v>2026699527</v>
      </c>
      <c r="B714" t="s">
        <v>862</v>
      </c>
      <c r="C714" t="s">
        <v>863</v>
      </c>
      <c r="D714" s="5" t="str">
        <f t="shared" si="37"/>
        <v>ORZECHOWSKI ELISE</v>
      </c>
      <c r="E714" t="s">
        <v>69</v>
      </c>
      <c r="F714" t="s">
        <v>378</v>
      </c>
      <c r="G714" t="s">
        <v>379</v>
      </c>
      <c r="H714">
        <v>18754354</v>
      </c>
      <c r="I714" t="s">
        <v>114</v>
      </c>
      <c r="J714" t="s">
        <v>115</v>
      </c>
      <c r="K714" t="str">
        <f t="shared" si="38"/>
        <v>JACOB YALE</v>
      </c>
      <c r="L714" t="s">
        <v>57</v>
      </c>
      <c r="M714" s="1">
        <v>45689</v>
      </c>
      <c r="N714" s="1">
        <v>45992</v>
      </c>
      <c r="O714" s="2">
        <v>124.13</v>
      </c>
      <c r="P714">
        <f t="shared" si="36"/>
        <v>10</v>
      </c>
      <c r="Q714" t="s">
        <v>264</v>
      </c>
      <c r="R714" t="s">
        <v>1086</v>
      </c>
      <c r="S714" t="s">
        <v>58</v>
      </c>
      <c r="T714" s="4">
        <v>0.375</v>
      </c>
      <c r="U714" t="s">
        <v>60</v>
      </c>
      <c r="V714" t="s">
        <v>61</v>
      </c>
      <c r="W714" s="2">
        <v>0</v>
      </c>
      <c r="X714" s="2">
        <v>46.55</v>
      </c>
      <c r="Y714" s="2">
        <v>46.55</v>
      </c>
      <c r="Z714" s="5" t="s">
        <v>379</v>
      </c>
    </row>
    <row r="715" spans="1:26" x14ac:dyDescent="0.25">
      <c r="A715">
        <v>2026781461</v>
      </c>
      <c r="B715" t="s">
        <v>875</v>
      </c>
      <c r="C715" t="s">
        <v>835</v>
      </c>
      <c r="D715" s="5" t="str">
        <f t="shared" si="37"/>
        <v>RABIN KYLE</v>
      </c>
      <c r="E715" t="s">
        <v>69</v>
      </c>
      <c r="F715" t="s">
        <v>378</v>
      </c>
      <c r="G715" t="s">
        <v>379</v>
      </c>
      <c r="H715">
        <v>18754354</v>
      </c>
      <c r="I715" t="s">
        <v>114</v>
      </c>
      <c r="J715" t="s">
        <v>115</v>
      </c>
      <c r="K715" t="str">
        <f t="shared" si="38"/>
        <v>JACOB YALE</v>
      </c>
      <c r="L715" t="s">
        <v>57</v>
      </c>
      <c r="M715" s="1">
        <v>45689</v>
      </c>
      <c r="N715" s="1">
        <v>45992</v>
      </c>
      <c r="O715" s="2">
        <v>51.01</v>
      </c>
      <c r="P715">
        <f t="shared" si="36"/>
        <v>10</v>
      </c>
      <c r="Q715" t="s">
        <v>264</v>
      </c>
      <c r="R715" t="s">
        <v>1086</v>
      </c>
      <c r="S715" t="s">
        <v>58</v>
      </c>
      <c r="T715" s="4">
        <v>0.375</v>
      </c>
      <c r="U715" t="s">
        <v>60</v>
      </c>
      <c r="V715" t="s">
        <v>61</v>
      </c>
      <c r="W715" s="2">
        <v>0</v>
      </c>
      <c r="X715" s="2">
        <v>19.13</v>
      </c>
      <c r="Y715" s="2">
        <v>19.13</v>
      </c>
      <c r="Z715" s="5" t="s">
        <v>379</v>
      </c>
    </row>
    <row r="716" spans="1:26" x14ac:dyDescent="0.25">
      <c r="A716">
        <v>2026836000</v>
      </c>
      <c r="B716" t="s">
        <v>879</v>
      </c>
      <c r="C716" t="s">
        <v>880</v>
      </c>
      <c r="D716" s="5" t="str">
        <f t="shared" si="37"/>
        <v>CALDERON SARAI</v>
      </c>
      <c r="E716" t="s">
        <v>69</v>
      </c>
      <c r="F716" t="s">
        <v>378</v>
      </c>
      <c r="G716" t="s">
        <v>379</v>
      </c>
      <c r="H716">
        <v>18754354</v>
      </c>
      <c r="I716" t="s">
        <v>114</v>
      </c>
      <c r="J716" t="s">
        <v>115</v>
      </c>
      <c r="K716" t="str">
        <f t="shared" si="38"/>
        <v>JACOB YALE</v>
      </c>
      <c r="L716" t="s">
        <v>57</v>
      </c>
      <c r="M716" s="1">
        <v>45689</v>
      </c>
      <c r="N716" s="1">
        <v>45992</v>
      </c>
      <c r="O716" s="2">
        <v>57.11</v>
      </c>
      <c r="P716">
        <f t="shared" si="36"/>
        <v>10</v>
      </c>
      <c r="Q716" t="s">
        <v>264</v>
      </c>
      <c r="R716" t="s">
        <v>1086</v>
      </c>
      <c r="S716" t="s">
        <v>58</v>
      </c>
      <c r="T716" s="4">
        <v>0.375</v>
      </c>
      <c r="U716" t="s">
        <v>60</v>
      </c>
      <c r="V716" t="s">
        <v>61</v>
      </c>
      <c r="W716" s="2">
        <v>0</v>
      </c>
      <c r="X716" s="2">
        <v>21.42</v>
      </c>
      <c r="Y716" s="2">
        <v>21.42</v>
      </c>
      <c r="Z716" s="5" t="s">
        <v>379</v>
      </c>
    </row>
    <row r="717" spans="1:26" x14ac:dyDescent="0.25">
      <c r="A717">
        <v>2026610949</v>
      </c>
      <c r="B717" t="s">
        <v>512</v>
      </c>
      <c r="C717" t="s">
        <v>513</v>
      </c>
      <c r="D717" s="5" t="str">
        <f t="shared" si="37"/>
        <v>WOODS ALBERT</v>
      </c>
      <c r="E717" t="s">
        <v>195</v>
      </c>
      <c r="F717" t="s">
        <v>378</v>
      </c>
      <c r="G717" t="s">
        <v>379</v>
      </c>
      <c r="H717">
        <v>18781057</v>
      </c>
      <c r="I717" t="s">
        <v>349</v>
      </c>
      <c r="J717" t="s">
        <v>312</v>
      </c>
      <c r="K717" t="str">
        <f t="shared" si="38"/>
        <v>JOHN ROKEN</v>
      </c>
      <c r="L717" t="s">
        <v>57</v>
      </c>
      <c r="M717" s="1">
        <v>45689</v>
      </c>
      <c r="N717" s="1">
        <v>45992</v>
      </c>
      <c r="O717" s="2">
        <v>44.98</v>
      </c>
      <c r="P717">
        <f t="shared" si="36"/>
        <v>10</v>
      </c>
      <c r="Q717" t="s">
        <v>264</v>
      </c>
      <c r="R717" t="s">
        <v>1086</v>
      </c>
      <c r="S717" t="s">
        <v>58</v>
      </c>
      <c r="T717" s="4">
        <v>0.375</v>
      </c>
      <c r="U717" t="s">
        <v>60</v>
      </c>
      <c r="V717" t="s">
        <v>61</v>
      </c>
      <c r="W717" s="2">
        <v>0</v>
      </c>
      <c r="X717" s="2">
        <v>16.87</v>
      </c>
      <c r="Y717" s="2">
        <v>16.87</v>
      </c>
      <c r="Z717" s="5" t="s">
        <v>379</v>
      </c>
    </row>
    <row r="718" spans="1:26" x14ac:dyDescent="0.25">
      <c r="A718">
        <v>2026874971</v>
      </c>
      <c r="B718" t="s">
        <v>522</v>
      </c>
      <c r="C718" t="s">
        <v>66</v>
      </c>
      <c r="D718" s="5" t="str">
        <f t="shared" si="37"/>
        <v>FLISHER MATTHEW</v>
      </c>
      <c r="E718" t="s">
        <v>64</v>
      </c>
      <c r="F718" t="s">
        <v>378</v>
      </c>
      <c r="G718" t="s">
        <v>379</v>
      </c>
      <c r="H718">
        <v>18781057</v>
      </c>
      <c r="I718" t="s">
        <v>349</v>
      </c>
      <c r="J718" t="s">
        <v>312</v>
      </c>
      <c r="K718" t="str">
        <f t="shared" si="38"/>
        <v>JOHN ROKEN</v>
      </c>
      <c r="L718" t="s">
        <v>57</v>
      </c>
      <c r="M718" s="1">
        <v>45689</v>
      </c>
      <c r="N718" s="1">
        <v>45992</v>
      </c>
      <c r="O718" s="2">
        <v>140.77000000000001</v>
      </c>
      <c r="P718">
        <f t="shared" si="36"/>
        <v>10</v>
      </c>
      <c r="Q718" t="s">
        <v>264</v>
      </c>
      <c r="R718" t="s">
        <v>1086</v>
      </c>
      <c r="S718" t="s">
        <v>58</v>
      </c>
      <c r="T718" s="4">
        <v>0.375</v>
      </c>
      <c r="U718" t="s">
        <v>60</v>
      </c>
      <c r="V718" t="s">
        <v>61</v>
      </c>
      <c r="W718" s="2">
        <v>0</v>
      </c>
      <c r="X718" s="2">
        <v>52.79</v>
      </c>
      <c r="Y718" s="2">
        <v>52.79</v>
      </c>
      <c r="Z718" s="5" t="s">
        <v>379</v>
      </c>
    </row>
    <row r="719" spans="1:26" x14ac:dyDescent="0.25">
      <c r="A719">
        <v>2023980077</v>
      </c>
      <c r="B719" t="s">
        <v>277</v>
      </c>
      <c r="C719" t="s">
        <v>278</v>
      </c>
      <c r="D719" s="5" t="str">
        <f t="shared" si="37"/>
        <v>MAURER DAWN</v>
      </c>
      <c r="E719" t="s">
        <v>129</v>
      </c>
      <c r="F719" t="s">
        <v>378</v>
      </c>
      <c r="G719" t="s">
        <v>379</v>
      </c>
      <c r="H719">
        <v>8977234</v>
      </c>
      <c r="I719" t="s">
        <v>55</v>
      </c>
      <c r="J719" t="s">
        <v>56</v>
      </c>
      <c r="K719" t="str">
        <f t="shared" si="38"/>
        <v>RYAN CALTAGIRONE</v>
      </c>
      <c r="L719" t="s">
        <v>57</v>
      </c>
      <c r="M719" s="1">
        <v>45657</v>
      </c>
      <c r="N719" s="1">
        <v>45991</v>
      </c>
      <c r="O719" s="2">
        <v>32.74</v>
      </c>
      <c r="P719">
        <f t="shared" si="36"/>
        <v>10</v>
      </c>
      <c r="Q719" t="s">
        <v>264</v>
      </c>
      <c r="R719" t="s">
        <v>1086</v>
      </c>
      <c r="S719" t="s">
        <v>58</v>
      </c>
      <c r="T719" s="4">
        <v>0.375</v>
      </c>
      <c r="U719" t="s">
        <v>60</v>
      </c>
      <c r="V719" t="s">
        <v>61</v>
      </c>
      <c r="W719" s="2">
        <v>0</v>
      </c>
      <c r="X719" s="2">
        <v>12.28</v>
      </c>
      <c r="Y719" s="2">
        <v>12.28</v>
      </c>
      <c r="Z719" s="5" t="s">
        <v>379</v>
      </c>
    </row>
    <row r="720" spans="1:26" x14ac:dyDescent="0.25">
      <c r="A720">
        <v>2025997431</v>
      </c>
      <c r="B720" t="s">
        <v>579</v>
      </c>
      <c r="C720" t="s">
        <v>490</v>
      </c>
      <c r="D720" s="5" t="str">
        <f t="shared" si="37"/>
        <v>JEPPERSON SCOTT</v>
      </c>
      <c r="E720" t="s">
        <v>81</v>
      </c>
      <c r="F720" t="s">
        <v>378</v>
      </c>
      <c r="G720" t="s">
        <v>379</v>
      </c>
      <c r="H720">
        <v>8977234</v>
      </c>
      <c r="I720" t="s">
        <v>55</v>
      </c>
      <c r="J720" t="s">
        <v>56</v>
      </c>
      <c r="K720" t="str">
        <f t="shared" si="38"/>
        <v>RYAN CALTAGIRONE</v>
      </c>
      <c r="L720" t="s">
        <v>57</v>
      </c>
      <c r="M720" s="1">
        <v>45689</v>
      </c>
      <c r="N720" s="1">
        <v>45992</v>
      </c>
      <c r="O720" s="2">
        <v>51.57</v>
      </c>
      <c r="P720">
        <f t="shared" si="36"/>
        <v>10</v>
      </c>
      <c r="Q720" t="s">
        <v>264</v>
      </c>
      <c r="R720" t="s">
        <v>1086</v>
      </c>
      <c r="S720" t="s">
        <v>58</v>
      </c>
      <c r="T720" s="4">
        <v>0.375</v>
      </c>
      <c r="U720" t="s">
        <v>60</v>
      </c>
      <c r="V720" t="s">
        <v>61</v>
      </c>
      <c r="W720" s="2">
        <v>0</v>
      </c>
      <c r="X720" s="2">
        <v>19.34</v>
      </c>
      <c r="Y720" s="2">
        <v>19.34</v>
      </c>
      <c r="Z720" s="5" t="s">
        <v>379</v>
      </c>
    </row>
    <row r="721" spans="1:26" x14ac:dyDescent="0.25">
      <c r="A721">
        <v>2026388600</v>
      </c>
      <c r="B721" t="s">
        <v>853</v>
      </c>
      <c r="C721" t="s">
        <v>98</v>
      </c>
      <c r="D721" s="5" t="str">
        <f t="shared" si="37"/>
        <v>CHRISTENSEN MICHAEL</v>
      </c>
      <c r="E721" t="s">
        <v>261</v>
      </c>
      <c r="F721" t="s">
        <v>378</v>
      </c>
      <c r="G721" t="s">
        <v>379</v>
      </c>
      <c r="H721">
        <v>8977234</v>
      </c>
      <c r="I721" t="s">
        <v>55</v>
      </c>
      <c r="J721" t="s">
        <v>56</v>
      </c>
      <c r="K721" t="str">
        <f t="shared" si="38"/>
        <v>RYAN CALTAGIRONE</v>
      </c>
      <c r="L721" t="s">
        <v>57</v>
      </c>
      <c r="M721" s="1">
        <v>45689</v>
      </c>
      <c r="N721" s="1">
        <v>45992</v>
      </c>
      <c r="O721" s="2">
        <v>50.67</v>
      </c>
      <c r="P721">
        <f t="shared" si="36"/>
        <v>10</v>
      </c>
      <c r="Q721" t="s">
        <v>264</v>
      </c>
      <c r="R721" t="s">
        <v>1086</v>
      </c>
      <c r="S721" t="s">
        <v>58</v>
      </c>
      <c r="T721" s="4">
        <v>0.375</v>
      </c>
      <c r="U721" t="s">
        <v>60</v>
      </c>
      <c r="V721" t="s">
        <v>61</v>
      </c>
      <c r="W721" s="2">
        <v>0</v>
      </c>
      <c r="X721" s="2">
        <v>19</v>
      </c>
      <c r="Y721" s="2">
        <v>19</v>
      </c>
      <c r="Z721" s="5" t="s">
        <v>379</v>
      </c>
    </row>
    <row r="722" spans="1:26" x14ac:dyDescent="0.25">
      <c r="A722">
        <v>2026471873</v>
      </c>
      <c r="B722" t="s">
        <v>510</v>
      </c>
      <c r="C722" t="s">
        <v>511</v>
      </c>
      <c r="D722" s="5" t="str">
        <f t="shared" si="37"/>
        <v>STEHLIK NATHAN</v>
      </c>
      <c r="E722" t="s">
        <v>182</v>
      </c>
      <c r="F722" t="s">
        <v>378</v>
      </c>
      <c r="G722" t="s">
        <v>379</v>
      </c>
      <c r="H722">
        <v>8977234</v>
      </c>
      <c r="I722" t="s">
        <v>55</v>
      </c>
      <c r="J722" t="s">
        <v>56</v>
      </c>
      <c r="K722" t="str">
        <f t="shared" si="38"/>
        <v>RYAN CALTAGIRONE</v>
      </c>
      <c r="L722" t="s">
        <v>57</v>
      </c>
      <c r="M722" s="1">
        <v>45689</v>
      </c>
      <c r="N722" s="1">
        <v>45992</v>
      </c>
      <c r="O722" s="2">
        <v>29.32</v>
      </c>
      <c r="P722">
        <f t="shared" si="36"/>
        <v>10</v>
      </c>
      <c r="Q722" t="s">
        <v>264</v>
      </c>
      <c r="R722" t="s">
        <v>1086</v>
      </c>
      <c r="S722" t="s">
        <v>58</v>
      </c>
      <c r="T722" s="4">
        <v>0.375</v>
      </c>
      <c r="U722" t="s">
        <v>60</v>
      </c>
      <c r="V722" t="s">
        <v>61</v>
      </c>
      <c r="W722" s="2">
        <v>0</v>
      </c>
      <c r="X722" s="2">
        <v>11</v>
      </c>
      <c r="Y722" s="2">
        <v>11</v>
      </c>
      <c r="Z722" s="5" t="s">
        <v>379</v>
      </c>
    </row>
    <row r="723" spans="1:26" x14ac:dyDescent="0.25">
      <c r="A723">
        <v>2026477627</v>
      </c>
      <c r="B723" t="s">
        <v>776</v>
      </c>
      <c r="C723" t="s">
        <v>777</v>
      </c>
      <c r="D723" s="5" t="str">
        <f t="shared" si="37"/>
        <v>REPPAL RAMEEM</v>
      </c>
      <c r="E723" t="s">
        <v>165</v>
      </c>
      <c r="F723" t="s">
        <v>378</v>
      </c>
      <c r="G723" t="s">
        <v>379</v>
      </c>
      <c r="H723">
        <v>8977234</v>
      </c>
      <c r="I723" t="s">
        <v>55</v>
      </c>
      <c r="J723" t="s">
        <v>56</v>
      </c>
      <c r="K723" t="str">
        <f t="shared" si="38"/>
        <v>RYAN CALTAGIRONE</v>
      </c>
      <c r="L723" t="s">
        <v>57</v>
      </c>
      <c r="M723" s="1">
        <v>45689</v>
      </c>
      <c r="N723" s="1">
        <v>45992</v>
      </c>
      <c r="O723" s="2">
        <v>27.95</v>
      </c>
      <c r="P723">
        <f t="shared" si="36"/>
        <v>10</v>
      </c>
      <c r="Q723" t="s">
        <v>264</v>
      </c>
      <c r="R723" t="s">
        <v>1086</v>
      </c>
      <c r="S723" t="s">
        <v>58</v>
      </c>
      <c r="T723" s="4">
        <v>0.375</v>
      </c>
      <c r="U723" t="s">
        <v>60</v>
      </c>
      <c r="V723" t="s">
        <v>61</v>
      </c>
      <c r="W723" s="2">
        <v>0</v>
      </c>
      <c r="X723" s="2">
        <v>10.48</v>
      </c>
      <c r="Y723" s="2">
        <v>10.48</v>
      </c>
      <c r="Z723" s="5" t="s">
        <v>379</v>
      </c>
    </row>
    <row r="724" spans="1:26" x14ac:dyDescent="0.25">
      <c r="A724">
        <v>2026613384</v>
      </c>
      <c r="B724" t="s">
        <v>583</v>
      </c>
      <c r="C724" t="s">
        <v>490</v>
      </c>
      <c r="D724" s="5" t="str">
        <f t="shared" si="37"/>
        <v>KELLOGG SCOTT</v>
      </c>
      <c r="E724" t="s">
        <v>52</v>
      </c>
      <c r="F724" t="s">
        <v>378</v>
      </c>
      <c r="G724" t="s">
        <v>379</v>
      </c>
      <c r="H724">
        <v>8977234</v>
      </c>
      <c r="I724" t="s">
        <v>55</v>
      </c>
      <c r="J724" t="s">
        <v>56</v>
      </c>
      <c r="K724" t="str">
        <f t="shared" si="38"/>
        <v>RYAN CALTAGIRONE</v>
      </c>
      <c r="L724" t="s">
        <v>57</v>
      </c>
      <c r="M724" s="1">
        <v>45689</v>
      </c>
      <c r="N724" s="1">
        <v>45992</v>
      </c>
      <c r="O724" s="2">
        <v>120.34</v>
      </c>
      <c r="P724">
        <f t="shared" si="36"/>
        <v>10</v>
      </c>
      <c r="Q724" t="s">
        <v>264</v>
      </c>
      <c r="R724" t="s">
        <v>1086</v>
      </c>
      <c r="S724" t="s">
        <v>58</v>
      </c>
      <c r="T724" s="4">
        <v>0.375</v>
      </c>
      <c r="U724" t="s">
        <v>60</v>
      </c>
      <c r="V724" t="s">
        <v>61</v>
      </c>
      <c r="W724" s="2">
        <v>0</v>
      </c>
      <c r="X724" s="2">
        <v>45.13</v>
      </c>
      <c r="Y724" s="2">
        <v>45.13</v>
      </c>
      <c r="Z724" s="5" t="s">
        <v>379</v>
      </c>
    </row>
    <row r="725" spans="1:26" x14ac:dyDescent="0.25">
      <c r="A725">
        <v>2026619111</v>
      </c>
      <c r="B725" t="s">
        <v>591</v>
      </c>
      <c r="C725" t="s">
        <v>592</v>
      </c>
      <c r="D725" s="5" t="str">
        <f t="shared" si="37"/>
        <v>BRUCK MAX</v>
      </c>
      <c r="E725" t="s">
        <v>165</v>
      </c>
      <c r="F725" t="s">
        <v>378</v>
      </c>
      <c r="G725" t="s">
        <v>379</v>
      </c>
      <c r="H725">
        <v>8977234</v>
      </c>
      <c r="I725" t="s">
        <v>55</v>
      </c>
      <c r="J725" t="s">
        <v>56</v>
      </c>
      <c r="K725" t="str">
        <f t="shared" si="38"/>
        <v>RYAN CALTAGIRONE</v>
      </c>
      <c r="L725" t="s">
        <v>57</v>
      </c>
      <c r="M725" s="1">
        <v>45689</v>
      </c>
      <c r="N725" s="1">
        <v>45992</v>
      </c>
      <c r="O725" s="2">
        <v>129.41</v>
      </c>
      <c r="P725">
        <f t="shared" si="36"/>
        <v>10</v>
      </c>
      <c r="Q725" t="s">
        <v>264</v>
      </c>
      <c r="R725" t="s">
        <v>1086</v>
      </c>
      <c r="S725" t="s">
        <v>58</v>
      </c>
      <c r="T725" s="4">
        <v>0.375</v>
      </c>
      <c r="U725" t="s">
        <v>60</v>
      </c>
      <c r="V725" t="s">
        <v>61</v>
      </c>
      <c r="W725" s="2">
        <v>0</v>
      </c>
      <c r="X725" s="2">
        <v>48.53</v>
      </c>
      <c r="Y725" s="2">
        <v>48.53</v>
      </c>
      <c r="Z725" s="5" t="s">
        <v>379</v>
      </c>
    </row>
    <row r="726" spans="1:26" x14ac:dyDescent="0.25">
      <c r="A726">
        <v>2026755179</v>
      </c>
      <c r="B726" t="s">
        <v>867</v>
      </c>
      <c r="C726" t="s">
        <v>868</v>
      </c>
      <c r="D726" s="5" t="str">
        <f t="shared" si="37"/>
        <v>FOGLE EUGENE</v>
      </c>
      <c r="E726" t="s">
        <v>247</v>
      </c>
      <c r="F726" t="s">
        <v>378</v>
      </c>
      <c r="G726" t="s">
        <v>379</v>
      </c>
      <c r="H726">
        <v>8977234</v>
      </c>
      <c r="I726" t="s">
        <v>55</v>
      </c>
      <c r="J726" t="s">
        <v>56</v>
      </c>
      <c r="K726" t="str">
        <f t="shared" si="38"/>
        <v>RYAN CALTAGIRONE</v>
      </c>
      <c r="L726" t="s">
        <v>57</v>
      </c>
      <c r="M726" s="1">
        <v>45689</v>
      </c>
      <c r="N726" s="1">
        <v>45992</v>
      </c>
      <c r="O726" s="2">
        <v>46.53</v>
      </c>
      <c r="P726">
        <f t="shared" si="36"/>
        <v>10</v>
      </c>
      <c r="Q726" t="s">
        <v>264</v>
      </c>
      <c r="R726" t="s">
        <v>1086</v>
      </c>
      <c r="S726" t="s">
        <v>58</v>
      </c>
      <c r="T726" s="4">
        <v>0.375</v>
      </c>
      <c r="U726" t="s">
        <v>60</v>
      </c>
      <c r="V726" t="s">
        <v>61</v>
      </c>
      <c r="W726" s="2">
        <v>0</v>
      </c>
      <c r="X726" s="2">
        <v>17.45</v>
      </c>
      <c r="Y726" s="2">
        <v>17.45</v>
      </c>
      <c r="Z726" s="5" t="s">
        <v>379</v>
      </c>
    </row>
    <row r="727" spans="1:26" x14ac:dyDescent="0.25">
      <c r="A727">
        <v>2026807606</v>
      </c>
      <c r="B727" t="s">
        <v>598</v>
      </c>
      <c r="C727" t="s">
        <v>599</v>
      </c>
      <c r="D727" s="5" t="str">
        <f t="shared" si="37"/>
        <v>HEON AUDREY</v>
      </c>
      <c r="E727" t="s">
        <v>247</v>
      </c>
      <c r="F727" t="s">
        <v>378</v>
      </c>
      <c r="G727" t="s">
        <v>379</v>
      </c>
      <c r="H727">
        <v>8977234</v>
      </c>
      <c r="I727" t="s">
        <v>55</v>
      </c>
      <c r="J727" t="s">
        <v>56</v>
      </c>
      <c r="K727" t="str">
        <f t="shared" si="38"/>
        <v>RYAN CALTAGIRONE</v>
      </c>
      <c r="L727" t="s">
        <v>57</v>
      </c>
      <c r="M727" s="1">
        <v>45689</v>
      </c>
      <c r="N727" s="1">
        <v>45992</v>
      </c>
      <c r="O727" s="2">
        <v>46.53</v>
      </c>
      <c r="P727">
        <f t="shared" si="36"/>
        <v>10</v>
      </c>
      <c r="Q727" t="s">
        <v>264</v>
      </c>
      <c r="R727" t="s">
        <v>1086</v>
      </c>
      <c r="S727" t="s">
        <v>58</v>
      </c>
      <c r="T727" s="4">
        <v>0.375</v>
      </c>
      <c r="U727" t="s">
        <v>60</v>
      </c>
      <c r="V727" t="s">
        <v>61</v>
      </c>
      <c r="W727" s="2">
        <v>0</v>
      </c>
      <c r="X727" s="2">
        <v>17.45</v>
      </c>
      <c r="Y727" s="2">
        <v>17.45</v>
      </c>
      <c r="Z727" s="5" t="s">
        <v>379</v>
      </c>
    </row>
    <row r="728" spans="1:26" x14ac:dyDescent="0.25">
      <c r="A728">
        <v>2026728415</v>
      </c>
      <c r="B728" t="s">
        <v>864</v>
      </c>
      <c r="C728" t="s">
        <v>865</v>
      </c>
      <c r="D728" s="5" t="str">
        <f t="shared" si="37"/>
        <v>STRUCHEN KELSEY</v>
      </c>
      <c r="E728" t="s">
        <v>69</v>
      </c>
      <c r="F728" t="s">
        <v>378</v>
      </c>
      <c r="G728" t="s">
        <v>379</v>
      </c>
      <c r="H728">
        <v>18581063</v>
      </c>
      <c r="I728" t="s">
        <v>151</v>
      </c>
      <c r="J728" t="s">
        <v>152</v>
      </c>
      <c r="K728" t="str">
        <f t="shared" si="38"/>
        <v>Timothy Hodgman</v>
      </c>
      <c r="L728" t="s">
        <v>57</v>
      </c>
      <c r="M728" s="1">
        <v>45689</v>
      </c>
      <c r="N728" s="1">
        <v>45992</v>
      </c>
      <c r="O728" s="2">
        <v>136.09</v>
      </c>
      <c r="P728">
        <f t="shared" si="36"/>
        <v>10</v>
      </c>
      <c r="Q728" t="s">
        <v>264</v>
      </c>
      <c r="R728" t="s">
        <v>1086</v>
      </c>
      <c r="S728" t="s">
        <v>58</v>
      </c>
      <c r="T728" s="4">
        <v>0.375</v>
      </c>
      <c r="U728" t="s">
        <v>60</v>
      </c>
      <c r="V728" t="s">
        <v>61</v>
      </c>
      <c r="W728" s="2">
        <v>0</v>
      </c>
      <c r="X728" s="2">
        <v>51.03</v>
      </c>
      <c r="Y728" s="2">
        <v>51.03</v>
      </c>
      <c r="Z728" s="5" t="s">
        <v>379</v>
      </c>
    </row>
    <row r="729" spans="1:26" x14ac:dyDescent="0.25">
      <c r="A729">
        <v>2026839647</v>
      </c>
      <c r="B729" t="s">
        <v>882</v>
      </c>
      <c r="C729" t="s">
        <v>417</v>
      </c>
      <c r="D729" s="5" t="str">
        <f t="shared" si="37"/>
        <v>SAUL JESSICA</v>
      </c>
      <c r="E729" t="s">
        <v>145</v>
      </c>
      <c r="F729" t="s">
        <v>378</v>
      </c>
      <c r="G729" t="s">
        <v>379</v>
      </c>
      <c r="H729">
        <v>18581063</v>
      </c>
      <c r="I729" t="s">
        <v>151</v>
      </c>
      <c r="J729" t="s">
        <v>152</v>
      </c>
      <c r="K729" t="str">
        <f t="shared" si="38"/>
        <v>Timothy Hodgman</v>
      </c>
      <c r="L729" t="s">
        <v>57</v>
      </c>
      <c r="M729" s="1">
        <v>45689</v>
      </c>
      <c r="N729" s="1">
        <v>45992</v>
      </c>
      <c r="O729" s="2">
        <v>66.650000000000006</v>
      </c>
      <c r="P729">
        <f t="shared" si="36"/>
        <v>10</v>
      </c>
      <c r="Q729" t="s">
        <v>264</v>
      </c>
      <c r="R729" t="s">
        <v>1086</v>
      </c>
      <c r="S729" t="s">
        <v>58</v>
      </c>
      <c r="T729" s="4">
        <v>0.375</v>
      </c>
      <c r="U729" t="s">
        <v>60</v>
      </c>
      <c r="V729" t="s">
        <v>61</v>
      </c>
      <c r="W729" s="2">
        <v>0</v>
      </c>
      <c r="X729" s="2">
        <v>24.99</v>
      </c>
      <c r="Y729" s="2">
        <v>24.99</v>
      </c>
      <c r="Z729" s="5" t="s">
        <v>379</v>
      </c>
    </row>
    <row r="730" spans="1:26" x14ac:dyDescent="0.25">
      <c r="A730">
        <v>2026753813</v>
      </c>
      <c r="B730" t="s">
        <v>866</v>
      </c>
      <c r="C730" t="s">
        <v>236</v>
      </c>
      <c r="D730" s="5" t="str">
        <f t="shared" si="37"/>
        <v>SELLS HEATHER</v>
      </c>
      <c r="E730" t="s">
        <v>719</v>
      </c>
      <c r="F730" t="s">
        <v>378</v>
      </c>
      <c r="G730" t="s">
        <v>379</v>
      </c>
      <c r="H730">
        <v>18010408</v>
      </c>
      <c r="I730" t="s">
        <v>499</v>
      </c>
      <c r="J730" t="s">
        <v>110</v>
      </c>
      <c r="K730" t="str">
        <f t="shared" si="38"/>
        <v>WILLIAM SCHAEFFER</v>
      </c>
      <c r="L730" t="s">
        <v>57</v>
      </c>
      <c r="M730" s="1">
        <v>45689</v>
      </c>
      <c r="N730" s="1">
        <v>45992</v>
      </c>
      <c r="O730" s="2">
        <v>229.61</v>
      </c>
      <c r="P730">
        <f t="shared" si="36"/>
        <v>10</v>
      </c>
      <c r="Q730" t="s">
        <v>264</v>
      </c>
      <c r="R730" t="s">
        <v>1086</v>
      </c>
      <c r="S730" t="s">
        <v>58</v>
      </c>
      <c r="T730" s="4">
        <v>0.375</v>
      </c>
      <c r="U730" t="s">
        <v>60</v>
      </c>
      <c r="V730" t="s">
        <v>61</v>
      </c>
      <c r="W730" s="2">
        <v>0</v>
      </c>
      <c r="X730" s="2">
        <v>86.1</v>
      </c>
      <c r="Y730" s="2">
        <v>86.1</v>
      </c>
      <c r="Z730" s="5" t="s">
        <v>379</v>
      </c>
    </row>
    <row r="731" spans="1:26" x14ac:dyDescent="0.25">
      <c r="A731">
        <v>2025934062</v>
      </c>
      <c r="B731" t="s">
        <v>508</v>
      </c>
      <c r="C731" t="s">
        <v>509</v>
      </c>
      <c r="D731" s="5" t="str">
        <f t="shared" si="37"/>
        <v>BOJAZI GIANNA</v>
      </c>
      <c r="E731" t="s">
        <v>195</v>
      </c>
      <c r="F731" t="s">
        <v>378</v>
      </c>
      <c r="G731" t="s">
        <v>379</v>
      </c>
      <c r="H731">
        <v>18781057</v>
      </c>
      <c r="I731" t="s">
        <v>349</v>
      </c>
      <c r="J731" t="s">
        <v>312</v>
      </c>
      <c r="K731" t="str">
        <f t="shared" si="38"/>
        <v>JOHN ROKEN</v>
      </c>
      <c r="L731" t="s">
        <v>57</v>
      </c>
      <c r="M731" s="1">
        <v>45627</v>
      </c>
      <c r="N731" s="1">
        <v>45962</v>
      </c>
      <c r="O731" s="2">
        <v>44.98</v>
      </c>
      <c r="P731">
        <f t="shared" si="36"/>
        <v>11</v>
      </c>
      <c r="Q731" t="s">
        <v>264</v>
      </c>
      <c r="R731" t="s">
        <v>1086</v>
      </c>
      <c r="S731" t="s">
        <v>58</v>
      </c>
      <c r="T731" s="4">
        <v>0.375</v>
      </c>
      <c r="U731" t="s">
        <v>60</v>
      </c>
      <c r="V731" t="s">
        <v>61</v>
      </c>
      <c r="W731" s="2">
        <v>0</v>
      </c>
      <c r="X731" s="2">
        <v>16.87</v>
      </c>
      <c r="Y731" s="2">
        <v>16.87</v>
      </c>
      <c r="Z731" s="5" t="s">
        <v>379</v>
      </c>
    </row>
    <row r="732" spans="1:26" x14ac:dyDescent="0.25">
      <c r="A732">
        <v>2026006727</v>
      </c>
      <c r="B732" t="s">
        <v>771</v>
      </c>
      <c r="C732" t="s">
        <v>772</v>
      </c>
      <c r="D732" s="5" t="str">
        <f t="shared" si="37"/>
        <v>KALMAN THERESA</v>
      </c>
      <c r="E732" t="s">
        <v>129</v>
      </c>
      <c r="F732" t="s">
        <v>378</v>
      </c>
      <c r="G732" t="s">
        <v>379</v>
      </c>
      <c r="H732">
        <v>8977234</v>
      </c>
      <c r="I732" t="s">
        <v>55</v>
      </c>
      <c r="J732" t="s">
        <v>56</v>
      </c>
      <c r="K732" t="str">
        <f t="shared" si="38"/>
        <v>RYAN CALTAGIRONE</v>
      </c>
      <c r="L732" t="s">
        <v>57</v>
      </c>
      <c r="M732" s="1">
        <v>45655</v>
      </c>
      <c r="N732" s="1">
        <v>45990</v>
      </c>
      <c r="O732" s="2">
        <v>65.989999999999995</v>
      </c>
      <c r="P732">
        <f t="shared" si="36"/>
        <v>11</v>
      </c>
      <c r="Q732" t="s">
        <v>264</v>
      </c>
      <c r="R732" t="s">
        <v>1086</v>
      </c>
      <c r="S732" t="s">
        <v>58</v>
      </c>
      <c r="T732" s="4">
        <v>0.375</v>
      </c>
      <c r="U732" t="s">
        <v>60</v>
      </c>
      <c r="V732" t="s">
        <v>61</v>
      </c>
      <c r="W732" s="2">
        <v>0</v>
      </c>
      <c r="X732" s="2">
        <v>24.75</v>
      </c>
      <c r="Y732" s="2">
        <v>24.75</v>
      </c>
      <c r="Z732" s="5" t="s">
        <v>379</v>
      </c>
    </row>
    <row r="733" spans="1:26" x14ac:dyDescent="0.25">
      <c r="A733">
        <v>2025967187</v>
      </c>
      <c r="B733" t="s">
        <v>547</v>
      </c>
      <c r="C733" t="s">
        <v>676</v>
      </c>
      <c r="D733" s="5" t="str">
        <f t="shared" si="37"/>
        <v>BROOKS JUWAN</v>
      </c>
      <c r="E733" t="s">
        <v>234</v>
      </c>
      <c r="F733" t="s">
        <v>378</v>
      </c>
      <c r="G733" t="s">
        <v>379</v>
      </c>
      <c r="H733" t="s">
        <v>1081</v>
      </c>
      <c r="I733" t="s">
        <v>191</v>
      </c>
      <c r="J733" t="s">
        <v>192</v>
      </c>
      <c r="K733" t="str">
        <f t="shared" si="38"/>
        <v>JARED KINYUA</v>
      </c>
      <c r="L733" t="s">
        <v>57</v>
      </c>
      <c r="M733" s="1">
        <v>45626</v>
      </c>
      <c r="N733" s="1">
        <v>45991</v>
      </c>
      <c r="O733" s="2">
        <v>30.46</v>
      </c>
      <c r="P733">
        <f t="shared" si="36"/>
        <v>12</v>
      </c>
      <c r="Q733" t="s">
        <v>264</v>
      </c>
      <c r="R733" t="s">
        <v>1086</v>
      </c>
      <c r="S733" t="s">
        <v>58</v>
      </c>
      <c r="T733" s="4">
        <v>0.375</v>
      </c>
      <c r="U733" t="s">
        <v>60</v>
      </c>
      <c r="V733" t="s">
        <v>61</v>
      </c>
      <c r="W733" s="2">
        <v>0</v>
      </c>
      <c r="X733" s="2">
        <v>11.42</v>
      </c>
      <c r="Y733" s="2">
        <v>11.42</v>
      </c>
      <c r="Z733" s="5" t="s">
        <v>379</v>
      </c>
    </row>
    <row r="734" spans="1:26" x14ac:dyDescent="0.25">
      <c r="A734" s="10">
        <v>2029132494</v>
      </c>
      <c r="B734" s="10" t="s">
        <v>948</v>
      </c>
      <c r="C734" s="10" t="s">
        <v>66</v>
      </c>
      <c r="D734" s="5" t="str">
        <f t="shared" si="37"/>
        <v>POWERS MATTHEW</v>
      </c>
      <c r="E734" s="10" t="s">
        <v>439</v>
      </c>
      <c r="F734" s="10" t="s">
        <v>378</v>
      </c>
      <c r="G734" s="10" t="s">
        <v>379</v>
      </c>
      <c r="H734" s="10">
        <v>20411454</v>
      </c>
      <c r="I734" s="10" t="s">
        <v>440</v>
      </c>
      <c r="J734" s="10" t="s">
        <v>407</v>
      </c>
      <c r="K734" s="10" t="s">
        <v>1088</v>
      </c>
      <c r="L734" s="10" t="s">
        <v>57</v>
      </c>
      <c r="M734" s="11">
        <v>45809</v>
      </c>
      <c r="N734" s="11">
        <v>45992</v>
      </c>
      <c r="O734" s="12">
        <v>4.1399999999999997</v>
      </c>
      <c r="P734" s="10">
        <f t="shared" si="36"/>
        <v>6</v>
      </c>
      <c r="Q734" s="10" t="s">
        <v>264</v>
      </c>
      <c r="R734" s="10" t="s">
        <v>1086</v>
      </c>
      <c r="S734" s="10" t="s">
        <v>58</v>
      </c>
      <c r="T734" s="14">
        <v>9.5000000000000001E-2</v>
      </c>
      <c r="U734" s="10" t="s">
        <v>60</v>
      </c>
      <c r="V734" s="10" t="s">
        <v>61</v>
      </c>
      <c r="W734" s="12">
        <v>4.1399999999999997</v>
      </c>
      <c r="X734" s="12">
        <v>0</v>
      </c>
      <c r="Y734" s="12">
        <v>4.1399999999999997</v>
      </c>
      <c r="Z734" s="10" t="s">
        <v>1087</v>
      </c>
    </row>
    <row r="735" spans="1:26" x14ac:dyDescent="0.25">
      <c r="A735" s="10">
        <v>2029140522</v>
      </c>
      <c r="B735" s="10" t="s">
        <v>437</v>
      </c>
      <c r="C735" s="10" t="s">
        <v>268</v>
      </c>
      <c r="D735" s="5" t="str">
        <f t="shared" si="37"/>
        <v>ISBELL JULIE</v>
      </c>
      <c r="E735" s="10" t="s">
        <v>439</v>
      </c>
      <c r="F735" s="10" t="s">
        <v>378</v>
      </c>
      <c r="G735" s="10" t="s">
        <v>379</v>
      </c>
      <c r="H735" s="10">
        <v>20411454</v>
      </c>
      <c r="I735" s="10" t="s">
        <v>440</v>
      </c>
      <c r="J735" s="10" t="s">
        <v>407</v>
      </c>
      <c r="K735" s="10" t="s">
        <v>1088</v>
      </c>
      <c r="L735" s="10" t="s">
        <v>57</v>
      </c>
      <c r="M735" s="11">
        <v>45809</v>
      </c>
      <c r="N735" s="11">
        <v>45992</v>
      </c>
      <c r="O735" s="12">
        <v>3.08</v>
      </c>
      <c r="P735" s="10">
        <f t="shared" si="36"/>
        <v>6</v>
      </c>
      <c r="Q735" s="10" t="s">
        <v>264</v>
      </c>
      <c r="R735" s="10" t="s">
        <v>1086</v>
      </c>
      <c r="S735" s="10" t="s">
        <v>58</v>
      </c>
      <c r="T735" s="14">
        <v>9.5000000000000001E-2</v>
      </c>
      <c r="U735" s="10" t="s">
        <v>60</v>
      </c>
      <c r="V735" s="10" t="s">
        <v>61</v>
      </c>
      <c r="W735" s="12">
        <v>3.08</v>
      </c>
      <c r="X735" s="12">
        <v>0</v>
      </c>
      <c r="Y735" s="12">
        <v>3.08</v>
      </c>
      <c r="Z735" s="10" t="s">
        <v>1087</v>
      </c>
    </row>
    <row r="736" spans="1:26" x14ac:dyDescent="0.25">
      <c r="A736" s="5">
        <v>2025256823</v>
      </c>
      <c r="B736" s="5" t="s">
        <v>762</v>
      </c>
      <c r="C736" s="5" t="s">
        <v>763</v>
      </c>
      <c r="D736" s="5" t="str">
        <f t="shared" si="37"/>
        <v>SHANKS CHRISTOPHER</v>
      </c>
      <c r="E736" s="5" t="s">
        <v>69</v>
      </c>
      <c r="F736" s="5" t="s">
        <v>378</v>
      </c>
      <c r="G736" s="5" t="s">
        <v>379</v>
      </c>
      <c r="H736" s="5">
        <v>18828278</v>
      </c>
      <c r="I736" s="5" t="s">
        <v>97</v>
      </c>
      <c r="J736" s="5" t="s">
        <v>98</v>
      </c>
      <c r="K736" s="5" t="str">
        <f t="shared" ref="K736:K767" si="39">CONCATENATE(J736, " ",I736)</f>
        <v>MICHAEL DUNAVANT</v>
      </c>
      <c r="L736" s="5" t="s">
        <v>57</v>
      </c>
      <c r="M736" s="6">
        <v>45597</v>
      </c>
      <c r="N736" s="6">
        <v>45992</v>
      </c>
      <c r="O736" s="7">
        <v>47.56</v>
      </c>
      <c r="P736" s="5">
        <f t="shared" si="36"/>
        <v>13</v>
      </c>
      <c r="Q736" s="5" t="s">
        <v>264</v>
      </c>
      <c r="R736" s="5" t="s">
        <v>1086</v>
      </c>
      <c r="S736" s="5" t="s">
        <v>58</v>
      </c>
      <c r="T736" s="8">
        <v>0.06</v>
      </c>
      <c r="U736" s="5" t="s">
        <v>264</v>
      </c>
      <c r="V736" s="5" t="s">
        <v>61</v>
      </c>
      <c r="W736" s="7">
        <v>0</v>
      </c>
      <c r="X736" s="7">
        <v>2.85</v>
      </c>
      <c r="Y736" s="7">
        <v>2.85</v>
      </c>
      <c r="Z736" s="5" t="s">
        <v>379</v>
      </c>
    </row>
    <row r="737" spans="1:26" x14ac:dyDescent="0.25">
      <c r="A737" s="5">
        <v>2025510781</v>
      </c>
      <c r="B737" s="5" t="s">
        <v>576</v>
      </c>
      <c r="C737" s="5" t="s">
        <v>847</v>
      </c>
      <c r="D737" s="5" t="str">
        <f t="shared" si="37"/>
        <v>JACKSON ALEXANDRIA</v>
      </c>
      <c r="E737" s="5" t="s">
        <v>439</v>
      </c>
      <c r="F737" s="5" t="s">
        <v>378</v>
      </c>
      <c r="G737" s="5" t="s">
        <v>379</v>
      </c>
      <c r="H737" s="5">
        <v>371819</v>
      </c>
      <c r="I737" s="5" t="s">
        <v>237</v>
      </c>
      <c r="J737" s="5" t="s">
        <v>103</v>
      </c>
      <c r="K737" s="5" t="str">
        <f t="shared" si="39"/>
        <v>THOMAS PARDUE</v>
      </c>
      <c r="L737" s="5" t="s">
        <v>57</v>
      </c>
      <c r="M737" s="6">
        <v>45597</v>
      </c>
      <c r="N737" s="6">
        <v>45992</v>
      </c>
      <c r="O737" s="7">
        <v>28.66</v>
      </c>
      <c r="P737" s="5">
        <f t="shared" si="36"/>
        <v>13</v>
      </c>
      <c r="Q737" s="5" t="s">
        <v>264</v>
      </c>
      <c r="R737" s="5" t="s">
        <v>1086</v>
      </c>
      <c r="S737" s="5" t="s">
        <v>58</v>
      </c>
      <c r="T737" s="8">
        <v>0.06</v>
      </c>
      <c r="U737" s="5" t="s">
        <v>264</v>
      </c>
      <c r="V737" s="5" t="s">
        <v>61</v>
      </c>
      <c r="W737" s="7">
        <v>0</v>
      </c>
      <c r="X737" s="7">
        <v>1.72</v>
      </c>
      <c r="Y737" s="7">
        <v>1.72</v>
      </c>
      <c r="Z737" s="5" t="s">
        <v>379</v>
      </c>
    </row>
    <row r="738" spans="1:26" x14ac:dyDescent="0.25">
      <c r="A738" s="5">
        <v>2025525731</v>
      </c>
      <c r="B738" s="5" t="s">
        <v>848</v>
      </c>
      <c r="C738" s="5" t="s">
        <v>849</v>
      </c>
      <c r="D738" s="5" t="str">
        <f t="shared" si="37"/>
        <v>WOODWARD OLIBUEL</v>
      </c>
      <c r="E738" s="5" t="s">
        <v>293</v>
      </c>
      <c r="F738" s="5" t="s">
        <v>378</v>
      </c>
      <c r="G738" s="5" t="s">
        <v>379</v>
      </c>
      <c r="H738" s="5">
        <v>371819</v>
      </c>
      <c r="I738" s="5" t="s">
        <v>237</v>
      </c>
      <c r="J738" s="5" t="s">
        <v>103</v>
      </c>
      <c r="K738" s="5" t="str">
        <f t="shared" si="39"/>
        <v>THOMAS PARDUE</v>
      </c>
      <c r="L738" s="5" t="s">
        <v>57</v>
      </c>
      <c r="M738" s="6">
        <v>45595</v>
      </c>
      <c r="N738" s="6">
        <v>45991</v>
      </c>
      <c r="O738" s="7">
        <v>27.04</v>
      </c>
      <c r="P738" s="5">
        <f t="shared" si="36"/>
        <v>13</v>
      </c>
      <c r="Q738" s="5" t="s">
        <v>264</v>
      </c>
      <c r="R738" s="5" t="s">
        <v>1086</v>
      </c>
      <c r="S738" s="5" t="s">
        <v>58</v>
      </c>
      <c r="T738" s="8">
        <v>0.06</v>
      </c>
      <c r="U738" s="5" t="s">
        <v>264</v>
      </c>
      <c r="V738" s="5" t="s">
        <v>61</v>
      </c>
      <c r="W738" s="7">
        <v>0</v>
      </c>
      <c r="X738" s="7">
        <v>1.62</v>
      </c>
      <c r="Y738" s="7">
        <v>1.62</v>
      </c>
      <c r="Z738" s="5" t="s">
        <v>379</v>
      </c>
    </row>
    <row r="739" spans="1:26" x14ac:dyDescent="0.25">
      <c r="A739" s="5">
        <v>2020534056</v>
      </c>
      <c r="B739" s="5" t="s">
        <v>488</v>
      </c>
      <c r="C739" s="5" t="s">
        <v>98</v>
      </c>
      <c r="D739" s="5" t="str">
        <f t="shared" si="37"/>
        <v>MCCANN MICHAEL</v>
      </c>
      <c r="E739" s="5" t="s">
        <v>195</v>
      </c>
      <c r="F739" s="5" t="s">
        <v>378</v>
      </c>
      <c r="G739" s="5" t="s">
        <v>379</v>
      </c>
      <c r="H739" s="5">
        <v>8971826</v>
      </c>
      <c r="I739" s="5" t="s">
        <v>489</v>
      </c>
      <c r="J739" s="5" t="s">
        <v>490</v>
      </c>
      <c r="K739" s="5" t="str">
        <f t="shared" si="39"/>
        <v>SCOTT AGUGLIA</v>
      </c>
      <c r="L739" s="5" t="s">
        <v>57</v>
      </c>
      <c r="M739" s="6">
        <v>45224</v>
      </c>
      <c r="N739" s="6">
        <v>45986</v>
      </c>
      <c r="O739" s="7">
        <v>32.979999999999997</v>
      </c>
      <c r="P739" s="5">
        <f t="shared" si="36"/>
        <v>25</v>
      </c>
      <c r="Q739" s="5" t="s">
        <v>264</v>
      </c>
      <c r="R739" s="5" t="s">
        <v>1086</v>
      </c>
      <c r="S739" s="5" t="s">
        <v>58</v>
      </c>
      <c r="T739" s="8">
        <v>0.06</v>
      </c>
      <c r="U739" s="5" t="s">
        <v>264</v>
      </c>
      <c r="V739" s="5" t="s">
        <v>61</v>
      </c>
      <c r="W739" s="7">
        <v>0</v>
      </c>
      <c r="X739" s="7">
        <v>1.98</v>
      </c>
      <c r="Y739" s="7">
        <v>1.98</v>
      </c>
      <c r="Z739" s="5" t="s">
        <v>379</v>
      </c>
    </row>
    <row r="740" spans="1:26" x14ac:dyDescent="0.25">
      <c r="A740" s="5">
        <v>2019896234</v>
      </c>
      <c r="B740" s="5" t="s">
        <v>828</v>
      </c>
      <c r="C740" s="5" t="s">
        <v>788</v>
      </c>
      <c r="D740" s="5" t="str">
        <f t="shared" si="37"/>
        <v>YACAVACE TAYLOR</v>
      </c>
      <c r="E740" s="5" t="s">
        <v>195</v>
      </c>
      <c r="F740" s="5" t="s">
        <v>378</v>
      </c>
      <c r="G740" s="5" t="s">
        <v>379</v>
      </c>
      <c r="H740" s="5">
        <v>8971826</v>
      </c>
      <c r="I740" s="5" t="s">
        <v>489</v>
      </c>
      <c r="J740" s="5" t="s">
        <v>490</v>
      </c>
      <c r="K740" s="5" t="str">
        <f t="shared" si="39"/>
        <v>SCOTT AGUGLIA</v>
      </c>
      <c r="L740" s="5" t="s">
        <v>57</v>
      </c>
      <c r="M740" s="6">
        <v>45169</v>
      </c>
      <c r="N740" s="6">
        <v>45991</v>
      </c>
      <c r="O740" s="7">
        <v>30.12</v>
      </c>
      <c r="P740" s="5">
        <f t="shared" si="36"/>
        <v>26</v>
      </c>
      <c r="Q740" s="5" t="s">
        <v>264</v>
      </c>
      <c r="R740" s="5" t="s">
        <v>1086</v>
      </c>
      <c r="S740" s="5" t="s">
        <v>58</v>
      </c>
      <c r="T740" s="8">
        <v>0.06</v>
      </c>
      <c r="U740" s="5" t="s">
        <v>264</v>
      </c>
      <c r="V740" s="5" t="s">
        <v>61</v>
      </c>
      <c r="W740" s="7">
        <v>0</v>
      </c>
      <c r="X740" s="7">
        <v>1.81</v>
      </c>
      <c r="Y740" s="7">
        <v>1.81</v>
      </c>
      <c r="Z740" s="5" t="s">
        <v>379</v>
      </c>
    </row>
    <row r="741" spans="1:26" x14ac:dyDescent="0.25">
      <c r="A741" s="5">
        <v>2019882011</v>
      </c>
      <c r="B741" s="5" t="s">
        <v>641</v>
      </c>
      <c r="C741" s="5" t="s">
        <v>827</v>
      </c>
      <c r="D741" s="5" t="str">
        <f t="shared" si="37"/>
        <v>LOPEZ NICOLE</v>
      </c>
      <c r="E741" s="5" t="s">
        <v>195</v>
      </c>
      <c r="F741" s="5" t="s">
        <v>378</v>
      </c>
      <c r="G741" s="5" t="s">
        <v>379</v>
      </c>
      <c r="H741" s="5">
        <v>19562245</v>
      </c>
      <c r="I741" s="5" t="s">
        <v>317</v>
      </c>
      <c r="J741" s="5" t="s">
        <v>318</v>
      </c>
      <c r="K741" s="5" t="str">
        <f t="shared" si="39"/>
        <v>KELLY CARRYER</v>
      </c>
      <c r="L741" s="5" t="s">
        <v>57</v>
      </c>
      <c r="M741" s="6">
        <v>45170</v>
      </c>
      <c r="N741" s="6">
        <v>45992</v>
      </c>
      <c r="O741" s="7">
        <v>30.12</v>
      </c>
      <c r="P741" s="5">
        <f t="shared" si="36"/>
        <v>27</v>
      </c>
      <c r="Q741" s="5" t="s">
        <v>264</v>
      </c>
      <c r="R741" s="5" t="s">
        <v>1086</v>
      </c>
      <c r="S741" s="5" t="s">
        <v>58</v>
      </c>
      <c r="T741" s="8">
        <v>0.06</v>
      </c>
      <c r="U741" s="5" t="s">
        <v>264</v>
      </c>
      <c r="V741" s="5" t="s">
        <v>61</v>
      </c>
      <c r="W741" s="7">
        <v>0</v>
      </c>
      <c r="X741" s="7">
        <v>1.81</v>
      </c>
      <c r="Y741" s="7">
        <v>1.81</v>
      </c>
      <c r="Z741" s="5" t="s">
        <v>379</v>
      </c>
    </row>
    <row r="742" spans="1:26" x14ac:dyDescent="0.25">
      <c r="A742" s="5">
        <v>2019971559</v>
      </c>
      <c r="B742" s="5" t="s">
        <v>830</v>
      </c>
      <c r="C742" s="5" t="s">
        <v>831</v>
      </c>
      <c r="D742" s="5" t="str">
        <f t="shared" si="37"/>
        <v>AMALIA MACKENZIE</v>
      </c>
      <c r="E742" s="5" t="s">
        <v>195</v>
      </c>
      <c r="F742" s="5" t="s">
        <v>378</v>
      </c>
      <c r="G742" s="5" t="s">
        <v>379</v>
      </c>
      <c r="H742" s="5">
        <v>19562245</v>
      </c>
      <c r="I742" s="5" t="s">
        <v>317</v>
      </c>
      <c r="J742" s="5" t="s">
        <v>318</v>
      </c>
      <c r="K742" s="5" t="str">
        <f t="shared" si="39"/>
        <v>KELLY CARRYER</v>
      </c>
      <c r="L742" s="5" t="s">
        <v>57</v>
      </c>
      <c r="M742" s="6">
        <v>45163</v>
      </c>
      <c r="N742" s="6">
        <v>45986</v>
      </c>
      <c r="O742" s="7">
        <v>49.12</v>
      </c>
      <c r="P742" s="5">
        <f t="shared" si="36"/>
        <v>27</v>
      </c>
      <c r="Q742" s="5" t="s">
        <v>264</v>
      </c>
      <c r="R742" s="5" t="s">
        <v>1086</v>
      </c>
      <c r="S742" s="5" t="s">
        <v>58</v>
      </c>
      <c r="T742" s="8">
        <v>0.06</v>
      </c>
      <c r="U742" s="5" t="s">
        <v>264</v>
      </c>
      <c r="V742" s="5" t="s">
        <v>61</v>
      </c>
      <c r="W742" s="7">
        <v>0</v>
      </c>
      <c r="X742" s="7">
        <v>2.95</v>
      </c>
      <c r="Y742" s="7">
        <v>2.95</v>
      </c>
      <c r="Z742" s="5" t="s">
        <v>379</v>
      </c>
    </row>
    <row r="743" spans="1:26" x14ac:dyDescent="0.25">
      <c r="A743" s="5">
        <v>2019916726</v>
      </c>
      <c r="B743" s="5" t="s">
        <v>554</v>
      </c>
      <c r="C743" s="5" t="s">
        <v>829</v>
      </c>
      <c r="D743" s="5" t="str">
        <f t="shared" si="37"/>
        <v>MORGAN NOAH</v>
      </c>
      <c r="E743" s="5" t="s">
        <v>195</v>
      </c>
      <c r="F743" s="5" t="s">
        <v>378</v>
      </c>
      <c r="G743" s="5" t="s">
        <v>379</v>
      </c>
      <c r="H743" s="5">
        <v>8971826</v>
      </c>
      <c r="I743" s="5" t="s">
        <v>489</v>
      </c>
      <c r="J743" s="5" t="s">
        <v>490</v>
      </c>
      <c r="K743" s="5" t="str">
        <f t="shared" si="39"/>
        <v>SCOTT AGUGLIA</v>
      </c>
      <c r="L743" s="5" t="s">
        <v>57</v>
      </c>
      <c r="M743" s="6">
        <v>45170</v>
      </c>
      <c r="N743" s="6">
        <v>45992</v>
      </c>
      <c r="O743" s="7">
        <v>30.12</v>
      </c>
      <c r="P743" s="5">
        <f t="shared" si="36"/>
        <v>27</v>
      </c>
      <c r="Q743" s="5" t="s">
        <v>264</v>
      </c>
      <c r="R743" s="5" t="s">
        <v>1086</v>
      </c>
      <c r="S743" s="5" t="s">
        <v>58</v>
      </c>
      <c r="T743" s="8">
        <v>0.06</v>
      </c>
      <c r="U743" s="5" t="s">
        <v>264</v>
      </c>
      <c r="V743" s="5" t="s">
        <v>61</v>
      </c>
      <c r="W743" s="7">
        <v>0</v>
      </c>
      <c r="X743" s="7">
        <v>1.81</v>
      </c>
      <c r="Y743" s="7">
        <v>1.81</v>
      </c>
      <c r="Z743" s="5" t="s">
        <v>379</v>
      </c>
    </row>
    <row r="744" spans="1:26" x14ac:dyDescent="0.25">
      <c r="A744" s="5">
        <v>2018491279</v>
      </c>
      <c r="B744" s="5" t="s">
        <v>824</v>
      </c>
      <c r="C744" s="5" t="s">
        <v>232</v>
      </c>
      <c r="D744" s="5" t="str">
        <f t="shared" si="37"/>
        <v>SAGI TIMOTHY</v>
      </c>
      <c r="E744" s="5" t="s">
        <v>195</v>
      </c>
      <c r="F744" s="5" t="s">
        <v>378</v>
      </c>
      <c r="G744" s="5" t="s">
        <v>379</v>
      </c>
      <c r="H744" s="5">
        <v>19562245</v>
      </c>
      <c r="I744" s="5" t="s">
        <v>317</v>
      </c>
      <c r="J744" s="5" t="s">
        <v>318</v>
      </c>
      <c r="K744" s="5" t="str">
        <f t="shared" si="39"/>
        <v>KELLY CARRYER</v>
      </c>
      <c r="L744" s="5" t="s">
        <v>57</v>
      </c>
      <c r="M744" s="6">
        <v>45046</v>
      </c>
      <c r="N744" s="6">
        <v>45991</v>
      </c>
      <c r="O744" s="7">
        <v>101.58</v>
      </c>
      <c r="P744" s="5">
        <f t="shared" si="36"/>
        <v>31</v>
      </c>
      <c r="Q744" s="5" t="s">
        <v>264</v>
      </c>
      <c r="R744" s="5" t="s">
        <v>1086</v>
      </c>
      <c r="S744" s="5" t="s">
        <v>58</v>
      </c>
      <c r="T744" s="8">
        <v>0.06</v>
      </c>
      <c r="U744" s="5" t="s">
        <v>264</v>
      </c>
      <c r="V744" s="5" t="s">
        <v>61</v>
      </c>
      <c r="W744" s="7">
        <v>0</v>
      </c>
      <c r="X744" s="7">
        <v>6.09</v>
      </c>
      <c r="Y744" s="7">
        <v>6.09</v>
      </c>
      <c r="Z744" s="5" t="s">
        <v>379</v>
      </c>
    </row>
    <row r="745" spans="1:26" x14ac:dyDescent="0.25">
      <c r="A745">
        <v>2025280495</v>
      </c>
      <c r="B745" t="s">
        <v>664</v>
      </c>
      <c r="C745" t="s">
        <v>665</v>
      </c>
      <c r="D745" s="5" t="str">
        <f t="shared" si="37"/>
        <v>CHEN GARBO</v>
      </c>
      <c r="E745" t="s">
        <v>195</v>
      </c>
      <c r="F745" t="s">
        <v>378</v>
      </c>
      <c r="G745" t="s">
        <v>379</v>
      </c>
      <c r="H745">
        <v>17425766</v>
      </c>
      <c r="I745" t="s">
        <v>357</v>
      </c>
      <c r="J745" t="s">
        <v>358</v>
      </c>
      <c r="K745" t="str">
        <f t="shared" si="39"/>
        <v>CAROL FOLEY</v>
      </c>
      <c r="L745" t="s">
        <v>57</v>
      </c>
      <c r="M745" s="1">
        <v>45597</v>
      </c>
      <c r="N745" s="1">
        <v>45992</v>
      </c>
      <c r="O745" s="2">
        <v>27.11</v>
      </c>
      <c r="P745">
        <f t="shared" si="36"/>
        <v>13</v>
      </c>
      <c r="Q745" t="s">
        <v>264</v>
      </c>
      <c r="R745" t="s">
        <v>1086</v>
      </c>
      <c r="S745" t="s">
        <v>58</v>
      </c>
      <c r="T745" s="3">
        <v>0.06</v>
      </c>
      <c r="U745" t="s">
        <v>264</v>
      </c>
      <c r="V745" t="s">
        <v>61</v>
      </c>
      <c r="W745" s="2">
        <v>0</v>
      </c>
      <c r="X745" s="2">
        <v>1.63</v>
      </c>
      <c r="Y745" s="2">
        <v>1.63</v>
      </c>
      <c r="Z745" s="5" t="s">
        <v>379</v>
      </c>
    </row>
    <row r="746" spans="1:26" x14ac:dyDescent="0.25">
      <c r="A746">
        <v>2025422151</v>
      </c>
      <c r="B746" t="s">
        <v>669</v>
      </c>
      <c r="C746" t="s">
        <v>404</v>
      </c>
      <c r="D746" s="5" t="str">
        <f t="shared" si="37"/>
        <v>DODSON LORA</v>
      </c>
      <c r="E746" t="s">
        <v>195</v>
      </c>
      <c r="F746" t="s">
        <v>378</v>
      </c>
      <c r="G746" t="s">
        <v>379</v>
      </c>
      <c r="H746">
        <v>17425766</v>
      </c>
      <c r="I746" t="s">
        <v>357</v>
      </c>
      <c r="J746" t="s">
        <v>358</v>
      </c>
      <c r="K746" t="str">
        <f t="shared" si="39"/>
        <v>CAROL FOLEY</v>
      </c>
      <c r="L746" t="s">
        <v>57</v>
      </c>
      <c r="M746" s="1">
        <v>45597</v>
      </c>
      <c r="N746" s="1">
        <v>45992</v>
      </c>
      <c r="O746" s="2">
        <v>53.08</v>
      </c>
      <c r="P746">
        <f t="shared" si="36"/>
        <v>13</v>
      </c>
      <c r="Q746" t="s">
        <v>264</v>
      </c>
      <c r="R746" t="s">
        <v>1086</v>
      </c>
      <c r="S746" t="s">
        <v>58</v>
      </c>
      <c r="T746" s="3">
        <v>0.06</v>
      </c>
      <c r="U746" t="s">
        <v>264</v>
      </c>
      <c r="V746" t="s">
        <v>61</v>
      </c>
      <c r="W746" s="2">
        <v>0</v>
      </c>
      <c r="X746" s="2">
        <v>3.18</v>
      </c>
      <c r="Y746" s="2">
        <v>3.18</v>
      </c>
      <c r="Z746" s="5" t="s">
        <v>379</v>
      </c>
    </row>
    <row r="747" spans="1:26" x14ac:dyDescent="0.25">
      <c r="A747">
        <v>2025541352</v>
      </c>
      <c r="B747" t="s">
        <v>672</v>
      </c>
      <c r="C747" t="s">
        <v>673</v>
      </c>
      <c r="D747" s="5" t="str">
        <f t="shared" si="37"/>
        <v>MURPHY LA'JOIA</v>
      </c>
      <c r="E747" t="s">
        <v>208</v>
      </c>
      <c r="F747" t="s">
        <v>378</v>
      </c>
      <c r="G747" t="s">
        <v>379</v>
      </c>
      <c r="H747">
        <v>17425766</v>
      </c>
      <c r="I747" t="s">
        <v>357</v>
      </c>
      <c r="J747" t="s">
        <v>358</v>
      </c>
      <c r="K747" t="str">
        <f t="shared" si="39"/>
        <v>CAROL FOLEY</v>
      </c>
      <c r="L747" t="s">
        <v>57</v>
      </c>
      <c r="M747" s="1">
        <v>45597</v>
      </c>
      <c r="N747" s="1">
        <v>45992</v>
      </c>
      <c r="O747" s="2">
        <v>34.049999999999997</v>
      </c>
      <c r="P747">
        <f t="shared" si="36"/>
        <v>13</v>
      </c>
      <c r="Q747" t="s">
        <v>264</v>
      </c>
      <c r="R747" t="s">
        <v>1086</v>
      </c>
      <c r="S747" t="s">
        <v>58</v>
      </c>
      <c r="T747" s="3">
        <v>0.06</v>
      </c>
      <c r="U747" t="s">
        <v>264</v>
      </c>
      <c r="V747" t="s">
        <v>61</v>
      </c>
      <c r="W747" s="2">
        <v>0</v>
      </c>
      <c r="X747" s="2">
        <v>2.04</v>
      </c>
      <c r="Y747" s="2">
        <v>2.04</v>
      </c>
      <c r="Z747" s="5" t="s">
        <v>379</v>
      </c>
    </row>
    <row r="748" spans="1:26" x14ac:dyDescent="0.25">
      <c r="A748">
        <v>2025563318</v>
      </c>
      <c r="B748" t="s">
        <v>674</v>
      </c>
      <c r="C748" t="s">
        <v>675</v>
      </c>
      <c r="D748" s="5" t="str">
        <f t="shared" si="37"/>
        <v>HENDERSON PAMELA</v>
      </c>
      <c r="E748" t="s">
        <v>78</v>
      </c>
      <c r="F748" t="s">
        <v>378</v>
      </c>
      <c r="G748" t="s">
        <v>379</v>
      </c>
      <c r="H748">
        <v>17425766</v>
      </c>
      <c r="I748" t="s">
        <v>357</v>
      </c>
      <c r="J748" t="s">
        <v>358</v>
      </c>
      <c r="K748" t="str">
        <f t="shared" si="39"/>
        <v>CAROL FOLEY</v>
      </c>
      <c r="L748" t="s">
        <v>57</v>
      </c>
      <c r="M748" s="1">
        <v>45597</v>
      </c>
      <c r="N748" s="1">
        <v>45992</v>
      </c>
      <c r="O748" s="2">
        <v>33.880000000000003</v>
      </c>
      <c r="P748">
        <f t="shared" si="36"/>
        <v>13</v>
      </c>
      <c r="Q748" t="s">
        <v>264</v>
      </c>
      <c r="R748" t="s">
        <v>1086</v>
      </c>
      <c r="S748" t="s">
        <v>58</v>
      </c>
      <c r="T748" s="3">
        <v>0.06</v>
      </c>
      <c r="U748" t="s">
        <v>264</v>
      </c>
      <c r="V748" t="s">
        <v>61</v>
      </c>
      <c r="W748" s="2">
        <v>0</v>
      </c>
      <c r="X748" s="2">
        <v>2.0299999999999998</v>
      </c>
      <c r="Y748" s="2">
        <v>2.0299999999999998</v>
      </c>
      <c r="Z748" s="5" t="s">
        <v>379</v>
      </c>
    </row>
    <row r="749" spans="1:26" x14ac:dyDescent="0.25">
      <c r="A749">
        <v>2025535694</v>
      </c>
      <c r="B749" t="s">
        <v>764</v>
      </c>
      <c r="C749" t="s">
        <v>765</v>
      </c>
      <c r="D749" s="5" t="str">
        <f t="shared" si="37"/>
        <v>JACKSON-EILAND TINYA</v>
      </c>
      <c r="E749" t="s">
        <v>52</v>
      </c>
      <c r="F749" t="s">
        <v>378</v>
      </c>
      <c r="G749" t="s">
        <v>379</v>
      </c>
      <c r="H749" t="s">
        <v>1081</v>
      </c>
      <c r="I749" t="s">
        <v>191</v>
      </c>
      <c r="J749" t="s">
        <v>192</v>
      </c>
      <c r="K749" t="str">
        <f t="shared" si="39"/>
        <v>JARED KINYUA</v>
      </c>
      <c r="L749" t="s">
        <v>57</v>
      </c>
      <c r="M749" s="1">
        <v>45595</v>
      </c>
      <c r="N749" s="1">
        <v>45991</v>
      </c>
      <c r="O749" s="2">
        <v>52.6</v>
      </c>
      <c r="P749">
        <f t="shared" si="36"/>
        <v>13</v>
      </c>
      <c r="Q749" t="s">
        <v>264</v>
      </c>
      <c r="R749" t="s">
        <v>1086</v>
      </c>
      <c r="S749" t="s">
        <v>58</v>
      </c>
      <c r="T749" s="3">
        <v>0.06</v>
      </c>
      <c r="U749" t="s">
        <v>264</v>
      </c>
      <c r="V749" t="s">
        <v>61</v>
      </c>
      <c r="W749" s="2">
        <v>0</v>
      </c>
      <c r="X749" s="2">
        <v>3.16</v>
      </c>
      <c r="Y749" s="2">
        <v>3.16</v>
      </c>
      <c r="Z749" s="5" t="s">
        <v>379</v>
      </c>
    </row>
    <row r="750" spans="1:26" x14ac:dyDescent="0.25">
      <c r="A750">
        <v>2025550301</v>
      </c>
      <c r="B750" t="s">
        <v>766</v>
      </c>
      <c r="C750" t="s">
        <v>240</v>
      </c>
      <c r="D750" s="5" t="str">
        <f t="shared" si="37"/>
        <v>LAWRENCE JUSTIN</v>
      </c>
      <c r="E750" t="s">
        <v>52</v>
      </c>
      <c r="F750" t="s">
        <v>378</v>
      </c>
      <c r="G750" t="s">
        <v>379</v>
      </c>
      <c r="H750">
        <v>15278437</v>
      </c>
      <c r="I750" t="s">
        <v>313</v>
      </c>
      <c r="J750" t="s">
        <v>314</v>
      </c>
      <c r="K750" t="str">
        <f t="shared" si="39"/>
        <v>JASON HOFFMANN</v>
      </c>
      <c r="L750" t="s">
        <v>57</v>
      </c>
      <c r="M750" s="1">
        <v>45597</v>
      </c>
      <c r="N750" s="1">
        <v>45992</v>
      </c>
      <c r="O750" s="2">
        <v>37.130000000000003</v>
      </c>
      <c r="P750">
        <f t="shared" si="36"/>
        <v>13</v>
      </c>
      <c r="Q750" t="s">
        <v>264</v>
      </c>
      <c r="R750" t="s">
        <v>1086</v>
      </c>
      <c r="S750" t="s">
        <v>58</v>
      </c>
      <c r="T750" s="3">
        <v>0.06</v>
      </c>
      <c r="U750" t="s">
        <v>264</v>
      </c>
      <c r="V750" t="s">
        <v>61</v>
      </c>
      <c r="W750" s="2">
        <v>0</v>
      </c>
      <c r="X750" s="2">
        <v>2.23</v>
      </c>
      <c r="Y750" s="2">
        <v>2.23</v>
      </c>
      <c r="Z750" s="5" t="s">
        <v>379</v>
      </c>
    </row>
    <row r="751" spans="1:26" x14ac:dyDescent="0.25">
      <c r="A751">
        <v>2025338057</v>
      </c>
      <c r="B751" t="s">
        <v>845</v>
      </c>
      <c r="C751" t="s">
        <v>846</v>
      </c>
      <c r="D751" s="5" t="str">
        <f t="shared" si="37"/>
        <v>PISTORIUS ELIANA</v>
      </c>
      <c r="E751" t="s">
        <v>69</v>
      </c>
      <c r="F751" t="s">
        <v>378</v>
      </c>
      <c r="G751" t="s">
        <v>379</v>
      </c>
      <c r="H751">
        <v>8977234</v>
      </c>
      <c r="I751" t="s">
        <v>55</v>
      </c>
      <c r="J751" t="s">
        <v>56</v>
      </c>
      <c r="K751" t="str">
        <f t="shared" si="39"/>
        <v>RYAN CALTAGIRONE</v>
      </c>
      <c r="L751" t="s">
        <v>57</v>
      </c>
      <c r="M751" s="1">
        <v>45597</v>
      </c>
      <c r="N751" s="1">
        <v>45992</v>
      </c>
      <c r="O751" s="2">
        <v>37.61</v>
      </c>
      <c r="P751">
        <f t="shared" si="36"/>
        <v>13</v>
      </c>
      <c r="Q751" t="s">
        <v>264</v>
      </c>
      <c r="R751" t="s">
        <v>1086</v>
      </c>
      <c r="S751" t="s">
        <v>58</v>
      </c>
      <c r="T751" s="3">
        <v>0.06</v>
      </c>
      <c r="U751" t="s">
        <v>264</v>
      </c>
      <c r="V751" t="s">
        <v>61</v>
      </c>
      <c r="W751" s="2">
        <v>0</v>
      </c>
      <c r="X751" s="2">
        <v>2.2599999999999998</v>
      </c>
      <c r="Y751" s="2">
        <v>2.2599999999999998</v>
      </c>
      <c r="Z751" s="5" t="s">
        <v>379</v>
      </c>
    </row>
    <row r="752" spans="1:26" x14ac:dyDescent="0.25">
      <c r="A752">
        <v>2025560708</v>
      </c>
      <c r="B752" t="s">
        <v>850</v>
      </c>
      <c r="C752" t="s">
        <v>110</v>
      </c>
      <c r="D752" s="5" t="str">
        <f t="shared" si="37"/>
        <v>BUCKLEY WILLIAM</v>
      </c>
      <c r="E752" t="s">
        <v>195</v>
      </c>
      <c r="F752" t="s">
        <v>378</v>
      </c>
      <c r="G752" t="s">
        <v>379</v>
      </c>
      <c r="H752">
        <v>18010408</v>
      </c>
      <c r="I752" t="s">
        <v>499</v>
      </c>
      <c r="J752" t="s">
        <v>110</v>
      </c>
      <c r="K752" t="str">
        <f t="shared" si="39"/>
        <v>WILLIAM SCHAEFFER</v>
      </c>
      <c r="L752" t="s">
        <v>57</v>
      </c>
      <c r="M752" s="1">
        <v>45597</v>
      </c>
      <c r="N752" s="1">
        <v>45992</v>
      </c>
      <c r="O752" s="2">
        <v>200.79</v>
      </c>
      <c r="P752">
        <f t="shared" si="36"/>
        <v>13</v>
      </c>
      <c r="Q752" t="s">
        <v>264</v>
      </c>
      <c r="R752" t="s">
        <v>1086</v>
      </c>
      <c r="S752" t="s">
        <v>58</v>
      </c>
      <c r="T752" s="3">
        <v>0.06</v>
      </c>
      <c r="U752" t="s">
        <v>264</v>
      </c>
      <c r="V752" t="s">
        <v>61</v>
      </c>
      <c r="W752" s="2">
        <v>0</v>
      </c>
      <c r="X752" s="2">
        <v>12.05</v>
      </c>
      <c r="Y752" s="2">
        <v>12.05</v>
      </c>
      <c r="Z752" s="5" t="s">
        <v>379</v>
      </c>
    </row>
    <row r="753" spans="1:26" x14ac:dyDescent="0.25">
      <c r="A753">
        <v>2025028098</v>
      </c>
      <c r="B753" t="s">
        <v>844</v>
      </c>
      <c r="C753" t="s">
        <v>617</v>
      </c>
      <c r="D753" s="5" t="str">
        <f t="shared" si="37"/>
        <v>GALE NANCY</v>
      </c>
      <c r="E753" t="s">
        <v>129</v>
      </c>
      <c r="F753" t="s">
        <v>378</v>
      </c>
      <c r="G753" t="s">
        <v>379</v>
      </c>
      <c r="H753">
        <v>8977234</v>
      </c>
      <c r="I753" t="s">
        <v>55</v>
      </c>
      <c r="J753" t="s">
        <v>56</v>
      </c>
      <c r="K753" t="str">
        <f t="shared" si="39"/>
        <v>RYAN CALTAGIRONE</v>
      </c>
      <c r="L753" t="s">
        <v>57</v>
      </c>
      <c r="M753" s="1">
        <v>45561</v>
      </c>
      <c r="N753" s="1">
        <v>45987</v>
      </c>
      <c r="O753" s="2">
        <v>37.840000000000003</v>
      </c>
      <c r="P753">
        <f t="shared" si="36"/>
        <v>14</v>
      </c>
      <c r="Q753" t="s">
        <v>264</v>
      </c>
      <c r="R753" t="s">
        <v>1086</v>
      </c>
      <c r="S753" t="s">
        <v>58</v>
      </c>
      <c r="T753" s="3">
        <v>0.06</v>
      </c>
      <c r="U753" t="s">
        <v>264</v>
      </c>
      <c r="V753" t="s">
        <v>61</v>
      </c>
      <c r="W753" s="2">
        <v>0</v>
      </c>
      <c r="X753" s="2">
        <v>2.27</v>
      </c>
      <c r="Y753" s="2">
        <v>2.27</v>
      </c>
      <c r="Z753" s="5" t="s">
        <v>379</v>
      </c>
    </row>
    <row r="754" spans="1:26" x14ac:dyDescent="0.25">
      <c r="A754">
        <v>2024382485</v>
      </c>
      <c r="B754" t="s">
        <v>497</v>
      </c>
      <c r="C754" t="s">
        <v>167</v>
      </c>
      <c r="D754" s="5" t="str">
        <f t="shared" si="37"/>
        <v>MADDEN CHARLES</v>
      </c>
      <c r="E754" t="s">
        <v>195</v>
      </c>
      <c r="F754" t="s">
        <v>378</v>
      </c>
      <c r="G754" t="s">
        <v>379</v>
      </c>
      <c r="H754">
        <v>19278370</v>
      </c>
      <c r="I754" t="s">
        <v>321</v>
      </c>
      <c r="J754" t="s">
        <v>322</v>
      </c>
      <c r="K754" t="str">
        <f t="shared" si="39"/>
        <v>ANNE MARIE KOZACHECK</v>
      </c>
      <c r="L754" t="s">
        <v>57</v>
      </c>
      <c r="M754" s="1">
        <v>45536</v>
      </c>
      <c r="N754" s="1">
        <v>45992</v>
      </c>
      <c r="O754" s="2">
        <v>44.98</v>
      </c>
      <c r="P754">
        <f t="shared" si="36"/>
        <v>15</v>
      </c>
      <c r="Q754" t="s">
        <v>264</v>
      </c>
      <c r="R754" t="s">
        <v>1086</v>
      </c>
      <c r="S754" t="s">
        <v>58</v>
      </c>
      <c r="T754" s="3">
        <v>0.06</v>
      </c>
      <c r="U754" t="s">
        <v>264</v>
      </c>
      <c r="V754" t="s">
        <v>61</v>
      </c>
      <c r="W754" s="2">
        <v>0</v>
      </c>
      <c r="X754" s="2">
        <v>2.7</v>
      </c>
      <c r="Y754" s="2">
        <v>2.7</v>
      </c>
      <c r="Z754" s="5" t="s">
        <v>379</v>
      </c>
    </row>
    <row r="755" spans="1:26" x14ac:dyDescent="0.25">
      <c r="A755">
        <v>2024569205</v>
      </c>
      <c r="B755" t="s">
        <v>758</v>
      </c>
      <c r="C755" t="s">
        <v>759</v>
      </c>
      <c r="D755" s="5" t="str">
        <f t="shared" si="37"/>
        <v>CASILLAS CAROLINA</v>
      </c>
      <c r="E755" t="s">
        <v>719</v>
      </c>
      <c r="F755" t="s">
        <v>378</v>
      </c>
      <c r="G755" t="s">
        <v>379</v>
      </c>
      <c r="H755">
        <v>19278370</v>
      </c>
      <c r="I755" t="s">
        <v>321</v>
      </c>
      <c r="J755" t="s">
        <v>322</v>
      </c>
      <c r="K755" t="str">
        <f t="shared" si="39"/>
        <v>ANNE MARIE KOZACHECK</v>
      </c>
      <c r="L755" t="s">
        <v>57</v>
      </c>
      <c r="M755" s="1">
        <v>45531</v>
      </c>
      <c r="N755" s="1">
        <v>45988</v>
      </c>
      <c r="O755" s="2">
        <v>60.87</v>
      </c>
      <c r="P755">
        <f t="shared" si="36"/>
        <v>15</v>
      </c>
      <c r="Q755" t="s">
        <v>264</v>
      </c>
      <c r="R755" t="s">
        <v>1086</v>
      </c>
      <c r="S755" t="s">
        <v>58</v>
      </c>
      <c r="T755" s="3">
        <v>0.06</v>
      </c>
      <c r="U755" t="s">
        <v>264</v>
      </c>
      <c r="V755" t="s">
        <v>61</v>
      </c>
      <c r="W755" s="2">
        <v>0</v>
      </c>
      <c r="X755" s="2">
        <v>3.65</v>
      </c>
      <c r="Y755" s="2">
        <v>3.65</v>
      </c>
      <c r="Z755" s="5" t="s">
        <v>379</v>
      </c>
    </row>
    <row r="756" spans="1:26" x14ac:dyDescent="0.25">
      <c r="A756">
        <v>2024477617</v>
      </c>
      <c r="B756" t="s">
        <v>654</v>
      </c>
      <c r="C756" t="s">
        <v>66</v>
      </c>
      <c r="D756" s="5" t="str">
        <f t="shared" si="37"/>
        <v>KRYSIK MATTHEW</v>
      </c>
      <c r="E756" t="s">
        <v>195</v>
      </c>
      <c r="F756" t="s">
        <v>378</v>
      </c>
      <c r="G756" t="s">
        <v>379</v>
      </c>
      <c r="H756">
        <v>17425766</v>
      </c>
      <c r="I756" t="s">
        <v>357</v>
      </c>
      <c r="J756" t="s">
        <v>358</v>
      </c>
      <c r="K756" t="str">
        <f t="shared" si="39"/>
        <v>CAROL FOLEY</v>
      </c>
      <c r="L756" t="s">
        <v>57</v>
      </c>
      <c r="M756" s="1">
        <v>45536</v>
      </c>
      <c r="N756" s="1">
        <v>45992</v>
      </c>
      <c r="O756" s="2">
        <v>44.21</v>
      </c>
      <c r="P756">
        <f t="shared" si="36"/>
        <v>15</v>
      </c>
      <c r="Q756" t="s">
        <v>264</v>
      </c>
      <c r="R756" t="s">
        <v>1086</v>
      </c>
      <c r="S756" t="s">
        <v>58</v>
      </c>
      <c r="T756" s="3">
        <v>0.06</v>
      </c>
      <c r="U756" t="s">
        <v>264</v>
      </c>
      <c r="V756" t="s">
        <v>61</v>
      </c>
      <c r="W756" s="2">
        <v>0</v>
      </c>
      <c r="X756" s="2">
        <v>2.65</v>
      </c>
      <c r="Y756" s="2">
        <v>2.65</v>
      </c>
      <c r="Z756" s="5" t="s">
        <v>379</v>
      </c>
    </row>
    <row r="757" spans="1:26" x14ac:dyDescent="0.25">
      <c r="A757">
        <v>2024591190</v>
      </c>
      <c r="B757" t="s">
        <v>656</v>
      </c>
      <c r="C757" t="s">
        <v>657</v>
      </c>
      <c r="D757" s="5" t="str">
        <f t="shared" si="37"/>
        <v>REID-KAPLAN MAZILYN</v>
      </c>
      <c r="E757" t="s">
        <v>195</v>
      </c>
      <c r="F757" t="s">
        <v>378</v>
      </c>
      <c r="G757" t="s">
        <v>379</v>
      </c>
      <c r="H757">
        <v>17425766</v>
      </c>
      <c r="I757" t="s">
        <v>357</v>
      </c>
      <c r="J757" t="s">
        <v>358</v>
      </c>
      <c r="K757" t="str">
        <f t="shared" si="39"/>
        <v>CAROL FOLEY</v>
      </c>
      <c r="L757" t="s">
        <v>57</v>
      </c>
      <c r="M757" s="1">
        <v>45536</v>
      </c>
      <c r="N757" s="1">
        <v>45992</v>
      </c>
      <c r="O757" s="2">
        <v>27.11</v>
      </c>
      <c r="P757">
        <f t="shared" si="36"/>
        <v>15</v>
      </c>
      <c r="Q757" t="s">
        <v>264</v>
      </c>
      <c r="R757" t="s">
        <v>1086</v>
      </c>
      <c r="S757" t="s">
        <v>58</v>
      </c>
      <c r="T757" s="3">
        <v>0.06</v>
      </c>
      <c r="U757" t="s">
        <v>264</v>
      </c>
      <c r="V757" t="s">
        <v>61</v>
      </c>
      <c r="W757" s="2">
        <v>0</v>
      </c>
      <c r="X757" s="2">
        <v>1.63</v>
      </c>
      <c r="Y757" s="2">
        <v>1.63</v>
      </c>
      <c r="Z757" s="5" t="s">
        <v>379</v>
      </c>
    </row>
    <row r="758" spans="1:26" x14ac:dyDescent="0.25">
      <c r="A758">
        <v>2024619102</v>
      </c>
      <c r="B758" t="s">
        <v>659</v>
      </c>
      <c r="C758" t="s">
        <v>577</v>
      </c>
      <c r="D758" s="5" t="str">
        <f t="shared" si="37"/>
        <v>BOWERS RICHARD</v>
      </c>
      <c r="E758" t="s">
        <v>195</v>
      </c>
      <c r="F758" t="s">
        <v>378</v>
      </c>
      <c r="G758" t="s">
        <v>379</v>
      </c>
      <c r="H758">
        <v>17425766</v>
      </c>
      <c r="I758" t="s">
        <v>357</v>
      </c>
      <c r="J758" t="s">
        <v>358</v>
      </c>
      <c r="K758" t="str">
        <f t="shared" si="39"/>
        <v>CAROL FOLEY</v>
      </c>
      <c r="L758" t="s">
        <v>57</v>
      </c>
      <c r="M758" s="1">
        <v>45536</v>
      </c>
      <c r="N758" s="1">
        <v>45992</v>
      </c>
      <c r="O758" s="2">
        <v>36.11</v>
      </c>
      <c r="P758">
        <f t="shared" si="36"/>
        <v>15</v>
      </c>
      <c r="Q758" t="s">
        <v>264</v>
      </c>
      <c r="R758" t="s">
        <v>1086</v>
      </c>
      <c r="S758" t="s">
        <v>58</v>
      </c>
      <c r="T758" s="3">
        <v>0.06</v>
      </c>
      <c r="U758" t="s">
        <v>264</v>
      </c>
      <c r="V758" t="s">
        <v>61</v>
      </c>
      <c r="W758" s="2">
        <v>0</v>
      </c>
      <c r="X758" s="2">
        <v>2.17</v>
      </c>
      <c r="Y758" s="2">
        <v>2.17</v>
      </c>
      <c r="Z758" s="5" t="s">
        <v>379</v>
      </c>
    </row>
    <row r="759" spans="1:26" x14ac:dyDescent="0.25">
      <c r="A759">
        <v>2024645159</v>
      </c>
      <c r="B759" t="s">
        <v>660</v>
      </c>
      <c r="C759" t="s">
        <v>661</v>
      </c>
      <c r="D759" s="5" t="str">
        <f t="shared" si="37"/>
        <v>ESPINOZA MAITRELLY</v>
      </c>
      <c r="E759" t="s">
        <v>195</v>
      </c>
      <c r="F759" t="s">
        <v>378</v>
      </c>
      <c r="G759" t="s">
        <v>379</v>
      </c>
      <c r="H759">
        <v>17425766</v>
      </c>
      <c r="I759" t="s">
        <v>357</v>
      </c>
      <c r="J759" t="s">
        <v>358</v>
      </c>
      <c r="K759" t="str">
        <f t="shared" si="39"/>
        <v>CAROL FOLEY</v>
      </c>
      <c r="L759" t="s">
        <v>57</v>
      </c>
      <c r="M759" s="1">
        <v>45536</v>
      </c>
      <c r="N759" s="1">
        <v>45992</v>
      </c>
      <c r="O759" s="2">
        <v>44.98</v>
      </c>
      <c r="P759">
        <f t="shared" si="36"/>
        <v>15</v>
      </c>
      <c r="Q759" t="s">
        <v>264</v>
      </c>
      <c r="R759" t="s">
        <v>1086</v>
      </c>
      <c r="S759" t="s">
        <v>58</v>
      </c>
      <c r="T759" s="3">
        <v>0.06</v>
      </c>
      <c r="U759" t="s">
        <v>264</v>
      </c>
      <c r="V759" t="s">
        <v>61</v>
      </c>
      <c r="W759" s="2">
        <v>0</v>
      </c>
      <c r="X759" s="2">
        <v>2.7</v>
      </c>
      <c r="Y759" s="2">
        <v>2.7</v>
      </c>
      <c r="Z759" s="5" t="s">
        <v>379</v>
      </c>
    </row>
    <row r="760" spans="1:26" x14ac:dyDescent="0.25">
      <c r="A760">
        <v>2024307282</v>
      </c>
      <c r="B760" t="s">
        <v>838</v>
      </c>
      <c r="C760" t="s">
        <v>839</v>
      </c>
      <c r="D760" s="5" t="str">
        <f t="shared" si="37"/>
        <v>GAGLIARDOTTO DOMINIC</v>
      </c>
      <c r="E760" t="s">
        <v>69</v>
      </c>
      <c r="F760" t="s">
        <v>378</v>
      </c>
      <c r="G760" t="s">
        <v>379</v>
      </c>
      <c r="H760">
        <v>17437820</v>
      </c>
      <c r="I760" t="s">
        <v>169</v>
      </c>
      <c r="J760" t="s">
        <v>170</v>
      </c>
      <c r="K760" t="str">
        <f t="shared" si="39"/>
        <v>COLLEEN FINNIGAN</v>
      </c>
      <c r="L760" t="s">
        <v>57</v>
      </c>
      <c r="M760" s="1">
        <v>45513</v>
      </c>
      <c r="N760" s="1">
        <v>45970</v>
      </c>
      <c r="O760" s="2">
        <v>-35.4</v>
      </c>
      <c r="P760">
        <f t="shared" si="36"/>
        <v>15</v>
      </c>
      <c r="Q760" t="s">
        <v>264</v>
      </c>
      <c r="R760" t="s">
        <v>1086</v>
      </c>
      <c r="S760" t="s">
        <v>58</v>
      </c>
      <c r="T760" s="3">
        <v>0.06</v>
      </c>
      <c r="U760" t="s">
        <v>264</v>
      </c>
      <c r="V760" t="s">
        <v>61</v>
      </c>
      <c r="W760" s="2">
        <v>0</v>
      </c>
      <c r="X760" s="2">
        <v>-2.12</v>
      </c>
      <c r="Y760" s="2">
        <v>-2.12</v>
      </c>
      <c r="Z760" s="5" t="s">
        <v>379</v>
      </c>
    </row>
    <row r="761" spans="1:26" x14ac:dyDescent="0.25">
      <c r="A761">
        <v>2024136819</v>
      </c>
      <c r="B761" t="s">
        <v>283</v>
      </c>
      <c r="C761" t="s">
        <v>284</v>
      </c>
      <c r="D761" s="5" t="str">
        <f t="shared" si="37"/>
        <v>SALGADO CARLOS</v>
      </c>
      <c r="E761" t="s">
        <v>52</v>
      </c>
      <c r="F761" t="s">
        <v>378</v>
      </c>
      <c r="G761" t="s">
        <v>379</v>
      </c>
      <c r="H761">
        <v>8977234</v>
      </c>
      <c r="I761" t="s">
        <v>55</v>
      </c>
      <c r="J761" t="s">
        <v>56</v>
      </c>
      <c r="K761" t="str">
        <f t="shared" si="39"/>
        <v>RYAN CALTAGIRONE</v>
      </c>
      <c r="L761" t="s">
        <v>57</v>
      </c>
      <c r="M761" s="1">
        <v>45536</v>
      </c>
      <c r="N761" s="1">
        <v>45992</v>
      </c>
      <c r="O761" s="2">
        <v>105.67</v>
      </c>
      <c r="P761">
        <f t="shared" si="36"/>
        <v>15</v>
      </c>
      <c r="Q761" t="s">
        <v>264</v>
      </c>
      <c r="R761" t="s">
        <v>1086</v>
      </c>
      <c r="S761" t="s">
        <v>58</v>
      </c>
      <c r="T761" s="3">
        <v>0.06</v>
      </c>
      <c r="U761" t="s">
        <v>264</v>
      </c>
      <c r="V761" t="s">
        <v>61</v>
      </c>
      <c r="W761" s="2">
        <v>0</v>
      </c>
      <c r="X761" s="2">
        <v>6.34</v>
      </c>
      <c r="Y761" s="2">
        <v>6.34</v>
      </c>
      <c r="Z761" s="5" t="s">
        <v>379</v>
      </c>
    </row>
    <row r="762" spans="1:26" x14ac:dyDescent="0.25">
      <c r="A762">
        <v>2024460937</v>
      </c>
      <c r="B762" t="s">
        <v>756</v>
      </c>
      <c r="C762" t="s">
        <v>757</v>
      </c>
      <c r="D762" s="5" t="str">
        <f t="shared" si="37"/>
        <v>CULLIMORE SHAYLEE</v>
      </c>
      <c r="E762" t="s">
        <v>636</v>
      </c>
      <c r="F762" t="s">
        <v>378</v>
      </c>
      <c r="G762" t="s">
        <v>379</v>
      </c>
      <c r="H762">
        <v>8977234</v>
      </c>
      <c r="I762" t="s">
        <v>55</v>
      </c>
      <c r="J762" t="s">
        <v>56</v>
      </c>
      <c r="K762" t="str">
        <f t="shared" si="39"/>
        <v>RYAN CALTAGIRONE</v>
      </c>
      <c r="L762" t="s">
        <v>57</v>
      </c>
      <c r="M762" s="1">
        <v>45536</v>
      </c>
      <c r="N762" s="1">
        <v>45992</v>
      </c>
      <c r="O762" s="2">
        <v>80.41</v>
      </c>
      <c r="P762">
        <f t="shared" si="36"/>
        <v>15</v>
      </c>
      <c r="Q762" t="s">
        <v>264</v>
      </c>
      <c r="R762" t="s">
        <v>1086</v>
      </c>
      <c r="S762" t="s">
        <v>58</v>
      </c>
      <c r="T762" s="3">
        <v>0.06</v>
      </c>
      <c r="U762" t="s">
        <v>264</v>
      </c>
      <c r="V762" t="s">
        <v>61</v>
      </c>
      <c r="W762" s="2">
        <v>0</v>
      </c>
      <c r="X762" s="2">
        <v>4.82</v>
      </c>
      <c r="Y762" s="2">
        <v>4.82</v>
      </c>
      <c r="Z762" s="5" t="s">
        <v>379</v>
      </c>
    </row>
    <row r="763" spans="1:26" x14ac:dyDescent="0.25">
      <c r="A763">
        <v>2024338044</v>
      </c>
      <c r="B763" t="s">
        <v>840</v>
      </c>
      <c r="C763" t="s">
        <v>115</v>
      </c>
      <c r="D763" s="5" t="str">
        <f t="shared" si="37"/>
        <v>GREEN JACOB</v>
      </c>
      <c r="E763" t="s">
        <v>195</v>
      </c>
      <c r="F763" t="s">
        <v>378</v>
      </c>
      <c r="G763" t="s">
        <v>379</v>
      </c>
      <c r="H763">
        <v>18010408</v>
      </c>
      <c r="I763" t="s">
        <v>499</v>
      </c>
      <c r="J763" t="s">
        <v>110</v>
      </c>
      <c r="K763" t="str">
        <f t="shared" si="39"/>
        <v>WILLIAM SCHAEFFER</v>
      </c>
      <c r="L763" t="s">
        <v>57</v>
      </c>
      <c r="M763" s="1">
        <v>45536</v>
      </c>
      <c r="N763" s="1">
        <v>45992</v>
      </c>
      <c r="O763" s="2">
        <v>57.29</v>
      </c>
      <c r="P763">
        <f t="shared" si="36"/>
        <v>15</v>
      </c>
      <c r="Q763" t="s">
        <v>264</v>
      </c>
      <c r="R763" t="s">
        <v>1086</v>
      </c>
      <c r="S763" t="s">
        <v>58</v>
      </c>
      <c r="T763" s="3">
        <v>0.06</v>
      </c>
      <c r="U763" t="s">
        <v>264</v>
      </c>
      <c r="V763" t="s">
        <v>61</v>
      </c>
      <c r="W763" s="2">
        <v>0</v>
      </c>
      <c r="X763" s="2">
        <v>3.44</v>
      </c>
      <c r="Y763" s="2">
        <v>3.44</v>
      </c>
      <c r="Z763" s="5" t="s">
        <v>379</v>
      </c>
    </row>
    <row r="764" spans="1:26" x14ac:dyDescent="0.25">
      <c r="A764">
        <v>2024361672</v>
      </c>
      <c r="B764" t="s">
        <v>840</v>
      </c>
      <c r="C764" t="s">
        <v>224</v>
      </c>
      <c r="D764" s="5" t="str">
        <f t="shared" si="37"/>
        <v>GREEN ANDREW</v>
      </c>
      <c r="E764" t="s">
        <v>195</v>
      </c>
      <c r="F764" t="s">
        <v>378</v>
      </c>
      <c r="G764" t="s">
        <v>379</v>
      </c>
      <c r="H764">
        <v>18010408</v>
      </c>
      <c r="I764" t="s">
        <v>499</v>
      </c>
      <c r="J764" t="s">
        <v>110</v>
      </c>
      <c r="K764" t="str">
        <f t="shared" si="39"/>
        <v>WILLIAM SCHAEFFER</v>
      </c>
      <c r="L764" t="s">
        <v>57</v>
      </c>
      <c r="M764" s="1">
        <v>45536</v>
      </c>
      <c r="N764" s="1">
        <v>45992</v>
      </c>
      <c r="O764" s="2">
        <v>57.29</v>
      </c>
      <c r="P764">
        <f t="shared" si="36"/>
        <v>15</v>
      </c>
      <c r="Q764" t="s">
        <v>264</v>
      </c>
      <c r="R764" t="s">
        <v>1086</v>
      </c>
      <c r="S764" t="s">
        <v>58</v>
      </c>
      <c r="T764" s="3">
        <v>0.06</v>
      </c>
      <c r="U764" t="s">
        <v>264</v>
      </c>
      <c r="V764" t="s">
        <v>61</v>
      </c>
      <c r="W764" s="2">
        <v>0</v>
      </c>
      <c r="X764" s="2">
        <v>3.44</v>
      </c>
      <c r="Y764" s="2">
        <v>3.44</v>
      </c>
      <c r="Z764" s="5" t="s">
        <v>379</v>
      </c>
    </row>
    <row r="765" spans="1:26" x14ac:dyDescent="0.25">
      <c r="A765">
        <v>2024361679</v>
      </c>
      <c r="B765" t="s">
        <v>841</v>
      </c>
      <c r="C765" t="s">
        <v>66</v>
      </c>
      <c r="D765" s="5" t="str">
        <f t="shared" si="37"/>
        <v>BUCHANAN MATTHEW</v>
      </c>
      <c r="E765" t="s">
        <v>195</v>
      </c>
      <c r="F765" t="s">
        <v>378</v>
      </c>
      <c r="G765" t="s">
        <v>379</v>
      </c>
      <c r="H765">
        <v>18010408</v>
      </c>
      <c r="I765" t="s">
        <v>499</v>
      </c>
      <c r="J765" t="s">
        <v>110</v>
      </c>
      <c r="K765" t="str">
        <f t="shared" si="39"/>
        <v>WILLIAM SCHAEFFER</v>
      </c>
      <c r="L765" t="s">
        <v>57</v>
      </c>
      <c r="M765" s="1">
        <v>45536</v>
      </c>
      <c r="N765" s="1">
        <v>45992</v>
      </c>
      <c r="O765" s="2">
        <v>57.29</v>
      </c>
      <c r="P765">
        <f t="shared" si="36"/>
        <v>15</v>
      </c>
      <c r="Q765" t="s">
        <v>264</v>
      </c>
      <c r="R765" t="s">
        <v>1086</v>
      </c>
      <c r="S765" t="s">
        <v>58</v>
      </c>
      <c r="T765" s="3">
        <v>0.06</v>
      </c>
      <c r="U765" t="s">
        <v>264</v>
      </c>
      <c r="V765" t="s">
        <v>61</v>
      </c>
      <c r="W765" s="2">
        <v>0</v>
      </c>
      <c r="X765" s="2">
        <v>3.44</v>
      </c>
      <c r="Y765" s="2">
        <v>3.44</v>
      </c>
      <c r="Z765" s="5" t="s">
        <v>379</v>
      </c>
    </row>
    <row r="766" spans="1:26" x14ac:dyDescent="0.25">
      <c r="A766">
        <v>2024361682</v>
      </c>
      <c r="B766" t="s">
        <v>842</v>
      </c>
      <c r="C766" t="s">
        <v>843</v>
      </c>
      <c r="D766" s="5" t="str">
        <f t="shared" si="37"/>
        <v>BLACK HUNTER</v>
      </c>
      <c r="E766" t="s">
        <v>195</v>
      </c>
      <c r="F766" t="s">
        <v>378</v>
      </c>
      <c r="G766" t="s">
        <v>379</v>
      </c>
      <c r="H766">
        <v>18010408</v>
      </c>
      <c r="I766" t="s">
        <v>499</v>
      </c>
      <c r="J766" t="s">
        <v>110</v>
      </c>
      <c r="K766" t="str">
        <f t="shared" si="39"/>
        <v>WILLIAM SCHAEFFER</v>
      </c>
      <c r="L766" t="s">
        <v>57</v>
      </c>
      <c r="M766" s="1">
        <v>45536</v>
      </c>
      <c r="N766" s="1">
        <v>45992</v>
      </c>
      <c r="O766" s="2">
        <v>57.29</v>
      </c>
      <c r="P766">
        <f t="shared" si="36"/>
        <v>15</v>
      </c>
      <c r="Q766" t="s">
        <v>264</v>
      </c>
      <c r="R766" t="s">
        <v>1086</v>
      </c>
      <c r="S766" t="s">
        <v>58</v>
      </c>
      <c r="T766" s="3">
        <v>0.06</v>
      </c>
      <c r="U766" t="s">
        <v>264</v>
      </c>
      <c r="V766" t="s">
        <v>61</v>
      </c>
      <c r="W766" s="2">
        <v>0</v>
      </c>
      <c r="X766" s="2">
        <v>3.44</v>
      </c>
      <c r="Y766" s="2">
        <v>3.44</v>
      </c>
      <c r="Z766" s="5" t="s">
        <v>379</v>
      </c>
    </row>
    <row r="767" spans="1:26" x14ac:dyDescent="0.25">
      <c r="A767">
        <v>2024361690</v>
      </c>
      <c r="B767" t="s">
        <v>840</v>
      </c>
      <c r="C767" t="s">
        <v>66</v>
      </c>
      <c r="D767" s="5" t="str">
        <f t="shared" si="37"/>
        <v>GREEN MATTHEW</v>
      </c>
      <c r="E767" t="s">
        <v>195</v>
      </c>
      <c r="F767" t="s">
        <v>378</v>
      </c>
      <c r="G767" t="s">
        <v>379</v>
      </c>
      <c r="H767">
        <v>18010408</v>
      </c>
      <c r="I767" t="s">
        <v>499</v>
      </c>
      <c r="J767" t="s">
        <v>110</v>
      </c>
      <c r="K767" t="str">
        <f t="shared" si="39"/>
        <v>WILLIAM SCHAEFFER</v>
      </c>
      <c r="L767" t="s">
        <v>57</v>
      </c>
      <c r="M767" s="1">
        <v>45536</v>
      </c>
      <c r="N767" s="1">
        <v>45992</v>
      </c>
      <c r="O767" s="2">
        <v>100.25</v>
      </c>
      <c r="P767">
        <f t="shared" si="36"/>
        <v>15</v>
      </c>
      <c r="Q767" t="s">
        <v>264</v>
      </c>
      <c r="R767" t="s">
        <v>1086</v>
      </c>
      <c r="S767" t="s">
        <v>58</v>
      </c>
      <c r="T767" s="3">
        <v>0.06</v>
      </c>
      <c r="U767" t="s">
        <v>264</v>
      </c>
      <c r="V767" t="s">
        <v>61</v>
      </c>
      <c r="W767" s="2">
        <v>0</v>
      </c>
      <c r="X767" s="2">
        <v>6.02</v>
      </c>
      <c r="Y767" s="2">
        <v>6.02</v>
      </c>
      <c r="Z767" s="5" t="s">
        <v>379</v>
      </c>
    </row>
    <row r="768" spans="1:26" x14ac:dyDescent="0.25">
      <c r="A768">
        <v>2023157515</v>
      </c>
      <c r="B768" t="s">
        <v>645</v>
      </c>
      <c r="C768" t="s">
        <v>268</v>
      </c>
      <c r="D768" s="5" t="str">
        <f t="shared" si="37"/>
        <v>JAMESON JULIE</v>
      </c>
      <c r="E768" t="s">
        <v>195</v>
      </c>
      <c r="F768" t="s">
        <v>378</v>
      </c>
      <c r="G768" t="s">
        <v>379</v>
      </c>
      <c r="H768">
        <v>19278370</v>
      </c>
      <c r="I768" t="s">
        <v>321</v>
      </c>
      <c r="J768" t="s">
        <v>322</v>
      </c>
      <c r="K768" t="str">
        <f t="shared" ref="K768:K799" si="40">CONCATENATE(J768, " ",I768)</f>
        <v>ANNE MARIE KOZACHECK</v>
      </c>
      <c r="L768" t="s">
        <v>57</v>
      </c>
      <c r="M768" s="1">
        <v>45444</v>
      </c>
      <c r="N768" s="1">
        <v>45992</v>
      </c>
      <c r="O768" s="2">
        <v>35.979999999999997</v>
      </c>
      <c r="P768">
        <f t="shared" si="36"/>
        <v>18</v>
      </c>
      <c r="Q768" t="s">
        <v>264</v>
      </c>
      <c r="R768" t="s">
        <v>1086</v>
      </c>
      <c r="S768" t="s">
        <v>58</v>
      </c>
      <c r="T768" s="3">
        <v>0.06</v>
      </c>
      <c r="U768" t="s">
        <v>264</v>
      </c>
      <c r="V768" t="s">
        <v>61</v>
      </c>
      <c r="W768" s="2">
        <v>0</v>
      </c>
      <c r="X768" s="2">
        <v>2.16</v>
      </c>
      <c r="Y768" s="2">
        <v>2.16</v>
      </c>
      <c r="Z768" s="5" t="s">
        <v>379</v>
      </c>
    </row>
    <row r="769" spans="1:26" x14ac:dyDescent="0.25">
      <c r="A769">
        <v>2023184836</v>
      </c>
      <c r="B769" t="s">
        <v>646</v>
      </c>
      <c r="C769" t="s">
        <v>647</v>
      </c>
      <c r="D769" s="5" t="str">
        <f t="shared" si="37"/>
        <v>STINSON EVAN</v>
      </c>
      <c r="E769" t="s">
        <v>195</v>
      </c>
      <c r="F769" t="s">
        <v>378</v>
      </c>
      <c r="G769" t="s">
        <v>379</v>
      </c>
      <c r="H769">
        <v>19278370</v>
      </c>
      <c r="I769" t="s">
        <v>321</v>
      </c>
      <c r="J769" t="s">
        <v>322</v>
      </c>
      <c r="K769" t="str">
        <f t="shared" si="40"/>
        <v>ANNE MARIE KOZACHECK</v>
      </c>
      <c r="L769" t="s">
        <v>57</v>
      </c>
      <c r="M769" s="1">
        <v>45444</v>
      </c>
      <c r="N769" s="1">
        <v>45992</v>
      </c>
      <c r="O769" s="2">
        <v>35.979999999999997</v>
      </c>
      <c r="P769">
        <f t="shared" si="36"/>
        <v>18</v>
      </c>
      <c r="Q769" t="s">
        <v>264</v>
      </c>
      <c r="R769" t="s">
        <v>1086</v>
      </c>
      <c r="S769" t="s">
        <v>58</v>
      </c>
      <c r="T769" s="3">
        <v>0.06</v>
      </c>
      <c r="U769" t="s">
        <v>264</v>
      </c>
      <c r="V769" t="s">
        <v>61</v>
      </c>
      <c r="W769" s="2">
        <v>0</v>
      </c>
      <c r="X769" s="2">
        <v>2.16</v>
      </c>
      <c r="Y769" s="2">
        <v>2.16</v>
      </c>
      <c r="Z769" s="5" t="s">
        <v>379</v>
      </c>
    </row>
    <row r="770" spans="1:26" x14ac:dyDescent="0.25">
      <c r="A770">
        <v>2023105851</v>
      </c>
      <c r="B770" t="s">
        <v>493</v>
      </c>
      <c r="C770" t="s">
        <v>494</v>
      </c>
      <c r="D770" s="5" t="str">
        <f t="shared" si="37"/>
        <v>BYRSE EBONEY</v>
      </c>
      <c r="E770" t="s">
        <v>78</v>
      </c>
      <c r="F770" t="s">
        <v>378</v>
      </c>
      <c r="G770" t="s">
        <v>379</v>
      </c>
      <c r="H770" t="s">
        <v>1084</v>
      </c>
      <c r="I770" t="s">
        <v>357</v>
      </c>
      <c r="J770" t="s">
        <v>358</v>
      </c>
      <c r="K770" t="str">
        <f t="shared" si="40"/>
        <v>CAROL FOLEY</v>
      </c>
      <c r="L770" t="s">
        <v>57</v>
      </c>
      <c r="M770" s="1">
        <v>45444</v>
      </c>
      <c r="N770" s="1">
        <v>45992</v>
      </c>
      <c r="O770" s="2">
        <v>41.66</v>
      </c>
      <c r="P770">
        <f t="shared" ref="P770:P833" si="41">DATEDIF(M770,N770,"M")</f>
        <v>18</v>
      </c>
      <c r="Q770" t="s">
        <v>264</v>
      </c>
      <c r="R770" t="s">
        <v>1086</v>
      </c>
      <c r="S770" t="s">
        <v>58</v>
      </c>
      <c r="T770" s="3">
        <v>0.06</v>
      </c>
      <c r="U770" t="s">
        <v>264</v>
      </c>
      <c r="V770" t="s">
        <v>61</v>
      </c>
      <c r="W770" s="2">
        <v>0</v>
      </c>
      <c r="X770" s="2">
        <v>2.5</v>
      </c>
      <c r="Y770" s="2">
        <v>2.5</v>
      </c>
      <c r="Z770" s="5" t="s">
        <v>379</v>
      </c>
    </row>
    <row r="771" spans="1:26" x14ac:dyDescent="0.25">
      <c r="A771">
        <v>2023252074</v>
      </c>
      <c r="B771" t="s">
        <v>495</v>
      </c>
      <c r="C771" t="s">
        <v>496</v>
      </c>
      <c r="D771" s="5" t="str">
        <f t="shared" ref="D771:D834" si="42">CONCATENATE(B771, " ",C771)</f>
        <v>STOFKA TODD</v>
      </c>
      <c r="E771" t="s">
        <v>195</v>
      </c>
      <c r="F771" t="s">
        <v>378</v>
      </c>
      <c r="G771" t="s">
        <v>379</v>
      </c>
      <c r="H771" t="s">
        <v>1084</v>
      </c>
      <c r="I771" t="s">
        <v>357</v>
      </c>
      <c r="J771" t="s">
        <v>358</v>
      </c>
      <c r="K771" t="str">
        <f t="shared" si="40"/>
        <v>CAROL FOLEY</v>
      </c>
      <c r="L771" t="s">
        <v>57</v>
      </c>
      <c r="M771" s="1">
        <v>45444</v>
      </c>
      <c r="N771" s="1">
        <v>45992</v>
      </c>
      <c r="O771" s="2">
        <v>82.25</v>
      </c>
      <c r="P771">
        <f t="shared" si="41"/>
        <v>18</v>
      </c>
      <c r="Q771" t="s">
        <v>264</v>
      </c>
      <c r="R771" t="s">
        <v>1086</v>
      </c>
      <c r="S771" t="s">
        <v>58</v>
      </c>
      <c r="T771" s="3">
        <v>0.06</v>
      </c>
      <c r="U771" t="s">
        <v>264</v>
      </c>
      <c r="V771" t="s">
        <v>61</v>
      </c>
      <c r="W771" s="2">
        <v>0</v>
      </c>
      <c r="X771" s="2">
        <v>4.9400000000000004</v>
      </c>
      <c r="Y771" s="2">
        <v>4.9400000000000004</v>
      </c>
      <c r="Z771" s="5" t="s">
        <v>379</v>
      </c>
    </row>
    <row r="772" spans="1:26" x14ac:dyDescent="0.25">
      <c r="A772">
        <v>2023231878</v>
      </c>
      <c r="B772" t="s">
        <v>836</v>
      </c>
      <c r="C772" t="s">
        <v>837</v>
      </c>
      <c r="D772" s="5" t="str">
        <f t="shared" si="42"/>
        <v>BEJJANI ADELYNE</v>
      </c>
      <c r="E772" t="s">
        <v>195</v>
      </c>
      <c r="F772" t="s">
        <v>378</v>
      </c>
      <c r="G772" t="s">
        <v>379</v>
      </c>
      <c r="H772">
        <v>17528908</v>
      </c>
      <c r="I772" t="s">
        <v>325</v>
      </c>
      <c r="J772" t="s">
        <v>326</v>
      </c>
      <c r="K772" t="str">
        <f t="shared" si="40"/>
        <v>DEBORAH INSKIPT</v>
      </c>
      <c r="L772" t="s">
        <v>57</v>
      </c>
      <c r="M772" s="1">
        <v>45444</v>
      </c>
      <c r="N772" s="1">
        <v>45992</v>
      </c>
      <c r="O772" s="2">
        <v>49.12</v>
      </c>
      <c r="P772">
        <f t="shared" si="41"/>
        <v>18</v>
      </c>
      <c r="Q772" t="s">
        <v>264</v>
      </c>
      <c r="R772" t="s">
        <v>1086</v>
      </c>
      <c r="S772" t="s">
        <v>58</v>
      </c>
      <c r="T772" s="3">
        <v>0.06</v>
      </c>
      <c r="U772" t="s">
        <v>264</v>
      </c>
      <c r="V772" t="s">
        <v>61</v>
      </c>
      <c r="W772" s="2">
        <v>0</v>
      </c>
      <c r="X772" s="2">
        <v>2.95</v>
      </c>
      <c r="Y772" s="2">
        <v>2.95</v>
      </c>
      <c r="Z772" s="5" t="s">
        <v>379</v>
      </c>
    </row>
    <row r="773" spans="1:26" x14ac:dyDescent="0.25">
      <c r="A773">
        <v>2022747854</v>
      </c>
      <c r="B773" t="s">
        <v>640</v>
      </c>
      <c r="C773" t="s">
        <v>617</v>
      </c>
      <c r="D773" s="5" t="str">
        <f t="shared" si="42"/>
        <v>SOLIVAN NANCY</v>
      </c>
      <c r="E773" t="s">
        <v>195</v>
      </c>
      <c r="F773" t="s">
        <v>378</v>
      </c>
      <c r="G773" t="s">
        <v>379</v>
      </c>
      <c r="H773">
        <v>18781057</v>
      </c>
      <c r="I773" t="s">
        <v>349</v>
      </c>
      <c r="J773" t="s">
        <v>312</v>
      </c>
      <c r="K773" t="str">
        <f t="shared" si="40"/>
        <v>JOHN ROKEN</v>
      </c>
      <c r="L773" t="s">
        <v>57</v>
      </c>
      <c r="M773" s="1">
        <v>45413</v>
      </c>
      <c r="N773" s="1">
        <v>45962</v>
      </c>
      <c r="O773" s="2">
        <v>36.11</v>
      </c>
      <c r="P773">
        <f t="shared" si="41"/>
        <v>18</v>
      </c>
      <c r="Q773" t="s">
        <v>264</v>
      </c>
      <c r="R773" t="s">
        <v>1086</v>
      </c>
      <c r="S773" t="s">
        <v>58</v>
      </c>
      <c r="T773" s="3">
        <v>0.06</v>
      </c>
      <c r="U773" t="s">
        <v>264</v>
      </c>
      <c r="V773" t="s">
        <v>61</v>
      </c>
      <c r="W773" s="2">
        <v>0</v>
      </c>
      <c r="X773" s="2">
        <v>2.17</v>
      </c>
      <c r="Y773" s="2">
        <v>2.17</v>
      </c>
      <c r="Z773" s="5" t="s">
        <v>379</v>
      </c>
    </row>
    <row r="774" spans="1:26" x14ac:dyDescent="0.25">
      <c r="A774">
        <v>2022444747</v>
      </c>
      <c r="B774" t="s">
        <v>834</v>
      </c>
      <c r="C774" t="s">
        <v>835</v>
      </c>
      <c r="D774" s="5" t="str">
        <f t="shared" si="42"/>
        <v>DESOUSA KYLE</v>
      </c>
      <c r="E774" t="s">
        <v>195</v>
      </c>
      <c r="F774" t="s">
        <v>378</v>
      </c>
      <c r="G774" t="s">
        <v>379</v>
      </c>
      <c r="H774">
        <v>19278370</v>
      </c>
      <c r="I774" t="s">
        <v>321</v>
      </c>
      <c r="J774" t="s">
        <v>322</v>
      </c>
      <c r="K774" t="str">
        <f t="shared" si="40"/>
        <v>ANNE MARIE KOZACHECK</v>
      </c>
      <c r="L774" t="s">
        <v>57</v>
      </c>
      <c r="M774" s="1">
        <v>45383</v>
      </c>
      <c r="N774" s="1">
        <v>45992</v>
      </c>
      <c r="O774" s="2">
        <v>35.979999999999997</v>
      </c>
      <c r="P774">
        <f t="shared" si="41"/>
        <v>20</v>
      </c>
      <c r="Q774" t="s">
        <v>264</v>
      </c>
      <c r="R774" t="s">
        <v>1086</v>
      </c>
      <c r="S774" t="s">
        <v>58</v>
      </c>
      <c r="T774" s="3">
        <v>0.06</v>
      </c>
      <c r="U774" t="s">
        <v>264</v>
      </c>
      <c r="V774" t="s">
        <v>61</v>
      </c>
      <c r="W774" s="2">
        <v>0</v>
      </c>
      <c r="X774" s="2">
        <v>2.16</v>
      </c>
      <c r="Y774" s="2">
        <v>2.16</v>
      </c>
      <c r="Z774" s="5" t="s">
        <v>379</v>
      </c>
    </row>
    <row r="775" spans="1:26" x14ac:dyDescent="0.25">
      <c r="A775">
        <v>2022351918</v>
      </c>
      <c r="B775" t="s">
        <v>752</v>
      </c>
      <c r="C775" t="s">
        <v>106</v>
      </c>
      <c r="D775" s="5" t="str">
        <f t="shared" si="42"/>
        <v>FARNAM ETHAN</v>
      </c>
      <c r="E775" t="s">
        <v>69</v>
      </c>
      <c r="F775" t="s">
        <v>378</v>
      </c>
      <c r="G775" t="s">
        <v>379</v>
      </c>
      <c r="H775">
        <v>8977234</v>
      </c>
      <c r="I775" t="s">
        <v>55</v>
      </c>
      <c r="J775" t="s">
        <v>56</v>
      </c>
      <c r="K775" t="str">
        <f t="shared" si="40"/>
        <v>RYAN CALTAGIRONE</v>
      </c>
      <c r="L775" t="s">
        <v>57</v>
      </c>
      <c r="M775" s="1">
        <v>45383</v>
      </c>
      <c r="N775" s="1">
        <v>45992</v>
      </c>
      <c r="O775" s="2">
        <v>18.32</v>
      </c>
      <c r="P775">
        <f t="shared" si="41"/>
        <v>20</v>
      </c>
      <c r="Q775" t="s">
        <v>264</v>
      </c>
      <c r="R775" t="s">
        <v>1086</v>
      </c>
      <c r="S775" t="s">
        <v>58</v>
      </c>
      <c r="T775" s="3">
        <v>0.06</v>
      </c>
      <c r="U775" t="s">
        <v>264</v>
      </c>
      <c r="V775" t="s">
        <v>61</v>
      </c>
      <c r="W775" s="2">
        <v>0</v>
      </c>
      <c r="X775" s="2">
        <v>1.1000000000000001</v>
      </c>
      <c r="Y775" s="2">
        <v>1.1000000000000001</v>
      </c>
      <c r="Z775" s="5" t="s">
        <v>379</v>
      </c>
    </row>
    <row r="776" spans="1:26" x14ac:dyDescent="0.25">
      <c r="A776">
        <v>2022371780</v>
      </c>
      <c r="B776" t="s">
        <v>672</v>
      </c>
      <c r="C776" t="s">
        <v>524</v>
      </c>
      <c r="D776" s="5" t="str">
        <f t="shared" si="42"/>
        <v>MURPHY SHAWN</v>
      </c>
      <c r="E776" t="s">
        <v>52</v>
      </c>
      <c r="F776" t="s">
        <v>378</v>
      </c>
      <c r="G776" t="s">
        <v>379</v>
      </c>
      <c r="H776">
        <v>8977234</v>
      </c>
      <c r="I776" t="s">
        <v>55</v>
      </c>
      <c r="J776" t="s">
        <v>56</v>
      </c>
      <c r="K776" t="str">
        <f t="shared" si="40"/>
        <v>RYAN CALTAGIRONE</v>
      </c>
      <c r="L776" t="s">
        <v>57</v>
      </c>
      <c r="M776" s="1">
        <v>45383</v>
      </c>
      <c r="N776" s="1">
        <v>45992</v>
      </c>
      <c r="O776" s="2">
        <v>51.19</v>
      </c>
      <c r="P776">
        <f t="shared" si="41"/>
        <v>20</v>
      </c>
      <c r="Q776" t="s">
        <v>264</v>
      </c>
      <c r="R776" t="s">
        <v>1086</v>
      </c>
      <c r="S776" t="s">
        <v>58</v>
      </c>
      <c r="T776" s="3">
        <v>0.06</v>
      </c>
      <c r="U776" t="s">
        <v>264</v>
      </c>
      <c r="V776" t="s">
        <v>61</v>
      </c>
      <c r="W776" s="2">
        <v>0</v>
      </c>
      <c r="X776" s="2">
        <v>3.07</v>
      </c>
      <c r="Y776" s="2">
        <v>3.07</v>
      </c>
      <c r="Z776" s="5" t="s">
        <v>379</v>
      </c>
    </row>
    <row r="777" spans="1:26" x14ac:dyDescent="0.25">
      <c r="A777">
        <v>2021427320</v>
      </c>
      <c r="B777" t="s">
        <v>575</v>
      </c>
      <c r="C777" t="s">
        <v>103</v>
      </c>
      <c r="D777" s="5" t="str">
        <f t="shared" si="42"/>
        <v>WEBB THOMAS</v>
      </c>
      <c r="E777" t="s">
        <v>261</v>
      </c>
      <c r="F777" t="s">
        <v>378</v>
      </c>
      <c r="G777" t="s">
        <v>379</v>
      </c>
      <c r="H777">
        <v>8977234</v>
      </c>
      <c r="I777" t="s">
        <v>55</v>
      </c>
      <c r="J777" t="s">
        <v>56</v>
      </c>
      <c r="K777" t="str">
        <f t="shared" si="40"/>
        <v>RYAN CALTAGIRONE</v>
      </c>
      <c r="L777" t="s">
        <v>57</v>
      </c>
      <c r="M777" s="1">
        <v>45351</v>
      </c>
      <c r="N777" s="1">
        <v>45990</v>
      </c>
      <c r="O777" s="2">
        <v>99.77</v>
      </c>
      <c r="P777">
        <f t="shared" si="41"/>
        <v>21</v>
      </c>
      <c r="Q777" t="s">
        <v>264</v>
      </c>
      <c r="R777" t="s">
        <v>1086</v>
      </c>
      <c r="S777" t="s">
        <v>58</v>
      </c>
      <c r="T777" s="3">
        <v>0.06</v>
      </c>
      <c r="U777" t="s">
        <v>264</v>
      </c>
      <c r="V777" t="s">
        <v>61</v>
      </c>
      <c r="W777" s="2">
        <v>0</v>
      </c>
      <c r="X777" s="2">
        <v>5.99</v>
      </c>
      <c r="Y777" s="2">
        <v>5.99</v>
      </c>
      <c r="Z777" s="5" t="s">
        <v>379</v>
      </c>
    </row>
    <row r="778" spans="1:26" x14ac:dyDescent="0.25">
      <c r="A778">
        <v>2021544238</v>
      </c>
      <c r="B778" t="s">
        <v>832</v>
      </c>
      <c r="C778" t="s">
        <v>833</v>
      </c>
      <c r="D778" s="5" t="str">
        <f t="shared" si="42"/>
        <v>LEVY SUZANNE</v>
      </c>
      <c r="E778" t="s">
        <v>195</v>
      </c>
      <c r="F778" t="s">
        <v>378</v>
      </c>
      <c r="G778" t="s">
        <v>379</v>
      </c>
      <c r="H778">
        <v>19278370</v>
      </c>
      <c r="I778" t="s">
        <v>321</v>
      </c>
      <c r="J778" t="s">
        <v>322</v>
      </c>
      <c r="K778" t="str">
        <f t="shared" si="40"/>
        <v>ANNE MARIE KOZACHECK</v>
      </c>
      <c r="L778" t="s">
        <v>57</v>
      </c>
      <c r="M778" s="1">
        <v>45317</v>
      </c>
      <c r="N778" s="1">
        <v>45987</v>
      </c>
      <c r="O778" s="2">
        <v>39.979999999999997</v>
      </c>
      <c r="P778">
        <f t="shared" si="41"/>
        <v>22</v>
      </c>
      <c r="Q778" t="s">
        <v>264</v>
      </c>
      <c r="R778" t="s">
        <v>1086</v>
      </c>
      <c r="S778" t="s">
        <v>58</v>
      </c>
      <c r="T778" s="3">
        <v>0.06</v>
      </c>
      <c r="U778" t="s">
        <v>264</v>
      </c>
      <c r="V778" t="s">
        <v>61</v>
      </c>
      <c r="W778" s="2">
        <v>0</v>
      </c>
      <c r="X778" s="2">
        <v>2.4</v>
      </c>
      <c r="Y778" s="2">
        <v>2.4</v>
      </c>
      <c r="Z778" s="5" t="s">
        <v>379</v>
      </c>
    </row>
    <row r="779" spans="1:26" x14ac:dyDescent="0.25">
      <c r="A779">
        <v>2019934799</v>
      </c>
      <c r="B779" t="s">
        <v>576</v>
      </c>
      <c r="C779" t="s">
        <v>385</v>
      </c>
      <c r="D779" s="5" t="str">
        <f t="shared" si="42"/>
        <v>JACKSON PATRICIA</v>
      </c>
      <c r="E779" t="s">
        <v>742</v>
      </c>
      <c r="F779" t="s">
        <v>378</v>
      </c>
      <c r="G779" t="s">
        <v>379</v>
      </c>
      <c r="H779">
        <v>8307933</v>
      </c>
      <c r="I779" t="s">
        <v>560</v>
      </c>
      <c r="J779" t="s">
        <v>336</v>
      </c>
      <c r="K779" t="str">
        <f t="shared" si="40"/>
        <v>GREGORY TEIPEL</v>
      </c>
      <c r="L779" t="s">
        <v>57</v>
      </c>
      <c r="M779" s="1">
        <v>45170</v>
      </c>
      <c r="N779" s="1">
        <v>45992</v>
      </c>
      <c r="O779" s="2">
        <v>40.090000000000003</v>
      </c>
      <c r="P779">
        <f t="shared" si="41"/>
        <v>27</v>
      </c>
      <c r="Q779" t="s">
        <v>264</v>
      </c>
      <c r="R779" t="s">
        <v>1086</v>
      </c>
      <c r="S779" t="s">
        <v>58</v>
      </c>
      <c r="T779" s="3">
        <v>0.06</v>
      </c>
      <c r="U779" t="s">
        <v>264</v>
      </c>
      <c r="V779" t="s">
        <v>61</v>
      </c>
      <c r="W779" s="2">
        <v>0</v>
      </c>
      <c r="X779" s="2">
        <v>2.41</v>
      </c>
      <c r="Y779" s="2">
        <v>2.41</v>
      </c>
      <c r="Z779" s="5" t="s">
        <v>379</v>
      </c>
    </row>
    <row r="780" spans="1:26" x14ac:dyDescent="0.25">
      <c r="A780">
        <v>2018749140</v>
      </c>
      <c r="B780" t="s">
        <v>825</v>
      </c>
      <c r="C780" t="s">
        <v>826</v>
      </c>
      <c r="D780" s="5" t="str">
        <f t="shared" si="42"/>
        <v>SPIKER LANCELOT</v>
      </c>
      <c r="E780" t="s">
        <v>195</v>
      </c>
      <c r="F780" t="s">
        <v>378</v>
      </c>
      <c r="G780" t="s">
        <v>379</v>
      </c>
      <c r="H780">
        <v>15278437</v>
      </c>
      <c r="I780" t="s">
        <v>313</v>
      </c>
      <c r="J780" t="s">
        <v>314</v>
      </c>
      <c r="K780" t="str">
        <f t="shared" si="40"/>
        <v>JASON HOFFMANN</v>
      </c>
      <c r="L780" t="s">
        <v>57</v>
      </c>
      <c r="M780" s="1">
        <v>45078</v>
      </c>
      <c r="N780" s="1">
        <v>45992</v>
      </c>
      <c r="O780" s="2">
        <v>35.979999999999997</v>
      </c>
      <c r="P780">
        <f t="shared" si="41"/>
        <v>30</v>
      </c>
      <c r="Q780" t="s">
        <v>264</v>
      </c>
      <c r="R780" t="s">
        <v>1086</v>
      </c>
      <c r="S780" t="s">
        <v>58</v>
      </c>
      <c r="T780" s="3">
        <v>0.06</v>
      </c>
      <c r="U780" t="s">
        <v>264</v>
      </c>
      <c r="V780" t="s">
        <v>61</v>
      </c>
      <c r="W780" s="2">
        <v>0</v>
      </c>
      <c r="X780" s="2">
        <v>2.16</v>
      </c>
      <c r="Y780" s="2">
        <v>2.16</v>
      </c>
      <c r="Z780" s="5" t="s">
        <v>379</v>
      </c>
    </row>
    <row r="781" spans="1:26" x14ac:dyDescent="0.25">
      <c r="A781">
        <v>2018032129</v>
      </c>
      <c r="B781" t="s">
        <v>822</v>
      </c>
      <c r="C781" t="s">
        <v>568</v>
      </c>
      <c r="D781" s="5" t="str">
        <f t="shared" si="42"/>
        <v>BORING LINDA</v>
      </c>
      <c r="E781" t="s">
        <v>195</v>
      </c>
      <c r="F781" t="s">
        <v>378</v>
      </c>
      <c r="G781" t="s">
        <v>379</v>
      </c>
      <c r="H781">
        <v>19278370</v>
      </c>
      <c r="I781" t="s">
        <v>321</v>
      </c>
      <c r="J781" t="s">
        <v>322</v>
      </c>
      <c r="K781" t="str">
        <f t="shared" si="40"/>
        <v>ANNE MARIE KOZACHECK</v>
      </c>
      <c r="L781" t="s">
        <v>57</v>
      </c>
      <c r="M781" s="1">
        <v>45017</v>
      </c>
      <c r="N781" s="1">
        <v>45992</v>
      </c>
      <c r="O781" s="2">
        <v>49.98</v>
      </c>
      <c r="P781">
        <f t="shared" si="41"/>
        <v>32</v>
      </c>
      <c r="Q781" t="s">
        <v>264</v>
      </c>
      <c r="R781" t="s">
        <v>1086</v>
      </c>
      <c r="S781" t="s">
        <v>58</v>
      </c>
      <c r="T781" s="3">
        <v>0.06</v>
      </c>
      <c r="U781" t="s">
        <v>264</v>
      </c>
      <c r="V781" t="s">
        <v>61</v>
      </c>
      <c r="W781" s="2">
        <v>0</v>
      </c>
      <c r="X781" s="2">
        <v>3</v>
      </c>
      <c r="Y781" s="2">
        <v>3</v>
      </c>
      <c r="Z781" s="5" t="s">
        <v>379</v>
      </c>
    </row>
    <row r="782" spans="1:26" x14ac:dyDescent="0.25">
      <c r="A782">
        <v>2018114568</v>
      </c>
      <c r="B782" t="s">
        <v>823</v>
      </c>
      <c r="C782" t="s">
        <v>792</v>
      </c>
      <c r="D782" s="5" t="str">
        <f t="shared" si="42"/>
        <v>AIKEN RANDALL</v>
      </c>
      <c r="E782" t="s">
        <v>195</v>
      </c>
      <c r="F782" t="s">
        <v>378</v>
      </c>
      <c r="G782" t="s">
        <v>379</v>
      </c>
      <c r="H782">
        <v>19278370</v>
      </c>
      <c r="I782" t="s">
        <v>321</v>
      </c>
      <c r="J782" t="s">
        <v>322</v>
      </c>
      <c r="K782" t="str">
        <f t="shared" si="40"/>
        <v>ANNE MARIE KOZACHECK</v>
      </c>
      <c r="L782" t="s">
        <v>57</v>
      </c>
      <c r="M782" s="1">
        <v>45017</v>
      </c>
      <c r="N782" s="1">
        <v>45992</v>
      </c>
      <c r="O782" s="2">
        <v>15.88</v>
      </c>
      <c r="P782">
        <f t="shared" si="41"/>
        <v>32</v>
      </c>
      <c r="Q782" t="s">
        <v>264</v>
      </c>
      <c r="R782" t="s">
        <v>1086</v>
      </c>
      <c r="S782" t="s">
        <v>58</v>
      </c>
      <c r="T782" s="3">
        <v>0.06</v>
      </c>
      <c r="U782" t="s">
        <v>264</v>
      </c>
      <c r="V782" t="s">
        <v>61</v>
      </c>
      <c r="W782" s="2">
        <v>0</v>
      </c>
      <c r="X782" s="2">
        <v>0.95</v>
      </c>
      <c r="Y782" s="2">
        <v>0.95</v>
      </c>
      <c r="Z782" s="5" t="s">
        <v>379</v>
      </c>
    </row>
    <row r="783" spans="1:26" x14ac:dyDescent="0.25">
      <c r="A783">
        <v>2017340031</v>
      </c>
      <c r="B783" t="s">
        <v>484</v>
      </c>
      <c r="C783" t="s">
        <v>415</v>
      </c>
      <c r="D783" s="5" t="str">
        <f t="shared" si="42"/>
        <v>LANDER BENJAMIN</v>
      </c>
      <c r="E783" t="s">
        <v>195</v>
      </c>
      <c r="F783" t="s">
        <v>378</v>
      </c>
      <c r="G783" t="s">
        <v>379</v>
      </c>
      <c r="H783">
        <v>9079571</v>
      </c>
      <c r="I783" t="s">
        <v>155</v>
      </c>
      <c r="J783" t="s">
        <v>156</v>
      </c>
      <c r="K783" t="str">
        <f t="shared" si="40"/>
        <v>ADAM RICHTER</v>
      </c>
      <c r="L783" t="s">
        <v>57</v>
      </c>
      <c r="M783" s="1">
        <v>44958</v>
      </c>
      <c r="N783" s="1">
        <v>45992</v>
      </c>
      <c r="O783" s="2">
        <v>89</v>
      </c>
      <c r="P783">
        <f t="shared" si="41"/>
        <v>34</v>
      </c>
      <c r="Q783" t="s">
        <v>264</v>
      </c>
      <c r="R783" t="s">
        <v>1086</v>
      </c>
      <c r="S783" t="s">
        <v>58</v>
      </c>
      <c r="T783" s="3">
        <v>0.06</v>
      </c>
      <c r="U783" t="s">
        <v>264</v>
      </c>
      <c r="V783" t="s">
        <v>61</v>
      </c>
      <c r="W783" s="2">
        <v>0</v>
      </c>
      <c r="X783" s="2">
        <v>5.34</v>
      </c>
      <c r="Y783" s="2">
        <v>5.34</v>
      </c>
      <c r="Z783" s="5" t="s">
        <v>379</v>
      </c>
    </row>
    <row r="784" spans="1:26" x14ac:dyDescent="0.25">
      <c r="A784">
        <v>2017377178</v>
      </c>
      <c r="B784" t="s">
        <v>331</v>
      </c>
      <c r="C784" t="s">
        <v>821</v>
      </c>
      <c r="D784" s="5" t="str">
        <f t="shared" si="42"/>
        <v>MILLER HOLLY</v>
      </c>
      <c r="E784" t="s">
        <v>69</v>
      </c>
      <c r="F784" t="s">
        <v>378</v>
      </c>
      <c r="G784" t="s">
        <v>379</v>
      </c>
      <c r="H784">
        <v>8307933</v>
      </c>
      <c r="I784" t="s">
        <v>560</v>
      </c>
      <c r="J784" t="s">
        <v>336</v>
      </c>
      <c r="K784" t="str">
        <f t="shared" si="40"/>
        <v>GREGORY TEIPEL</v>
      </c>
      <c r="L784" t="s">
        <v>57</v>
      </c>
      <c r="M784" s="1">
        <v>44958</v>
      </c>
      <c r="N784" s="1">
        <v>45992</v>
      </c>
      <c r="O784" s="2">
        <v>45.2</v>
      </c>
      <c r="P784">
        <f t="shared" si="41"/>
        <v>34</v>
      </c>
      <c r="Q784" t="s">
        <v>264</v>
      </c>
      <c r="R784" t="s">
        <v>1086</v>
      </c>
      <c r="S784" t="s">
        <v>58</v>
      </c>
      <c r="T784" s="3">
        <v>0.06</v>
      </c>
      <c r="U784" t="s">
        <v>264</v>
      </c>
      <c r="V784" t="s">
        <v>61</v>
      </c>
      <c r="W784" s="2">
        <v>0</v>
      </c>
      <c r="X784" s="2">
        <v>2.71</v>
      </c>
      <c r="Y784" s="2">
        <v>2.71</v>
      </c>
      <c r="Z784" s="5" t="s">
        <v>379</v>
      </c>
    </row>
    <row r="785" spans="1:26" x14ac:dyDescent="0.25">
      <c r="A785">
        <v>2016956446</v>
      </c>
      <c r="B785" t="s">
        <v>715</v>
      </c>
      <c r="C785" t="s">
        <v>98</v>
      </c>
      <c r="D785" s="5" t="str">
        <f t="shared" si="42"/>
        <v>SONG MICHAEL</v>
      </c>
      <c r="E785" t="s">
        <v>52</v>
      </c>
      <c r="F785" t="s">
        <v>378</v>
      </c>
      <c r="G785" t="s">
        <v>379</v>
      </c>
      <c r="H785">
        <v>20436896</v>
      </c>
      <c r="I785" t="s">
        <v>55</v>
      </c>
      <c r="J785" t="s">
        <v>566</v>
      </c>
      <c r="K785" t="str">
        <f t="shared" si="40"/>
        <v>KATELENN CALTAGIRONE</v>
      </c>
      <c r="L785" t="s">
        <v>57</v>
      </c>
      <c r="M785" s="1">
        <v>44958</v>
      </c>
      <c r="N785" s="1">
        <v>45992</v>
      </c>
      <c r="O785" s="2">
        <v>136.49</v>
      </c>
      <c r="P785">
        <f t="shared" si="41"/>
        <v>34</v>
      </c>
      <c r="Q785" t="s">
        <v>264</v>
      </c>
      <c r="R785" t="s">
        <v>1086</v>
      </c>
      <c r="S785" t="s">
        <v>58</v>
      </c>
      <c r="T785" s="3">
        <v>0.06</v>
      </c>
      <c r="U785" t="s">
        <v>264</v>
      </c>
      <c r="V785" t="s">
        <v>61</v>
      </c>
      <c r="W785" s="2">
        <v>0</v>
      </c>
      <c r="X785" s="2">
        <v>8.19</v>
      </c>
      <c r="Y785" s="2">
        <v>8.19</v>
      </c>
      <c r="Z785" s="5" t="s">
        <v>379</v>
      </c>
    </row>
    <row r="786" spans="1:26" x14ac:dyDescent="0.25">
      <c r="A786">
        <v>2017416713</v>
      </c>
      <c r="B786" t="s">
        <v>722</v>
      </c>
      <c r="C786" t="s">
        <v>723</v>
      </c>
      <c r="D786" s="5" t="str">
        <f t="shared" si="42"/>
        <v>BISCHOFFER CHESTER</v>
      </c>
      <c r="E786" t="s">
        <v>261</v>
      </c>
      <c r="F786" t="s">
        <v>378</v>
      </c>
      <c r="G786" t="s">
        <v>379</v>
      </c>
      <c r="H786">
        <v>20436896</v>
      </c>
      <c r="I786" t="s">
        <v>55</v>
      </c>
      <c r="J786" t="s">
        <v>566</v>
      </c>
      <c r="K786" t="str">
        <f t="shared" si="40"/>
        <v>KATELENN CALTAGIRONE</v>
      </c>
      <c r="L786" t="s">
        <v>57</v>
      </c>
      <c r="M786" s="1">
        <v>44958</v>
      </c>
      <c r="N786" s="1">
        <v>45992</v>
      </c>
      <c r="O786" s="2">
        <v>17.21</v>
      </c>
      <c r="P786">
        <f t="shared" si="41"/>
        <v>34</v>
      </c>
      <c r="Q786" t="s">
        <v>264</v>
      </c>
      <c r="R786" t="s">
        <v>1086</v>
      </c>
      <c r="S786" t="s">
        <v>58</v>
      </c>
      <c r="T786" s="3">
        <v>0.06</v>
      </c>
      <c r="U786" t="s">
        <v>264</v>
      </c>
      <c r="V786" t="s">
        <v>61</v>
      </c>
      <c r="W786" s="2">
        <v>0</v>
      </c>
      <c r="X786" s="2">
        <v>1.03</v>
      </c>
      <c r="Y786" s="2">
        <v>1.03</v>
      </c>
      <c r="Z786" s="5" t="s">
        <v>379</v>
      </c>
    </row>
    <row r="787" spans="1:26" x14ac:dyDescent="0.25">
      <c r="A787">
        <v>2017420306</v>
      </c>
      <c r="B787" t="s">
        <v>724</v>
      </c>
      <c r="C787" t="s">
        <v>537</v>
      </c>
      <c r="D787" s="5" t="str">
        <f t="shared" si="42"/>
        <v>FULLER SUSAN</v>
      </c>
      <c r="E787" t="s">
        <v>52</v>
      </c>
      <c r="F787" t="s">
        <v>378</v>
      </c>
      <c r="G787" t="s">
        <v>379</v>
      </c>
      <c r="H787">
        <v>20436896</v>
      </c>
      <c r="I787" t="s">
        <v>55</v>
      </c>
      <c r="J787" t="s">
        <v>566</v>
      </c>
      <c r="K787" t="str">
        <f t="shared" si="40"/>
        <v>KATELENN CALTAGIRONE</v>
      </c>
      <c r="L787" t="s">
        <v>57</v>
      </c>
      <c r="M787" s="1">
        <v>44958</v>
      </c>
      <c r="N787" s="1">
        <v>45992</v>
      </c>
      <c r="O787" s="2">
        <v>52.62</v>
      </c>
      <c r="P787">
        <f t="shared" si="41"/>
        <v>34</v>
      </c>
      <c r="Q787" t="s">
        <v>264</v>
      </c>
      <c r="R787" t="s">
        <v>1086</v>
      </c>
      <c r="S787" t="s">
        <v>58</v>
      </c>
      <c r="T787" s="3">
        <v>0.06</v>
      </c>
      <c r="U787" t="s">
        <v>264</v>
      </c>
      <c r="V787" t="s">
        <v>61</v>
      </c>
      <c r="W787" s="2">
        <v>0</v>
      </c>
      <c r="X787" s="2">
        <v>3.16</v>
      </c>
      <c r="Y787" s="2">
        <v>3.16</v>
      </c>
      <c r="Z787" s="5" t="s">
        <v>379</v>
      </c>
    </row>
    <row r="788" spans="1:26" x14ac:dyDescent="0.25">
      <c r="A788">
        <v>2017521116</v>
      </c>
      <c r="B788" t="s">
        <v>725</v>
      </c>
      <c r="C788" t="s">
        <v>726</v>
      </c>
      <c r="D788" s="5" t="str">
        <f t="shared" si="42"/>
        <v>BLADES CHERYL</v>
      </c>
      <c r="E788" t="s">
        <v>182</v>
      </c>
      <c r="F788" t="s">
        <v>378</v>
      </c>
      <c r="G788" t="s">
        <v>379</v>
      </c>
      <c r="H788">
        <v>20436896</v>
      </c>
      <c r="I788" t="s">
        <v>55</v>
      </c>
      <c r="J788" t="s">
        <v>566</v>
      </c>
      <c r="K788" t="str">
        <f t="shared" si="40"/>
        <v>KATELENN CALTAGIRONE</v>
      </c>
      <c r="L788" t="s">
        <v>57</v>
      </c>
      <c r="M788" s="1">
        <v>44958</v>
      </c>
      <c r="N788" s="1">
        <v>45992</v>
      </c>
      <c r="O788" s="2">
        <v>40.65</v>
      </c>
      <c r="P788">
        <f t="shared" si="41"/>
        <v>34</v>
      </c>
      <c r="Q788" t="s">
        <v>264</v>
      </c>
      <c r="R788" t="s">
        <v>1086</v>
      </c>
      <c r="S788" t="s">
        <v>58</v>
      </c>
      <c r="T788" s="3">
        <v>0.06</v>
      </c>
      <c r="U788" t="s">
        <v>264</v>
      </c>
      <c r="V788" t="s">
        <v>61</v>
      </c>
      <c r="W788" s="2">
        <v>0</v>
      </c>
      <c r="X788" s="2">
        <v>2.44</v>
      </c>
      <c r="Y788" s="2">
        <v>2.44</v>
      </c>
      <c r="Z788" s="5" t="s">
        <v>379</v>
      </c>
    </row>
    <row r="789" spans="1:26" x14ac:dyDescent="0.25">
      <c r="A789">
        <v>2016328595</v>
      </c>
      <c r="B789" t="s">
        <v>558</v>
      </c>
      <c r="C789" t="s">
        <v>342</v>
      </c>
      <c r="D789" s="5" t="str">
        <f t="shared" si="42"/>
        <v>DIETZ STEVEN</v>
      </c>
      <c r="E789" t="s">
        <v>559</v>
      </c>
      <c r="F789" t="s">
        <v>378</v>
      </c>
      <c r="G789" t="s">
        <v>379</v>
      </c>
      <c r="H789">
        <v>8307933</v>
      </c>
      <c r="I789" t="s">
        <v>560</v>
      </c>
      <c r="J789" t="s">
        <v>336</v>
      </c>
      <c r="K789" t="str">
        <f t="shared" si="40"/>
        <v>GREGORY TEIPEL</v>
      </c>
      <c r="L789" t="s">
        <v>57</v>
      </c>
      <c r="M789" s="1">
        <v>44829</v>
      </c>
      <c r="N789" s="1">
        <v>45986</v>
      </c>
      <c r="O789" s="2">
        <v>42.47</v>
      </c>
      <c r="P789">
        <f t="shared" si="41"/>
        <v>38</v>
      </c>
      <c r="Q789" t="s">
        <v>264</v>
      </c>
      <c r="R789" t="s">
        <v>1086</v>
      </c>
      <c r="S789" t="s">
        <v>58</v>
      </c>
      <c r="T789" s="3">
        <v>0.06</v>
      </c>
      <c r="U789" t="s">
        <v>264</v>
      </c>
      <c r="V789" t="s">
        <v>61</v>
      </c>
      <c r="W789" s="2">
        <v>0</v>
      </c>
      <c r="X789" s="2">
        <v>2.5499999999999998</v>
      </c>
      <c r="Y789" s="2">
        <v>2.5499999999999998</v>
      </c>
      <c r="Z789" s="5" t="s">
        <v>379</v>
      </c>
    </row>
    <row r="790" spans="1:26" x14ac:dyDescent="0.25">
      <c r="A790" s="5">
        <v>2030823304</v>
      </c>
      <c r="B790" s="5" t="s">
        <v>235</v>
      </c>
      <c r="C790" s="5" t="s">
        <v>236</v>
      </c>
      <c r="D790" s="5" t="str">
        <f t="shared" si="42"/>
        <v>FRIEDMANN HEATHER</v>
      </c>
      <c r="E790" s="5" t="s">
        <v>52</v>
      </c>
      <c r="F790" s="5" t="s">
        <v>53</v>
      </c>
      <c r="G790" s="5" t="s">
        <v>132</v>
      </c>
      <c r="H790" s="5">
        <v>371819</v>
      </c>
      <c r="I790" s="5" t="s">
        <v>237</v>
      </c>
      <c r="J790" s="5" t="s">
        <v>103</v>
      </c>
      <c r="K790" s="5" t="str">
        <f t="shared" si="40"/>
        <v>THOMAS PARDUE</v>
      </c>
      <c r="L790" s="5" t="s">
        <v>57</v>
      </c>
      <c r="M790" s="6">
        <v>45927</v>
      </c>
      <c r="N790" s="6">
        <v>45988</v>
      </c>
      <c r="O790" s="7">
        <v>9.8000000000000007</v>
      </c>
      <c r="P790" s="5">
        <f t="shared" si="41"/>
        <v>2</v>
      </c>
      <c r="Q790" s="5" t="s">
        <v>264</v>
      </c>
      <c r="R790" s="5" t="s">
        <v>1085</v>
      </c>
      <c r="S790" s="5" t="s">
        <v>58</v>
      </c>
      <c r="T790" s="8">
        <v>0.9</v>
      </c>
      <c r="U790" s="5" t="s">
        <v>60</v>
      </c>
      <c r="V790" s="5" t="s">
        <v>61</v>
      </c>
      <c r="W790" s="7">
        <v>8.82</v>
      </c>
      <c r="X790" s="7">
        <v>0</v>
      </c>
      <c r="Y790" s="7">
        <v>8.82</v>
      </c>
      <c r="Z790" s="5" t="s">
        <v>132</v>
      </c>
    </row>
    <row r="791" spans="1:26" x14ac:dyDescent="0.25">
      <c r="A791" s="5">
        <v>2030117415</v>
      </c>
      <c r="B791" s="5" t="s">
        <v>278</v>
      </c>
      <c r="C791" s="5" t="s">
        <v>1074</v>
      </c>
      <c r="D791" s="5" t="str">
        <f t="shared" si="42"/>
        <v>DAWN THORNTON</v>
      </c>
      <c r="E791" s="5" t="s">
        <v>179</v>
      </c>
      <c r="F791" s="5" t="s">
        <v>53</v>
      </c>
      <c r="G791" s="5" t="s">
        <v>132</v>
      </c>
      <c r="H791" s="5">
        <v>371819</v>
      </c>
      <c r="I791" s="5" t="s">
        <v>237</v>
      </c>
      <c r="J791" s="5" t="s">
        <v>103</v>
      </c>
      <c r="K791" s="5" t="str">
        <f t="shared" si="40"/>
        <v>THOMAS PARDUE</v>
      </c>
      <c r="L791" s="5" t="s">
        <v>57</v>
      </c>
      <c r="M791" s="6">
        <v>45863</v>
      </c>
      <c r="N791" s="6">
        <v>45986</v>
      </c>
      <c r="O791" s="7">
        <v>69.08</v>
      </c>
      <c r="P791" s="5">
        <f t="shared" si="41"/>
        <v>4</v>
      </c>
      <c r="Q791" s="5" t="s">
        <v>264</v>
      </c>
      <c r="R791" s="5" t="s">
        <v>1085</v>
      </c>
      <c r="S791" s="5" t="s">
        <v>58</v>
      </c>
      <c r="T791" s="8">
        <v>0.9</v>
      </c>
      <c r="U791" s="5" t="s">
        <v>60</v>
      </c>
      <c r="V791" s="5" t="s">
        <v>61</v>
      </c>
      <c r="W791" s="7">
        <v>62.17</v>
      </c>
      <c r="X791" s="7">
        <v>0</v>
      </c>
      <c r="Y791" s="7">
        <v>62.17</v>
      </c>
      <c r="Z791" s="5" t="s">
        <v>132</v>
      </c>
    </row>
    <row r="792" spans="1:26" x14ac:dyDescent="0.25">
      <c r="A792" s="5">
        <v>2029647651</v>
      </c>
      <c r="B792" s="5" t="s">
        <v>1067</v>
      </c>
      <c r="C792" s="5" t="s">
        <v>1068</v>
      </c>
      <c r="D792" s="5" t="str">
        <f t="shared" si="42"/>
        <v>TERGUUNBAYAR ERDENE</v>
      </c>
      <c r="E792" s="5" t="s">
        <v>69</v>
      </c>
      <c r="F792" s="5" t="s">
        <v>53</v>
      </c>
      <c r="G792" s="5" t="s">
        <v>132</v>
      </c>
      <c r="H792" s="5">
        <v>20220688</v>
      </c>
      <c r="I792" s="5" t="s">
        <v>769</v>
      </c>
      <c r="J792" s="5" t="s">
        <v>770</v>
      </c>
      <c r="K792" s="5" t="str">
        <f t="shared" si="40"/>
        <v>NASANDELGER ZANA</v>
      </c>
      <c r="L792" s="5" t="s">
        <v>57</v>
      </c>
      <c r="M792" s="6">
        <v>45834</v>
      </c>
      <c r="N792" s="6">
        <v>45987</v>
      </c>
      <c r="O792" s="7">
        <v>17.62</v>
      </c>
      <c r="P792" s="5">
        <f t="shared" si="41"/>
        <v>5</v>
      </c>
      <c r="Q792" s="5" t="s">
        <v>264</v>
      </c>
      <c r="R792" s="5" t="s">
        <v>1085</v>
      </c>
      <c r="S792" s="5" t="s">
        <v>58</v>
      </c>
      <c r="T792" s="8">
        <v>0.9</v>
      </c>
      <c r="U792" s="5" t="s">
        <v>60</v>
      </c>
      <c r="V792" s="5" t="s">
        <v>61</v>
      </c>
      <c r="W792" s="7">
        <v>15.86</v>
      </c>
      <c r="X792" s="7">
        <v>0</v>
      </c>
      <c r="Y792" s="7">
        <v>15.86</v>
      </c>
      <c r="Z792" s="5" t="s">
        <v>132</v>
      </c>
    </row>
    <row r="793" spans="1:26" x14ac:dyDescent="0.25">
      <c r="A793" s="5">
        <v>2028858330</v>
      </c>
      <c r="B793" s="5" t="s">
        <v>929</v>
      </c>
      <c r="C793" s="5" t="s">
        <v>103</v>
      </c>
      <c r="D793" s="5" t="str">
        <f t="shared" si="42"/>
        <v>KINNEY THOMAS</v>
      </c>
      <c r="E793" s="5" t="s">
        <v>69</v>
      </c>
      <c r="F793" s="5" t="s">
        <v>53</v>
      </c>
      <c r="G793" s="5" t="s">
        <v>132</v>
      </c>
      <c r="H793" s="5">
        <v>21436172</v>
      </c>
      <c r="I793" s="5" t="s">
        <v>930</v>
      </c>
      <c r="J793" s="5" t="s">
        <v>931</v>
      </c>
      <c r="K793" s="5" t="str">
        <f t="shared" si="40"/>
        <v>Latesha Rose</v>
      </c>
      <c r="L793" s="5" t="s">
        <v>57</v>
      </c>
      <c r="M793" s="6">
        <v>45809</v>
      </c>
      <c r="N793" s="6">
        <v>45992</v>
      </c>
      <c r="O793" s="7">
        <v>47.08</v>
      </c>
      <c r="P793" s="5">
        <f t="shared" si="41"/>
        <v>6</v>
      </c>
      <c r="Q793" s="5" t="s">
        <v>264</v>
      </c>
      <c r="R793" s="5" t="s">
        <v>1086</v>
      </c>
      <c r="S793" s="5" t="s">
        <v>58</v>
      </c>
      <c r="T793" s="8">
        <v>0.9</v>
      </c>
      <c r="U793" s="5" t="s">
        <v>60</v>
      </c>
      <c r="V793" s="5" t="s">
        <v>61</v>
      </c>
      <c r="W793" s="7">
        <v>42.37</v>
      </c>
      <c r="X793" s="7">
        <v>0</v>
      </c>
      <c r="Y793" s="7">
        <v>42.37</v>
      </c>
      <c r="Z793" s="5" t="s">
        <v>132</v>
      </c>
    </row>
    <row r="794" spans="1:26" x14ac:dyDescent="0.25">
      <c r="A794" s="5">
        <v>2029062371</v>
      </c>
      <c r="B794" s="5" t="s">
        <v>857</v>
      </c>
      <c r="C794" s="5" t="s">
        <v>945</v>
      </c>
      <c r="D794" s="5" t="str">
        <f t="shared" si="42"/>
        <v>SALAZAR VANESSA</v>
      </c>
      <c r="E794" s="5" t="s">
        <v>261</v>
      </c>
      <c r="F794" s="5" t="s">
        <v>53</v>
      </c>
      <c r="G794" s="5" t="s">
        <v>132</v>
      </c>
      <c r="H794" s="5">
        <v>371819</v>
      </c>
      <c r="I794" s="5" t="s">
        <v>237</v>
      </c>
      <c r="J794" s="5" t="s">
        <v>103</v>
      </c>
      <c r="K794" s="5" t="str">
        <f t="shared" si="40"/>
        <v>THOMAS PARDUE</v>
      </c>
      <c r="L794" s="5" t="s">
        <v>57</v>
      </c>
      <c r="M794" s="6">
        <v>45800</v>
      </c>
      <c r="N794" s="6">
        <v>45984</v>
      </c>
      <c r="O794" s="7">
        <v>28.83</v>
      </c>
      <c r="P794" s="5">
        <f t="shared" si="41"/>
        <v>6</v>
      </c>
      <c r="Q794" s="5" t="s">
        <v>264</v>
      </c>
      <c r="R794" s="5" t="s">
        <v>1086</v>
      </c>
      <c r="S794" s="5" t="s">
        <v>58</v>
      </c>
      <c r="T794" s="8">
        <v>0.9</v>
      </c>
      <c r="U794" s="5" t="s">
        <v>60</v>
      </c>
      <c r="V794" s="5" t="s">
        <v>61</v>
      </c>
      <c r="W794" s="7">
        <v>0</v>
      </c>
      <c r="X794" s="7">
        <v>25.95</v>
      </c>
      <c r="Y794" s="7">
        <v>25.95</v>
      </c>
      <c r="Z794" s="5" t="s">
        <v>132</v>
      </c>
    </row>
    <row r="795" spans="1:26" x14ac:dyDescent="0.25">
      <c r="A795" s="5">
        <v>2028498801</v>
      </c>
      <c r="B795" s="5" t="s">
        <v>629</v>
      </c>
      <c r="C795" s="5" t="s">
        <v>232</v>
      </c>
      <c r="D795" s="5" t="str">
        <f t="shared" si="42"/>
        <v>VAWTER TIMOTHY</v>
      </c>
      <c r="E795" s="5" t="s">
        <v>179</v>
      </c>
      <c r="F795" s="5" t="s">
        <v>53</v>
      </c>
      <c r="G795" s="5" t="s">
        <v>132</v>
      </c>
      <c r="H795" s="5">
        <v>16633294</v>
      </c>
      <c r="I795" s="5" t="s">
        <v>70</v>
      </c>
      <c r="J795" s="5" t="s">
        <v>183</v>
      </c>
      <c r="K795" s="5" t="str">
        <f t="shared" si="40"/>
        <v>Richard Yale</v>
      </c>
      <c r="L795" s="5" t="s">
        <v>57</v>
      </c>
      <c r="M795" s="6">
        <v>45772</v>
      </c>
      <c r="N795" s="6">
        <v>45986</v>
      </c>
      <c r="O795" s="7">
        <v>56.75</v>
      </c>
      <c r="P795" s="5">
        <f t="shared" si="41"/>
        <v>7</v>
      </c>
      <c r="Q795" s="5" t="s">
        <v>264</v>
      </c>
      <c r="R795" s="5" t="s">
        <v>1086</v>
      </c>
      <c r="S795" s="5" t="s">
        <v>58</v>
      </c>
      <c r="T795" s="8">
        <v>0.9</v>
      </c>
      <c r="U795" s="5" t="s">
        <v>60</v>
      </c>
      <c r="V795" s="5" t="s">
        <v>61</v>
      </c>
      <c r="W795" s="7">
        <v>0</v>
      </c>
      <c r="X795" s="7">
        <v>51.08</v>
      </c>
      <c r="Y795" s="7">
        <v>51.08</v>
      </c>
      <c r="Z795" s="5" t="s">
        <v>132</v>
      </c>
    </row>
    <row r="796" spans="1:26" x14ac:dyDescent="0.25">
      <c r="A796" s="5">
        <v>2028654839</v>
      </c>
      <c r="B796" s="5" t="s">
        <v>920</v>
      </c>
      <c r="C796" s="5" t="s">
        <v>921</v>
      </c>
      <c r="D796" s="5" t="str">
        <f t="shared" si="42"/>
        <v>TARPLEY SHAUN</v>
      </c>
      <c r="E796" s="5" t="s">
        <v>52</v>
      </c>
      <c r="F796" s="5" t="s">
        <v>53</v>
      </c>
      <c r="G796" s="5" t="s">
        <v>132</v>
      </c>
      <c r="H796" s="5">
        <v>16633294</v>
      </c>
      <c r="I796" s="5" t="s">
        <v>70</v>
      </c>
      <c r="J796" s="5" t="s">
        <v>183</v>
      </c>
      <c r="K796" s="5" t="str">
        <f t="shared" si="40"/>
        <v>Richard Yale</v>
      </c>
      <c r="L796" s="5" t="s">
        <v>57</v>
      </c>
      <c r="M796" s="6">
        <v>45776</v>
      </c>
      <c r="N796" s="6">
        <v>45990</v>
      </c>
      <c r="O796" s="7">
        <v>43.67</v>
      </c>
      <c r="P796" s="5">
        <f t="shared" si="41"/>
        <v>7</v>
      </c>
      <c r="Q796" s="5" t="s">
        <v>264</v>
      </c>
      <c r="R796" s="5" t="s">
        <v>1086</v>
      </c>
      <c r="S796" s="5" t="s">
        <v>58</v>
      </c>
      <c r="T796" s="8">
        <v>0.9</v>
      </c>
      <c r="U796" s="5" t="s">
        <v>60</v>
      </c>
      <c r="V796" s="5" t="s">
        <v>61</v>
      </c>
      <c r="W796" s="7">
        <v>0</v>
      </c>
      <c r="X796" s="7">
        <v>39.299999999999997</v>
      </c>
      <c r="Y796" s="7">
        <v>39.299999999999997</v>
      </c>
      <c r="Z796" s="5" t="s">
        <v>132</v>
      </c>
    </row>
    <row r="797" spans="1:26" x14ac:dyDescent="0.25">
      <c r="A797" s="5">
        <v>2028662388</v>
      </c>
      <c r="B797" s="5" t="s">
        <v>1036</v>
      </c>
      <c r="C797" s="5" t="s">
        <v>1037</v>
      </c>
      <c r="D797" s="5" t="str">
        <f t="shared" si="42"/>
        <v>COCKRELL TERRY</v>
      </c>
      <c r="E797" s="5" t="s">
        <v>287</v>
      </c>
      <c r="F797" s="5" t="s">
        <v>53</v>
      </c>
      <c r="G797" s="5" t="s">
        <v>132</v>
      </c>
      <c r="H797" s="5">
        <v>371819</v>
      </c>
      <c r="I797" s="5" t="s">
        <v>237</v>
      </c>
      <c r="J797" s="5" t="s">
        <v>103</v>
      </c>
      <c r="K797" s="5" t="str">
        <f t="shared" si="40"/>
        <v>THOMAS PARDUE</v>
      </c>
      <c r="L797" s="5" t="s">
        <v>57</v>
      </c>
      <c r="M797" s="6">
        <v>45777</v>
      </c>
      <c r="N797" s="6">
        <v>45991</v>
      </c>
      <c r="O797" s="7">
        <v>19.28</v>
      </c>
      <c r="P797" s="5">
        <f t="shared" si="41"/>
        <v>7</v>
      </c>
      <c r="Q797" s="5" t="s">
        <v>264</v>
      </c>
      <c r="R797" s="5" t="s">
        <v>1086</v>
      </c>
      <c r="S797" s="5" t="s">
        <v>58</v>
      </c>
      <c r="T797" s="8">
        <v>0.9</v>
      </c>
      <c r="U797" s="5" t="s">
        <v>60</v>
      </c>
      <c r="V797" s="5" t="s">
        <v>61</v>
      </c>
      <c r="W797" s="7">
        <v>0</v>
      </c>
      <c r="X797" s="7">
        <v>17.350000000000001</v>
      </c>
      <c r="Y797" s="7">
        <v>17.350000000000001</v>
      </c>
      <c r="Z797" s="5" t="s">
        <v>132</v>
      </c>
    </row>
    <row r="798" spans="1:26" x14ac:dyDescent="0.25">
      <c r="A798" s="5">
        <v>2027886965</v>
      </c>
      <c r="B798" s="5" t="s">
        <v>1014</v>
      </c>
      <c r="C798" s="5" t="s">
        <v>1015</v>
      </c>
      <c r="D798" s="5" t="str">
        <f t="shared" si="42"/>
        <v>LAKIN VALARIE</v>
      </c>
      <c r="E798" s="5" t="s">
        <v>69</v>
      </c>
      <c r="F798" s="5" t="s">
        <v>53</v>
      </c>
      <c r="G798" s="5" t="s">
        <v>132</v>
      </c>
      <c r="H798" s="5">
        <v>7146581</v>
      </c>
      <c r="I798" s="5" t="s">
        <v>159</v>
      </c>
      <c r="J798" s="5" t="s">
        <v>160</v>
      </c>
      <c r="K798" s="5" t="str">
        <f t="shared" si="40"/>
        <v>Anthony Hunsberger</v>
      </c>
      <c r="L798" s="5" t="s">
        <v>57</v>
      </c>
      <c r="M798" s="6">
        <v>45748</v>
      </c>
      <c r="N798" s="6">
        <v>45992</v>
      </c>
      <c r="O798" s="7">
        <v>75.44</v>
      </c>
      <c r="P798" s="5">
        <f t="shared" si="41"/>
        <v>8</v>
      </c>
      <c r="Q798" s="5" t="s">
        <v>264</v>
      </c>
      <c r="R798" s="5" t="s">
        <v>1086</v>
      </c>
      <c r="S798" s="5" t="s">
        <v>58</v>
      </c>
      <c r="T798" s="8">
        <v>0.9</v>
      </c>
      <c r="U798" s="5" t="s">
        <v>60</v>
      </c>
      <c r="V798" s="5" t="s">
        <v>61</v>
      </c>
      <c r="W798" s="7">
        <v>0</v>
      </c>
      <c r="X798" s="7">
        <v>67.900000000000006</v>
      </c>
      <c r="Y798" s="7">
        <v>67.900000000000006</v>
      </c>
      <c r="Z798" s="5" t="s">
        <v>132</v>
      </c>
    </row>
    <row r="799" spans="1:26" x14ac:dyDescent="0.25">
      <c r="A799" s="5">
        <v>2027904551</v>
      </c>
      <c r="B799" s="5" t="s">
        <v>894</v>
      </c>
      <c r="C799" s="5" t="s">
        <v>675</v>
      </c>
      <c r="D799" s="5" t="str">
        <f t="shared" si="42"/>
        <v>DEATON PAMELA</v>
      </c>
      <c r="E799" s="5" t="s">
        <v>69</v>
      </c>
      <c r="F799" s="5" t="s">
        <v>53</v>
      </c>
      <c r="G799" s="5" t="s">
        <v>132</v>
      </c>
      <c r="H799" s="5">
        <v>8244481</v>
      </c>
      <c r="I799" s="5" t="s">
        <v>894</v>
      </c>
      <c r="J799" s="5" t="s">
        <v>675</v>
      </c>
      <c r="K799" s="5" t="str">
        <f t="shared" si="40"/>
        <v>PAMELA DEATON</v>
      </c>
      <c r="L799" s="5" t="s">
        <v>57</v>
      </c>
      <c r="M799" s="6">
        <v>45741</v>
      </c>
      <c r="N799" s="6">
        <v>45986</v>
      </c>
      <c r="O799" s="7">
        <v>46.42</v>
      </c>
      <c r="P799" s="5">
        <f t="shared" si="41"/>
        <v>8</v>
      </c>
      <c r="Q799" s="5" t="s">
        <v>264</v>
      </c>
      <c r="R799" s="5" t="s">
        <v>1086</v>
      </c>
      <c r="S799" s="5" t="s">
        <v>58</v>
      </c>
      <c r="T799" s="8">
        <v>0.9</v>
      </c>
      <c r="U799" s="5" t="s">
        <v>60</v>
      </c>
      <c r="V799" s="5" t="s">
        <v>61</v>
      </c>
      <c r="W799" s="7">
        <v>0</v>
      </c>
      <c r="X799" s="7">
        <v>41.78</v>
      </c>
      <c r="Y799" s="7">
        <v>41.78</v>
      </c>
      <c r="Z799" s="5" t="s">
        <v>132</v>
      </c>
    </row>
    <row r="800" spans="1:26" x14ac:dyDescent="0.25">
      <c r="A800" s="5">
        <v>2028134803</v>
      </c>
      <c r="B800" s="5" t="s">
        <v>56</v>
      </c>
      <c r="C800" s="5" t="s">
        <v>1031</v>
      </c>
      <c r="D800" s="5" t="str">
        <f t="shared" si="42"/>
        <v>RYAN GRACE</v>
      </c>
      <c r="E800" s="5" t="s">
        <v>563</v>
      </c>
      <c r="F800" s="5" t="s">
        <v>53</v>
      </c>
      <c r="G800" s="5" t="s">
        <v>132</v>
      </c>
      <c r="H800" s="5">
        <v>371819</v>
      </c>
      <c r="I800" s="5" t="s">
        <v>237</v>
      </c>
      <c r="J800" s="5" t="s">
        <v>103</v>
      </c>
      <c r="K800" s="5" t="str">
        <f t="shared" ref="K800:K831" si="43">CONCATENATE(J800, " ",I800)</f>
        <v>THOMAS PARDUE</v>
      </c>
      <c r="L800" s="5" t="s">
        <v>57</v>
      </c>
      <c r="M800" s="6">
        <v>45748</v>
      </c>
      <c r="N800" s="6">
        <v>45992</v>
      </c>
      <c r="O800" s="7">
        <v>8.7100000000000009</v>
      </c>
      <c r="P800" s="5">
        <f t="shared" si="41"/>
        <v>8</v>
      </c>
      <c r="Q800" s="5" t="s">
        <v>264</v>
      </c>
      <c r="R800" s="5" t="s">
        <v>1086</v>
      </c>
      <c r="S800" s="5" t="s">
        <v>58</v>
      </c>
      <c r="T800" s="8">
        <v>0.9</v>
      </c>
      <c r="U800" s="5" t="s">
        <v>60</v>
      </c>
      <c r="V800" s="5" t="s">
        <v>61</v>
      </c>
      <c r="W800" s="7">
        <v>0</v>
      </c>
      <c r="X800" s="7">
        <v>7.84</v>
      </c>
      <c r="Y800" s="7">
        <v>7.84</v>
      </c>
      <c r="Z800" s="5" t="s">
        <v>132</v>
      </c>
    </row>
    <row r="801" spans="1:26" x14ac:dyDescent="0.25">
      <c r="A801" s="5">
        <v>2026328947</v>
      </c>
      <c r="B801" s="5" t="s">
        <v>371</v>
      </c>
      <c r="C801" s="5" t="s">
        <v>372</v>
      </c>
      <c r="D801" s="5" t="str">
        <f t="shared" si="42"/>
        <v>FUENTES VICTOR</v>
      </c>
      <c r="E801" s="5" t="s">
        <v>69</v>
      </c>
      <c r="F801" s="5" t="s">
        <v>53</v>
      </c>
      <c r="G801" s="5" t="s">
        <v>132</v>
      </c>
      <c r="H801" s="5" t="s">
        <v>1082</v>
      </c>
      <c r="I801" s="5" t="s">
        <v>371</v>
      </c>
      <c r="J801" s="5" t="s">
        <v>372</v>
      </c>
      <c r="K801" s="5" t="str">
        <f t="shared" si="43"/>
        <v>VICTOR FUENTES</v>
      </c>
      <c r="L801" s="5" t="s">
        <v>57</v>
      </c>
      <c r="M801" s="6">
        <v>45689</v>
      </c>
      <c r="N801" s="6">
        <v>45992</v>
      </c>
      <c r="O801" s="7">
        <v>35.5</v>
      </c>
      <c r="P801" s="5">
        <f t="shared" si="41"/>
        <v>10</v>
      </c>
      <c r="Q801" s="5" t="s">
        <v>264</v>
      </c>
      <c r="R801" s="5" t="s">
        <v>1086</v>
      </c>
      <c r="S801" s="5" t="s">
        <v>58</v>
      </c>
      <c r="T801" s="8">
        <v>0.9</v>
      </c>
      <c r="U801" s="5" t="s">
        <v>60</v>
      </c>
      <c r="V801" s="5" t="s">
        <v>61</v>
      </c>
      <c r="W801" s="7">
        <v>0</v>
      </c>
      <c r="X801" s="7">
        <v>31.95</v>
      </c>
      <c r="Y801" s="7">
        <v>31.95</v>
      </c>
      <c r="Z801" s="5" t="s">
        <v>132</v>
      </c>
    </row>
    <row r="802" spans="1:26" x14ac:dyDescent="0.25">
      <c r="A802">
        <v>2030552137</v>
      </c>
      <c r="B802" t="s">
        <v>127</v>
      </c>
      <c r="C802" t="s">
        <v>128</v>
      </c>
      <c r="D802" s="5" t="str">
        <f t="shared" si="42"/>
        <v>JEREMY LIST</v>
      </c>
      <c r="E802" t="s">
        <v>129</v>
      </c>
      <c r="F802" t="s">
        <v>53</v>
      </c>
      <c r="G802" t="s">
        <v>132</v>
      </c>
      <c r="H802">
        <v>21564088</v>
      </c>
      <c r="I802" t="s">
        <v>130</v>
      </c>
      <c r="J802" t="s">
        <v>131</v>
      </c>
      <c r="K802" t="str">
        <f t="shared" si="43"/>
        <v>Jennifer Halsaver</v>
      </c>
      <c r="L802" t="s">
        <v>57</v>
      </c>
      <c r="M802" s="1">
        <v>45901</v>
      </c>
      <c r="N802" s="1">
        <v>45992</v>
      </c>
      <c r="O802" s="2">
        <v>16.63</v>
      </c>
      <c r="P802">
        <f t="shared" si="41"/>
        <v>3</v>
      </c>
      <c r="Q802" t="s">
        <v>264</v>
      </c>
      <c r="R802" t="s">
        <v>1086</v>
      </c>
      <c r="S802" t="s">
        <v>58</v>
      </c>
      <c r="T802" s="3">
        <v>0.9</v>
      </c>
      <c r="U802" t="s">
        <v>60</v>
      </c>
      <c r="V802" t="s">
        <v>61</v>
      </c>
      <c r="W802" s="2">
        <v>14.97</v>
      </c>
      <c r="X802" s="2">
        <v>0</v>
      </c>
      <c r="Y802" s="2">
        <v>14.97</v>
      </c>
      <c r="Z802" s="5" t="s">
        <v>132</v>
      </c>
    </row>
    <row r="803" spans="1:26" x14ac:dyDescent="0.25">
      <c r="A803">
        <v>2030743324</v>
      </c>
      <c r="B803" t="s">
        <v>204</v>
      </c>
      <c r="C803" t="s">
        <v>205</v>
      </c>
      <c r="D803" s="5" t="str">
        <f t="shared" si="42"/>
        <v>WESTON ADAMS</v>
      </c>
      <c r="E803" t="s">
        <v>165</v>
      </c>
      <c r="F803" t="s">
        <v>53</v>
      </c>
      <c r="G803" t="s">
        <v>132</v>
      </c>
      <c r="H803">
        <v>1706194</v>
      </c>
      <c r="I803" t="s">
        <v>65</v>
      </c>
      <c r="J803" t="s">
        <v>66</v>
      </c>
      <c r="K803" t="str">
        <f t="shared" si="43"/>
        <v>MATTHEW DAUGHERTY</v>
      </c>
      <c r="L803" t="s">
        <v>57</v>
      </c>
      <c r="M803" s="1">
        <v>45901</v>
      </c>
      <c r="N803" s="1">
        <v>45992</v>
      </c>
      <c r="O803" s="2">
        <v>68.75</v>
      </c>
      <c r="P803">
        <f t="shared" si="41"/>
        <v>3</v>
      </c>
      <c r="Q803" t="s">
        <v>264</v>
      </c>
      <c r="R803" t="s">
        <v>1086</v>
      </c>
      <c r="S803" t="s">
        <v>58</v>
      </c>
      <c r="T803" s="3">
        <v>0.9</v>
      </c>
      <c r="U803" t="s">
        <v>60</v>
      </c>
      <c r="V803" t="s">
        <v>61</v>
      </c>
      <c r="W803" s="2">
        <v>61.88</v>
      </c>
      <c r="X803" s="2">
        <v>0</v>
      </c>
      <c r="Y803" s="2">
        <v>61.88</v>
      </c>
      <c r="Z803" s="5" t="s">
        <v>132</v>
      </c>
    </row>
    <row r="804" spans="1:26" x14ac:dyDescent="0.25">
      <c r="A804">
        <v>2030697182</v>
      </c>
      <c r="B804" t="s">
        <v>193</v>
      </c>
      <c r="C804" t="s">
        <v>194</v>
      </c>
      <c r="D804" s="5" t="str">
        <f t="shared" si="42"/>
        <v>ABBEY BORROUGHS</v>
      </c>
      <c r="E804" t="s">
        <v>195</v>
      </c>
      <c r="F804" t="s">
        <v>53</v>
      </c>
      <c r="G804" t="s">
        <v>132</v>
      </c>
      <c r="H804">
        <v>15950276</v>
      </c>
      <c r="I804" t="s">
        <v>196</v>
      </c>
      <c r="J804" t="s">
        <v>197</v>
      </c>
      <c r="K804" t="str">
        <f t="shared" si="43"/>
        <v>Ryan Stocker</v>
      </c>
      <c r="L804" t="s">
        <v>57</v>
      </c>
      <c r="M804" s="1">
        <v>45901</v>
      </c>
      <c r="N804" s="1">
        <v>45992</v>
      </c>
      <c r="O804" s="2">
        <v>68.63</v>
      </c>
      <c r="P804">
        <f t="shared" si="41"/>
        <v>3</v>
      </c>
      <c r="Q804" t="s">
        <v>264</v>
      </c>
      <c r="R804" t="s">
        <v>1086</v>
      </c>
      <c r="S804" t="s">
        <v>58</v>
      </c>
      <c r="T804" s="3">
        <v>0.9</v>
      </c>
      <c r="U804" t="s">
        <v>60</v>
      </c>
      <c r="V804" t="s">
        <v>61</v>
      </c>
      <c r="W804" s="2">
        <v>61.77</v>
      </c>
      <c r="X804" s="2">
        <v>0</v>
      </c>
      <c r="Y804" s="2">
        <v>61.77</v>
      </c>
      <c r="Z804" s="5" t="s">
        <v>132</v>
      </c>
    </row>
    <row r="805" spans="1:26" x14ac:dyDescent="0.25">
      <c r="A805">
        <v>2029557202</v>
      </c>
      <c r="B805" t="s">
        <v>1065</v>
      </c>
      <c r="C805" t="s">
        <v>1066</v>
      </c>
      <c r="D805" s="5" t="str">
        <f t="shared" si="42"/>
        <v>HOEPFNER GREGG</v>
      </c>
      <c r="E805" t="s">
        <v>118</v>
      </c>
      <c r="F805" t="s">
        <v>53</v>
      </c>
      <c r="G805" t="s">
        <v>132</v>
      </c>
      <c r="H805">
        <v>5442438</v>
      </c>
      <c r="I805" t="s">
        <v>120</v>
      </c>
      <c r="J805" t="s">
        <v>121</v>
      </c>
      <c r="K805" t="str">
        <f t="shared" si="43"/>
        <v>Ronald Max</v>
      </c>
      <c r="L805" t="s">
        <v>57</v>
      </c>
      <c r="M805" s="1">
        <v>45836</v>
      </c>
      <c r="N805" s="1">
        <v>45989</v>
      </c>
      <c r="O805" s="2">
        <v>40.18</v>
      </c>
      <c r="P805">
        <f t="shared" si="41"/>
        <v>5</v>
      </c>
      <c r="Q805" t="s">
        <v>264</v>
      </c>
      <c r="R805" t="s">
        <v>1086</v>
      </c>
      <c r="S805" t="s">
        <v>58</v>
      </c>
      <c r="T805" s="3">
        <v>0.9</v>
      </c>
      <c r="U805" t="s">
        <v>60</v>
      </c>
      <c r="V805" t="s">
        <v>61</v>
      </c>
      <c r="W805" s="2">
        <v>0</v>
      </c>
      <c r="X805" s="2">
        <v>36.159999999999997</v>
      </c>
      <c r="Y805" s="2">
        <v>36.159999999999997</v>
      </c>
      <c r="Z805" s="5" t="s">
        <v>132</v>
      </c>
    </row>
    <row r="806" spans="1:26" x14ac:dyDescent="0.25">
      <c r="A806">
        <v>2028960907</v>
      </c>
      <c r="B806" t="s">
        <v>789</v>
      </c>
      <c r="C806" t="s">
        <v>790</v>
      </c>
      <c r="D806" s="5" t="str">
        <f t="shared" si="42"/>
        <v>SCHOENDIENST LINDSEY</v>
      </c>
      <c r="E806" t="s">
        <v>69</v>
      </c>
      <c r="F806" t="s">
        <v>53</v>
      </c>
      <c r="G806" t="s">
        <v>132</v>
      </c>
      <c r="H806" t="s">
        <v>1083</v>
      </c>
      <c r="I806" t="s">
        <v>70</v>
      </c>
      <c r="J806" t="s">
        <v>71</v>
      </c>
      <c r="K806" t="str">
        <f t="shared" si="43"/>
        <v>Chad Yale</v>
      </c>
      <c r="L806" t="s">
        <v>57</v>
      </c>
      <c r="M806" s="1">
        <v>45809</v>
      </c>
      <c r="N806" s="1">
        <v>45992</v>
      </c>
      <c r="O806" s="2">
        <v>12.92</v>
      </c>
      <c r="P806">
        <f t="shared" si="41"/>
        <v>6</v>
      </c>
      <c r="Q806" t="s">
        <v>264</v>
      </c>
      <c r="R806" t="s">
        <v>1086</v>
      </c>
      <c r="S806" t="s">
        <v>58</v>
      </c>
      <c r="T806" s="3">
        <v>0.9</v>
      </c>
      <c r="U806" t="s">
        <v>60</v>
      </c>
      <c r="V806" t="s">
        <v>61</v>
      </c>
      <c r="W806" s="2">
        <v>11.63</v>
      </c>
      <c r="X806" s="2">
        <v>0</v>
      </c>
      <c r="Y806" s="2">
        <v>11.63</v>
      </c>
      <c r="Z806" s="5" t="s">
        <v>132</v>
      </c>
    </row>
    <row r="807" spans="1:26" x14ac:dyDescent="0.25">
      <c r="A807">
        <v>2028857839</v>
      </c>
      <c r="B807" t="s">
        <v>422</v>
      </c>
      <c r="C807" t="s">
        <v>638</v>
      </c>
      <c r="D807" s="5" t="str">
        <f t="shared" si="42"/>
        <v>PARKS DEE</v>
      </c>
      <c r="E807" t="s">
        <v>613</v>
      </c>
      <c r="F807" t="s">
        <v>53</v>
      </c>
      <c r="G807" t="s">
        <v>132</v>
      </c>
      <c r="H807">
        <v>8307933</v>
      </c>
      <c r="I807" t="s">
        <v>560</v>
      </c>
      <c r="J807" t="s">
        <v>336</v>
      </c>
      <c r="K807" t="str">
        <f t="shared" si="43"/>
        <v>GREGORY TEIPEL</v>
      </c>
      <c r="L807" t="s">
        <v>57</v>
      </c>
      <c r="M807" s="1">
        <v>45789</v>
      </c>
      <c r="N807" s="1">
        <v>45973</v>
      </c>
      <c r="O807" s="2">
        <v>51.63</v>
      </c>
      <c r="P807">
        <f t="shared" si="41"/>
        <v>6</v>
      </c>
      <c r="Q807" t="s">
        <v>264</v>
      </c>
      <c r="R807" t="s">
        <v>1086</v>
      </c>
      <c r="S807" t="s">
        <v>58</v>
      </c>
      <c r="T807" s="3">
        <v>0.9</v>
      </c>
      <c r="U807" t="s">
        <v>60</v>
      </c>
      <c r="V807" t="s">
        <v>61</v>
      </c>
      <c r="W807" s="2">
        <v>0</v>
      </c>
      <c r="X807" s="2">
        <v>46.47</v>
      </c>
      <c r="Y807" s="2">
        <v>46.47</v>
      </c>
      <c r="Z807" s="5" t="s">
        <v>132</v>
      </c>
    </row>
    <row r="808" spans="1:26" x14ac:dyDescent="0.25">
      <c r="A808">
        <v>2028776890</v>
      </c>
      <c r="B808" t="s">
        <v>635</v>
      </c>
      <c r="C808" t="s">
        <v>354</v>
      </c>
      <c r="D808" s="5" t="str">
        <f t="shared" si="42"/>
        <v>RIDING JAMES</v>
      </c>
      <c r="E808" t="s">
        <v>636</v>
      </c>
      <c r="F808" t="s">
        <v>53</v>
      </c>
      <c r="G808" t="s">
        <v>132</v>
      </c>
      <c r="H808">
        <v>8977234</v>
      </c>
      <c r="I808" t="s">
        <v>55</v>
      </c>
      <c r="J808" t="s">
        <v>56</v>
      </c>
      <c r="K808" t="str">
        <f t="shared" si="43"/>
        <v>RYAN CALTAGIRONE</v>
      </c>
      <c r="L808" t="s">
        <v>57</v>
      </c>
      <c r="M808" s="1">
        <v>45809</v>
      </c>
      <c r="N808" s="1">
        <v>45992</v>
      </c>
      <c r="O808" s="2">
        <v>49.85</v>
      </c>
      <c r="P808">
        <f t="shared" si="41"/>
        <v>6</v>
      </c>
      <c r="Q808" t="s">
        <v>264</v>
      </c>
      <c r="R808" t="s">
        <v>1086</v>
      </c>
      <c r="S808" t="s">
        <v>58</v>
      </c>
      <c r="T808" s="3">
        <v>0.9</v>
      </c>
      <c r="U808" t="s">
        <v>60</v>
      </c>
      <c r="V808" t="s">
        <v>61</v>
      </c>
      <c r="W808" s="2">
        <v>0</v>
      </c>
      <c r="X808" s="2">
        <v>44.86</v>
      </c>
      <c r="Y808" s="2">
        <v>44.86</v>
      </c>
      <c r="Z808" s="5" t="s">
        <v>132</v>
      </c>
    </row>
    <row r="809" spans="1:26" x14ac:dyDescent="0.25">
      <c r="A809">
        <v>2027785591</v>
      </c>
      <c r="B809" t="s">
        <v>1012</v>
      </c>
      <c r="C809" t="s">
        <v>1013</v>
      </c>
      <c r="D809" s="5" t="str">
        <f t="shared" si="42"/>
        <v>ROBINSON-MARTIN CYNTHIA</v>
      </c>
      <c r="E809" t="s">
        <v>165</v>
      </c>
      <c r="F809" t="s">
        <v>53</v>
      </c>
      <c r="G809" t="s">
        <v>132</v>
      </c>
      <c r="H809">
        <v>21348299</v>
      </c>
      <c r="I809" t="s">
        <v>88</v>
      </c>
      <c r="J809" t="s">
        <v>89</v>
      </c>
      <c r="K809" t="str">
        <f t="shared" si="43"/>
        <v>BARRY BRENNER</v>
      </c>
      <c r="L809" t="s">
        <v>57</v>
      </c>
      <c r="M809" s="1">
        <v>45748</v>
      </c>
      <c r="N809" s="1">
        <v>45992</v>
      </c>
      <c r="O809" s="2">
        <v>21.6</v>
      </c>
      <c r="P809">
        <f t="shared" si="41"/>
        <v>8</v>
      </c>
      <c r="Q809" t="s">
        <v>264</v>
      </c>
      <c r="R809" t="s">
        <v>1086</v>
      </c>
      <c r="S809" t="s">
        <v>58</v>
      </c>
      <c r="T809" s="3">
        <v>0.9</v>
      </c>
      <c r="U809" t="s">
        <v>60</v>
      </c>
      <c r="V809" t="s">
        <v>61</v>
      </c>
      <c r="W809" s="2">
        <v>0</v>
      </c>
      <c r="X809" s="2">
        <v>19.440000000000001</v>
      </c>
      <c r="Y809" s="2">
        <v>19.440000000000001</v>
      </c>
      <c r="Z809" s="5" t="s">
        <v>132</v>
      </c>
    </row>
    <row r="810" spans="1:26" x14ac:dyDescent="0.25">
      <c r="A810">
        <v>2028044364</v>
      </c>
      <c r="B810" t="s">
        <v>280</v>
      </c>
      <c r="C810" t="s">
        <v>907</v>
      </c>
      <c r="D810" s="5" t="str">
        <f t="shared" si="42"/>
        <v>MARTIN TRACEY</v>
      </c>
      <c r="E810" t="s">
        <v>69</v>
      </c>
      <c r="F810" t="s">
        <v>53</v>
      </c>
      <c r="G810" t="s">
        <v>132</v>
      </c>
      <c r="H810">
        <v>21348299</v>
      </c>
      <c r="I810" t="s">
        <v>88</v>
      </c>
      <c r="J810" t="s">
        <v>89</v>
      </c>
      <c r="K810" t="str">
        <f t="shared" si="43"/>
        <v>BARRY BRENNER</v>
      </c>
      <c r="L810" t="s">
        <v>57</v>
      </c>
      <c r="M810" s="1">
        <v>45748</v>
      </c>
      <c r="N810" s="1">
        <v>45992</v>
      </c>
      <c r="O810" s="2">
        <v>96.33</v>
      </c>
      <c r="P810">
        <f t="shared" si="41"/>
        <v>8</v>
      </c>
      <c r="Q810" t="s">
        <v>264</v>
      </c>
      <c r="R810" t="s">
        <v>1086</v>
      </c>
      <c r="S810" t="s">
        <v>58</v>
      </c>
      <c r="T810" s="3">
        <v>0.9</v>
      </c>
      <c r="U810" t="s">
        <v>60</v>
      </c>
      <c r="V810" t="s">
        <v>61</v>
      </c>
      <c r="W810" s="2">
        <v>0</v>
      </c>
      <c r="X810" s="2">
        <v>86.7</v>
      </c>
      <c r="Y810" s="2">
        <v>86.7</v>
      </c>
      <c r="Z810" s="5" t="s">
        <v>132</v>
      </c>
    </row>
    <row r="811" spans="1:26" x14ac:dyDescent="0.25">
      <c r="A811">
        <v>2028041473</v>
      </c>
      <c r="B811" t="s">
        <v>162</v>
      </c>
      <c r="C811" t="s">
        <v>1028</v>
      </c>
      <c r="D811" s="5" t="str">
        <f t="shared" si="42"/>
        <v>HART VIRGINIA</v>
      </c>
      <c r="E811" t="s">
        <v>195</v>
      </c>
      <c r="F811" t="s">
        <v>53</v>
      </c>
      <c r="G811" t="s">
        <v>132</v>
      </c>
      <c r="H811">
        <v>8307933</v>
      </c>
      <c r="I811" t="s">
        <v>560</v>
      </c>
      <c r="J811" t="s">
        <v>336</v>
      </c>
      <c r="K811" t="str">
        <f t="shared" si="43"/>
        <v>GREGORY TEIPEL</v>
      </c>
      <c r="L811" t="s">
        <v>57</v>
      </c>
      <c r="M811" s="1">
        <v>45748</v>
      </c>
      <c r="N811" s="1">
        <v>45992</v>
      </c>
      <c r="O811" s="2">
        <v>99.25</v>
      </c>
      <c r="P811">
        <f t="shared" si="41"/>
        <v>8</v>
      </c>
      <c r="Q811" t="s">
        <v>264</v>
      </c>
      <c r="R811" t="s">
        <v>1086</v>
      </c>
      <c r="S811" t="s">
        <v>58</v>
      </c>
      <c r="T811" s="3">
        <v>0.9</v>
      </c>
      <c r="U811" t="s">
        <v>60</v>
      </c>
      <c r="V811" t="s">
        <v>61</v>
      </c>
      <c r="W811" s="2">
        <v>0</v>
      </c>
      <c r="X811" s="2">
        <v>89.32</v>
      </c>
      <c r="Y811" s="2">
        <v>89.32</v>
      </c>
      <c r="Z811" s="5" t="s">
        <v>132</v>
      </c>
    </row>
    <row r="812" spans="1:26" x14ac:dyDescent="0.25">
      <c r="A812">
        <v>2027957199</v>
      </c>
      <c r="B812" t="s">
        <v>1018</v>
      </c>
      <c r="C812" t="s">
        <v>483</v>
      </c>
      <c r="D812" s="5" t="str">
        <f t="shared" si="42"/>
        <v>HAMRICK KAREN</v>
      </c>
      <c r="E812" t="s">
        <v>118</v>
      </c>
      <c r="F812" t="s">
        <v>53</v>
      </c>
      <c r="G812" t="s">
        <v>132</v>
      </c>
      <c r="H812">
        <v>5442438</v>
      </c>
      <c r="I812" t="s">
        <v>120</v>
      </c>
      <c r="J812" t="s">
        <v>121</v>
      </c>
      <c r="K812" t="str">
        <f t="shared" si="43"/>
        <v>Ronald Max</v>
      </c>
      <c r="L812" t="s">
        <v>57</v>
      </c>
      <c r="M812" s="1">
        <v>45743</v>
      </c>
      <c r="N812" s="1">
        <v>45988</v>
      </c>
      <c r="O812" s="2">
        <v>96.17</v>
      </c>
      <c r="P812">
        <f t="shared" si="41"/>
        <v>8</v>
      </c>
      <c r="Q812" t="s">
        <v>264</v>
      </c>
      <c r="R812" t="s">
        <v>1086</v>
      </c>
      <c r="S812" t="s">
        <v>58</v>
      </c>
      <c r="T812" s="3">
        <v>0.9</v>
      </c>
      <c r="U812" t="s">
        <v>60</v>
      </c>
      <c r="V812" t="s">
        <v>61</v>
      </c>
      <c r="W812" s="2">
        <v>0</v>
      </c>
      <c r="X812" s="2">
        <v>86.55</v>
      </c>
      <c r="Y812" s="2">
        <v>86.55</v>
      </c>
      <c r="Z812" s="5" t="s">
        <v>132</v>
      </c>
    </row>
    <row r="813" spans="1:26" x14ac:dyDescent="0.25">
      <c r="A813">
        <v>2022148752</v>
      </c>
      <c r="B813" t="s">
        <v>750</v>
      </c>
      <c r="C813" t="s">
        <v>751</v>
      </c>
      <c r="D813" s="5" t="str">
        <f t="shared" si="42"/>
        <v>WALLACE FELICIA</v>
      </c>
      <c r="E813" t="s">
        <v>742</v>
      </c>
      <c r="F813" t="s">
        <v>53</v>
      </c>
      <c r="G813" t="s">
        <v>132</v>
      </c>
      <c r="H813">
        <v>8307933</v>
      </c>
      <c r="I813" t="s">
        <v>560</v>
      </c>
      <c r="J813" t="s">
        <v>336</v>
      </c>
      <c r="K813" t="str">
        <f t="shared" si="43"/>
        <v>GREGORY TEIPEL</v>
      </c>
      <c r="L813" t="s">
        <v>57</v>
      </c>
      <c r="M813" s="1">
        <v>45377</v>
      </c>
      <c r="N813" s="1">
        <v>45987</v>
      </c>
      <c r="O813" s="2">
        <v>51.31</v>
      </c>
      <c r="P813">
        <f t="shared" si="41"/>
        <v>20</v>
      </c>
      <c r="Q813" t="s">
        <v>264</v>
      </c>
      <c r="R813" t="s">
        <v>1086</v>
      </c>
      <c r="S813" t="s">
        <v>58</v>
      </c>
      <c r="T813" s="3">
        <v>0.1</v>
      </c>
      <c r="U813" t="s">
        <v>264</v>
      </c>
      <c r="V813" t="s">
        <v>61</v>
      </c>
      <c r="W813" s="2">
        <v>0</v>
      </c>
      <c r="X813" s="2">
        <v>5.13</v>
      </c>
      <c r="Y813" s="2">
        <v>5.13</v>
      </c>
      <c r="Z813" s="5" t="s">
        <v>132</v>
      </c>
    </row>
    <row r="814" spans="1:26" x14ac:dyDescent="0.25">
      <c r="A814">
        <v>2020617793</v>
      </c>
      <c r="B814" t="s">
        <v>743</v>
      </c>
      <c r="C814" t="s">
        <v>744</v>
      </c>
      <c r="D814" s="5" t="str">
        <f t="shared" si="42"/>
        <v>GIRON EDWAR</v>
      </c>
      <c r="E814" t="s">
        <v>555</v>
      </c>
      <c r="F814" t="s">
        <v>53</v>
      </c>
      <c r="G814" t="s">
        <v>132</v>
      </c>
      <c r="H814">
        <v>9079571</v>
      </c>
      <c r="I814" t="s">
        <v>155</v>
      </c>
      <c r="J814" t="s">
        <v>156</v>
      </c>
      <c r="K814" t="str">
        <f t="shared" si="43"/>
        <v>ADAM RICHTER</v>
      </c>
      <c r="L814" t="s">
        <v>57</v>
      </c>
      <c r="M814" s="1">
        <v>45231</v>
      </c>
      <c r="N814" s="1">
        <v>45992</v>
      </c>
      <c r="O814" s="2">
        <v>76.17</v>
      </c>
      <c r="P814">
        <f t="shared" si="41"/>
        <v>25</v>
      </c>
      <c r="Q814" t="s">
        <v>264</v>
      </c>
      <c r="R814" t="s">
        <v>1086</v>
      </c>
      <c r="S814" t="s">
        <v>58</v>
      </c>
      <c r="T814" s="3">
        <v>0.1</v>
      </c>
      <c r="U814" t="s">
        <v>264</v>
      </c>
      <c r="V814" t="s">
        <v>61</v>
      </c>
      <c r="W814" s="2">
        <v>0</v>
      </c>
      <c r="X814" s="2">
        <v>7.62</v>
      </c>
      <c r="Y814" s="2">
        <v>7.62</v>
      </c>
      <c r="Z814" s="5" t="s">
        <v>132</v>
      </c>
    </row>
    <row r="815" spans="1:26" x14ac:dyDescent="0.25">
      <c r="A815">
        <v>2020428894</v>
      </c>
      <c r="B815" t="s">
        <v>741</v>
      </c>
      <c r="C815" t="s">
        <v>99</v>
      </c>
      <c r="D815" s="5" t="str">
        <f t="shared" si="42"/>
        <v>COIA TINA</v>
      </c>
      <c r="E815" t="s">
        <v>742</v>
      </c>
      <c r="F815" t="s">
        <v>53</v>
      </c>
      <c r="G815" t="s">
        <v>132</v>
      </c>
      <c r="H815">
        <v>8307933</v>
      </c>
      <c r="I815" t="s">
        <v>560</v>
      </c>
      <c r="J815" t="s">
        <v>336</v>
      </c>
      <c r="K815" t="str">
        <f t="shared" si="43"/>
        <v>GREGORY TEIPEL</v>
      </c>
      <c r="L815" t="s">
        <v>57</v>
      </c>
      <c r="M815" s="1">
        <v>45231</v>
      </c>
      <c r="N815" s="1">
        <v>45992</v>
      </c>
      <c r="O815" s="2">
        <v>99.25</v>
      </c>
      <c r="P815">
        <f t="shared" si="41"/>
        <v>25</v>
      </c>
      <c r="Q815" t="s">
        <v>264</v>
      </c>
      <c r="R815" t="s">
        <v>1086</v>
      </c>
      <c r="S815" t="s">
        <v>58</v>
      </c>
      <c r="T815" s="3">
        <v>0.1</v>
      </c>
      <c r="U815" t="s">
        <v>264</v>
      </c>
      <c r="V815" t="s">
        <v>61</v>
      </c>
      <c r="W815" s="2">
        <v>0</v>
      </c>
      <c r="X815" s="2">
        <v>9.92</v>
      </c>
      <c r="Y815" s="2">
        <v>9.92</v>
      </c>
      <c r="Z815" s="5" t="s">
        <v>132</v>
      </c>
    </row>
    <row r="816" spans="1:26" x14ac:dyDescent="0.25">
      <c r="A816">
        <v>2019414593</v>
      </c>
      <c r="B816" t="s">
        <v>734</v>
      </c>
      <c r="C816" t="s">
        <v>735</v>
      </c>
      <c r="D816" s="5" t="str">
        <f t="shared" si="42"/>
        <v>KELLEY SUSANNE</v>
      </c>
      <c r="E816" t="s">
        <v>182</v>
      </c>
      <c r="F816" t="s">
        <v>53</v>
      </c>
      <c r="G816" t="s">
        <v>132</v>
      </c>
      <c r="H816">
        <v>8977234</v>
      </c>
      <c r="I816" t="s">
        <v>55</v>
      </c>
      <c r="J816" t="s">
        <v>56</v>
      </c>
      <c r="K816" t="str">
        <f t="shared" si="43"/>
        <v>RYAN CALTAGIRONE</v>
      </c>
      <c r="L816" t="s">
        <v>57</v>
      </c>
      <c r="M816" s="1">
        <v>45170</v>
      </c>
      <c r="N816" s="1">
        <v>45992</v>
      </c>
      <c r="O816" s="2">
        <v>23.05</v>
      </c>
      <c r="P816">
        <f t="shared" si="41"/>
        <v>27</v>
      </c>
      <c r="Q816" t="s">
        <v>264</v>
      </c>
      <c r="R816" t="s">
        <v>1086</v>
      </c>
      <c r="S816" t="s">
        <v>58</v>
      </c>
      <c r="T816" s="3">
        <v>0.1</v>
      </c>
      <c r="U816" t="s">
        <v>264</v>
      </c>
      <c r="V816" t="s">
        <v>61</v>
      </c>
      <c r="W816" s="2">
        <v>0</v>
      </c>
      <c r="X816" s="2">
        <v>2.2999999999999998</v>
      </c>
      <c r="Y816" s="2">
        <v>2.2999999999999998</v>
      </c>
      <c r="Z816" s="5" t="s">
        <v>132</v>
      </c>
    </row>
    <row r="817" spans="1:26" x14ac:dyDescent="0.25">
      <c r="A817">
        <v>2019527580</v>
      </c>
      <c r="B817" t="s">
        <v>736</v>
      </c>
      <c r="C817" t="s">
        <v>62</v>
      </c>
      <c r="D817" s="5" t="str">
        <f t="shared" si="42"/>
        <v>CHRISTIANSEN LISA</v>
      </c>
      <c r="E817" t="s">
        <v>276</v>
      </c>
      <c r="F817" t="s">
        <v>53</v>
      </c>
      <c r="G817" t="s">
        <v>132</v>
      </c>
      <c r="H817">
        <v>8977234</v>
      </c>
      <c r="I817" t="s">
        <v>55</v>
      </c>
      <c r="J817" t="s">
        <v>56</v>
      </c>
      <c r="K817" t="str">
        <f t="shared" si="43"/>
        <v>RYAN CALTAGIRONE</v>
      </c>
      <c r="L817" t="s">
        <v>57</v>
      </c>
      <c r="M817" s="1">
        <v>45161</v>
      </c>
      <c r="N817" s="1">
        <v>45984</v>
      </c>
      <c r="O817" s="2">
        <v>99.25</v>
      </c>
      <c r="P817">
        <f t="shared" si="41"/>
        <v>27</v>
      </c>
      <c r="Q817" t="s">
        <v>264</v>
      </c>
      <c r="R817" t="s">
        <v>1086</v>
      </c>
      <c r="S817" t="s">
        <v>58</v>
      </c>
      <c r="T817" s="3">
        <v>0.1</v>
      </c>
      <c r="U817" t="s">
        <v>264</v>
      </c>
      <c r="V817" t="s">
        <v>61</v>
      </c>
      <c r="W817" s="2">
        <v>0</v>
      </c>
      <c r="X817" s="2">
        <v>9.92</v>
      </c>
      <c r="Y817" s="2">
        <v>9.92</v>
      </c>
      <c r="Z817" s="5" t="s">
        <v>132</v>
      </c>
    </row>
    <row r="818" spans="1:26" x14ac:dyDescent="0.25">
      <c r="A818">
        <v>2018077138</v>
      </c>
      <c r="B818" t="s">
        <v>572</v>
      </c>
      <c r="C818" t="s">
        <v>312</v>
      </c>
      <c r="D818" s="5" t="str">
        <f t="shared" si="42"/>
        <v>COLEMAN JOHN</v>
      </c>
      <c r="E818" t="s">
        <v>118</v>
      </c>
      <c r="F818" t="s">
        <v>53</v>
      </c>
      <c r="G818" t="s">
        <v>132</v>
      </c>
      <c r="H818">
        <v>9079571</v>
      </c>
      <c r="I818" t="s">
        <v>155</v>
      </c>
      <c r="J818" t="s">
        <v>156</v>
      </c>
      <c r="K818" t="str">
        <f t="shared" si="43"/>
        <v>ADAM RICHTER</v>
      </c>
      <c r="L818" t="s">
        <v>57</v>
      </c>
      <c r="M818" s="1">
        <v>45017</v>
      </c>
      <c r="N818" s="1">
        <v>45992</v>
      </c>
      <c r="O818" s="2">
        <v>56.75</v>
      </c>
      <c r="P818">
        <f t="shared" si="41"/>
        <v>32</v>
      </c>
      <c r="Q818" t="s">
        <v>264</v>
      </c>
      <c r="R818" t="s">
        <v>1086</v>
      </c>
      <c r="S818" t="s">
        <v>58</v>
      </c>
      <c r="T818" s="3">
        <v>0.1</v>
      </c>
      <c r="U818" t="s">
        <v>264</v>
      </c>
      <c r="V818" t="s">
        <v>61</v>
      </c>
      <c r="W818" s="2">
        <v>0</v>
      </c>
      <c r="X818" s="2">
        <v>5.68</v>
      </c>
      <c r="Y818" s="2">
        <v>5.68</v>
      </c>
      <c r="Z818" s="5" t="s">
        <v>132</v>
      </c>
    </row>
    <row r="819" spans="1:26" x14ac:dyDescent="0.25">
      <c r="A819">
        <v>2018192803</v>
      </c>
      <c r="B819" t="s">
        <v>573</v>
      </c>
      <c r="C819" t="s">
        <v>574</v>
      </c>
      <c r="D819" s="5" t="str">
        <f t="shared" si="42"/>
        <v>MERCER MELISSA</v>
      </c>
      <c r="E819" t="s">
        <v>165</v>
      </c>
      <c r="F819" t="s">
        <v>53</v>
      </c>
      <c r="G819" t="s">
        <v>132</v>
      </c>
      <c r="H819">
        <v>8307933</v>
      </c>
      <c r="I819" t="s">
        <v>560</v>
      </c>
      <c r="J819" t="s">
        <v>336</v>
      </c>
      <c r="K819" t="str">
        <f t="shared" si="43"/>
        <v>GREGORY TEIPEL</v>
      </c>
      <c r="L819" t="s">
        <v>57</v>
      </c>
      <c r="M819" s="1">
        <v>45015</v>
      </c>
      <c r="N819" s="1">
        <v>45991</v>
      </c>
      <c r="O819" s="2">
        <v>75.44</v>
      </c>
      <c r="P819">
        <f t="shared" si="41"/>
        <v>32</v>
      </c>
      <c r="Q819" t="s">
        <v>264</v>
      </c>
      <c r="R819" t="s">
        <v>1086</v>
      </c>
      <c r="S819" t="s">
        <v>58</v>
      </c>
      <c r="T819" s="3">
        <v>0.1</v>
      </c>
      <c r="U819" t="s">
        <v>264</v>
      </c>
      <c r="V819" t="s">
        <v>61</v>
      </c>
      <c r="W819" s="2">
        <v>0</v>
      </c>
      <c r="X819" s="2">
        <v>7.54</v>
      </c>
      <c r="Y819" s="2">
        <v>7.54</v>
      </c>
      <c r="Z819" s="5" t="s">
        <v>132</v>
      </c>
    </row>
    <row r="820" spans="1:26" x14ac:dyDescent="0.25">
      <c r="A820">
        <v>2017608417</v>
      </c>
      <c r="B820" t="s">
        <v>576</v>
      </c>
      <c r="C820" t="s">
        <v>374</v>
      </c>
      <c r="D820" s="5" t="str">
        <f t="shared" si="42"/>
        <v>JACKSON ROBERT</v>
      </c>
      <c r="E820" t="s">
        <v>696</v>
      </c>
      <c r="F820" t="s">
        <v>53</v>
      </c>
      <c r="G820" t="s">
        <v>132</v>
      </c>
      <c r="H820">
        <v>8307933</v>
      </c>
      <c r="I820" t="s">
        <v>560</v>
      </c>
      <c r="J820" t="s">
        <v>336</v>
      </c>
      <c r="K820" t="str">
        <f t="shared" si="43"/>
        <v>GREGORY TEIPEL</v>
      </c>
      <c r="L820" t="s">
        <v>57</v>
      </c>
      <c r="M820" s="1">
        <v>44983</v>
      </c>
      <c r="N820" s="1">
        <v>45987</v>
      </c>
      <c r="O820" s="2">
        <v>163.25</v>
      </c>
      <c r="P820">
        <f t="shared" si="41"/>
        <v>33</v>
      </c>
      <c r="Q820" t="s">
        <v>264</v>
      </c>
      <c r="R820" t="s">
        <v>1086</v>
      </c>
      <c r="S820" t="s">
        <v>58</v>
      </c>
      <c r="T820" s="3">
        <v>0.1</v>
      </c>
      <c r="U820" t="s">
        <v>264</v>
      </c>
      <c r="V820" t="s">
        <v>61</v>
      </c>
      <c r="W820" s="2">
        <v>0</v>
      </c>
      <c r="X820" s="2">
        <v>16.32</v>
      </c>
      <c r="Y820" s="2">
        <v>16.32</v>
      </c>
      <c r="Z820" s="5" t="s">
        <v>132</v>
      </c>
    </row>
    <row r="821" spans="1:26" x14ac:dyDescent="0.25">
      <c r="A821">
        <v>2017383051</v>
      </c>
      <c r="B821" t="s">
        <v>720</v>
      </c>
      <c r="C821" t="s">
        <v>721</v>
      </c>
      <c r="D821" s="5" t="str">
        <f t="shared" si="42"/>
        <v>PHELPS ROGER</v>
      </c>
      <c r="E821" t="s">
        <v>78</v>
      </c>
      <c r="F821" t="s">
        <v>53</v>
      </c>
      <c r="G821" t="s">
        <v>132</v>
      </c>
      <c r="H821">
        <v>8307933</v>
      </c>
      <c r="I821" t="s">
        <v>560</v>
      </c>
      <c r="J821" t="s">
        <v>336</v>
      </c>
      <c r="K821" t="str">
        <f t="shared" si="43"/>
        <v>GREGORY TEIPEL</v>
      </c>
      <c r="L821" t="s">
        <v>57</v>
      </c>
      <c r="M821" s="1">
        <v>44959</v>
      </c>
      <c r="N821" s="1">
        <v>45993</v>
      </c>
      <c r="O821" s="2">
        <v>211.08</v>
      </c>
      <c r="P821">
        <f t="shared" si="41"/>
        <v>34</v>
      </c>
      <c r="Q821" t="s">
        <v>264</v>
      </c>
      <c r="R821" t="s">
        <v>1086</v>
      </c>
      <c r="S821" t="s">
        <v>58</v>
      </c>
      <c r="T821" s="3">
        <v>0.1</v>
      </c>
      <c r="U821" t="s">
        <v>264</v>
      </c>
      <c r="V821" t="s">
        <v>61</v>
      </c>
      <c r="W821" s="2">
        <v>0</v>
      </c>
      <c r="X821" s="2">
        <v>21.11</v>
      </c>
      <c r="Y821" s="2">
        <v>21.11</v>
      </c>
      <c r="Z821" s="5" t="s">
        <v>132</v>
      </c>
    </row>
    <row r="822" spans="1:26" x14ac:dyDescent="0.25">
      <c r="A822">
        <v>2016589855</v>
      </c>
      <c r="B822" t="s">
        <v>561</v>
      </c>
      <c r="C822" t="s">
        <v>562</v>
      </c>
      <c r="D822" s="5" t="str">
        <f t="shared" si="42"/>
        <v>POWELL LUCAS</v>
      </c>
      <c r="E822" t="s">
        <v>563</v>
      </c>
      <c r="F822" t="s">
        <v>53</v>
      </c>
      <c r="G822" t="s">
        <v>132</v>
      </c>
      <c r="H822">
        <v>8307933</v>
      </c>
      <c r="I822" t="s">
        <v>560</v>
      </c>
      <c r="J822" t="s">
        <v>336</v>
      </c>
      <c r="K822" t="str">
        <f t="shared" si="43"/>
        <v>GREGORY TEIPEL</v>
      </c>
      <c r="L822" t="s">
        <v>57</v>
      </c>
      <c r="M822" s="1">
        <v>44866</v>
      </c>
      <c r="N822" s="1">
        <v>45992</v>
      </c>
      <c r="O822" s="2">
        <v>16.63</v>
      </c>
      <c r="P822">
        <f t="shared" si="41"/>
        <v>37</v>
      </c>
      <c r="Q822" t="s">
        <v>264</v>
      </c>
      <c r="R822" t="s">
        <v>1086</v>
      </c>
      <c r="S822" t="s">
        <v>58</v>
      </c>
      <c r="T822" s="3">
        <v>0.1</v>
      </c>
      <c r="U822" t="s">
        <v>264</v>
      </c>
      <c r="V822" t="s">
        <v>61</v>
      </c>
      <c r="W822" s="2">
        <v>0</v>
      </c>
      <c r="X822" s="2">
        <v>1.66</v>
      </c>
      <c r="Y822" s="2">
        <v>1.66</v>
      </c>
      <c r="Z822" s="5" t="s">
        <v>132</v>
      </c>
    </row>
    <row r="823" spans="1:26" x14ac:dyDescent="0.25">
      <c r="A823">
        <v>2016328596</v>
      </c>
      <c r="B823" t="s">
        <v>558</v>
      </c>
      <c r="C823" t="s">
        <v>342</v>
      </c>
      <c r="D823" s="5" t="str">
        <f t="shared" si="42"/>
        <v>DIETZ STEVEN</v>
      </c>
      <c r="E823" t="s">
        <v>559</v>
      </c>
      <c r="F823" t="s">
        <v>53</v>
      </c>
      <c r="G823" t="s">
        <v>132</v>
      </c>
      <c r="H823">
        <v>8307933</v>
      </c>
      <c r="I823" t="s">
        <v>560</v>
      </c>
      <c r="J823" t="s">
        <v>336</v>
      </c>
      <c r="K823" t="str">
        <f t="shared" si="43"/>
        <v>GREGORY TEIPEL</v>
      </c>
      <c r="L823" t="s">
        <v>57</v>
      </c>
      <c r="M823" s="1">
        <v>44829</v>
      </c>
      <c r="N823" s="1">
        <v>45986</v>
      </c>
      <c r="O823" s="2">
        <v>32.42</v>
      </c>
      <c r="P823">
        <f t="shared" si="41"/>
        <v>38</v>
      </c>
      <c r="Q823" t="s">
        <v>264</v>
      </c>
      <c r="R823" t="s">
        <v>1086</v>
      </c>
      <c r="S823" t="s">
        <v>58</v>
      </c>
      <c r="T823" s="3">
        <v>0.1</v>
      </c>
      <c r="U823" t="s">
        <v>264</v>
      </c>
      <c r="V823" t="s">
        <v>61</v>
      </c>
      <c r="W823" s="2">
        <v>0</v>
      </c>
      <c r="X823" s="2">
        <v>3.24</v>
      </c>
      <c r="Y823" s="2">
        <v>3.24</v>
      </c>
      <c r="Z823" s="5" t="s">
        <v>132</v>
      </c>
    </row>
    <row r="824" spans="1:26" x14ac:dyDescent="0.25">
      <c r="A824">
        <v>2030693610</v>
      </c>
      <c r="B824" t="s">
        <v>314</v>
      </c>
      <c r="C824" t="s">
        <v>556</v>
      </c>
      <c r="D824" s="5" t="str">
        <f t="shared" si="42"/>
        <v>JASON WINTERS</v>
      </c>
      <c r="E824" t="s">
        <v>195</v>
      </c>
      <c r="F824" t="s">
        <v>395</v>
      </c>
      <c r="G824" t="s">
        <v>405</v>
      </c>
      <c r="H824">
        <v>15950276</v>
      </c>
      <c r="I824" t="s">
        <v>196</v>
      </c>
      <c r="J824" t="s">
        <v>197</v>
      </c>
      <c r="K824" t="str">
        <f t="shared" si="43"/>
        <v>Ryan Stocker</v>
      </c>
      <c r="L824" t="s">
        <v>57</v>
      </c>
      <c r="M824" s="1">
        <v>45901</v>
      </c>
      <c r="N824" s="1">
        <v>45992</v>
      </c>
      <c r="O824" s="2">
        <v>41.81</v>
      </c>
      <c r="P824">
        <f t="shared" si="41"/>
        <v>3</v>
      </c>
      <c r="Q824" t="s">
        <v>264</v>
      </c>
      <c r="R824" t="s">
        <v>1086</v>
      </c>
      <c r="S824" t="s">
        <v>58</v>
      </c>
      <c r="T824" s="3">
        <v>0.6</v>
      </c>
      <c r="U824" t="s">
        <v>60</v>
      </c>
      <c r="V824" t="s">
        <v>61</v>
      </c>
      <c r="W824" s="2">
        <v>25.09</v>
      </c>
      <c r="X824" s="2">
        <v>0</v>
      </c>
      <c r="Y824" s="2">
        <v>25.09</v>
      </c>
      <c r="Z824" t="s">
        <v>405</v>
      </c>
    </row>
    <row r="825" spans="1:26" x14ac:dyDescent="0.25">
      <c r="A825">
        <v>2030791105</v>
      </c>
      <c r="B825" t="s">
        <v>192</v>
      </c>
      <c r="C825" t="s">
        <v>557</v>
      </c>
      <c r="D825" s="5" t="str">
        <f t="shared" si="42"/>
        <v>JARED BROWN</v>
      </c>
      <c r="E825" t="s">
        <v>195</v>
      </c>
      <c r="F825" t="s">
        <v>395</v>
      </c>
      <c r="G825" t="s">
        <v>405</v>
      </c>
      <c r="H825">
        <v>15950276</v>
      </c>
      <c r="I825" t="s">
        <v>196</v>
      </c>
      <c r="J825" t="s">
        <v>197</v>
      </c>
      <c r="K825" t="str">
        <f t="shared" si="43"/>
        <v>Ryan Stocker</v>
      </c>
      <c r="L825" t="s">
        <v>57</v>
      </c>
      <c r="M825" s="1">
        <v>45901</v>
      </c>
      <c r="N825" s="1">
        <v>45992</v>
      </c>
      <c r="O825" s="2">
        <v>41.81</v>
      </c>
      <c r="P825">
        <f t="shared" si="41"/>
        <v>3</v>
      </c>
      <c r="Q825" t="s">
        <v>264</v>
      </c>
      <c r="R825" t="s">
        <v>1086</v>
      </c>
      <c r="S825" t="s">
        <v>58</v>
      </c>
      <c r="T825" s="3">
        <v>0.6</v>
      </c>
      <c r="U825" t="s">
        <v>60</v>
      </c>
      <c r="V825" t="s">
        <v>61</v>
      </c>
      <c r="W825" s="2">
        <v>25.09</v>
      </c>
      <c r="X825" s="2">
        <v>0</v>
      </c>
      <c r="Y825" s="2">
        <v>25.09</v>
      </c>
      <c r="Z825" t="s">
        <v>405</v>
      </c>
    </row>
    <row r="826" spans="1:26" x14ac:dyDescent="0.25">
      <c r="A826">
        <v>2028448244</v>
      </c>
      <c r="B826" t="s">
        <v>536</v>
      </c>
      <c r="C826" t="s">
        <v>537</v>
      </c>
      <c r="D826" s="5" t="str">
        <f t="shared" si="42"/>
        <v>HUNT SUSAN</v>
      </c>
      <c r="E826" t="s">
        <v>179</v>
      </c>
      <c r="F826" t="s">
        <v>395</v>
      </c>
      <c r="G826" t="s">
        <v>405</v>
      </c>
      <c r="H826">
        <v>8977234</v>
      </c>
      <c r="I826" t="s">
        <v>55</v>
      </c>
      <c r="J826" t="s">
        <v>56</v>
      </c>
      <c r="K826" t="str">
        <f t="shared" si="43"/>
        <v>RYAN CALTAGIRONE</v>
      </c>
      <c r="L826" t="s">
        <v>57</v>
      </c>
      <c r="M826" s="1">
        <v>45809</v>
      </c>
      <c r="N826" s="1">
        <v>45992</v>
      </c>
      <c r="O826" s="2">
        <v>41.73</v>
      </c>
      <c r="P826">
        <f t="shared" si="41"/>
        <v>6</v>
      </c>
      <c r="Q826" t="s">
        <v>264</v>
      </c>
      <c r="R826" t="s">
        <v>1086</v>
      </c>
      <c r="S826" t="s">
        <v>58</v>
      </c>
      <c r="T826" s="3">
        <v>0.6</v>
      </c>
      <c r="U826" t="s">
        <v>60</v>
      </c>
      <c r="V826" t="s">
        <v>61</v>
      </c>
      <c r="W826" s="2">
        <v>0</v>
      </c>
      <c r="X826" s="2">
        <v>25.04</v>
      </c>
      <c r="Y826" s="2">
        <v>25.04</v>
      </c>
      <c r="Z826" t="s">
        <v>405</v>
      </c>
    </row>
    <row r="827" spans="1:26" x14ac:dyDescent="0.25">
      <c r="A827">
        <v>2027740289</v>
      </c>
      <c r="B827" t="s">
        <v>525</v>
      </c>
      <c r="C827" t="s">
        <v>62</v>
      </c>
      <c r="D827" s="5" t="str">
        <f t="shared" si="42"/>
        <v>KRALLIS LISA</v>
      </c>
      <c r="E827" t="s">
        <v>195</v>
      </c>
      <c r="F827" t="s">
        <v>395</v>
      </c>
      <c r="G827" t="s">
        <v>405</v>
      </c>
      <c r="H827">
        <v>19278370</v>
      </c>
      <c r="I827" t="s">
        <v>321</v>
      </c>
      <c r="J827" t="s">
        <v>322</v>
      </c>
      <c r="K827" t="str">
        <f t="shared" si="43"/>
        <v>ANNE MARIE KOZACHECK</v>
      </c>
      <c r="L827" t="s">
        <v>57</v>
      </c>
      <c r="M827" s="1">
        <v>45748</v>
      </c>
      <c r="N827" s="1">
        <v>45992</v>
      </c>
      <c r="O827" s="2">
        <v>69.260000000000005</v>
      </c>
      <c r="P827">
        <f t="shared" si="41"/>
        <v>8</v>
      </c>
      <c r="Q827" t="s">
        <v>264</v>
      </c>
      <c r="R827" t="s">
        <v>1086</v>
      </c>
      <c r="S827" t="s">
        <v>58</v>
      </c>
      <c r="T827" s="3">
        <v>0.6</v>
      </c>
      <c r="U827" t="s">
        <v>60</v>
      </c>
      <c r="V827" t="s">
        <v>61</v>
      </c>
      <c r="W827" s="2">
        <v>0</v>
      </c>
      <c r="X827" s="2">
        <v>41.56</v>
      </c>
      <c r="Y827" s="2">
        <v>41.56</v>
      </c>
      <c r="Z827" t="s">
        <v>405</v>
      </c>
    </row>
    <row r="828" spans="1:26" x14ac:dyDescent="0.25">
      <c r="A828">
        <v>2026471872</v>
      </c>
      <c r="B828" t="s">
        <v>510</v>
      </c>
      <c r="C828" t="s">
        <v>511</v>
      </c>
      <c r="D828" s="5" t="str">
        <f t="shared" si="42"/>
        <v>STEHLIK NATHAN</v>
      </c>
      <c r="E828" t="s">
        <v>182</v>
      </c>
      <c r="F828" t="s">
        <v>395</v>
      </c>
      <c r="G828" t="s">
        <v>405</v>
      </c>
      <c r="H828">
        <v>8977234</v>
      </c>
      <c r="I828" t="s">
        <v>55</v>
      </c>
      <c r="J828" t="s">
        <v>56</v>
      </c>
      <c r="K828" t="str">
        <f t="shared" si="43"/>
        <v>RYAN CALTAGIRONE</v>
      </c>
      <c r="L828" t="s">
        <v>57</v>
      </c>
      <c r="M828" s="1">
        <v>45689</v>
      </c>
      <c r="N828" s="1">
        <v>45992</v>
      </c>
      <c r="O828" s="2">
        <v>37.81</v>
      </c>
      <c r="P828">
        <f t="shared" si="41"/>
        <v>10</v>
      </c>
      <c r="Q828" t="s">
        <v>264</v>
      </c>
      <c r="R828" t="s">
        <v>1086</v>
      </c>
      <c r="S828" t="s">
        <v>58</v>
      </c>
      <c r="T828" s="3">
        <v>0.6</v>
      </c>
      <c r="U828" t="s">
        <v>60</v>
      </c>
      <c r="V828" t="s">
        <v>61</v>
      </c>
      <c r="W828" s="2">
        <v>0</v>
      </c>
      <c r="X828" s="2">
        <v>22.69</v>
      </c>
      <c r="Y828" s="2">
        <v>22.69</v>
      </c>
      <c r="Z828" t="s">
        <v>405</v>
      </c>
    </row>
    <row r="829" spans="1:26" x14ac:dyDescent="0.25">
      <c r="A829" s="5">
        <v>2028320246</v>
      </c>
      <c r="B829" s="5" t="s">
        <v>534</v>
      </c>
      <c r="C829" s="5" t="s">
        <v>535</v>
      </c>
      <c r="D829" s="5" t="str">
        <f t="shared" si="42"/>
        <v>CABRAL MAGDALENA</v>
      </c>
      <c r="E829" s="5" t="s">
        <v>190</v>
      </c>
      <c r="F829" s="5" t="s">
        <v>395</v>
      </c>
      <c r="G829" s="5" t="s">
        <v>411</v>
      </c>
      <c r="H829" s="5">
        <v>16633294</v>
      </c>
      <c r="I829" s="5" t="s">
        <v>70</v>
      </c>
      <c r="J829" s="5" t="s">
        <v>183</v>
      </c>
      <c r="K829" s="5" t="str">
        <f t="shared" si="43"/>
        <v>Richard Yale</v>
      </c>
      <c r="L829" s="5" t="s">
        <v>57</v>
      </c>
      <c r="M829" s="6">
        <v>45772</v>
      </c>
      <c r="N829" s="6">
        <v>45986</v>
      </c>
      <c r="O829" s="7">
        <v>68.52</v>
      </c>
      <c r="P829" s="5">
        <f t="shared" si="41"/>
        <v>7</v>
      </c>
      <c r="Q829" s="5" t="s">
        <v>264</v>
      </c>
      <c r="R829" s="5" t="s">
        <v>1086</v>
      </c>
      <c r="S829" s="5" t="s">
        <v>58</v>
      </c>
      <c r="T829" s="8">
        <v>0.6</v>
      </c>
      <c r="U829" s="5" t="s">
        <v>60</v>
      </c>
      <c r="V829" s="5" t="s">
        <v>61</v>
      </c>
      <c r="W829" s="7">
        <v>0</v>
      </c>
      <c r="X829" s="7">
        <v>41.11</v>
      </c>
      <c r="Y829" s="7">
        <v>41.11</v>
      </c>
      <c r="Z829" s="5" t="s">
        <v>411</v>
      </c>
    </row>
    <row r="830" spans="1:26" x14ac:dyDescent="0.25">
      <c r="A830">
        <v>2030801809</v>
      </c>
      <c r="B830" t="s">
        <v>232</v>
      </c>
      <c r="C830" t="s">
        <v>233</v>
      </c>
      <c r="D830" s="5" t="str">
        <f t="shared" si="42"/>
        <v>TIMOTHY CHAPMAN</v>
      </c>
      <c r="E830" t="s">
        <v>234</v>
      </c>
      <c r="F830" t="s">
        <v>395</v>
      </c>
      <c r="G830" t="s">
        <v>411</v>
      </c>
      <c r="H830">
        <v>9079571</v>
      </c>
      <c r="I830" t="s">
        <v>155</v>
      </c>
      <c r="J830" t="s">
        <v>156</v>
      </c>
      <c r="K830" t="str">
        <f t="shared" si="43"/>
        <v>ADAM RICHTER</v>
      </c>
      <c r="L830" t="s">
        <v>57</v>
      </c>
      <c r="M830" s="1">
        <v>45901</v>
      </c>
      <c r="N830" s="1">
        <v>45992</v>
      </c>
      <c r="O830" s="2">
        <v>19.91</v>
      </c>
      <c r="P830">
        <f t="shared" si="41"/>
        <v>3</v>
      </c>
      <c r="Q830" t="s">
        <v>264</v>
      </c>
      <c r="R830" t="s">
        <v>1086</v>
      </c>
      <c r="S830" t="s">
        <v>58</v>
      </c>
      <c r="T830" s="3">
        <v>0.6</v>
      </c>
      <c r="U830" t="s">
        <v>60</v>
      </c>
      <c r="V830" t="s">
        <v>61</v>
      </c>
      <c r="W830" s="2">
        <v>11.95</v>
      </c>
      <c r="X830" s="2">
        <v>0</v>
      </c>
      <c r="Y830" s="2">
        <v>11.95</v>
      </c>
      <c r="Z830" s="5" t="s">
        <v>411</v>
      </c>
    </row>
    <row r="831" spans="1:26" x14ac:dyDescent="0.25">
      <c r="A831">
        <v>2030697181</v>
      </c>
      <c r="B831" t="s">
        <v>193</v>
      </c>
      <c r="C831" t="s">
        <v>194</v>
      </c>
      <c r="D831" s="5" t="str">
        <f t="shared" si="42"/>
        <v>ABBEY BORROUGHS</v>
      </c>
      <c r="E831" t="s">
        <v>195</v>
      </c>
      <c r="F831" t="s">
        <v>395</v>
      </c>
      <c r="G831" t="s">
        <v>411</v>
      </c>
      <c r="H831">
        <v>15950276</v>
      </c>
      <c r="I831" t="s">
        <v>196</v>
      </c>
      <c r="J831" t="s">
        <v>197</v>
      </c>
      <c r="K831" t="str">
        <f t="shared" si="43"/>
        <v>Ryan Stocker</v>
      </c>
      <c r="L831" t="s">
        <v>57</v>
      </c>
      <c r="M831" s="1">
        <v>45901</v>
      </c>
      <c r="N831" s="1">
        <v>45992</v>
      </c>
      <c r="O831" s="2">
        <v>75.69</v>
      </c>
      <c r="P831">
        <f t="shared" si="41"/>
        <v>3</v>
      </c>
      <c r="Q831" t="s">
        <v>264</v>
      </c>
      <c r="R831" t="s">
        <v>1086</v>
      </c>
      <c r="S831" t="s">
        <v>58</v>
      </c>
      <c r="T831" s="3">
        <v>0.6</v>
      </c>
      <c r="U831" t="s">
        <v>60</v>
      </c>
      <c r="V831" t="s">
        <v>61</v>
      </c>
      <c r="W831" s="2">
        <v>45.41</v>
      </c>
      <c r="X831" s="2">
        <v>0</v>
      </c>
      <c r="Y831" s="2">
        <v>45.41</v>
      </c>
      <c r="Z831" s="5" t="s">
        <v>411</v>
      </c>
    </row>
    <row r="832" spans="1:26" x14ac:dyDescent="0.25">
      <c r="A832">
        <v>2028934222</v>
      </c>
      <c r="B832" t="s">
        <v>545</v>
      </c>
      <c r="C832" t="s">
        <v>546</v>
      </c>
      <c r="D832" s="5" t="str">
        <f t="shared" si="42"/>
        <v>SHIPPEE JACK</v>
      </c>
      <c r="E832" t="s">
        <v>190</v>
      </c>
      <c r="F832" t="s">
        <v>395</v>
      </c>
      <c r="G832" t="s">
        <v>411</v>
      </c>
      <c r="H832">
        <v>8977234</v>
      </c>
      <c r="I832" t="s">
        <v>55</v>
      </c>
      <c r="J832" t="s">
        <v>56</v>
      </c>
      <c r="K832" t="str">
        <f t="shared" ref="K832:K863" si="44">CONCATENATE(J832, " ",I832)</f>
        <v>RYAN CALTAGIRONE</v>
      </c>
      <c r="L832" t="s">
        <v>57</v>
      </c>
      <c r="M832" s="1">
        <v>45809</v>
      </c>
      <c r="N832" s="1">
        <v>45992</v>
      </c>
      <c r="O832" s="2">
        <v>152.6</v>
      </c>
      <c r="P832">
        <f t="shared" si="41"/>
        <v>6</v>
      </c>
      <c r="Q832" t="s">
        <v>264</v>
      </c>
      <c r="R832" t="s">
        <v>1086</v>
      </c>
      <c r="S832" t="s">
        <v>58</v>
      </c>
      <c r="T832" s="3">
        <v>0.6</v>
      </c>
      <c r="U832" t="s">
        <v>60</v>
      </c>
      <c r="V832" t="s">
        <v>61</v>
      </c>
      <c r="W832" s="2">
        <v>91.56</v>
      </c>
      <c r="X832" s="2">
        <v>0</v>
      </c>
      <c r="Y832" s="2">
        <v>91.56</v>
      </c>
      <c r="Z832" s="5" t="s">
        <v>411</v>
      </c>
    </row>
    <row r="833" spans="1:26" x14ac:dyDescent="0.25">
      <c r="A833">
        <v>2027745346</v>
      </c>
      <c r="B833" t="s">
        <v>526</v>
      </c>
      <c r="C833" t="s">
        <v>527</v>
      </c>
      <c r="D833" s="5" t="str">
        <f t="shared" si="42"/>
        <v>ENGLE FORRY</v>
      </c>
      <c r="E833" t="s">
        <v>276</v>
      </c>
      <c r="F833" t="s">
        <v>395</v>
      </c>
      <c r="G833" t="s">
        <v>411</v>
      </c>
      <c r="H833">
        <v>8977234</v>
      </c>
      <c r="I833" t="s">
        <v>55</v>
      </c>
      <c r="J833" t="s">
        <v>56</v>
      </c>
      <c r="K833" t="str">
        <f t="shared" si="44"/>
        <v>RYAN CALTAGIRONE</v>
      </c>
      <c r="L833" t="s">
        <v>57</v>
      </c>
      <c r="M833" s="1">
        <v>45748</v>
      </c>
      <c r="N833" s="1">
        <v>45992</v>
      </c>
      <c r="O833" s="2">
        <v>90.95</v>
      </c>
      <c r="P833">
        <f t="shared" si="41"/>
        <v>8</v>
      </c>
      <c r="Q833" t="s">
        <v>264</v>
      </c>
      <c r="R833" t="s">
        <v>1086</v>
      </c>
      <c r="S833" t="s">
        <v>58</v>
      </c>
      <c r="T833" s="3">
        <v>0.6</v>
      </c>
      <c r="U833" t="s">
        <v>60</v>
      </c>
      <c r="V833" t="s">
        <v>61</v>
      </c>
      <c r="W833" s="2">
        <v>0</v>
      </c>
      <c r="X833" s="2">
        <v>54.57</v>
      </c>
      <c r="Y833" s="2">
        <v>54.57</v>
      </c>
      <c r="Z833" s="5" t="s">
        <v>411</v>
      </c>
    </row>
    <row r="834" spans="1:26" x14ac:dyDescent="0.25">
      <c r="A834" s="5">
        <v>2016670253</v>
      </c>
      <c r="B834" s="5" t="s">
        <v>479</v>
      </c>
      <c r="C834" s="5" t="s">
        <v>480</v>
      </c>
      <c r="D834" s="5" t="str">
        <f t="shared" si="42"/>
        <v>TRUMBAUER JAMIE</v>
      </c>
      <c r="E834" s="5" t="s">
        <v>195</v>
      </c>
      <c r="F834" s="5" t="s">
        <v>395</v>
      </c>
      <c r="G834" s="5" t="s">
        <v>411</v>
      </c>
      <c r="H834" s="5">
        <v>16509456</v>
      </c>
      <c r="I834" s="5" t="s">
        <v>155</v>
      </c>
      <c r="J834" s="5" t="s">
        <v>481</v>
      </c>
      <c r="K834" s="5" t="str">
        <f t="shared" si="44"/>
        <v>PETER RICHTER</v>
      </c>
      <c r="L834" s="5" t="s">
        <v>57</v>
      </c>
      <c r="M834" s="6">
        <v>44863</v>
      </c>
      <c r="N834" s="6">
        <v>45990</v>
      </c>
      <c r="O834" s="7">
        <v>68.52</v>
      </c>
      <c r="P834" s="5">
        <f t="shared" ref="P834:P869" si="45">DATEDIF(M834,N834,"M")</f>
        <v>37</v>
      </c>
      <c r="Q834" s="5" t="s">
        <v>264</v>
      </c>
      <c r="R834" s="5" t="s">
        <v>1086</v>
      </c>
      <c r="S834" s="5" t="s">
        <v>58</v>
      </c>
      <c r="T834" s="9">
        <v>6.5000000000000002E-2</v>
      </c>
      <c r="U834" s="5" t="s">
        <v>264</v>
      </c>
      <c r="V834" s="5" t="s">
        <v>61</v>
      </c>
      <c r="W834" s="7">
        <v>0</v>
      </c>
      <c r="X834" s="7">
        <v>4.45</v>
      </c>
      <c r="Y834" s="7">
        <v>4.45</v>
      </c>
      <c r="Z834" s="5" t="s">
        <v>411</v>
      </c>
    </row>
    <row r="835" spans="1:26" x14ac:dyDescent="0.25">
      <c r="A835">
        <v>2017340029</v>
      </c>
      <c r="B835" t="s">
        <v>484</v>
      </c>
      <c r="C835" t="s">
        <v>415</v>
      </c>
      <c r="D835" s="5" t="str">
        <f t="shared" ref="D835:D869" si="46">CONCATENATE(B835, " ",C835)</f>
        <v>LANDER BENJAMIN</v>
      </c>
      <c r="E835" t="s">
        <v>195</v>
      </c>
      <c r="F835" t="s">
        <v>395</v>
      </c>
      <c r="G835" t="s">
        <v>411</v>
      </c>
      <c r="H835">
        <v>9079571</v>
      </c>
      <c r="I835" t="s">
        <v>155</v>
      </c>
      <c r="J835" t="s">
        <v>156</v>
      </c>
      <c r="K835" t="str">
        <f t="shared" si="44"/>
        <v>ADAM RICHTER</v>
      </c>
      <c r="L835" t="s">
        <v>57</v>
      </c>
      <c r="M835" s="1">
        <v>44958</v>
      </c>
      <c r="N835" s="1">
        <v>45992</v>
      </c>
      <c r="O835" s="2">
        <v>71.69</v>
      </c>
      <c r="P835">
        <f t="shared" si="45"/>
        <v>34</v>
      </c>
      <c r="Q835" t="s">
        <v>264</v>
      </c>
      <c r="R835" t="s">
        <v>1086</v>
      </c>
      <c r="S835" t="s">
        <v>58</v>
      </c>
      <c r="T835" s="4">
        <v>6.5000000000000002E-2</v>
      </c>
      <c r="U835" t="s">
        <v>264</v>
      </c>
      <c r="V835" t="s">
        <v>61</v>
      </c>
      <c r="W835" s="2">
        <v>0</v>
      </c>
      <c r="X835" s="2">
        <v>4.66</v>
      </c>
      <c r="Y835" s="2">
        <v>4.66</v>
      </c>
      <c r="Z835" s="5" t="s">
        <v>411</v>
      </c>
    </row>
    <row r="836" spans="1:26" x14ac:dyDescent="0.25">
      <c r="A836">
        <v>2030400631</v>
      </c>
      <c r="B836" t="s">
        <v>553</v>
      </c>
      <c r="C836" t="s">
        <v>554</v>
      </c>
      <c r="D836" s="5" t="str">
        <f t="shared" si="46"/>
        <v>SHEILA MORGAN</v>
      </c>
      <c r="E836" t="s">
        <v>555</v>
      </c>
      <c r="F836" t="s">
        <v>395</v>
      </c>
      <c r="G836" t="s">
        <v>396</v>
      </c>
      <c r="H836">
        <v>17425766</v>
      </c>
      <c r="I836" t="s">
        <v>357</v>
      </c>
      <c r="J836" t="s">
        <v>358</v>
      </c>
      <c r="K836" t="str">
        <f t="shared" si="44"/>
        <v>CAROL FOLEY</v>
      </c>
      <c r="L836" t="s">
        <v>57</v>
      </c>
      <c r="M836" s="1">
        <v>45901</v>
      </c>
      <c r="N836" s="1">
        <v>45992</v>
      </c>
      <c r="O836" s="2">
        <v>71.510000000000005</v>
      </c>
      <c r="P836">
        <f t="shared" si="45"/>
        <v>3</v>
      </c>
      <c r="Q836" t="s">
        <v>264</v>
      </c>
      <c r="R836" t="s">
        <v>1086</v>
      </c>
      <c r="S836" t="s">
        <v>58</v>
      </c>
      <c r="T836" s="3">
        <v>0.6</v>
      </c>
      <c r="U836" t="s">
        <v>60</v>
      </c>
      <c r="V836" t="s">
        <v>61</v>
      </c>
      <c r="W836" s="2">
        <v>42.91</v>
      </c>
      <c r="X836" s="2">
        <v>0</v>
      </c>
      <c r="Y836" s="2">
        <v>42.91</v>
      </c>
      <c r="Z836" t="s">
        <v>396</v>
      </c>
    </row>
    <row r="837" spans="1:26" x14ac:dyDescent="0.25">
      <c r="A837">
        <v>2029877051</v>
      </c>
      <c r="B837" t="s">
        <v>551</v>
      </c>
      <c r="C837" t="s">
        <v>552</v>
      </c>
      <c r="D837" s="5" t="str">
        <f t="shared" si="46"/>
        <v>BRYAN VIVIANO</v>
      </c>
      <c r="E837" t="s">
        <v>129</v>
      </c>
      <c r="F837" t="s">
        <v>395</v>
      </c>
      <c r="G837" t="s">
        <v>396</v>
      </c>
      <c r="H837">
        <v>8977234</v>
      </c>
      <c r="I837" t="s">
        <v>55</v>
      </c>
      <c r="J837" t="s">
        <v>56</v>
      </c>
      <c r="K837" t="str">
        <f t="shared" si="44"/>
        <v>RYAN CALTAGIRONE</v>
      </c>
      <c r="L837" t="s">
        <v>57</v>
      </c>
      <c r="M837" s="1">
        <v>45901</v>
      </c>
      <c r="N837" s="1">
        <v>45992</v>
      </c>
      <c r="O837" s="2">
        <v>54.66</v>
      </c>
      <c r="P837">
        <f t="shared" si="45"/>
        <v>3</v>
      </c>
      <c r="Q837" t="s">
        <v>264</v>
      </c>
      <c r="R837" t="s">
        <v>1086</v>
      </c>
      <c r="S837" t="s">
        <v>58</v>
      </c>
      <c r="T837" s="3">
        <v>0.6</v>
      </c>
      <c r="U837" t="s">
        <v>60</v>
      </c>
      <c r="V837" t="s">
        <v>61</v>
      </c>
      <c r="W837" s="2">
        <v>32.799999999999997</v>
      </c>
      <c r="X837" s="2">
        <v>0</v>
      </c>
      <c r="Y837" s="2">
        <v>32.799999999999997</v>
      </c>
      <c r="Z837" t="s">
        <v>396</v>
      </c>
    </row>
    <row r="838" spans="1:26" x14ac:dyDescent="0.25">
      <c r="A838">
        <v>2029207836</v>
      </c>
      <c r="B838" t="s">
        <v>549</v>
      </c>
      <c r="C838" t="s">
        <v>550</v>
      </c>
      <c r="D838" s="5" t="str">
        <f t="shared" si="46"/>
        <v>HOLLAND TAMARA</v>
      </c>
      <c r="E838" t="s">
        <v>195</v>
      </c>
      <c r="F838" t="s">
        <v>395</v>
      </c>
      <c r="G838" t="s">
        <v>396</v>
      </c>
      <c r="H838">
        <v>19278370</v>
      </c>
      <c r="I838" t="s">
        <v>321</v>
      </c>
      <c r="J838" t="s">
        <v>322</v>
      </c>
      <c r="K838" t="str">
        <f t="shared" si="44"/>
        <v>ANNE MARIE KOZACHECK</v>
      </c>
      <c r="L838" t="s">
        <v>57</v>
      </c>
      <c r="M838" s="1">
        <v>45809</v>
      </c>
      <c r="N838" s="1">
        <v>45992</v>
      </c>
      <c r="O838" s="2">
        <v>71.510000000000005</v>
      </c>
      <c r="P838">
        <f t="shared" si="45"/>
        <v>6</v>
      </c>
      <c r="Q838" t="s">
        <v>264</v>
      </c>
      <c r="R838" t="s">
        <v>1086</v>
      </c>
      <c r="S838" t="s">
        <v>58</v>
      </c>
      <c r="T838" s="3">
        <v>0.6</v>
      </c>
      <c r="U838" t="s">
        <v>60</v>
      </c>
      <c r="V838" t="s">
        <v>61</v>
      </c>
      <c r="W838" s="2">
        <v>42.91</v>
      </c>
      <c r="X838" s="2">
        <v>0</v>
      </c>
      <c r="Y838" s="2">
        <v>42.91</v>
      </c>
      <c r="Z838" t="s">
        <v>396</v>
      </c>
    </row>
    <row r="839" spans="1:26" x14ac:dyDescent="0.25">
      <c r="A839">
        <v>2029202228</v>
      </c>
      <c r="B839" t="s">
        <v>547</v>
      </c>
      <c r="C839" t="s">
        <v>548</v>
      </c>
      <c r="D839" s="5" t="str">
        <f t="shared" si="46"/>
        <v>BROOKS DOMINICK</v>
      </c>
      <c r="E839" t="s">
        <v>195</v>
      </c>
      <c r="F839" t="s">
        <v>395</v>
      </c>
      <c r="G839" t="s">
        <v>396</v>
      </c>
      <c r="H839">
        <v>19278370</v>
      </c>
      <c r="I839" t="s">
        <v>321</v>
      </c>
      <c r="J839" t="s">
        <v>322</v>
      </c>
      <c r="K839" t="str">
        <f t="shared" si="44"/>
        <v>ANNE MARIE KOZACHECK</v>
      </c>
      <c r="L839" t="s">
        <v>57</v>
      </c>
      <c r="M839" s="1">
        <v>45809</v>
      </c>
      <c r="N839" s="1">
        <v>45992</v>
      </c>
      <c r="O839" s="2">
        <v>52.69</v>
      </c>
      <c r="P839">
        <f t="shared" si="45"/>
        <v>6</v>
      </c>
      <c r="Q839" t="s">
        <v>264</v>
      </c>
      <c r="R839" t="s">
        <v>1086</v>
      </c>
      <c r="S839" t="s">
        <v>58</v>
      </c>
      <c r="T839" s="3">
        <v>0.6</v>
      </c>
      <c r="U839" t="s">
        <v>60</v>
      </c>
      <c r="V839" t="s">
        <v>61</v>
      </c>
      <c r="W839" s="2">
        <v>31.61</v>
      </c>
      <c r="X839" s="2">
        <v>0</v>
      </c>
      <c r="Y839" s="2">
        <v>31.61</v>
      </c>
      <c r="Z839" t="s">
        <v>396</v>
      </c>
    </row>
    <row r="840" spans="1:26" x14ac:dyDescent="0.25">
      <c r="A840">
        <v>2028584436</v>
      </c>
      <c r="B840" t="s">
        <v>540</v>
      </c>
      <c r="C840" t="s">
        <v>541</v>
      </c>
      <c r="D840" s="5" t="str">
        <f t="shared" si="46"/>
        <v>EDWARDS KHALIL</v>
      </c>
      <c r="E840" t="s">
        <v>195</v>
      </c>
      <c r="F840" t="s">
        <v>395</v>
      </c>
      <c r="G840" t="s">
        <v>396</v>
      </c>
      <c r="H840">
        <v>19278370</v>
      </c>
      <c r="I840" t="s">
        <v>321</v>
      </c>
      <c r="J840" t="s">
        <v>322</v>
      </c>
      <c r="K840" t="str">
        <f t="shared" si="44"/>
        <v>ANNE MARIE KOZACHECK</v>
      </c>
      <c r="L840" t="s">
        <v>57</v>
      </c>
      <c r="M840" s="1">
        <v>45778</v>
      </c>
      <c r="N840" s="1">
        <v>45962</v>
      </c>
      <c r="O840" s="2">
        <v>52.69</v>
      </c>
      <c r="P840">
        <f t="shared" si="45"/>
        <v>6</v>
      </c>
      <c r="Q840" t="s">
        <v>264</v>
      </c>
      <c r="R840" t="s">
        <v>1086</v>
      </c>
      <c r="S840" t="s">
        <v>58</v>
      </c>
      <c r="T840" s="3">
        <v>0.6</v>
      </c>
      <c r="U840" t="s">
        <v>60</v>
      </c>
      <c r="V840" t="s">
        <v>61</v>
      </c>
      <c r="W840" s="2">
        <v>0</v>
      </c>
      <c r="X840" s="2">
        <v>31.61</v>
      </c>
      <c r="Y840" s="2">
        <v>31.61</v>
      </c>
      <c r="Z840" t="s">
        <v>396</v>
      </c>
    </row>
    <row r="841" spans="1:26" x14ac:dyDescent="0.25">
      <c r="A841">
        <v>2028837568</v>
      </c>
      <c r="B841" t="s">
        <v>485</v>
      </c>
      <c r="C841" t="s">
        <v>544</v>
      </c>
      <c r="D841" s="5" t="str">
        <f t="shared" si="46"/>
        <v>DOUGLAS MARGARET</v>
      </c>
      <c r="E841" t="s">
        <v>78</v>
      </c>
      <c r="F841" t="s">
        <v>395</v>
      </c>
      <c r="G841" t="s">
        <v>396</v>
      </c>
      <c r="H841">
        <v>18781057</v>
      </c>
      <c r="I841" t="s">
        <v>349</v>
      </c>
      <c r="J841" t="s">
        <v>312</v>
      </c>
      <c r="K841" t="str">
        <f t="shared" si="44"/>
        <v>JOHN ROKEN</v>
      </c>
      <c r="L841" t="s">
        <v>57</v>
      </c>
      <c r="M841" s="1">
        <v>45809</v>
      </c>
      <c r="N841" s="1">
        <v>45992</v>
      </c>
      <c r="O841" s="2">
        <v>40.159999999999997</v>
      </c>
      <c r="P841">
        <f t="shared" si="45"/>
        <v>6</v>
      </c>
      <c r="Q841" t="s">
        <v>264</v>
      </c>
      <c r="R841" t="s">
        <v>1086</v>
      </c>
      <c r="S841" t="s">
        <v>58</v>
      </c>
      <c r="T841" s="3">
        <v>0.6</v>
      </c>
      <c r="U841" t="s">
        <v>60</v>
      </c>
      <c r="V841" t="s">
        <v>61</v>
      </c>
      <c r="W841" s="2">
        <v>0</v>
      </c>
      <c r="X841" s="2">
        <v>24.1</v>
      </c>
      <c r="Y841" s="2">
        <v>24.1</v>
      </c>
      <c r="Z841" t="s">
        <v>396</v>
      </c>
    </row>
    <row r="842" spans="1:26" x14ac:dyDescent="0.25">
      <c r="A842">
        <v>2028565272</v>
      </c>
      <c r="B842" t="s">
        <v>538</v>
      </c>
      <c r="C842" t="s">
        <v>539</v>
      </c>
      <c r="D842" s="5" t="str">
        <f t="shared" si="46"/>
        <v>LANCASTER DERRICK</v>
      </c>
      <c r="E842" t="s">
        <v>190</v>
      </c>
      <c r="F842" t="s">
        <v>395</v>
      </c>
      <c r="G842" t="s">
        <v>396</v>
      </c>
      <c r="H842">
        <v>8977234</v>
      </c>
      <c r="I842" t="s">
        <v>55</v>
      </c>
      <c r="J842" t="s">
        <v>56</v>
      </c>
      <c r="K842" t="str">
        <f t="shared" si="44"/>
        <v>RYAN CALTAGIRONE</v>
      </c>
      <c r="L842" t="s">
        <v>57</v>
      </c>
      <c r="M842" s="1">
        <v>45809</v>
      </c>
      <c r="N842" s="1">
        <v>45992</v>
      </c>
      <c r="O842" s="2">
        <v>52.69</v>
      </c>
      <c r="P842">
        <f t="shared" si="45"/>
        <v>6</v>
      </c>
      <c r="Q842" t="s">
        <v>264</v>
      </c>
      <c r="R842" t="s">
        <v>1086</v>
      </c>
      <c r="S842" t="s">
        <v>58</v>
      </c>
      <c r="T842" s="3">
        <v>0.6</v>
      </c>
      <c r="U842" t="s">
        <v>60</v>
      </c>
      <c r="V842" t="s">
        <v>61</v>
      </c>
      <c r="W842" s="2">
        <v>31.61</v>
      </c>
      <c r="X842" s="2">
        <v>0</v>
      </c>
      <c r="Y842" s="2">
        <v>31.61</v>
      </c>
      <c r="Z842" t="s">
        <v>396</v>
      </c>
    </row>
    <row r="843" spans="1:26" x14ac:dyDescent="0.25">
      <c r="A843">
        <v>2028774422</v>
      </c>
      <c r="B843" t="s">
        <v>542</v>
      </c>
      <c r="C843" t="s">
        <v>543</v>
      </c>
      <c r="D843" s="5" t="str">
        <f t="shared" si="46"/>
        <v>KISSEL AMY</v>
      </c>
      <c r="E843" t="s">
        <v>179</v>
      </c>
      <c r="F843" t="s">
        <v>395</v>
      </c>
      <c r="G843" t="s">
        <v>396</v>
      </c>
      <c r="H843">
        <v>8977234</v>
      </c>
      <c r="I843" t="s">
        <v>55</v>
      </c>
      <c r="J843" t="s">
        <v>56</v>
      </c>
      <c r="K843" t="str">
        <f t="shared" si="44"/>
        <v>RYAN CALTAGIRONE</v>
      </c>
      <c r="L843" t="s">
        <v>57</v>
      </c>
      <c r="M843" s="1">
        <v>45809</v>
      </c>
      <c r="N843" s="1">
        <v>45992</v>
      </c>
      <c r="O843" s="2">
        <v>42.18</v>
      </c>
      <c r="P843">
        <f t="shared" si="45"/>
        <v>6</v>
      </c>
      <c r="Q843" t="s">
        <v>264</v>
      </c>
      <c r="R843" t="s">
        <v>1086</v>
      </c>
      <c r="S843" t="s">
        <v>58</v>
      </c>
      <c r="T843" s="3">
        <v>0.6</v>
      </c>
      <c r="U843" t="s">
        <v>60</v>
      </c>
      <c r="V843" t="s">
        <v>61</v>
      </c>
      <c r="W843" s="2">
        <v>0</v>
      </c>
      <c r="X843" s="2">
        <v>25.31</v>
      </c>
      <c r="Y843" s="2">
        <v>25.31</v>
      </c>
      <c r="Z843" t="s">
        <v>396</v>
      </c>
    </row>
    <row r="844" spans="1:26" x14ac:dyDescent="0.25">
      <c r="A844">
        <v>2028015540</v>
      </c>
      <c r="B844" t="s">
        <v>530</v>
      </c>
      <c r="C844" t="s">
        <v>156</v>
      </c>
      <c r="D844" s="5" t="str">
        <f t="shared" si="46"/>
        <v>WILKINS ADAM</v>
      </c>
      <c r="E844" t="s">
        <v>195</v>
      </c>
      <c r="F844" t="s">
        <v>395</v>
      </c>
      <c r="G844" t="s">
        <v>396</v>
      </c>
      <c r="H844">
        <v>15278437</v>
      </c>
      <c r="I844" t="s">
        <v>313</v>
      </c>
      <c r="J844" t="s">
        <v>314</v>
      </c>
      <c r="K844" t="str">
        <f t="shared" si="44"/>
        <v>JASON HOFFMANN</v>
      </c>
      <c r="L844" t="s">
        <v>57</v>
      </c>
      <c r="M844" s="1">
        <v>45748</v>
      </c>
      <c r="N844" s="1">
        <v>45992</v>
      </c>
      <c r="O844" s="2">
        <v>92.55</v>
      </c>
      <c r="P844">
        <f t="shared" si="45"/>
        <v>8</v>
      </c>
      <c r="Q844" t="s">
        <v>264</v>
      </c>
      <c r="R844" t="s">
        <v>1086</v>
      </c>
      <c r="S844" t="s">
        <v>58</v>
      </c>
      <c r="T844" s="3">
        <v>0.6</v>
      </c>
      <c r="U844" t="s">
        <v>60</v>
      </c>
      <c r="V844" t="s">
        <v>61</v>
      </c>
      <c r="W844" s="2">
        <v>0</v>
      </c>
      <c r="X844" s="2">
        <v>55.53</v>
      </c>
      <c r="Y844" s="2">
        <v>55.53</v>
      </c>
      <c r="Z844" t="s">
        <v>396</v>
      </c>
    </row>
    <row r="845" spans="1:26" x14ac:dyDescent="0.25">
      <c r="A845">
        <v>2027665174</v>
      </c>
      <c r="B845" t="s">
        <v>523</v>
      </c>
      <c r="C845" t="s">
        <v>524</v>
      </c>
      <c r="D845" s="5" t="str">
        <f t="shared" si="46"/>
        <v>WILSON SHAWN</v>
      </c>
      <c r="E845" t="s">
        <v>52</v>
      </c>
      <c r="F845" t="s">
        <v>395</v>
      </c>
      <c r="G845" t="s">
        <v>396</v>
      </c>
      <c r="H845">
        <v>18781057</v>
      </c>
      <c r="I845" t="s">
        <v>349</v>
      </c>
      <c r="J845" t="s">
        <v>312</v>
      </c>
      <c r="K845" t="str">
        <f t="shared" si="44"/>
        <v>JOHN ROKEN</v>
      </c>
      <c r="L845" t="s">
        <v>57</v>
      </c>
      <c r="M845" s="1">
        <v>45748</v>
      </c>
      <c r="N845" s="1">
        <v>45992</v>
      </c>
      <c r="O845" s="2">
        <v>46.45</v>
      </c>
      <c r="P845">
        <f t="shared" si="45"/>
        <v>8</v>
      </c>
      <c r="Q845" t="s">
        <v>264</v>
      </c>
      <c r="R845" t="s">
        <v>1086</v>
      </c>
      <c r="S845" t="s">
        <v>58</v>
      </c>
      <c r="T845" s="3">
        <v>0.6</v>
      </c>
      <c r="U845" t="s">
        <v>60</v>
      </c>
      <c r="V845" t="s">
        <v>61</v>
      </c>
      <c r="W845" s="2">
        <v>0</v>
      </c>
      <c r="X845" s="2">
        <v>27.87</v>
      </c>
      <c r="Y845" s="2">
        <v>27.87</v>
      </c>
      <c r="Z845" t="s">
        <v>396</v>
      </c>
    </row>
    <row r="846" spans="1:26" x14ac:dyDescent="0.25">
      <c r="A846">
        <v>2027762075</v>
      </c>
      <c r="B846" t="s">
        <v>528</v>
      </c>
      <c r="C846" t="s">
        <v>529</v>
      </c>
      <c r="D846" s="5" t="str">
        <f t="shared" si="46"/>
        <v>HERMAN DEANNE</v>
      </c>
      <c r="E846" t="s">
        <v>195</v>
      </c>
      <c r="F846" t="s">
        <v>395</v>
      </c>
      <c r="G846" t="s">
        <v>396</v>
      </c>
      <c r="H846">
        <v>18781057</v>
      </c>
      <c r="I846" t="s">
        <v>349</v>
      </c>
      <c r="J846" t="s">
        <v>312</v>
      </c>
      <c r="K846" t="str">
        <f t="shared" si="44"/>
        <v>JOHN ROKEN</v>
      </c>
      <c r="L846" t="s">
        <v>57</v>
      </c>
      <c r="M846" s="1">
        <v>45748</v>
      </c>
      <c r="N846" s="1">
        <v>45992</v>
      </c>
      <c r="O846" s="2">
        <v>62.54</v>
      </c>
      <c r="P846">
        <f t="shared" si="45"/>
        <v>8</v>
      </c>
      <c r="Q846" t="s">
        <v>264</v>
      </c>
      <c r="R846" t="s">
        <v>1086</v>
      </c>
      <c r="S846" t="s">
        <v>58</v>
      </c>
      <c r="T846" s="3">
        <v>0.6</v>
      </c>
      <c r="U846" t="s">
        <v>60</v>
      </c>
      <c r="V846" t="s">
        <v>61</v>
      </c>
      <c r="W846" s="2">
        <v>0</v>
      </c>
      <c r="X846" s="2">
        <v>37.520000000000003</v>
      </c>
      <c r="Y846" s="2">
        <v>37.520000000000003</v>
      </c>
      <c r="Z846" t="s">
        <v>396</v>
      </c>
    </row>
    <row r="847" spans="1:26" x14ac:dyDescent="0.25">
      <c r="A847">
        <v>2028048849</v>
      </c>
      <c r="B847" t="s">
        <v>533</v>
      </c>
      <c r="C847" t="s">
        <v>110</v>
      </c>
      <c r="D847" s="5" t="str">
        <f t="shared" si="46"/>
        <v>ROSS WILLIAM</v>
      </c>
      <c r="E847" t="s">
        <v>247</v>
      </c>
      <c r="F847" t="s">
        <v>395</v>
      </c>
      <c r="G847" t="s">
        <v>396</v>
      </c>
      <c r="H847">
        <v>18781057</v>
      </c>
      <c r="I847" t="s">
        <v>349</v>
      </c>
      <c r="J847" t="s">
        <v>312</v>
      </c>
      <c r="K847" t="str">
        <f t="shared" si="44"/>
        <v>JOHN ROKEN</v>
      </c>
      <c r="L847" t="s">
        <v>57</v>
      </c>
      <c r="M847" s="1">
        <v>45748</v>
      </c>
      <c r="N847" s="1">
        <v>45992</v>
      </c>
      <c r="O847" s="2">
        <v>46.45</v>
      </c>
      <c r="P847">
        <f t="shared" si="45"/>
        <v>8</v>
      </c>
      <c r="Q847" t="s">
        <v>264</v>
      </c>
      <c r="R847" t="s">
        <v>1086</v>
      </c>
      <c r="S847" t="s">
        <v>58</v>
      </c>
      <c r="T847" s="3">
        <v>0.6</v>
      </c>
      <c r="U847" t="s">
        <v>60</v>
      </c>
      <c r="V847" t="s">
        <v>61</v>
      </c>
      <c r="W847" s="2">
        <v>0</v>
      </c>
      <c r="X847" s="2">
        <v>27.87</v>
      </c>
      <c r="Y847" s="2">
        <v>27.87</v>
      </c>
      <c r="Z847" t="s">
        <v>396</v>
      </c>
    </row>
    <row r="848" spans="1:26" x14ac:dyDescent="0.25">
      <c r="A848">
        <v>2028028178</v>
      </c>
      <c r="B848" t="s">
        <v>531</v>
      </c>
      <c r="C848" t="s">
        <v>532</v>
      </c>
      <c r="D848" s="5" t="str">
        <f t="shared" si="46"/>
        <v>GAMBAL DION</v>
      </c>
      <c r="E848" t="s">
        <v>195</v>
      </c>
      <c r="F848" t="s">
        <v>395</v>
      </c>
      <c r="G848" t="s">
        <v>396</v>
      </c>
      <c r="H848">
        <v>5442438</v>
      </c>
      <c r="I848" t="s">
        <v>120</v>
      </c>
      <c r="J848" t="s">
        <v>121</v>
      </c>
      <c r="K848" t="str">
        <f t="shared" si="44"/>
        <v>Ronald Max</v>
      </c>
      <c r="L848" t="s">
        <v>57</v>
      </c>
      <c r="M848" s="1">
        <v>45748</v>
      </c>
      <c r="N848" s="1">
        <v>45992</v>
      </c>
      <c r="O848" s="2">
        <v>36.159999999999997</v>
      </c>
      <c r="P848">
        <f t="shared" si="45"/>
        <v>8</v>
      </c>
      <c r="Q848" t="s">
        <v>264</v>
      </c>
      <c r="R848" t="s">
        <v>1086</v>
      </c>
      <c r="S848" t="s">
        <v>58</v>
      </c>
      <c r="T848" s="3">
        <v>0.6</v>
      </c>
      <c r="U848" t="s">
        <v>60</v>
      </c>
      <c r="V848" t="s">
        <v>61</v>
      </c>
      <c r="W848" s="2">
        <v>0</v>
      </c>
      <c r="X848" s="2">
        <v>21.7</v>
      </c>
      <c r="Y848" s="2">
        <v>21.7</v>
      </c>
      <c r="Z848" t="s">
        <v>396</v>
      </c>
    </row>
    <row r="849" spans="1:26" x14ac:dyDescent="0.25">
      <c r="A849">
        <v>2026748270</v>
      </c>
      <c r="B849" t="s">
        <v>518</v>
      </c>
      <c r="C849" t="s">
        <v>519</v>
      </c>
      <c r="D849" s="5" t="str">
        <f t="shared" si="46"/>
        <v>KAPADIA RAJ</v>
      </c>
      <c r="E849" t="s">
        <v>195</v>
      </c>
      <c r="F849" t="s">
        <v>395</v>
      </c>
      <c r="G849" t="s">
        <v>396</v>
      </c>
      <c r="H849">
        <v>19278370</v>
      </c>
      <c r="I849" t="s">
        <v>321</v>
      </c>
      <c r="J849" t="s">
        <v>322</v>
      </c>
      <c r="K849" t="str">
        <f t="shared" si="44"/>
        <v>ANNE MARIE KOZACHECK</v>
      </c>
      <c r="L849" t="s">
        <v>57</v>
      </c>
      <c r="M849" s="1">
        <v>45689</v>
      </c>
      <c r="N849" s="1">
        <v>45992</v>
      </c>
      <c r="O849" s="2">
        <v>71.510000000000005</v>
      </c>
      <c r="P849">
        <f t="shared" si="45"/>
        <v>10</v>
      </c>
      <c r="Q849" t="s">
        <v>264</v>
      </c>
      <c r="R849" t="s">
        <v>1086</v>
      </c>
      <c r="S849" t="s">
        <v>58</v>
      </c>
      <c r="T849" s="3">
        <v>0.6</v>
      </c>
      <c r="U849" t="s">
        <v>60</v>
      </c>
      <c r="V849" t="s">
        <v>61</v>
      </c>
      <c r="W849" s="2">
        <v>0</v>
      </c>
      <c r="X849" s="2">
        <v>42.91</v>
      </c>
      <c r="Y849" s="2">
        <v>42.91</v>
      </c>
      <c r="Z849" t="s">
        <v>396</v>
      </c>
    </row>
    <row r="850" spans="1:26" x14ac:dyDescent="0.25">
      <c r="A850">
        <v>2026649887</v>
      </c>
      <c r="B850" t="s">
        <v>514</v>
      </c>
      <c r="C850" t="s">
        <v>515</v>
      </c>
      <c r="D850" s="5" t="str">
        <f t="shared" si="46"/>
        <v>STRENGTH AMANDA</v>
      </c>
      <c r="E850" t="s">
        <v>78</v>
      </c>
      <c r="F850" t="s">
        <v>395</v>
      </c>
      <c r="G850" t="s">
        <v>396</v>
      </c>
      <c r="H850">
        <v>17425766</v>
      </c>
      <c r="I850" t="s">
        <v>357</v>
      </c>
      <c r="J850" t="s">
        <v>358</v>
      </c>
      <c r="K850" t="str">
        <f t="shared" si="44"/>
        <v>CAROL FOLEY</v>
      </c>
      <c r="L850" t="s">
        <v>57</v>
      </c>
      <c r="M850" s="1">
        <v>45689</v>
      </c>
      <c r="N850" s="1">
        <v>45992</v>
      </c>
      <c r="O850" s="2">
        <v>56.69</v>
      </c>
      <c r="P850">
        <f t="shared" si="45"/>
        <v>10</v>
      </c>
      <c r="Q850" t="s">
        <v>264</v>
      </c>
      <c r="R850" t="s">
        <v>1086</v>
      </c>
      <c r="S850" t="s">
        <v>58</v>
      </c>
      <c r="T850" s="3">
        <v>0.6</v>
      </c>
      <c r="U850" t="s">
        <v>60</v>
      </c>
      <c r="V850" t="s">
        <v>61</v>
      </c>
      <c r="W850" s="2">
        <v>0</v>
      </c>
      <c r="X850" s="2">
        <v>34.01</v>
      </c>
      <c r="Y850" s="2">
        <v>34.01</v>
      </c>
      <c r="Z850" t="s">
        <v>396</v>
      </c>
    </row>
    <row r="851" spans="1:26" x14ac:dyDescent="0.25">
      <c r="A851">
        <v>2026740151</v>
      </c>
      <c r="B851" t="s">
        <v>516</v>
      </c>
      <c r="C851" t="s">
        <v>517</v>
      </c>
      <c r="D851" s="5" t="str">
        <f t="shared" si="46"/>
        <v>MURRAY CATHERINE</v>
      </c>
      <c r="E851" t="s">
        <v>195</v>
      </c>
      <c r="F851" t="s">
        <v>395</v>
      </c>
      <c r="G851" t="s">
        <v>396</v>
      </c>
      <c r="H851">
        <v>17425766</v>
      </c>
      <c r="I851" t="s">
        <v>357</v>
      </c>
      <c r="J851" t="s">
        <v>358</v>
      </c>
      <c r="K851" t="str">
        <f t="shared" si="44"/>
        <v>CAROL FOLEY</v>
      </c>
      <c r="L851" t="s">
        <v>57</v>
      </c>
      <c r="M851" s="1">
        <v>45681</v>
      </c>
      <c r="N851" s="1">
        <v>45985</v>
      </c>
      <c r="O851" s="2">
        <v>40.159999999999997</v>
      </c>
      <c r="P851">
        <f t="shared" si="45"/>
        <v>10</v>
      </c>
      <c r="Q851" t="s">
        <v>264</v>
      </c>
      <c r="R851" t="s">
        <v>1086</v>
      </c>
      <c r="S851" t="s">
        <v>58</v>
      </c>
      <c r="T851" s="3">
        <v>0.6</v>
      </c>
      <c r="U851" t="s">
        <v>60</v>
      </c>
      <c r="V851" t="s">
        <v>61</v>
      </c>
      <c r="W851" s="2">
        <v>0</v>
      </c>
      <c r="X851" s="2">
        <v>24.1</v>
      </c>
      <c r="Y851" s="2">
        <v>24.1</v>
      </c>
      <c r="Z851" t="s">
        <v>396</v>
      </c>
    </row>
    <row r="852" spans="1:26" x14ac:dyDescent="0.25">
      <c r="A852">
        <v>2026610948</v>
      </c>
      <c r="B852" t="s">
        <v>512</v>
      </c>
      <c r="C852" t="s">
        <v>513</v>
      </c>
      <c r="D852" s="5" t="str">
        <f t="shared" si="46"/>
        <v>WOODS ALBERT</v>
      </c>
      <c r="E852" t="s">
        <v>195</v>
      </c>
      <c r="F852" t="s">
        <v>395</v>
      </c>
      <c r="G852" t="s">
        <v>396</v>
      </c>
      <c r="H852">
        <v>18781057</v>
      </c>
      <c r="I852" t="s">
        <v>349</v>
      </c>
      <c r="J852" t="s">
        <v>312</v>
      </c>
      <c r="K852" t="str">
        <f t="shared" si="44"/>
        <v>JOHN ROKEN</v>
      </c>
      <c r="L852" t="s">
        <v>57</v>
      </c>
      <c r="M852" s="1">
        <v>45689</v>
      </c>
      <c r="N852" s="1">
        <v>45992</v>
      </c>
      <c r="O852" s="2">
        <v>46.45</v>
      </c>
      <c r="P852">
        <f t="shared" si="45"/>
        <v>10</v>
      </c>
      <c r="Q852" t="s">
        <v>264</v>
      </c>
      <c r="R852" t="s">
        <v>1086</v>
      </c>
      <c r="S852" t="s">
        <v>58</v>
      </c>
      <c r="T852" s="3">
        <v>0.6</v>
      </c>
      <c r="U852" t="s">
        <v>60</v>
      </c>
      <c r="V852" t="s">
        <v>61</v>
      </c>
      <c r="W852" s="2">
        <v>0</v>
      </c>
      <c r="X852" s="2">
        <v>27.87</v>
      </c>
      <c r="Y852" s="2">
        <v>27.87</v>
      </c>
      <c r="Z852" t="s">
        <v>396</v>
      </c>
    </row>
    <row r="853" spans="1:26" x14ac:dyDescent="0.25">
      <c r="A853">
        <v>2026848726</v>
      </c>
      <c r="B853" t="s">
        <v>520</v>
      </c>
      <c r="C853" t="s">
        <v>521</v>
      </c>
      <c r="D853" s="5" t="str">
        <f t="shared" si="46"/>
        <v>WHITTENBERG RODNEY</v>
      </c>
      <c r="E853" t="s">
        <v>195</v>
      </c>
      <c r="F853" t="s">
        <v>395</v>
      </c>
      <c r="G853" t="s">
        <v>396</v>
      </c>
      <c r="H853">
        <v>18781057</v>
      </c>
      <c r="I853" t="s">
        <v>349</v>
      </c>
      <c r="J853" t="s">
        <v>312</v>
      </c>
      <c r="K853" t="str">
        <f t="shared" si="44"/>
        <v>JOHN ROKEN</v>
      </c>
      <c r="L853" t="s">
        <v>57</v>
      </c>
      <c r="M853" s="1">
        <v>45689</v>
      </c>
      <c r="N853" s="1">
        <v>45992</v>
      </c>
      <c r="O853" s="2">
        <v>52.69</v>
      </c>
      <c r="P853">
        <f t="shared" si="45"/>
        <v>10</v>
      </c>
      <c r="Q853" t="s">
        <v>264</v>
      </c>
      <c r="R853" t="s">
        <v>1086</v>
      </c>
      <c r="S853" t="s">
        <v>58</v>
      </c>
      <c r="T853" s="3">
        <v>0.6</v>
      </c>
      <c r="U853" t="s">
        <v>60</v>
      </c>
      <c r="V853" t="s">
        <v>61</v>
      </c>
      <c r="W853" s="2">
        <v>0</v>
      </c>
      <c r="X853" s="2">
        <v>31.61</v>
      </c>
      <c r="Y853" s="2">
        <v>31.61</v>
      </c>
      <c r="Z853" t="s">
        <v>396</v>
      </c>
    </row>
    <row r="854" spans="1:26" x14ac:dyDescent="0.25">
      <c r="A854">
        <v>2026874970</v>
      </c>
      <c r="B854" t="s">
        <v>522</v>
      </c>
      <c r="C854" t="s">
        <v>66</v>
      </c>
      <c r="D854" s="5" t="str">
        <f t="shared" si="46"/>
        <v>FLISHER MATTHEW</v>
      </c>
      <c r="E854" t="s">
        <v>64</v>
      </c>
      <c r="F854" t="s">
        <v>395</v>
      </c>
      <c r="G854" t="s">
        <v>396</v>
      </c>
      <c r="H854">
        <v>18781057</v>
      </c>
      <c r="I854" t="s">
        <v>349</v>
      </c>
      <c r="J854" t="s">
        <v>312</v>
      </c>
      <c r="K854" t="str">
        <f t="shared" si="44"/>
        <v>JOHN ROKEN</v>
      </c>
      <c r="L854" t="s">
        <v>57</v>
      </c>
      <c r="M854" s="1">
        <v>45689</v>
      </c>
      <c r="N854" s="1">
        <v>45992</v>
      </c>
      <c r="O854" s="2">
        <v>61.53</v>
      </c>
      <c r="P854">
        <f t="shared" si="45"/>
        <v>10</v>
      </c>
      <c r="Q854" t="s">
        <v>264</v>
      </c>
      <c r="R854" t="s">
        <v>1086</v>
      </c>
      <c r="S854" t="s">
        <v>58</v>
      </c>
      <c r="T854" s="3">
        <v>0.6</v>
      </c>
      <c r="U854" t="s">
        <v>60</v>
      </c>
      <c r="V854" t="s">
        <v>61</v>
      </c>
      <c r="W854" s="2">
        <v>0</v>
      </c>
      <c r="X854" s="2">
        <v>36.92</v>
      </c>
      <c r="Y854" s="2">
        <v>36.92</v>
      </c>
      <c r="Z854" t="s">
        <v>396</v>
      </c>
    </row>
    <row r="855" spans="1:26" x14ac:dyDescent="0.25">
      <c r="A855">
        <v>2025934064</v>
      </c>
      <c r="B855" t="s">
        <v>508</v>
      </c>
      <c r="C855" t="s">
        <v>509</v>
      </c>
      <c r="D855" s="5" t="str">
        <f t="shared" si="46"/>
        <v>BOJAZI GIANNA</v>
      </c>
      <c r="E855" t="s">
        <v>195</v>
      </c>
      <c r="F855" t="s">
        <v>395</v>
      </c>
      <c r="G855" t="s">
        <v>396</v>
      </c>
      <c r="H855">
        <v>18781057</v>
      </c>
      <c r="I855" t="s">
        <v>349</v>
      </c>
      <c r="J855" t="s">
        <v>312</v>
      </c>
      <c r="K855" t="str">
        <f t="shared" si="44"/>
        <v>JOHN ROKEN</v>
      </c>
      <c r="L855" t="s">
        <v>57</v>
      </c>
      <c r="M855" s="1">
        <v>45627</v>
      </c>
      <c r="N855" s="1">
        <v>45962</v>
      </c>
      <c r="O855" s="2">
        <v>56.69</v>
      </c>
      <c r="P855">
        <f t="shared" si="45"/>
        <v>11</v>
      </c>
      <c r="Q855" t="s">
        <v>264</v>
      </c>
      <c r="R855" t="s">
        <v>1086</v>
      </c>
      <c r="S855" t="s">
        <v>58</v>
      </c>
      <c r="T855" s="3">
        <v>0.6</v>
      </c>
      <c r="U855" t="s">
        <v>60</v>
      </c>
      <c r="V855" t="s">
        <v>61</v>
      </c>
      <c r="W855" s="2">
        <v>0</v>
      </c>
      <c r="X855" s="2">
        <v>34.01</v>
      </c>
      <c r="Y855" s="2">
        <v>34.01</v>
      </c>
      <c r="Z855" t="s">
        <v>396</v>
      </c>
    </row>
    <row r="856" spans="1:26" x14ac:dyDescent="0.25">
      <c r="A856" s="5">
        <v>2024662994</v>
      </c>
      <c r="B856" s="5" t="s">
        <v>500</v>
      </c>
      <c r="C856" s="5" t="s">
        <v>501</v>
      </c>
      <c r="D856" s="5" t="str">
        <f t="shared" si="46"/>
        <v>HERMANN TESSA</v>
      </c>
      <c r="E856" s="5" t="s">
        <v>69</v>
      </c>
      <c r="F856" s="5" t="s">
        <v>395</v>
      </c>
      <c r="G856" s="5" t="s">
        <v>396</v>
      </c>
      <c r="H856" s="5">
        <v>19481808</v>
      </c>
      <c r="I856" s="5" t="s">
        <v>502</v>
      </c>
      <c r="J856" s="5" t="s">
        <v>342</v>
      </c>
      <c r="K856" s="5" t="str">
        <f t="shared" si="44"/>
        <v>STEVEN WERNER</v>
      </c>
      <c r="L856" s="5" t="s">
        <v>57</v>
      </c>
      <c r="M856" s="6">
        <v>45536</v>
      </c>
      <c r="N856" s="6">
        <v>45992</v>
      </c>
      <c r="O856" s="7">
        <v>52.69</v>
      </c>
      <c r="P856" s="5">
        <f t="shared" si="45"/>
        <v>15</v>
      </c>
      <c r="Q856" s="5" t="s">
        <v>264</v>
      </c>
      <c r="R856" s="5" t="s">
        <v>1086</v>
      </c>
      <c r="S856" s="5" t="s">
        <v>58</v>
      </c>
      <c r="T856" s="9">
        <v>6.5000000000000002E-2</v>
      </c>
      <c r="U856" s="5" t="s">
        <v>264</v>
      </c>
      <c r="V856" s="5" t="s">
        <v>61</v>
      </c>
      <c r="W856" s="7">
        <v>0</v>
      </c>
      <c r="X856" s="7">
        <v>3.42</v>
      </c>
      <c r="Y856" s="7">
        <v>3.42</v>
      </c>
      <c r="Z856" t="s">
        <v>396</v>
      </c>
    </row>
    <row r="857" spans="1:26" x14ac:dyDescent="0.25">
      <c r="A857" s="5">
        <v>2020534057</v>
      </c>
      <c r="B857" s="5" t="s">
        <v>488</v>
      </c>
      <c r="C857" s="5" t="s">
        <v>98</v>
      </c>
      <c r="D857" s="5" t="str">
        <f t="shared" si="46"/>
        <v>MCCANN MICHAEL</v>
      </c>
      <c r="E857" s="5" t="s">
        <v>195</v>
      </c>
      <c r="F857" s="5" t="s">
        <v>395</v>
      </c>
      <c r="G857" s="5" t="s">
        <v>396</v>
      </c>
      <c r="H857" s="5">
        <v>8971826</v>
      </c>
      <c r="I857" s="5" t="s">
        <v>489</v>
      </c>
      <c r="J857" s="5" t="s">
        <v>490</v>
      </c>
      <c r="K857" s="5" t="str">
        <f t="shared" si="44"/>
        <v>SCOTT AGUGLIA</v>
      </c>
      <c r="L857" s="5" t="s">
        <v>57</v>
      </c>
      <c r="M857" s="6">
        <v>45224</v>
      </c>
      <c r="N857" s="6">
        <v>45986</v>
      </c>
      <c r="O857" s="7">
        <v>42.45</v>
      </c>
      <c r="P857" s="5">
        <f t="shared" si="45"/>
        <v>25</v>
      </c>
      <c r="Q857" s="5" t="s">
        <v>264</v>
      </c>
      <c r="R857" s="5" t="s">
        <v>1086</v>
      </c>
      <c r="S857" s="5" t="s">
        <v>58</v>
      </c>
      <c r="T857" s="9">
        <v>6.5000000000000002E-2</v>
      </c>
      <c r="U857" s="5" t="s">
        <v>264</v>
      </c>
      <c r="V857" s="5" t="s">
        <v>61</v>
      </c>
      <c r="W857" s="7">
        <v>0</v>
      </c>
      <c r="X857" s="7">
        <v>2.76</v>
      </c>
      <c r="Y857" s="7">
        <v>2.76</v>
      </c>
      <c r="Z857" t="s">
        <v>396</v>
      </c>
    </row>
    <row r="858" spans="1:26" ht="14.25" customHeight="1" x14ac:dyDescent="0.25">
      <c r="A858">
        <v>2025303844</v>
      </c>
      <c r="B858" t="s">
        <v>503</v>
      </c>
      <c r="C858" t="s">
        <v>504</v>
      </c>
      <c r="D858" s="5" t="str">
        <f t="shared" si="46"/>
        <v>HUANG JERRY</v>
      </c>
      <c r="E858" t="s">
        <v>195</v>
      </c>
      <c r="F858" t="s">
        <v>395</v>
      </c>
      <c r="G858" t="s">
        <v>396</v>
      </c>
      <c r="H858">
        <v>17425766</v>
      </c>
      <c r="I858" t="s">
        <v>357</v>
      </c>
      <c r="J858" t="s">
        <v>358</v>
      </c>
      <c r="K858" t="str">
        <f t="shared" si="44"/>
        <v>CAROL FOLEY</v>
      </c>
      <c r="L858" t="s">
        <v>57</v>
      </c>
      <c r="M858" s="1">
        <v>45597</v>
      </c>
      <c r="N858" s="1">
        <v>45992</v>
      </c>
      <c r="O858" s="2">
        <v>56.69</v>
      </c>
      <c r="P858">
        <f t="shared" si="45"/>
        <v>13</v>
      </c>
      <c r="Q858" t="s">
        <v>264</v>
      </c>
      <c r="R858" t="s">
        <v>1086</v>
      </c>
      <c r="S858" t="s">
        <v>58</v>
      </c>
      <c r="T858" s="4">
        <v>6.5000000000000002E-2</v>
      </c>
      <c r="U858" t="s">
        <v>264</v>
      </c>
      <c r="V858" t="s">
        <v>61</v>
      </c>
      <c r="W858" s="2">
        <v>0</v>
      </c>
      <c r="X858" s="2">
        <v>3.68</v>
      </c>
      <c r="Y858" s="2">
        <v>3.68</v>
      </c>
      <c r="Z858" t="s">
        <v>396</v>
      </c>
    </row>
    <row r="859" spans="1:26" x14ac:dyDescent="0.25">
      <c r="A859">
        <v>2025378908</v>
      </c>
      <c r="B859" t="s">
        <v>505</v>
      </c>
      <c r="C859" t="s">
        <v>506</v>
      </c>
      <c r="D859" s="5" t="str">
        <f t="shared" si="46"/>
        <v>IEZZI GEORGE</v>
      </c>
      <c r="E859" t="s">
        <v>195</v>
      </c>
      <c r="F859" t="s">
        <v>395</v>
      </c>
      <c r="G859" t="s">
        <v>396</v>
      </c>
      <c r="H859">
        <v>17425766</v>
      </c>
      <c r="I859" t="s">
        <v>357</v>
      </c>
      <c r="J859" t="s">
        <v>358</v>
      </c>
      <c r="K859" t="str">
        <f t="shared" si="44"/>
        <v>CAROL FOLEY</v>
      </c>
      <c r="L859" t="s">
        <v>57</v>
      </c>
      <c r="M859" s="1">
        <v>45597</v>
      </c>
      <c r="N859" s="1">
        <v>45992</v>
      </c>
      <c r="O859" s="2">
        <v>40.159999999999997</v>
      </c>
      <c r="P859">
        <f t="shared" si="45"/>
        <v>13</v>
      </c>
      <c r="Q859" t="s">
        <v>264</v>
      </c>
      <c r="R859" t="s">
        <v>1086</v>
      </c>
      <c r="S859" t="s">
        <v>58</v>
      </c>
      <c r="T859" s="4">
        <v>6.5000000000000002E-2</v>
      </c>
      <c r="U859" t="s">
        <v>264</v>
      </c>
      <c r="V859" t="s">
        <v>61</v>
      </c>
      <c r="W859" s="2">
        <v>0</v>
      </c>
      <c r="X859" s="2">
        <v>2.61</v>
      </c>
      <c r="Y859" s="2">
        <v>2.61</v>
      </c>
      <c r="Z859" t="s">
        <v>396</v>
      </c>
    </row>
    <row r="860" spans="1:26" x14ac:dyDescent="0.25">
      <c r="A860">
        <v>2025486441</v>
      </c>
      <c r="B860" t="s">
        <v>507</v>
      </c>
      <c r="C860" t="s">
        <v>374</v>
      </c>
      <c r="D860" s="5" t="str">
        <f t="shared" si="46"/>
        <v>WACKENTHALER ROBERT</v>
      </c>
      <c r="E860" t="s">
        <v>129</v>
      </c>
      <c r="F860" t="s">
        <v>395</v>
      </c>
      <c r="G860" t="s">
        <v>396</v>
      </c>
      <c r="H860">
        <v>17425766</v>
      </c>
      <c r="I860" t="s">
        <v>357</v>
      </c>
      <c r="J860" t="s">
        <v>358</v>
      </c>
      <c r="K860" t="str">
        <f t="shared" si="44"/>
        <v>CAROL FOLEY</v>
      </c>
      <c r="L860" t="s">
        <v>57</v>
      </c>
      <c r="M860" s="1">
        <v>45597</v>
      </c>
      <c r="N860" s="1">
        <v>45992</v>
      </c>
      <c r="O860" s="2">
        <v>94.37</v>
      </c>
      <c r="P860">
        <f t="shared" si="45"/>
        <v>13</v>
      </c>
      <c r="Q860" t="s">
        <v>264</v>
      </c>
      <c r="R860" t="s">
        <v>1086</v>
      </c>
      <c r="S860" t="s">
        <v>58</v>
      </c>
      <c r="T860" s="4">
        <v>6.5000000000000002E-2</v>
      </c>
      <c r="U860" t="s">
        <v>264</v>
      </c>
      <c r="V860" t="s">
        <v>61</v>
      </c>
      <c r="W860" s="2">
        <v>0</v>
      </c>
      <c r="X860" s="2">
        <v>6.13</v>
      </c>
      <c r="Y860" s="2">
        <v>6.13</v>
      </c>
      <c r="Z860" t="s">
        <v>396</v>
      </c>
    </row>
    <row r="861" spans="1:26" x14ac:dyDescent="0.25">
      <c r="A861">
        <v>2024382486</v>
      </c>
      <c r="B861" t="s">
        <v>497</v>
      </c>
      <c r="C861" t="s">
        <v>167</v>
      </c>
      <c r="D861" s="5" t="str">
        <f t="shared" si="46"/>
        <v>MADDEN CHARLES</v>
      </c>
      <c r="E861" t="s">
        <v>195</v>
      </c>
      <c r="F861" t="s">
        <v>395</v>
      </c>
      <c r="G861" t="s">
        <v>396</v>
      </c>
      <c r="H861">
        <v>19278370</v>
      </c>
      <c r="I861" t="s">
        <v>321</v>
      </c>
      <c r="J861" t="s">
        <v>322</v>
      </c>
      <c r="K861" t="str">
        <f t="shared" si="44"/>
        <v>ANNE MARIE KOZACHECK</v>
      </c>
      <c r="L861" t="s">
        <v>57</v>
      </c>
      <c r="M861" s="1">
        <v>45536</v>
      </c>
      <c r="N861" s="1">
        <v>45992</v>
      </c>
      <c r="O861" s="2">
        <v>42.45</v>
      </c>
      <c r="P861">
        <f t="shared" si="45"/>
        <v>15</v>
      </c>
      <c r="Q861" t="s">
        <v>264</v>
      </c>
      <c r="R861" t="s">
        <v>1086</v>
      </c>
      <c r="S861" t="s">
        <v>58</v>
      </c>
      <c r="T861" s="4">
        <v>6.5000000000000002E-2</v>
      </c>
      <c r="U861" t="s">
        <v>264</v>
      </c>
      <c r="V861" t="s">
        <v>61</v>
      </c>
      <c r="W861" s="2">
        <v>0</v>
      </c>
      <c r="X861" s="2">
        <v>2.76</v>
      </c>
      <c r="Y861" s="2">
        <v>2.76</v>
      </c>
      <c r="Z861" t="s">
        <v>396</v>
      </c>
    </row>
    <row r="862" spans="1:26" x14ac:dyDescent="0.25">
      <c r="A862">
        <v>2024417985</v>
      </c>
      <c r="B862" t="s">
        <v>498</v>
      </c>
      <c r="C862" t="s">
        <v>56</v>
      </c>
      <c r="D862" s="5" t="str">
        <f t="shared" si="46"/>
        <v>DEHART RYAN</v>
      </c>
      <c r="E862" t="s">
        <v>195</v>
      </c>
      <c r="F862" t="s">
        <v>395</v>
      </c>
      <c r="G862" t="s">
        <v>396</v>
      </c>
      <c r="H862">
        <v>18010408</v>
      </c>
      <c r="I862" t="s">
        <v>499</v>
      </c>
      <c r="J862" t="s">
        <v>110</v>
      </c>
      <c r="K862" t="str">
        <f t="shared" si="44"/>
        <v>WILLIAM SCHAEFFER</v>
      </c>
      <c r="L862" t="s">
        <v>57</v>
      </c>
      <c r="M862" s="1">
        <v>45536</v>
      </c>
      <c r="N862" s="1">
        <v>45992</v>
      </c>
      <c r="O862" s="2">
        <v>52.69</v>
      </c>
      <c r="P862">
        <f t="shared" si="45"/>
        <v>15</v>
      </c>
      <c r="Q862" t="s">
        <v>264</v>
      </c>
      <c r="R862" t="s">
        <v>1086</v>
      </c>
      <c r="S862" t="s">
        <v>58</v>
      </c>
      <c r="T862" s="4">
        <v>6.5000000000000002E-2</v>
      </c>
      <c r="U862" t="s">
        <v>264</v>
      </c>
      <c r="V862" t="s">
        <v>61</v>
      </c>
      <c r="W862" s="2">
        <v>0</v>
      </c>
      <c r="X862" s="2">
        <v>3.42</v>
      </c>
      <c r="Y862" s="2">
        <v>3.42</v>
      </c>
      <c r="Z862" t="s">
        <v>396</v>
      </c>
    </row>
    <row r="863" spans="1:26" x14ac:dyDescent="0.25">
      <c r="A863">
        <v>2023105852</v>
      </c>
      <c r="B863" t="s">
        <v>493</v>
      </c>
      <c r="C863" t="s">
        <v>494</v>
      </c>
      <c r="D863" s="5" t="str">
        <f t="shared" si="46"/>
        <v>BYRSE EBONEY</v>
      </c>
      <c r="E863" t="s">
        <v>78</v>
      </c>
      <c r="F863" t="s">
        <v>395</v>
      </c>
      <c r="G863" t="s">
        <v>396</v>
      </c>
      <c r="H863" t="s">
        <v>1084</v>
      </c>
      <c r="I863" t="s">
        <v>357</v>
      </c>
      <c r="J863" t="s">
        <v>358</v>
      </c>
      <c r="K863" t="str">
        <f t="shared" si="44"/>
        <v>CAROL FOLEY</v>
      </c>
      <c r="L863" t="s">
        <v>57</v>
      </c>
      <c r="M863" s="1">
        <v>45444</v>
      </c>
      <c r="N863" s="1">
        <v>45992</v>
      </c>
      <c r="O863" s="2">
        <v>46.45</v>
      </c>
      <c r="P863">
        <f t="shared" si="45"/>
        <v>18</v>
      </c>
      <c r="Q863" t="s">
        <v>264</v>
      </c>
      <c r="R863" t="s">
        <v>1086</v>
      </c>
      <c r="S863" t="s">
        <v>58</v>
      </c>
      <c r="T863" s="4">
        <v>6.5000000000000002E-2</v>
      </c>
      <c r="U863" t="s">
        <v>264</v>
      </c>
      <c r="V863" t="s">
        <v>61</v>
      </c>
      <c r="W863" s="2">
        <v>0</v>
      </c>
      <c r="X863" s="2">
        <v>3.02</v>
      </c>
      <c r="Y863" s="2">
        <v>3.02</v>
      </c>
      <c r="Z863" t="s">
        <v>396</v>
      </c>
    </row>
    <row r="864" spans="1:26" x14ac:dyDescent="0.25">
      <c r="A864">
        <v>2023252075</v>
      </c>
      <c r="B864" t="s">
        <v>495</v>
      </c>
      <c r="C864" t="s">
        <v>496</v>
      </c>
      <c r="D864" s="5" t="str">
        <f t="shared" si="46"/>
        <v>STOFKA TODD</v>
      </c>
      <c r="E864" t="s">
        <v>195</v>
      </c>
      <c r="F864" t="s">
        <v>395</v>
      </c>
      <c r="G864" t="s">
        <v>396</v>
      </c>
      <c r="H864" t="s">
        <v>1084</v>
      </c>
      <c r="I864" t="s">
        <v>357</v>
      </c>
      <c r="J864" t="s">
        <v>358</v>
      </c>
      <c r="K864" t="str">
        <f t="shared" ref="K864:K869" si="47">CONCATENATE(J864, " ",I864)</f>
        <v>CAROL FOLEY</v>
      </c>
      <c r="L864" t="s">
        <v>57</v>
      </c>
      <c r="M864" s="1">
        <v>45444</v>
      </c>
      <c r="N864" s="1">
        <v>45992</v>
      </c>
      <c r="O864" s="2">
        <v>62.54</v>
      </c>
      <c r="P864">
        <f t="shared" si="45"/>
        <v>18</v>
      </c>
      <c r="Q864" t="s">
        <v>264</v>
      </c>
      <c r="R864" t="s">
        <v>1086</v>
      </c>
      <c r="S864" t="s">
        <v>58</v>
      </c>
      <c r="T864" s="4">
        <v>6.5000000000000002E-2</v>
      </c>
      <c r="U864" t="s">
        <v>264</v>
      </c>
      <c r="V864" t="s">
        <v>61</v>
      </c>
      <c r="W864" s="2">
        <v>0</v>
      </c>
      <c r="X864" s="2">
        <v>4.07</v>
      </c>
      <c r="Y864" s="2">
        <v>4.07</v>
      </c>
      <c r="Z864" t="s">
        <v>396</v>
      </c>
    </row>
    <row r="865" spans="1:26" x14ac:dyDescent="0.25">
      <c r="A865">
        <v>2022933292</v>
      </c>
      <c r="B865" t="s">
        <v>491</v>
      </c>
      <c r="C865" t="s">
        <v>492</v>
      </c>
      <c r="D865" s="5" t="str">
        <f t="shared" si="46"/>
        <v>GRUSKIN SOFIA</v>
      </c>
      <c r="E865" t="s">
        <v>195</v>
      </c>
      <c r="F865" t="s">
        <v>395</v>
      </c>
      <c r="G865" t="s">
        <v>396</v>
      </c>
      <c r="H865">
        <v>15278437</v>
      </c>
      <c r="I865" t="s">
        <v>313</v>
      </c>
      <c r="J865" t="s">
        <v>314</v>
      </c>
      <c r="K865" t="str">
        <f t="shared" si="47"/>
        <v>JASON HOFFMANN</v>
      </c>
      <c r="L865" t="s">
        <v>57</v>
      </c>
      <c r="M865" s="1">
        <v>45444</v>
      </c>
      <c r="N865" s="1">
        <v>45992</v>
      </c>
      <c r="O865" s="2">
        <v>75.75</v>
      </c>
      <c r="P865">
        <f t="shared" si="45"/>
        <v>18</v>
      </c>
      <c r="Q865" t="s">
        <v>264</v>
      </c>
      <c r="R865" t="s">
        <v>1086</v>
      </c>
      <c r="S865" t="s">
        <v>58</v>
      </c>
      <c r="T865" s="4">
        <v>6.5000000000000002E-2</v>
      </c>
      <c r="U865" t="s">
        <v>264</v>
      </c>
      <c r="V865" t="s">
        <v>61</v>
      </c>
      <c r="W865" s="2">
        <v>0</v>
      </c>
      <c r="X865" s="2">
        <v>4.92</v>
      </c>
      <c r="Y865" s="2">
        <v>4.92</v>
      </c>
      <c r="Z865" t="s">
        <v>396</v>
      </c>
    </row>
    <row r="866" spans="1:26" x14ac:dyDescent="0.25">
      <c r="A866">
        <v>2021515733</v>
      </c>
      <c r="B866" t="s">
        <v>319</v>
      </c>
      <c r="C866" t="s">
        <v>320</v>
      </c>
      <c r="D866" s="5" t="str">
        <f t="shared" si="46"/>
        <v>BASKERVILLE JOY</v>
      </c>
      <c r="E866" t="s">
        <v>195</v>
      </c>
      <c r="F866" t="s">
        <v>395</v>
      </c>
      <c r="G866" t="s">
        <v>396</v>
      </c>
      <c r="H866">
        <v>19278370</v>
      </c>
      <c r="I866" t="s">
        <v>321</v>
      </c>
      <c r="J866" t="s">
        <v>322</v>
      </c>
      <c r="K866" t="str">
        <f t="shared" si="47"/>
        <v>ANNE MARIE KOZACHECK</v>
      </c>
      <c r="L866" t="s">
        <v>57</v>
      </c>
      <c r="M866" s="1">
        <v>45315</v>
      </c>
      <c r="N866" s="1">
        <v>45985</v>
      </c>
      <c r="O866" s="2">
        <v>42.45</v>
      </c>
      <c r="P866">
        <f t="shared" si="45"/>
        <v>22</v>
      </c>
      <c r="Q866" t="s">
        <v>264</v>
      </c>
      <c r="R866" t="s">
        <v>1086</v>
      </c>
      <c r="S866" t="s">
        <v>58</v>
      </c>
      <c r="T866" s="4">
        <v>6.5000000000000002E-2</v>
      </c>
      <c r="U866" t="s">
        <v>264</v>
      </c>
      <c r="V866" t="s">
        <v>61</v>
      </c>
      <c r="W866" s="2">
        <v>0</v>
      </c>
      <c r="X866" s="2">
        <v>2.76</v>
      </c>
      <c r="Y866" s="2">
        <v>2.76</v>
      </c>
      <c r="Z866" t="s">
        <v>396</v>
      </c>
    </row>
    <row r="867" spans="1:26" x14ac:dyDescent="0.25">
      <c r="A867">
        <v>2020393565</v>
      </c>
      <c r="B867" t="s">
        <v>486</v>
      </c>
      <c r="C867" t="s">
        <v>487</v>
      </c>
      <c r="D867" s="5" t="str">
        <f t="shared" si="46"/>
        <v>SHEFFIELD LOIS</v>
      </c>
      <c r="E867" t="s">
        <v>276</v>
      </c>
      <c r="F867" t="s">
        <v>395</v>
      </c>
      <c r="G867" t="s">
        <v>396</v>
      </c>
      <c r="H867">
        <v>8977234</v>
      </c>
      <c r="I867" t="s">
        <v>55</v>
      </c>
      <c r="J867" t="s">
        <v>56</v>
      </c>
      <c r="K867" t="str">
        <f t="shared" si="47"/>
        <v>RYAN CALTAGIRONE</v>
      </c>
      <c r="L867" t="s">
        <v>57</v>
      </c>
      <c r="M867" s="1">
        <v>45231</v>
      </c>
      <c r="N867" s="1">
        <v>45992</v>
      </c>
      <c r="O867" s="2">
        <v>75.75</v>
      </c>
      <c r="P867">
        <f t="shared" si="45"/>
        <v>25</v>
      </c>
      <c r="Q867" t="s">
        <v>264</v>
      </c>
      <c r="R867" t="s">
        <v>1086</v>
      </c>
      <c r="S867" t="s">
        <v>58</v>
      </c>
      <c r="T867" s="4">
        <v>6.5000000000000002E-2</v>
      </c>
      <c r="U867" t="s">
        <v>264</v>
      </c>
      <c r="V867" t="s">
        <v>61</v>
      </c>
      <c r="W867" s="2">
        <v>0</v>
      </c>
      <c r="X867" s="2">
        <v>4.92</v>
      </c>
      <c r="Y867" s="2">
        <v>4.92</v>
      </c>
      <c r="Z867" t="s">
        <v>396</v>
      </c>
    </row>
    <row r="868" spans="1:26" x14ac:dyDescent="0.25">
      <c r="A868">
        <v>2019754489</v>
      </c>
      <c r="B868" t="s">
        <v>80</v>
      </c>
      <c r="C868" t="s">
        <v>485</v>
      </c>
      <c r="D868" s="5" t="str">
        <f t="shared" si="46"/>
        <v>WOLFF DOUGLAS</v>
      </c>
      <c r="E868" t="s">
        <v>195</v>
      </c>
      <c r="F868" t="s">
        <v>395</v>
      </c>
      <c r="G868" t="s">
        <v>396</v>
      </c>
      <c r="H868">
        <v>15278437</v>
      </c>
      <c r="I868" t="s">
        <v>313</v>
      </c>
      <c r="J868" t="s">
        <v>314</v>
      </c>
      <c r="K868" t="str">
        <f t="shared" si="47"/>
        <v>JASON HOFFMANN</v>
      </c>
      <c r="L868" t="s">
        <v>57</v>
      </c>
      <c r="M868" s="1">
        <v>45170</v>
      </c>
      <c r="N868" s="1">
        <v>45992</v>
      </c>
      <c r="O868" s="2">
        <v>52.69</v>
      </c>
      <c r="P868">
        <f t="shared" si="45"/>
        <v>27</v>
      </c>
      <c r="Q868" t="s">
        <v>264</v>
      </c>
      <c r="R868" t="s">
        <v>1086</v>
      </c>
      <c r="S868" t="s">
        <v>58</v>
      </c>
      <c r="T868" s="4">
        <v>6.5000000000000002E-2</v>
      </c>
      <c r="U868" t="s">
        <v>264</v>
      </c>
      <c r="V868" t="s">
        <v>61</v>
      </c>
      <c r="W868" s="2">
        <v>0</v>
      </c>
      <c r="X868" s="2">
        <v>3.42</v>
      </c>
      <c r="Y868" s="2">
        <v>3.42</v>
      </c>
      <c r="Z868" t="s">
        <v>396</v>
      </c>
    </row>
    <row r="869" spans="1:26" x14ac:dyDescent="0.25">
      <c r="A869">
        <v>2017126555</v>
      </c>
      <c r="B869" t="s">
        <v>482</v>
      </c>
      <c r="C869" t="s">
        <v>483</v>
      </c>
      <c r="D869" s="5" t="str">
        <f t="shared" si="46"/>
        <v>LUCEY KAREN</v>
      </c>
      <c r="E869" t="s">
        <v>195</v>
      </c>
      <c r="F869" t="s">
        <v>395</v>
      </c>
      <c r="G869" t="s">
        <v>396</v>
      </c>
      <c r="H869">
        <v>15278437</v>
      </c>
      <c r="I869" t="s">
        <v>313</v>
      </c>
      <c r="J869" t="s">
        <v>314</v>
      </c>
      <c r="K869" t="str">
        <f t="shared" si="47"/>
        <v>JASON HOFFMANN</v>
      </c>
      <c r="L869" t="s">
        <v>57</v>
      </c>
      <c r="M869" s="1">
        <v>44958</v>
      </c>
      <c r="N869" s="1">
        <v>45992</v>
      </c>
      <c r="O869" s="2">
        <v>92.55</v>
      </c>
      <c r="P869">
        <f t="shared" si="45"/>
        <v>34</v>
      </c>
      <c r="Q869" t="s">
        <v>264</v>
      </c>
      <c r="R869" t="s">
        <v>1086</v>
      </c>
      <c r="S869" t="s">
        <v>58</v>
      </c>
      <c r="T869" s="4">
        <v>6.5000000000000002E-2</v>
      </c>
      <c r="U869" t="s">
        <v>264</v>
      </c>
      <c r="V869" t="s">
        <v>61</v>
      </c>
      <c r="W869" s="2">
        <v>0</v>
      </c>
      <c r="X869" s="2">
        <v>6.02</v>
      </c>
      <c r="Y869" s="2">
        <v>6.02</v>
      </c>
      <c r="Z869" t="s">
        <v>396</v>
      </c>
    </row>
  </sheetData>
  <sortState xmlns:xlrd2="http://schemas.microsoft.com/office/spreadsheetml/2017/richdata2" ref="A2:Z869">
    <sortCondition ref="G2:G869"/>
    <sortCondition descending="1" ref="T2:T86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BC0E-9C25-4584-9F27-37F88B9D46B2}">
  <dimension ref="A1:AV59"/>
  <sheetViews>
    <sheetView topLeftCell="A28" workbookViewId="0">
      <selection sqref="A1:XFD1048576"/>
    </sheetView>
  </sheetViews>
  <sheetFormatPr defaultRowHeight="15" x14ac:dyDescent="0.25"/>
  <cols>
    <col min="4" max="4" width="11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45957</v>
      </c>
      <c r="B2" t="s">
        <v>48</v>
      </c>
      <c r="C2">
        <v>649163</v>
      </c>
      <c r="D2">
        <v>2031718267</v>
      </c>
      <c r="E2" t="s">
        <v>403</v>
      </c>
      <c r="F2" t="s">
        <v>404</v>
      </c>
      <c r="G2" t="s">
        <v>51</v>
      </c>
      <c r="H2" t="s">
        <v>69</v>
      </c>
      <c r="I2" t="s">
        <v>395</v>
      </c>
      <c r="J2" t="s">
        <v>405</v>
      </c>
      <c r="K2">
        <v>894525</v>
      </c>
      <c r="L2" t="s">
        <v>406</v>
      </c>
      <c r="M2" t="s">
        <v>407</v>
      </c>
      <c r="N2" t="s">
        <v>57</v>
      </c>
      <c r="O2" s="1">
        <v>45962</v>
      </c>
      <c r="Q2" s="1">
        <v>45992</v>
      </c>
      <c r="R2" s="2">
        <v>97.45</v>
      </c>
      <c r="S2">
        <v>1</v>
      </c>
      <c r="T2" t="s">
        <v>58</v>
      </c>
      <c r="U2" t="s">
        <v>238</v>
      </c>
      <c r="V2" s="3">
        <v>0.6</v>
      </c>
      <c r="W2" s="2">
        <v>0</v>
      </c>
      <c r="X2">
        <v>0</v>
      </c>
      <c r="Y2" t="s">
        <v>60</v>
      </c>
      <c r="Z2" t="s">
        <v>408</v>
      </c>
      <c r="AA2">
        <v>6</v>
      </c>
      <c r="AB2" s="2">
        <v>350.82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58.47</v>
      </c>
      <c r="AM2" s="2">
        <v>0</v>
      </c>
      <c r="AN2" s="2">
        <v>350.82</v>
      </c>
      <c r="AO2" s="2">
        <v>0</v>
      </c>
      <c r="AP2" s="2">
        <v>0</v>
      </c>
      <c r="AQ2" s="2">
        <v>0</v>
      </c>
    </row>
    <row r="3" spans="1:48" x14ac:dyDescent="0.25">
      <c r="A3" s="1">
        <v>45957</v>
      </c>
      <c r="B3" t="s">
        <v>48</v>
      </c>
      <c r="C3">
        <v>649163</v>
      </c>
      <c r="D3">
        <v>2031775267</v>
      </c>
      <c r="E3" t="s">
        <v>409</v>
      </c>
      <c r="F3" t="s">
        <v>410</v>
      </c>
      <c r="G3" t="s">
        <v>51</v>
      </c>
      <c r="H3" t="s">
        <v>195</v>
      </c>
      <c r="I3" t="s">
        <v>395</v>
      </c>
      <c r="J3" t="s">
        <v>411</v>
      </c>
      <c r="K3">
        <v>885445</v>
      </c>
      <c r="L3" t="s">
        <v>196</v>
      </c>
      <c r="M3" t="s">
        <v>197</v>
      </c>
      <c r="N3" t="s">
        <v>57</v>
      </c>
      <c r="O3" s="1">
        <v>45962</v>
      </c>
      <c r="Q3" s="1">
        <v>45992</v>
      </c>
      <c r="R3" s="2">
        <v>88.27</v>
      </c>
      <c r="S3">
        <v>1</v>
      </c>
      <c r="T3" t="s">
        <v>58</v>
      </c>
      <c r="U3" t="s">
        <v>238</v>
      </c>
      <c r="V3" s="3">
        <v>0.6</v>
      </c>
      <c r="W3" s="2">
        <v>0</v>
      </c>
      <c r="X3">
        <v>0</v>
      </c>
      <c r="Y3" t="s">
        <v>60</v>
      </c>
      <c r="Z3" t="s">
        <v>408</v>
      </c>
      <c r="AA3">
        <v>6</v>
      </c>
      <c r="AB3" s="2">
        <v>317.76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52.96</v>
      </c>
      <c r="AM3" s="2">
        <v>0</v>
      </c>
      <c r="AN3" s="2">
        <v>317.76</v>
      </c>
      <c r="AO3" s="2">
        <v>0</v>
      </c>
      <c r="AP3" s="2">
        <v>0</v>
      </c>
      <c r="AQ3" s="2">
        <v>0</v>
      </c>
    </row>
    <row r="4" spans="1:48" x14ac:dyDescent="0.25">
      <c r="A4" s="1">
        <v>45957</v>
      </c>
      <c r="B4" t="s">
        <v>48</v>
      </c>
      <c r="C4">
        <v>649163</v>
      </c>
      <c r="D4">
        <v>2031383607</v>
      </c>
      <c r="E4" t="s">
        <v>412</v>
      </c>
      <c r="F4" t="s">
        <v>413</v>
      </c>
      <c r="G4" t="s">
        <v>51</v>
      </c>
      <c r="H4" t="s">
        <v>118</v>
      </c>
      <c r="I4" t="s">
        <v>369</v>
      </c>
      <c r="J4" t="s">
        <v>375</v>
      </c>
      <c r="K4">
        <v>823068</v>
      </c>
      <c r="L4" t="s">
        <v>120</v>
      </c>
      <c r="M4" t="s">
        <v>121</v>
      </c>
      <c r="N4" t="s">
        <v>57</v>
      </c>
      <c r="O4" s="1">
        <v>45942</v>
      </c>
      <c r="Q4" s="1">
        <v>45973</v>
      </c>
      <c r="R4" s="2">
        <v>68.11</v>
      </c>
      <c r="S4">
        <v>1</v>
      </c>
      <c r="T4" t="s">
        <v>58</v>
      </c>
      <c r="U4" t="s">
        <v>238</v>
      </c>
      <c r="V4" s="3">
        <v>0.9</v>
      </c>
      <c r="W4" s="2">
        <v>0</v>
      </c>
      <c r="X4">
        <v>0</v>
      </c>
      <c r="Y4" t="s">
        <v>60</v>
      </c>
      <c r="Z4" t="s">
        <v>408</v>
      </c>
      <c r="AA4">
        <v>6</v>
      </c>
      <c r="AB4" s="2">
        <v>367.8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61.3</v>
      </c>
      <c r="AM4" s="2">
        <v>0</v>
      </c>
      <c r="AN4" s="2">
        <v>367.8</v>
      </c>
      <c r="AO4" s="2">
        <v>0</v>
      </c>
      <c r="AP4" s="2">
        <v>0</v>
      </c>
      <c r="AQ4" s="2">
        <v>0</v>
      </c>
    </row>
    <row r="5" spans="1:48" x14ac:dyDescent="0.25">
      <c r="A5" s="1">
        <v>45957</v>
      </c>
      <c r="B5" t="s">
        <v>48</v>
      </c>
      <c r="C5">
        <v>649163</v>
      </c>
      <c r="D5">
        <v>2031684820</v>
      </c>
      <c r="E5" t="s">
        <v>414</v>
      </c>
      <c r="F5" t="s">
        <v>415</v>
      </c>
      <c r="G5" t="s">
        <v>51</v>
      </c>
      <c r="H5" t="s">
        <v>69</v>
      </c>
      <c r="I5" t="s">
        <v>369</v>
      </c>
      <c r="J5" t="s">
        <v>375</v>
      </c>
      <c r="K5">
        <v>824062</v>
      </c>
      <c r="L5" t="s">
        <v>74</v>
      </c>
      <c r="M5" t="s">
        <v>75</v>
      </c>
      <c r="N5" t="s">
        <v>57</v>
      </c>
      <c r="O5" s="1">
        <v>45962</v>
      </c>
      <c r="Q5" s="1">
        <v>45992</v>
      </c>
      <c r="R5" s="2">
        <v>168.5</v>
      </c>
      <c r="S5">
        <v>1</v>
      </c>
      <c r="T5" t="s">
        <v>58</v>
      </c>
      <c r="U5" t="s">
        <v>238</v>
      </c>
      <c r="V5" s="3">
        <v>0.9</v>
      </c>
      <c r="W5" s="2">
        <v>0</v>
      </c>
      <c r="X5">
        <v>0</v>
      </c>
      <c r="Y5" t="s">
        <v>60</v>
      </c>
      <c r="Z5" t="s">
        <v>408</v>
      </c>
      <c r="AA5">
        <v>6</v>
      </c>
      <c r="AB5" s="2">
        <v>909.9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151.65</v>
      </c>
      <c r="AM5" s="2">
        <v>0</v>
      </c>
      <c r="AN5" s="2">
        <v>909.9</v>
      </c>
      <c r="AO5" s="2">
        <v>0</v>
      </c>
      <c r="AP5" s="2">
        <v>0</v>
      </c>
      <c r="AQ5" s="2">
        <v>0</v>
      </c>
    </row>
    <row r="6" spans="1:48" x14ac:dyDescent="0.25">
      <c r="A6" s="1">
        <v>45957</v>
      </c>
      <c r="B6" t="s">
        <v>48</v>
      </c>
      <c r="C6">
        <v>649163</v>
      </c>
      <c r="D6">
        <v>2031738859</v>
      </c>
      <c r="E6" t="s">
        <v>416</v>
      </c>
      <c r="F6" t="s">
        <v>417</v>
      </c>
      <c r="G6" t="s">
        <v>51</v>
      </c>
      <c r="H6" t="s">
        <v>52</v>
      </c>
      <c r="I6" t="s">
        <v>369</v>
      </c>
      <c r="J6" t="s">
        <v>418</v>
      </c>
      <c r="K6">
        <v>673059</v>
      </c>
      <c r="L6" t="s">
        <v>55</v>
      </c>
      <c r="M6" t="s">
        <v>56</v>
      </c>
      <c r="N6" t="s">
        <v>57</v>
      </c>
      <c r="O6" s="1">
        <v>45952</v>
      </c>
      <c r="Q6" s="1">
        <v>45983</v>
      </c>
      <c r="R6" s="2">
        <v>41.51</v>
      </c>
      <c r="S6">
        <v>1</v>
      </c>
      <c r="T6" t="s">
        <v>58</v>
      </c>
      <c r="U6" t="s">
        <v>238</v>
      </c>
      <c r="V6" s="3">
        <v>0.65</v>
      </c>
      <c r="W6" s="2">
        <v>0</v>
      </c>
      <c r="X6">
        <v>0</v>
      </c>
      <c r="Y6" t="s">
        <v>60</v>
      </c>
      <c r="Z6" t="s">
        <v>408</v>
      </c>
      <c r="AA6">
        <v>6</v>
      </c>
      <c r="AB6" s="2">
        <v>161.88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26.98</v>
      </c>
      <c r="AM6" s="2">
        <v>0</v>
      </c>
      <c r="AN6" s="2">
        <v>161.88</v>
      </c>
      <c r="AO6" s="2">
        <v>0</v>
      </c>
      <c r="AP6" s="2">
        <v>0</v>
      </c>
      <c r="AQ6" s="2">
        <v>0</v>
      </c>
    </row>
    <row r="7" spans="1:48" x14ac:dyDescent="0.25">
      <c r="A7" s="1">
        <v>45957</v>
      </c>
      <c r="B7" t="s">
        <v>48</v>
      </c>
      <c r="C7">
        <v>649163</v>
      </c>
      <c r="D7">
        <v>2031759933</v>
      </c>
      <c r="E7" t="s">
        <v>419</v>
      </c>
      <c r="F7" t="s">
        <v>420</v>
      </c>
      <c r="G7" t="s">
        <v>51</v>
      </c>
      <c r="H7" t="s">
        <v>69</v>
      </c>
      <c r="I7" t="s">
        <v>369</v>
      </c>
      <c r="J7" t="s">
        <v>421</v>
      </c>
      <c r="K7">
        <v>823350</v>
      </c>
      <c r="L7" t="s">
        <v>70</v>
      </c>
      <c r="M7" t="s">
        <v>183</v>
      </c>
      <c r="N7" t="s">
        <v>57</v>
      </c>
      <c r="O7" s="1">
        <v>45954</v>
      </c>
      <c r="Q7" s="1">
        <v>45985</v>
      </c>
      <c r="R7" s="2">
        <v>25.33</v>
      </c>
      <c r="S7">
        <v>1</v>
      </c>
      <c r="T7" t="s">
        <v>58</v>
      </c>
      <c r="U7" t="s">
        <v>238</v>
      </c>
      <c r="V7" s="3">
        <v>0.75</v>
      </c>
      <c r="W7" s="2">
        <v>0</v>
      </c>
      <c r="X7">
        <v>0</v>
      </c>
      <c r="Y7" t="s">
        <v>60</v>
      </c>
      <c r="Z7" t="s">
        <v>408</v>
      </c>
      <c r="AA7">
        <v>6</v>
      </c>
      <c r="AB7" s="2">
        <v>114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19</v>
      </c>
      <c r="AM7" s="2">
        <v>0</v>
      </c>
      <c r="AN7" s="2">
        <v>114</v>
      </c>
      <c r="AO7" s="2">
        <v>0</v>
      </c>
      <c r="AP7" s="2">
        <v>0</v>
      </c>
      <c r="AQ7" s="2">
        <v>0</v>
      </c>
    </row>
    <row r="8" spans="1:48" x14ac:dyDescent="0.25">
      <c r="A8" s="1">
        <v>45957</v>
      </c>
      <c r="B8" t="s">
        <v>48</v>
      </c>
      <c r="C8">
        <v>649163</v>
      </c>
      <c r="D8">
        <v>2031759934</v>
      </c>
      <c r="E8" t="s">
        <v>419</v>
      </c>
      <c r="F8" t="s">
        <v>420</v>
      </c>
      <c r="G8" t="s">
        <v>51</v>
      </c>
      <c r="H8" t="s">
        <v>69</v>
      </c>
      <c r="I8" t="s">
        <v>369</v>
      </c>
      <c r="J8" t="s">
        <v>375</v>
      </c>
      <c r="K8">
        <v>823350</v>
      </c>
      <c r="L8" t="s">
        <v>70</v>
      </c>
      <c r="M8" t="s">
        <v>183</v>
      </c>
      <c r="N8" t="s">
        <v>57</v>
      </c>
      <c r="O8" s="1">
        <v>45954</v>
      </c>
      <c r="Q8" s="1">
        <v>45985</v>
      </c>
      <c r="R8" s="2">
        <v>42.75</v>
      </c>
      <c r="S8">
        <v>1</v>
      </c>
      <c r="T8" t="s">
        <v>58</v>
      </c>
      <c r="U8" t="s">
        <v>238</v>
      </c>
      <c r="V8" s="3">
        <v>0.9</v>
      </c>
      <c r="W8" s="2">
        <v>0</v>
      </c>
      <c r="X8">
        <v>0</v>
      </c>
      <c r="Y8" t="s">
        <v>60</v>
      </c>
      <c r="Z8" t="s">
        <v>408</v>
      </c>
      <c r="AA8">
        <v>6</v>
      </c>
      <c r="AB8" s="2">
        <v>230.88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38.479999999999997</v>
      </c>
      <c r="AM8" s="2">
        <v>0</v>
      </c>
      <c r="AN8" s="2">
        <v>230.88</v>
      </c>
      <c r="AO8" s="2">
        <v>0</v>
      </c>
      <c r="AP8" s="2">
        <v>0</v>
      </c>
      <c r="AQ8" s="2">
        <v>0</v>
      </c>
    </row>
    <row r="9" spans="1:48" x14ac:dyDescent="0.25">
      <c r="A9" s="1">
        <v>45957</v>
      </c>
      <c r="B9" t="s">
        <v>48</v>
      </c>
      <c r="C9">
        <v>649163</v>
      </c>
      <c r="D9">
        <v>2031760072</v>
      </c>
      <c r="E9" t="s">
        <v>422</v>
      </c>
      <c r="F9" t="s">
        <v>423</v>
      </c>
      <c r="G9" t="s">
        <v>51</v>
      </c>
      <c r="H9" t="s">
        <v>118</v>
      </c>
      <c r="I9" t="s">
        <v>369</v>
      </c>
      <c r="J9" t="s">
        <v>375</v>
      </c>
      <c r="K9">
        <v>823068</v>
      </c>
      <c r="L9" t="s">
        <v>120</v>
      </c>
      <c r="M9" t="s">
        <v>121</v>
      </c>
      <c r="N9" t="s">
        <v>57</v>
      </c>
      <c r="O9" s="1">
        <v>45962</v>
      </c>
      <c r="Q9" s="1">
        <v>45992</v>
      </c>
      <c r="R9" s="2">
        <v>113.13</v>
      </c>
      <c r="S9">
        <v>1</v>
      </c>
      <c r="T9" t="s">
        <v>58</v>
      </c>
      <c r="U9" t="s">
        <v>238</v>
      </c>
      <c r="V9" s="3">
        <v>0.9</v>
      </c>
      <c r="W9" s="2">
        <v>0</v>
      </c>
      <c r="X9">
        <v>0</v>
      </c>
      <c r="Y9" t="s">
        <v>60</v>
      </c>
      <c r="Z9" t="s">
        <v>408</v>
      </c>
      <c r="AA9">
        <v>6</v>
      </c>
      <c r="AB9" s="2">
        <v>610.91999999999996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101.82</v>
      </c>
      <c r="AM9" s="2">
        <v>0</v>
      </c>
      <c r="AN9" s="2">
        <v>610.91999999999996</v>
      </c>
      <c r="AO9" s="2">
        <v>0</v>
      </c>
      <c r="AP9" s="2">
        <v>0</v>
      </c>
      <c r="AQ9" s="2">
        <v>0</v>
      </c>
    </row>
    <row r="10" spans="1:48" x14ac:dyDescent="0.25">
      <c r="A10" s="1">
        <v>45957</v>
      </c>
      <c r="B10" t="s">
        <v>48</v>
      </c>
      <c r="C10">
        <v>649163</v>
      </c>
      <c r="D10">
        <v>2031761352</v>
      </c>
      <c r="E10" t="s">
        <v>424</v>
      </c>
      <c r="F10" t="s">
        <v>413</v>
      </c>
      <c r="G10" t="s">
        <v>51</v>
      </c>
      <c r="H10" t="s">
        <v>118</v>
      </c>
      <c r="I10" t="s">
        <v>369</v>
      </c>
      <c r="J10" t="s">
        <v>375</v>
      </c>
      <c r="K10">
        <v>652037</v>
      </c>
      <c r="L10" t="s">
        <v>155</v>
      </c>
      <c r="M10" t="s">
        <v>156</v>
      </c>
      <c r="N10" t="s">
        <v>57</v>
      </c>
      <c r="O10" s="1">
        <v>45962</v>
      </c>
      <c r="Q10" s="1">
        <v>45992</v>
      </c>
      <c r="R10" s="2">
        <v>26.98</v>
      </c>
      <c r="S10">
        <v>1</v>
      </c>
      <c r="T10" t="s">
        <v>58</v>
      </c>
      <c r="U10" t="s">
        <v>238</v>
      </c>
      <c r="V10" s="3">
        <v>0.9</v>
      </c>
      <c r="W10" s="2">
        <v>0</v>
      </c>
      <c r="X10">
        <v>0</v>
      </c>
      <c r="Y10" t="s">
        <v>60</v>
      </c>
      <c r="Z10" t="s">
        <v>408</v>
      </c>
      <c r="AA10">
        <v>6</v>
      </c>
      <c r="AB10" s="2">
        <v>145.68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24.28</v>
      </c>
      <c r="AM10" s="2">
        <v>0</v>
      </c>
      <c r="AN10" s="2">
        <v>145.68</v>
      </c>
      <c r="AO10" s="2">
        <v>0</v>
      </c>
      <c r="AP10" s="2">
        <v>0</v>
      </c>
      <c r="AQ10" s="2">
        <v>0</v>
      </c>
    </row>
    <row r="11" spans="1:48" x14ac:dyDescent="0.25">
      <c r="A11" s="1">
        <v>45957</v>
      </c>
      <c r="B11" t="s">
        <v>48</v>
      </c>
      <c r="C11">
        <v>649163</v>
      </c>
      <c r="D11">
        <v>2031775761</v>
      </c>
      <c r="E11" t="s">
        <v>425</v>
      </c>
      <c r="F11" t="s">
        <v>153</v>
      </c>
      <c r="G11" t="s">
        <v>51</v>
      </c>
      <c r="H11" t="s">
        <v>92</v>
      </c>
      <c r="I11" t="s">
        <v>369</v>
      </c>
      <c r="J11" t="s">
        <v>421</v>
      </c>
      <c r="K11">
        <v>816021</v>
      </c>
      <c r="L11" t="s">
        <v>93</v>
      </c>
      <c r="M11" t="s">
        <v>94</v>
      </c>
      <c r="N11" t="s">
        <v>57</v>
      </c>
      <c r="O11" s="1">
        <v>45954</v>
      </c>
      <c r="Q11" s="1">
        <v>45985</v>
      </c>
      <c r="R11" s="2">
        <v>59.29</v>
      </c>
      <c r="S11">
        <v>1</v>
      </c>
      <c r="T11" t="s">
        <v>58</v>
      </c>
      <c r="U11" t="s">
        <v>238</v>
      </c>
      <c r="V11" s="3">
        <v>0.75</v>
      </c>
      <c r="W11" s="2">
        <v>0</v>
      </c>
      <c r="X11">
        <v>0</v>
      </c>
      <c r="Y11" t="s">
        <v>60</v>
      </c>
      <c r="Z11" t="s">
        <v>408</v>
      </c>
      <c r="AA11">
        <v>6</v>
      </c>
      <c r="AB11" s="2">
        <v>266.82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44.47</v>
      </c>
      <c r="AM11" s="2">
        <v>0</v>
      </c>
      <c r="AN11" s="2">
        <v>266.82</v>
      </c>
      <c r="AO11" s="2">
        <v>0</v>
      </c>
      <c r="AP11" s="2">
        <v>0</v>
      </c>
      <c r="AQ11" s="2">
        <v>0</v>
      </c>
    </row>
    <row r="12" spans="1:48" x14ac:dyDescent="0.25">
      <c r="A12" s="1">
        <v>45957</v>
      </c>
      <c r="B12" t="s">
        <v>48</v>
      </c>
      <c r="C12">
        <v>649163</v>
      </c>
      <c r="D12">
        <v>2031795289</v>
      </c>
      <c r="E12" t="s">
        <v>426</v>
      </c>
      <c r="F12" t="s">
        <v>427</v>
      </c>
      <c r="G12" t="s">
        <v>51</v>
      </c>
      <c r="H12" t="s">
        <v>118</v>
      </c>
      <c r="I12" t="s">
        <v>369</v>
      </c>
      <c r="J12" t="s">
        <v>375</v>
      </c>
      <c r="K12">
        <v>823068</v>
      </c>
      <c r="L12" t="s">
        <v>120</v>
      </c>
      <c r="M12" t="s">
        <v>121</v>
      </c>
      <c r="N12" t="s">
        <v>57</v>
      </c>
      <c r="O12" s="1">
        <v>45962</v>
      </c>
      <c r="Q12" s="1">
        <v>45992</v>
      </c>
      <c r="R12" s="2">
        <v>31.21</v>
      </c>
      <c r="S12">
        <v>1</v>
      </c>
      <c r="T12" t="s">
        <v>58</v>
      </c>
      <c r="U12" t="s">
        <v>238</v>
      </c>
      <c r="V12" s="3">
        <v>0.9</v>
      </c>
      <c r="W12" s="2">
        <v>0</v>
      </c>
      <c r="X12">
        <v>0</v>
      </c>
      <c r="Y12" t="s">
        <v>60</v>
      </c>
      <c r="Z12" t="s">
        <v>408</v>
      </c>
      <c r="AA12">
        <v>6</v>
      </c>
      <c r="AB12" s="2">
        <v>168.54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28.09</v>
      </c>
      <c r="AM12" s="2">
        <v>0</v>
      </c>
      <c r="AN12" s="2">
        <v>168.54</v>
      </c>
      <c r="AO12" s="2">
        <v>0</v>
      </c>
      <c r="AP12" s="2">
        <v>0</v>
      </c>
      <c r="AQ12" s="2">
        <v>0</v>
      </c>
    </row>
    <row r="13" spans="1:48" x14ac:dyDescent="0.25">
      <c r="A13" s="1">
        <v>45957</v>
      </c>
      <c r="B13" t="s">
        <v>48</v>
      </c>
      <c r="C13">
        <v>649163</v>
      </c>
      <c r="D13">
        <v>2031475878</v>
      </c>
      <c r="E13" t="s">
        <v>428</v>
      </c>
      <c r="F13" t="s">
        <v>429</v>
      </c>
      <c r="G13" t="s">
        <v>51</v>
      </c>
      <c r="H13" t="s">
        <v>69</v>
      </c>
      <c r="I13" t="s">
        <v>361</v>
      </c>
      <c r="J13" t="s">
        <v>430</v>
      </c>
      <c r="K13">
        <v>824062</v>
      </c>
      <c r="L13" t="s">
        <v>74</v>
      </c>
      <c r="M13" t="s">
        <v>75</v>
      </c>
      <c r="N13" t="s">
        <v>57</v>
      </c>
      <c r="O13" s="1">
        <v>45962</v>
      </c>
      <c r="Q13" s="1">
        <v>45992</v>
      </c>
      <c r="R13" s="2">
        <v>15</v>
      </c>
      <c r="S13">
        <v>1</v>
      </c>
      <c r="T13" t="s">
        <v>58</v>
      </c>
      <c r="U13" t="s">
        <v>431</v>
      </c>
      <c r="V13" s="3">
        <v>0.38</v>
      </c>
      <c r="W13" s="2">
        <v>0</v>
      </c>
      <c r="X13">
        <v>0</v>
      </c>
      <c r="Y13" t="s">
        <v>60</v>
      </c>
      <c r="Z13" t="s">
        <v>408</v>
      </c>
      <c r="AA13">
        <v>6</v>
      </c>
      <c r="AB13" s="2">
        <v>34.200000000000003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5.7</v>
      </c>
      <c r="AM13" s="2">
        <v>0</v>
      </c>
      <c r="AN13" s="2">
        <v>34.200000000000003</v>
      </c>
      <c r="AO13" s="2">
        <v>0</v>
      </c>
      <c r="AP13" s="2">
        <v>0</v>
      </c>
      <c r="AQ13" s="2">
        <v>0</v>
      </c>
    </row>
    <row r="14" spans="1:48" x14ac:dyDescent="0.25">
      <c r="A14" s="1">
        <v>45957</v>
      </c>
      <c r="B14" t="s">
        <v>48</v>
      </c>
      <c r="C14">
        <v>649163</v>
      </c>
      <c r="D14">
        <v>2031804599</v>
      </c>
      <c r="E14" t="s">
        <v>432</v>
      </c>
      <c r="F14" t="s">
        <v>433</v>
      </c>
      <c r="G14" t="s">
        <v>51</v>
      </c>
      <c r="H14" t="s">
        <v>179</v>
      </c>
      <c r="I14" t="s">
        <v>361</v>
      </c>
      <c r="J14" t="s">
        <v>434</v>
      </c>
      <c r="K14">
        <v>877790</v>
      </c>
      <c r="L14" t="s">
        <v>435</v>
      </c>
      <c r="M14" t="s">
        <v>436</v>
      </c>
      <c r="N14" t="s">
        <v>57</v>
      </c>
      <c r="O14" s="1">
        <v>45955</v>
      </c>
      <c r="Q14" s="1">
        <v>45986</v>
      </c>
      <c r="R14" s="2">
        <v>15</v>
      </c>
      <c r="S14">
        <v>1</v>
      </c>
      <c r="T14" t="s">
        <v>58</v>
      </c>
      <c r="U14" t="s">
        <v>431</v>
      </c>
      <c r="V14" s="3">
        <v>0.19</v>
      </c>
      <c r="W14" s="2">
        <v>0</v>
      </c>
      <c r="X14">
        <v>0</v>
      </c>
      <c r="Y14" t="s">
        <v>60</v>
      </c>
      <c r="Z14" t="s">
        <v>408</v>
      </c>
      <c r="AA14">
        <v>6</v>
      </c>
      <c r="AB14" s="2">
        <v>17.100000000000001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2.85</v>
      </c>
      <c r="AM14" s="2">
        <v>0</v>
      </c>
      <c r="AN14" s="2">
        <v>17.100000000000001</v>
      </c>
      <c r="AO14" s="2">
        <v>0</v>
      </c>
      <c r="AP14" s="2">
        <v>0</v>
      </c>
      <c r="AQ14" s="2">
        <v>0</v>
      </c>
    </row>
    <row r="15" spans="1:48" x14ac:dyDescent="0.25">
      <c r="A15" s="1">
        <v>45957</v>
      </c>
      <c r="B15" t="s">
        <v>48</v>
      </c>
      <c r="C15">
        <v>649163</v>
      </c>
      <c r="D15">
        <v>2031684819</v>
      </c>
      <c r="E15" t="s">
        <v>414</v>
      </c>
      <c r="F15" t="s">
        <v>415</v>
      </c>
      <c r="G15" t="s">
        <v>51</v>
      </c>
      <c r="H15" t="s">
        <v>69</v>
      </c>
      <c r="I15" t="s">
        <v>378</v>
      </c>
      <c r="J15" t="s">
        <v>379</v>
      </c>
      <c r="K15">
        <v>824062</v>
      </c>
      <c r="L15" t="s">
        <v>74</v>
      </c>
      <c r="M15" t="s">
        <v>75</v>
      </c>
      <c r="N15" t="s">
        <v>57</v>
      </c>
      <c r="O15" s="1">
        <v>45962</v>
      </c>
      <c r="Q15" s="1">
        <v>45992</v>
      </c>
      <c r="R15" s="2">
        <v>149.87</v>
      </c>
      <c r="S15">
        <v>1</v>
      </c>
      <c r="T15" t="s">
        <v>58</v>
      </c>
      <c r="U15" t="s">
        <v>238</v>
      </c>
      <c r="V15" s="4">
        <v>0.375</v>
      </c>
      <c r="W15" s="2">
        <v>0</v>
      </c>
      <c r="X15">
        <v>0</v>
      </c>
      <c r="Y15" t="s">
        <v>60</v>
      </c>
      <c r="Z15" t="s">
        <v>408</v>
      </c>
      <c r="AA15">
        <v>6</v>
      </c>
      <c r="AB15" s="2">
        <v>337.2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56.2</v>
      </c>
      <c r="AM15" s="2">
        <v>0</v>
      </c>
      <c r="AN15" s="2">
        <v>337.2</v>
      </c>
      <c r="AO15" s="2">
        <v>0</v>
      </c>
      <c r="AP15" s="2">
        <v>0</v>
      </c>
      <c r="AQ15" s="2">
        <v>0</v>
      </c>
    </row>
    <row r="16" spans="1:48" x14ac:dyDescent="0.25">
      <c r="A16" s="1">
        <v>45957</v>
      </c>
      <c r="B16" t="s">
        <v>48</v>
      </c>
      <c r="C16">
        <v>649163</v>
      </c>
      <c r="D16">
        <v>2031719649</v>
      </c>
      <c r="E16" t="s">
        <v>113</v>
      </c>
      <c r="F16" t="s">
        <v>115</v>
      </c>
      <c r="G16" t="s">
        <v>51</v>
      </c>
      <c r="H16" t="s">
        <v>52</v>
      </c>
      <c r="I16" t="s">
        <v>378</v>
      </c>
      <c r="J16" t="s">
        <v>379</v>
      </c>
      <c r="K16">
        <v>812782</v>
      </c>
      <c r="L16" t="s">
        <v>114</v>
      </c>
      <c r="M16" t="s">
        <v>115</v>
      </c>
      <c r="N16" t="s">
        <v>57</v>
      </c>
      <c r="O16" s="1">
        <v>45951</v>
      </c>
      <c r="Q16" s="1">
        <v>45982</v>
      </c>
      <c r="R16" s="2">
        <v>27.97</v>
      </c>
      <c r="S16">
        <v>1</v>
      </c>
      <c r="T16" t="s">
        <v>58</v>
      </c>
      <c r="U16" t="s">
        <v>238</v>
      </c>
      <c r="V16" s="4">
        <v>0.375</v>
      </c>
      <c r="W16" s="2">
        <v>0</v>
      </c>
      <c r="X16">
        <v>0</v>
      </c>
      <c r="Y16" t="s">
        <v>60</v>
      </c>
      <c r="Z16" t="s">
        <v>408</v>
      </c>
      <c r="AA16">
        <v>6</v>
      </c>
      <c r="AB16" s="2">
        <v>62.94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10.49</v>
      </c>
      <c r="AM16" s="2">
        <v>0</v>
      </c>
      <c r="AN16" s="2">
        <v>62.94</v>
      </c>
      <c r="AO16" s="2">
        <v>0</v>
      </c>
      <c r="AP16" s="2">
        <v>0</v>
      </c>
      <c r="AQ16" s="2">
        <v>0</v>
      </c>
    </row>
    <row r="17" spans="1:43" x14ac:dyDescent="0.25">
      <c r="A17" s="1">
        <v>45957</v>
      </c>
      <c r="B17" t="s">
        <v>48</v>
      </c>
      <c r="C17">
        <v>649163</v>
      </c>
      <c r="D17">
        <v>2031721212</v>
      </c>
      <c r="E17" t="s">
        <v>437</v>
      </c>
      <c r="F17" t="s">
        <v>438</v>
      </c>
      <c r="G17" t="s">
        <v>51</v>
      </c>
      <c r="H17" t="s">
        <v>439</v>
      </c>
      <c r="I17" t="s">
        <v>378</v>
      </c>
      <c r="J17" t="s">
        <v>379</v>
      </c>
      <c r="K17">
        <v>820140</v>
      </c>
      <c r="L17" t="s">
        <v>440</v>
      </c>
      <c r="M17" t="s">
        <v>407</v>
      </c>
      <c r="N17" t="s">
        <v>57</v>
      </c>
      <c r="O17" s="1">
        <v>45951</v>
      </c>
      <c r="Q17" s="1">
        <v>45982</v>
      </c>
      <c r="R17" s="2">
        <v>123.26</v>
      </c>
      <c r="S17">
        <v>1</v>
      </c>
      <c r="T17" t="s">
        <v>58</v>
      </c>
      <c r="U17" t="s">
        <v>238</v>
      </c>
      <c r="V17" s="4">
        <v>9.5000000000000001E-2</v>
      </c>
      <c r="W17" s="2">
        <v>0</v>
      </c>
      <c r="X17">
        <v>0</v>
      </c>
      <c r="Y17" t="s">
        <v>60</v>
      </c>
      <c r="Z17" t="s">
        <v>408</v>
      </c>
      <c r="AA17">
        <v>6</v>
      </c>
      <c r="AB17" s="2">
        <v>70.260000000000005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11.71</v>
      </c>
      <c r="AM17" s="2">
        <v>0</v>
      </c>
      <c r="AN17" s="2">
        <v>70.260000000000005</v>
      </c>
      <c r="AO17" s="2">
        <v>0</v>
      </c>
      <c r="AP17" s="2">
        <v>0</v>
      </c>
      <c r="AQ17" s="2">
        <v>0</v>
      </c>
    </row>
    <row r="18" spans="1:43" x14ac:dyDescent="0.25">
      <c r="A18" s="1">
        <v>45957</v>
      </c>
      <c r="B18" t="s">
        <v>48</v>
      </c>
      <c r="C18">
        <v>649163</v>
      </c>
      <c r="D18">
        <v>2031738861</v>
      </c>
      <c r="E18" t="s">
        <v>416</v>
      </c>
      <c r="F18" t="s">
        <v>417</v>
      </c>
      <c r="G18" t="s">
        <v>51</v>
      </c>
      <c r="H18" t="s">
        <v>52</v>
      </c>
      <c r="I18" t="s">
        <v>378</v>
      </c>
      <c r="J18" t="s">
        <v>379</v>
      </c>
      <c r="K18">
        <v>673059</v>
      </c>
      <c r="L18" t="s">
        <v>55</v>
      </c>
      <c r="M18" t="s">
        <v>56</v>
      </c>
      <c r="N18" t="s">
        <v>57</v>
      </c>
      <c r="O18" s="1">
        <v>45952</v>
      </c>
      <c r="Q18" s="1">
        <v>45983</v>
      </c>
      <c r="R18" s="2">
        <v>24.54</v>
      </c>
      <c r="S18">
        <v>1</v>
      </c>
      <c r="T18" t="s">
        <v>58</v>
      </c>
      <c r="U18" t="s">
        <v>238</v>
      </c>
      <c r="V18" s="4">
        <v>0.375</v>
      </c>
      <c r="W18" s="2">
        <v>0</v>
      </c>
      <c r="X18">
        <v>0</v>
      </c>
      <c r="Y18" t="s">
        <v>60</v>
      </c>
      <c r="Z18" t="s">
        <v>408</v>
      </c>
      <c r="AA18">
        <v>6</v>
      </c>
      <c r="AB18" s="2">
        <v>55.2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9.1999999999999993</v>
      </c>
      <c r="AM18" s="2">
        <v>0</v>
      </c>
      <c r="AN18" s="2">
        <v>55.2</v>
      </c>
      <c r="AO18" s="2">
        <v>0</v>
      </c>
      <c r="AP18" s="2">
        <v>0</v>
      </c>
      <c r="AQ18" s="2">
        <v>0</v>
      </c>
    </row>
    <row r="19" spans="1:43" x14ac:dyDescent="0.25">
      <c r="A19" s="1">
        <v>45957</v>
      </c>
      <c r="B19" t="s">
        <v>48</v>
      </c>
      <c r="C19">
        <v>649163</v>
      </c>
      <c r="D19">
        <v>2031743428</v>
      </c>
      <c r="E19" t="s">
        <v>441</v>
      </c>
      <c r="F19" t="s">
        <v>442</v>
      </c>
      <c r="G19" t="s">
        <v>51</v>
      </c>
      <c r="H19" t="s">
        <v>195</v>
      </c>
      <c r="I19" t="s">
        <v>378</v>
      </c>
      <c r="J19" t="s">
        <v>379</v>
      </c>
      <c r="K19">
        <v>650218</v>
      </c>
      <c r="L19" t="s">
        <v>357</v>
      </c>
      <c r="M19" t="s">
        <v>358</v>
      </c>
      <c r="N19" t="s">
        <v>57</v>
      </c>
      <c r="O19" s="1">
        <v>45962</v>
      </c>
      <c r="Q19" s="1">
        <v>45992</v>
      </c>
      <c r="R19" s="2">
        <v>32.979999999999997</v>
      </c>
      <c r="S19">
        <v>1</v>
      </c>
      <c r="T19" t="s">
        <v>58</v>
      </c>
      <c r="U19" t="s">
        <v>238</v>
      </c>
      <c r="V19" s="4">
        <v>0.375</v>
      </c>
      <c r="W19" s="2">
        <v>0</v>
      </c>
      <c r="X19">
        <v>0</v>
      </c>
      <c r="Y19" t="s">
        <v>60</v>
      </c>
      <c r="Z19" t="s">
        <v>408</v>
      </c>
      <c r="AA19">
        <v>6</v>
      </c>
      <c r="AB19" s="2">
        <v>74.22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12.37</v>
      </c>
      <c r="AM19" s="2">
        <v>0</v>
      </c>
      <c r="AN19" s="2">
        <v>74.22</v>
      </c>
      <c r="AO19" s="2">
        <v>0</v>
      </c>
      <c r="AP19" s="2">
        <v>0</v>
      </c>
      <c r="AQ19" s="2">
        <v>0</v>
      </c>
    </row>
    <row r="20" spans="1:43" x14ac:dyDescent="0.25">
      <c r="A20" s="1">
        <v>45957</v>
      </c>
      <c r="B20" t="s">
        <v>48</v>
      </c>
      <c r="C20">
        <v>649163</v>
      </c>
      <c r="D20">
        <v>2031759931</v>
      </c>
      <c r="E20" t="s">
        <v>419</v>
      </c>
      <c r="F20" t="s">
        <v>420</v>
      </c>
      <c r="G20" t="s">
        <v>51</v>
      </c>
      <c r="H20" t="s">
        <v>69</v>
      </c>
      <c r="I20" t="s">
        <v>378</v>
      </c>
      <c r="J20" t="s">
        <v>379</v>
      </c>
      <c r="K20">
        <v>823350</v>
      </c>
      <c r="L20" t="s">
        <v>70</v>
      </c>
      <c r="M20" t="s">
        <v>183</v>
      </c>
      <c r="N20" t="s">
        <v>57</v>
      </c>
      <c r="O20" s="1">
        <v>45954</v>
      </c>
      <c r="Q20" s="1">
        <v>45985</v>
      </c>
      <c r="R20" s="2">
        <v>77.48</v>
      </c>
      <c r="S20">
        <v>1</v>
      </c>
      <c r="T20" t="s">
        <v>58</v>
      </c>
      <c r="U20" t="s">
        <v>238</v>
      </c>
      <c r="V20" s="4">
        <v>0.375</v>
      </c>
      <c r="W20" s="2">
        <v>0</v>
      </c>
      <c r="X20">
        <v>0</v>
      </c>
      <c r="Y20" t="s">
        <v>60</v>
      </c>
      <c r="Z20" t="s">
        <v>408</v>
      </c>
      <c r="AA20">
        <v>6</v>
      </c>
      <c r="AB20" s="2">
        <v>174.36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29.06</v>
      </c>
      <c r="AM20" s="2">
        <v>0</v>
      </c>
      <c r="AN20" s="2">
        <v>174.36</v>
      </c>
      <c r="AO20" s="2">
        <v>0</v>
      </c>
      <c r="AP20" s="2">
        <v>0</v>
      </c>
      <c r="AQ20" s="2">
        <v>0</v>
      </c>
    </row>
    <row r="21" spans="1:43" x14ac:dyDescent="0.25">
      <c r="A21" s="1">
        <v>45957</v>
      </c>
      <c r="B21" t="s">
        <v>48</v>
      </c>
      <c r="C21">
        <v>649163</v>
      </c>
      <c r="D21">
        <v>2031775266</v>
      </c>
      <c r="E21" t="s">
        <v>409</v>
      </c>
      <c r="F21" t="s">
        <v>410</v>
      </c>
      <c r="G21" t="s">
        <v>51</v>
      </c>
      <c r="H21" t="s">
        <v>195</v>
      </c>
      <c r="I21" t="s">
        <v>378</v>
      </c>
      <c r="J21" t="s">
        <v>379</v>
      </c>
      <c r="K21">
        <v>885445</v>
      </c>
      <c r="L21" t="s">
        <v>196</v>
      </c>
      <c r="M21" t="s">
        <v>197</v>
      </c>
      <c r="N21" t="s">
        <v>57</v>
      </c>
      <c r="O21" s="1">
        <v>45962</v>
      </c>
      <c r="Q21" s="1">
        <v>45992</v>
      </c>
      <c r="R21" s="2">
        <v>136.69</v>
      </c>
      <c r="S21">
        <v>1</v>
      </c>
      <c r="T21" t="s">
        <v>58</v>
      </c>
      <c r="U21" t="s">
        <v>238</v>
      </c>
      <c r="V21" s="4">
        <v>0.375</v>
      </c>
      <c r="W21" s="2">
        <v>0</v>
      </c>
      <c r="X21">
        <v>0</v>
      </c>
      <c r="Y21" t="s">
        <v>60</v>
      </c>
      <c r="Z21" t="s">
        <v>408</v>
      </c>
      <c r="AA21">
        <v>6</v>
      </c>
      <c r="AB21" s="2">
        <v>307.56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51.26</v>
      </c>
      <c r="AM21" s="2">
        <v>0</v>
      </c>
      <c r="AN21" s="2">
        <v>307.56</v>
      </c>
      <c r="AO21" s="2">
        <v>0</v>
      </c>
      <c r="AP21" s="2">
        <v>0</v>
      </c>
      <c r="AQ21" s="2">
        <v>0</v>
      </c>
    </row>
    <row r="22" spans="1:43" x14ac:dyDescent="0.25">
      <c r="A22" s="1">
        <v>45957</v>
      </c>
      <c r="B22" t="s">
        <v>48</v>
      </c>
      <c r="C22">
        <v>649163</v>
      </c>
      <c r="D22">
        <v>2031475875</v>
      </c>
      <c r="E22" t="s">
        <v>428</v>
      </c>
      <c r="F22" t="s">
        <v>429</v>
      </c>
      <c r="G22" t="s">
        <v>51</v>
      </c>
      <c r="H22" t="s">
        <v>69</v>
      </c>
      <c r="I22" t="s">
        <v>355</v>
      </c>
      <c r="J22" t="s">
        <v>443</v>
      </c>
      <c r="K22">
        <v>824062</v>
      </c>
      <c r="L22" t="s">
        <v>74</v>
      </c>
      <c r="M22" t="s">
        <v>75</v>
      </c>
      <c r="N22" t="s">
        <v>57</v>
      </c>
      <c r="O22" s="1">
        <v>45962</v>
      </c>
      <c r="Q22" s="1">
        <v>45992</v>
      </c>
      <c r="R22" s="2">
        <v>226.98</v>
      </c>
      <c r="S22">
        <v>1</v>
      </c>
      <c r="T22" t="s">
        <v>58</v>
      </c>
      <c r="U22" t="s">
        <v>238</v>
      </c>
      <c r="V22" s="3">
        <v>0.38</v>
      </c>
      <c r="W22" s="2">
        <v>0</v>
      </c>
      <c r="X22">
        <v>0</v>
      </c>
      <c r="Y22" t="s">
        <v>60</v>
      </c>
      <c r="Z22" t="s">
        <v>408</v>
      </c>
      <c r="AA22">
        <v>6</v>
      </c>
      <c r="AB22" s="2">
        <v>517.5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86.25</v>
      </c>
      <c r="AM22" s="2">
        <v>0</v>
      </c>
      <c r="AN22" s="2">
        <v>517.5</v>
      </c>
      <c r="AO22" s="2">
        <v>0</v>
      </c>
      <c r="AP22" s="2">
        <v>0</v>
      </c>
      <c r="AQ22" s="2">
        <v>0</v>
      </c>
    </row>
    <row r="23" spans="1:43" x14ac:dyDescent="0.25">
      <c r="A23" s="1">
        <v>45957</v>
      </c>
      <c r="B23" t="s">
        <v>48</v>
      </c>
      <c r="C23">
        <v>649163</v>
      </c>
      <c r="D23">
        <v>2031475876</v>
      </c>
      <c r="E23" t="s">
        <v>428</v>
      </c>
      <c r="F23" t="s">
        <v>429</v>
      </c>
      <c r="G23" t="s">
        <v>51</v>
      </c>
      <c r="H23" t="s">
        <v>69</v>
      </c>
      <c r="I23" t="s">
        <v>355</v>
      </c>
      <c r="J23" t="s">
        <v>444</v>
      </c>
      <c r="K23">
        <v>824062</v>
      </c>
      <c r="L23" t="s">
        <v>74</v>
      </c>
      <c r="M23" t="s">
        <v>75</v>
      </c>
      <c r="N23" t="s">
        <v>57</v>
      </c>
      <c r="O23" s="1">
        <v>45962</v>
      </c>
      <c r="Q23" s="1">
        <v>45992</v>
      </c>
      <c r="R23" s="2">
        <v>7.09</v>
      </c>
      <c r="S23">
        <v>1</v>
      </c>
      <c r="T23" t="s">
        <v>58</v>
      </c>
      <c r="U23" t="s">
        <v>238</v>
      </c>
      <c r="V23" s="3">
        <v>0.38</v>
      </c>
      <c r="W23" s="2">
        <v>0</v>
      </c>
      <c r="X23">
        <v>0</v>
      </c>
      <c r="Y23" t="s">
        <v>60</v>
      </c>
      <c r="Z23" t="s">
        <v>408</v>
      </c>
      <c r="AA23">
        <v>6</v>
      </c>
      <c r="AB23" s="2">
        <v>16.14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2.69</v>
      </c>
      <c r="AM23" s="2">
        <v>0</v>
      </c>
      <c r="AN23" s="2">
        <v>16.14</v>
      </c>
      <c r="AO23" s="2">
        <v>0</v>
      </c>
      <c r="AP23" s="2">
        <v>0</v>
      </c>
      <c r="AQ23" s="2">
        <v>0</v>
      </c>
    </row>
    <row r="24" spans="1:43" x14ac:dyDescent="0.25">
      <c r="A24" s="1">
        <v>45957</v>
      </c>
      <c r="B24" t="s">
        <v>48</v>
      </c>
      <c r="C24">
        <v>649163</v>
      </c>
      <c r="D24">
        <v>2031743427</v>
      </c>
      <c r="E24" t="s">
        <v>441</v>
      </c>
      <c r="F24" t="s">
        <v>442</v>
      </c>
      <c r="G24" t="s">
        <v>51</v>
      </c>
      <c r="H24" t="s">
        <v>195</v>
      </c>
      <c r="I24" t="s">
        <v>355</v>
      </c>
      <c r="J24" t="s">
        <v>356</v>
      </c>
      <c r="K24">
        <v>650218</v>
      </c>
      <c r="L24" t="s">
        <v>357</v>
      </c>
      <c r="M24" t="s">
        <v>358</v>
      </c>
      <c r="N24" t="s">
        <v>57</v>
      </c>
      <c r="O24" s="1">
        <v>45962</v>
      </c>
      <c r="Q24" s="1">
        <v>45992</v>
      </c>
      <c r="R24" s="2">
        <v>21.97</v>
      </c>
      <c r="S24">
        <v>1</v>
      </c>
      <c r="T24" t="s">
        <v>58</v>
      </c>
      <c r="U24" t="s">
        <v>238</v>
      </c>
      <c r="V24" s="3">
        <v>0.38</v>
      </c>
      <c r="W24" s="2">
        <v>0</v>
      </c>
      <c r="X24">
        <v>0</v>
      </c>
      <c r="Y24" t="s">
        <v>60</v>
      </c>
      <c r="Z24" t="s">
        <v>408</v>
      </c>
      <c r="AA24">
        <v>6</v>
      </c>
      <c r="AB24" s="2">
        <v>50.1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8.35</v>
      </c>
      <c r="AM24" s="2">
        <v>0</v>
      </c>
      <c r="AN24" s="2">
        <v>50.1</v>
      </c>
      <c r="AO24" s="2">
        <v>0</v>
      </c>
      <c r="AP24" s="2">
        <v>0</v>
      </c>
      <c r="AQ24" s="2">
        <v>0</v>
      </c>
    </row>
    <row r="25" spans="1:43" x14ac:dyDescent="0.25">
      <c r="A25" s="1">
        <v>45957</v>
      </c>
      <c r="B25" t="s">
        <v>48</v>
      </c>
      <c r="C25">
        <v>649163</v>
      </c>
      <c r="D25">
        <v>2031775265</v>
      </c>
      <c r="E25" t="s">
        <v>409</v>
      </c>
      <c r="F25" t="s">
        <v>410</v>
      </c>
      <c r="G25" t="s">
        <v>51</v>
      </c>
      <c r="H25" t="s">
        <v>195</v>
      </c>
      <c r="I25" t="s">
        <v>355</v>
      </c>
      <c r="J25" t="s">
        <v>356</v>
      </c>
      <c r="K25">
        <v>885445</v>
      </c>
      <c r="L25" t="s">
        <v>196</v>
      </c>
      <c r="M25" t="s">
        <v>197</v>
      </c>
      <c r="N25" t="s">
        <v>57</v>
      </c>
      <c r="O25" s="1">
        <v>45962</v>
      </c>
      <c r="Q25" s="1">
        <v>45992</v>
      </c>
      <c r="R25" s="2">
        <v>69.290000000000006</v>
      </c>
      <c r="S25">
        <v>1</v>
      </c>
      <c r="T25" t="s">
        <v>58</v>
      </c>
      <c r="U25" t="s">
        <v>238</v>
      </c>
      <c r="V25" s="3">
        <v>0.38</v>
      </c>
      <c r="W25" s="2">
        <v>0</v>
      </c>
      <c r="X25">
        <v>0</v>
      </c>
      <c r="Y25" t="s">
        <v>60</v>
      </c>
      <c r="Z25" t="s">
        <v>408</v>
      </c>
      <c r="AA25">
        <v>6</v>
      </c>
      <c r="AB25" s="2">
        <v>157.97999999999999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26.33</v>
      </c>
      <c r="AM25" s="2">
        <v>0</v>
      </c>
      <c r="AN25" s="2">
        <v>157.97999999999999</v>
      </c>
      <c r="AO25" s="2">
        <v>0</v>
      </c>
      <c r="AP25" s="2">
        <v>0</v>
      </c>
      <c r="AQ25" s="2">
        <v>0</v>
      </c>
    </row>
    <row r="26" spans="1:43" x14ac:dyDescent="0.25">
      <c r="A26" s="1">
        <v>45957</v>
      </c>
      <c r="B26" t="s">
        <v>48</v>
      </c>
      <c r="C26">
        <v>649163</v>
      </c>
      <c r="D26">
        <v>2031383606</v>
      </c>
      <c r="E26" t="s">
        <v>412</v>
      </c>
      <c r="F26" t="s">
        <v>413</v>
      </c>
      <c r="G26" t="s">
        <v>51</v>
      </c>
      <c r="H26" t="s">
        <v>118</v>
      </c>
      <c r="I26" t="s">
        <v>53</v>
      </c>
      <c r="J26" t="s">
        <v>122</v>
      </c>
      <c r="K26">
        <v>823068</v>
      </c>
      <c r="L26" t="s">
        <v>120</v>
      </c>
      <c r="M26" t="s">
        <v>121</v>
      </c>
      <c r="N26" t="s">
        <v>57</v>
      </c>
      <c r="O26" s="1">
        <v>45942</v>
      </c>
      <c r="Q26" s="1">
        <v>45973</v>
      </c>
      <c r="R26" s="2">
        <v>21.08</v>
      </c>
      <c r="S26">
        <v>1</v>
      </c>
      <c r="T26" t="s">
        <v>58</v>
      </c>
      <c r="U26" t="s">
        <v>238</v>
      </c>
      <c r="V26" s="3">
        <v>0.42</v>
      </c>
      <c r="W26" s="2">
        <v>0</v>
      </c>
      <c r="X26">
        <v>0</v>
      </c>
      <c r="Y26" t="s">
        <v>60</v>
      </c>
      <c r="Z26" t="s">
        <v>408</v>
      </c>
      <c r="AA26">
        <v>6</v>
      </c>
      <c r="AB26" s="2">
        <v>53.1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8.85</v>
      </c>
      <c r="AM26" s="2">
        <v>0</v>
      </c>
      <c r="AN26" s="2">
        <v>53.1</v>
      </c>
      <c r="AO26" s="2">
        <v>0</v>
      </c>
      <c r="AP26" s="2">
        <v>0</v>
      </c>
      <c r="AQ26" s="2">
        <v>0</v>
      </c>
    </row>
    <row r="27" spans="1:43" x14ac:dyDescent="0.25">
      <c r="A27" s="1">
        <v>45957</v>
      </c>
      <c r="B27" t="s">
        <v>48</v>
      </c>
      <c r="C27">
        <v>649163</v>
      </c>
      <c r="D27">
        <v>2031383608</v>
      </c>
      <c r="E27" t="s">
        <v>412</v>
      </c>
      <c r="F27" t="s">
        <v>413</v>
      </c>
      <c r="G27" t="s">
        <v>51</v>
      </c>
      <c r="H27" t="s">
        <v>118</v>
      </c>
      <c r="I27" t="s">
        <v>53</v>
      </c>
      <c r="J27" t="s">
        <v>257</v>
      </c>
      <c r="K27">
        <v>823068</v>
      </c>
      <c r="L27" t="s">
        <v>120</v>
      </c>
      <c r="M27" t="s">
        <v>121</v>
      </c>
      <c r="N27" t="s">
        <v>57</v>
      </c>
      <c r="O27" s="1">
        <v>45942</v>
      </c>
      <c r="Q27" s="1">
        <v>45973</v>
      </c>
      <c r="R27" s="2">
        <v>24.61</v>
      </c>
      <c r="S27">
        <v>1</v>
      </c>
      <c r="T27" t="s">
        <v>58</v>
      </c>
      <c r="U27" t="s">
        <v>238</v>
      </c>
      <c r="V27" s="3">
        <v>0.7</v>
      </c>
      <c r="W27" s="2">
        <v>0</v>
      </c>
      <c r="X27">
        <v>0</v>
      </c>
      <c r="Y27" t="s">
        <v>60</v>
      </c>
      <c r="Z27" t="s">
        <v>408</v>
      </c>
      <c r="AA27">
        <v>6</v>
      </c>
      <c r="AB27" s="2">
        <v>103.38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17.23</v>
      </c>
      <c r="AM27" s="2">
        <v>0</v>
      </c>
      <c r="AN27" s="2">
        <v>103.38</v>
      </c>
      <c r="AO27" s="2">
        <v>0</v>
      </c>
      <c r="AP27" s="2">
        <v>0</v>
      </c>
      <c r="AQ27" s="2">
        <v>0</v>
      </c>
    </row>
    <row r="28" spans="1:43" x14ac:dyDescent="0.25">
      <c r="A28" s="1">
        <v>45957</v>
      </c>
      <c r="B28" t="s">
        <v>48</v>
      </c>
      <c r="C28">
        <v>649163</v>
      </c>
      <c r="D28">
        <v>2031475877</v>
      </c>
      <c r="E28" t="s">
        <v>428</v>
      </c>
      <c r="F28" t="s">
        <v>429</v>
      </c>
      <c r="G28" t="s">
        <v>51</v>
      </c>
      <c r="H28" t="s">
        <v>69</v>
      </c>
      <c r="I28" t="s">
        <v>53</v>
      </c>
      <c r="J28" t="s">
        <v>54</v>
      </c>
      <c r="K28">
        <v>824062</v>
      </c>
      <c r="L28" t="s">
        <v>74</v>
      </c>
      <c r="M28" t="s">
        <v>75</v>
      </c>
      <c r="N28" t="s">
        <v>57</v>
      </c>
      <c r="O28" s="1">
        <v>45962</v>
      </c>
      <c r="Q28" s="1">
        <v>45992</v>
      </c>
      <c r="R28" s="2">
        <v>34.68</v>
      </c>
      <c r="S28">
        <v>1</v>
      </c>
      <c r="T28" t="s">
        <v>58</v>
      </c>
      <c r="U28" t="s">
        <v>238</v>
      </c>
      <c r="V28" s="3">
        <v>0.7</v>
      </c>
      <c r="W28" s="2">
        <v>0</v>
      </c>
      <c r="X28">
        <v>0</v>
      </c>
      <c r="Y28" t="s">
        <v>60</v>
      </c>
      <c r="Z28" t="s">
        <v>408</v>
      </c>
      <c r="AA28">
        <v>6</v>
      </c>
      <c r="AB28" s="2">
        <v>145.68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24.28</v>
      </c>
      <c r="AM28" s="2">
        <v>0</v>
      </c>
      <c r="AN28" s="2">
        <v>145.68</v>
      </c>
      <c r="AO28" s="2">
        <v>0</v>
      </c>
      <c r="AP28" s="2">
        <v>0</v>
      </c>
      <c r="AQ28" s="2">
        <v>0</v>
      </c>
    </row>
    <row r="29" spans="1:43" x14ac:dyDescent="0.25">
      <c r="A29" s="1">
        <v>45957</v>
      </c>
      <c r="B29" t="s">
        <v>48</v>
      </c>
      <c r="C29">
        <v>649163</v>
      </c>
      <c r="D29">
        <v>2031615386</v>
      </c>
      <c r="E29" t="s">
        <v>445</v>
      </c>
      <c r="F29" t="s">
        <v>446</v>
      </c>
      <c r="G29" t="s">
        <v>51</v>
      </c>
      <c r="H29" t="s">
        <v>69</v>
      </c>
      <c r="I29" t="s">
        <v>53</v>
      </c>
      <c r="J29" t="s">
        <v>54</v>
      </c>
      <c r="K29">
        <v>820873</v>
      </c>
      <c r="L29" t="s">
        <v>447</v>
      </c>
      <c r="M29" t="s">
        <v>448</v>
      </c>
      <c r="N29" t="s">
        <v>57</v>
      </c>
      <c r="O29" s="1">
        <v>45962</v>
      </c>
      <c r="Q29" s="1">
        <v>45992</v>
      </c>
      <c r="R29" s="2">
        <v>11.5</v>
      </c>
      <c r="S29">
        <v>1</v>
      </c>
      <c r="T29" t="s">
        <v>58</v>
      </c>
      <c r="U29" t="s">
        <v>238</v>
      </c>
      <c r="V29" s="3">
        <v>0.7</v>
      </c>
      <c r="W29" s="2">
        <v>0</v>
      </c>
      <c r="X29">
        <v>0</v>
      </c>
      <c r="Y29" t="s">
        <v>60</v>
      </c>
      <c r="Z29" t="s">
        <v>408</v>
      </c>
      <c r="AA29">
        <v>6</v>
      </c>
      <c r="AB29" s="2">
        <v>48.3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8.0500000000000007</v>
      </c>
      <c r="AM29" s="2">
        <v>0</v>
      </c>
      <c r="AN29" s="2">
        <v>48.3</v>
      </c>
      <c r="AO29" s="2">
        <v>0</v>
      </c>
      <c r="AP29" s="2">
        <v>0</v>
      </c>
      <c r="AQ29" s="2">
        <v>0</v>
      </c>
    </row>
    <row r="30" spans="1:43" x14ac:dyDescent="0.25">
      <c r="A30" s="1">
        <v>45957</v>
      </c>
      <c r="B30" t="s">
        <v>48</v>
      </c>
      <c r="C30">
        <v>649163</v>
      </c>
      <c r="D30">
        <v>2031684818</v>
      </c>
      <c r="E30" t="s">
        <v>414</v>
      </c>
      <c r="F30" t="s">
        <v>415</v>
      </c>
      <c r="G30" t="s">
        <v>51</v>
      </c>
      <c r="H30" t="s">
        <v>69</v>
      </c>
      <c r="I30" t="s">
        <v>53</v>
      </c>
      <c r="J30" t="s">
        <v>54</v>
      </c>
      <c r="K30">
        <v>824062</v>
      </c>
      <c r="L30" t="s">
        <v>74</v>
      </c>
      <c r="M30" t="s">
        <v>75</v>
      </c>
      <c r="N30" t="s">
        <v>57</v>
      </c>
      <c r="O30" s="1">
        <v>45962</v>
      </c>
      <c r="Q30" s="1">
        <v>45992</v>
      </c>
      <c r="R30" s="2">
        <v>56.62</v>
      </c>
      <c r="S30">
        <v>1</v>
      </c>
      <c r="T30" t="s">
        <v>58</v>
      </c>
      <c r="U30" t="s">
        <v>238</v>
      </c>
      <c r="V30" s="3">
        <v>0.7</v>
      </c>
      <c r="W30" s="2">
        <v>0</v>
      </c>
      <c r="X30">
        <v>0</v>
      </c>
      <c r="Y30" t="s">
        <v>60</v>
      </c>
      <c r="Z30" t="s">
        <v>408</v>
      </c>
      <c r="AA30">
        <v>6</v>
      </c>
      <c r="AB30" s="2">
        <v>237.78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39.630000000000003</v>
      </c>
      <c r="AM30" s="2">
        <v>0</v>
      </c>
      <c r="AN30" s="2">
        <v>237.78</v>
      </c>
      <c r="AO30" s="2">
        <v>0</v>
      </c>
      <c r="AP30" s="2">
        <v>0</v>
      </c>
      <c r="AQ30" s="2">
        <v>0</v>
      </c>
    </row>
    <row r="31" spans="1:43" x14ac:dyDescent="0.25">
      <c r="A31" s="1">
        <v>45957</v>
      </c>
      <c r="B31" t="s">
        <v>48</v>
      </c>
      <c r="C31">
        <v>649163</v>
      </c>
      <c r="D31">
        <v>2031709307</v>
      </c>
      <c r="E31" t="s">
        <v>449</v>
      </c>
      <c r="F31" t="s">
        <v>450</v>
      </c>
      <c r="G31" t="s">
        <v>51</v>
      </c>
      <c r="H31" t="s">
        <v>439</v>
      </c>
      <c r="I31" t="s">
        <v>53</v>
      </c>
      <c r="J31" t="s">
        <v>132</v>
      </c>
      <c r="K31">
        <v>767312</v>
      </c>
      <c r="L31" t="s">
        <v>237</v>
      </c>
      <c r="M31" t="s">
        <v>103</v>
      </c>
      <c r="N31" t="s">
        <v>57</v>
      </c>
      <c r="O31" s="1">
        <v>45955</v>
      </c>
      <c r="Q31" s="1">
        <v>45986</v>
      </c>
      <c r="R31" s="2">
        <v>21.83</v>
      </c>
      <c r="S31">
        <v>1</v>
      </c>
      <c r="T31" t="s">
        <v>58</v>
      </c>
      <c r="U31" t="s">
        <v>238</v>
      </c>
      <c r="V31" s="3">
        <v>0.9</v>
      </c>
      <c r="W31" s="2">
        <v>0</v>
      </c>
      <c r="X31">
        <v>0</v>
      </c>
      <c r="Y31" t="s">
        <v>60</v>
      </c>
      <c r="Z31" t="s">
        <v>408</v>
      </c>
      <c r="AA31">
        <v>6</v>
      </c>
      <c r="AB31" s="2">
        <v>117.9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19.649999999999999</v>
      </c>
      <c r="AM31" s="2">
        <v>0</v>
      </c>
      <c r="AN31" s="2">
        <v>117.9</v>
      </c>
      <c r="AO31" s="2">
        <v>0</v>
      </c>
      <c r="AP31" s="2">
        <v>0</v>
      </c>
      <c r="AQ31" s="2">
        <v>0</v>
      </c>
    </row>
    <row r="32" spans="1:43" x14ac:dyDescent="0.25">
      <c r="A32" s="1">
        <v>45957</v>
      </c>
      <c r="B32" t="s">
        <v>48</v>
      </c>
      <c r="C32">
        <v>649163</v>
      </c>
      <c r="D32">
        <v>2031719648</v>
      </c>
      <c r="E32" t="s">
        <v>113</v>
      </c>
      <c r="F32" t="s">
        <v>115</v>
      </c>
      <c r="G32" t="s">
        <v>51</v>
      </c>
      <c r="H32" t="s">
        <v>52</v>
      </c>
      <c r="I32" t="s">
        <v>53</v>
      </c>
      <c r="J32" t="s">
        <v>54</v>
      </c>
      <c r="K32">
        <v>812782</v>
      </c>
      <c r="L32" t="s">
        <v>114</v>
      </c>
      <c r="M32" t="s">
        <v>115</v>
      </c>
      <c r="N32" t="s">
        <v>57</v>
      </c>
      <c r="O32" s="1">
        <v>45951</v>
      </c>
      <c r="Q32" s="1">
        <v>45982</v>
      </c>
      <c r="R32" s="2">
        <v>11.74</v>
      </c>
      <c r="S32">
        <v>1</v>
      </c>
      <c r="T32" t="s">
        <v>58</v>
      </c>
      <c r="U32" t="s">
        <v>238</v>
      </c>
      <c r="V32" s="3">
        <v>0.7</v>
      </c>
      <c r="W32" s="2">
        <v>0</v>
      </c>
      <c r="X32">
        <v>0</v>
      </c>
      <c r="Y32" t="s">
        <v>60</v>
      </c>
      <c r="Z32" t="s">
        <v>408</v>
      </c>
      <c r="AA32">
        <v>6</v>
      </c>
      <c r="AB32" s="2">
        <v>49.32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8.2200000000000006</v>
      </c>
      <c r="AM32" s="2">
        <v>0</v>
      </c>
      <c r="AN32" s="2">
        <v>49.32</v>
      </c>
      <c r="AO32" s="2">
        <v>0</v>
      </c>
      <c r="AP32" s="2">
        <v>0</v>
      </c>
      <c r="AQ32" s="2">
        <v>0</v>
      </c>
    </row>
    <row r="33" spans="1:43" x14ac:dyDescent="0.25">
      <c r="A33" s="1">
        <v>45957</v>
      </c>
      <c r="B33" t="s">
        <v>48</v>
      </c>
      <c r="C33">
        <v>649163</v>
      </c>
      <c r="D33">
        <v>2031721211</v>
      </c>
      <c r="E33" t="s">
        <v>437</v>
      </c>
      <c r="F33" t="s">
        <v>438</v>
      </c>
      <c r="G33" t="s">
        <v>51</v>
      </c>
      <c r="H33" t="s">
        <v>439</v>
      </c>
      <c r="I33" t="s">
        <v>53</v>
      </c>
      <c r="J33" t="s">
        <v>54</v>
      </c>
      <c r="K33">
        <v>820140</v>
      </c>
      <c r="L33" t="s">
        <v>440</v>
      </c>
      <c r="M33" t="s">
        <v>407</v>
      </c>
      <c r="N33" t="s">
        <v>57</v>
      </c>
      <c r="O33" s="1">
        <v>45951</v>
      </c>
      <c r="Q33" s="1">
        <v>45982</v>
      </c>
      <c r="R33" s="2">
        <v>11.5</v>
      </c>
      <c r="S33">
        <v>1</v>
      </c>
      <c r="T33" t="s">
        <v>58</v>
      </c>
      <c r="U33" t="s">
        <v>238</v>
      </c>
      <c r="V33" s="3">
        <v>0.3</v>
      </c>
      <c r="W33" s="2">
        <v>0</v>
      </c>
      <c r="X33">
        <v>0</v>
      </c>
      <c r="Y33" t="s">
        <v>60</v>
      </c>
      <c r="Z33" t="s">
        <v>408</v>
      </c>
      <c r="AA33">
        <v>6</v>
      </c>
      <c r="AB33" s="2">
        <v>20.7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3.45</v>
      </c>
      <c r="AM33" s="2">
        <v>0</v>
      </c>
      <c r="AN33" s="2">
        <v>20.7</v>
      </c>
      <c r="AO33" s="2">
        <v>0</v>
      </c>
      <c r="AP33" s="2">
        <v>0</v>
      </c>
      <c r="AQ33" s="2">
        <v>0</v>
      </c>
    </row>
    <row r="34" spans="1:43" x14ac:dyDescent="0.25">
      <c r="A34" s="1">
        <v>45957</v>
      </c>
      <c r="B34" t="s">
        <v>48</v>
      </c>
      <c r="C34">
        <v>649163</v>
      </c>
      <c r="D34">
        <v>2031731468</v>
      </c>
      <c r="E34" t="s">
        <v>451</v>
      </c>
      <c r="F34" t="s">
        <v>452</v>
      </c>
      <c r="G34" t="s">
        <v>51</v>
      </c>
      <c r="H34" t="s">
        <v>439</v>
      </c>
      <c r="I34" t="s">
        <v>53</v>
      </c>
      <c r="J34" t="s">
        <v>132</v>
      </c>
      <c r="K34">
        <v>767312</v>
      </c>
      <c r="L34" t="s">
        <v>237</v>
      </c>
      <c r="M34" t="s">
        <v>103</v>
      </c>
      <c r="N34" t="s">
        <v>57</v>
      </c>
      <c r="O34" s="1">
        <v>45951</v>
      </c>
      <c r="Q34" s="1">
        <v>45982</v>
      </c>
      <c r="R34" s="2">
        <v>15.33</v>
      </c>
      <c r="S34">
        <v>1</v>
      </c>
      <c r="T34" t="s">
        <v>58</v>
      </c>
      <c r="U34" t="s">
        <v>238</v>
      </c>
      <c r="V34" s="3">
        <v>0.9</v>
      </c>
      <c r="W34" s="2">
        <v>0</v>
      </c>
      <c r="X34">
        <v>0</v>
      </c>
      <c r="Y34" t="s">
        <v>60</v>
      </c>
      <c r="Z34" t="s">
        <v>408</v>
      </c>
      <c r="AA34">
        <v>6</v>
      </c>
      <c r="AB34" s="2">
        <v>82.8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13.8</v>
      </c>
      <c r="AM34" s="2">
        <v>0</v>
      </c>
      <c r="AN34" s="2">
        <v>82.8</v>
      </c>
      <c r="AO34" s="2">
        <v>0</v>
      </c>
      <c r="AP34" s="2">
        <v>0</v>
      </c>
      <c r="AQ34" s="2">
        <v>0</v>
      </c>
    </row>
    <row r="35" spans="1:43" x14ac:dyDescent="0.25">
      <c r="A35" s="1">
        <v>45957</v>
      </c>
      <c r="B35" t="s">
        <v>48</v>
      </c>
      <c r="C35">
        <v>649163</v>
      </c>
      <c r="D35">
        <v>2031738860</v>
      </c>
      <c r="E35" t="s">
        <v>416</v>
      </c>
      <c r="F35" t="s">
        <v>417</v>
      </c>
      <c r="G35" t="s">
        <v>51</v>
      </c>
      <c r="H35" t="s">
        <v>52</v>
      </c>
      <c r="I35" t="s">
        <v>53</v>
      </c>
      <c r="J35" t="s">
        <v>54</v>
      </c>
      <c r="K35">
        <v>673059</v>
      </c>
      <c r="L35" t="s">
        <v>55</v>
      </c>
      <c r="M35" t="s">
        <v>56</v>
      </c>
      <c r="N35" t="s">
        <v>57</v>
      </c>
      <c r="O35" s="1">
        <v>45952</v>
      </c>
      <c r="Q35" s="1">
        <v>45983</v>
      </c>
      <c r="R35" s="2">
        <v>31.23</v>
      </c>
      <c r="S35">
        <v>1</v>
      </c>
      <c r="T35" t="s">
        <v>58</v>
      </c>
      <c r="U35" t="s">
        <v>238</v>
      </c>
      <c r="V35" s="3">
        <v>0.7</v>
      </c>
      <c r="W35" s="2">
        <v>0</v>
      </c>
      <c r="X35">
        <v>0</v>
      </c>
      <c r="Y35" t="s">
        <v>60</v>
      </c>
      <c r="Z35" t="s">
        <v>408</v>
      </c>
      <c r="AA35">
        <v>6</v>
      </c>
      <c r="AB35" s="2">
        <v>131.16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21.86</v>
      </c>
      <c r="AM35" s="2">
        <v>0</v>
      </c>
      <c r="AN35" s="2">
        <v>131.16</v>
      </c>
      <c r="AO35" s="2">
        <v>0</v>
      </c>
      <c r="AP35" s="2">
        <v>0</v>
      </c>
      <c r="AQ35" s="2">
        <v>0</v>
      </c>
    </row>
    <row r="36" spans="1:43" x14ac:dyDescent="0.25">
      <c r="A36" s="1">
        <v>45957</v>
      </c>
      <c r="B36" t="s">
        <v>48</v>
      </c>
      <c r="C36">
        <v>649163</v>
      </c>
      <c r="D36">
        <v>2031740078</v>
      </c>
      <c r="E36" t="s">
        <v>231</v>
      </c>
      <c r="F36" t="s">
        <v>98</v>
      </c>
      <c r="G36" t="s">
        <v>51</v>
      </c>
      <c r="H36" t="s">
        <v>118</v>
      </c>
      <c r="I36" t="s">
        <v>53</v>
      </c>
      <c r="J36" t="s">
        <v>132</v>
      </c>
      <c r="K36">
        <v>823068</v>
      </c>
      <c r="L36" t="s">
        <v>120</v>
      </c>
      <c r="M36" t="s">
        <v>121</v>
      </c>
      <c r="N36" t="s">
        <v>57</v>
      </c>
      <c r="O36" s="1">
        <v>45962</v>
      </c>
      <c r="Q36" s="1">
        <v>45992</v>
      </c>
      <c r="R36" s="2">
        <v>93.44</v>
      </c>
      <c r="S36">
        <v>1</v>
      </c>
      <c r="T36" t="s">
        <v>58</v>
      </c>
      <c r="U36" t="s">
        <v>238</v>
      </c>
      <c r="V36" s="3">
        <v>0.9</v>
      </c>
      <c r="W36" s="2">
        <v>0</v>
      </c>
      <c r="X36">
        <v>0</v>
      </c>
      <c r="Y36" t="s">
        <v>60</v>
      </c>
      <c r="Z36" t="s">
        <v>408</v>
      </c>
      <c r="AA36">
        <v>6</v>
      </c>
      <c r="AB36" s="2">
        <v>504.6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84.1</v>
      </c>
      <c r="AM36" s="2">
        <v>0</v>
      </c>
      <c r="AN36" s="2">
        <v>504.6</v>
      </c>
      <c r="AO36" s="2">
        <v>0</v>
      </c>
      <c r="AP36" s="2">
        <v>0</v>
      </c>
      <c r="AQ36" s="2">
        <v>0</v>
      </c>
    </row>
    <row r="37" spans="1:43" x14ac:dyDescent="0.25">
      <c r="A37" s="1">
        <v>45957</v>
      </c>
      <c r="B37" t="s">
        <v>48</v>
      </c>
      <c r="C37">
        <v>649163</v>
      </c>
      <c r="D37">
        <v>2031750243</v>
      </c>
      <c r="E37" t="s">
        <v>453</v>
      </c>
      <c r="F37" t="s">
        <v>454</v>
      </c>
      <c r="G37" t="s">
        <v>51</v>
      </c>
      <c r="H37" t="s">
        <v>455</v>
      </c>
      <c r="I37" t="s">
        <v>53</v>
      </c>
      <c r="J37" t="s">
        <v>54</v>
      </c>
      <c r="K37">
        <v>767312</v>
      </c>
      <c r="L37" t="s">
        <v>237</v>
      </c>
      <c r="M37" t="s">
        <v>103</v>
      </c>
      <c r="N37" t="s">
        <v>57</v>
      </c>
      <c r="O37" s="1">
        <v>45952</v>
      </c>
      <c r="Q37" s="1">
        <v>45983</v>
      </c>
      <c r="R37" s="2">
        <v>62.75</v>
      </c>
      <c r="S37">
        <v>1</v>
      </c>
      <c r="T37" t="s">
        <v>58</v>
      </c>
      <c r="U37" t="s">
        <v>238</v>
      </c>
      <c r="V37" s="3">
        <v>0.7</v>
      </c>
      <c r="W37" s="2">
        <v>0</v>
      </c>
      <c r="X37">
        <v>0</v>
      </c>
      <c r="Y37" t="s">
        <v>60</v>
      </c>
      <c r="Z37" t="s">
        <v>408</v>
      </c>
      <c r="AA37">
        <v>6</v>
      </c>
      <c r="AB37" s="2">
        <v>263.52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43.92</v>
      </c>
      <c r="AM37" s="2">
        <v>0</v>
      </c>
      <c r="AN37" s="2">
        <v>263.52</v>
      </c>
      <c r="AO37" s="2">
        <v>0</v>
      </c>
      <c r="AP37" s="2">
        <v>0</v>
      </c>
      <c r="AQ37" s="2">
        <v>0</v>
      </c>
    </row>
    <row r="38" spans="1:43" x14ac:dyDescent="0.25">
      <c r="A38" s="1">
        <v>45957</v>
      </c>
      <c r="B38" t="s">
        <v>48</v>
      </c>
      <c r="C38">
        <v>649163</v>
      </c>
      <c r="D38">
        <v>2031750244</v>
      </c>
      <c r="E38" t="s">
        <v>453</v>
      </c>
      <c r="F38" t="s">
        <v>454</v>
      </c>
      <c r="G38" t="s">
        <v>51</v>
      </c>
      <c r="H38" t="s">
        <v>455</v>
      </c>
      <c r="I38" t="s">
        <v>53</v>
      </c>
      <c r="J38" t="s">
        <v>132</v>
      </c>
      <c r="K38">
        <v>767312</v>
      </c>
      <c r="L38" t="s">
        <v>237</v>
      </c>
      <c r="M38" t="s">
        <v>103</v>
      </c>
      <c r="N38" t="s">
        <v>57</v>
      </c>
      <c r="O38" s="1">
        <v>45952</v>
      </c>
      <c r="Q38" s="1">
        <v>45983</v>
      </c>
      <c r="R38" s="2">
        <v>37.880000000000003</v>
      </c>
      <c r="S38">
        <v>1</v>
      </c>
      <c r="T38" t="s">
        <v>58</v>
      </c>
      <c r="U38" t="s">
        <v>238</v>
      </c>
      <c r="V38" s="3">
        <v>0.9</v>
      </c>
      <c r="W38" s="2">
        <v>0</v>
      </c>
      <c r="X38">
        <v>0</v>
      </c>
      <c r="Y38" t="s">
        <v>60</v>
      </c>
      <c r="Z38" t="s">
        <v>408</v>
      </c>
      <c r="AA38">
        <v>6</v>
      </c>
      <c r="AB38" s="2">
        <v>204.54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34.090000000000003</v>
      </c>
      <c r="AM38" s="2">
        <v>0</v>
      </c>
      <c r="AN38" s="2">
        <v>204.54</v>
      </c>
      <c r="AO38" s="2">
        <v>0</v>
      </c>
      <c r="AP38" s="2">
        <v>0</v>
      </c>
      <c r="AQ38" s="2">
        <v>0</v>
      </c>
    </row>
    <row r="39" spans="1:43" x14ac:dyDescent="0.25">
      <c r="A39" s="1">
        <v>45957</v>
      </c>
      <c r="B39" t="s">
        <v>48</v>
      </c>
      <c r="C39">
        <v>649163</v>
      </c>
      <c r="D39">
        <v>2031759932</v>
      </c>
      <c r="E39" t="s">
        <v>419</v>
      </c>
      <c r="F39" t="s">
        <v>420</v>
      </c>
      <c r="G39" t="s">
        <v>51</v>
      </c>
      <c r="H39" t="s">
        <v>69</v>
      </c>
      <c r="I39" t="s">
        <v>53</v>
      </c>
      <c r="J39" t="s">
        <v>54</v>
      </c>
      <c r="K39">
        <v>823350</v>
      </c>
      <c r="L39" t="s">
        <v>70</v>
      </c>
      <c r="M39" t="s">
        <v>183</v>
      </c>
      <c r="N39" t="s">
        <v>57</v>
      </c>
      <c r="O39" s="1">
        <v>45954</v>
      </c>
      <c r="Q39" s="1">
        <v>45985</v>
      </c>
      <c r="R39" s="2">
        <v>63.95</v>
      </c>
      <c r="S39">
        <v>1</v>
      </c>
      <c r="T39" t="s">
        <v>58</v>
      </c>
      <c r="U39" t="s">
        <v>238</v>
      </c>
      <c r="V39" s="3">
        <v>0.7</v>
      </c>
      <c r="W39" s="2">
        <v>0</v>
      </c>
      <c r="X39">
        <v>0</v>
      </c>
      <c r="Y39" t="s">
        <v>60</v>
      </c>
      <c r="Z39" t="s">
        <v>408</v>
      </c>
      <c r="AA39">
        <v>6</v>
      </c>
      <c r="AB39" s="2">
        <v>268.56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44.76</v>
      </c>
      <c r="AM39" s="2">
        <v>0</v>
      </c>
      <c r="AN39" s="2">
        <v>268.56</v>
      </c>
      <c r="AO39" s="2">
        <v>0</v>
      </c>
      <c r="AP39" s="2">
        <v>0</v>
      </c>
      <c r="AQ39" s="2">
        <v>0</v>
      </c>
    </row>
    <row r="40" spans="1:43" x14ac:dyDescent="0.25">
      <c r="A40" s="1">
        <v>45957</v>
      </c>
      <c r="B40" t="s">
        <v>48</v>
      </c>
      <c r="C40">
        <v>649163</v>
      </c>
      <c r="D40">
        <v>2031760071</v>
      </c>
      <c r="E40" t="s">
        <v>422</v>
      </c>
      <c r="F40" t="s">
        <v>423</v>
      </c>
      <c r="G40" t="s">
        <v>51</v>
      </c>
      <c r="H40" t="s">
        <v>118</v>
      </c>
      <c r="I40" t="s">
        <v>53</v>
      </c>
      <c r="J40" t="s">
        <v>257</v>
      </c>
      <c r="K40">
        <v>823068</v>
      </c>
      <c r="L40" t="s">
        <v>120</v>
      </c>
      <c r="M40" t="s">
        <v>121</v>
      </c>
      <c r="N40" t="s">
        <v>57</v>
      </c>
      <c r="O40" s="1">
        <v>45962</v>
      </c>
      <c r="Q40" s="1">
        <v>45992</v>
      </c>
      <c r="R40" s="2">
        <v>24.61</v>
      </c>
      <c r="S40">
        <v>1</v>
      </c>
      <c r="T40" t="s">
        <v>58</v>
      </c>
      <c r="U40" t="s">
        <v>238</v>
      </c>
      <c r="V40" s="3">
        <v>0.7</v>
      </c>
      <c r="W40" s="2">
        <v>0</v>
      </c>
      <c r="X40">
        <v>0</v>
      </c>
      <c r="Y40" t="s">
        <v>60</v>
      </c>
      <c r="Z40" t="s">
        <v>408</v>
      </c>
      <c r="AA40">
        <v>6</v>
      </c>
      <c r="AB40" s="2">
        <v>103.38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17.23</v>
      </c>
      <c r="AM40" s="2">
        <v>0</v>
      </c>
      <c r="AN40" s="2">
        <v>103.38</v>
      </c>
      <c r="AO40" s="2">
        <v>0</v>
      </c>
      <c r="AP40" s="2">
        <v>0</v>
      </c>
      <c r="AQ40" s="2">
        <v>0</v>
      </c>
    </row>
    <row r="41" spans="1:43" x14ac:dyDescent="0.25">
      <c r="A41" s="1">
        <v>45957</v>
      </c>
      <c r="B41" t="s">
        <v>48</v>
      </c>
      <c r="C41">
        <v>649163</v>
      </c>
      <c r="D41">
        <v>2031765088</v>
      </c>
      <c r="E41" t="s">
        <v>456</v>
      </c>
      <c r="F41" t="s">
        <v>457</v>
      </c>
      <c r="G41" t="s">
        <v>51</v>
      </c>
      <c r="H41" t="s">
        <v>118</v>
      </c>
      <c r="I41" t="s">
        <v>53</v>
      </c>
      <c r="J41" t="s">
        <v>122</v>
      </c>
      <c r="K41">
        <v>902625</v>
      </c>
      <c r="L41" t="s">
        <v>458</v>
      </c>
      <c r="M41" t="s">
        <v>459</v>
      </c>
      <c r="N41" t="s">
        <v>57</v>
      </c>
      <c r="O41" s="1">
        <v>45953</v>
      </c>
      <c r="Q41" s="1">
        <v>45984</v>
      </c>
      <c r="R41" s="2">
        <v>32.700000000000003</v>
      </c>
      <c r="S41">
        <v>1</v>
      </c>
      <c r="T41" t="s">
        <v>58</v>
      </c>
      <c r="U41" t="s">
        <v>238</v>
      </c>
      <c r="V41" s="3">
        <v>0.42</v>
      </c>
      <c r="W41" s="2">
        <v>0</v>
      </c>
      <c r="X41">
        <v>0</v>
      </c>
      <c r="Y41" t="s">
        <v>60</v>
      </c>
      <c r="Z41" t="s">
        <v>408</v>
      </c>
      <c r="AA41">
        <v>6</v>
      </c>
      <c r="AB41" s="2">
        <v>82.38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13.73</v>
      </c>
      <c r="AM41" s="2">
        <v>0</v>
      </c>
      <c r="AN41" s="2">
        <v>82.38</v>
      </c>
      <c r="AO41" s="2">
        <v>0</v>
      </c>
      <c r="AP41" s="2">
        <v>0</v>
      </c>
      <c r="AQ41" s="2">
        <v>0</v>
      </c>
    </row>
    <row r="42" spans="1:43" x14ac:dyDescent="0.25">
      <c r="A42" s="1">
        <v>45957</v>
      </c>
      <c r="B42" t="s">
        <v>48</v>
      </c>
      <c r="C42">
        <v>649163</v>
      </c>
      <c r="D42">
        <v>2031766018</v>
      </c>
      <c r="E42" t="s">
        <v>460</v>
      </c>
      <c r="F42" t="s">
        <v>202</v>
      </c>
      <c r="G42" t="s">
        <v>51</v>
      </c>
      <c r="H42" t="s">
        <v>69</v>
      </c>
      <c r="I42" t="s">
        <v>53</v>
      </c>
      <c r="J42" t="s">
        <v>54</v>
      </c>
      <c r="K42">
        <v>813184</v>
      </c>
      <c r="L42" t="s">
        <v>218</v>
      </c>
      <c r="M42" t="s">
        <v>219</v>
      </c>
      <c r="N42" t="s">
        <v>57</v>
      </c>
      <c r="O42" s="1">
        <v>45953</v>
      </c>
      <c r="Q42" s="1">
        <v>45984</v>
      </c>
      <c r="R42" s="2">
        <v>74</v>
      </c>
      <c r="S42">
        <v>1</v>
      </c>
      <c r="T42" t="s">
        <v>58</v>
      </c>
      <c r="U42" t="s">
        <v>238</v>
      </c>
      <c r="V42" s="3">
        <v>0.7</v>
      </c>
      <c r="W42" s="2">
        <v>0</v>
      </c>
      <c r="X42">
        <v>0</v>
      </c>
      <c r="Y42" t="s">
        <v>60</v>
      </c>
      <c r="Z42" t="s">
        <v>408</v>
      </c>
      <c r="AA42">
        <v>6</v>
      </c>
      <c r="AB42" s="2">
        <v>310.8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51.8</v>
      </c>
      <c r="AM42" s="2">
        <v>0</v>
      </c>
      <c r="AN42" s="2">
        <v>310.8</v>
      </c>
      <c r="AO42" s="2">
        <v>0</v>
      </c>
      <c r="AP42" s="2">
        <v>0</v>
      </c>
      <c r="AQ42" s="2">
        <v>0</v>
      </c>
    </row>
    <row r="43" spans="1:43" x14ac:dyDescent="0.25">
      <c r="A43" s="1">
        <v>45957</v>
      </c>
      <c r="B43" t="s">
        <v>48</v>
      </c>
      <c r="C43">
        <v>649163</v>
      </c>
      <c r="D43">
        <v>2031767154</v>
      </c>
      <c r="E43" t="s">
        <v>461</v>
      </c>
      <c r="F43" t="s">
        <v>462</v>
      </c>
      <c r="G43" t="s">
        <v>51</v>
      </c>
      <c r="H43" t="s">
        <v>52</v>
      </c>
      <c r="I43" t="s">
        <v>53</v>
      </c>
      <c r="J43" t="s">
        <v>54</v>
      </c>
      <c r="K43">
        <v>812656</v>
      </c>
      <c r="L43" t="s">
        <v>82</v>
      </c>
      <c r="M43" t="s">
        <v>83</v>
      </c>
      <c r="N43" t="s">
        <v>57</v>
      </c>
      <c r="O43" s="1">
        <v>45953</v>
      </c>
      <c r="Q43" s="1">
        <v>45984</v>
      </c>
      <c r="R43" s="2">
        <v>59.57</v>
      </c>
      <c r="S43">
        <v>1</v>
      </c>
      <c r="T43" t="s">
        <v>58</v>
      </c>
      <c r="U43" t="s">
        <v>238</v>
      </c>
      <c r="V43" s="3">
        <v>0.7</v>
      </c>
      <c r="W43" s="2">
        <v>0</v>
      </c>
      <c r="X43">
        <v>0</v>
      </c>
      <c r="Y43" t="s">
        <v>60</v>
      </c>
      <c r="Z43" t="s">
        <v>408</v>
      </c>
      <c r="AA43">
        <v>6</v>
      </c>
      <c r="AB43" s="2">
        <v>250.2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41.7</v>
      </c>
      <c r="AM43" s="2">
        <v>0</v>
      </c>
      <c r="AN43" s="2">
        <v>250.2</v>
      </c>
      <c r="AO43" s="2">
        <v>0</v>
      </c>
      <c r="AP43" s="2">
        <v>0</v>
      </c>
      <c r="AQ43" s="2">
        <v>0</v>
      </c>
    </row>
    <row r="44" spans="1:43" x14ac:dyDescent="0.25">
      <c r="A44" s="1">
        <v>45957</v>
      </c>
      <c r="B44" t="s">
        <v>48</v>
      </c>
      <c r="C44">
        <v>649163</v>
      </c>
      <c r="D44">
        <v>2031773320</v>
      </c>
      <c r="E44" t="s">
        <v>463</v>
      </c>
      <c r="F44" t="s">
        <v>464</v>
      </c>
      <c r="G44" t="s">
        <v>51</v>
      </c>
      <c r="H44" t="s">
        <v>165</v>
      </c>
      <c r="I44" t="s">
        <v>53</v>
      </c>
      <c r="J44" t="s">
        <v>54</v>
      </c>
      <c r="K44">
        <v>812656</v>
      </c>
      <c r="L44" t="s">
        <v>82</v>
      </c>
      <c r="M44" t="s">
        <v>83</v>
      </c>
      <c r="N44" t="s">
        <v>57</v>
      </c>
      <c r="O44" s="1">
        <v>45954</v>
      </c>
      <c r="Q44" s="1">
        <v>45985</v>
      </c>
      <c r="R44" s="2">
        <v>132.82</v>
      </c>
      <c r="S44">
        <v>1</v>
      </c>
      <c r="T44" t="s">
        <v>58</v>
      </c>
      <c r="U44" t="s">
        <v>238</v>
      </c>
      <c r="V44" s="3">
        <v>0.7</v>
      </c>
      <c r="W44" s="2">
        <v>0</v>
      </c>
      <c r="X44">
        <v>0</v>
      </c>
      <c r="Y44" t="s">
        <v>60</v>
      </c>
      <c r="Z44" t="s">
        <v>408</v>
      </c>
      <c r="AA44">
        <v>6</v>
      </c>
      <c r="AB44" s="2">
        <v>557.82000000000005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92.97</v>
      </c>
      <c r="AM44" s="2">
        <v>0</v>
      </c>
      <c r="AN44" s="2">
        <v>557.82000000000005</v>
      </c>
      <c r="AO44" s="2">
        <v>0</v>
      </c>
      <c r="AP44" s="2">
        <v>0</v>
      </c>
      <c r="AQ44" s="2">
        <v>0</v>
      </c>
    </row>
    <row r="45" spans="1:43" x14ac:dyDescent="0.25">
      <c r="A45" s="1">
        <v>45957</v>
      </c>
      <c r="B45" t="s">
        <v>48</v>
      </c>
      <c r="C45">
        <v>649163</v>
      </c>
      <c r="D45">
        <v>2031775760</v>
      </c>
      <c r="E45" t="s">
        <v>425</v>
      </c>
      <c r="F45" t="s">
        <v>153</v>
      </c>
      <c r="G45" t="s">
        <v>51</v>
      </c>
      <c r="H45" t="s">
        <v>92</v>
      </c>
      <c r="I45" t="s">
        <v>53</v>
      </c>
      <c r="J45" t="s">
        <v>54</v>
      </c>
      <c r="K45">
        <v>816021</v>
      </c>
      <c r="L45" t="s">
        <v>93</v>
      </c>
      <c r="M45" t="s">
        <v>94</v>
      </c>
      <c r="N45" t="s">
        <v>57</v>
      </c>
      <c r="O45" s="1">
        <v>45954</v>
      </c>
      <c r="Q45" s="1">
        <v>45985</v>
      </c>
      <c r="R45" s="2">
        <v>9.1</v>
      </c>
      <c r="S45">
        <v>1</v>
      </c>
      <c r="T45" t="s">
        <v>58</v>
      </c>
      <c r="U45" t="s">
        <v>238</v>
      </c>
      <c r="V45" s="3">
        <v>0.7</v>
      </c>
      <c r="W45" s="2">
        <v>0</v>
      </c>
      <c r="X45">
        <v>0</v>
      </c>
      <c r="Y45" t="s">
        <v>60</v>
      </c>
      <c r="Z45" t="s">
        <v>408</v>
      </c>
      <c r="AA45">
        <v>6</v>
      </c>
      <c r="AB45" s="2">
        <v>38.22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6.37</v>
      </c>
      <c r="AM45" s="2">
        <v>0</v>
      </c>
      <c r="AN45" s="2">
        <v>38.22</v>
      </c>
      <c r="AO45" s="2">
        <v>0</v>
      </c>
      <c r="AP45" s="2">
        <v>0</v>
      </c>
      <c r="AQ45" s="2">
        <v>0</v>
      </c>
    </row>
    <row r="46" spans="1:43" x14ac:dyDescent="0.25">
      <c r="A46" s="1">
        <v>45957</v>
      </c>
      <c r="B46" t="s">
        <v>48</v>
      </c>
      <c r="C46">
        <v>649163</v>
      </c>
      <c r="D46">
        <v>2031775762</v>
      </c>
      <c r="E46" t="s">
        <v>425</v>
      </c>
      <c r="F46" t="s">
        <v>153</v>
      </c>
      <c r="G46" t="s">
        <v>51</v>
      </c>
      <c r="H46" t="s">
        <v>92</v>
      </c>
      <c r="I46" t="s">
        <v>53</v>
      </c>
      <c r="J46" t="s">
        <v>257</v>
      </c>
      <c r="K46">
        <v>816021</v>
      </c>
      <c r="L46" t="s">
        <v>93</v>
      </c>
      <c r="M46" t="s">
        <v>94</v>
      </c>
      <c r="N46" t="s">
        <v>57</v>
      </c>
      <c r="O46" s="1">
        <v>45954</v>
      </c>
      <c r="Q46" s="1">
        <v>45985</v>
      </c>
      <c r="R46" s="2">
        <v>6.3</v>
      </c>
      <c r="S46">
        <v>1</v>
      </c>
      <c r="T46" t="s">
        <v>58</v>
      </c>
      <c r="U46" t="s">
        <v>238</v>
      </c>
      <c r="V46" s="3">
        <v>0.7</v>
      </c>
      <c r="W46" s="2">
        <v>0</v>
      </c>
      <c r="X46">
        <v>0</v>
      </c>
      <c r="Y46" t="s">
        <v>60</v>
      </c>
      <c r="Z46" t="s">
        <v>408</v>
      </c>
      <c r="AA46">
        <v>6</v>
      </c>
      <c r="AB46" s="2">
        <v>26.46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4.41</v>
      </c>
      <c r="AM46" s="2">
        <v>0</v>
      </c>
      <c r="AN46" s="2">
        <v>26.46</v>
      </c>
      <c r="AO46" s="2">
        <v>0</v>
      </c>
      <c r="AP46" s="2">
        <v>0</v>
      </c>
      <c r="AQ46" s="2">
        <v>0</v>
      </c>
    </row>
    <row r="47" spans="1:43" x14ac:dyDescent="0.25">
      <c r="A47" s="1">
        <v>45957</v>
      </c>
      <c r="B47" t="s">
        <v>48</v>
      </c>
      <c r="C47">
        <v>649163</v>
      </c>
      <c r="D47">
        <v>2031778888</v>
      </c>
      <c r="E47" t="s">
        <v>465</v>
      </c>
      <c r="F47" t="s">
        <v>273</v>
      </c>
      <c r="G47" t="s">
        <v>51</v>
      </c>
      <c r="H47" t="s">
        <v>69</v>
      </c>
      <c r="I47" t="s">
        <v>53</v>
      </c>
      <c r="J47" t="s">
        <v>122</v>
      </c>
      <c r="K47">
        <v>814033</v>
      </c>
      <c r="L47" t="s">
        <v>147</v>
      </c>
      <c r="M47" t="s">
        <v>148</v>
      </c>
      <c r="N47" t="s">
        <v>57</v>
      </c>
      <c r="O47" s="1">
        <v>45962</v>
      </c>
      <c r="Q47" s="1">
        <v>45992</v>
      </c>
      <c r="R47" s="2">
        <v>25.08</v>
      </c>
      <c r="S47">
        <v>1</v>
      </c>
      <c r="T47" t="s">
        <v>58</v>
      </c>
      <c r="U47" t="s">
        <v>238</v>
      </c>
      <c r="V47" s="3">
        <v>0.42</v>
      </c>
      <c r="W47" s="2">
        <v>0</v>
      </c>
      <c r="X47">
        <v>0</v>
      </c>
      <c r="Y47" t="s">
        <v>60</v>
      </c>
      <c r="Z47" t="s">
        <v>408</v>
      </c>
      <c r="AA47">
        <v>6</v>
      </c>
      <c r="AB47" s="2">
        <v>63.18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10.53</v>
      </c>
      <c r="AM47" s="2">
        <v>0</v>
      </c>
      <c r="AN47" s="2">
        <v>63.18</v>
      </c>
      <c r="AO47" s="2">
        <v>0</v>
      </c>
      <c r="AP47" s="2">
        <v>0</v>
      </c>
      <c r="AQ47" s="2">
        <v>0</v>
      </c>
    </row>
    <row r="48" spans="1:43" x14ac:dyDescent="0.25">
      <c r="A48" s="1">
        <v>45957</v>
      </c>
      <c r="B48" t="s">
        <v>48</v>
      </c>
      <c r="C48">
        <v>649163</v>
      </c>
      <c r="D48">
        <v>2031778889</v>
      </c>
      <c r="E48" t="s">
        <v>465</v>
      </c>
      <c r="F48" t="s">
        <v>273</v>
      </c>
      <c r="G48" t="s">
        <v>51</v>
      </c>
      <c r="H48" t="s">
        <v>69</v>
      </c>
      <c r="I48" t="s">
        <v>53</v>
      </c>
      <c r="J48" t="s">
        <v>54</v>
      </c>
      <c r="K48">
        <v>814033</v>
      </c>
      <c r="L48" t="s">
        <v>147</v>
      </c>
      <c r="M48" t="s">
        <v>148</v>
      </c>
      <c r="N48" t="s">
        <v>57</v>
      </c>
      <c r="O48" s="1">
        <v>45962</v>
      </c>
      <c r="Q48" s="1">
        <v>45992</v>
      </c>
      <c r="R48" s="2">
        <v>112.95</v>
      </c>
      <c r="S48">
        <v>1</v>
      </c>
      <c r="T48" t="s">
        <v>58</v>
      </c>
      <c r="U48" t="s">
        <v>238</v>
      </c>
      <c r="V48" s="3">
        <v>0.7</v>
      </c>
      <c r="W48" s="2">
        <v>0</v>
      </c>
      <c r="X48">
        <v>0</v>
      </c>
      <c r="Y48" t="s">
        <v>60</v>
      </c>
      <c r="Z48" t="s">
        <v>408</v>
      </c>
      <c r="AA48">
        <v>6</v>
      </c>
      <c r="AB48" s="2">
        <v>474.36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79.06</v>
      </c>
      <c r="AM48" s="2">
        <v>0</v>
      </c>
      <c r="AN48" s="2">
        <v>474.36</v>
      </c>
      <c r="AO48" s="2">
        <v>0</v>
      </c>
      <c r="AP48" s="2">
        <v>0</v>
      </c>
      <c r="AQ48" s="2">
        <v>0</v>
      </c>
    </row>
    <row r="49" spans="1:43" x14ac:dyDescent="0.25">
      <c r="A49" s="1">
        <v>45957</v>
      </c>
      <c r="B49" t="s">
        <v>48</v>
      </c>
      <c r="C49">
        <v>649163</v>
      </c>
      <c r="D49">
        <v>2031780521</v>
      </c>
      <c r="E49" t="s">
        <v>466</v>
      </c>
      <c r="F49" t="s">
        <v>354</v>
      </c>
      <c r="G49" t="s">
        <v>51</v>
      </c>
      <c r="H49" t="s">
        <v>118</v>
      </c>
      <c r="I49" t="s">
        <v>53</v>
      </c>
      <c r="J49" t="s">
        <v>257</v>
      </c>
      <c r="K49">
        <v>751867</v>
      </c>
      <c r="L49" t="s">
        <v>349</v>
      </c>
      <c r="M49" t="s">
        <v>312</v>
      </c>
      <c r="N49" t="s">
        <v>57</v>
      </c>
      <c r="O49" s="1">
        <v>45954</v>
      </c>
      <c r="Q49" s="1">
        <v>45985</v>
      </c>
      <c r="R49" s="2">
        <v>24.61</v>
      </c>
      <c r="S49">
        <v>1</v>
      </c>
      <c r="T49" t="s">
        <v>58</v>
      </c>
      <c r="U49" t="s">
        <v>238</v>
      </c>
      <c r="V49" s="3">
        <v>0.7</v>
      </c>
      <c r="W49" s="2">
        <v>0</v>
      </c>
      <c r="X49">
        <v>0</v>
      </c>
      <c r="Y49" t="s">
        <v>60</v>
      </c>
      <c r="Z49" t="s">
        <v>408</v>
      </c>
      <c r="AA49">
        <v>6</v>
      </c>
      <c r="AB49" s="2">
        <v>103.38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17.23</v>
      </c>
      <c r="AM49" s="2">
        <v>0</v>
      </c>
      <c r="AN49" s="2">
        <v>103.38</v>
      </c>
      <c r="AO49" s="2">
        <v>0</v>
      </c>
      <c r="AP49" s="2">
        <v>0</v>
      </c>
      <c r="AQ49" s="2">
        <v>0</v>
      </c>
    </row>
    <row r="50" spans="1:43" x14ac:dyDescent="0.25">
      <c r="A50" s="1">
        <v>45957</v>
      </c>
      <c r="B50" t="s">
        <v>48</v>
      </c>
      <c r="C50">
        <v>649163</v>
      </c>
      <c r="D50">
        <v>2031795288</v>
      </c>
      <c r="E50" t="s">
        <v>426</v>
      </c>
      <c r="F50" t="s">
        <v>427</v>
      </c>
      <c r="G50" t="s">
        <v>51</v>
      </c>
      <c r="H50" t="s">
        <v>118</v>
      </c>
      <c r="I50" t="s">
        <v>53</v>
      </c>
      <c r="J50" t="s">
        <v>257</v>
      </c>
      <c r="K50">
        <v>823068</v>
      </c>
      <c r="L50" t="s">
        <v>120</v>
      </c>
      <c r="M50" t="s">
        <v>121</v>
      </c>
      <c r="N50" t="s">
        <v>57</v>
      </c>
      <c r="O50" s="1">
        <v>45962</v>
      </c>
      <c r="Q50" s="1">
        <v>45992</v>
      </c>
      <c r="R50" s="2">
        <v>24.61</v>
      </c>
      <c r="S50">
        <v>1</v>
      </c>
      <c r="T50" t="s">
        <v>58</v>
      </c>
      <c r="U50" t="s">
        <v>238</v>
      </c>
      <c r="V50" s="3">
        <v>0.7</v>
      </c>
      <c r="W50" s="2">
        <v>0</v>
      </c>
      <c r="X50">
        <v>0</v>
      </c>
      <c r="Y50" t="s">
        <v>60</v>
      </c>
      <c r="Z50" t="s">
        <v>408</v>
      </c>
      <c r="AA50">
        <v>6</v>
      </c>
      <c r="AB50" s="2">
        <v>103.38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17.23</v>
      </c>
      <c r="AM50" s="2">
        <v>0</v>
      </c>
      <c r="AN50" s="2">
        <v>103.38</v>
      </c>
      <c r="AO50" s="2">
        <v>0</v>
      </c>
      <c r="AP50" s="2">
        <v>0</v>
      </c>
      <c r="AQ50" s="2">
        <v>0</v>
      </c>
    </row>
    <row r="51" spans="1:43" x14ac:dyDescent="0.25">
      <c r="A51" s="1">
        <v>45957</v>
      </c>
      <c r="B51" t="s">
        <v>48</v>
      </c>
      <c r="C51">
        <v>649163</v>
      </c>
      <c r="D51">
        <v>2031799852</v>
      </c>
      <c r="E51" t="s">
        <v>467</v>
      </c>
      <c r="F51" t="s">
        <v>413</v>
      </c>
      <c r="G51" t="s">
        <v>51</v>
      </c>
      <c r="H51" t="s">
        <v>52</v>
      </c>
      <c r="I51" t="s">
        <v>53</v>
      </c>
      <c r="J51" t="s">
        <v>54</v>
      </c>
      <c r="K51">
        <v>856824</v>
      </c>
      <c r="L51" t="s">
        <v>175</v>
      </c>
      <c r="M51" t="s">
        <v>176</v>
      </c>
      <c r="N51" t="s">
        <v>57</v>
      </c>
      <c r="O51" s="1">
        <v>45957</v>
      </c>
      <c r="Q51" s="1">
        <v>45988</v>
      </c>
      <c r="R51" s="2">
        <v>50.9</v>
      </c>
      <c r="S51">
        <v>1</v>
      </c>
      <c r="T51" t="s">
        <v>58</v>
      </c>
      <c r="U51" t="s">
        <v>238</v>
      </c>
      <c r="V51" s="3">
        <v>0.7</v>
      </c>
      <c r="W51" s="2">
        <v>0</v>
      </c>
      <c r="X51">
        <v>0</v>
      </c>
      <c r="Y51" t="s">
        <v>60</v>
      </c>
      <c r="Z51" t="s">
        <v>408</v>
      </c>
      <c r="AA51">
        <v>6</v>
      </c>
      <c r="AB51" s="2">
        <v>213.78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35.630000000000003</v>
      </c>
      <c r="AM51" s="2">
        <v>0</v>
      </c>
      <c r="AN51" s="2">
        <v>213.78</v>
      </c>
      <c r="AO51" s="2">
        <v>0</v>
      </c>
      <c r="AP51" s="2">
        <v>0</v>
      </c>
      <c r="AQ51" s="2">
        <v>0</v>
      </c>
    </row>
    <row r="52" spans="1:43" x14ac:dyDescent="0.25">
      <c r="A52" s="1">
        <v>45957</v>
      </c>
      <c r="B52" t="s">
        <v>48</v>
      </c>
      <c r="C52">
        <v>649163</v>
      </c>
      <c r="D52">
        <v>2031805822</v>
      </c>
      <c r="E52" t="s">
        <v>468</v>
      </c>
      <c r="F52" t="s">
        <v>354</v>
      </c>
      <c r="G52" t="s">
        <v>51</v>
      </c>
      <c r="H52" t="s">
        <v>165</v>
      </c>
      <c r="I52" t="s">
        <v>53</v>
      </c>
      <c r="J52" t="s">
        <v>54</v>
      </c>
      <c r="K52">
        <v>822865</v>
      </c>
      <c r="L52" t="s">
        <v>469</v>
      </c>
      <c r="M52" t="s">
        <v>470</v>
      </c>
      <c r="N52" t="s">
        <v>57</v>
      </c>
      <c r="O52" s="1">
        <v>45955</v>
      </c>
      <c r="Q52" s="1">
        <v>45986</v>
      </c>
      <c r="R52" s="2">
        <v>83</v>
      </c>
      <c r="S52">
        <v>1</v>
      </c>
      <c r="T52" t="s">
        <v>58</v>
      </c>
      <c r="U52" t="s">
        <v>238</v>
      </c>
      <c r="V52" s="3">
        <v>0.7</v>
      </c>
      <c r="W52" s="2">
        <v>0</v>
      </c>
      <c r="X52">
        <v>0</v>
      </c>
      <c r="Y52" t="s">
        <v>60</v>
      </c>
      <c r="Z52" t="s">
        <v>408</v>
      </c>
      <c r="AA52">
        <v>6</v>
      </c>
      <c r="AB52" s="2">
        <v>348.6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58.1</v>
      </c>
      <c r="AM52" s="2">
        <v>0</v>
      </c>
      <c r="AN52" s="2">
        <v>348.6</v>
      </c>
      <c r="AO52" s="2">
        <v>0</v>
      </c>
      <c r="AP52" s="2">
        <v>0</v>
      </c>
      <c r="AQ52" s="2">
        <v>0</v>
      </c>
    </row>
    <row r="53" spans="1:43" x14ac:dyDescent="0.25">
      <c r="A53" s="1">
        <v>45957</v>
      </c>
      <c r="B53" t="s">
        <v>48</v>
      </c>
      <c r="C53">
        <v>649163</v>
      </c>
      <c r="D53">
        <v>2031808342</v>
      </c>
      <c r="E53" t="s">
        <v>471</v>
      </c>
      <c r="F53" t="s">
        <v>167</v>
      </c>
      <c r="G53" t="s">
        <v>51</v>
      </c>
      <c r="H53" t="s">
        <v>118</v>
      </c>
      <c r="I53" t="s">
        <v>53</v>
      </c>
      <c r="J53" t="s">
        <v>257</v>
      </c>
      <c r="K53">
        <v>902625</v>
      </c>
      <c r="L53" t="s">
        <v>458</v>
      </c>
      <c r="M53" t="s">
        <v>459</v>
      </c>
      <c r="N53" t="s">
        <v>57</v>
      </c>
      <c r="O53" s="1">
        <v>45962</v>
      </c>
      <c r="Q53" s="1">
        <v>45992</v>
      </c>
      <c r="R53" s="2">
        <v>48</v>
      </c>
      <c r="S53">
        <v>1</v>
      </c>
      <c r="T53" t="s">
        <v>58</v>
      </c>
      <c r="U53" t="s">
        <v>238</v>
      </c>
      <c r="V53" s="3">
        <v>0.7</v>
      </c>
      <c r="W53" s="2">
        <v>0</v>
      </c>
      <c r="X53">
        <v>0</v>
      </c>
      <c r="Y53" t="s">
        <v>60</v>
      </c>
      <c r="Z53" t="s">
        <v>408</v>
      </c>
      <c r="AA53">
        <v>6</v>
      </c>
      <c r="AB53" s="2">
        <v>201.6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33.6</v>
      </c>
      <c r="AM53" s="2">
        <v>0</v>
      </c>
      <c r="AN53" s="2">
        <v>201.6</v>
      </c>
      <c r="AO53" s="2">
        <v>0</v>
      </c>
      <c r="AP53" s="2">
        <v>0</v>
      </c>
      <c r="AQ53" s="2">
        <v>0</v>
      </c>
    </row>
    <row r="54" spans="1:43" x14ac:dyDescent="0.25">
      <c r="A54" s="1">
        <v>45957</v>
      </c>
      <c r="B54" t="s">
        <v>48</v>
      </c>
      <c r="C54">
        <v>649163</v>
      </c>
      <c r="D54">
        <v>2031823475</v>
      </c>
      <c r="E54" t="s">
        <v>472</v>
      </c>
      <c r="F54" t="s">
        <v>473</v>
      </c>
      <c r="G54" t="s">
        <v>51</v>
      </c>
      <c r="H54" t="s">
        <v>69</v>
      </c>
      <c r="I54" t="s">
        <v>53</v>
      </c>
      <c r="J54" t="s">
        <v>54</v>
      </c>
      <c r="K54">
        <v>893408</v>
      </c>
      <c r="L54" t="s">
        <v>474</v>
      </c>
      <c r="M54" t="s">
        <v>475</v>
      </c>
      <c r="N54" t="s">
        <v>57</v>
      </c>
      <c r="O54" s="1">
        <v>45956</v>
      </c>
      <c r="Q54" s="1">
        <v>45987</v>
      </c>
      <c r="R54" s="2">
        <v>148.32</v>
      </c>
      <c r="S54">
        <v>1</v>
      </c>
      <c r="T54" t="s">
        <v>58</v>
      </c>
      <c r="U54" t="s">
        <v>238</v>
      </c>
      <c r="V54" s="3">
        <v>0.7</v>
      </c>
      <c r="W54" s="2">
        <v>0</v>
      </c>
      <c r="X54">
        <v>0</v>
      </c>
      <c r="Y54" t="s">
        <v>60</v>
      </c>
      <c r="Z54" t="s">
        <v>408</v>
      </c>
      <c r="AA54">
        <v>6</v>
      </c>
      <c r="AB54" s="2">
        <v>622.91999999999996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103.82</v>
      </c>
      <c r="AM54" s="2">
        <v>0</v>
      </c>
      <c r="AN54" s="2">
        <v>622.91999999999996</v>
      </c>
      <c r="AO54" s="2">
        <v>0</v>
      </c>
      <c r="AP54" s="2">
        <v>0</v>
      </c>
      <c r="AQ54" s="2">
        <v>0</v>
      </c>
    </row>
    <row r="55" spans="1:43" x14ac:dyDescent="0.25">
      <c r="A55" s="1">
        <v>45957</v>
      </c>
      <c r="B55" t="s">
        <v>48</v>
      </c>
      <c r="C55">
        <v>649163</v>
      </c>
      <c r="D55">
        <v>2031780522</v>
      </c>
      <c r="E55" t="s">
        <v>466</v>
      </c>
      <c r="F55" t="s">
        <v>354</v>
      </c>
      <c r="G55" t="s">
        <v>51</v>
      </c>
      <c r="H55" t="s">
        <v>118</v>
      </c>
      <c r="I55" t="s">
        <v>262</v>
      </c>
      <c r="J55" t="s">
        <v>384</v>
      </c>
      <c r="K55">
        <v>751867</v>
      </c>
      <c r="L55" t="s">
        <v>349</v>
      </c>
      <c r="M55" t="s">
        <v>312</v>
      </c>
      <c r="N55" t="s">
        <v>57</v>
      </c>
      <c r="O55" s="1">
        <v>45954</v>
      </c>
      <c r="Q55" s="1">
        <v>45985</v>
      </c>
      <c r="R55" s="2">
        <v>142.16</v>
      </c>
      <c r="S55">
        <v>1</v>
      </c>
      <c r="T55" t="s">
        <v>58</v>
      </c>
      <c r="U55" t="s">
        <v>476</v>
      </c>
      <c r="V55" s="3">
        <v>0.27</v>
      </c>
      <c r="W55" s="2">
        <v>0</v>
      </c>
      <c r="X55">
        <v>0</v>
      </c>
      <c r="Y55" t="s">
        <v>60</v>
      </c>
      <c r="Z55" t="s">
        <v>408</v>
      </c>
      <c r="AA55">
        <v>3</v>
      </c>
      <c r="AB55" s="2">
        <v>115.14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38.380000000000003</v>
      </c>
      <c r="AM55" s="2">
        <v>0</v>
      </c>
      <c r="AN55" s="2">
        <v>115.14</v>
      </c>
      <c r="AO55" s="2">
        <v>0</v>
      </c>
      <c r="AP55" s="2">
        <v>0</v>
      </c>
      <c r="AQ55" s="2">
        <v>0</v>
      </c>
    </row>
    <row r="56" spans="1:43" x14ac:dyDescent="0.25">
      <c r="A56" s="1">
        <v>45957</v>
      </c>
      <c r="B56" t="s">
        <v>48</v>
      </c>
      <c r="C56">
        <v>649163</v>
      </c>
      <c r="D56">
        <v>2031780523</v>
      </c>
      <c r="E56" t="s">
        <v>466</v>
      </c>
      <c r="F56" t="s">
        <v>354</v>
      </c>
      <c r="G56" t="s">
        <v>51</v>
      </c>
      <c r="H56" t="s">
        <v>118</v>
      </c>
      <c r="I56" t="s">
        <v>262</v>
      </c>
      <c r="J56" t="s">
        <v>477</v>
      </c>
      <c r="K56">
        <v>751867</v>
      </c>
      <c r="L56" t="s">
        <v>349</v>
      </c>
      <c r="M56" t="s">
        <v>312</v>
      </c>
      <c r="N56" t="s">
        <v>57</v>
      </c>
      <c r="O56" s="1">
        <v>45954</v>
      </c>
      <c r="Q56" s="1">
        <v>45985</v>
      </c>
      <c r="R56" s="2">
        <v>9.9499999999999993</v>
      </c>
      <c r="S56">
        <v>1</v>
      </c>
      <c r="T56" t="s">
        <v>58</v>
      </c>
      <c r="U56" t="s">
        <v>476</v>
      </c>
      <c r="V56" s="3">
        <v>0.27</v>
      </c>
      <c r="W56" s="2">
        <v>0</v>
      </c>
      <c r="X56">
        <v>0</v>
      </c>
      <c r="Y56" t="s">
        <v>60</v>
      </c>
      <c r="Z56" t="s">
        <v>408</v>
      </c>
      <c r="AA56">
        <v>3</v>
      </c>
      <c r="AB56" s="2">
        <v>8.07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2.69</v>
      </c>
      <c r="AM56" s="2">
        <v>0</v>
      </c>
      <c r="AN56" s="2">
        <v>8.07</v>
      </c>
      <c r="AO56" s="2">
        <v>0</v>
      </c>
      <c r="AP56" s="2">
        <v>0</v>
      </c>
      <c r="AQ56" s="2">
        <v>0</v>
      </c>
    </row>
    <row r="57" spans="1:43" x14ac:dyDescent="0.25">
      <c r="A57" s="1">
        <v>45957</v>
      </c>
      <c r="B57" t="s">
        <v>48</v>
      </c>
      <c r="C57">
        <v>649163</v>
      </c>
      <c r="D57">
        <v>2031804598</v>
      </c>
      <c r="E57" t="s">
        <v>432</v>
      </c>
      <c r="F57" t="s">
        <v>433</v>
      </c>
      <c r="G57" t="s">
        <v>51</v>
      </c>
      <c r="H57" t="s">
        <v>179</v>
      </c>
      <c r="I57" t="s">
        <v>262</v>
      </c>
      <c r="J57" t="s">
        <v>478</v>
      </c>
      <c r="K57">
        <v>877790</v>
      </c>
      <c r="L57" t="s">
        <v>435</v>
      </c>
      <c r="M57" t="s">
        <v>436</v>
      </c>
      <c r="N57" t="s">
        <v>57</v>
      </c>
      <c r="O57" s="1">
        <v>45955</v>
      </c>
      <c r="Q57" s="1">
        <v>45986</v>
      </c>
      <c r="R57" s="2">
        <v>832.5</v>
      </c>
      <c r="S57">
        <v>1</v>
      </c>
      <c r="T57" t="s">
        <v>58</v>
      </c>
      <c r="U57" t="s">
        <v>431</v>
      </c>
      <c r="V57" s="3">
        <v>0.19</v>
      </c>
      <c r="W57" s="2">
        <v>0</v>
      </c>
      <c r="X57">
        <v>0</v>
      </c>
      <c r="Y57" t="s">
        <v>60</v>
      </c>
      <c r="Z57" t="s">
        <v>408</v>
      </c>
      <c r="AA57">
        <v>6</v>
      </c>
      <c r="AB57" s="2">
        <v>949.08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158.18</v>
      </c>
      <c r="AM57" s="2">
        <v>0</v>
      </c>
      <c r="AN57" s="2">
        <v>949.08</v>
      </c>
      <c r="AO57" s="2">
        <v>0</v>
      </c>
      <c r="AP57" s="2">
        <v>0</v>
      </c>
      <c r="AQ57" s="2">
        <v>0</v>
      </c>
    </row>
    <row r="58" spans="1:43" x14ac:dyDescent="0.25">
      <c r="A58" s="1">
        <v>45957</v>
      </c>
      <c r="B58" t="s">
        <v>48</v>
      </c>
      <c r="C58">
        <v>649163</v>
      </c>
      <c r="D58">
        <v>2031615384</v>
      </c>
      <c r="E58" t="s">
        <v>445</v>
      </c>
      <c r="F58" t="s">
        <v>446</v>
      </c>
      <c r="G58" t="s">
        <v>51</v>
      </c>
      <c r="H58" t="s">
        <v>69</v>
      </c>
      <c r="I58" t="s">
        <v>309</v>
      </c>
      <c r="J58" t="s">
        <v>340</v>
      </c>
      <c r="K58">
        <v>820873</v>
      </c>
      <c r="L58" t="s">
        <v>447</v>
      </c>
      <c r="M58" t="s">
        <v>448</v>
      </c>
      <c r="N58" t="s">
        <v>57</v>
      </c>
      <c r="O58" s="1">
        <v>45962</v>
      </c>
      <c r="Q58" s="1">
        <v>45992</v>
      </c>
      <c r="R58" s="2">
        <v>35.270000000000003</v>
      </c>
      <c r="S58">
        <v>1</v>
      </c>
      <c r="T58" t="s">
        <v>58</v>
      </c>
      <c r="U58" t="s">
        <v>238</v>
      </c>
      <c r="V58" s="3">
        <v>0.51</v>
      </c>
      <c r="W58" s="2">
        <v>0</v>
      </c>
      <c r="X58">
        <v>0</v>
      </c>
      <c r="Y58" t="s">
        <v>60</v>
      </c>
      <c r="Z58" t="s">
        <v>408</v>
      </c>
      <c r="AA58">
        <v>6</v>
      </c>
      <c r="AB58" s="2">
        <v>107.94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17.989999999999998</v>
      </c>
      <c r="AM58" s="2">
        <v>0</v>
      </c>
      <c r="AN58" s="2">
        <v>107.94</v>
      </c>
      <c r="AO58" s="2">
        <v>0</v>
      </c>
      <c r="AP58" s="2">
        <v>0</v>
      </c>
      <c r="AQ58" s="2">
        <v>0</v>
      </c>
    </row>
    <row r="59" spans="1:43" x14ac:dyDescent="0.25">
      <c r="A59" s="1">
        <v>45957</v>
      </c>
      <c r="B59" t="s">
        <v>48</v>
      </c>
      <c r="C59">
        <v>649163</v>
      </c>
      <c r="D59">
        <v>2031615385</v>
      </c>
      <c r="E59" t="s">
        <v>445</v>
      </c>
      <c r="F59" t="s">
        <v>446</v>
      </c>
      <c r="G59" t="s">
        <v>51</v>
      </c>
      <c r="H59" t="s">
        <v>69</v>
      </c>
      <c r="I59" t="s">
        <v>309</v>
      </c>
      <c r="J59" t="s">
        <v>341</v>
      </c>
      <c r="K59">
        <v>820873</v>
      </c>
      <c r="L59" t="s">
        <v>447</v>
      </c>
      <c r="M59" t="s">
        <v>448</v>
      </c>
      <c r="N59" t="s">
        <v>57</v>
      </c>
      <c r="O59" s="1">
        <v>45962</v>
      </c>
      <c r="Q59" s="1">
        <v>45992</v>
      </c>
      <c r="R59" s="2">
        <v>5.95</v>
      </c>
      <c r="S59">
        <v>1</v>
      </c>
      <c r="T59" t="s">
        <v>58</v>
      </c>
      <c r="U59" t="s">
        <v>238</v>
      </c>
      <c r="V59" s="3">
        <v>0.51</v>
      </c>
      <c r="W59" s="2">
        <v>0</v>
      </c>
      <c r="X59">
        <v>0</v>
      </c>
      <c r="Y59" t="s">
        <v>60</v>
      </c>
      <c r="Z59" t="s">
        <v>408</v>
      </c>
      <c r="AA59">
        <v>6</v>
      </c>
      <c r="AB59" s="2">
        <v>18.18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3.03</v>
      </c>
      <c r="AM59" s="2">
        <v>0</v>
      </c>
      <c r="AN59" s="2">
        <v>18.18</v>
      </c>
      <c r="AO59" s="2">
        <v>0</v>
      </c>
      <c r="AP59" s="2">
        <v>0</v>
      </c>
      <c r="AQ59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9CDE-C07D-4404-9927-097C337218DF}">
  <dimension ref="A1:AX60"/>
  <sheetViews>
    <sheetView workbookViewId="0">
      <selection activeCell="E2" sqref="E2:E27"/>
    </sheetView>
  </sheetViews>
  <sheetFormatPr defaultRowHeight="15" x14ac:dyDescent="0.25"/>
  <cols>
    <col min="1" max="1" width="11" bestFit="1" customWidth="1"/>
    <col min="4" max="4" width="14.7109375" bestFit="1" customWidth="1"/>
    <col min="7" max="7" width="50" bestFit="1" customWidth="1"/>
    <col min="8" max="8" width="15.28515625" customWidth="1"/>
    <col min="11" max="11" width="17.5703125" bestFit="1" customWidth="1"/>
    <col min="13" max="13" width="12.42578125" customWidth="1"/>
    <col min="14" max="14" width="13.28515625" customWidth="1"/>
  </cols>
  <sheetData>
    <row r="1" spans="1:5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19</v>
      </c>
      <c r="Q1" t="s">
        <v>20</v>
      </c>
      <c r="R1" t="s">
        <v>21</v>
      </c>
      <c r="S1" t="s">
        <v>24</v>
      </c>
      <c r="T1" t="s">
        <v>25</v>
      </c>
      <c r="U1" t="s">
        <v>37</v>
      </c>
    </row>
    <row r="2" spans="1:50" x14ac:dyDescent="0.25">
      <c r="A2">
        <v>2031780521</v>
      </c>
      <c r="B2" t="s">
        <v>466</v>
      </c>
      <c r="C2" t="s">
        <v>354</v>
      </c>
      <c r="D2" t="str">
        <f>CONCATENATE(C2, " ",B2)</f>
        <v>JAMES HIGGINS</v>
      </c>
      <c r="E2" t="s">
        <v>118</v>
      </c>
      <c r="F2" t="s">
        <v>53</v>
      </c>
      <c r="G2" t="s">
        <v>257</v>
      </c>
      <c r="H2">
        <v>18781057</v>
      </c>
      <c r="I2" t="s">
        <v>349</v>
      </c>
      <c r="J2" t="s">
        <v>312</v>
      </c>
      <c r="K2" t="str">
        <f>CONCATENATE(J2,   " ",I2)</f>
        <v>JOHN ROKEN</v>
      </c>
      <c r="L2" t="s">
        <v>57</v>
      </c>
      <c r="M2" s="1">
        <v>45954</v>
      </c>
      <c r="N2" s="1">
        <v>45985</v>
      </c>
      <c r="O2" s="2">
        <v>24.61</v>
      </c>
      <c r="P2" t="s">
        <v>58</v>
      </c>
      <c r="Q2" t="s">
        <v>238</v>
      </c>
      <c r="R2" s="3">
        <v>0.7</v>
      </c>
      <c r="S2" t="s">
        <v>60</v>
      </c>
      <c r="T2" t="s">
        <v>408</v>
      </c>
      <c r="U2" s="2">
        <v>17.23</v>
      </c>
      <c r="V2" t="s">
        <v>119</v>
      </c>
    </row>
    <row r="3" spans="1:50" s="5" customFormat="1" x14ac:dyDescent="0.25">
      <c r="A3">
        <v>2031383608</v>
      </c>
      <c r="B3" t="s">
        <v>412</v>
      </c>
      <c r="C3" t="s">
        <v>413</v>
      </c>
      <c r="D3" t="str">
        <f t="shared" ref="D3:D27" si="0">CONCATENATE(C3, " ",B3)</f>
        <v>BRIAN HOTT</v>
      </c>
      <c r="E3" t="s">
        <v>118</v>
      </c>
      <c r="F3" t="s">
        <v>53</v>
      </c>
      <c r="G3" t="s">
        <v>257</v>
      </c>
      <c r="H3">
        <v>5442438</v>
      </c>
      <c r="I3" t="s">
        <v>120</v>
      </c>
      <c r="J3" t="s">
        <v>121</v>
      </c>
      <c r="K3" t="str">
        <f>CONCATENATE(J3,   " ",I3)</f>
        <v>Ronald Max</v>
      </c>
      <c r="L3" t="s">
        <v>57</v>
      </c>
      <c r="M3" s="1">
        <v>45942</v>
      </c>
      <c r="N3" s="1">
        <v>45973</v>
      </c>
      <c r="O3" s="2">
        <v>24.61</v>
      </c>
      <c r="P3" t="s">
        <v>58</v>
      </c>
      <c r="Q3" t="s">
        <v>238</v>
      </c>
      <c r="R3" s="3">
        <v>0.7</v>
      </c>
      <c r="S3" t="s">
        <v>60</v>
      </c>
      <c r="T3" t="s">
        <v>408</v>
      </c>
      <c r="U3" s="2">
        <v>17.23</v>
      </c>
      <c r="V3" t="s">
        <v>119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s="5" customFormat="1" x14ac:dyDescent="0.25">
      <c r="A4">
        <v>2031760071</v>
      </c>
      <c r="B4" t="s">
        <v>422</v>
      </c>
      <c r="C4" t="s">
        <v>423</v>
      </c>
      <c r="D4" t="str">
        <f t="shared" si="0"/>
        <v>TERRENCE PARKS</v>
      </c>
      <c r="E4" t="s">
        <v>118</v>
      </c>
      <c r="F4" t="s">
        <v>53</v>
      </c>
      <c r="G4" t="s">
        <v>257</v>
      </c>
      <c r="H4">
        <v>5442438</v>
      </c>
      <c r="I4" t="s">
        <v>120</v>
      </c>
      <c r="J4" t="s">
        <v>121</v>
      </c>
      <c r="K4" t="str">
        <f>CONCATENATE(J4,   " ",I4)</f>
        <v>Ronald Max</v>
      </c>
      <c r="L4" t="s">
        <v>57</v>
      </c>
      <c r="M4" s="1">
        <v>45962</v>
      </c>
      <c r="N4" s="1">
        <v>45992</v>
      </c>
      <c r="O4" s="2">
        <v>24.61</v>
      </c>
      <c r="P4" t="s">
        <v>58</v>
      </c>
      <c r="Q4" t="s">
        <v>238</v>
      </c>
      <c r="R4" s="3">
        <v>0.7</v>
      </c>
      <c r="S4" t="s">
        <v>60</v>
      </c>
      <c r="T4" t="s">
        <v>408</v>
      </c>
      <c r="U4" s="2">
        <v>17.23</v>
      </c>
      <c r="V4" t="s">
        <v>119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s="5" customFormat="1" x14ac:dyDescent="0.25">
      <c r="A5">
        <v>2031795288</v>
      </c>
      <c r="B5" t="s">
        <v>426</v>
      </c>
      <c r="C5" t="s">
        <v>427</v>
      </c>
      <c r="D5" t="str">
        <f t="shared" si="0"/>
        <v>JOSHUA FRIEDLANDER</v>
      </c>
      <c r="E5" t="s">
        <v>118</v>
      </c>
      <c r="F5" t="s">
        <v>53</v>
      </c>
      <c r="G5" t="s">
        <v>257</v>
      </c>
      <c r="H5">
        <v>5442438</v>
      </c>
      <c r="I5" t="s">
        <v>120</v>
      </c>
      <c r="J5" t="s">
        <v>121</v>
      </c>
      <c r="K5" t="str">
        <f>CONCATENATE(J5,   " ",I5)</f>
        <v>Ronald Max</v>
      </c>
      <c r="L5" t="s">
        <v>57</v>
      </c>
      <c r="M5" s="1">
        <v>45962</v>
      </c>
      <c r="N5" s="1">
        <v>45992</v>
      </c>
      <c r="O5" s="2">
        <v>24.61</v>
      </c>
      <c r="P5" t="s">
        <v>58</v>
      </c>
      <c r="Q5" t="s">
        <v>238</v>
      </c>
      <c r="R5" s="3">
        <v>0.7</v>
      </c>
      <c r="S5" t="s">
        <v>60</v>
      </c>
      <c r="T5" t="s">
        <v>408</v>
      </c>
      <c r="U5" s="2">
        <v>17.23</v>
      </c>
      <c r="V5" t="s">
        <v>119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s="5" customFormat="1" x14ac:dyDescent="0.25">
      <c r="A6">
        <v>2031738859</v>
      </c>
      <c r="B6" t="s">
        <v>416</v>
      </c>
      <c r="C6" t="s">
        <v>417</v>
      </c>
      <c r="D6" t="str">
        <f t="shared" si="0"/>
        <v>JESSICA PETERS</v>
      </c>
      <c r="E6" t="s">
        <v>52</v>
      </c>
      <c r="F6" t="s">
        <v>369</v>
      </c>
      <c r="G6" t="s">
        <v>418</v>
      </c>
      <c r="H6">
        <v>8977234</v>
      </c>
      <c r="I6" t="s">
        <v>55</v>
      </c>
      <c r="J6" t="s">
        <v>56</v>
      </c>
      <c r="K6" t="str">
        <f>CONCATENATE(J6,   " ",I6)</f>
        <v>RYAN CALTAGIRONE</v>
      </c>
      <c r="L6" t="s">
        <v>57</v>
      </c>
      <c r="M6" s="1">
        <v>45952</v>
      </c>
      <c r="N6" s="1">
        <v>45983</v>
      </c>
      <c r="O6" s="2">
        <v>41.51</v>
      </c>
      <c r="P6" t="s">
        <v>58</v>
      </c>
      <c r="Q6" t="s">
        <v>238</v>
      </c>
      <c r="R6" s="3">
        <v>0.65</v>
      </c>
      <c r="S6" t="s">
        <v>60</v>
      </c>
      <c r="T6" t="s">
        <v>408</v>
      </c>
      <c r="U6" s="2">
        <v>26.98</v>
      </c>
      <c r="V6" t="s">
        <v>1090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s="5" customFormat="1" x14ac:dyDescent="0.25">
      <c r="A7">
        <v>2031761352</v>
      </c>
      <c r="B7" t="s">
        <v>424</v>
      </c>
      <c r="C7" t="s">
        <v>413</v>
      </c>
      <c r="D7" t="str">
        <f t="shared" si="0"/>
        <v>BRIAN JEFFERYS</v>
      </c>
      <c r="E7" t="s">
        <v>118</v>
      </c>
      <c r="F7" t="s">
        <v>369</v>
      </c>
      <c r="G7" t="s">
        <v>375</v>
      </c>
      <c r="H7">
        <v>9079571</v>
      </c>
      <c r="I7" t="s">
        <v>155</v>
      </c>
      <c r="J7" t="s">
        <v>156</v>
      </c>
      <c r="K7" t="str">
        <f>CONCATENATE(J7,   " ",I7)</f>
        <v>ADAM RICHTER</v>
      </c>
      <c r="L7" t="s">
        <v>57</v>
      </c>
      <c r="M7" s="1">
        <v>45962</v>
      </c>
      <c r="N7" s="1">
        <v>45992</v>
      </c>
      <c r="O7" s="2">
        <v>26.98</v>
      </c>
      <c r="P7" t="s">
        <v>58</v>
      </c>
      <c r="Q7" t="s">
        <v>238</v>
      </c>
      <c r="R7" s="3">
        <v>0.9</v>
      </c>
      <c r="S7" t="s">
        <v>60</v>
      </c>
      <c r="T7" t="s">
        <v>408</v>
      </c>
      <c r="U7" s="2">
        <v>24.28</v>
      </c>
      <c r="V7" t="s">
        <v>1091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s="5" customFormat="1" x14ac:dyDescent="0.25">
      <c r="A8">
        <v>2031383607</v>
      </c>
      <c r="B8" t="s">
        <v>412</v>
      </c>
      <c r="C8" t="s">
        <v>413</v>
      </c>
      <c r="D8" t="str">
        <f t="shared" si="0"/>
        <v>BRIAN HOTT</v>
      </c>
      <c r="E8" t="s">
        <v>118</v>
      </c>
      <c r="F8" t="s">
        <v>369</v>
      </c>
      <c r="G8" t="s">
        <v>375</v>
      </c>
      <c r="H8">
        <v>5442438</v>
      </c>
      <c r="I8" t="s">
        <v>120</v>
      </c>
      <c r="J8" t="s">
        <v>121</v>
      </c>
      <c r="K8" t="str">
        <f>CONCATENATE(J8,   " ",I8)</f>
        <v>Ronald Max</v>
      </c>
      <c r="L8" t="s">
        <v>57</v>
      </c>
      <c r="M8" s="1">
        <v>45942</v>
      </c>
      <c r="N8" s="1">
        <v>45973</v>
      </c>
      <c r="O8" s="2">
        <v>68.11</v>
      </c>
      <c r="P8" t="s">
        <v>58</v>
      </c>
      <c r="Q8" t="s">
        <v>238</v>
      </c>
      <c r="R8" s="3">
        <v>0.9</v>
      </c>
      <c r="S8" t="s">
        <v>60</v>
      </c>
      <c r="T8" t="s">
        <v>408</v>
      </c>
      <c r="U8" s="2">
        <v>61.3</v>
      </c>
      <c r="V8" t="s">
        <v>1091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s="5" customFormat="1" x14ac:dyDescent="0.25">
      <c r="A9">
        <v>2031760072</v>
      </c>
      <c r="B9" t="s">
        <v>422</v>
      </c>
      <c r="C9" t="s">
        <v>423</v>
      </c>
      <c r="D9" t="str">
        <f t="shared" si="0"/>
        <v>TERRENCE PARKS</v>
      </c>
      <c r="E9" t="s">
        <v>118</v>
      </c>
      <c r="F9" t="s">
        <v>369</v>
      </c>
      <c r="G9" t="s">
        <v>375</v>
      </c>
      <c r="H9">
        <v>5442438</v>
      </c>
      <c r="I9" t="s">
        <v>120</v>
      </c>
      <c r="J9" t="s">
        <v>121</v>
      </c>
      <c r="K9" t="str">
        <f>CONCATENATE(J9,   " ",I9)</f>
        <v>Ronald Max</v>
      </c>
      <c r="L9" t="s">
        <v>57</v>
      </c>
      <c r="M9" s="1">
        <v>45962</v>
      </c>
      <c r="N9" s="1">
        <v>45992</v>
      </c>
      <c r="O9" s="2">
        <v>113.13</v>
      </c>
      <c r="P9" t="s">
        <v>58</v>
      </c>
      <c r="Q9" t="s">
        <v>238</v>
      </c>
      <c r="R9" s="3">
        <v>0.9</v>
      </c>
      <c r="S9" t="s">
        <v>60</v>
      </c>
      <c r="T9" t="s">
        <v>408</v>
      </c>
      <c r="U9" s="2">
        <v>101.82</v>
      </c>
      <c r="V9" t="s">
        <v>1091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s="5" customFormat="1" x14ac:dyDescent="0.25">
      <c r="A10">
        <v>2031795289</v>
      </c>
      <c r="B10" t="s">
        <v>426</v>
      </c>
      <c r="C10" t="s">
        <v>427</v>
      </c>
      <c r="D10" t="str">
        <f t="shared" si="0"/>
        <v>JOSHUA FRIEDLANDER</v>
      </c>
      <c r="E10" t="s">
        <v>118</v>
      </c>
      <c r="F10" t="s">
        <v>369</v>
      </c>
      <c r="G10" t="s">
        <v>375</v>
      </c>
      <c r="H10">
        <v>5442438</v>
      </c>
      <c r="I10" t="s">
        <v>120</v>
      </c>
      <c r="J10" t="s">
        <v>121</v>
      </c>
      <c r="K10" t="str">
        <f>CONCATENATE(J10,   " ",I10)</f>
        <v>Ronald Max</v>
      </c>
      <c r="L10" t="s">
        <v>57</v>
      </c>
      <c r="M10" s="1">
        <v>45962</v>
      </c>
      <c r="N10" s="1">
        <v>45992</v>
      </c>
      <c r="O10" s="2">
        <v>31.21</v>
      </c>
      <c r="P10" t="s">
        <v>58</v>
      </c>
      <c r="Q10" t="s">
        <v>238</v>
      </c>
      <c r="R10" s="3">
        <v>0.9</v>
      </c>
      <c r="S10" t="s">
        <v>60</v>
      </c>
      <c r="T10" t="s">
        <v>408</v>
      </c>
      <c r="U10" s="2">
        <v>28.09</v>
      </c>
      <c r="V10" t="s">
        <v>1091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s="5" customFormat="1" x14ac:dyDescent="0.25">
      <c r="A11">
        <v>2031383606</v>
      </c>
      <c r="B11" t="s">
        <v>412</v>
      </c>
      <c r="C11" t="s">
        <v>413</v>
      </c>
      <c r="D11" t="str">
        <f t="shared" si="0"/>
        <v>BRIAN HOTT</v>
      </c>
      <c r="E11" t="s">
        <v>118</v>
      </c>
      <c r="F11" t="s">
        <v>53</v>
      </c>
      <c r="G11" t="s">
        <v>122</v>
      </c>
      <c r="H11">
        <v>5442438</v>
      </c>
      <c r="I11" t="s">
        <v>120</v>
      </c>
      <c r="J11" t="s">
        <v>121</v>
      </c>
      <c r="K11" t="str">
        <f>CONCATENATE(J11,   " ",I11)</f>
        <v>Ronald Max</v>
      </c>
      <c r="L11" t="s">
        <v>57</v>
      </c>
      <c r="M11" s="1">
        <v>45942</v>
      </c>
      <c r="N11" s="1">
        <v>45973</v>
      </c>
      <c r="O11" s="2">
        <v>21.08</v>
      </c>
      <c r="P11" t="s">
        <v>58</v>
      </c>
      <c r="Q11" t="s">
        <v>238</v>
      </c>
      <c r="R11" s="3">
        <v>0.42</v>
      </c>
      <c r="S11" t="s">
        <v>60</v>
      </c>
      <c r="T11" t="s">
        <v>408</v>
      </c>
      <c r="U11" s="2">
        <v>8.85</v>
      </c>
      <c r="V11" t="s">
        <v>122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>
        <v>2031780522</v>
      </c>
      <c r="B12" t="s">
        <v>466</v>
      </c>
      <c r="C12" t="s">
        <v>354</v>
      </c>
      <c r="D12" t="str">
        <f t="shared" si="0"/>
        <v>JAMES HIGGINS</v>
      </c>
      <c r="E12" t="s">
        <v>118</v>
      </c>
      <c r="F12" t="s">
        <v>262</v>
      </c>
      <c r="G12" t="s">
        <v>384</v>
      </c>
      <c r="H12">
        <v>18781057</v>
      </c>
      <c r="I12" t="s">
        <v>349</v>
      </c>
      <c r="J12" t="s">
        <v>312</v>
      </c>
      <c r="K12" t="str">
        <f>CONCATENATE(J12,   " ",I12)</f>
        <v>JOHN ROKEN</v>
      </c>
      <c r="L12" t="s">
        <v>57</v>
      </c>
      <c r="M12" s="1">
        <v>45954</v>
      </c>
      <c r="N12" s="1">
        <v>45985</v>
      </c>
      <c r="O12" s="2">
        <v>142.16</v>
      </c>
      <c r="P12" t="s">
        <v>58</v>
      </c>
      <c r="Q12" t="s">
        <v>476</v>
      </c>
      <c r="R12" s="3">
        <v>0.27</v>
      </c>
      <c r="S12" t="s">
        <v>60</v>
      </c>
      <c r="T12" t="s">
        <v>408</v>
      </c>
      <c r="U12" s="2">
        <v>38.380000000000003</v>
      </c>
      <c r="V12" t="s">
        <v>1107</v>
      </c>
    </row>
    <row r="13" spans="1:50" x14ac:dyDescent="0.25">
      <c r="A13">
        <v>2031743427</v>
      </c>
      <c r="B13" t="s">
        <v>441</v>
      </c>
      <c r="C13" t="s">
        <v>442</v>
      </c>
      <c r="D13" t="str">
        <f t="shared" si="0"/>
        <v>JORDYN RAMSAY</v>
      </c>
      <c r="E13" t="s">
        <v>195</v>
      </c>
      <c r="F13" t="s">
        <v>355</v>
      </c>
      <c r="G13" t="s">
        <v>356</v>
      </c>
      <c r="H13">
        <v>17425766</v>
      </c>
      <c r="I13" t="s">
        <v>357</v>
      </c>
      <c r="J13" t="s">
        <v>358</v>
      </c>
      <c r="K13" t="str">
        <f>CONCATENATE(J13,   " ",I13)</f>
        <v>CAROL FOLEY</v>
      </c>
      <c r="L13" t="s">
        <v>57</v>
      </c>
      <c r="M13" s="1">
        <v>45962</v>
      </c>
      <c r="N13" s="1">
        <v>45992</v>
      </c>
      <c r="O13" s="2">
        <v>21.97</v>
      </c>
      <c r="P13" t="s">
        <v>58</v>
      </c>
      <c r="Q13" t="s">
        <v>238</v>
      </c>
      <c r="R13" s="3">
        <v>0.38</v>
      </c>
      <c r="S13" t="s">
        <v>60</v>
      </c>
      <c r="T13" t="s">
        <v>408</v>
      </c>
      <c r="U13" s="2">
        <v>8.35</v>
      </c>
      <c r="V13" t="s">
        <v>356</v>
      </c>
    </row>
    <row r="14" spans="1:50" s="5" customFormat="1" x14ac:dyDescent="0.25">
      <c r="A14">
        <v>2031775265</v>
      </c>
      <c r="B14" t="s">
        <v>409</v>
      </c>
      <c r="C14" t="s">
        <v>410</v>
      </c>
      <c r="D14" t="str">
        <f t="shared" si="0"/>
        <v>SHELBY LAFERNEY</v>
      </c>
      <c r="E14" t="s">
        <v>195</v>
      </c>
      <c r="F14" t="s">
        <v>355</v>
      </c>
      <c r="G14" t="s">
        <v>356</v>
      </c>
      <c r="H14">
        <v>15950276</v>
      </c>
      <c r="I14" t="s">
        <v>196</v>
      </c>
      <c r="J14" t="s">
        <v>197</v>
      </c>
      <c r="K14" t="str">
        <f>CONCATENATE(J14,   " ",I14)</f>
        <v>Ryan Stocker</v>
      </c>
      <c r="L14" t="s">
        <v>57</v>
      </c>
      <c r="M14" s="1">
        <v>45962</v>
      </c>
      <c r="N14" s="1">
        <v>45992</v>
      </c>
      <c r="O14" s="2">
        <v>69.290000000000006</v>
      </c>
      <c r="P14" t="s">
        <v>58</v>
      </c>
      <c r="Q14" t="s">
        <v>238</v>
      </c>
      <c r="R14" s="3">
        <v>0.38</v>
      </c>
      <c r="S14" t="s">
        <v>60</v>
      </c>
      <c r="T14" t="s">
        <v>408</v>
      </c>
      <c r="U14" s="2">
        <v>26.33</v>
      </c>
      <c r="V14" t="s">
        <v>356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5" customFormat="1" x14ac:dyDescent="0.25">
      <c r="A15">
        <v>2031767154</v>
      </c>
      <c r="B15" t="s">
        <v>461</v>
      </c>
      <c r="C15" t="s">
        <v>462</v>
      </c>
      <c r="D15" t="str">
        <f t="shared" si="0"/>
        <v>AUGUSTO APARICIO</v>
      </c>
      <c r="E15" t="s">
        <v>52</v>
      </c>
      <c r="F15" t="s">
        <v>53</v>
      </c>
      <c r="G15" t="s">
        <v>54</v>
      </c>
      <c r="H15">
        <v>9213293</v>
      </c>
      <c r="I15" t="s">
        <v>82</v>
      </c>
      <c r="J15" t="s">
        <v>83</v>
      </c>
      <c r="K15" t="str">
        <f>CONCATENATE(J15,   " ",I15)</f>
        <v>GARY PORTUGAL</v>
      </c>
      <c r="L15" t="s">
        <v>57</v>
      </c>
      <c r="M15" s="1">
        <v>45953</v>
      </c>
      <c r="N15" s="1">
        <v>45984</v>
      </c>
      <c r="O15" s="2">
        <v>59.57</v>
      </c>
      <c r="P15" t="s">
        <v>58</v>
      </c>
      <c r="Q15" t="s">
        <v>238</v>
      </c>
      <c r="R15" s="3">
        <v>0.7</v>
      </c>
      <c r="S15" t="s">
        <v>60</v>
      </c>
      <c r="T15" t="s">
        <v>408</v>
      </c>
      <c r="U15" s="2">
        <v>41.7</v>
      </c>
      <c r="V15" t="s">
        <v>54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s="5" customFormat="1" x14ac:dyDescent="0.25">
      <c r="A16">
        <v>2031773320</v>
      </c>
      <c r="B16" t="s">
        <v>463</v>
      </c>
      <c r="C16" t="s">
        <v>464</v>
      </c>
      <c r="D16" t="str">
        <f t="shared" si="0"/>
        <v>PHENU ZACHARIAH</v>
      </c>
      <c r="E16" t="s">
        <v>165</v>
      </c>
      <c r="F16" t="s">
        <v>53</v>
      </c>
      <c r="G16" t="s">
        <v>54</v>
      </c>
      <c r="H16">
        <v>9213293</v>
      </c>
      <c r="I16" t="s">
        <v>82</v>
      </c>
      <c r="J16" t="s">
        <v>83</v>
      </c>
      <c r="K16" t="str">
        <f>CONCATENATE(J16,   " ",I16)</f>
        <v>GARY PORTUGAL</v>
      </c>
      <c r="L16" t="s">
        <v>57</v>
      </c>
      <c r="M16" s="1">
        <v>45954</v>
      </c>
      <c r="N16" s="1">
        <v>45985</v>
      </c>
      <c r="O16" s="2">
        <v>132.82</v>
      </c>
      <c r="P16" t="s">
        <v>58</v>
      </c>
      <c r="Q16" t="s">
        <v>238</v>
      </c>
      <c r="R16" s="3">
        <v>0.7</v>
      </c>
      <c r="S16" t="s">
        <v>60</v>
      </c>
      <c r="T16" t="s">
        <v>408</v>
      </c>
      <c r="U16" s="2">
        <v>92.97</v>
      </c>
      <c r="V16" t="s">
        <v>54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s="5" customFormat="1" x14ac:dyDescent="0.25">
      <c r="A17">
        <v>2031719648</v>
      </c>
      <c r="B17" t="s">
        <v>113</v>
      </c>
      <c r="C17" t="s">
        <v>115</v>
      </c>
      <c r="D17" t="str">
        <f t="shared" si="0"/>
        <v>JACOB ARNOLD</v>
      </c>
      <c r="E17" t="s">
        <v>52</v>
      </c>
      <c r="F17" t="s">
        <v>53</v>
      </c>
      <c r="G17" t="s">
        <v>54</v>
      </c>
      <c r="H17">
        <v>18754354</v>
      </c>
      <c r="I17" t="s">
        <v>114</v>
      </c>
      <c r="J17" t="s">
        <v>115</v>
      </c>
      <c r="K17" t="str">
        <f>CONCATENATE(J17,   " ",I17)</f>
        <v>JACOB YALE</v>
      </c>
      <c r="L17" t="s">
        <v>57</v>
      </c>
      <c r="M17" s="1">
        <v>45951</v>
      </c>
      <c r="N17" s="1">
        <v>45982</v>
      </c>
      <c r="O17" s="2">
        <v>11.74</v>
      </c>
      <c r="P17" t="s">
        <v>58</v>
      </c>
      <c r="Q17" t="s">
        <v>238</v>
      </c>
      <c r="R17" s="3">
        <v>0.7</v>
      </c>
      <c r="S17" t="s">
        <v>60</v>
      </c>
      <c r="T17" t="s">
        <v>408</v>
      </c>
      <c r="U17" s="2">
        <v>8.2200000000000006</v>
      </c>
      <c r="V17" t="s">
        <v>54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s="5" customFormat="1" x14ac:dyDescent="0.25">
      <c r="A18">
        <v>2031738860</v>
      </c>
      <c r="B18" t="s">
        <v>416</v>
      </c>
      <c r="C18" t="s">
        <v>417</v>
      </c>
      <c r="D18" t="str">
        <f t="shared" si="0"/>
        <v>JESSICA PETERS</v>
      </c>
      <c r="E18" t="s">
        <v>52</v>
      </c>
      <c r="F18" t="s">
        <v>53</v>
      </c>
      <c r="G18" t="s">
        <v>54</v>
      </c>
      <c r="H18">
        <v>8977234</v>
      </c>
      <c r="I18" t="s">
        <v>55</v>
      </c>
      <c r="J18" t="s">
        <v>56</v>
      </c>
      <c r="K18" t="str">
        <f>CONCATENATE(J18,   " ",I18)</f>
        <v>RYAN CALTAGIRONE</v>
      </c>
      <c r="L18" t="s">
        <v>57</v>
      </c>
      <c r="M18" s="1">
        <v>45952</v>
      </c>
      <c r="N18" s="1">
        <v>45983</v>
      </c>
      <c r="O18" s="2">
        <v>31.23</v>
      </c>
      <c r="P18" t="s">
        <v>58</v>
      </c>
      <c r="Q18" t="s">
        <v>238</v>
      </c>
      <c r="R18" s="3">
        <v>0.7</v>
      </c>
      <c r="S18" t="s">
        <v>60</v>
      </c>
      <c r="T18" t="s">
        <v>408</v>
      </c>
      <c r="U18" s="2">
        <v>21.86</v>
      </c>
      <c r="V18" t="s">
        <v>54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s="5" customFormat="1" x14ac:dyDescent="0.25">
      <c r="A19" s="10">
        <v>2031721211</v>
      </c>
      <c r="B19" s="10" t="s">
        <v>437</v>
      </c>
      <c r="C19" s="10" t="s">
        <v>438</v>
      </c>
      <c r="D19" t="str">
        <f t="shared" si="0"/>
        <v>KANDICE ISBELL</v>
      </c>
      <c r="E19" s="10" t="s">
        <v>439</v>
      </c>
      <c r="F19" s="10" t="s">
        <v>53</v>
      </c>
      <c r="G19" s="10" t="s">
        <v>54</v>
      </c>
      <c r="H19" s="10">
        <v>20411454</v>
      </c>
      <c r="I19" s="10" t="s">
        <v>440</v>
      </c>
      <c r="J19" s="10" t="s">
        <v>407</v>
      </c>
      <c r="K19" s="10" t="s">
        <v>1088</v>
      </c>
      <c r="L19" s="10" t="s">
        <v>57</v>
      </c>
      <c r="M19" s="11">
        <v>45951</v>
      </c>
      <c r="N19" s="11">
        <v>45982</v>
      </c>
      <c r="O19" s="12">
        <v>3.45</v>
      </c>
      <c r="P19" s="10" t="s">
        <v>58</v>
      </c>
      <c r="Q19" s="10" t="s">
        <v>238</v>
      </c>
      <c r="R19" s="13">
        <v>0.3</v>
      </c>
      <c r="S19" s="10" t="s">
        <v>60</v>
      </c>
      <c r="T19" s="10" t="s">
        <v>408</v>
      </c>
      <c r="U19" s="12">
        <v>3.45</v>
      </c>
      <c r="V19" s="10" t="s">
        <v>1087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>
        <v>2031780523</v>
      </c>
      <c r="B20" t="s">
        <v>466</v>
      </c>
      <c r="C20" t="s">
        <v>354</v>
      </c>
      <c r="D20" t="str">
        <f t="shared" si="0"/>
        <v>JAMES HIGGINS</v>
      </c>
      <c r="E20" t="s">
        <v>118</v>
      </c>
      <c r="F20" t="s">
        <v>262</v>
      </c>
      <c r="G20" t="s">
        <v>477</v>
      </c>
      <c r="H20">
        <v>18781057</v>
      </c>
      <c r="I20" t="s">
        <v>349</v>
      </c>
      <c r="J20" t="s">
        <v>312</v>
      </c>
      <c r="K20" t="str">
        <f>CONCATENATE(J20,   " ",I20)</f>
        <v>JOHN ROKEN</v>
      </c>
      <c r="L20" t="s">
        <v>57</v>
      </c>
      <c r="M20" s="1">
        <v>45954</v>
      </c>
      <c r="N20" s="1">
        <v>45985</v>
      </c>
      <c r="O20" s="2">
        <v>9.9499999999999993</v>
      </c>
      <c r="P20" t="s">
        <v>58</v>
      </c>
      <c r="Q20" t="s">
        <v>476</v>
      </c>
      <c r="R20" s="3">
        <v>0.27</v>
      </c>
      <c r="S20" t="s">
        <v>60</v>
      </c>
      <c r="T20" t="s">
        <v>408</v>
      </c>
      <c r="U20" s="2">
        <v>2.69</v>
      </c>
      <c r="V20" t="s">
        <v>1107</v>
      </c>
    </row>
    <row r="21" spans="1:50" x14ac:dyDescent="0.25">
      <c r="A21">
        <v>2031743428</v>
      </c>
      <c r="B21" t="s">
        <v>441</v>
      </c>
      <c r="C21" t="s">
        <v>442</v>
      </c>
      <c r="D21" t="str">
        <f t="shared" si="0"/>
        <v>JORDYN RAMSAY</v>
      </c>
      <c r="E21" t="s">
        <v>195</v>
      </c>
      <c r="F21" t="s">
        <v>378</v>
      </c>
      <c r="G21" t="s">
        <v>379</v>
      </c>
      <c r="H21">
        <v>17425766</v>
      </c>
      <c r="I21" t="s">
        <v>357</v>
      </c>
      <c r="J21" t="s">
        <v>358</v>
      </c>
      <c r="K21" t="str">
        <f>CONCATENATE(J21,   " ",I21)</f>
        <v>CAROL FOLEY</v>
      </c>
      <c r="L21" t="s">
        <v>57</v>
      </c>
      <c r="M21" s="1">
        <v>45962</v>
      </c>
      <c r="N21" s="1">
        <v>45992</v>
      </c>
      <c r="O21" s="2">
        <v>32.979999999999997</v>
      </c>
      <c r="P21" t="s">
        <v>58</v>
      </c>
      <c r="Q21" t="s">
        <v>238</v>
      </c>
      <c r="R21" s="4">
        <v>0.375</v>
      </c>
      <c r="S21" t="s">
        <v>60</v>
      </c>
      <c r="T21" t="s">
        <v>408</v>
      </c>
      <c r="U21" s="2">
        <v>12.37</v>
      </c>
      <c r="V21" t="s">
        <v>379</v>
      </c>
    </row>
    <row r="22" spans="1:50" s="5" customFormat="1" x14ac:dyDescent="0.25">
      <c r="A22">
        <v>2031719649</v>
      </c>
      <c r="B22" t="s">
        <v>113</v>
      </c>
      <c r="C22" t="s">
        <v>115</v>
      </c>
      <c r="D22" t="str">
        <f t="shared" si="0"/>
        <v>JACOB ARNOLD</v>
      </c>
      <c r="E22" t="s">
        <v>52</v>
      </c>
      <c r="F22" t="s">
        <v>378</v>
      </c>
      <c r="G22" t="s">
        <v>379</v>
      </c>
      <c r="H22">
        <v>18754354</v>
      </c>
      <c r="I22" t="s">
        <v>114</v>
      </c>
      <c r="J22" t="s">
        <v>115</v>
      </c>
      <c r="K22" t="str">
        <f>CONCATENATE(J22,   " ",I22)</f>
        <v>JACOB YALE</v>
      </c>
      <c r="L22" t="s">
        <v>57</v>
      </c>
      <c r="M22" s="1">
        <v>45951</v>
      </c>
      <c r="N22" s="1">
        <v>45982</v>
      </c>
      <c r="O22" s="2">
        <v>27.97</v>
      </c>
      <c r="P22" t="s">
        <v>58</v>
      </c>
      <c r="Q22" t="s">
        <v>238</v>
      </c>
      <c r="R22" s="4">
        <v>0.375</v>
      </c>
      <c r="S22" t="s">
        <v>60</v>
      </c>
      <c r="T22" t="s">
        <v>408</v>
      </c>
      <c r="U22" s="2">
        <v>10.49</v>
      </c>
      <c r="V22" t="s">
        <v>379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s="5" customFormat="1" x14ac:dyDescent="0.25">
      <c r="A23">
        <v>2031738861</v>
      </c>
      <c r="B23" t="s">
        <v>416</v>
      </c>
      <c r="C23" t="s">
        <v>417</v>
      </c>
      <c r="D23" t="str">
        <f t="shared" si="0"/>
        <v>JESSICA PETERS</v>
      </c>
      <c r="E23" t="s">
        <v>52</v>
      </c>
      <c r="F23" t="s">
        <v>378</v>
      </c>
      <c r="G23" t="s">
        <v>379</v>
      </c>
      <c r="H23">
        <v>8977234</v>
      </c>
      <c r="I23" t="s">
        <v>55</v>
      </c>
      <c r="J23" t="s">
        <v>56</v>
      </c>
      <c r="K23" t="str">
        <f>CONCATENATE(J23,   " ",I23)</f>
        <v>RYAN CALTAGIRONE</v>
      </c>
      <c r="L23" t="s">
        <v>57</v>
      </c>
      <c r="M23" s="1">
        <v>45952</v>
      </c>
      <c r="N23" s="1">
        <v>45983</v>
      </c>
      <c r="O23" s="2">
        <v>24.54</v>
      </c>
      <c r="P23" t="s">
        <v>58</v>
      </c>
      <c r="Q23" t="s">
        <v>238</v>
      </c>
      <c r="R23" s="4">
        <v>0.375</v>
      </c>
      <c r="S23" t="s">
        <v>60</v>
      </c>
      <c r="T23" t="s">
        <v>408</v>
      </c>
      <c r="U23" s="2">
        <v>9.1999999999999993</v>
      </c>
      <c r="V23" t="s">
        <v>379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s="5" customFormat="1" x14ac:dyDescent="0.25">
      <c r="A24">
        <v>2031775266</v>
      </c>
      <c r="B24" t="s">
        <v>409</v>
      </c>
      <c r="C24" t="s">
        <v>410</v>
      </c>
      <c r="D24" t="str">
        <f t="shared" si="0"/>
        <v>SHELBY LAFERNEY</v>
      </c>
      <c r="E24" t="s">
        <v>195</v>
      </c>
      <c r="F24" t="s">
        <v>378</v>
      </c>
      <c r="G24" t="s">
        <v>379</v>
      </c>
      <c r="H24">
        <v>15950276</v>
      </c>
      <c r="I24" t="s">
        <v>196</v>
      </c>
      <c r="J24" t="s">
        <v>197</v>
      </c>
      <c r="K24" t="str">
        <f>CONCATENATE(J24,   " ",I24)</f>
        <v>Ryan Stocker</v>
      </c>
      <c r="L24" t="s">
        <v>57</v>
      </c>
      <c r="M24" s="1">
        <v>45962</v>
      </c>
      <c r="N24" s="1">
        <v>45992</v>
      </c>
      <c r="O24" s="2">
        <v>136.69</v>
      </c>
      <c r="P24" t="s">
        <v>58</v>
      </c>
      <c r="Q24" t="s">
        <v>238</v>
      </c>
      <c r="R24" s="4">
        <v>0.375</v>
      </c>
      <c r="S24" t="s">
        <v>60</v>
      </c>
      <c r="T24" t="s">
        <v>408</v>
      </c>
      <c r="U24" s="2">
        <v>51.26</v>
      </c>
      <c r="V24" t="s">
        <v>379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10">
        <v>2031721212</v>
      </c>
      <c r="B25" s="10" t="s">
        <v>437</v>
      </c>
      <c r="C25" s="10" t="s">
        <v>438</v>
      </c>
      <c r="D25" t="str">
        <f t="shared" si="0"/>
        <v>KANDICE ISBELL</v>
      </c>
      <c r="E25" s="10" t="s">
        <v>439</v>
      </c>
      <c r="F25" s="10" t="s">
        <v>378</v>
      </c>
      <c r="G25" s="10" t="s">
        <v>379</v>
      </c>
      <c r="H25" s="10">
        <v>20411454</v>
      </c>
      <c r="I25" s="10" t="s">
        <v>440</v>
      </c>
      <c r="J25" s="10" t="s">
        <v>407</v>
      </c>
      <c r="K25" s="10" t="s">
        <v>1088</v>
      </c>
      <c r="L25" s="10" t="s">
        <v>57</v>
      </c>
      <c r="M25" s="11">
        <v>45951</v>
      </c>
      <c r="N25" s="11">
        <v>45982</v>
      </c>
      <c r="O25" s="12">
        <v>11.71</v>
      </c>
      <c r="P25" s="10" t="s">
        <v>58</v>
      </c>
      <c r="Q25" s="10" t="s">
        <v>238</v>
      </c>
      <c r="R25" s="14">
        <v>9.5000000000000001E-2</v>
      </c>
      <c r="S25" s="10" t="s">
        <v>60</v>
      </c>
      <c r="T25" s="10" t="s">
        <v>408</v>
      </c>
      <c r="U25" s="12">
        <v>11.71</v>
      </c>
      <c r="V25" s="10" t="s">
        <v>1087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>
        <v>2031740078</v>
      </c>
      <c r="B26" t="s">
        <v>231</v>
      </c>
      <c r="C26" t="s">
        <v>98</v>
      </c>
      <c r="D26" t="str">
        <f t="shared" si="0"/>
        <v>MICHAEL JONES</v>
      </c>
      <c r="E26" t="s">
        <v>118</v>
      </c>
      <c r="F26" t="s">
        <v>53</v>
      </c>
      <c r="G26" t="s">
        <v>132</v>
      </c>
      <c r="H26">
        <v>5442438</v>
      </c>
      <c r="I26" t="s">
        <v>120</v>
      </c>
      <c r="J26" t="s">
        <v>121</v>
      </c>
      <c r="K26" t="str">
        <f>CONCATENATE(J26,   " ",I26)</f>
        <v>Ronald Max</v>
      </c>
      <c r="L26" t="s">
        <v>57</v>
      </c>
      <c r="M26" s="1">
        <v>45962</v>
      </c>
      <c r="N26" s="1">
        <v>45992</v>
      </c>
      <c r="O26" s="2">
        <v>93.44</v>
      </c>
      <c r="P26" t="s">
        <v>58</v>
      </c>
      <c r="Q26" t="s">
        <v>238</v>
      </c>
      <c r="R26" s="3">
        <v>0.9</v>
      </c>
      <c r="S26" t="s">
        <v>60</v>
      </c>
      <c r="T26" t="s">
        <v>408</v>
      </c>
      <c r="U26" s="2">
        <v>84.1</v>
      </c>
      <c r="V26" t="s">
        <v>132</v>
      </c>
    </row>
    <row r="27" spans="1:50" s="5" customFormat="1" x14ac:dyDescent="0.25">
      <c r="A27">
        <v>2031775267</v>
      </c>
      <c r="B27" t="s">
        <v>409</v>
      </c>
      <c r="C27" t="s">
        <v>410</v>
      </c>
      <c r="D27" t="str">
        <f t="shared" si="0"/>
        <v>SHELBY LAFERNEY</v>
      </c>
      <c r="E27" t="s">
        <v>195</v>
      </c>
      <c r="F27" t="s">
        <v>395</v>
      </c>
      <c r="G27" t="s">
        <v>411</v>
      </c>
      <c r="H27">
        <v>15950276</v>
      </c>
      <c r="I27" t="s">
        <v>196</v>
      </c>
      <c r="J27" t="s">
        <v>197</v>
      </c>
      <c r="K27" t="str">
        <f>CONCATENATE(J27,   " ",I27)</f>
        <v>Ryan Stocker</v>
      </c>
      <c r="L27" t="s">
        <v>57</v>
      </c>
      <c r="M27" s="1">
        <v>45962</v>
      </c>
      <c r="N27" s="1">
        <v>45992</v>
      </c>
      <c r="O27" s="2">
        <v>88.27</v>
      </c>
      <c r="P27" t="s">
        <v>58</v>
      </c>
      <c r="Q27" t="s">
        <v>238</v>
      </c>
      <c r="R27" s="3">
        <v>0.6</v>
      </c>
      <c r="S27" t="s">
        <v>60</v>
      </c>
      <c r="T27" t="s">
        <v>408</v>
      </c>
      <c r="U27" s="2">
        <v>52.96</v>
      </c>
      <c r="V27" t="s">
        <v>411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s="31" customFormat="1" x14ac:dyDescent="0.25">
      <c r="M28" s="32"/>
      <c r="N28" s="32"/>
      <c r="O28" s="33"/>
      <c r="R28" s="34"/>
      <c r="U28" s="33"/>
    </row>
    <row r="29" spans="1:50" x14ac:dyDescent="0.25">
      <c r="A29" s="5">
        <v>2031684820</v>
      </c>
      <c r="B29" s="5" t="s">
        <v>414</v>
      </c>
      <c r="C29" s="5" t="s">
        <v>415</v>
      </c>
      <c r="D29" s="5"/>
      <c r="E29" s="5" t="s">
        <v>69</v>
      </c>
      <c r="F29" s="5" t="s">
        <v>369</v>
      </c>
      <c r="G29" s="5" t="s">
        <v>375</v>
      </c>
      <c r="H29" s="5"/>
      <c r="I29" s="5" t="s">
        <v>74</v>
      </c>
      <c r="J29" s="5" t="s">
        <v>75</v>
      </c>
      <c r="K29" s="5" t="str">
        <f>CONCATENATE(J29,   " ",I29)</f>
        <v>Andrew Choi</v>
      </c>
      <c r="L29" s="5" t="s">
        <v>57</v>
      </c>
      <c r="M29" s="6">
        <v>45962</v>
      </c>
      <c r="N29" s="6">
        <v>45992</v>
      </c>
      <c r="O29" s="7">
        <v>168.5</v>
      </c>
      <c r="P29" s="5" t="s">
        <v>58</v>
      </c>
      <c r="Q29" s="5" t="s">
        <v>238</v>
      </c>
      <c r="R29" s="8">
        <v>0.9</v>
      </c>
      <c r="S29" s="5" t="s">
        <v>60</v>
      </c>
      <c r="T29" s="5" t="s">
        <v>408</v>
      </c>
      <c r="U29" s="7">
        <v>151.65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>
        <v>2031475878</v>
      </c>
      <c r="B30" s="5" t="s">
        <v>428</v>
      </c>
      <c r="C30" s="5" t="s">
        <v>429</v>
      </c>
      <c r="D30" s="5"/>
      <c r="E30" s="5" t="s">
        <v>69</v>
      </c>
      <c r="F30" s="5" t="s">
        <v>361</v>
      </c>
      <c r="G30" s="5" t="s">
        <v>430</v>
      </c>
      <c r="H30" s="5"/>
      <c r="I30" s="5" t="s">
        <v>74</v>
      </c>
      <c r="J30" s="5" t="s">
        <v>75</v>
      </c>
      <c r="K30" s="5" t="str">
        <f>CONCATENATE(J30,   " ",I30)</f>
        <v>Andrew Choi</v>
      </c>
      <c r="L30" s="5" t="s">
        <v>57</v>
      </c>
      <c r="M30" s="6">
        <v>45962</v>
      </c>
      <c r="N30" s="6">
        <v>45992</v>
      </c>
      <c r="O30" s="7">
        <v>15</v>
      </c>
      <c r="P30" s="5" t="s">
        <v>58</v>
      </c>
      <c r="Q30" s="5" t="s">
        <v>431</v>
      </c>
      <c r="R30" s="8">
        <v>0.38</v>
      </c>
      <c r="S30" s="5" t="s">
        <v>60</v>
      </c>
      <c r="T30" s="5" t="s">
        <v>408</v>
      </c>
      <c r="U30" s="7">
        <v>5.7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>
        <v>2031684819</v>
      </c>
      <c r="B31" s="5" t="s">
        <v>414</v>
      </c>
      <c r="C31" s="5" t="s">
        <v>415</v>
      </c>
      <c r="D31" s="5"/>
      <c r="E31" s="5" t="s">
        <v>69</v>
      </c>
      <c r="F31" s="5" t="s">
        <v>378</v>
      </c>
      <c r="G31" s="5" t="s">
        <v>379</v>
      </c>
      <c r="H31" s="5"/>
      <c r="I31" s="5" t="s">
        <v>74</v>
      </c>
      <c r="J31" s="5" t="s">
        <v>75</v>
      </c>
      <c r="K31" s="5" t="str">
        <f>CONCATENATE(J31,   " ",I31)</f>
        <v>Andrew Choi</v>
      </c>
      <c r="L31" s="5" t="s">
        <v>57</v>
      </c>
      <c r="M31" s="6">
        <v>45962</v>
      </c>
      <c r="N31" s="6">
        <v>45992</v>
      </c>
      <c r="O31" s="7">
        <v>149.87</v>
      </c>
      <c r="P31" s="5" t="s">
        <v>58</v>
      </c>
      <c r="Q31" s="5" t="s">
        <v>238</v>
      </c>
      <c r="R31" s="9">
        <v>0.375</v>
      </c>
      <c r="S31" s="5" t="s">
        <v>60</v>
      </c>
      <c r="T31" s="5" t="s">
        <v>408</v>
      </c>
      <c r="U31" s="7">
        <v>56.2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s="5" customFormat="1" x14ac:dyDescent="0.25">
      <c r="A32" s="5">
        <v>2031475875</v>
      </c>
      <c r="B32" s="5" t="s">
        <v>428</v>
      </c>
      <c r="C32" s="5" t="s">
        <v>429</v>
      </c>
      <c r="E32" s="5" t="s">
        <v>69</v>
      </c>
      <c r="F32" s="5" t="s">
        <v>355</v>
      </c>
      <c r="G32" s="5" t="s">
        <v>443</v>
      </c>
      <c r="I32" s="5" t="s">
        <v>74</v>
      </c>
      <c r="J32" s="5" t="s">
        <v>75</v>
      </c>
      <c r="K32" s="5" t="str">
        <f>CONCATENATE(J32,   " ",I32)</f>
        <v>Andrew Choi</v>
      </c>
      <c r="L32" s="5" t="s">
        <v>57</v>
      </c>
      <c r="M32" s="6">
        <v>45962</v>
      </c>
      <c r="N32" s="6">
        <v>45992</v>
      </c>
      <c r="O32" s="7">
        <v>226.98</v>
      </c>
      <c r="P32" s="5" t="s">
        <v>58</v>
      </c>
      <c r="Q32" s="5" t="s">
        <v>238</v>
      </c>
      <c r="R32" s="8">
        <v>0.38</v>
      </c>
      <c r="S32" s="5" t="s">
        <v>60</v>
      </c>
      <c r="T32" s="5" t="s">
        <v>408</v>
      </c>
      <c r="U32" s="7">
        <v>86.25</v>
      </c>
    </row>
    <row r="33" spans="1:50" s="5" customFormat="1" x14ac:dyDescent="0.25">
      <c r="A33" s="5">
        <v>2031475876</v>
      </c>
      <c r="B33" s="5" t="s">
        <v>428</v>
      </c>
      <c r="C33" s="5" t="s">
        <v>429</v>
      </c>
      <c r="E33" s="5" t="s">
        <v>69</v>
      </c>
      <c r="F33" s="5" t="s">
        <v>355</v>
      </c>
      <c r="G33" s="5" t="s">
        <v>444</v>
      </c>
      <c r="I33" s="5" t="s">
        <v>74</v>
      </c>
      <c r="J33" s="5" t="s">
        <v>75</v>
      </c>
      <c r="K33" s="5" t="str">
        <f>CONCATENATE(J33,   " ",I33)</f>
        <v>Andrew Choi</v>
      </c>
      <c r="L33" s="5" t="s">
        <v>57</v>
      </c>
      <c r="M33" s="6">
        <v>45962</v>
      </c>
      <c r="N33" s="6">
        <v>45992</v>
      </c>
      <c r="O33" s="7">
        <v>7.09</v>
      </c>
      <c r="P33" s="5" t="s">
        <v>58</v>
      </c>
      <c r="Q33" s="5" t="s">
        <v>238</v>
      </c>
      <c r="R33" s="8">
        <v>0.38</v>
      </c>
      <c r="S33" s="5" t="s">
        <v>60</v>
      </c>
      <c r="T33" s="5" t="s">
        <v>408</v>
      </c>
      <c r="U33" s="7">
        <v>2.69</v>
      </c>
    </row>
    <row r="34" spans="1:50" s="5" customFormat="1" x14ac:dyDescent="0.25">
      <c r="A34" s="5">
        <v>2031475877</v>
      </c>
      <c r="B34" s="5" t="s">
        <v>428</v>
      </c>
      <c r="C34" s="5" t="s">
        <v>429</v>
      </c>
      <c r="E34" s="5" t="s">
        <v>69</v>
      </c>
      <c r="F34" s="5" t="s">
        <v>53</v>
      </c>
      <c r="G34" s="5" t="s">
        <v>54</v>
      </c>
      <c r="I34" s="5" t="s">
        <v>74</v>
      </c>
      <c r="J34" s="5" t="s">
        <v>75</v>
      </c>
      <c r="K34" s="5" t="str">
        <f>CONCATENATE(J34,   " ",I34)</f>
        <v>Andrew Choi</v>
      </c>
      <c r="L34" s="5" t="s">
        <v>57</v>
      </c>
      <c r="M34" s="6">
        <v>45962</v>
      </c>
      <c r="N34" s="6">
        <v>45992</v>
      </c>
      <c r="O34" s="7">
        <v>34.68</v>
      </c>
      <c r="P34" s="5" t="s">
        <v>58</v>
      </c>
      <c r="Q34" s="5" t="s">
        <v>238</v>
      </c>
      <c r="R34" s="8">
        <v>0.7</v>
      </c>
      <c r="S34" s="5" t="s">
        <v>60</v>
      </c>
      <c r="T34" s="5" t="s">
        <v>408</v>
      </c>
      <c r="U34" s="7">
        <v>24.28</v>
      </c>
    </row>
    <row r="35" spans="1:50" s="10" customFormat="1" x14ac:dyDescent="0.25">
      <c r="A35" s="5">
        <v>2031684818</v>
      </c>
      <c r="B35" s="5" t="s">
        <v>414</v>
      </c>
      <c r="C35" s="5" t="s">
        <v>415</v>
      </c>
      <c r="D35" s="5"/>
      <c r="E35" s="5" t="s">
        <v>69</v>
      </c>
      <c r="F35" s="5" t="s">
        <v>53</v>
      </c>
      <c r="G35" s="5" t="s">
        <v>54</v>
      </c>
      <c r="H35" s="5"/>
      <c r="I35" s="5" t="s">
        <v>74</v>
      </c>
      <c r="J35" s="5" t="s">
        <v>75</v>
      </c>
      <c r="K35" s="5" t="str">
        <f>CONCATENATE(J35,   " ",I35)</f>
        <v>Andrew Choi</v>
      </c>
      <c r="L35" s="5" t="s">
        <v>57</v>
      </c>
      <c r="M35" s="6">
        <v>45962</v>
      </c>
      <c r="N35" s="6">
        <v>45992</v>
      </c>
      <c r="O35" s="7">
        <v>56.62</v>
      </c>
      <c r="P35" s="5" t="s">
        <v>58</v>
      </c>
      <c r="Q35" s="5" t="s">
        <v>238</v>
      </c>
      <c r="R35" s="8">
        <v>0.7</v>
      </c>
      <c r="S35" s="5" t="s">
        <v>60</v>
      </c>
      <c r="T35" s="5" t="s">
        <v>408</v>
      </c>
      <c r="U35" s="7">
        <v>39.630000000000003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s="10" customFormat="1" x14ac:dyDescent="0.25">
      <c r="A36" s="5">
        <v>2031765088</v>
      </c>
      <c r="B36" s="5" t="s">
        <v>456</v>
      </c>
      <c r="C36" s="5" t="s">
        <v>457</v>
      </c>
      <c r="D36" s="5"/>
      <c r="E36" s="5" t="s">
        <v>118</v>
      </c>
      <c r="F36" s="5" t="s">
        <v>53</v>
      </c>
      <c r="G36" s="5" t="s">
        <v>122</v>
      </c>
      <c r="H36" s="5"/>
      <c r="I36" s="5" t="s">
        <v>458</v>
      </c>
      <c r="J36" s="5" t="s">
        <v>459</v>
      </c>
      <c r="K36" s="5" t="str">
        <f>CONCATENATE(J36,   " ",I36)</f>
        <v>Brittany Oliver</v>
      </c>
      <c r="L36" s="5" t="s">
        <v>57</v>
      </c>
      <c r="M36" s="6">
        <v>45953</v>
      </c>
      <c r="N36" s="6">
        <v>45984</v>
      </c>
      <c r="O36" s="7">
        <v>32.700000000000003</v>
      </c>
      <c r="P36" s="5" t="s">
        <v>58</v>
      </c>
      <c r="Q36" s="5" t="s">
        <v>238</v>
      </c>
      <c r="R36" s="8">
        <v>0.42</v>
      </c>
      <c r="S36" s="5" t="s">
        <v>60</v>
      </c>
      <c r="T36" s="5" t="s">
        <v>408</v>
      </c>
      <c r="U36" s="7">
        <v>13.73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s="5" customFormat="1" x14ac:dyDescent="0.25">
      <c r="A37" s="5">
        <v>2031808342</v>
      </c>
      <c r="B37" s="5" t="s">
        <v>471</v>
      </c>
      <c r="C37" s="5" t="s">
        <v>167</v>
      </c>
      <c r="E37" s="5" t="s">
        <v>118</v>
      </c>
      <c r="F37" s="5" t="s">
        <v>53</v>
      </c>
      <c r="G37" s="5" t="s">
        <v>257</v>
      </c>
      <c r="I37" s="5" t="s">
        <v>458</v>
      </c>
      <c r="J37" s="5" t="s">
        <v>459</v>
      </c>
      <c r="K37" s="5" t="str">
        <f>CONCATENATE(J37,   " ",I37)</f>
        <v>Brittany Oliver</v>
      </c>
      <c r="L37" s="5" t="s">
        <v>57</v>
      </c>
      <c r="M37" s="6">
        <v>45962</v>
      </c>
      <c r="N37" s="6">
        <v>45992</v>
      </c>
      <c r="O37" s="7">
        <v>48</v>
      </c>
      <c r="P37" s="5" t="s">
        <v>58</v>
      </c>
      <c r="Q37" s="5" t="s">
        <v>238</v>
      </c>
      <c r="R37" s="8">
        <v>0.7</v>
      </c>
      <c r="S37" s="5" t="s">
        <v>60</v>
      </c>
      <c r="T37" s="5" t="s">
        <v>408</v>
      </c>
      <c r="U37" s="7">
        <v>33.6</v>
      </c>
    </row>
    <row r="38" spans="1:50" s="5" customFormat="1" x14ac:dyDescent="0.25">
      <c r="A38" s="5">
        <v>2031766018</v>
      </c>
      <c r="B38" s="5" t="s">
        <v>460</v>
      </c>
      <c r="C38" s="5" t="s">
        <v>202</v>
      </c>
      <c r="E38" s="5" t="s">
        <v>69</v>
      </c>
      <c r="F38" s="5" t="s">
        <v>53</v>
      </c>
      <c r="G38" s="5" t="s">
        <v>54</v>
      </c>
      <c r="I38" s="5" t="s">
        <v>218</v>
      </c>
      <c r="J38" s="5" t="s">
        <v>219</v>
      </c>
      <c r="K38" s="5" t="str">
        <f>CONCATENATE(J38,   " ",I38)</f>
        <v>CHRISTIAN TAUGNER</v>
      </c>
      <c r="L38" s="5" t="s">
        <v>57</v>
      </c>
      <c r="M38" s="6">
        <v>45953</v>
      </c>
      <c r="N38" s="6">
        <v>45984</v>
      </c>
      <c r="O38" s="7">
        <v>74</v>
      </c>
      <c r="P38" s="5" t="s">
        <v>58</v>
      </c>
      <c r="Q38" s="5" t="s">
        <v>238</v>
      </c>
      <c r="R38" s="8">
        <v>0.7</v>
      </c>
      <c r="S38" s="5" t="s">
        <v>60</v>
      </c>
      <c r="T38" s="5" t="s">
        <v>408</v>
      </c>
      <c r="U38" s="7">
        <v>51.8</v>
      </c>
    </row>
    <row r="39" spans="1:50" s="5" customFormat="1" x14ac:dyDescent="0.25">
      <c r="A39" s="5">
        <v>2031615386</v>
      </c>
      <c r="B39" s="5" t="s">
        <v>445</v>
      </c>
      <c r="C39" s="5" t="s">
        <v>446</v>
      </c>
      <c r="E39" s="5" t="s">
        <v>69</v>
      </c>
      <c r="F39" s="5" t="s">
        <v>53</v>
      </c>
      <c r="G39" s="5" t="s">
        <v>54</v>
      </c>
      <c r="I39" s="5" t="s">
        <v>447</v>
      </c>
      <c r="J39" s="5" t="s">
        <v>448</v>
      </c>
      <c r="K39" s="5" t="str">
        <f>CONCATENATE(J39,   " ",I39)</f>
        <v>Dale Walenga</v>
      </c>
      <c r="L39" s="5" t="s">
        <v>57</v>
      </c>
      <c r="M39" s="6">
        <v>45962</v>
      </c>
      <c r="N39" s="6">
        <v>45992</v>
      </c>
      <c r="O39" s="7">
        <v>11.5</v>
      </c>
      <c r="P39" s="5" t="s">
        <v>58</v>
      </c>
      <c r="Q39" s="5" t="s">
        <v>238</v>
      </c>
      <c r="R39" s="8">
        <v>0.7</v>
      </c>
      <c r="S39" s="5" t="s">
        <v>60</v>
      </c>
      <c r="T39" s="5" t="s">
        <v>408</v>
      </c>
      <c r="U39" s="7">
        <v>8.0500000000000007</v>
      </c>
    </row>
    <row r="40" spans="1:50" s="5" customFormat="1" x14ac:dyDescent="0.25">
      <c r="A40" s="5">
        <v>2031615384</v>
      </c>
      <c r="B40" s="5" t="s">
        <v>445</v>
      </c>
      <c r="C40" s="5" t="s">
        <v>446</v>
      </c>
      <c r="E40" s="5" t="s">
        <v>69</v>
      </c>
      <c r="F40" s="5" t="s">
        <v>309</v>
      </c>
      <c r="G40" s="5" t="s">
        <v>340</v>
      </c>
      <c r="I40" s="5" t="s">
        <v>447</v>
      </c>
      <c r="J40" s="5" t="s">
        <v>448</v>
      </c>
      <c r="K40" s="5" t="str">
        <f>CONCATENATE(J40,   " ",I40)</f>
        <v>Dale Walenga</v>
      </c>
      <c r="L40" s="5" t="s">
        <v>57</v>
      </c>
      <c r="M40" s="6">
        <v>45962</v>
      </c>
      <c r="N40" s="6">
        <v>45992</v>
      </c>
      <c r="O40" s="7">
        <v>35.270000000000003</v>
      </c>
      <c r="P40" s="5" t="s">
        <v>58</v>
      </c>
      <c r="Q40" s="5" t="s">
        <v>238</v>
      </c>
      <c r="R40" s="8">
        <v>0.51</v>
      </c>
      <c r="S40" s="5" t="s">
        <v>60</v>
      </c>
      <c r="T40" s="5" t="s">
        <v>408</v>
      </c>
      <c r="U40" s="7">
        <v>17.989999999999998</v>
      </c>
    </row>
    <row r="41" spans="1:50" s="5" customFormat="1" x14ac:dyDescent="0.25">
      <c r="A41" s="5">
        <v>2031615385</v>
      </c>
      <c r="B41" s="5" t="s">
        <v>445</v>
      </c>
      <c r="C41" s="5" t="s">
        <v>446</v>
      </c>
      <c r="E41" s="5" t="s">
        <v>69</v>
      </c>
      <c r="F41" s="5" t="s">
        <v>309</v>
      </c>
      <c r="G41" s="5" t="s">
        <v>341</v>
      </c>
      <c r="I41" s="5" t="s">
        <v>447</v>
      </c>
      <c r="J41" s="5" t="s">
        <v>448</v>
      </c>
      <c r="K41" s="5" t="str">
        <f>CONCATENATE(J41,   " ",I41)</f>
        <v>Dale Walenga</v>
      </c>
      <c r="L41" s="5" t="s">
        <v>57</v>
      </c>
      <c r="M41" s="6">
        <v>45962</v>
      </c>
      <c r="N41" s="6">
        <v>45992</v>
      </c>
      <c r="O41" s="7">
        <v>5.95</v>
      </c>
      <c r="P41" s="5" t="s">
        <v>58</v>
      </c>
      <c r="Q41" s="5" t="s">
        <v>238</v>
      </c>
      <c r="R41" s="8">
        <v>0.51</v>
      </c>
      <c r="S41" s="5" t="s">
        <v>60</v>
      </c>
      <c r="T41" s="5" t="s">
        <v>408</v>
      </c>
      <c r="U41" s="7">
        <v>3.03</v>
      </c>
    </row>
    <row r="42" spans="1:50" s="5" customFormat="1" x14ac:dyDescent="0.25">
      <c r="A42" s="5">
        <v>2031778888</v>
      </c>
      <c r="B42" s="5" t="s">
        <v>465</v>
      </c>
      <c r="C42" s="5" t="s">
        <v>273</v>
      </c>
      <c r="E42" s="5" t="s">
        <v>69</v>
      </c>
      <c r="F42" s="5" t="s">
        <v>53</v>
      </c>
      <c r="G42" s="5" t="s">
        <v>122</v>
      </c>
      <c r="I42" s="5" t="s">
        <v>147</v>
      </c>
      <c r="J42" s="5" t="s">
        <v>148</v>
      </c>
      <c r="K42" s="5" t="str">
        <f>CONCATENATE(J42,   " ",I42)</f>
        <v>FRANK LISKOVEC</v>
      </c>
      <c r="L42" s="5" t="s">
        <v>57</v>
      </c>
      <c r="M42" s="6">
        <v>45962</v>
      </c>
      <c r="N42" s="6">
        <v>45992</v>
      </c>
      <c r="O42" s="7">
        <v>25.08</v>
      </c>
      <c r="P42" s="5" t="s">
        <v>58</v>
      </c>
      <c r="Q42" s="5" t="s">
        <v>238</v>
      </c>
      <c r="R42" s="8">
        <v>0.42</v>
      </c>
      <c r="S42" s="5" t="s">
        <v>60</v>
      </c>
      <c r="T42" s="5" t="s">
        <v>408</v>
      </c>
      <c r="U42" s="7">
        <v>10.53</v>
      </c>
    </row>
    <row r="43" spans="1:50" x14ac:dyDescent="0.25">
      <c r="A43" s="5">
        <v>2031778889</v>
      </c>
      <c r="B43" s="5" t="s">
        <v>465</v>
      </c>
      <c r="C43" s="5" t="s">
        <v>273</v>
      </c>
      <c r="D43" s="5"/>
      <c r="E43" s="5" t="s">
        <v>69</v>
      </c>
      <c r="F43" s="5" t="s">
        <v>53</v>
      </c>
      <c r="G43" s="5" t="s">
        <v>54</v>
      </c>
      <c r="H43" s="5"/>
      <c r="I43" s="5" t="s">
        <v>147</v>
      </c>
      <c r="J43" s="5" t="s">
        <v>148</v>
      </c>
      <c r="K43" s="5" t="str">
        <f>CONCATENATE(J43,   " ",I43)</f>
        <v>FRANK LISKOVEC</v>
      </c>
      <c r="L43" s="5" t="s">
        <v>57</v>
      </c>
      <c r="M43" s="6">
        <v>45962</v>
      </c>
      <c r="N43" s="6">
        <v>45992</v>
      </c>
      <c r="O43" s="7">
        <v>112.95</v>
      </c>
      <c r="P43" s="5" t="s">
        <v>58</v>
      </c>
      <c r="Q43" s="5" t="s">
        <v>238</v>
      </c>
      <c r="R43" s="8">
        <v>0.7</v>
      </c>
      <c r="S43" s="5" t="s">
        <v>60</v>
      </c>
      <c r="T43" s="5" t="s">
        <v>408</v>
      </c>
      <c r="U43" s="7">
        <v>79.06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>
        <v>2031775761</v>
      </c>
      <c r="B44" s="5" t="s">
        <v>425</v>
      </c>
      <c r="C44" s="5" t="s">
        <v>153</v>
      </c>
      <c r="D44" s="5"/>
      <c r="E44" s="5" t="s">
        <v>92</v>
      </c>
      <c r="F44" s="5" t="s">
        <v>369</v>
      </c>
      <c r="G44" s="5" t="s">
        <v>421</v>
      </c>
      <c r="H44" s="5"/>
      <c r="I44" s="5" t="s">
        <v>93</v>
      </c>
      <c r="J44" s="5" t="s">
        <v>94</v>
      </c>
      <c r="K44" s="5" t="str">
        <f>CONCATENATE(J44,   " ",I44)</f>
        <v>Heather Geske</v>
      </c>
      <c r="L44" s="5" t="s">
        <v>57</v>
      </c>
      <c r="M44" s="6">
        <v>45954</v>
      </c>
      <c r="N44" s="6">
        <v>45985</v>
      </c>
      <c r="O44" s="7">
        <v>59.29</v>
      </c>
      <c r="P44" s="5" t="s">
        <v>58</v>
      </c>
      <c r="Q44" s="5" t="s">
        <v>238</v>
      </c>
      <c r="R44" s="8">
        <v>0.75</v>
      </c>
      <c r="S44" s="5" t="s">
        <v>60</v>
      </c>
      <c r="T44" s="5" t="s">
        <v>408</v>
      </c>
      <c r="U44" s="7">
        <v>44.47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>
        <v>2031775760</v>
      </c>
      <c r="B45" s="5" t="s">
        <v>425</v>
      </c>
      <c r="C45" s="5" t="s">
        <v>153</v>
      </c>
      <c r="D45" s="5"/>
      <c r="E45" s="5" t="s">
        <v>92</v>
      </c>
      <c r="F45" s="5" t="s">
        <v>53</v>
      </c>
      <c r="G45" s="5" t="s">
        <v>54</v>
      </c>
      <c r="H45" s="5"/>
      <c r="I45" s="5" t="s">
        <v>93</v>
      </c>
      <c r="J45" s="5" t="s">
        <v>94</v>
      </c>
      <c r="K45" s="5" t="str">
        <f>CONCATENATE(J45,   " ",I45)</f>
        <v>Heather Geske</v>
      </c>
      <c r="L45" s="5" t="s">
        <v>57</v>
      </c>
      <c r="M45" s="6">
        <v>45954</v>
      </c>
      <c r="N45" s="6">
        <v>45985</v>
      </c>
      <c r="O45" s="7">
        <v>9.1</v>
      </c>
      <c r="P45" s="5" t="s">
        <v>58</v>
      </c>
      <c r="Q45" s="5" t="s">
        <v>238</v>
      </c>
      <c r="R45" s="8">
        <v>0.7</v>
      </c>
      <c r="S45" s="5" t="s">
        <v>60</v>
      </c>
      <c r="T45" s="5" t="s">
        <v>408</v>
      </c>
      <c r="U45" s="7">
        <v>6.37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>
        <v>2031775762</v>
      </c>
      <c r="B46" s="5" t="s">
        <v>425</v>
      </c>
      <c r="C46" s="5" t="s">
        <v>153</v>
      </c>
      <c r="D46" s="5"/>
      <c r="E46" s="5" t="s">
        <v>92</v>
      </c>
      <c r="F46" s="5" t="s">
        <v>53</v>
      </c>
      <c r="G46" s="5" t="s">
        <v>257</v>
      </c>
      <c r="H46" s="5"/>
      <c r="I46" s="5" t="s">
        <v>93</v>
      </c>
      <c r="J46" s="5" t="s">
        <v>94</v>
      </c>
      <c r="K46" s="5" t="str">
        <f>CONCATENATE(J46,   " ",I46)</f>
        <v>Heather Geske</v>
      </c>
      <c r="L46" s="5" t="s">
        <v>57</v>
      </c>
      <c r="M46" s="6">
        <v>45954</v>
      </c>
      <c r="N46" s="6">
        <v>45985</v>
      </c>
      <c r="O46" s="7">
        <v>6.3</v>
      </c>
      <c r="P46" s="5" t="s">
        <v>58</v>
      </c>
      <c r="Q46" s="5" t="s">
        <v>238</v>
      </c>
      <c r="R46" s="8">
        <v>0.7</v>
      </c>
      <c r="S46" s="5" t="s">
        <v>60</v>
      </c>
      <c r="T46" s="5" t="s">
        <v>408</v>
      </c>
      <c r="U46" s="7">
        <v>4.41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>
        <v>2031799852</v>
      </c>
      <c r="B47" s="5" t="s">
        <v>467</v>
      </c>
      <c r="C47" s="5" t="s">
        <v>413</v>
      </c>
      <c r="D47" s="5"/>
      <c r="E47" s="5" t="s">
        <v>52</v>
      </c>
      <c r="F47" s="5" t="s">
        <v>53</v>
      </c>
      <c r="G47" s="5" t="s">
        <v>54</v>
      </c>
      <c r="H47" s="5"/>
      <c r="I47" s="5" t="s">
        <v>175</v>
      </c>
      <c r="J47" s="5" t="s">
        <v>176</v>
      </c>
      <c r="K47" s="5" t="str">
        <f>CONCATENATE(J47,   " ",I47)</f>
        <v>Jake Shulman</v>
      </c>
      <c r="L47" s="5" t="s">
        <v>57</v>
      </c>
      <c r="M47" s="6">
        <v>45957</v>
      </c>
      <c r="N47" s="6">
        <v>45988</v>
      </c>
      <c r="O47" s="7">
        <v>50.9</v>
      </c>
      <c r="P47" s="5" t="s">
        <v>58</v>
      </c>
      <c r="Q47" s="5" t="s">
        <v>238</v>
      </c>
      <c r="R47" s="8">
        <v>0.7</v>
      </c>
      <c r="S47" s="5" t="s">
        <v>60</v>
      </c>
      <c r="T47" s="5" t="s">
        <v>408</v>
      </c>
      <c r="U47" s="7">
        <v>35.630000000000003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>
        <v>2031805822</v>
      </c>
      <c r="B48" s="5" t="s">
        <v>468</v>
      </c>
      <c r="C48" s="5" t="s">
        <v>354</v>
      </c>
      <c r="D48" s="5"/>
      <c r="E48" s="5" t="s">
        <v>165</v>
      </c>
      <c r="F48" s="5" t="s">
        <v>53</v>
      </c>
      <c r="G48" s="5" t="s">
        <v>54</v>
      </c>
      <c r="H48" s="5"/>
      <c r="I48" s="5" t="s">
        <v>469</v>
      </c>
      <c r="J48" s="5" t="s">
        <v>470</v>
      </c>
      <c r="K48" s="5" t="str">
        <f>CONCATENATE(J48,   " ",I48)</f>
        <v>Kirk Tigue</v>
      </c>
      <c r="L48" s="5" t="s">
        <v>57</v>
      </c>
      <c r="M48" s="6">
        <v>45955</v>
      </c>
      <c r="N48" s="6">
        <v>45986</v>
      </c>
      <c r="O48" s="7">
        <v>83</v>
      </c>
      <c r="P48" s="5" t="s">
        <v>58</v>
      </c>
      <c r="Q48" s="5" t="s">
        <v>238</v>
      </c>
      <c r="R48" s="8">
        <v>0.7</v>
      </c>
      <c r="S48" s="5" t="s">
        <v>60</v>
      </c>
      <c r="T48" s="5" t="s">
        <v>408</v>
      </c>
      <c r="U48" s="7">
        <v>58.1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>
        <v>2031804599</v>
      </c>
      <c r="B49" s="5" t="s">
        <v>432</v>
      </c>
      <c r="C49" s="5" t="s">
        <v>433</v>
      </c>
      <c r="D49" s="5"/>
      <c r="E49" s="5" t="s">
        <v>179</v>
      </c>
      <c r="F49" s="5" t="s">
        <v>361</v>
      </c>
      <c r="G49" s="5" t="s">
        <v>434</v>
      </c>
      <c r="H49" s="5"/>
      <c r="I49" s="5" t="s">
        <v>435</v>
      </c>
      <c r="J49" s="5" t="s">
        <v>436</v>
      </c>
      <c r="K49" s="5" t="str">
        <f>CONCATENATE(J49,   " ",I49)</f>
        <v>Marsha Sanderock</v>
      </c>
      <c r="L49" s="5" t="s">
        <v>57</v>
      </c>
      <c r="M49" s="6">
        <v>45955</v>
      </c>
      <c r="N49" s="6">
        <v>45986</v>
      </c>
      <c r="O49" s="7">
        <v>15</v>
      </c>
      <c r="P49" s="5" t="s">
        <v>58</v>
      </c>
      <c r="Q49" s="5" t="s">
        <v>431</v>
      </c>
      <c r="R49" s="8">
        <v>0.19</v>
      </c>
      <c r="S49" s="5" t="s">
        <v>60</v>
      </c>
      <c r="T49" s="5" t="s">
        <v>408</v>
      </c>
      <c r="U49" s="7">
        <v>2.85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>
        <v>2031804598</v>
      </c>
      <c r="B50" s="5" t="s">
        <v>432</v>
      </c>
      <c r="C50" s="5" t="s">
        <v>433</v>
      </c>
      <c r="D50" s="5"/>
      <c r="E50" s="5" t="s">
        <v>179</v>
      </c>
      <c r="F50" s="5" t="s">
        <v>262</v>
      </c>
      <c r="G50" s="5" t="s">
        <v>478</v>
      </c>
      <c r="H50" s="5"/>
      <c r="I50" s="5" t="s">
        <v>435</v>
      </c>
      <c r="J50" s="5" t="s">
        <v>436</v>
      </c>
      <c r="K50" s="5" t="str">
        <f>CONCATENATE(J50,   " ",I50)</f>
        <v>Marsha Sanderock</v>
      </c>
      <c r="L50" s="5" t="s">
        <v>57</v>
      </c>
      <c r="M50" s="6">
        <v>45955</v>
      </c>
      <c r="N50" s="6">
        <v>45986</v>
      </c>
      <c r="O50" s="7">
        <v>832.5</v>
      </c>
      <c r="P50" s="5" t="s">
        <v>58</v>
      </c>
      <c r="Q50" s="5" t="s">
        <v>431</v>
      </c>
      <c r="R50" s="8">
        <v>0.19</v>
      </c>
      <c r="S50" s="5" t="s">
        <v>60</v>
      </c>
      <c r="T50" s="5" t="s">
        <v>408</v>
      </c>
      <c r="U50" s="7">
        <v>158.18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>
        <v>2031718267</v>
      </c>
      <c r="B51" s="5" t="s">
        <v>403</v>
      </c>
      <c r="C51" s="5" t="s">
        <v>404</v>
      </c>
      <c r="D51" s="5"/>
      <c r="E51" s="5" t="s">
        <v>69</v>
      </c>
      <c r="F51" s="5" t="s">
        <v>395</v>
      </c>
      <c r="G51" s="5" t="s">
        <v>405</v>
      </c>
      <c r="H51" s="5"/>
      <c r="I51" s="5" t="s">
        <v>406</v>
      </c>
      <c r="J51" s="5" t="s">
        <v>407</v>
      </c>
      <c r="K51" s="5" t="str">
        <f>CONCATENATE(J51,   " ",I51)</f>
        <v>Matthew Sherman</v>
      </c>
      <c r="L51" s="5" t="s">
        <v>57</v>
      </c>
      <c r="M51" s="6">
        <v>45962</v>
      </c>
      <c r="N51" s="6">
        <v>45992</v>
      </c>
      <c r="O51" s="7">
        <v>97.45</v>
      </c>
      <c r="P51" s="5" t="s">
        <v>58</v>
      </c>
      <c r="Q51" s="5" t="s">
        <v>238</v>
      </c>
      <c r="R51" s="8">
        <v>0.6</v>
      </c>
      <c r="S51" s="5" t="s">
        <v>60</v>
      </c>
      <c r="T51" s="5" t="s">
        <v>408</v>
      </c>
      <c r="U51" s="7">
        <v>58.47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>
        <v>2031823475</v>
      </c>
      <c r="B52" s="5" t="s">
        <v>472</v>
      </c>
      <c r="C52" s="5" t="s">
        <v>473</v>
      </c>
      <c r="D52" s="5"/>
      <c r="E52" s="5" t="s">
        <v>69</v>
      </c>
      <c r="F52" s="5" t="s">
        <v>53</v>
      </c>
      <c r="G52" s="5" t="s">
        <v>54</v>
      </c>
      <c r="H52" s="5"/>
      <c r="I52" s="5" t="s">
        <v>474</v>
      </c>
      <c r="J52" s="5" t="s">
        <v>475</v>
      </c>
      <c r="K52" s="5" t="str">
        <f>CONCATENATE(J52,   " ",I52)</f>
        <v>Raluca Cheregi</v>
      </c>
      <c r="L52" s="5" t="s">
        <v>57</v>
      </c>
      <c r="M52" s="6">
        <v>45956</v>
      </c>
      <c r="N52" s="6">
        <v>45987</v>
      </c>
      <c r="O52" s="7">
        <v>148.32</v>
      </c>
      <c r="P52" s="5" t="s">
        <v>58</v>
      </c>
      <c r="Q52" s="5" t="s">
        <v>238</v>
      </c>
      <c r="R52" s="8">
        <v>0.7</v>
      </c>
      <c r="S52" s="5" t="s">
        <v>60</v>
      </c>
      <c r="T52" s="5" t="s">
        <v>408</v>
      </c>
      <c r="U52" s="7">
        <v>103.82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>
        <v>2031759933</v>
      </c>
      <c r="B53" s="5" t="s">
        <v>419</v>
      </c>
      <c r="C53" s="5" t="s">
        <v>420</v>
      </c>
      <c r="D53" s="5"/>
      <c r="E53" s="5" t="s">
        <v>69</v>
      </c>
      <c r="F53" s="5" t="s">
        <v>369</v>
      </c>
      <c r="G53" s="5" t="s">
        <v>421</v>
      </c>
      <c r="H53" s="5"/>
      <c r="I53" s="5" t="s">
        <v>70</v>
      </c>
      <c r="J53" s="5" t="s">
        <v>183</v>
      </c>
      <c r="K53" s="5" t="str">
        <f>CONCATENATE(J53,   " ",I53)</f>
        <v>Richard Yale</v>
      </c>
      <c r="L53" s="5" t="s">
        <v>57</v>
      </c>
      <c r="M53" s="6">
        <v>45954</v>
      </c>
      <c r="N53" s="6">
        <v>45985</v>
      </c>
      <c r="O53" s="7">
        <v>25.33</v>
      </c>
      <c r="P53" s="5" t="s">
        <v>58</v>
      </c>
      <c r="Q53" s="5" t="s">
        <v>238</v>
      </c>
      <c r="R53" s="8">
        <v>0.75</v>
      </c>
      <c r="S53" s="5" t="s">
        <v>60</v>
      </c>
      <c r="T53" s="5" t="s">
        <v>408</v>
      </c>
      <c r="U53" s="7">
        <v>19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>
        <v>2031759934</v>
      </c>
      <c r="B54" s="5" t="s">
        <v>419</v>
      </c>
      <c r="C54" s="5" t="s">
        <v>420</v>
      </c>
      <c r="D54" s="5"/>
      <c r="E54" s="5" t="s">
        <v>69</v>
      </c>
      <c r="F54" s="5" t="s">
        <v>369</v>
      </c>
      <c r="G54" s="5" t="s">
        <v>375</v>
      </c>
      <c r="H54" s="5"/>
      <c r="I54" s="5" t="s">
        <v>70</v>
      </c>
      <c r="J54" s="5" t="s">
        <v>183</v>
      </c>
      <c r="K54" s="5" t="str">
        <f>CONCATENATE(J54,   " ",I54)</f>
        <v>Richard Yale</v>
      </c>
      <c r="L54" s="5" t="s">
        <v>57</v>
      </c>
      <c r="M54" s="6">
        <v>45954</v>
      </c>
      <c r="N54" s="6">
        <v>45985</v>
      </c>
      <c r="O54" s="7">
        <v>42.75</v>
      </c>
      <c r="P54" s="5" t="s">
        <v>58</v>
      </c>
      <c r="Q54" s="5" t="s">
        <v>238</v>
      </c>
      <c r="R54" s="8">
        <v>0.9</v>
      </c>
      <c r="S54" s="5" t="s">
        <v>60</v>
      </c>
      <c r="T54" s="5" t="s">
        <v>408</v>
      </c>
      <c r="U54" s="7">
        <v>38.479999999999997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>
        <v>2031759931</v>
      </c>
      <c r="B55" s="5" t="s">
        <v>419</v>
      </c>
      <c r="C55" s="5" t="s">
        <v>420</v>
      </c>
      <c r="D55" s="5"/>
      <c r="E55" s="5" t="s">
        <v>69</v>
      </c>
      <c r="F55" s="5" t="s">
        <v>378</v>
      </c>
      <c r="G55" s="5" t="s">
        <v>379</v>
      </c>
      <c r="H55" s="5"/>
      <c r="I55" s="5" t="s">
        <v>70</v>
      </c>
      <c r="J55" s="5" t="s">
        <v>183</v>
      </c>
      <c r="K55" s="5" t="str">
        <f>CONCATENATE(J55,   " ",I55)</f>
        <v>Richard Yale</v>
      </c>
      <c r="L55" s="5" t="s">
        <v>57</v>
      </c>
      <c r="M55" s="6">
        <v>45954</v>
      </c>
      <c r="N55" s="6">
        <v>45985</v>
      </c>
      <c r="O55" s="7">
        <v>77.48</v>
      </c>
      <c r="P55" s="5" t="s">
        <v>58</v>
      </c>
      <c r="Q55" s="5" t="s">
        <v>238</v>
      </c>
      <c r="R55" s="9">
        <v>0.375</v>
      </c>
      <c r="S55" s="5" t="s">
        <v>60</v>
      </c>
      <c r="T55" s="5" t="s">
        <v>408</v>
      </c>
      <c r="U55" s="7">
        <v>29.06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>
        <v>2031759932</v>
      </c>
      <c r="B56" s="5" t="s">
        <v>419</v>
      </c>
      <c r="C56" s="5" t="s">
        <v>420</v>
      </c>
      <c r="D56" s="5"/>
      <c r="E56" s="5" t="s">
        <v>69</v>
      </c>
      <c r="F56" s="5" t="s">
        <v>53</v>
      </c>
      <c r="G56" s="5" t="s">
        <v>54</v>
      </c>
      <c r="H56" s="5"/>
      <c r="I56" s="5" t="s">
        <v>70</v>
      </c>
      <c r="J56" s="5" t="s">
        <v>183</v>
      </c>
      <c r="K56" s="5" t="str">
        <f>CONCATENATE(J56,   " ",I56)</f>
        <v>Richard Yale</v>
      </c>
      <c r="L56" s="5" t="s">
        <v>57</v>
      </c>
      <c r="M56" s="6">
        <v>45954</v>
      </c>
      <c r="N56" s="6">
        <v>45985</v>
      </c>
      <c r="O56" s="7">
        <v>63.95</v>
      </c>
      <c r="P56" s="5" t="s">
        <v>58</v>
      </c>
      <c r="Q56" s="5" t="s">
        <v>238</v>
      </c>
      <c r="R56" s="8">
        <v>0.7</v>
      </c>
      <c r="S56" s="5" t="s">
        <v>60</v>
      </c>
      <c r="T56" s="5" t="s">
        <v>408</v>
      </c>
      <c r="U56" s="7">
        <v>44.76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s="5" customFormat="1" x14ac:dyDescent="0.25">
      <c r="A57" s="5">
        <v>2031709307</v>
      </c>
      <c r="B57" s="5" t="s">
        <v>449</v>
      </c>
      <c r="C57" s="5" t="s">
        <v>450</v>
      </c>
      <c r="E57" s="5" t="s">
        <v>439</v>
      </c>
      <c r="F57" s="5" t="s">
        <v>53</v>
      </c>
      <c r="G57" s="5" t="s">
        <v>132</v>
      </c>
      <c r="I57" s="5" t="s">
        <v>237</v>
      </c>
      <c r="J57" s="5" t="s">
        <v>103</v>
      </c>
      <c r="K57" s="5" t="str">
        <f>CONCATENATE(J57,   " ",I57)</f>
        <v>THOMAS PARDUE</v>
      </c>
      <c r="L57" s="5" t="s">
        <v>57</v>
      </c>
      <c r="M57" s="6">
        <v>45955</v>
      </c>
      <c r="N57" s="6">
        <v>45986</v>
      </c>
      <c r="O57" s="7">
        <v>21.83</v>
      </c>
      <c r="P57" s="5" t="s">
        <v>58</v>
      </c>
      <c r="Q57" s="5" t="s">
        <v>238</v>
      </c>
      <c r="R57" s="8">
        <v>0.9</v>
      </c>
      <c r="S57" s="5" t="s">
        <v>60</v>
      </c>
      <c r="T57" s="5" t="s">
        <v>408</v>
      </c>
      <c r="U57" s="7">
        <v>19.649999999999999</v>
      </c>
    </row>
    <row r="58" spans="1:50" s="5" customFormat="1" x14ac:dyDescent="0.25">
      <c r="A58" s="5">
        <v>2031731468</v>
      </c>
      <c r="B58" s="5" t="s">
        <v>451</v>
      </c>
      <c r="C58" s="5" t="s">
        <v>452</v>
      </c>
      <c r="E58" s="5" t="s">
        <v>439</v>
      </c>
      <c r="F58" s="5" t="s">
        <v>53</v>
      </c>
      <c r="G58" s="5" t="s">
        <v>132</v>
      </c>
      <c r="I58" s="5" t="s">
        <v>237</v>
      </c>
      <c r="J58" s="5" t="s">
        <v>103</v>
      </c>
      <c r="K58" s="5" t="str">
        <f>CONCATENATE(J58,   " ",I58)</f>
        <v>THOMAS PARDUE</v>
      </c>
      <c r="L58" s="5" t="s">
        <v>57</v>
      </c>
      <c r="M58" s="6">
        <v>45951</v>
      </c>
      <c r="N58" s="6">
        <v>45982</v>
      </c>
      <c r="O58" s="7">
        <v>15.33</v>
      </c>
      <c r="P58" s="5" t="s">
        <v>58</v>
      </c>
      <c r="Q58" s="5" t="s">
        <v>238</v>
      </c>
      <c r="R58" s="8">
        <v>0.9</v>
      </c>
      <c r="S58" s="5" t="s">
        <v>60</v>
      </c>
      <c r="T58" s="5" t="s">
        <v>408</v>
      </c>
      <c r="U58" s="7">
        <v>13.8</v>
      </c>
    </row>
    <row r="59" spans="1:50" s="5" customFormat="1" x14ac:dyDescent="0.25">
      <c r="A59" s="5">
        <v>2031750243</v>
      </c>
      <c r="B59" s="5" t="s">
        <v>453</v>
      </c>
      <c r="C59" s="5" t="s">
        <v>454</v>
      </c>
      <c r="E59" s="5" t="s">
        <v>455</v>
      </c>
      <c r="F59" s="5" t="s">
        <v>53</v>
      </c>
      <c r="G59" s="5" t="s">
        <v>54</v>
      </c>
      <c r="I59" s="5" t="s">
        <v>237</v>
      </c>
      <c r="J59" s="5" t="s">
        <v>103</v>
      </c>
      <c r="K59" s="5" t="str">
        <f>CONCATENATE(J59,   " ",I59)</f>
        <v>THOMAS PARDUE</v>
      </c>
      <c r="L59" s="5" t="s">
        <v>57</v>
      </c>
      <c r="M59" s="6">
        <v>45952</v>
      </c>
      <c r="N59" s="6">
        <v>45983</v>
      </c>
      <c r="O59" s="7">
        <v>62.75</v>
      </c>
      <c r="P59" s="5" t="s">
        <v>58</v>
      </c>
      <c r="Q59" s="5" t="s">
        <v>238</v>
      </c>
      <c r="R59" s="8">
        <v>0.7</v>
      </c>
      <c r="S59" s="5" t="s">
        <v>60</v>
      </c>
      <c r="T59" s="5" t="s">
        <v>408</v>
      </c>
      <c r="U59" s="7">
        <v>43.92</v>
      </c>
    </row>
    <row r="60" spans="1:50" s="5" customFormat="1" x14ac:dyDescent="0.25">
      <c r="A60" s="5">
        <v>2031750244</v>
      </c>
      <c r="B60" s="5" t="s">
        <v>453</v>
      </c>
      <c r="C60" s="5" t="s">
        <v>454</v>
      </c>
      <c r="E60" s="5" t="s">
        <v>455</v>
      </c>
      <c r="F60" s="5" t="s">
        <v>53</v>
      </c>
      <c r="G60" s="5" t="s">
        <v>132</v>
      </c>
      <c r="I60" s="5" t="s">
        <v>237</v>
      </c>
      <c r="J60" s="5" t="s">
        <v>103</v>
      </c>
      <c r="K60" s="5" t="str">
        <f>CONCATENATE(J60,   " ",I60)</f>
        <v>THOMAS PARDUE</v>
      </c>
      <c r="L60" s="5" t="s">
        <v>57</v>
      </c>
      <c r="M60" s="6">
        <v>45952</v>
      </c>
      <c r="N60" s="6">
        <v>45983</v>
      </c>
      <c r="O60" s="7">
        <v>37.880000000000003</v>
      </c>
      <c r="P60" s="5" t="s">
        <v>58</v>
      </c>
      <c r="Q60" s="5" t="s">
        <v>238</v>
      </c>
      <c r="R60" s="8">
        <v>0.9</v>
      </c>
      <c r="S60" s="5" t="s">
        <v>60</v>
      </c>
      <c r="T60" s="5" t="s">
        <v>408</v>
      </c>
      <c r="U60" s="7">
        <v>34.090000000000003</v>
      </c>
    </row>
  </sheetData>
  <sortState xmlns:xlrd2="http://schemas.microsoft.com/office/spreadsheetml/2017/richdata2" ref="A2:AX27">
    <sortCondition ref="G2:G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560B-359A-4E6D-8042-918FD0A503E9}">
  <dimension ref="A1:Y33"/>
  <sheetViews>
    <sheetView topLeftCell="B1" workbookViewId="0">
      <selection activeCell="I2" sqref="I2:I33"/>
    </sheetView>
  </sheetViews>
  <sheetFormatPr defaultRowHeight="15" x14ac:dyDescent="0.25"/>
  <cols>
    <col min="1" max="1" width="11" bestFit="1" customWidth="1"/>
    <col min="4" max="4" width="11.42578125" bestFit="1" customWidth="1"/>
    <col min="8" max="8" width="34.85546875" customWidth="1"/>
    <col min="9" max="9" width="19.140625" customWidth="1"/>
    <col min="12" max="12" width="17.5703125" bestFit="1" customWidth="1"/>
    <col min="14" max="14" width="13.5703125" bestFit="1" customWidth="1"/>
    <col min="15" max="15" width="12" bestFit="1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24</v>
      </c>
      <c r="U1" t="s">
        <v>25</v>
      </c>
      <c r="V1" t="s">
        <v>26</v>
      </c>
      <c r="W1" t="s">
        <v>27</v>
      </c>
      <c r="X1" t="s">
        <v>37</v>
      </c>
    </row>
    <row r="2" spans="1:25" x14ac:dyDescent="0.25">
      <c r="A2">
        <v>2031475875</v>
      </c>
      <c r="B2" t="s">
        <v>428</v>
      </c>
      <c r="C2" t="s">
        <v>429</v>
      </c>
      <c r="D2" t="str">
        <f>CONCATENATE(C2, " ",B2)</f>
        <v>ANGEL LIAO</v>
      </c>
      <c r="E2" t="s">
        <v>51</v>
      </c>
      <c r="F2" t="s">
        <v>69</v>
      </c>
      <c r="G2" t="s">
        <v>355</v>
      </c>
      <c r="H2" t="s">
        <v>443</v>
      </c>
      <c r="I2" t="s">
        <v>1095</v>
      </c>
      <c r="J2" t="s">
        <v>74</v>
      </c>
      <c r="K2" t="s">
        <v>75</v>
      </c>
      <c r="L2" t="str">
        <f t="shared" ref="L2:L33" si="0">CONCATENATE(K2, " ",J2)</f>
        <v>Andrew Choi</v>
      </c>
      <c r="M2" t="s">
        <v>57</v>
      </c>
      <c r="N2" s="1">
        <v>45962</v>
      </c>
      <c r="O2" s="1">
        <v>45992</v>
      </c>
      <c r="P2" s="2">
        <v>226.98</v>
      </c>
      <c r="Q2">
        <v>1</v>
      </c>
      <c r="R2" t="s">
        <v>58</v>
      </c>
      <c r="S2" s="3">
        <v>0.38</v>
      </c>
      <c r="T2" t="s">
        <v>60</v>
      </c>
      <c r="U2" t="s">
        <v>408</v>
      </c>
      <c r="V2">
        <v>6</v>
      </c>
      <c r="W2" s="2">
        <v>517.5</v>
      </c>
      <c r="X2" s="2">
        <v>86.25</v>
      </c>
      <c r="Y2" t="s">
        <v>443</v>
      </c>
    </row>
    <row r="3" spans="1:25" x14ac:dyDescent="0.25">
      <c r="A3">
        <v>2031475876</v>
      </c>
      <c r="B3" t="s">
        <v>428</v>
      </c>
      <c r="C3" t="s">
        <v>429</v>
      </c>
      <c r="D3" t="str">
        <f t="shared" ref="D3:D33" si="1">CONCATENATE(C3, " ",B3)</f>
        <v>ANGEL LIAO</v>
      </c>
      <c r="E3" t="s">
        <v>51</v>
      </c>
      <c r="F3" t="s">
        <v>69</v>
      </c>
      <c r="G3" t="s">
        <v>355</v>
      </c>
      <c r="H3" t="s">
        <v>444</v>
      </c>
      <c r="I3" t="s">
        <v>1095</v>
      </c>
      <c r="J3" t="s">
        <v>74</v>
      </c>
      <c r="K3" t="s">
        <v>75</v>
      </c>
      <c r="L3" t="str">
        <f t="shared" si="0"/>
        <v>Andrew Choi</v>
      </c>
      <c r="M3" t="s">
        <v>57</v>
      </c>
      <c r="N3" s="1">
        <v>45962</v>
      </c>
      <c r="O3" s="1">
        <v>45992</v>
      </c>
      <c r="P3" s="2">
        <v>7.09</v>
      </c>
      <c r="Q3">
        <v>1</v>
      </c>
      <c r="R3" t="s">
        <v>58</v>
      </c>
      <c r="S3" s="3">
        <v>0.38</v>
      </c>
      <c r="T3" t="s">
        <v>60</v>
      </c>
      <c r="U3" t="s">
        <v>408</v>
      </c>
      <c r="V3">
        <v>6</v>
      </c>
      <c r="W3" s="2">
        <v>16.14</v>
      </c>
      <c r="X3" s="2">
        <v>2.69</v>
      </c>
      <c r="Y3" t="s">
        <v>443</v>
      </c>
    </row>
    <row r="4" spans="1:25" x14ac:dyDescent="0.25">
      <c r="A4">
        <v>2031684820</v>
      </c>
      <c r="B4" t="s">
        <v>414</v>
      </c>
      <c r="C4" t="s">
        <v>415</v>
      </c>
      <c r="D4" t="str">
        <f t="shared" si="1"/>
        <v>BENJAMIN KIM</v>
      </c>
      <c r="E4" t="s">
        <v>51</v>
      </c>
      <c r="F4" t="s">
        <v>69</v>
      </c>
      <c r="G4" t="s">
        <v>369</v>
      </c>
      <c r="H4" t="s">
        <v>375</v>
      </c>
      <c r="I4" t="s">
        <v>1095</v>
      </c>
      <c r="J4" t="s">
        <v>74</v>
      </c>
      <c r="K4" t="s">
        <v>75</v>
      </c>
      <c r="L4" t="str">
        <f t="shared" si="0"/>
        <v>Andrew Choi</v>
      </c>
      <c r="M4" t="s">
        <v>57</v>
      </c>
      <c r="N4" s="1">
        <v>45962</v>
      </c>
      <c r="O4" s="1">
        <v>45992</v>
      </c>
      <c r="P4" s="2">
        <v>168.5</v>
      </c>
      <c r="Q4">
        <v>1</v>
      </c>
      <c r="R4" t="s">
        <v>58</v>
      </c>
      <c r="S4" s="3">
        <v>0.9</v>
      </c>
      <c r="T4" t="s">
        <v>60</v>
      </c>
      <c r="U4" t="s">
        <v>408</v>
      </c>
      <c r="V4">
        <v>6</v>
      </c>
      <c r="W4" s="2">
        <v>909.9</v>
      </c>
      <c r="X4" s="2">
        <v>151.65</v>
      </c>
      <c r="Y4" t="s">
        <v>1091</v>
      </c>
    </row>
    <row r="5" spans="1:25" x14ac:dyDescent="0.25">
      <c r="A5">
        <v>2031475878</v>
      </c>
      <c r="B5" t="s">
        <v>428</v>
      </c>
      <c r="C5" t="s">
        <v>429</v>
      </c>
      <c r="D5" t="str">
        <f t="shared" si="1"/>
        <v>ANGEL LIAO</v>
      </c>
      <c r="E5" t="s">
        <v>51</v>
      </c>
      <c r="F5" t="s">
        <v>69</v>
      </c>
      <c r="G5" t="s">
        <v>361</v>
      </c>
      <c r="H5" t="s">
        <v>430</v>
      </c>
      <c r="I5" t="s">
        <v>1095</v>
      </c>
      <c r="J5" t="s">
        <v>74</v>
      </c>
      <c r="K5" t="s">
        <v>75</v>
      </c>
      <c r="L5" t="str">
        <f t="shared" si="0"/>
        <v>Andrew Choi</v>
      </c>
      <c r="M5" t="s">
        <v>57</v>
      </c>
      <c r="N5" s="1">
        <v>45962</v>
      </c>
      <c r="O5" s="1">
        <v>45992</v>
      </c>
      <c r="P5" s="2">
        <v>15</v>
      </c>
      <c r="Q5">
        <v>1</v>
      </c>
      <c r="R5" t="s">
        <v>58</v>
      </c>
      <c r="S5" s="3">
        <v>0.38</v>
      </c>
      <c r="T5" t="s">
        <v>60</v>
      </c>
      <c r="U5" t="s">
        <v>408</v>
      </c>
      <c r="V5">
        <v>6</v>
      </c>
      <c r="W5" s="2">
        <v>34.200000000000003</v>
      </c>
      <c r="X5" s="2">
        <v>5.7</v>
      </c>
      <c r="Y5" t="s">
        <v>430</v>
      </c>
    </row>
    <row r="6" spans="1:25" x14ac:dyDescent="0.25">
      <c r="A6">
        <v>2031475877</v>
      </c>
      <c r="B6" t="s">
        <v>428</v>
      </c>
      <c r="C6" t="s">
        <v>429</v>
      </c>
      <c r="D6" t="str">
        <f t="shared" si="1"/>
        <v>ANGEL LIAO</v>
      </c>
      <c r="E6" t="s">
        <v>51</v>
      </c>
      <c r="F6" t="s">
        <v>69</v>
      </c>
      <c r="G6" t="s">
        <v>53</v>
      </c>
      <c r="H6" t="s">
        <v>54</v>
      </c>
      <c r="I6" t="s">
        <v>1095</v>
      </c>
      <c r="J6" t="s">
        <v>74</v>
      </c>
      <c r="K6" t="s">
        <v>75</v>
      </c>
      <c r="L6" t="str">
        <f t="shared" si="0"/>
        <v>Andrew Choi</v>
      </c>
      <c r="M6" t="s">
        <v>57</v>
      </c>
      <c r="N6" s="1">
        <v>45962</v>
      </c>
      <c r="O6" s="1">
        <v>45992</v>
      </c>
      <c r="P6" s="2">
        <v>34.68</v>
      </c>
      <c r="Q6">
        <v>1</v>
      </c>
      <c r="R6" t="s">
        <v>58</v>
      </c>
      <c r="S6" s="3">
        <v>0.7</v>
      </c>
      <c r="T6" t="s">
        <v>60</v>
      </c>
      <c r="U6" t="s">
        <v>408</v>
      </c>
      <c r="V6">
        <v>6</v>
      </c>
      <c r="W6" s="2">
        <v>145.68</v>
      </c>
      <c r="X6" s="2">
        <v>24.28</v>
      </c>
      <c r="Y6" t="s">
        <v>54</v>
      </c>
    </row>
    <row r="7" spans="1:25" x14ac:dyDescent="0.25">
      <c r="A7">
        <v>2031684818</v>
      </c>
      <c r="B7" t="s">
        <v>414</v>
      </c>
      <c r="C7" t="s">
        <v>415</v>
      </c>
      <c r="D7" t="str">
        <f t="shared" si="1"/>
        <v>BENJAMIN KIM</v>
      </c>
      <c r="E7" t="s">
        <v>51</v>
      </c>
      <c r="F7" t="s">
        <v>69</v>
      </c>
      <c r="G7" t="s">
        <v>53</v>
      </c>
      <c r="H7" t="s">
        <v>54</v>
      </c>
      <c r="I7" t="s">
        <v>1095</v>
      </c>
      <c r="J7" t="s">
        <v>74</v>
      </c>
      <c r="K7" t="s">
        <v>75</v>
      </c>
      <c r="L7" t="str">
        <f t="shared" si="0"/>
        <v>Andrew Choi</v>
      </c>
      <c r="M7" t="s">
        <v>57</v>
      </c>
      <c r="N7" s="1">
        <v>45962</v>
      </c>
      <c r="O7" s="1">
        <v>45992</v>
      </c>
      <c r="P7" s="2">
        <v>56.62</v>
      </c>
      <c r="Q7">
        <v>1</v>
      </c>
      <c r="R7" t="s">
        <v>58</v>
      </c>
      <c r="S7" s="3">
        <v>0.7</v>
      </c>
      <c r="T7" t="s">
        <v>60</v>
      </c>
      <c r="U7" t="s">
        <v>408</v>
      </c>
      <c r="V7">
        <v>6</v>
      </c>
      <c r="W7" s="2">
        <v>237.78</v>
      </c>
      <c r="X7" s="2">
        <v>39.630000000000003</v>
      </c>
      <c r="Y7" t="s">
        <v>54</v>
      </c>
    </row>
    <row r="8" spans="1:25" x14ac:dyDescent="0.25">
      <c r="A8">
        <v>2031684819</v>
      </c>
      <c r="B8" t="s">
        <v>414</v>
      </c>
      <c r="C8" t="s">
        <v>415</v>
      </c>
      <c r="D8" t="str">
        <f t="shared" si="1"/>
        <v>BENJAMIN KIM</v>
      </c>
      <c r="E8" t="s">
        <v>51</v>
      </c>
      <c r="F8" t="s">
        <v>69</v>
      </c>
      <c r="G8" t="s">
        <v>378</v>
      </c>
      <c r="H8" t="s">
        <v>379</v>
      </c>
      <c r="I8" t="s">
        <v>1095</v>
      </c>
      <c r="J8" t="s">
        <v>74</v>
      </c>
      <c r="K8" t="s">
        <v>75</v>
      </c>
      <c r="L8" t="str">
        <f t="shared" si="0"/>
        <v>Andrew Choi</v>
      </c>
      <c r="M8" t="s">
        <v>57</v>
      </c>
      <c r="N8" s="1">
        <v>45962</v>
      </c>
      <c r="O8" s="1">
        <v>45992</v>
      </c>
      <c r="P8" s="2">
        <v>149.87</v>
      </c>
      <c r="Q8">
        <v>1</v>
      </c>
      <c r="R8" t="s">
        <v>58</v>
      </c>
      <c r="S8" s="4">
        <v>0.375</v>
      </c>
      <c r="T8" t="s">
        <v>60</v>
      </c>
      <c r="U8" t="s">
        <v>408</v>
      </c>
      <c r="V8">
        <v>6</v>
      </c>
      <c r="W8" s="2">
        <v>337.2</v>
      </c>
      <c r="X8" s="2">
        <v>56.2</v>
      </c>
      <c r="Y8" t="s">
        <v>379</v>
      </c>
    </row>
    <row r="9" spans="1:25" x14ac:dyDescent="0.25">
      <c r="A9">
        <v>2031808342</v>
      </c>
      <c r="B9" t="s">
        <v>471</v>
      </c>
      <c r="C9" t="s">
        <v>167</v>
      </c>
      <c r="D9" t="str">
        <f t="shared" si="1"/>
        <v>CHARLES NKENG</v>
      </c>
      <c r="E9" t="s">
        <v>51</v>
      </c>
      <c r="F9" t="s">
        <v>118</v>
      </c>
      <c r="G9" t="s">
        <v>53</v>
      </c>
      <c r="H9" t="s">
        <v>257</v>
      </c>
      <c r="I9" t="s">
        <v>1096</v>
      </c>
      <c r="J9" t="s">
        <v>458</v>
      </c>
      <c r="K9" t="s">
        <v>459</v>
      </c>
      <c r="L9" t="str">
        <f t="shared" si="0"/>
        <v>Brittany Oliver</v>
      </c>
      <c r="M9" t="s">
        <v>57</v>
      </c>
      <c r="N9" s="1">
        <v>45962</v>
      </c>
      <c r="O9" s="1">
        <v>45992</v>
      </c>
      <c r="P9" s="2">
        <v>48</v>
      </c>
      <c r="Q9">
        <v>1</v>
      </c>
      <c r="R9" t="s">
        <v>58</v>
      </c>
      <c r="S9" s="3">
        <v>0.7</v>
      </c>
      <c r="T9" t="s">
        <v>60</v>
      </c>
      <c r="U9" t="s">
        <v>408</v>
      </c>
      <c r="V9">
        <v>6</v>
      </c>
      <c r="W9" s="2">
        <v>201.6</v>
      </c>
      <c r="X9" s="2">
        <v>33.6</v>
      </c>
      <c r="Y9" t="s">
        <v>119</v>
      </c>
    </row>
    <row r="10" spans="1:25" x14ac:dyDescent="0.25">
      <c r="A10">
        <v>2031765088</v>
      </c>
      <c r="B10" t="s">
        <v>456</v>
      </c>
      <c r="C10" t="s">
        <v>457</v>
      </c>
      <c r="D10" t="str">
        <f t="shared" si="1"/>
        <v>AMADOU TALL</v>
      </c>
      <c r="E10" t="s">
        <v>51</v>
      </c>
      <c r="F10" t="s">
        <v>118</v>
      </c>
      <c r="G10" t="s">
        <v>53</v>
      </c>
      <c r="H10" t="s">
        <v>122</v>
      </c>
      <c r="I10" t="s">
        <v>1096</v>
      </c>
      <c r="J10" t="s">
        <v>458</v>
      </c>
      <c r="K10" t="s">
        <v>459</v>
      </c>
      <c r="L10" t="str">
        <f t="shared" si="0"/>
        <v>Brittany Oliver</v>
      </c>
      <c r="M10" t="s">
        <v>57</v>
      </c>
      <c r="N10" s="1">
        <v>45953</v>
      </c>
      <c r="O10" s="1">
        <v>45984</v>
      </c>
      <c r="P10" s="2">
        <v>32.700000000000003</v>
      </c>
      <c r="Q10">
        <v>1</v>
      </c>
      <c r="R10" t="s">
        <v>58</v>
      </c>
      <c r="S10" s="3">
        <v>0.42</v>
      </c>
      <c r="T10" t="s">
        <v>60</v>
      </c>
      <c r="U10" t="s">
        <v>408</v>
      </c>
      <c r="V10">
        <v>6</v>
      </c>
      <c r="W10" s="2">
        <v>82.38</v>
      </c>
      <c r="X10" s="2">
        <v>13.73</v>
      </c>
      <c r="Y10" t="s">
        <v>122</v>
      </c>
    </row>
    <row r="11" spans="1:25" x14ac:dyDescent="0.25">
      <c r="A11">
        <v>2031766018</v>
      </c>
      <c r="B11" t="s">
        <v>460</v>
      </c>
      <c r="C11" t="s">
        <v>202</v>
      </c>
      <c r="D11" t="str">
        <f t="shared" si="1"/>
        <v>LAURA DERUSHA</v>
      </c>
      <c r="E11" t="s">
        <v>51</v>
      </c>
      <c r="F11" t="s">
        <v>69</v>
      </c>
      <c r="G11" t="s">
        <v>53</v>
      </c>
      <c r="H11" t="s">
        <v>54</v>
      </c>
      <c r="I11" t="s">
        <v>1097</v>
      </c>
      <c r="J11" t="s">
        <v>218</v>
      </c>
      <c r="K11" t="s">
        <v>219</v>
      </c>
      <c r="L11" t="str">
        <f t="shared" si="0"/>
        <v>CHRISTIAN TAUGNER</v>
      </c>
      <c r="M11" t="s">
        <v>57</v>
      </c>
      <c r="N11" s="1">
        <v>45953</v>
      </c>
      <c r="O11" s="1">
        <v>45984</v>
      </c>
      <c r="P11" s="2">
        <v>74</v>
      </c>
      <c r="Q11">
        <v>1</v>
      </c>
      <c r="R11" t="s">
        <v>58</v>
      </c>
      <c r="S11" s="3">
        <v>0.7</v>
      </c>
      <c r="T11" t="s">
        <v>60</v>
      </c>
      <c r="U11" t="s">
        <v>408</v>
      </c>
      <c r="V11">
        <v>6</v>
      </c>
      <c r="W11" s="2">
        <v>310.8</v>
      </c>
      <c r="X11" s="2">
        <v>51.8</v>
      </c>
      <c r="Y11" t="s">
        <v>54</v>
      </c>
    </row>
    <row r="12" spans="1:25" x14ac:dyDescent="0.25">
      <c r="A12">
        <v>2031615385</v>
      </c>
      <c r="B12" t="s">
        <v>445</v>
      </c>
      <c r="C12" t="s">
        <v>446</v>
      </c>
      <c r="D12" t="str">
        <f t="shared" si="1"/>
        <v>ROBIN CHRIST</v>
      </c>
      <c r="E12" t="s">
        <v>51</v>
      </c>
      <c r="F12" t="s">
        <v>69</v>
      </c>
      <c r="G12" t="s">
        <v>309</v>
      </c>
      <c r="H12" t="s">
        <v>341</v>
      </c>
      <c r="I12" t="s">
        <v>1098</v>
      </c>
      <c r="J12" t="s">
        <v>447</v>
      </c>
      <c r="K12" t="s">
        <v>448</v>
      </c>
      <c r="L12" t="str">
        <f t="shared" si="0"/>
        <v>Dale Walenga</v>
      </c>
      <c r="M12" t="s">
        <v>57</v>
      </c>
      <c r="N12" s="1">
        <v>45962</v>
      </c>
      <c r="O12" s="1">
        <v>45992</v>
      </c>
      <c r="P12" s="2">
        <v>5.95</v>
      </c>
      <c r="Q12">
        <v>1</v>
      </c>
      <c r="R12" t="s">
        <v>58</v>
      </c>
      <c r="S12" s="3">
        <v>0.51</v>
      </c>
      <c r="T12" t="s">
        <v>60</v>
      </c>
      <c r="U12" t="s">
        <v>408</v>
      </c>
      <c r="V12">
        <v>6</v>
      </c>
      <c r="W12" s="2">
        <v>18.18</v>
      </c>
      <c r="X12" s="2">
        <v>3.03</v>
      </c>
      <c r="Y12" t="s">
        <v>340</v>
      </c>
    </row>
    <row r="13" spans="1:25" x14ac:dyDescent="0.25">
      <c r="A13">
        <v>2031615384</v>
      </c>
      <c r="B13" t="s">
        <v>445</v>
      </c>
      <c r="C13" t="s">
        <v>446</v>
      </c>
      <c r="D13" t="str">
        <f t="shared" si="1"/>
        <v>ROBIN CHRIST</v>
      </c>
      <c r="E13" t="s">
        <v>51</v>
      </c>
      <c r="F13" t="s">
        <v>69</v>
      </c>
      <c r="G13" t="s">
        <v>309</v>
      </c>
      <c r="H13" t="s">
        <v>340</v>
      </c>
      <c r="I13" t="s">
        <v>1098</v>
      </c>
      <c r="J13" t="s">
        <v>447</v>
      </c>
      <c r="K13" t="s">
        <v>448</v>
      </c>
      <c r="L13" t="str">
        <f t="shared" si="0"/>
        <v>Dale Walenga</v>
      </c>
      <c r="M13" t="s">
        <v>57</v>
      </c>
      <c r="N13" s="1">
        <v>45962</v>
      </c>
      <c r="O13" s="1">
        <v>45992</v>
      </c>
      <c r="P13" s="2">
        <v>35.270000000000003</v>
      </c>
      <c r="Q13">
        <v>1</v>
      </c>
      <c r="R13" t="s">
        <v>58</v>
      </c>
      <c r="S13" s="3">
        <v>0.51</v>
      </c>
      <c r="T13" t="s">
        <v>60</v>
      </c>
      <c r="U13" t="s">
        <v>408</v>
      </c>
      <c r="V13">
        <v>6</v>
      </c>
      <c r="W13" s="2">
        <v>107.94</v>
      </c>
      <c r="X13" s="2">
        <v>17.989999999999998</v>
      </c>
      <c r="Y13" t="s">
        <v>340</v>
      </c>
    </row>
    <row r="14" spans="1:25" x14ac:dyDescent="0.25">
      <c r="A14">
        <v>2031615386</v>
      </c>
      <c r="B14" t="s">
        <v>445</v>
      </c>
      <c r="C14" t="s">
        <v>446</v>
      </c>
      <c r="D14" t="str">
        <f t="shared" si="1"/>
        <v>ROBIN CHRIST</v>
      </c>
      <c r="E14" t="s">
        <v>51</v>
      </c>
      <c r="F14" t="s">
        <v>69</v>
      </c>
      <c r="G14" t="s">
        <v>53</v>
      </c>
      <c r="H14" t="s">
        <v>54</v>
      </c>
      <c r="I14" t="s">
        <v>1098</v>
      </c>
      <c r="J14" t="s">
        <v>447</v>
      </c>
      <c r="K14" t="s">
        <v>448</v>
      </c>
      <c r="L14" t="str">
        <f t="shared" si="0"/>
        <v>Dale Walenga</v>
      </c>
      <c r="M14" t="s">
        <v>57</v>
      </c>
      <c r="N14" s="1">
        <v>45962</v>
      </c>
      <c r="O14" s="1">
        <v>45992</v>
      </c>
      <c r="P14" s="2">
        <v>11.5</v>
      </c>
      <c r="Q14">
        <v>1</v>
      </c>
      <c r="R14" t="s">
        <v>58</v>
      </c>
      <c r="S14" s="3">
        <v>0.7</v>
      </c>
      <c r="T14" t="s">
        <v>60</v>
      </c>
      <c r="U14" t="s">
        <v>408</v>
      </c>
      <c r="V14">
        <v>6</v>
      </c>
      <c r="W14" s="2">
        <v>48.3</v>
      </c>
      <c r="X14" s="2">
        <v>8.0500000000000007</v>
      </c>
      <c r="Y14" t="s">
        <v>54</v>
      </c>
    </row>
    <row r="15" spans="1:25" x14ac:dyDescent="0.25">
      <c r="A15">
        <v>2031778888</v>
      </c>
      <c r="B15" t="s">
        <v>465</v>
      </c>
      <c r="C15" t="s">
        <v>273</v>
      </c>
      <c r="D15" t="str">
        <f t="shared" si="1"/>
        <v>TAMMY SAGE</v>
      </c>
      <c r="E15" t="s">
        <v>51</v>
      </c>
      <c r="F15" t="s">
        <v>69</v>
      </c>
      <c r="G15" t="s">
        <v>53</v>
      </c>
      <c r="H15" t="s">
        <v>122</v>
      </c>
      <c r="I15" t="s">
        <v>1099</v>
      </c>
      <c r="J15" t="s">
        <v>147</v>
      </c>
      <c r="K15" t="s">
        <v>148</v>
      </c>
      <c r="L15" t="str">
        <f t="shared" si="0"/>
        <v>FRANK LISKOVEC</v>
      </c>
      <c r="M15" t="s">
        <v>57</v>
      </c>
      <c r="N15" s="1">
        <v>45962</v>
      </c>
      <c r="O15" s="1">
        <v>45992</v>
      </c>
      <c r="P15" s="2">
        <v>25.08</v>
      </c>
      <c r="Q15">
        <v>1</v>
      </c>
      <c r="R15" t="s">
        <v>58</v>
      </c>
      <c r="S15" s="3">
        <v>0.42</v>
      </c>
      <c r="T15" t="s">
        <v>60</v>
      </c>
      <c r="U15" t="s">
        <v>408</v>
      </c>
      <c r="V15">
        <v>6</v>
      </c>
      <c r="W15" s="2">
        <v>63.18</v>
      </c>
      <c r="X15" s="2">
        <v>10.53</v>
      </c>
      <c r="Y15" t="s">
        <v>122</v>
      </c>
    </row>
    <row r="16" spans="1:25" x14ac:dyDescent="0.25">
      <c r="A16">
        <v>2031778889</v>
      </c>
      <c r="B16" t="s">
        <v>465</v>
      </c>
      <c r="C16" t="s">
        <v>273</v>
      </c>
      <c r="D16" t="str">
        <f t="shared" si="1"/>
        <v>TAMMY SAGE</v>
      </c>
      <c r="E16" t="s">
        <v>51</v>
      </c>
      <c r="F16" t="s">
        <v>69</v>
      </c>
      <c r="G16" t="s">
        <v>53</v>
      </c>
      <c r="H16" t="s">
        <v>54</v>
      </c>
      <c r="I16" t="s">
        <v>1099</v>
      </c>
      <c r="J16" t="s">
        <v>147</v>
      </c>
      <c r="K16" t="s">
        <v>148</v>
      </c>
      <c r="L16" t="str">
        <f t="shared" si="0"/>
        <v>FRANK LISKOVEC</v>
      </c>
      <c r="M16" t="s">
        <v>57</v>
      </c>
      <c r="N16" s="1">
        <v>45962</v>
      </c>
      <c r="O16" s="1">
        <v>45992</v>
      </c>
      <c r="P16" s="2">
        <v>112.95</v>
      </c>
      <c r="Q16">
        <v>1</v>
      </c>
      <c r="R16" t="s">
        <v>58</v>
      </c>
      <c r="S16" s="3">
        <v>0.7</v>
      </c>
      <c r="T16" t="s">
        <v>60</v>
      </c>
      <c r="U16" t="s">
        <v>408</v>
      </c>
      <c r="V16">
        <v>6</v>
      </c>
      <c r="W16" s="2">
        <v>474.36</v>
      </c>
      <c r="X16" s="2">
        <v>79.06</v>
      </c>
      <c r="Y16" t="s">
        <v>54</v>
      </c>
    </row>
    <row r="17" spans="1:25" x14ac:dyDescent="0.25">
      <c r="A17">
        <v>2031775762</v>
      </c>
      <c r="B17" t="s">
        <v>425</v>
      </c>
      <c r="C17" t="s">
        <v>153</v>
      </c>
      <c r="D17" t="str">
        <f t="shared" si="1"/>
        <v>DAVID SUGAR</v>
      </c>
      <c r="E17" t="s">
        <v>51</v>
      </c>
      <c r="F17" t="s">
        <v>92</v>
      </c>
      <c r="G17" t="s">
        <v>53</v>
      </c>
      <c r="H17" t="s">
        <v>257</v>
      </c>
      <c r="I17" t="s">
        <v>1100</v>
      </c>
      <c r="J17" t="s">
        <v>93</v>
      </c>
      <c r="K17" t="s">
        <v>94</v>
      </c>
      <c r="L17" t="str">
        <f t="shared" si="0"/>
        <v>Heather Geske</v>
      </c>
      <c r="M17" t="s">
        <v>57</v>
      </c>
      <c r="N17" s="1">
        <v>45954</v>
      </c>
      <c r="O17" s="1">
        <v>45985</v>
      </c>
      <c r="P17" s="2">
        <v>6.3</v>
      </c>
      <c r="Q17">
        <v>1</v>
      </c>
      <c r="R17" t="s">
        <v>58</v>
      </c>
      <c r="S17" s="3">
        <v>0.7</v>
      </c>
      <c r="T17" t="s">
        <v>60</v>
      </c>
      <c r="U17" t="s">
        <v>408</v>
      </c>
      <c r="V17">
        <v>6</v>
      </c>
      <c r="W17" s="2">
        <v>26.46</v>
      </c>
      <c r="X17" s="2">
        <v>4.41</v>
      </c>
      <c r="Y17" t="s">
        <v>119</v>
      </c>
    </row>
    <row r="18" spans="1:25" x14ac:dyDescent="0.25">
      <c r="A18">
        <v>2031775761</v>
      </c>
      <c r="B18" t="s">
        <v>425</v>
      </c>
      <c r="C18" t="s">
        <v>153</v>
      </c>
      <c r="D18" t="str">
        <f t="shared" si="1"/>
        <v>DAVID SUGAR</v>
      </c>
      <c r="E18" t="s">
        <v>51</v>
      </c>
      <c r="F18" t="s">
        <v>92</v>
      </c>
      <c r="G18" t="s">
        <v>369</v>
      </c>
      <c r="H18" t="s">
        <v>421</v>
      </c>
      <c r="I18" t="s">
        <v>1100</v>
      </c>
      <c r="J18" t="s">
        <v>93</v>
      </c>
      <c r="K18" t="s">
        <v>94</v>
      </c>
      <c r="L18" t="str">
        <f t="shared" si="0"/>
        <v>Heather Geske</v>
      </c>
      <c r="M18" t="s">
        <v>57</v>
      </c>
      <c r="N18" s="1">
        <v>45954</v>
      </c>
      <c r="O18" s="1">
        <v>45985</v>
      </c>
      <c r="P18" s="2">
        <v>59.29</v>
      </c>
      <c r="Q18">
        <v>1</v>
      </c>
      <c r="R18" t="s">
        <v>58</v>
      </c>
      <c r="S18" s="3">
        <v>0.75</v>
      </c>
      <c r="T18" t="s">
        <v>60</v>
      </c>
      <c r="U18" t="s">
        <v>408</v>
      </c>
      <c r="V18">
        <v>6</v>
      </c>
      <c r="W18" s="2">
        <v>266.82</v>
      </c>
      <c r="X18" s="2">
        <v>44.47</v>
      </c>
      <c r="Y18" t="s">
        <v>1089</v>
      </c>
    </row>
    <row r="19" spans="1:25" x14ac:dyDescent="0.25">
      <c r="A19">
        <v>2031775760</v>
      </c>
      <c r="B19" t="s">
        <v>425</v>
      </c>
      <c r="C19" t="s">
        <v>153</v>
      </c>
      <c r="D19" t="str">
        <f t="shared" si="1"/>
        <v>DAVID SUGAR</v>
      </c>
      <c r="E19" t="s">
        <v>51</v>
      </c>
      <c r="F19" t="s">
        <v>92</v>
      </c>
      <c r="G19" t="s">
        <v>53</v>
      </c>
      <c r="H19" t="s">
        <v>54</v>
      </c>
      <c r="I19" t="s">
        <v>1100</v>
      </c>
      <c r="J19" t="s">
        <v>93</v>
      </c>
      <c r="K19" t="s">
        <v>94</v>
      </c>
      <c r="L19" t="str">
        <f t="shared" si="0"/>
        <v>Heather Geske</v>
      </c>
      <c r="M19" t="s">
        <v>57</v>
      </c>
      <c r="N19" s="1">
        <v>45954</v>
      </c>
      <c r="O19" s="1">
        <v>45985</v>
      </c>
      <c r="P19" s="2">
        <v>9.1</v>
      </c>
      <c r="Q19">
        <v>1</v>
      </c>
      <c r="R19" t="s">
        <v>58</v>
      </c>
      <c r="S19" s="3">
        <v>0.7</v>
      </c>
      <c r="T19" t="s">
        <v>60</v>
      </c>
      <c r="U19" t="s">
        <v>408</v>
      </c>
      <c r="V19">
        <v>6</v>
      </c>
      <c r="W19" s="2">
        <v>38.22</v>
      </c>
      <c r="X19" s="2">
        <v>6.37</v>
      </c>
      <c r="Y19" t="s">
        <v>54</v>
      </c>
    </row>
    <row r="20" spans="1:25" x14ac:dyDescent="0.25">
      <c r="A20">
        <v>2031799852</v>
      </c>
      <c r="B20" t="s">
        <v>467</v>
      </c>
      <c r="C20" t="s">
        <v>413</v>
      </c>
      <c r="D20" t="str">
        <f t="shared" si="1"/>
        <v>BRIAN SANDBERG</v>
      </c>
      <c r="E20" t="s">
        <v>51</v>
      </c>
      <c r="F20" t="s">
        <v>52</v>
      </c>
      <c r="G20" t="s">
        <v>53</v>
      </c>
      <c r="H20" t="s">
        <v>54</v>
      </c>
      <c r="I20" t="s">
        <v>1094</v>
      </c>
      <c r="J20" t="s">
        <v>175</v>
      </c>
      <c r="K20" t="s">
        <v>176</v>
      </c>
      <c r="L20" t="str">
        <f t="shared" si="0"/>
        <v>Jake Shulman</v>
      </c>
      <c r="M20" t="s">
        <v>57</v>
      </c>
      <c r="N20" s="1">
        <v>45957</v>
      </c>
      <c r="O20" s="1">
        <v>45988</v>
      </c>
      <c r="P20" s="2">
        <v>50.9</v>
      </c>
      <c r="Q20">
        <v>1</v>
      </c>
      <c r="R20" t="s">
        <v>58</v>
      </c>
      <c r="S20" s="3">
        <v>0.7</v>
      </c>
      <c r="T20" t="s">
        <v>60</v>
      </c>
      <c r="U20" t="s">
        <v>408</v>
      </c>
      <c r="V20">
        <v>6</v>
      </c>
      <c r="W20" s="2">
        <v>213.78</v>
      </c>
      <c r="X20" s="2">
        <v>35.630000000000003</v>
      </c>
      <c r="Y20" t="s">
        <v>54</v>
      </c>
    </row>
    <row r="21" spans="1:25" x14ac:dyDescent="0.25">
      <c r="A21">
        <v>2031805822</v>
      </c>
      <c r="B21" t="s">
        <v>468</v>
      </c>
      <c r="C21" t="s">
        <v>354</v>
      </c>
      <c r="D21" t="str">
        <f t="shared" si="1"/>
        <v>JAMES HAMILTON</v>
      </c>
      <c r="E21" t="s">
        <v>51</v>
      </c>
      <c r="F21" t="s">
        <v>165</v>
      </c>
      <c r="G21" t="s">
        <v>53</v>
      </c>
      <c r="H21" t="s">
        <v>54</v>
      </c>
      <c r="I21" t="s">
        <v>1101</v>
      </c>
      <c r="J21" t="s">
        <v>469</v>
      </c>
      <c r="K21" t="s">
        <v>470</v>
      </c>
      <c r="L21" t="str">
        <f t="shared" si="0"/>
        <v>Kirk Tigue</v>
      </c>
      <c r="M21" t="s">
        <v>57</v>
      </c>
      <c r="N21" s="1">
        <v>45955</v>
      </c>
      <c r="O21" s="1">
        <v>45986</v>
      </c>
      <c r="P21" s="2">
        <v>83</v>
      </c>
      <c r="Q21">
        <v>1</v>
      </c>
      <c r="R21" t="s">
        <v>58</v>
      </c>
      <c r="S21" s="3">
        <v>0.7</v>
      </c>
      <c r="T21" t="s">
        <v>60</v>
      </c>
      <c r="U21" t="s">
        <v>408</v>
      </c>
      <c r="V21">
        <v>6</v>
      </c>
      <c r="W21" s="2">
        <v>348.6</v>
      </c>
      <c r="X21" s="2">
        <v>58.1</v>
      </c>
      <c r="Y21" t="s">
        <v>54</v>
      </c>
    </row>
    <row r="22" spans="1:25" x14ac:dyDescent="0.25">
      <c r="A22">
        <v>2031804599</v>
      </c>
      <c r="B22" t="s">
        <v>432</v>
      </c>
      <c r="C22" t="s">
        <v>433</v>
      </c>
      <c r="D22" t="str">
        <f t="shared" si="1"/>
        <v>LESLIE RARDIN</v>
      </c>
      <c r="E22" t="s">
        <v>51</v>
      </c>
      <c r="F22" t="s">
        <v>179</v>
      </c>
      <c r="G22" t="s">
        <v>361</v>
      </c>
      <c r="H22" t="s">
        <v>434</v>
      </c>
      <c r="I22" t="s">
        <v>1102</v>
      </c>
      <c r="J22" t="s">
        <v>435</v>
      </c>
      <c r="K22" t="s">
        <v>436</v>
      </c>
      <c r="L22" t="str">
        <f t="shared" si="0"/>
        <v>Marsha Sanderock</v>
      </c>
      <c r="M22" t="s">
        <v>57</v>
      </c>
      <c r="N22" s="1">
        <v>45955</v>
      </c>
      <c r="O22" s="1">
        <v>45986</v>
      </c>
      <c r="P22" s="2">
        <v>15</v>
      </c>
      <c r="Q22">
        <v>1</v>
      </c>
      <c r="R22" t="s">
        <v>58</v>
      </c>
      <c r="S22" s="3">
        <v>0.19</v>
      </c>
      <c r="T22" t="s">
        <v>60</v>
      </c>
      <c r="U22" t="s">
        <v>408</v>
      </c>
      <c r="V22">
        <v>6</v>
      </c>
      <c r="W22" s="2">
        <v>17.100000000000001</v>
      </c>
      <c r="X22" s="2">
        <v>2.85</v>
      </c>
      <c r="Y22" t="s">
        <v>434</v>
      </c>
    </row>
    <row r="23" spans="1:25" x14ac:dyDescent="0.25">
      <c r="A23">
        <v>2031804598</v>
      </c>
      <c r="B23" t="s">
        <v>432</v>
      </c>
      <c r="C23" t="s">
        <v>433</v>
      </c>
      <c r="D23" t="str">
        <f t="shared" si="1"/>
        <v>LESLIE RARDIN</v>
      </c>
      <c r="E23" t="s">
        <v>51</v>
      </c>
      <c r="F23" t="s">
        <v>179</v>
      </c>
      <c r="G23" t="s">
        <v>262</v>
      </c>
      <c r="H23" t="s">
        <v>478</v>
      </c>
      <c r="I23" t="s">
        <v>1102</v>
      </c>
      <c r="J23" t="s">
        <v>435</v>
      </c>
      <c r="K23" t="s">
        <v>436</v>
      </c>
      <c r="L23" t="str">
        <f t="shared" si="0"/>
        <v>Marsha Sanderock</v>
      </c>
      <c r="M23" t="s">
        <v>57</v>
      </c>
      <c r="N23" s="1">
        <v>45955</v>
      </c>
      <c r="O23" s="1">
        <v>45986</v>
      </c>
      <c r="P23" s="2">
        <v>832.5</v>
      </c>
      <c r="Q23">
        <v>1</v>
      </c>
      <c r="R23" t="s">
        <v>58</v>
      </c>
      <c r="S23" s="3">
        <v>0.19</v>
      </c>
      <c r="T23" t="s">
        <v>60</v>
      </c>
      <c r="U23" t="s">
        <v>408</v>
      </c>
      <c r="V23">
        <v>6</v>
      </c>
      <c r="W23" s="2">
        <v>949.08</v>
      </c>
      <c r="X23" s="2">
        <v>158.18</v>
      </c>
      <c r="Y23" t="s">
        <v>478</v>
      </c>
    </row>
    <row r="24" spans="1:25" x14ac:dyDescent="0.25">
      <c r="A24">
        <v>2031718267</v>
      </c>
      <c r="B24" t="s">
        <v>403</v>
      </c>
      <c r="C24" t="s">
        <v>404</v>
      </c>
      <c r="D24" t="str">
        <f t="shared" si="1"/>
        <v>LORA KINDER</v>
      </c>
      <c r="E24" t="s">
        <v>51</v>
      </c>
      <c r="F24" t="s">
        <v>69</v>
      </c>
      <c r="G24" t="s">
        <v>395</v>
      </c>
      <c r="H24" t="s">
        <v>405</v>
      </c>
      <c r="I24" t="s">
        <v>1103</v>
      </c>
      <c r="J24" t="s">
        <v>406</v>
      </c>
      <c r="K24" t="s">
        <v>407</v>
      </c>
      <c r="L24" t="str">
        <f t="shared" si="0"/>
        <v>Matthew Sherman</v>
      </c>
      <c r="M24" t="s">
        <v>57</v>
      </c>
      <c r="N24" s="1">
        <v>45962</v>
      </c>
      <c r="O24" s="1">
        <v>45992</v>
      </c>
      <c r="P24" s="2">
        <v>97.45</v>
      </c>
      <c r="Q24">
        <v>1</v>
      </c>
      <c r="R24" t="s">
        <v>58</v>
      </c>
      <c r="S24" s="3">
        <v>0.6</v>
      </c>
      <c r="T24" t="s">
        <v>60</v>
      </c>
      <c r="U24" t="s">
        <v>408</v>
      </c>
      <c r="V24">
        <v>6</v>
      </c>
      <c r="W24" s="2">
        <v>350.82</v>
      </c>
      <c r="X24" s="2">
        <v>58.47</v>
      </c>
      <c r="Y24" t="s">
        <v>405</v>
      </c>
    </row>
    <row r="25" spans="1:25" x14ac:dyDescent="0.25">
      <c r="A25">
        <v>2031823475</v>
      </c>
      <c r="B25" t="s">
        <v>472</v>
      </c>
      <c r="C25" t="s">
        <v>473</v>
      </c>
      <c r="D25" t="str">
        <f t="shared" si="1"/>
        <v>MAURICE ELZY</v>
      </c>
      <c r="E25" t="s">
        <v>51</v>
      </c>
      <c r="F25" t="s">
        <v>69</v>
      </c>
      <c r="G25" t="s">
        <v>53</v>
      </c>
      <c r="H25" t="s">
        <v>54</v>
      </c>
      <c r="I25" t="s">
        <v>1104</v>
      </c>
      <c r="J25" t="s">
        <v>474</v>
      </c>
      <c r="K25" t="s">
        <v>475</v>
      </c>
      <c r="L25" t="str">
        <f t="shared" si="0"/>
        <v>Raluca Cheregi</v>
      </c>
      <c r="M25" t="s">
        <v>57</v>
      </c>
      <c r="N25" s="1">
        <v>45956</v>
      </c>
      <c r="O25" s="1">
        <v>45987</v>
      </c>
      <c r="P25" s="2">
        <v>148.32</v>
      </c>
      <c r="Q25">
        <v>1</v>
      </c>
      <c r="R25" t="s">
        <v>58</v>
      </c>
      <c r="S25" s="3">
        <v>0.7</v>
      </c>
      <c r="T25" t="s">
        <v>60</v>
      </c>
      <c r="U25" t="s">
        <v>408</v>
      </c>
      <c r="V25">
        <v>6</v>
      </c>
      <c r="W25" s="2">
        <v>622.91999999999996</v>
      </c>
      <c r="X25" s="2">
        <v>103.82</v>
      </c>
      <c r="Y25" t="s">
        <v>54</v>
      </c>
    </row>
    <row r="26" spans="1:25" x14ac:dyDescent="0.25">
      <c r="A26">
        <v>2031759933</v>
      </c>
      <c r="B26" t="s">
        <v>419</v>
      </c>
      <c r="C26" t="s">
        <v>420</v>
      </c>
      <c r="D26" t="str">
        <f t="shared" si="1"/>
        <v>KRISTA STARK</v>
      </c>
      <c r="E26" t="s">
        <v>51</v>
      </c>
      <c r="F26" t="s">
        <v>69</v>
      </c>
      <c r="G26" t="s">
        <v>369</v>
      </c>
      <c r="H26" t="s">
        <v>421</v>
      </c>
      <c r="I26" t="s">
        <v>1105</v>
      </c>
      <c r="J26" t="s">
        <v>70</v>
      </c>
      <c r="K26" t="s">
        <v>183</v>
      </c>
      <c r="L26" t="str">
        <f t="shared" si="0"/>
        <v>Richard Yale</v>
      </c>
      <c r="M26" t="s">
        <v>57</v>
      </c>
      <c r="N26" s="1">
        <v>45954</v>
      </c>
      <c r="O26" s="1">
        <v>45985</v>
      </c>
      <c r="P26" s="2">
        <v>25.33</v>
      </c>
      <c r="Q26">
        <v>1</v>
      </c>
      <c r="R26" t="s">
        <v>58</v>
      </c>
      <c r="S26" s="3">
        <v>0.75</v>
      </c>
      <c r="T26" t="s">
        <v>60</v>
      </c>
      <c r="U26" t="s">
        <v>408</v>
      </c>
      <c r="V26">
        <v>6</v>
      </c>
      <c r="W26" s="2">
        <v>114</v>
      </c>
      <c r="X26" s="2">
        <v>19</v>
      </c>
      <c r="Y26" t="s">
        <v>1089</v>
      </c>
    </row>
    <row r="27" spans="1:25" x14ac:dyDescent="0.25">
      <c r="A27">
        <v>2031759934</v>
      </c>
      <c r="B27" t="s">
        <v>419</v>
      </c>
      <c r="C27" t="s">
        <v>420</v>
      </c>
      <c r="D27" t="str">
        <f t="shared" si="1"/>
        <v>KRISTA STARK</v>
      </c>
      <c r="E27" t="s">
        <v>51</v>
      </c>
      <c r="F27" t="s">
        <v>69</v>
      </c>
      <c r="G27" t="s">
        <v>369</v>
      </c>
      <c r="H27" t="s">
        <v>375</v>
      </c>
      <c r="I27" t="s">
        <v>1105</v>
      </c>
      <c r="J27" t="s">
        <v>70</v>
      </c>
      <c r="K27" t="s">
        <v>183</v>
      </c>
      <c r="L27" t="str">
        <f t="shared" si="0"/>
        <v>Richard Yale</v>
      </c>
      <c r="M27" t="s">
        <v>57</v>
      </c>
      <c r="N27" s="1">
        <v>45954</v>
      </c>
      <c r="O27" s="1">
        <v>45985</v>
      </c>
      <c r="P27" s="2">
        <v>42.75</v>
      </c>
      <c r="Q27">
        <v>1</v>
      </c>
      <c r="R27" t="s">
        <v>58</v>
      </c>
      <c r="S27" s="3">
        <v>0.9</v>
      </c>
      <c r="T27" t="s">
        <v>60</v>
      </c>
      <c r="U27" t="s">
        <v>408</v>
      </c>
      <c r="V27">
        <v>6</v>
      </c>
      <c r="W27" s="2">
        <v>230.88</v>
      </c>
      <c r="X27" s="2">
        <v>38.479999999999997</v>
      </c>
      <c r="Y27" t="s">
        <v>1091</v>
      </c>
    </row>
    <row r="28" spans="1:25" x14ac:dyDescent="0.25">
      <c r="A28">
        <v>2031759932</v>
      </c>
      <c r="B28" t="s">
        <v>419</v>
      </c>
      <c r="C28" t="s">
        <v>420</v>
      </c>
      <c r="D28" t="str">
        <f t="shared" si="1"/>
        <v>KRISTA STARK</v>
      </c>
      <c r="E28" t="s">
        <v>51</v>
      </c>
      <c r="F28" t="s">
        <v>69</v>
      </c>
      <c r="G28" t="s">
        <v>53</v>
      </c>
      <c r="H28" t="s">
        <v>54</v>
      </c>
      <c r="I28" t="s">
        <v>1105</v>
      </c>
      <c r="J28" t="s">
        <v>70</v>
      </c>
      <c r="K28" t="s">
        <v>183</v>
      </c>
      <c r="L28" t="str">
        <f t="shared" si="0"/>
        <v>Richard Yale</v>
      </c>
      <c r="M28" t="s">
        <v>57</v>
      </c>
      <c r="N28" s="1">
        <v>45954</v>
      </c>
      <c r="O28" s="1">
        <v>45985</v>
      </c>
      <c r="P28" s="2">
        <v>63.95</v>
      </c>
      <c r="Q28">
        <v>1</v>
      </c>
      <c r="R28" t="s">
        <v>58</v>
      </c>
      <c r="S28" s="3">
        <v>0.7</v>
      </c>
      <c r="T28" t="s">
        <v>60</v>
      </c>
      <c r="U28" t="s">
        <v>408</v>
      </c>
      <c r="V28">
        <v>6</v>
      </c>
      <c r="W28" s="2">
        <v>268.56</v>
      </c>
      <c r="X28" s="2">
        <v>44.76</v>
      </c>
      <c r="Y28" t="s">
        <v>54</v>
      </c>
    </row>
    <row r="29" spans="1:25" x14ac:dyDescent="0.25">
      <c r="A29">
        <v>2031759931</v>
      </c>
      <c r="B29" t="s">
        <v>419</v>
      </c>
      <c r="C29" t="s">
        <v>420</v>
      </c>
      <c r="D29" t="str">
        <f t="shared" si="1"/>
        <v>KRISTA STARK</v>
      </c>
      <c r="E29" t="s">
        <v>51</v>
      </c>
      <c r="F29" t="s">
        <v>69</v>
      </c>
      <c r="G29" t="s">
        <v>378</v>
      </c>
      <c r="H29" t="s">
        <v>379</v>
      </c>
      <c r="I29" t="s">
        <v>1105</v>
      </c>
      <c r="J29" t="s">
        <v>70</v>
      </c>
      <c r="K29" t="s">
        <v>183</v>
      </c>
      <c r="L29" t="str">
        <f t="shared" si="0"/>
        <v>Richard Yale</v>
      </c>
      <c r="M29" t="s">
        <v>57</v>
      </c>
      <c r="N29" s="1">
        <v>45954</v>
      </c>
      <c r="O29" s="1">
        <v>45985</v>
      </c>
      <c r="P29" s="2">
        <v>77.48</v>
      </c>
      <c r="Q29">
        <v>1</v>
      </c>
      <c r="R29" t="s">
        <v>58</v>
      </c>
      <c r="S29" s="4">
        <v>0.375</v>
      </c>
      <c r="T29" t="s">
        <v>60</v>
      </c>
      <c r="U29" t="s">
        <v>408</v>
      </c>
      <c r="V29">
        <v>6</v>
      </c>
      <c r="W29" s="2">
        <v>174.36</v>
      </c>
      <c r="X29" s="2">
        <v>29.06</v>
      </c>
      <c r="Y29" t="s">
        <v>379</v>
      </c>
    </row>
    <row r="30" spans="1:25" x14ac:dyDescent="0.25">
      <c r="A30">
        <v>2031750243</v>
      </c>
      <c r="B30" t="s">
        <v>453</v>
      </c>
      <c r="C30" t="s">
        <v>454</v>
      </c>
      <c r="D30" t="str">
        <f t="shared" si="1"/>
        <v>KITTY KENNERLY</v>
      </c>
      <c r="E30" t="s">
        <v>51</v>
      </c>
      <c r="F30" t="s">
        <v>455</v>
      </c>
      <c r="G30" t="s">
        <v>53</v>
      </c>
      <c r="H30" t="s">
        <v>54</v>
      </c>
      <c r="I30" t="s">
        <v>1106</v>
      </c>
      <c r="J30" t="s">
        <v>237</v>
      </c>
      <c r="K30" t="s">
        <v>103</v>
      </c>
      <c r="L30" t="str">
        <f t="shared" si="0"/>
        <v>THOMAS PARDUE</v>
      </c>
      <c r="M30" t="s">
        <v>57</v>
      </c>
      <c r="N30" s="1">
        <v>45952</v>
      </c>
      <c r="O30" s="1">
        <v>45983</v>
      </c>
      <c r="P30" s="2">
        <v>62.75</v>
      </c>
      <c r="Q30">
        <v>1</v>
      </c>
      <c r="R30" t="s">
        <v>58</v>
      </c>
      <c r="S30" s="3">
        <v>0.7</v>
      </c>
      <c r="T30" t="s">
        <v>60</v>
      </c>
      <c r="U30" t="s">
        <v>408</v>
      </c>
      <c r="V30">
        <v>6</v>
      </c>
      <c r="W30" s="2">
        <v>263.52</v>
      </c>
      <c r="X30" s="2">
        <v>43.92</v>
      </c>
      <c r="Y30" t="s">
        <v>54</v>
      </c>
    </row>
    <row r="31" spans="1:25" x14ac:dyDescent="0.25">
      <c r="A31">
        <v>2031709307</v>
      </c>
      <c r="B31" t="s">
        <v>449</v>
      </c>
      <c r="C31" t="s">
        <v>450</v>
      </c>
      <c r="D31" t="str">
        <f t="shared" si="1"/>
        <v>MILEAH LYONS</v>
      </c>
      <c r="E31" t="s">
        <v>51</v>
      </c>
      <c r="F31" t="s">
        <v>439</v>
      </c>
      <c r="G31" t="s">
        <v>53</v>
      </c>
      <c r="H31" t="s">
        <v>132</v>
      </c>
      <c r="I31" t="s">
        <v>1106</v>
      </c>
      <c r="J31" t="s">
        <v>237</v>
      </c>
      <c r="K31" t="s">
        <v>103</v>
      </c>
      <c r="L31" t="str">
        <f t="shared" si="0"/>
        <v>THOMAS PARDUE</v>
      </c>
      <c r="M31" t="s">
        <v>57</v>
      </c>
      <c r="N31" s="1">
        <v>45955</v>
      </c>
      <c r="O31" s="1">
        <v>45986</v>
      </c>
      <c r="P31" s="2">
        <v>21.83</v>
      </c>
      <c r="Q31">
        <v>1</v>
      </c>
      <c r="R31" t="s">
        <v>58</v>
      </c>
      <c r="S31" s="3">
        <v>0.9</v>
      </c>
      <c r="T31" t="s">
        <v>60</v>
      </c>
      <c r="U31" t="s">
        <v>408</v>
      </c>
      <c r="V31">
        <v>6</v>
      </c>
      <c r="W31" s="2">
        <v>117.9</v>
      </c>
      <c r="X31" s="2">
        <v>19.649999999999999</v>
      </c>
      <c r="Y31" t="s">
        <v>132</v>
      </c>
    </row>
    <row r="32" spans="1:25" x14ac:dyDescent="0.25">
      <c r="A32">
        <v>2031731468</v>
      </c>
      <c r="B32" t="s">
        <v>451</v>
      </c>
      <c r="C32" t="s">
        <v>452</v>
      </c>
      <c r="D32" t="str">
        <f t="shared" si="1"/>
        <v>WINSTON STERLING</v>
      </c>
      <c r="E32" t="s">
        <v>51</v>
      </c>
      <c r="F32" t="s">
        <v>439</v>
      </c>
      <c r="G32" t="s">
        <v>53</v>
      </c>
      <c r="H32" t="s">
        <v>132</v>
      </c>
      <c r="I32" t="s">
        <v>1106</v>
      </c>
      <c r="J32" t="s">
        <v>237</v>
      </c>
      <c r="K32" t="s">
        <v>103</v>
      </c>
      <c r="L32" t="str">
        <f t="shared" si="0"/>
        <v>THOMAS PARDUE</v>
      </c>
      <c r="M32" t="s">
        <v>57</v>
      </c>
      <c r="N32" s="1">
        <v>45951</v>
      </c>
      <c r="O32" s="1">
        <v>45982</v>
      </c>
      <c r="P32" s="2">
        <v>15.33</v>
      </c>
      <c r="Q32">
        <v>1</v>
      </c>
      <c r="R32" t="s">
        <v>58</v>
      </c>
      <c r="S32" s="3">
        <v>0.9</v>
      </c>
      <c r="T32" t="s">
        <v>60</v>
      </c>
      <c r="U32" t="s">
        <v>408</v>
      </c>
      <c r="V32">
        <v>6</v>
      </c>
      <c r="W32" s="2">
        <v>82.8</v>
      </c>
      <c r="X32" s="2">
        <v>13.8</v>
      </c>
      <c r="Y32" t="s">
        <v>132</v>
      </c>
    </row>
    <row r="33" spans="1:25" x14ac:dyDescent="0.25">
      <c r="A33">
        <v>2031750244</v>
      </c>
      <c r="B33" t="s">
        <v>453</v>
      </c>
      <c r="C33" t="s">
        <v>454</v>
      </c>
      <c r="D33" t="str">
        <f t="shared" si="1"/>
        <v>KITTY KENNERLY</v>
      </c>
      <c r="E33" t="s">
        <v>51</v>
      </c>
      <c r="F33" t="s">
        <v>455</v>
      </c>
      <c r="G33" t="s">
        <v>53</v>
      </c>
      <c r="H33" t="s">
        <v>132</v>
      </c>
      <c r="I33" t="s">
        <v>1106</v>
      </c>
      <c r="J33" t="s">
        <v>237</v>
      </c>
      <c r="K33" t="s">
        <v>103</v>
      </c>
      <c r="L33" t="str">
        <f t="shared" si="0"/>
        <v>THOMAS PARDUE</v>
      </c>
      <c r="M33" t="s">
        <v>57</v>
      </c>
      <c r="N33" s="1">
        <v>45952</v>
      </c>
      <c r="O33" s="1">
        <v>45983</v>
      </c>
      <c r="P33" s="2">
        <v>37.880000000000003</v>
      </c>
      <c r="Q33">
        <v>1</v>
      </c>
      <c r="R33" t="s">
        <v>58</v>
      </c>
      <c r="S33" s="3">
        <v>0.9</v>
      </c>
      <c r="T33" t="s">
        <v>60</v>
      </c>
      <c r="U33" t="s">
        <v>408</v>
      </c>
      <c r="V33">
        <v>6</v>
      </c>
      <c r="W33" s="2">
        <v>204.54</v>
      </c>
      <c r="X33" s="2">
        <v>34.090000000000003</v>
      </c>
      <c r="Y33" t="s">
        <v>132</v>
      </c>
    </row>
  </sheetData>
  <sortState xmlns:xlrd2="http://schemas.microsoft.com/office/spreadsheetml/2017/richdata2" ref="A2:AY33">
    <sortCondition ref="L2:L3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FDFF-B323-48E2-9C1B-D59CA8FE8535}">
  <dimension ref="A1:AB38"/>
  <sheetViews>
    <sheetView tabSelected="1" topLeftCell="A4" workbookViewId="0">
      <selection activeCell="H21" sqref="H21"/>
    </sheetView>
  </sheetViews>
  <sheetFormatPr defaultRowHeight="15" x14ac:dyDescent="0.25"/>
  <cols>
    <col min="1" max="1" width="11" bestFit="1" customWidth="1"/>
    <col min="3" max="3" width="14" customWidth="1"/>
    <col min="12" max="12" width="13.5703125" bestFit="1" customWidth="1"/>
    <col min="13" max="13" width="10.7109375" bestFit="1" customWidth="1"/>
    <col min="14" max="14" width="12" bestFit="1" customWidth="1"/>
    <col min="16" max="16" width="5.28515625" customWidth="1"/>
    <col min="19" max="19" width="3.42578125" customWidth="1"/>
    <col min="20" max="20" width="5" customWidth="1"/>
    <col min="21" max="21" width="4.42578125" customWidth="1"/>
    <col min="22" max="22" width="6.85546875" customWidth="1"/>
    <col min="28" max="28" width="11" bestFit="1" customWidth="1"/>
  </cols>
  <sheetData>
    <row r="1" spans="1:2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38</v>
      </c>
      <c r="Y1" t="s">
        <v>39</v>
      </c>
      <c r="Z1" t="s">
        <v>40</v>
      </c>
    </row>
    <row r="2" spans="1:26" s="5" customFormat="1" x14ac:dyDescent="0.25">
      <c r="A2" s="5">
        <v>2028215887</v>
      </c>
      <c r="B2" s="5" t="s">
        <v>391</v>
      </c>
      <c r="C2" s="5" t="s">
        <v>336</v>
      </c>
      <c r="D2" s="5" t="s">
        <v>51</v>
      </c>
      <c r="E2" s="5" t="s">
        <v>195</v>
      </c>
      <c r="F2" s="5" t="s">
        <v>395</v>
      </c>
      <c r="G2" s="5" t="s">
        <v>396</v>
      </c>
      <c r="H2" s="5">
        <v>751867</v>
      </c>
      <c r="I2" s="5" t="s">
        <v>349</v>
      </c>
      <c r="J2" s="5" t="s">
        <v>312</v>
      </c>
      <c r="K2" s="5" t="s">
        <v>359</v>
      </c>
      <c r="L2" s="6">
        <v>45751</v>
      </c>
      <c r="M2" s="6">
        <v>45957</v>
      </c>
      <c r="N2" s="6">
        <v>45965</v>
      </c>
      <c r="O2" s="7">
        <v>-40.159999999999997</v>
      </c>
      <c r="P2" s="5">
        <v>1</v>
      </c>
      <c r="Q2" s="5" t="s">
        <v>58</v>
      </c>
      <c r="R2" s="8">
        <v>0.6</v>
      </c>
      <c r="S2" s="5">
        <v>-1</v>
      </c>
      <c r="T2" s="5" t="s">
        <v>60</v>
      </c>
      <c r="U2" s="5" t="s">
        <v>61</v>
      </c>
      <c r="V2" s="5">
        <v>0</v>
      </c>
      <c r="W2" s="7">
        <v>0</v>
      </c>
      <c r="X2" s="7">
        <v>-24.1</v>
      </c>
      <c r="Y2" s="7">
        <v>-24.1</v>
      </c>
      <c r="Z2" s="7">
        <v>0</v>
      </c>
    </row>
    <row r="3" spans="1:26" s="5" customFormat="1" x14ac:dyDescent="0.25">
      <c r="A3" s="5">
        <v>2028215885</v>
      </c>
      <c r="B3" s="5" t="s">
        <v>391</v>
      </c>
      <c r="C3" s="5" t="s">
        <v>336</v>
      </c>
      <c r="D3" s="5" t="s">
        <v>51</v>
      </c>
      <c r="E3" s="5" t="s">
        <v>195</v>
      </c>
      <c r="F3" s="5" t="s">
        <v>355</v>
      </c>
      <c r="G3" s="5" t="s">
        <v>356</v>
      </c>
      <c r="H3" s="5">
        <v>751867</v>
      </c>
      <c r="I3" s="5" t="s">
        <v>349</v>
      </c>
      <c r="J3" s="5" t="s">
        <v>312</v>
      </c>
      <c r="K3" s="5" t="s">
        <v>359</v>
      </c>
      <c r="L3" s="6">
        <v>45751</v>
      </c>
      <c r="M3" s="6">
        <v>45957</v>
      </c>
      <c r="N3" s="6">
        <v>45965</v>
      </c>
      <c r="O3" s="7">
        <v>-55.16</v>
      </c>
      <c r="P3" s="5">
        <v>1</v>
      </c>
      <c r="Q3" s="5" t="s">
        <v>58</v>
      </c>
      <c r="R3" s="8">
        <v>0.38</v>
      </c>
      <c r="S3" s="5">
        <v>-1</v>
      </c>
      <c r="T3" s="5" t="s">
        <v>60</v>
      </c>
      <c r="U3" s="5" t="s">
        <v>61</v>
      </c>
      <c r="V3" s="5">
        <v>0</v>
      </c>
      <c r="W3" s="7">
        <v>0</v>
      </c>
      <c r="X3" s="7">
        <v>-20.96</v>
      </c>
      <c r="Y3" s="7">
        <v>-20.96</v>
      </c>
      <c r="Z3" s="7">
        <v>0</v>
      </c>
    </row>
    <row r="4" spans="1:26" s="5" customFormat="1" x14ac:dyDescent="0.25">
      <c r="A4" s="5">
        <v>2030269154</v>
      </c>
      <c r="B4" s="5" t="s">
        <v>385</v>
      </c>
      <c r="C4" s="5" t="s">
        <v>386</v>
      </c>
      <c r="D4" s="5" t="s">
        <v>51</v>
      </c>
      <c r="E4" s="5" t="s">
        <v>78</v>
      </c>
      <c r="F4" s="5" t="s">
        <v>355</v>
      </c>
      <c r="G4" s="5" t="s">
        <v>356</v>
      </c>
      <c r="H4" s="5">
        <v>751867</v>
      </c>
      <c r="I4" s="5" t="s">
        <v>349</v>
      </c>
      <c r="J4" s="5" t="s">
        <v>312</v>
      </c>
      <c r="K4" s="5" t="s">
        <v>359</v>
      </c>
      <c r="L4" s="6">
        <v>45871</v>
      </c>
      <c r="M4" s="6">
        <v>45957</v>
      </c>
      <c r="N4" s="6">
        <v>45963</v>
      </c>
      <c r="O4" s="7">
        <v>-14.64</v>
      </c>
      <c r="P4" s="5">
        <v>1</v>
      </c>
      <c r="Q4" s="5" t="s">
        <v>58</v>
      </c>
      <c r="R4" s="8">
        <v>0.38</v>
      </c>
      <c r="S4" s="5">
        <v>-1</v>
      </c>
      <c r="T4" s="5" t="s">
        <v>60</v>
      </c>
      <c r="U4" s="5" t="s">
        <v>61</v>
      </c>
      <c r="V4" s="5">
        <v>0</v>
      </c>
      <c r="W4" s="7">
        <v>0</v>
      </c>
      <c r="X4" s="7">
        <v>-5.56</v>
      </c>
      <c r="Y4" s="7">
        <v>-5.56</v>
      </c>
      <c r="Z4" s="7">
        <v>0</v>
      </c>
    </row>
    <row r="5" spans="1:26" s="5" customFormat="1" x14ac:dyDescent="0.25">
      <c r="A5" s="5">
        <v>2030269156</v>
      </c>
      <c r="B5" s="5" t="s">
        <v>385</v>
      </c>
      <c r="C5" s="5" t="s">
        <v>386</v>
      </c>
      <c r="D5" s="5" t="s">
        <v>51</v>
      </c>
      <c r="E5" s="5" t="s">
        <v>78</v>
      </c>
      <c r="F5" s="5" t="s">
        <v>361</v>
      </c>
      <c r="G5" s="5" t="s">
        <v>362</v>
      </c>
      <c r="H5" s="5">
        <v>751867</v>
      </c>
      <c r="I5" s="5" t="s">
        <v>349</v>
      </c>
      <c r="J5" s="5" t="s">
        <v>312</v>
      </c>
      <c r="K5" s="5" t="s">
        <v>359</v>
      </c>
      <c r="L5" s="6">
        <v>45871</v>
      </c>
      <c r="M5" s="6">
        <v>45957</v>
      </c>
      <c r="N5" s="6">
        <v>45963</v>
      </c>
      <c r="O5" s="7">
        <v>-5.81</v>
      </c>
      <c r="P5" s="5">
        <v>1</v>
      </c>
      <c r="Q5" s="5" t="s">
        <v>58</v>
      </c>
      <c r="R5" s="8">
        <v>0.38</v>
      </c>
      <c r="S5" s="5">
        <v>-1</v>
      </c>
      <c r="T5" s="5" t="s">
        <v>60</v>
      </c>
      <c r="U5" s="5" t="s">
        <v>61</v>
      </c>
      <c r="V5" s="5">
        <v>0</v>
      </c>
      <c r="W5" s="7">
        <v>0</v>
      </c>
      <c r="X5" s="7">
        <v>-2.21</v>
      </c>
      <c r="Y5" s="7">
        <v>-2.21</v>
      </c>
      <c r="Z5" s="7">
        <v>0</v>
      </c>
    </row>
    <row r="6" spans="1:26" s="5" customFormat="1" x14ac:dyDescent="0.25">
      <c r="A6" s="5">
        <v>2031693394</v>
      </c>
      <c r="B6" s="5" t="s">
        <v>400</v>
      </c>
      <c r="C6" s="5" t="s">
        <v>401</v>
      </c>
      <c r="D6" s="5" t="s">
        <v>51</v>
      </c>
      <c r="E6" s="5" t="s">
        <v>165</v>
      </c>
      <c r="F6" s="5" t="s">
        <v>361</v>
      </c>
      <c r="G6" s="5" t="s">
        <v>402</v>
      </c>
      <c r="H6" s="5">
        <v>823350</v>
      </c>
      <c r="I6" s="5" t="s">
        <v>70</v>
      </c>
      <c r="J6" s="5" t="s">
        <v>183</v>
      </c>
      <c r="K6" s="5" t="s">
        <v>359</v>
      </c>
      <c r="L6" s="6">
        <v>45948</v>
      </c>
      <c r="M6" s="6">
        <v>45957</v>
      </c>
      <c r="N6" s="6">
        <v>45979</v>
      </c>
      <c r="O6" s="7">
        <v>-15</v>
      </c>
      <c r="P6" s="5">
        <v>1</v>
      </c>
      <c r="Q6" s="5" t="s">
        <v>58</v>
      </c>
      <c r="R6" s="8">
        <v>0.28999999999999998</v>
      </c>
      <c r="S6" s="5">
        <v>-1</v>
      </c>
      <c r="T6" s="5" t="s">
        <v>60</v>
      </c>
      <c r="U6" s="5" t="s">
        <v>61</v>
      </c>
      <c r="V6" s="5">
        <v>0</v>
      </c>
      <c r="W6" s="7">
        <v>0</v>
      </c>
      <c r="X6" s="7">
        <v>-4.3499999999999996</v>
      </c>
      <c r="Y6" s="7">
        <v>-4.3499999999999996</v>
      </c>
      <c r="Z6" s="7">
        <v>0</v>
      </c>
    </row>
    <row r="7" spans="1:26" s="5" customFormat="1" x14ac:dyDescent="0.25">
      <c r="A7" s="5">
        <v>2028215886</v>
      </c>
      <c r="B7" s="5" t="s">
        <v>391</v>
      </c>
      <c r="C7" s="5" t="s">
        <v>336</v>
      </c>
      <c r="D7" s="5" t="s">
        <v>51</v>
      </c>
      <c r="E7" s="5" t="s">
        <v>195</v>
      </c>
      <c r="F7" s="5" t="s">
        <v>378</v>
      </c>
      <c r="G7" s="5" t="s">
        <v>379</v>
      </c>
      <c r="H7" s="5">
        <v>751867</v>
      </c>
      <c r="I7" s="5" t="s">
        <v>349</v>
      </c>
      <c r="J7" s="5" t="s">
        <v>312</v>
      </c>
      <c r="K7" s="5" t="s">
        <v>359</v>
      </c>
      <c r="L7" s="6">
        <v>45751</v>
      </c>
      <c r="M7" s="6">
        <v>45957</v>
      </c>
      <c r="N7" s="6">
        <v>45965</v>
      </c>
      <c r="O7" s="7">
        <v>-24.88</v>
      </c>
      <c r="P7" s="5">
        <v>1</v>
      </c>
      <c r="Q7" s="5" t="s">
        <v>58</v>
      </c>
      <c r="R7" s="9">
        <v>0.375</v>
      </c>
      <c r="S7" s="5">
        <v>-1</v>
      </c>
      <c r="T7" s="5" t="s">
        <v>60</v>
      </c>
      <c r="U7" s="5" t="s">
        <v>61</v>
      </c>
      <c r="V7" s="5">
        <v>0</v>
      </c>
      <c r="W7" s="7">
        <v>0</v>
      </c>
      <c r="X7" s="7">
        <v>-9.33</v>
      </c>
      <c r="Y7" s="7">
        <v>-9.33</v>
      </c>
      <c r="Z7" s="7">
        <v>0</v>
      </c>
    </row>
    <row r="8" spans="1:26" s="5" customFormat="1" x14ac:dyDescent="0.25">
      <c r="A8" s="5">
        <v>2028549719</v>
      </c>
      <c r="B8" s="5" t="s">
        <v>363</v>
      </c>
      <c r="C8" s="5" t="s">
        <v>364</v>
      </c>
      <c r="D8" s="5" t="s">
        <v>51</v>
      </c>
      <c r="E8" s="5" t="s">
        <v>69</v>
      </c>
      <c r="F8" s="5" t="s">
        <v>378</v>
      </c>
      <c r="G8" s="5" t="s">
        <v>379</v>
      </c>
      <c r="H8" s="5">
        <v>856824</v>
      </c>
      <c r="I8" s="5" t="s">
        <v>175</v>
      </c>
      <c r="J8" s="5" t="s">
        <v>176</v>
      </c>
      <c r="K8" s="5" t="s">
        <v>359</v>
      </c>
      <c r="L8" s="6">
        <v>45778</v>
      </c>
      <c r="M8" s="6">
        <v>45957</v>
      </c>
      <c r="N8" s="6">
        <v>45962</v>
      </c>
      <c r="O8" s="7">
        <v>-14.76</v>
      </c>
      <c r="P8" s="5">
        <v>1</v>
      </c>
      <c r="Q8" s="5" t="s">
        <v>58</v>
      </c>
      <c r="R8" s="9">
        <v>0.375</v>
      </c>
      <c r="S8" s="5">
        <v>-1</v>
      </c>
      <c r="T8" s="5" t="s">
        <v>60</v>
      </c>
      <c r="U8" s="5" t="s">
        <v>61</v>
      </c>
      <c r="V8" s="5">
        <v>0</v>
      </c>
      <c r="W8" s="7">
        <v>0</v>
      </c>
      <c r="X8" s="7">
        <v>-5.54</v>
      </c>
      <c r="Y8" s="7">
        <v>-5.54</v>
      </c>
      <c r="Z8" s="7">
        <v>0</v>
      </c>
    </row>
    <row r="9" spans="1:26" s="5" customFormat="1" x14ac:dyDescent="0.25">
      <c r="A9" s="5">
        <v>2030176830</v>
      </c>
      <c r="B9" s="5" t="s">
        <v>376</v>
      </c>
      <c r="C9" s="5" t="s">
        <v>377</v>
      </c>
      <c r="D9" s="5" t="s">
        <v>51</v>
      </c>
      <c r="E9" s="5" t="s">
        <v>165</v>
      </c>
      <c r="F9" s="5" t="s">
        <v>378</v>
      </c>
      <c r="G9" s="5" t="s">
        <v>379</v>
      </c>
      <c r="H9" s="5">
        <v>822733</v>
      </c>
      <c r="I9" s="5" t="s">
        <v>380</v>
      </c>
      <c r="J9" s="5" t="s">
        <v>381</v>
      </c>
      <c r="K9" s="5" t="s">
        <v>359</v>
      </c>
      <c r="L9" s="6">
        <v>45868</v>
      </c>
      <c r="M9" s="6">
        <v>45957</v>
      </c>
      <c r="N9" s="6">
        <v>45960</v>
      </c>
      <c r="O9" s="7">
        <v>-20.79</v>
      </c>
      <c r="P9" s="5">
        <v>1</v>
      </c>
      <c r="Q9" s="5" t="s">
        <v>58</v>
      </c>
      <c r="R9" s="9">
        <v>0.375</v>
      </c>
      <c r="S9" s="5">
        <v>-1</v>
      </c>
      <c r="T9" s="5" t="s">
        <v>60</v>
      </c>
      <c r="U9" s="5" t="s">
        <v>61</v>
      </c>
      <c r="V9" s="5">
        <v>0</v>
      </c>
      <c r="W9" s="7">
        <v>0</v>
      </c>
      <c r="X9" s="7">
        <v>-7.8</v>
      </c>
      <c r="Y9" s="7">
        <v>-7.8</v>
      </c>
      <c r="Z9" s="7">
        <v>0</v>
      </c>
    </row>
    <row r="10" spans="1:26" s="5" customFormat="1" x14ac:dyDescent="0.25">
      <c r="A10" s="5">
        <v>2030269155</v>
      </c>
      <c r="B10" s="5" t="s">
        <v>385</v>
      </c>
      <c r="C10" s="5" t="s">
        <v>386</v>
      </c>
      <c r="D10" s="5" t="s">
        <v>51</v>
      </c>
      <c r="E10" s="5" t="s">
        <v>78</v>
      </c>
      <c r="F10" s="5" t="s">
        <v>378</v>
      </c>
      <c r="G10" s="5" t="s">
        <v>379</v>
      </c>
      <c r="H10" s="5">
        <v>751867</v>
      </c>
      <c r="I10" s="5" t="s">
        <v>349</v>
      </c>
      <c r="J10" s="5" t="s">
        <v>312</v>
      </c>
      <c r="K10" s="5" t="s">
        <v>359</v>
      </c>
      <c r="L10" s="6">
        <v>45871</v>
      </c>
      <c r="M10" s="6">
        <v>45957</v>
      </c>
      <c r="N10" s="6">
        <v>45963</v>
      </c>
      <c r="O10" s="7">
        <v>-17</v>
      </c>
      <c r="P10" s="5">
        <v>1</v>
      </c>
      <c r="Q10" s="5" t="s">
        <v>58</v>
      </c>
      <c r="R10" s="9">
        <v>0.375</v>
      </c>
      <c r="S10" s="5">
        <v>-1</v>
      </c>
      <c r="T10" s="5" t="s">
        <v>60</v>
      </c>
      <c r="U10" s="5" t="s">
        <v>61</v>
      </c>
      <c r="V10" s="5">
        <v>0</v>
      </c>
      <c r="W10" s="7">
        <v>0</v>
      </c>
      <c r="X10" s="7">
        <v>-6.38</v>
      </c>
      <c r="Y10" s="7">
        <v>-6.38</v>
      </c>
      <c r="Z10" s="7">
        <v>0</v>
      </c>
    </row>
    <row r="11" spans="1:26" s="5" customFormat="1" x14ac:dyDescent="0.25">
      <c r="A11" s="5">
        <v>2031606026</v>
      </c>
      <c r="B11" s="5" t="s">
        <v>397</v>
      </c>
      <c r="C11" s="5" t="s">
        <v>312</v>
      </c>
      <c r="D11" s="5" t="s">
        <v>51</v>
      </c>
      <c r="E11" s="5" t="s">
        <v>261</v>
      </c>
      <c r="F11" s="5" t="s">
        <v>378</v>
      </c>
      <c r="G11" s="5" t="s">
        <v>379</v>
      </c>
      <c r="H11" s="5">
        <v>821015</v>
      </c>
      <c r="I11" s="5" t="s">
        <v>398</v>
      </c>
      <c r="J11" s="5" t="s">
        <v>399</v>
      </c>
      <c r="K11" s="5" t="s">
        <v>359</v>
      </c>
      <c r="L11" s="6">
        <v>45945</v>
      </c>
      <c r="M11" s="6">
        <v>45957</v>
      </c>
      <c r="N11" s="6">
        <v>45976</v>
      </c>
      <c r="O11" s="7">
        <v>-53.11</v>
      </c>
      <c r="P11" s="5">
        <v>1</v>
      </c>
      <c r="Q11" s="5" t="s">
        <v>58</v>
      </c>
      <c r="R11" s="9">
        <v>0.375</v>
      </c>
      <c r="S11" s="5">
        <v>-1</v>
      </c>
      <c r="T11" s="5" t="s">
        <v>60</v>
      </c>
      <c r="U11" s="5" t="s">
        <v>61</v>
      </c>
      <c r="V11" s="5">
        <v>0</v>
      </c>
      <c r="W11" s="7">
        <v>0</v>
      </c>
      <c r="X11" s="7">
        <v>-19.920000000000002</v>
      </c>
      <c r="Y11" s="7">
        <v>-19.920000000000002</v>
      </c>
      <c r="Z11" s="7">
        <v>0</v>
      </c>
    </row>
    <row r="12" spans="1:26" s="5" customFormat="1" x14ac:dyDescent="0.25">
      <c r="A12" s="5">
        <v>2027825905</v>
      </c>
      <c r="B12" s="5" t="s">
        <v>189</v>
      </c>
      <c r="C12" s="5" t="s">
        <v>392</v>
      </c>
      <c r="D12" s="5" t="s">
        <v>51</v>
      </c>
      <c r="E12" s="5" t="s">
        <v>52</v>
      </c>
      <c r="F12" s="5" t="s">
        <v>53</v>
      </c>
      <c r="G12" s="5" t="s">
        <v>54</v>
      </c>
      <c r="H12" s="5">
        <v>673059</v>
      </c>
      <c r="I12" s="5" t="s">
        <v>55</v>
      </c>
      <c r="J12" s="5" t="s">
        <v>56</v>
      </c>
      <c r="K12" s="5" t="s">
        <v>359</v>
      </c>
      <c r="L12" s="6">
        <v>45731</v>
      </c>
      <c r="M12" s="6">
        <v>45957</v>
      </c>
      <c r="N12" s="6">
        <v>45976</v>
      </c>
      <c r="O12" s="7">
        <v>-13.02</v>
      </c>
      <c r="P12" s="5">
        <v>1</v>
      </c>
      <c r="Q12" s="5" t="s">
        <v>58</v>
      </c>
      <c r="R12" s="8">
        <v>0.7</v>
      </c>
      <c r="S12" s="5">
        <v>-1</v>
      </c>
      <c r="T12" s="5" t="s">
        <v>60</v>
      </c>
      <c r="U12" s="5" t="s">
        <v>61</v>
      </c>
      <c r="V12" s="5">
        <v>0</v>
      </c>
      <c r="W12" s="7">
        <v>0</v>
      </c>
      <c r="X12" s="7">
        <v>-9.11</v>
      </c>
      <c r="Y12" s="7">
        <v>-9.11</v>
      </c>
      <c r="Z12" s="7">
        <v>0</v>
      </c>
    </row>
    <row r="13" spans="1:26" s="5" customFormat="1" x14ac:dyDescent="0.25">
      <c r="A13" s="5">
        <v>2027825906</v>
      </c>
      <c r="B13" s="5" t="s">
        <v>189</v>
      </c>
      <c r="C13" s="5" t="s">
        <v>392</v>
      </c>
      <c r="D13" s="5" t="s">
        <v>51</v>
      </c>
      <c r="E13" s="5" t="s">
        <v>52</v>
      </c>
      <c r="F13" s="5" t="s">
        <v>53</v>
      </c>
      <c r="G13" s="5" t="s">
        <v>257</v>
      </c>
      <c r="I13" s="5" t="s">
        <v>55</v>
      </c>
      <c r="J13" s="5" t="s">
        <v>56</v>
      </c>
      <c r="K13" s="5" t="s">
        <v>359</v>
      </c>
      <c r="L13" s="6">
        <v>45731</v>
      </c>
      <c r="M13" s="6">
        <v>45957</v>
      </c>
      <c r="N13" s="6">
        <v>45976</v>
      </c>
      <c r="O13" s="7">
        <v>-18.260000000000002</v>
      </c>
      <c r="P13" s="5">
        <v>1</v>
      </c>
      <c r="Q13" s="5" t="s">
        <v>58</v>
      </c>
      <c r="R13" s="8">
        <v>0.7</v>
      </c>
      <c r="S13" s="5">
        <v>-1</v>
      </c>
      <c r="T13" s="5" t="s">
        <v>60</v>
      </c>
      <c r="U13" s="5" t="s">
        <v>61</v>
      </c>
      <c r="V13" s="5">
        <v>0</v>
      </c>
      <c r="W13" s="7">
        <v>0</v>
      </c>
      <c r="X13" s="7">
        <v>-12.78</v>
      </c>
      <c r="Y13" s="7">
        <v>-12.78</v>
      </c>
      <c r="Z13" s="7">
        <v>0</v>
      </c>
    </row>
    <row r="14" spans="1:26" s="5" customFormat="1" x14ac:dyDescent="0.25">
      <c r="A14" s="5">
        <v>2028549720</v>
      </c>
      <c r="B14" s="5" t="s">
        <v>363</v>
      </c>
      <c r="C14" s="5" t="s">
        <v>364</v>
      </c>
      <c r="D14" s="5" t="s">
        <v>51</v>
      </c>
      <c r="E14" s="5" t="s">
        <v>69</v>
      </c>
      <c r="F14" s="5" t="s">
        <v>53</v>
      </c>
      <c r="G14" s="5" t="s">
        <v>54</v>
      </c>
      <c r="H14" s="5">
        <v>856824</v>
      </c>
      <c r="I14" s="5" t="s">
        <v>175</v>
      </c>
      <c r="J14" s="5" t="s">
        <v>176</v>
      </c>
      <c r="K14" s="5" t="s">
        <v>359</v>
      </c>
      <c r="L14" s="6">
        <v>45778</v>
      </c>
      <c r="M14" s="6">
        <v>45957</v>
      </c>
      <c r="N14" s="6">
        <v>45962</v>
      </c>
      <c r="O14" s="7">
        <v>-8.15</v>
      </c>
      <c r="P14" s="5">
        <v>1</v>
      </c>
      <c r="Q14" s="5" t="s">
        <v>58</v>
      </c>
      <c r="R14" s="8">
        <v>0.7</v>
      </c>
      <c r="S14" s="5">
        <v>-1</v>
      </c>
      <c r="T14" s="5" t="s">
        <v>60</v>
      </c>
      <c r="U14" s="5" t="s">
        <v>61</v>
      </c>
      <c r="V14" s="5">
        <v>0</v>
      </c>
      <c r="W14" s="7">
        <v>0</v>
      </c>
      <c r="X14" s="7">
        <v>-5.7</v>
      </c>
      <c r="Y14" s="7">
        <v>-5.7</v>
      </c>
      <c r="Z14" s="7">
        <v>0</v>
      </c>
    </row>
    <row r="15" spans="1:26" s="5" customFormat="1" x14ac:dyDescent="0.25">
      <c r="A15" s="5">
        <v>2030176831</v>
      </c>
      <c r="B15" s="5" t="s">
        <v>376</v>
      </c>
      <c r="C15" s="5" t="s">
        <v>377</v>
      </c>
      <c r="D15" s="5" t="s">
        <v>51</v>
      </c>
      <c r="E15" s="5" t="s">
        <v>165</v>
      </c>
      <c r="F15" s="5" t="s">
        <v>53</v>
      </c>
      <c r="G15" s="5" t="s">
        <v>54</v>
      </c>
      <c r="H15" s="5">
        <v>822733</v>
      </c>
      <c r="I15" s="5" t="s">
        <v>380</v>
      </c>
      <c r="J15" s="5" t="s">
        <v>381</v>
      </c>
      <c r="K15" s="5" t="s">
        <v>359</v>
      </c>
      <c r="L15" s="6">
        <v>45868</v>
      </c>
      <c r="M15" s="6">
        <v>45957</v>
      </c>
      <c r="N15" s="6">
        <v>45960</v>
      </c>
      <c r="O15" s="7">
        <v>-3.9</v>
      </c>
      <c r="P15" s="5">
        <v>1</v>
      </c>
      <c r="Q15" s="5" t="s">
        <v>58</v>
      </c>
      <c r="R15" s="8">
        <v>0.7</v>
      </c>
      <c r="S15" s="5">
        <v>-1</v>
      </c>
      <c r="T15" s="5" t="s">
        <v>60</v>
      </c>
      <c r="U15" s="5" t="s">
        <v>61</v>
      </c>
      <c r="V15" s="5">
        <v>0</v>
      </c>
      <c r="W15" s="7">
        <v>0</v>
      </c>
      <c r="X15" s="7">
        <v>-2.73</v>
      </c>
      <c r="Y15" s="7">
        <v>-2.73</v>
      </c>
      <c r="Z15" s="7">
        <v>0</v>
      </c>
    </row>
    <row r="16" spans="1:26" x14ac:dyDescent="0.25">
      <c r="L16" s="1"/>
      <c r="M16" s="1"/>
      <c r="N16" s="1"/>
      <c r="O16" s="2"/>
      <c r="R16" s="3"/>
      <c r="W16" s="2"/>
      <c r="X16" s="2"/>
      <c r="Y16" s="2"/>
      <c r="Z16" s="2"/>
    </row>
    <row r="17" spans="1:28" s="24" customFormat="1" x14ac:dyDescent="0.25">
      <c r="A17" s="24">
        <v>2029910877</v>
      </c>
      <c r="B17" s="24" t="s">
        <v>367</v>
      </c>
      <c r="C17" s="24" t="s">
        <v>368</v>
      </c>
      <c r="D17" s="24" t="s">
        <v>51</v>
      </c>
      <c r="F17" s="24" t="s">
        <v>369</v>
      </c>
      <c r="G17" s="24" t="s">
        <v>370</v>
      </c>
      <c r="H17" s="24">
        <v>792847</v>
      </c>
      <c r="I17" s="24" t="s">
        <v>371</v>
      </c>
      <c r="J17" s="24" t="s">
        <v>372</v>
      </c>
      <c r="K17" s="24" t="s">
        <v>359</v>
      </c>
      <c r="L17" s="25">
        <v>45850</v>
      </c>
      <c r="M17" s="25">
        <v>45957</v>
      </c>
      <c r="O17" s="26">
        <v>0</v>
      </c>
      <c r="V17" s="27"/>
      <c r="W17" s="26">
        <v>677.16</v>
      </c>
      <c r="X17" s="26">
        <v>677.16</v>
      </c>
      <c r="Y17" s="26">
        <v>0</v>
      </c>
      <c r="Z17" s="26">
        <v>0</v>
      </c>
    </row>
    <row r="18" spans="1:28" s="10" customFormat="1" x14ac:dyDescent="0.25">
      <c r="A18" s="10">
        <v>2030135277</v>
      </c>
      <c r="B18" s="10" t="s">
        <v>373</v>
      </c>
      <c r="C18" s="10" t="s">
        <v>374</v>
      </c>
      <c r="D18" s="10" t="s">
        <v>51</v>
      </c>
      <c r="F18" s="10" t="s">
        <v>369</v>
      </c>
      <c r="G18" s="10" t="s">
        <v>375</v>
      </c>
      <c r="H18" s="10">
        <v>756418</v>
      </c>
      <c r="I18" s="10" t="s">
        <v>191</v>
      </c>
      <c r="J18" s="10" t="s">
        <v>192</v>
      </c>
      <c r="K18" s="10" t="s">
        <v>359</v>
      </c>
      <c r="L18" s="11">
        <v>45863</v>
      </c>
      <c r="M18" s="11">
        <v>45957</v>
      </c>
      <c r="O18" s="12">
        <v>0</v>
      </c>
      <c r="W18" s="12">
        <v>962.12</v>
      </c>
      <c r="X18" s="12">
        <v>320.7</v>
      </c>
      <c r="Y18" s="12">
        <v>-641.41999999999996</v>
      </c>
      <c r="Z18" s="12">
        <v>-641.41999999999996</v>
      </c>
      <c r="AA18" s="10">
        <f>160.35*2</f>
        <v>320.7</v>
      </c>
    </row>
    <row r="19" spans="1:28" s="10" customFormat="1" x14ac:dyDescent="0.25">
      <c r="A19" s="10">
        <v>2030176830</v>
      </c>
      <c r="B19" s="10" t="s">
        <v>376</v>
      </c>
      <c r="C19" s="10" t="s">
        <v>377</v>
      </c>
      <c r="D19" s="10" t="s">
        <v>51</v>
      </c>
      <c r="F19" s="10" t="s">
        <v>378</v>
      </c>
      <c r="G19" s="10" t="s">
        <v>379</v>
      </c>
      <c r="H19" s="10">
        <v>649163</v>
      </c>
      <c r="I19" s="10" t="s">
        <v>380</v>
      </c>
      <c r="J19" s="10" t="s">
        <v>381</v>
      </c>
      <c r="K19" s="10" t="s">
        <v>359</v>
      </c>
      <c r="L19" s="11">
        <v>45868</v>
      </c>
      <c r="M19" s="11">
        <v>45957</v>
      </c>
      <c r="O19" s="12">
        <v>0</v>
      </c>
      <c r="W19" s="12">
        <v>155.93</v>
      </c>
      <c r="X19" s="12">
        <v>77.97</v>
      </c>
      <c r="Y19" s="12">
        <v>-77.959999999999994</v>
      </c>
      <c r="Z19" s="12">
        <v>-77.959999999999994</v>
      </c>
      <c r="AA19" s="10">
        <f>25.99*3</f>
        <v>77.97</v>
      </c>
    </row>
    <row r="20" spans="1:28" s="10" customFormat="1" x14ac:dyDescent="0.25">
      <c r="A20" s="10">
        <v>2030160154</v>
      </c>
      <c r="B20" s="10" t="s">
        <v>382</v>
      </c>
      <c r="C20" s="10" t="s">
        <v>383</v>
      </c>
      <c r="D20" s="10" t="s">
        <v>51</v>
      </c>
      <c r="F20" s="10" t="s">
        <v>262</v>
      </c>
      <c r="G20" s="10" t="s">
        <v>384</v>
      </c>
      <c r="H20" s="10">
        <v>652037</v>
      </c>
      <c r="I20" s="10" t="s">
        <v>155</v>
      </c>
      <c r="J20" s="10" t="s">
        <v>156</v>
      </c>
      <c r="K20" s="10" t="s">
        <v>359</v>
      </c>
      <c r="L20" s="11">
        <v>45865</v>
      </c>
      <c r="M20" s="11">
        <v>45957</v>
      </c>
      <c r="O20" s="12">
        <v>0</v>
      </c>
      <c r="W20" s="12">
        <v>282.05</v>
      </c>
      <c r="X20" s="12">
        <v>282.05</v>
      </c>
      <c r="Y20" s="12">
        <v>0</v>
      </c>
      <c r="Z20" s="12">
        <v>0</v>
      </c>
      <c r="AA20" s="10">
        <f>94.02*3</f>
        <v>282.06</v>
      </c>
    </row>
    <row r="21" spans="1:28" s="10" customFormat="1" x14ac:dyDescent="0.25">
      <c r="A21" s="10">
        <v>2030269156</v>
      </c>
      <c r="B21" s="10" t="s">
        <v>385</v>
      </c>
      <c r="C21" s="10" t="s">
        <v>386</v>
      </c>
      <c r="D21" s="10" t="s">
        <v>51</v>
      </c>
      <c r="F21" s="10" t="s">
        <v>361</v>
      </c>
      <c r="G21" s="10" t="s">
        <v>362</v>
      </c>
      <c r="H21" s="10">
        <v>649163</v>
      </c>
      <c r="I21" s="10" t="s">
        <v>349</v>
      </c>
      <c r="J21" s="10" t="s">
        <v>312</v>
      </c>
      <c r="K21" s="10" t="s">
        <v>359</v>
      </c>
      <c r="L21" s="11">
        <v>45871</v>
      </c>
      <c r="M21" s="11">
        <v>45957</v>
      </c>
      <c r="O21" s="12">
        <v>0</v>
      </c>
      <c r="W21" s="12">
        <v>34.200000000000003</v>
      </c>
      <c r="X21" s="12">
        <v>17.100000000000001</v>
      </c>
      <c r="Y21" s="12">
        <v>-17.100000000000001</v>
      </c>
      <c r="Z21" s="12">
        <v>-17.100000000000001</v>
      </c>
      <c r="AA21" s="10">
        <f>5.7*3</f>
        <v>17.100000000000001</v>
      </c>
    </row>
    <row r="22" spans="1:28" s="10" customFormat="1" x14ac:dyDescent="0.25">
      <c r="A22" s="10">
        <v>2030678332</v>
      </c>
      <c r="B22" s="10" t="s">
        <v>127</v>
      </c>
      <c r="C22" s="10" t="s">
        <v>387</v>
      </c>
      <c r="D22" s="10" t="s">
        <v>51</v>
      </c>
      <c r="F22" s="10" t="s">
        <v>355</v>
      </c>
      <c r="G22" s="10" t="s">
        <v>356</v>
      </c>
      <c r="H22" s="10">
        <v>751867</v>
      </c>
      <c r="I22" s="10" t="s">
        <v>349</v>
      </c>
      <c r="J22" s="10" t="s">
        <v>312</v>
      </c>
      <c r="K22" s="10" t="s">
        <v>359</v>
      </c>
      <c r="L22" s="11">
        <v>45895</v>
      </c>
      <c r="M22" s="11">
        <v>45957</v>
      </c>
      <c r="O22" s="12">
        <v>0</v>
      </c>
      <c r="W22" s="12">
        <v>52.6</v>
      </c>
      <c r="X22" s="12">
        <v>8.77</v>
      </c>
      <c r="Y22" s="12">
        <v>-43.83</v>
      </c>
      <c r="Z22" s="12">
        <v>-43.83</v>
      </c>
      <c r="AA22" s="12">
        <v>8.77</v>
      </c>
    </row>
    <row r="23" spans="1:28" s="10" customFormat="1" x14ac:dyDescent="0.25">
      <c r="A23" s="10">
        <v>2029685078</v>
      </c>
      <c r="B23" s="10" t="s">
        <v>278</v>
      </c>
      <c r="C23" s="10" t="s">
        <v>388</v>
      </c>
      <c r="D23" s="10" t="s">
        <v>51</v>
      </c>
      <c r="F23" s="10" t="s">
        <v>53</v>
      </c>
      <c r="G23" s="10" t="s">
        <v>54</v>
      </c>
      <c r="H23" s="10">
        <v>843573</v>
      </c>
      <c r="I23" s="10" t="s">
        <v>389</v>
      </c>
      <c r="J23" s="10" t="s">
        <v>390</v>
      </c>
      <c r="K23" s="10" t="s">
        <v>359</v>
      </c>
      <c r="L23" s="11">
        <v>45838</v>
      </c>
      <c r="M23" s="11">
        <v>45957</v>
      </c>
      <c r="O23" s="12">
        <v>0</v>
      </c>
      <c r="W23" s="12">
        <v>48.3</v>
      </c>
      <c r="X23" s="12">
        <v>24.15</v>
      </c>
      <c r="Y23" s="12">
        <v>-24.15</v>
      </c>
      <c r="Z23" s="12">
        <v>-24.15</v>
      </c>
      <c r="AA23" s="10">
        <f>8.05*4</f>
        <v>32.200000000000003</v>
      </c>
      <c r="AB23" s="10">
        <f>8.05*3</f>
        <v>24.150000000000002</v>
      </c>
    </row>
    <row r="24" spans="1:28" s="24" customFormat="1" x14ac:dyDescent="0.25">
      <c r="A24" s="24">
        <v>2029910878</v>
      </c>
      <c r="B24" s="24" t="s">
        <v>367</v>
      </c>
      <c r="C24" s="24" t="s">
        <v>368</v>
      </c>
      <c r="D24" s="24" t="s">
        <v>51</v>
      </c>
      <c r="F24" s="24" t="s">
        <v>53</v>
      </c>
      <c r="G24" s="24" t="s">
        <v>54</v>
      </c>
      <c r="H24" s="24">
        <v>792847</v>
      </c>
      <c r="I24" s="24" t="s">
        <v>371</v>
      </c>
      <c r="J24" s="24" t="s">
        <v>372</v>
      </c>
      <c r="K24" s="24" t="s">
        <v>359</v>
      </c>
      <c r="L24" s="25">
        <v>45850</v>
      </c>
      <c r="M24" s="25">
        <v>45957</v>
      </c>
      <c r="O24" s="26">
        <v>0</v>
      </c>
      <c r="W24" s="26">
        <v>736.55</v>
      </c>
      <c r="X24" s="26">
        <v>736.55</v>
      </c>
      <c r="Y24" s="26">
        <v>0</v>
      </c>
      <c r="Z24" s="26">
        <v>0</v>
      </c>
    </row>
    <row r="25" spans="1:28" s="10" customFormat="1" x14ac:dyDescent="0.25">
      <c r="A25" s="10">
        <v>2030176831</v>
      </c>
      <c r="B25" s="10" t="s">
        <v>376</v>
      </c>
      <c r="C25" s="10" t="s">
        <v>377</v>
      </c>
      <c r="D25" s="10" t="s">
        <v>51</v>
      </c>
      <c r="F25" s="10" t="s">
        <v>53</v>
      </c>
      <c r="G25" s="10" t="s">
        <v>54</v>
      </c>
      <c r="H25" s="10">
        <v>649163</v>
      </c>
      <c r="I25" s="10" t="s">
        <v>380</v>
      </c>
      <c r="J25" s="10" t="s">
        <v>381</v>
      </c>
      <c r="K25" s="10" t="s">
        <v>359</v>
      </c>
      <c r="L25" s="11">
        <v>45868</v>
      </c>
      <c r="M25" s="11">
        <v>45957</v>
      </c>
      <c r="O25" s="12">
        <v>0</v>
      </c>
      <c r="W25" s="12">
        <v>54.6</v>
      </c>
      <c r="X25" s="12">
        <v>27.3</v>
      </c>
      <c r="Y25" s="12">
        <v>-27.3</v>
      </c>
      <c r="Z25" s="12">
        <v>-27.3</v>
      </c>
      <c r="AA25" s="10">
        <f>9.1*3</f>
        <v>27.299999999999997</v>
      </c>
    </row>
    <row r="26" spans="1:28" x14ac:dyDescent="0.25">
      <c r="A26">
        <v>2028215886</v>
      </c>
      <c r="B26" t="s">
        <v>391</v>
      </c>
      <c r="C26" t="s">
        <v>336</v>
      </c>
      <c r="D26" t="s">
        <v>51</v>
      </c>
      <c r="F26" t="s">
        <v>378</v>
      </c>
      <c r="G26" t="s">
        <v>379</v>
      </c>
      <c r="H26">
        <v>649163</v>
      </c>
      <c r="I26" t="s">
        <v>349</v>
      </c>
      <c r="J26" t="s">
        <v>312</v>
      </c>
      <c r="K26" t="s">
        <v>359</v>
      </c>
      <c r="L26" s="1">
        <v>45751</v>
      </c>
      <c r="M26" s="1">
        <v>45957</v>
      </c>
      <c r="O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28" x14ac:dyDescent="0.25">
      <c r="A27">
        <v>2027825905</v>
      </c>
      <c r="B27" t="s">
        <v>189</v>
      </c>
      <c r="C27" t="s">
        <v>392</v>
      </c>
      <c r="D27" t="s">
        <v>51</v>
      </c>
      <c r="F27" t="s">
        <v>53</v>
      </c>
      <c r="G27" t="s">
        <v>54</v>
      </c>
      <c r="H27">
        <v>649163</v>
      </c>
      <c r="I27" t="s">
        <v>55</v>
      </c>
      <c r="J27" t="s">
        <v>56</v>
      </c>
      <c r="K27" t="s">
        <v>359</v>
      </c>
      <c r="L27" s="1">
        <v>45731</v>
      </c>
      <c r="M27" s="1">
        <v>45957</v>
      </c>
      <c r="O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8" s="10" customFormat="1" x14ac:dyDescent="0.25">
      <c r="A28" s="10">
        <v>2030135276</v>
      </c>
      <c r="B28" s="10" t="s">
        <v>373</v>
      </c>
      <c r="C28" s="10" t="s">
        <v>374</v>
      </c>
      <c r="D28" s="10" t="s">
        <v>51</v>
      </c>
      <c r="F28" s="10" t="s">
        <v>309</v>
      </c>
      <c r="G28" s="10" t="s">
        <v>310</v>
      </c>
      <c r="H28" s="10">
        <v>756418</v>
      </c>
      <c r="I28" s="10" t="s">
        <v>191</v>
      </c>
      <c r="J28" s="10" t="s">
        <v>192</v>
      </c>
      <c r="K28" s="10" t="s">
        <v>359</v>
      </c>
      <c r="L28" s="11">
        <v>45863</v>
      </c>
      <c r="M28" s="11">
        <v>45957</v>
      </c>
      <c r="O28" s="12">
        <v>0</v>
      </c>
      <c r="W28" s="12">
        <v>275.97000000000003</v>
      </c>
      <c r="X28" s="12">
        <v>91.98</v>
      </c>
      <c r="Y28" s="12">
        <v>-183.99</v>
      </c>
      <c r="Z28" s="12">
        <v>-183.99</v>
      </c>
      <c r="AA28" s="10">
        <f>45.99*2</f>
        <v>91.98</v>
      </c>
    </row>
    <row r="29" spans="1:28" s="10" customFormat="1" x14ac:dyDescent="0.25">
      <c r="A29" s="10">
        <v>2030269154</v>
      </c>
      <c r="B29" s="10" t="s">
        <v>385</v>
      </c>
      <c r="C29" s="10" t="s">
        <v>386</v>
      </c>
      <c r="D29" s="10" t="s">
        <v>51</v>
      </c>
      <c r="F29" s="10" t="s">
        <v>355</v>
      </c>
      <c r="G29" s="10" t="s">
        <v>356</v>
      </c>
      <c r="H29" s="10">
        <v>649163</v>
      </c>
      <c r="I29" s="10" t="s">
        <v>349</v>
      </c>
      <c r="J29" s="10" t="s">
        <v>312</v>
      </c>
      <c r="K29" s="10" t="s">
        <v>359</v>
      </c>
      <c r="L29" s="11">
        <v>45871</v>
      </c>
      <c r="M29" s="11">
        <v>45957</v>
      </c>
      <c r="O29" s="12">
        <v>0</v>
      </c>
      <c r="W29" s="12">
        <v>86.25</v>
      </c>
      <c r="X29" s="12">
        <v>43.13</v>
      </c>
      <c r="Y29" s="12">
        <v>-43.12</v>
      </c>
      <c r="Z29" s="12">
        <v>-43.12</v>
      </c>
      <c r="AA29" s="10">
        <f>14.38*3</f>
        <v>43.14</v>
      </c>
    </row>
    <row r="30" spans="1:28" s="10" customFormat="1" x14ac:dyDescent="0.25">
      <c r="A30" s="10">
        <v>2030571498</v>
      </c>
      <c r="B30" s="10" t="s">
        <v>393</v>
      </c>
      <c r="C30" s="10" t="s">
        <v>394</v>
      </c>
      <c r="D30" s="10" t="s">
        <v>51</v>
      </c>
      <c r="F30" s="10" t="s">
        <v>53</v>
      </c>
      <c r="G30" s="10" t="s">
        <v>54</v>
      </c>
      <c r="H30" s="10">
        <v>843573</v>
      </c>
      <c r="I30" s="10" t="s">
        <v>389</v>
      </c>
      <c r="J30" s="10" t="s">
        <v>390</v>
      </c>
      <c r="K30" s="10" t="s">
        <v>359</v>
      </c>
      <c r="L30" s="11">
        <v>45894</v>
      </c>
      <c r="M30" s="11">
        <v>45957</v>
      </c>
      <c r="O30" s="12">
        <v>0</v>
      </c>
      <c r="W30" s="12">
        <v>115.5</v>
      </c>
      <c r="X30" s="12">
        <v>19.25</v>
      </c>
      <c r="Y30" s="12">
        <v>-96.25</v>
      </c>
      <c r="Z30" s="12">
        <v>-96.25</v>
      </c>
      <c r="AA30" s="10">
        <f>19.25*2</f>
        <v>38.5</v>
      </c>
      <c r="AB30" s="10">
        <v>19.25</v>
      </c>
    </row>
    <row r="31" spans="1:28" x14ac:dyDescent="0.25">
      <c r="A31">
        <v>2028215887</v>
      </c>
      <c r="B31" t="s">
        <v>391</v>
      </c>
      <c r="C31" t="s">
        <v>336</v>
      </c>
      <c r="D31" t="s">
        <v>51</v>
      </c>
      <c r="F31" t="s">
        <v>395</v>
      </c>
      <c r="G31" t="s">
        <v>396</v>
      </c>
      <c r="H31">
        <v>649163</v>
      </c>
      <c r="I31" t="s">
        <v>349</v>
      </c>
      <c r="J31" t="s">
        <v>312</v>
      </c>
      <c r="K31" t="s">
        <v>359</v>
      </c>
      <c r="L31" s="1">
        <v>45751</v>
      </c>
      <c r="M31" s="1">
        <v>45957</v>
      </c>
      <c r="O31" s="2">
        <v>0</v>
      </c>
      <c r="W31" s="2">
        <v>0</v>
      </c>
      <c r="X31" s="2">
        <v>0</v>
      </c>
      <c r="Y31" s="2">
        <v>0</v>
      </c>
      <c r="Z31" s="2">
        <v>0</v>
      </c>
    </row>
    <row r="32" spans="1:28" x14ac:dyDescent="0.25">
      <c r="A32">
        <v>2027825906</v>
      </c>
      <c r="B32" t="s">
        <v>189</v>
      </c>
      <c r="C32" t="s">
        <v>392</v>
      </c>
      <c r="D32" t="s">
        <v>51</v>
      </c>
      <c r="F32" t="s">
        <v>53</v>
      </c>
      <c r="G32" t="s">
        <v>257</v>
      </c>
      <c r="I32" t="s">
        <v>55</v>
      </c>
      <c r="J32" t="s">
        <v>56</v>
      </c>
      <c r="K32" t="s">
        <v>359</v>
      </c>
      <c r="L32" s="1">
        <v>45731</v>
      </c>
      <c r="M32" s="1">
        <v>45957</v>
      </c>
      <c r="O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28" s="10" customFormat="1" x14ac:dyDescent="0.25">
      <c r="A33" s="10">
        <v>2030135275</v>
      </c>
      <c r="B33" s="10" t="s">
        <v>373</v>
      </c>
      <c r="C33" s="10" t="s">
        <v>374</v>
      </c>
      <c r="D33" s="10" t="s">
        <v>51</v>
      </c>
      <c r="F33" s="10" t="s">
        <v>53</v>
      </c>
      <c r="G33" s="10" t="s">
        <v>54</v>
      </c>
      <c r="H33" s="10">
        <v>756418</v>
      </c>
      <c r="I33" s="10" t="s">
        <v>191</v>
      </c>
      <c r="J33" s="10" t="s">
        <v>192</v>
      </c>
      <c r="K33" s="10" t="s">
        <v>359</v>
      </c>
      <c r="L33" s="11">
        <v>45863</v>
      </c>
      <c r="M33" s="11">
        <v>45957</v>
      </c>
      <c r="O33" s="12">
        <v>0</v>
      </c>
      <c r="W33" s="12">
        <v>81.52</v>
      </c>
      <c r="X33" s="12">
        <v>27.18</v>
      </c>
      <c r="Y33" s="12">
        <v>-54.34</v>
      </c>
      <c r="Z33" s="12">
        <v>-54.34</v>
      </c>
      <c r="AA33" s="10">
        <f>13.59*2</f>
        <v>27.18</v>
      </c>
    </row>
    <row r="34" spans="1:28" s="10" customFormat="1" x14ac:dyDescent="0.25">
      <c r="A34" s="10">
        <v>2030269155</v>
      </c>
      <c r="B34" s="10" t="s">
        <v>385</v>
      </c>
      <c r="C34" s="10" t="s">
        <v>386</v>
      </c>
      <c r="D34" s="10" t="s">
        <v>51</v>
      </c>
      <c r="F34" s="10" t="s">
        <v>378</v>
      </c>
      <c r="G34" s="10" t="s">
        <v>379</v>
      </c>
      <c r="H34" s="10">
        <v>649163</v>
      </c>
      <c r="I34" s="10" t="s">
        <v>349</v>
      </c>
      <c r="J34" s="10" t="s">
        <v>312</v>
      </c>
      <c r="K34" s="10" t="s">
        <v>359</v>
      </c>
      <c r="L34" s="11">
        <v>45871</v>
      </c>
      <c r="M34" s="11">
        <v>45957</v>
      </c>
      <c r="O34" s="12">
        <v>0</v>
      </c>
      <c r="W34" s="12">
        <v>98.8</v>
      </c>
      <c r="X34" s="12">
        <v>49.4</v>
      </c>
      <c r="Y34" s="12">
        <v>-49.4</v>
      </c>
      <c r="Z34" s="12">
        <v>-49.4</v>
      </c>
      <c r="AA34" s="10">
        <f>16.47*3</f>
        <v>49.41</v>
      </c>
    </row>
    <row r="35" spans="1:28" s="28" customFormat="1" x14ac:dyDescent="0.25">
      <c r="A35" s="28">
        <v>2030571499</v>
      </c>
      <c r="B35" s="28" t="s">
        <v>393</v>
      </c>
      <c r="C35" s="28" t="s">
        <v>394</v>
      </c>
      <c r="D35" s="28" t="s">
        <v>51</v>
      </c>
      <c r="F35" s="28" t="s">
        <v>378</v>
      </c>
      <c r="G35" s="28" t="s">
        <v>379</v>
      </c>
      <c r="H35" s="28">
        <v>843573</v>
      </c>
      <c r="I35" s="28" t="s">
        <v>389</v>
      </c>
      <c r="J35" s="28" t="s">
        <v>390</v>
      </c>
      <c r="K35" s="28" t="s">
        <v>359</v>
      </c>
      <c r="L35" s="29">
        <v>45894</v>
      </c>
      <c r="M35" s="29">
        <v>45957</v>
      </c>
      <c r="O35" s="30">
        <v>0</v>
      </c>
      <c r="W35" s="30">
        <v>174.33</v>
      </c>
      <c r="X35" s="30">
        <v>29.06</v>
      </c>
      <c r="Y35" s="30">
        <v>-145.27000000000001</v>
      </c>
      <c r="Z35" s="30">
        <v>-145.27000000000001</v>
      </c>
      <c r="AA35" s="28">
        <f>29.06*3</f>
        <v>87.179999999999993</v>
      </c>
      <c r="AB35" s="28">
        <v>29.06</v>
      </c>
    </row>
    <row r="36" spans="1:28" s="10" customFormat="1" x14ac:dyDescent="0.25">
      <c r="A36" s="10">
        <v>2030678333</v>
      </c>
      <c r="B36" s="10" t="s">
        <v>127</v>
      </c>
      <c r="C36" s="10" t="s">
        <v>387</v>
      </c>
      <c r="D36" s="10" t="s">
        <v>51</v>
      </c>
      <c r="F36" s="10" t="s">
        <v>361</v>
      </c>
      <c r="G36" s="10" t="s">
        <v>362</v>
      </c>
      <c r="H36" s="10">
        <v>751867</v>
      </c>
      <c r="I36" s="10" t="s">
        <v>349</v>
      </c>
      <c r="J36" s="10" t="s">
        <v>312</v>
      </c>
      <c r="K36" s="10" t="s">
        <v>359</v>
      </c>
      <c r="L36" s="11">
        <v>45895</v>
      </c>
      <c r="M36" s="11">
        <v>45957</v>
      </c>
      <c r="O36" s="12">
        <v>0</v>
      </c>
      <c r="W36" s="12">
        <v>34.200000000000003</v>
      </c>
      <c r="X36" s="12">
        <v>5.7</v>
      </c>
      <c r="Y36" s="12">
        <v>-28.5</v>
      </c>
      <c r="Z36" s="12">
        <v>-28.5</v>
      </c>
      <c r="AA36" s="12">
        <v>5.7</v>
      </c>
    </row>
    <row r="37" spans="1:28" s="10" customFormat="1" x14ac:dyDescent="0.25">
      <c r="A37" s="10">
        <v>2031606026</v>
      </c>
      <c r="B37" s="10" t="s">
        <v>397</v>
      </c>
      <c r="C37" s="10" t="s">
        <v>312</v>
      </c>
      <c r="D37" s="10" t="s">
        <v>51</v>
      </c>
      <c r="F37" s="10" t="s">
        <v>378</v>
      </c>
      <c r="G37" s="10" t="s">
        <v>379</v>
      </c>
      <c r="H37" s="10">
        <v>649163</v>
      </c>
      <c r="I37" s="10" t="s">
        <v>398</v>
      </c>
      <c r="J37" s="10" t="s">
        <v>399</v>
      </c>
      <c r="K37" s="10" t="s">
        <v>359</v>
      </c>
      <c r="L37" s="11">
        <v>45945</v>
      </c>
      <c r="M37" s="11">
        <v>45957</v>
      </c>
      <c r="O37" s="12">
        <v>0</v>
      </c>
      <c r="W37" s="12">
        <v>168.36</v>
      </c>
      <c r="X37" s="12">
        <v>28.06</v>
      </c>
      <c r="Y37" s="12">
        <v>-140.30000000000001</v>
      </c>
      <c r="Z37" s="12">
        <v>-140.30000000000001</v>
      </c>
      <c r="AA37" s="10">
        <v>28.06</v>
      </c>
      <c r="AB37" s="10">
        <v>28.06</v>
      </c>
    </row>
    <row r="38" spans="1:28" s="10" customFormat="1" x14ac:dyDescent="0.25">
      <c r="A38" s="10">
        <v>2031693394</v>
      </c>
      <c r="B38" s="10" t="s">
        <v>400</v>
      </c>
      <c r="C38" s="10" t="s">
        <v>401</v>
      </c>
      <c r="D38" s="10" t="s">
        <v>51</v>
      </c>
      <c r="F38" s="10" t="s">
        <v>361</v>
      </c>
      <c r="G38" s="10" t="s">
        <v>402</v>
      </c>
      <c r="H38" s="10">
        <v>649163</v>
      </c>
      <c r="I38" s="10" t="s">
        <v>70</v>
      </c>
      <c r="J38" s="10" t="s">
        <v>183</v>
      </c>
      <c r="K38" s="10" t="s">
        <v>359</v>
      </c>
      <c r="L38" s="11">
        <v>45948</v>
      </c>
      <c r="M38" s="11">
        <v>45957</v>
      </c>
      <c r="O38" s="12">
        <v>0</v>
      </c>
      <c r="W38" s="12">
        <v>13.05</v>
      </c>
      <c r="X38" s="12">
        <v>4.3499999999999996</v>
      </c>
      <c r="Y38" s="12">
        <v>-8.6999999999999993</v>
      </c>
      <c r="Z38" s="12">
        <v>-8.6999999999999993</v>
      </c>
      <c r="AB38" s="10">
        <v>4.3499999999999996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20411454 - Main Line Benefits L</vt:lpstr>
      <vt:lpstr>RN</vt:lpstr>
      <vt:lpstr>RN1</vt:lpstr>
      <vt:lpstr>NB</vt:lpstr>
      <vt:lpstr>Sheet1</vt:lpstr>
      <vt:lpstr>NB1</vt:lpstr>
      <vt:lpstr>Chargeback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2025-10-31T09:48:05Z</dcterms:created>
  <dcterms:modified xsi:type="dcterms:W3CDTF">2025-11-17T16:12:43Z</dcterms:modified>
</cp:coreProperties>
</file>