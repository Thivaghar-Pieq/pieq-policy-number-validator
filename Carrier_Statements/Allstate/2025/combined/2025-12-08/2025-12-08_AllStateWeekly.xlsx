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2-8-25\"/>
    </mc:Choice>
  </mc:AlternateContent>
  <xr:revisionPtr revIDLastSave="0" documentId="13_ncr:1_{A4C96D4D-C4A8-487A-82D4-6F2EE8D74508}" xr6:coauthVersionLast="47" xr6:coauthVersionMax="47" xr10:uidLastSave="{00000000-0000-0000-0000-000000000000}"/>
  <bookViews>
    <workbookView xWindow="28680" yWindow="-120" windowWidth="29040" windowHeight="16440" activeTab="3" xr2:uid="{57943CCB-859B-45E1-A8B0-0C1529152E15}"/>
  </bookViews>
  <sheets>
    <sheet name="AllState Weekly 12-08-25.xlsx" sheetId="1" r:id="rId1"/>
    <sheet name="RN" sheetId="2" r:id="rId2"/>
    <sheet name="Chargeback" sheetId="4" r:id="rId3"/>
    <sheet name="NB" sheetId="3" r:id="rId4"/>
  </sheets>
  <calcPr calcId="181029"/>
</workbook>
</file>

<file path=xl/calcChain.xml><?xml version="1.0" encoding="utf-8"?>
<calcChain xmlns="http://schemas.openxmlformats.org/spreadsheetml/2006/main">
  <c r="O993" i="2" l="1"/>
  <c r="O989" i="2"/>
  <c r="O957" i="2"/>
  <c r="O958" i="2"/>
  <c r="O994" i="2"/>
  <c r="O456" i="2"/>
  <c r="O407" i="2"/>
  <c r="O613" i="2"/>
  <c r="O614" i="2"/>
  <c r="O995" i="2"/>
  <c r="O1007" i="2"/>
  <c r="O990" i="2"/>
  <c r="O996" i="2"/>
  <c r="O997" i="2"/>
  <c r="O991" i="2"/>
  <c r="O1008" i="2"/>
  <c r="O105" i="2"/>
  <c r="O106" i="2"/>
  <c r="O107" i="2"/>
  <c r="O157" i="2"/>
  <c r="O180" i="2"/>
  <c r="O158" i="2"/>
  <c r="O279" i="2"/>
  <c r="O280" i="2"/>
  <c r="O159" i="2"/>
  <c r="O160" i="2"/>
  <c r="O161" i="2"/>
  <c r="O162" i="2"/>
  <c r="O163" i="2"/>
  <c r="O108" i="2"/>
  <c r="O37" i="2"/>
  <c r="O181" i="2"/>
  <c r="O182" i="2"/>
  <c r="O183" i="2"/>
  <c r="O77" i="2"/>
  <c r="O78" i="2"/>
  <c r="O79" i="2"/>
  <c r="O143" i="2"/>
  <c r="O80" i="2"/>
  <c r="O194" i="2"/>
  <c r="O195" i="2"/>
  <c r="O196" i="2"/>
  <c r="O197" i="2"/>
  <c r="O81" i="2"/>
  <c r="O690" i="2"/>
  <c r="O691" i="2"/>
  <c r="O911" i="2"/>
  <c r="O906" i="2"/>
  <c r="O941" i="2"/>
  <c r="O929" i="2"/>
  <c r="O930" i="2"/>
  <c r="O912" i="2"/>
  <c r="O816" i="2"/>
  <c r="O826" i="2"/>
  <c r="O785" i="2"/>
  <c r="O801" i="2"/>
  <c r="O931" i="2"/>
  <c r="O942" i="2"/>
  <c r="O885" i="2"/>
  <c r="O802" i="2"/>
  <c r="O109" i="2"/>
  <c r="O110" i="2"/>
  <c r="O111" i="2"/>
  <c r="O164" i="2"/>
  <c r="O112" i="2"/>
  <c r="O165" i="2"/>
  <c r="O575" i="2"/>
  <c r="O576" i="2"/>
  <c r="O550" i="2"/>
  <c r="O129" i="2"/>
  <c r="O38" i="2"/>
  <c r="O39" i="2"/>
  <c r="O144" i="2"/>
  <c r="O130" i="2"/>
  <c r="O131" i="2"/>
  <c r="O132" i="2"/>
  <c r="O198" i="2"/>
  <c r="O551" i="2"/>
  <c r="O314" i="2"/>
  <c r="O315" i="2"/>
  <c r="O408" i="2"/>
  <c r="O409" i="2"/>
  <c r="O410" i="2"/>
  <c r="O457" i="2"/>
  <c r="O458" i="2"/>
  <c r="O459" i="2"/>
  <c r="O460" i="2"/>
  <c r="O461" i="2"/>
  <c r="O533" i="2"/>
  <c r="O552" i="2"/>
  <c r="O553" i="2"/>
  <c r="O577" i="2"/>
  <c r="O635" i="2"/>
  <c r="O636" i="2"/>
  <c r="O692" i="2"/>
  <c r="O693" i="2"/>
  <c r="O694" i="2"/>
  <c r="O695" i="2"/>
  <c r="O696" i="2"/>
  <c r="O697" i="2"/>
  <c r="O786" i="2"/>
  <c r="O787" i="2"/>
  <c r="O788" i="2"/>
  <c r="O789" i="2"/>
  <c r="O790" i="2"/>
  <c r="O791" i="2"/>
  <c r="O803" i="2"/>
  <c r="O817" i="2"/>
  <c r="O827" i="2"/>
  <c r="O828" i="2"/>
  <c r="O829" i="2"/>
  <c r="O830" i="2"/>
  <c r="O831" i="2"/>
  <c r="O832" i="2"/>
  <c r="O833" i="2"/>
  <c r="O840" i="2"/>
  <c r="O841" i="2"/>
  <c r="O842" i="2"/>
  <c r="O851" i="2"/>
  <c r="O852" i="2"/>
  <c r="O853" i="2"/>
  <c r="O886" i="2"/>
  <c r="O898" i="2"/>
  <c r="O411" i="2"/>
  <c r="O554" i="2"/>
  <c r="O133" i="2"/>
  <c r="O199" i="2"/>
  <c r="O233" i="2"/>
  <c r="O239" i="2"/>
  <c r="O252" i="2"/>
  <c r="O268" i="2"/>
  <c r="O281" i="2"/>
  <c r="O287" i="2"/>
  <c r="O289" i="2"/>
  <c r="O290" i="2"/>
  <c r="O291" i="2"/>
  <c r="O292" i="2"/>
  <c r="O293" i="2"/>
  <c r="O294" i="2"/>
  <c r="O82" i="2"/>
  <c r="O200" i="2"/>
  <c r="O201" i="2"/>
  <c r="O134" i="2"/>
  <c r="O83" i="2"/>
  <c r="O317" i="2"/>
  <c r="O318" i="2"/>
  <c r="O319" i="2"/>
  <c r="O462" i="2"/>
  <c r="O320" i="2"/>
  <c r="O615" i="2"/>
  <c r="O578" i="2"/>
  <c r="O579" i="2"/>
  <c r="O555" i="2"/>
  <c r="O616" i="2"/>
  <c r="O321" i="2"/>
  <c r="O322" i="2"/>
  <c r="O323" i="2"/>
  <c r="O58" i="2"/>
  <c r="O59" i="2"/>
  <c r="O60" i="2"/>
  <c r="O61" i="2"/>
  <c r="O62" i="2"/>
  <c r="O63" i="2"/>
  <c r="O3" i="2"/>
  <c r="O4" i="2"/>
  <c r="O64" i="2"/>
  <c r="O5" i="2"/>
  <c r="O6" i="2"/>
  <c r="O166" i="2"/>
  <c r="O145" i="2"/>
  <c r="O146" i="2"/>
  <c r="O147" i="2"/>
  <c r="O7" i="2"/>
  <c r="O8" i="2"/>
  <c r="O369" i="2"/>
  <c r="O511" i="2"/>
  <c r="O534" i="2"/>
  <c r="O556" i="2"/>
  <c r="O580" i="2"/>
  <c r="O581" i="2"/>
  <c r="O582" i="2"/>
  <c r="O583" i="2"/>
  <c r="O617" i="2"/>
  <c r="O637" i="2"/>
  <c r="O698" i="2"/>
  <c r="O699" i="2"/>
  <c r="O792" i="2"/>
  <c r="O804" i="2"/>
  <c r="O818" i="2"/>
  <c r="O843" i="2"/>
  <c r="O844" i="2"/>
  <c r="O845" i="2"/>
  <c r="O846" i="2"/>
  <c r="O854" i="2"/>
  <c r="O855" i="2"/>
  <c r="O868" i="2"/>
  <c r="O887" i="2"/>
  <c r="O888" i="2"/>
  <c r="O889" i="2"/>
  <c r="O890" i="2"/>
  <c r="O907" i="2"/>
  <c r="O908" i="2"/>
  <c r="O913" i="2"/>
  <c r="O914" i="2"/>
  <c r="O915" i="2"/>
  <c r="O758" i="2"/>
  <c r="O324" i="2"/>
  <c r="O325" i="2"/>
  <c r="O184" i="2"/>
  <c r="O202" i="2"/>
  <c r="O203" i="2"/>
  <c r="O185" i="2"/>
  <c r="O167" i="2"/>
  <c r="O65" i="2"/>
  <c r="O186" i="2"/>
  <c r="O168" i="2"/>
  <c r="O187" i="2"/>
  <c r="O463" i="2"/>
  <c r="O326" i="2"/>
  <c r="O535" i="2"/>
  <c r="O536" i="2"/>
  <c r="O537" i="2"/>
  <c r="O538" i="2"/>
  <c r="O188" i="2"/>
  <c r="O189" i="2"/>
  <c r="O240" i="2"/>
  <c r="O464" i="2"/>
  <c r="O412" i="2"/>
  <c r="O413" i="2"/>
  <c r="O584" i="2"/>
  <c r="O968" i="2"/>
  <c r="O969" i="2"/>
  <c r="O327" i="2"/>
  <c r="O638" i="2"/>
  <c r="O465" i="2"/>
  <c r="O466" i="2"/>
  <c r="O467" i="2"/>
  <c r="O370" i="2"/>
  <c r="O371" i="2"/>
  <c r="O328" i="2"/>
  <c r="O329" i="2"/>
  <c r="O330" i="2"/>
  <c r="O468" i="2"/>
  <c r="O469" i="2"/>
  <c r="O372" i="2"/>
  <c r="O414" i="2"/>
  <c r="O331" i="2"/>
  <c r="O373" i="2"/>
  <c r="O415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639" i="2"/>
  <c r="O640" i="2"/>
  <c r="O641" i="2"/>
  <c r="O642" i="2"/>
  <c r="O643" i="2"/>
  <c r="O644" i="2"/>
  <c r="O645" i="2"/>
  <c r="O646" i="2"/>
  <c r="O647" i="2"/>
  <c r="O648" i="2"/>
  <c r="O649" i="2"/>
  <c r="O618" i="2"/>
  <c r="O619" i="2"/>
  <c r="O620" i="2"/>
  <c r="O585" i="2"/>
  <c r="O621" i="2"/>
  <c r="O622" i="2"/>
  <c r="O586" i="2"/>
  <c r="O587" i="2"/>
  <c r="O588" i="2"/>
  <c r="O589" i="2"/>
  <c r="O557" i="2"/>
  <c r="O558" i="2"/>
  <c r="O559" i="2"/>
  <c r="O560" i="2"/>
  <c r="O539" i="2"/>
  <c r="O540" i="2"/>
  <c r="O512" i="2"/>
  <c r="O978" i="2"/>
  <c r="O970" i="2"/>
  <c r="O899" i="2"/>
  <c r="O856" i="2"/>
  <c r="O857" i="2"/>
  <c r="O819" i="2"/>
  <c r="O793" i="2"/>
  <c r="O794" i="2"/>
  <c r="O759" i="2"/>
  <c r="O760" i="2"/>
  <c r="O761" i="2"/>
  <c r="O762" i="2"/>
  <c r="O763" i="2"/>
  <c r="O764" i="2"/>
  <c r="O416" i="2"/>
  <c r="O332" i="2"/>
  <c r="O470" i="2"/>
  <c r="O971" i="2"/>
  <c r="O953" i="2"/>
  <c r="O891" i="2"/>
  <c r="O374" i="2"/>
  <c r="O471" i="2"/>
  <c r="O417" i="2"/>
  <c r="O333" i="2"/>
  <c r="O418" i="2"/>
  <c r="O334" i="2"/>
  <c r="O513" i="2"/>
  <c r="O375" i="2"/>
  <c r="O376" i="2"/>
  <c r="O419" i="2"/>
  <c r="O377" i="2"/>
  <c r="O335" i="2"/>
  <c r="O420" i="2"/>
  <c r="O421" i="2"/>
  <c r="O336" i="2"/>
  <c r="O378" i="2"/>
  <c r="O379" i="2"/>
  <c r="O422" i="2"/>
  <c r="O472" i="2"/>
  <c r="O423" i="2"/>
  <c r="O424" i="2"/>
  <c r="O473" i="2"/>
  <c r="O425" i="2"/>
  <c r="O380" i="2"/>
  <c r="O474" i="2"/>
  <c r="O337" i="2"/>
  <c r="O338" i="2"/>
  <c r="O713" i="2"/>
  <c r="O714" i="2"/>
  <c r="O715" i="2"/>
  <c r="O716" i="2"/>
  <c r="O717" i="2"/>
  <c r="O718" i="2"/>
  <c r="O650" i="2"/>
  <c r="O651" i="2"/>
  <c r="O652" i="2"/>
  <c r="O653" i="2"/>
  <c r="O590" i="2"/>
  <c r="O541" i="2"/>
  <c r="O972" i="2"/>
  <c r="O973" i="2"/>
  <c r="O949" i="2"/>
  <c r="O916" i="2"/>
  <c r="O909" i="2"/>
  <c r="O900" i="2"/>
  <c r="O901" i="2"/>
  <c r="O892" i="2"/>
  <c r="O869" i="2"/>
  <c r="O858" i="2"/>
  <c r="O834" i="2"/>
  <c r="O835" i="2"/>
  <c r="O765" i="2"/>
  <c r="O591" i="2"/>
  <c r="O426" i="2"/>
  <c r="O339" i="2"/>
  <c r="O654" i="2"/>
  <c r="O340" i="2"/>
  <c r="O561" i="2"/>
  <c r="O592" i="2"/>
  <c r="O427" i="2"/>
  <c r="O341" i="2"/>
  <c r="O655" i="2"/>
  <c r="O381" i="2"/>
  <c r="O342" i="2"/>
  <c r="O475" i="2"/>
  <c r="O476" i="2"/>
  <c r="O428" i="2"/>
  <c r="O382" i="2"/>
  <c r="O429" i="2"/>
  <c r="O477" i="2"/>
  <c r="O343" i="2"/>
  <c r="O344" i="2"/>
  <c r="O478" i="2"/>
  <c r="O345" i="2"/>
  <c r="O479" i="2"/>
  <c r="O480" i="2"/>
  <c r="O346" i="2"/>
  <c r="O383" i="2"/>
  <c r="O430" i="2"/>
  <c r="O481" i="2"/>
  <c r="O384" i="2"/>
  <c r="O431" i="2"/>
  <c r="O385" i="2"/>
  <c r="O347" i="2"/>
  <c r="O348" i="2"/>
  <c r="O386" i="2"/>
  <c r="O482" i="2"/>
  <c r="O432" i="2"/>
  <c r="O433" i="2"/>
  <c r="O434" i="2"/>
  <c r="O349" i="2"/>
  <c r="O387" i="2"/>
  <c r="O514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23" i="2"/>
  <c r="O624" i="2"/>
  <c r="O625" i="2"/>
  <c r="O626" i="2"/>
  <c r="O593" i="2"/>
  <c r="O594" i="2"/>
  <c r="O595" i="2"/>
  <c r="O596" i="2"/>
  <c r="O562" i="2"/>
  <c r="O563" i="2"/>
  <c r="O564" i="2"/>
  <c r="O542" i="2"/>
  <c r="O543" i="2"/>
  <c r="O902" i="2"/>
  <c r="O903" i="2"/>
  <c r="O893" i="2"/>
  <c r="O894" i="2"/>
  <c r="O870" i="2"/>
  <c r="O859" i="2"/>
  <c r="O847" i="2"/>
  <c r="O836" i="2"/>
  <c r="O837" i="2"/>
  <c r="O838" i="2"/>
  <c r="O805" i="2"/>
  <c r="O806" i="2"/>
  <c r="O766" i="2"/>
  <c r="O767" i="2"/>
  <c r="O768" i="2"/>
  <c r="O769" i="2"/>
  <c r="O770" i="2"/>
  <c r="O771" i="2"/>
  <c r="O772" i="2"/>
  <c r="O773" i="2"/>
  <c r="O774" i="2"/>
  <c r="O775" i="2"/>
  <c r="O388" i="2"/>
  <c r="O389" i="2"/>
  <c r="O435" i="2"/>
  <c r="O390" i="2"/>
  <c r="O350" i="2"/>
  <c r="O436" i="2"/>
  <c r="O351" i="2"/>
  <c r="O483" i="2"/>
  <c r="O515" i="2"/>
  <c r="O437" i="2"/>
  <c r="O438" i="2"/>
  <c r="O484" i="2"/>
  <c r="O744" i="2"/>
  <c r="O745" i="2"/>
  <c r="O672" i="2"/>
  <c r="O673" i="2"/>
  <c r="O674" i="2"/>
  <c r="O675" i="2"/>
  <c r="O627" i="2"/>
  <c r="O628" i="2"/>
  <c r="O516" i="2"/>
  <c r="O746" i="2"/>
  <c r="O776" i="2"/>
  <c r="O1009" i="2"/>
  <c r="O974" i="2"/>
  <c r="O950" i="2"/>
  <c r="O860" i="2"/>
  <c r="O861" i="2"/>
  <c r="O807" i="2"/>
  <c r="O777" i="2"/>
  <c r="O778" i="2"/>
  <c r="O779" i="2"/>
  <c r="O391" i="2"/>
  <c r="O392" i="2"/>
  <c r="O393" i="2"/>
  <c r="O352" i="2"/>
  <c r="O353" i="2"/>
  <c r="O485" i="2"/>
  <c r="O394" i="2"/>
  <c r="O395" i="2"/>
  <c r="O439" i="2"/>
  <c r="O440" i="2"/>
  <c r="O396" i="2"/>
  <c r="O486" i="2"/>
  <c r="O517" i="2"/>
  <c r="O747" i="2"/>
  <c r="O748" i="2"/>
  <c r="O749" i="2"/>
  <c r="O750" i="2"/>
  <c r="O676" i="2"/>
  <c r="O677" i="2"/>
  <c r="O678" i="2"/>
  <c r="O679" i="2"/>
  <c r="O680" i="2"/>
  <c r="O629" i="2"/>
  <c r="O630" i="2"/>
  <c r="O631" i="2"/>
  <c r="O632" i="2"/>
  <c r="O597" i="2"/>
  <c r="O598" i="2"/>
  <c r="O599" i="2"/>
  <c r="O565" i="2"/>
  <c r="O544" i="2"/>
  <c r="O545" i="2"/>
  <c r="O546" i="2"/>
  <c r="O518" i="2"/>
  <c r="O979" i="2"/>
  <c r="O980" i="2"/>
  <c r="O954" i="2"/>
  <c r="O917" i="2"/>
  <c r="O904" i="2"/>
  <c r="O905" i="2"/>
  <c r="O862" i="2"/>
  <c r="O839" i="2"/>
  <c r="O820" i="2"/>
  <c r="O808" i="2"/>
  <c r="O795" i="2"/>
  <c r="O780" i="2"/>
  <c r="O781" i="2"/>
  <c r="O487" i="2"/>
  <c r="O397" i="2"/>
  <c r="O398" i="2"/>
  <c r="O399" i="2"/>
  <c r="O204" i="2"/>
  <c r="O205" i="2"/>
  <c r="O40" i="2"/>
  <c r="O41" i="2"/>
  <c r="O9" i="2"/>
  <c r="O42" i="2"/>
  <c r="O206" i="2"/>
  <c r="O207" i="2"/>
  <c r="O208" i="2"/>
  <c r="O148" i="2"/>
  <c r="O234" i="2"/>
  <c r="O10" i="2"/>
  <c r="O209" i="2"/>
  <c r="O210" i="2"/>
  <c r="O211" i="2"/>
  <c r="O212" i="2"/>
  <c r="O190" i="2"/>
  <c r="O43" i="2"/>
  <c r="O11" i="2"/>
  <c r="O12" i="2"/>
  <c r="O13" i="2"/>
  <c r="O213" i="2"/>
  <c r="O214" i="2"/>
  <c r="O215" i="2"/>
  <c r="O216" i="2"/>
  <c r="O217" i="2"/>
  <c r="O169" i="2"/>
  <c r="O149" i="2"/>
  <c r="O235" i="2"/>
  <c r="O14" i="2"/>
  <c r="O15" i="2"/>
  <c r="O218" i="2"/>
  <c r="O219" i="2"/>
  <c r="O170" i="2"/>
  <c r="O84" i="2"/>
  <c r="O66" i="2"/>
  <c r="O67" i="2"/>
  <c r="O519" i="2"/>
  <c r="O354" i="2"/>
  <c r="O488" i="2"/>
  <c r="O520" i="2"/>
  <c r="O633" i="2"/>
  <c r="O521" i="2"/>
  <c r="O489" i="2"/>
  <c r="O634" i="2"/>
  <c r="O522" i="2"/>
  <c r="O68" i="2"/>
  <c r="O16" i="2"/>
  <c r="O44" i="2"/>
  <c r="O69" i="2"/>
  <c r="O70" i="2"/>
  <c r="O71" i="2"/>
  <c r="O113" i="2"/>
  <c r="O114" i="2"/>
  <c r="O135" i="2"/>
  <c r="O150" i="2"/>
  <c r="O151" i="2"/>
  <c r="O152" i="2"/>
  <c r="O171" i="2"/>
  <c r="O172" i="2"/>
  <c r="O173" i="2"/>
  <c r="O17" i="2"/>
  <c r="O18" i="2"/>
  <c r="O174" i="2"/>
  <c r="O19" i="2"/>
  <c r="O20" i="2"/>
  <c r="O175" i="2"/>
  <c r="O681" i="2"/>
  <c r="O796" i="2"/>
  <c r="O682" i="2"/>
  <c r="O797" i="2"/>
  <c r="O683" i="2"/>
  <c r="O932" i="2"/>
  <c r="O918" i="2"/>
  <c r="O919" i="2"/>
  <c r="O1006" i="2"/>
  <c r="O920" i="2"/>
  <c r="O933" i="2"/>
  <c r="O921" i="2"/>
  <c r="O1010" i="2"/>
  <c r="O998" i="2"/>
  <c r="O999" i="2"/>
  <c r="O1000" i="2"/>
  <c r="O1001" i="2"/>
  <c r="O959" i="2"/>
  <c r="O947" i="2"/>
  <c r="O943" i="2"/>
  <c r="O944" i="2"/>
  <c r="O934" i="2"/>
  <c r="O935" i="2"/>
  <c r="O936" i="2"/>
  <c r="O922" i="2"/>
  <c r="O923" i="2"/>
  <c r="O924" i="2"/>
  <c r="O895" i="2"/>
  <c r="O871" i="2"/>
  <c r="O896" i="2"/>
  <c r="O937" i="2"/>
  <c r="O945" i="2"/>
  <c r="O925" i="2"/>
  <c r="O938" i="2"/>
  <c r="O939" i="2"/>
  <c r="O926" i="2"/>
  <c r="O927" i="2"/>
  <c r="O897" i="2"/>
  <c r="O441" i="2"/>
  <c r="O442" i="2"/>
  <c r="O490" i="2"/>
  <c r="O443" i="2"/>
  <c r="O444" i="2"/>
  <c r="O21" i="2"/>
  <c r="O22" i="2"/>
  <c r="O400" i="2"/>
  <c r="O220" i="2"/>
  <c r="O85" i="2"/>
  <c r="O221" i="2"/>
  <c r="O86" i="2"/>
  <c r="O222" i="2"/>
  <c r="O115" i="2"/>
  <c r="O848" i="2"/>
  <c r="O872" i="2"/>
  <c r="O873" i="2"/>
  <c r="O849" i="2"/>
  <c r="O809" i="2"/>
  <c r="O874" i="2"/>
  <c r="O875" i="2"/>
  <c r="O782" i="2"/>
  <c r="O751" i="2"/>
  <c r="O491" i="2"/>
  <c r="O876" i="2"/>
  <c r="O877" i="2"/>
  <c r="O878" i="2"/>
  <c r="O879" i="2"/>
  <c r="O880" i="2"/>
  <c r="O850" i="2"/>
  <c r="O821" i="2"/>
  <c r="O822" i="2"/>
  <c r="O810" i="2"/>
  <c r="O881" i="2"/>
  <c r="O783" i="2"/>
  <c r="O811" i="2"/>
  <c r="O752" i="2"/>
  <c r="O882" i="2"/>
  <c r="O883" i="2"/>
  <c r="O753" i="2"/>
  <c r="O884" i="2"/>
  <c r="O823" i="2"/>
  <c r="O824" i="2"/>
  <c r="O1002" i="2"/>
  <c r="O1003" i="2"/>
  <c r="O1004" i="2"/>
  <c r="O981" i="2"/>
  <c r="O982" i="2"/>
  <c r="O983" i="2"/>
  <c r="O1005" i="2"/>
  <c r="O992" i="2"/>
  <c r="O984" i="2"/>
  <c r="O985" i="2"/>
  <c r="O986" i="2"/>
  <c r="O987" i="2"/>
  <c r="O988" i="2"/>
  <c r="O306" i="2"/>
  <c r="O307" i="2"/>
  <c r="O308" i="2"/>
  <c r="O304" i="2"/>
  <c r="O305" i="2"/>
  <c r="O302" i="2"/>
  <c r="O298" i="2"/>
  <c r="O299" i="2"/>
  <c r="O295" i="2"/>
  <c r="O296" i="2"/>
  <c r="O303" i="2"/>
  <c r="O297" i="2"/>
  <c r="O309" i="2"/>
  <c r="O310" i="2"/>
  <c r="O87" i="2"/>
  <c r="O72" i="2"/>
  <c r="O88" i="2"/>
  <c r="O176" i="2"/>
  <c r="O89" i="2"/>
  <c r="O45" i="2"/>
  <c r="O90" i="2"/>
  <c r="O177" i="2"/>
  <c r="O23" i="2"/>
  <c r="O948" i="2"/>
  <c r="O611" i="2"/>
  <c r="O573" i="2"/>
  <c r="O866" i="2"/>
  <c r="O532" i="2"/>
  <c r="O867" i="2"/>
  <c r="O689" i="2"/>
  <c r="O91" i="2"/>
  <c r="O92" i="2"/>
  <c r="O46" i="2"/>
  <c r="O116" i="2"/>
  <c r="O47" i="2"/>
  <c r="O117" i="2"/>
  <c r="O48" i="2"/>
  <c r="O118" i="2"/>
  <c r="O600" i="2"/>
  <c r="O445" i="2"/>
  <c r="O446" i="2"/>
  <c r="O601" i="2"/>
  <c r="O566" i="2"/>
  <c r="O355" i="2"/>
  <c r="O602" i="2"/>
  <c r="O754" i="2"/>
  <c r="O316" i="2"/>
  <c r="O24" i="2"/>
  <c r="O25" i="2"/>
  <c r="O153" i="2"/>
  <c r="O223" i="2"/>
  <c r="O154" i="2"/>
  <c r="O2" i="2"/>
  <c r="O282" i="2"/>
  <c r="O283" i="2"/>
  <c r="O269" i="2"/>
  <c r="O270" i="2"/>
  <c r="O271" i="2"/>
  <c r="O272" i="2"/>
  <c r="O253" i="2"/>
  <c r="O254" i="2"/>
  <c r="O224" i="2"/>
  <c r="O284" i="2"/>
  <c r="O273" i="2"/>
  <c r="O274" i="2"/>
  <c r="O255" i="2"/>
  <c r="O401" i="2"/>
  <c r="O356" i="2"/>
  <c r="O357" i="2"/>
  <c r="O402" i="2"/>
  <c r="O26" i="2"/>
  <c r="O49" i="2"/>
  <c r="O27" i="2"/>
  <c r="O93" i="2"/>
  <c r="O94" i="2"/>
  <c r="O50" i="2"/>
  <c r="O28" i="2"/>
  <c r="O29" i="2"/>
  <c r="O30" i="2"/>
  <c r="O31" i="2"/>
  <c r="O178" i="2"/>
  <c r="O136" i="2"/>
  <c r="O155" i="2"/>
  <c r="O191" i="2"/>
  <c r="O225" i="2"/>
  <c r="O226" i="2"/>
  <c r="O313" i="2"/>
  <c r="O311" i="2"/>
  <c r="O312" i="2"/>
  <c r="O73" i="2"/>
  <c r="O119" i="2"/>
  <c r="O32" i="2"/>
  <c r="O120" i="2"/>
  <c r="O121" i="2"/>
  <c r="O122" i="2"/>
  <c r="O123" i="2"/>
  <c r="O51" i="2"/>
  <c r="O74" i="2"/>
  <c r="O52" i="2"/>
  <c r="O75" i="2"/>
  <c r="O137" i="2"/>
  <c r="O138" i="2"/>
  <c r="O53" i="2"/>
  <c r="O124" i="2"/>
  <c r="O76" i="2"/>
  <c r="O139" i="2"/>
  <c r="O140" i="2"/>
  <c r="O141" i="2"/>
  <c r="O492" i="2"/>
  <c r="O493" i="2"/>
  <c r="O447" i="2"/>
  <c r="O448" i="2"/>
  <c r="O403" i="2"/>
  <c r="O358" i="2"/>
  <c r="O359" i="2"/>
  <c r="O547" i="2"/>
  <c r="O360" i="2"/>
  <c r="O494" i="2"/>
  <c r="O449" i="2"/>
  <c r="O404" i="2"/>
  <c r="O495" i="2"/>
  <c r="O450" i="2"/>
  <c r="O548" i="2"/>
  <c r="O361" i="2"/>
  <c r="O496" i="2"/>
  <c r="O451" i="2"/>
  <c r="O405" i="2"/>
  <c r="O452" i="2"/>
  <c r="O362" i="2"/>
  <c r="O497" i="2"/>
  <c r="O498" i="2"/>
  <c r="O755" i="2"/>
  <c r="O684" i="2"/>
  <c r="O975" i="2"/>
  <c r="O863" i="2"/>
  <c r="O812" i="2"/>
  <c r="O798" i="2"/>
  <c r="O603" i="2"/>
  <c r="O523" i="2"/>
  <c r="O499" i="2"/>
  <c r="O500" i="2"/>
  <c r="O524" i="2"/>
  <c r="O604" i="2"/>
  <c r="O685" i="2"/>
  <c r="O799" i="2"/>
  <c r="O525" i="2"/>
  <c r="O363" i="2"/>
  <c r="O526" i="2"/>
  <c r="O501" i="2"/>
  <c r="O453" i="2"/>
  <c r="O502" i="2"/>
  <c r="O527" i="2"/>
  <c r="O567" i="2"/>
  <c r="O605" i="2"/>
  <c r="O960" i="2"/>
  <c r="O528" i="2"/>
  <c r="O606" i="2"/>
  <c r="O503" i="2"/>
  <c r="O961" i="2"/>
  <c r="O910" i="2"/>
  <c r="O364" i="2"/>
  <c r="O365" i="2"/>
  <c r="O976" i="2"/>
  <c r="O951" i="2"/>
  <c r="O952" i="2"/>
  <c r="O977" i="2"/>
  <c r="O962" i="2"/>
  <c r="O963" i="2"/>
  <c r="O964" i="2"/>
  <c r="O955" i="2"/>
  <c r="O956" i="2"/>
  <c r="O940" i="2"/>
  <c r="O784" i="2"/>
  <c r="O504" i="2"/>
  <c r="O454" i="2"/>
  <c r="O529" i="2"/>
  <c r="O530" i="2"/>
  <c r="O505" i="2"/>
  <c r="O366" i="2"/>
  <c r="O455" i="2"/>
  <c r="O406" i="2"/>
  <c r="O568" i="2"/>
  <c r="O756" i="2"/>
  <c r="O686" i="2"/>
  <c r="O687" i="2"/>
  <c r="O607" i="2"/>
  <c r="O608" i="2"/>
  <c r="O531" i="2"/>
  <c r="O864" i="2"/>
  <c r="O965" i="2"/>
  <c r="O966" i="2"/>
  <c r="O967" i="2"/>
  <c r="O825" i="2"/>
  <c r="O813" i="2"/>
  <c r="O800" i="2"/>
  <c r="O688" i="2"/>
  <c r="O609" i="2"/>
  <c r="O569" i="2"/>
  <c r="O610" i="2"/>
  <c r="O757" i="2"/>
  <c r="O928" i="2"/>
  <c r="O865" i="2"/>
  <c r="O814" i="2"/>
  <c r="O815" i="2"/>
  <c r="O506" i="2"/>
  <c r="O507" i="2"/>
  <c r="O508" i="2"/>
  <c r="O367" i="2"/>
  <c r="O368" i="2"/>
  <c r="O509" i="2"/>
  <c r="O570" i="2"/>
  <c r="O510" i="2"/>
  <c r="O571" i="2"/>
  <c r="O572" i="2"/>
  <c r="O95" i="2"/>
  <c r="O300" i="2"/>
  <c r="O230" i="2"/>
  <c r="O301" i="2"/>
  <c r="O231" i="2"/>
  <c r="O54" i="2"/>
  <c r="O55" i="2"/>
  <c r="O232" i="2"/>
  <c r="O56" i="2"/>
  <c r="O288" i="2"/>
  <c r="O256" i="2"/>
  <c r="O275" i="2"/>
  <c r="O156" i="2"/>
  <c r="O285" i="2"/>
  <c r="O257" i="2"/>
  <c r="O96" i="2"/>
  <c r="O97" i="2"/>
  <c r="O227" i="2"/>
  <c r="O125" i="2"/>
  <c r="O57" i="2"/>
  <c r="O228" i="2"/>
  <c r="O192" i="2"/>
  <c r="O286" i="2"/>
  <c r="O276" i="2"/>
  <c r="O258" i="2"/>
  <c r="O259" i="2"/>
  <c r="O260" i="2"/>
  <c r="O126" i="2"/>
  <c r="O229" i="2"/>
  <c r="O236" i="2"/>
  <c r="O261" i="2"/>
  <c r="O241" i="2"/>
  <c r="O242" i="2"/>
  <c r="O243" i="2"/>
  <c r="O33" i="2"/>
  <c r="O98" i="2"/>
  <c r="O99" i="2"/>
  <c r="O34" i="2"/>
  <c r="O193" i="2"/>
  <c r="O179" i="2"/>
  <c r="O277" i="2"/>
  <c r="O278" i="2"/>
  <c r="O262" i="2"/>
  <c r="O263" i="2"/>
  <c r="O264" i="2"/>
  <c r="O244" i="2"/>
  <c r="O574" i="2"/>
  <c r="O946" i="2"/>
  <c r="O549" i="2"/>
  <c r="O35" i="2"/>
  <c r="O36" i="2"/>
  <c r="O127" i="2"/>
  <c r="O142" i="2"/>
  <c r="O245" i="2"/>
  <c r="O128" i="2"/>
  <c r="O265" i="2"/>
  <c r="O246" i="2"/>
  <c r="O266" i="2"/>
  <c r="O247" i="2"/>
  <c r="O248" i="2"/>
  <c r="O100" i="2"/>
  <c r="O237" i="2"/>
  <c r="O101" i="2"/>
  <c r="O249" i="2"/>
  <c r="O102" i="2"/>
  <c r="O103" i="2"/>
  <c r="O267" i="2"/>
  <c r="O250" i="2"/>
  <c r="O251" i="2"/>
  <c r="O238" i="2"/>
  <c r="O104" i="2"/>
  <c r="O612" i="2"/>
  <c r="K945" i="2"/>
  <c r="K925" i="2"/>
  <c r="K884" i="2"/>
  <c r="K848" i="2"/>
  <c r="K567" i="2"/>
  <c r="K636" i="2"/>
  <c r="K55" i="2"/>
  <c r="K696" i="2"/>
  <c r="K166" i="2"/>
  <c r="K145" i="2"/>
  <c r="K1002" i="2"/>
  <c r="K864" i="2"/>
  <c r="K228" i="2"/>
  <c r="K198" i="2"/>
  <c r="K172" i="2"/>
  <c r="K568" i="2"/>
  <c r="K127" i="2"/>
  <c r="K488" i="2"/>
  <c r="K359" i="2"/>
  <c r="K1006" i="2"/>
  <c r="K976" i="2"/>
  <c r="K951" i="2"/>
  <c r="K952" i="2"/>
  <c r="K920" i="2"/>
  <c r="K933" i="2"/>
  <c r="K913" i="2"/>
  <c r="K921" i="2"/>
  <c r="K911" i="2"/>
  <c r="K906" i="2"/>
  <c r="K875" i="2"/>
  <c r="K854" i="2"/>
  <c r="K690" i="2"/>
  <c r="K691" i="2"/>
  <c r="K698" i="2"/>
  <c r="K210" i="2"/>
  <c r="K617" i="2"/>
  <c r="K157" i="2"/>
  <c r="K580" i="2"/>
  <c r="K508" i="2"/>
  <c r="K400" i="2"/>
  <c r="K776" i="2"/>
  <c r="K744" i="2"/>
  <c r="K236" i="2"/>
  <c r="K745" i="2"/>
  <c r="K752" i="2"/>
  <c r="K693" i="2"/>
  <c r="K672" i="2"/>
  <c r="K673" i="2"/>
  <c r="K674" i="2"/>
  <c r="K675" i="2"/>
  <c r="K203" i="2"/>
  <c r="K196" i="2"/>
  <c r="K229" i="2"/>
  <c r="K218" i="2"/>
  <c r="K688" i="2"/>
  <c r="K224" i="2"/>
  <c r="K219" i="2"/>
  <c r="K197" i="2"/>
  <c r="K682" i="2"/>
  <c r="K616" i="2"/>
  <c r="K627" i="2"/>
  <c r="K628" i="2"/>
  <c r="K609" i="2"/>
  <c r="K183" i="2"/>
  <c r="K634" i="2"/>
  <c r="K173" i="2"/>
  <c r="K602" i="2"/>
  <c r="K175" i="2"/>
  <c r="K165" i="2"/>
  <c r="K171" i="2"/>
  <c r="K576" i="2"/>
  <c r="K170" i="2"/>
  <c r="K177" i="2"/>
  <c r="K569" i="2"/>
  <c r="K610" i="2"/>
  <c r="K571" i="2"/>
  <c r="K151" i="2"/>
  <c r="K152" i="2"/>
  <c r="K572" i="2"/>
  <c r="K553" i="2"/>
  <c r="K150" i="2"/>
  <c r="K550" i="2"/>
  <c r="K533" i="2"/>
  <c r="K131" i="2"/>
  <c r="K140" i="2"/>
  <c r="K537" i="2"/>
  <c r="K538" i="2"/>
  <c r="K516" i="2"/>
  <c r="K139" i="2"/>
  <c r="K128" i="2"/>
  <c r="K124" i="2"/>
  <c r="K522" i="2"/>
  <c r="K483" i="2"/>
  <c r="K126" i="2"/>
  <c r="K115" i="2"/>
  <c r="K121" i="2"/>
  <c r="K117" i="2"/>
  <c r="K515" i="2"/>
  <c r="K114" i="2"/>
  <c r="K489" i="2"/>
  <c r="K510" i="2"/>
  <c r="K90" i="2"/>
  <c r="K484" i="2"/>
  <c r="K95" i="2"/>
  <c r="K459" i="2"/>
  <c r="K460" i="2"/>
  <c r="K89" i="2"/>
  <c r="K104" i="2"/>
  <c r="K436" i="2"/>
  <c r="K438" i="2"/>
  <c r="K437" i="2"/>
  <c r="K435" i="2"/>
  <c r="K76" i="2"/>
  <c r="K389" i="2"/>
  <c r="K45" i="2"/>
  <c r="K402" i="2"/>
  <c r="K390" i="2"/>
  <c r="K388" i="2"/>
  <c r="K53" i="2"/>
  <c r="K48" i="2"/>
  <c r="K14" i="2"/>
  <c r="K350" i="2"/>
  <c r="K351" i="2"/>
  <c r="K20" i="2"/>
  <c r="K15" i="2"/>
  <c r="K325" i="2"/>
  <c r="K19" i="2"/>
  <c r="K22" i="2"/>
  <c r="K315" i="2"/>
  <c r="K876" i="2"/>
  <c r="K877" i="2"/>
  <c r="K878" i="2"/>
  <c r="K879" i="2"/>
  <c r="K880" i="2"/>
  <c r="K852" i="2"/>
  <c r="K850" i="2"/>
  <c r="K828" i="2"/>
  <c r="K829" i="2"/>
  <c r="K821" i="2"/>
  <c r="K822" i="2"/>
  <c r="K801" i="2"/>
  <c r="K810" i="2"/>
  <c r="K803" i="2"/>
  <c r="K790" i="2"/>
  <c r="K788" i="2"/>
  <c r="K786" i="2"/>
  <c r="K249" i="2"/>
  <c r="K751" i="2"/>
  <c r="K692" i="2"/>
  <c r="K635" i="2"/>
  <c r="K638" i="2"/>
  <c r="K211" i="2"/>
  <c r="K212" i="2"/>
  <c r="K221" i="2"/>
  <c r="K199" i="2"/>
  <c r="K681" i="2"/>
  <c r="K592" i="2"/>
  <c r="K603" i="2"/>
  <c r="K604" i="2"/>
  <c r="K552" i="2"/>
  <c r="K122" i="2"/>
  <c r="K123" i="2"/>
  <c r="K523" i="2"/>
  <c r="K524" i="2"/>
  <c r="K109" i="2"/>
  <c r="K105" i="2"/>
  <c r="K106" i="2"/>
  <c r="K491" i="2"/>
  <c r="K499" i="2"/>
  <c r="K500" i="2"/>
  <c r="K457" i="2"/>
  <c r="K101" i="2"/>
  <c r="K77" i="2"/>
  <c r="K78" i="2"/>
  <c r="K409" i="2"/>
  <c r="K58" i="2"/>
  <c r="K59" i="2"/>
  <c r="K64" i="2"/>
  <c r="K68" i="2"/>
  <c r="K69" i="2"/>
  <c r="K41" i="2"/>
  <c r="K314" i="2"/>
  <c r="K226" i="2"/>
  <c r="K561" i="2"/>
  <c r="K340" i="2"/>
  <c r="K931" i="2"/>
  <c r="K942" i="2"/>
  <c r="K915" i="2"/>
  <c r="K886" i="2"/>
  <c r="K842" i="2"/>
  <c r="K1008" i="2"/>
  <c r="K997" i="2"/>
  <c r="K991" i="2"/>
  <c r="K988" i="2"/>
  <c r="K312" i="2"/>
  <c r="K309" i="2"/>
  <c r="K938" i="2"/>
  <c r="K937" i="2"/>
  <c r="K939" i="2"/>
  <c r="K926" i="2"/>
  <c r="K927" i="2"/>
  <c r="K897" i="2"/>
  <c r="K832" i="2"/>
  <c r="K833" i="2"/>
  <c r="K823" i="2"/>
  <c r="K824" i="2"/>
  <c r="K802" i="2"/>
  <c r="K753" i="2"/>
  <c r="K694" i="2"/>
  <c r="K683" i="2"/>
  <c r="K487" i="2"/>
  <c r="K461" i="2"/>
  <c r="K73" i="2"/>
  <c r="K994" i="2"/>
  <c r="K978" i="2"/>
  <c r="K970" i="2"/>
  <c r="K972" i="2"/>
  <c r="K973" i="2"/>
  <c r="K971" i="2"/>
  <c r="K960" i="2"/>
  <c r="K953" i="2"/>
  <c r="K949" i="2"/>
  <c r="K916" i="2"/>
  <c r="K909" i="2"/>
  <c r="K900" i="2"/>
  <c r="K899" i="2"/>
  <c r="K901" i="2"/>
  <c r="K891" i="2"/>
  <c r="K892" i="2"/>
  <c r="K869" i="2"/>
  <c r="K856" i="2"/>
  <c r="K858" i="2"/>
  <c r="K857" i="2"/>
  <c r="K288" i="2"/>
  <c r="K834" i="2"/>
  <c r="K835" i="2"/>
  <c r="K285" i="2"/>
  <c r="K819" i="2"/>
  <c r="K275" i="2"/>
  <c r="K256" i="2"/>
  <c r="K793" i="2"/>
  <c r="K266" i="2"/>
  <c r="K257" i="2"/>
  <c r="K799" i="2"/>
  <c r="K794" i="2"/>
  <c r="K700" i="2"/>
  <c r="K247" i="2"/>
  <c r="K248" i="2"/>
  <c r="K701" i="2"/>
  <c r="K759" i="2"/>
  <c r="K760" i="2"/>
  <c r="K765" i="2"/>
  <c r="K761" i="2"/>
  <c r="K762" i="2"/>
  <c r="K763" i="2"/>
  <c r="K764" i="2"/>
  <c r="K713" i="2"/>
  <c r="K237" i="2"/>
  <c r="K702" i="2"/>
  <c r="K703" i="2"/>
  <c r="K714" i="2"/>
  <c r="K715" i="2"/>
  <c r="K704" i="2"/>
  <c r="K705" i="2"/>
  <c r="K706" i="2"/>
  <c r="K234" i="2"/>
  <c r="K716" i="2"/>
  <c r="K717" i="2"/>
  <c r="K707" i="2"/>
  <c r="K708" i="2"/>
  <c r="K709" i="2"/>
  <c r="K710" i="2"/>
  <c r="K718" i="2"/>
  <c r="K711" i="2"/>
  <c r="K712" i="2"/>
  <c r="K639" i="2"/>
  <c r="K650" i="2"/>
  <c r="K640" i="2"/>
  <c r="K641" i="2"/>
  <c r="K642" i="2"/>
  <c r="K643" i="2"/>
  <c r="K644" i="2"/>
  <c r="K645" i="2"/>
  <c r="K646" i="2"/>
  <c r="K647" i="2"/>
  <c r="K651" i="2"/>
  <c r="K652" i="2"/>
  <c r="K648" i="2"/>
  <c r="K649" i="2"/>
  <c r="K653" i="2"/>
  <c r="K618" i="2"/>
  <c r="K209" i="2"/>
  <c r="K206" i="2"/>
  <c r="K207" i="2"/>
  <c r="K208" i="2"/>
  <c r="K220" i="2"/>
  <c r="K685" i="2"/>
  <c r="K619" i="2"/>
  <c r="K620" i="2"/>
  <c r="K585" i="2"/>
  <c r="K621" i="2"/>
  <c r="K622" i="2"/>
  <c r="K613" i="2"/>
  <c r="K590" i="2"/>
  <c r="K586" i="2"/>
  <c r="K587" i="2"/>
  <c r="K588" i="2"/>
  <c r="K600" i="2"/>
  <c r="K589" i="2"/>
  <c r="K557" i="2"/>
  <c r="K605" i="2"/>
  <c r="K558" i="2"/>
  <c r="K559" i="2"/>
  <c r="K560" i="2"/>
  <c r="K539" i="2"/>
  <c r="K148" i="2"/>
  <c r="K153" i="2"/>
  <c r="K528" i="2"/>
  <c r="K156" i="2"/>
  <c r="K541" i="2"/>
  <c r="K540" i="2"/>
  <c r="K129" i="2"/>
  <c r="K548" i="2"/>
  <c r="K512" i="2"/>
  <c r="K526" i="2"/>
  <c r="K513" i="2"/>
  <c r="K527" i="2"/>
  <c r="K519" i="2"/>
  <c r="K110" i="2"/>
  <c r="K525" i="2"/>
  <c r="K465" i="2"/>
  <c r="K466" i="2"/>
  <c r="K472" i="2"/>
  <c r="K507" i="2"/>
  <c r="K468" i="2"/>
  <c r="K467" i="2"/>
  <c r="K473" i="2"/>
  <c r="K469" i="2"/>
  <c r="K470" i="2"/>
  <c r="K471" i="2"/>
  <c r="K501" i="2"/>
  <c r="K502" i="2"/>
  <c r="K418" i="2"/>
  <c r="K494" i="2"/>
  <c r="K419" i="2"/>
  <c r="K495" i="2"/>
  <c r="K474" i="2"/>
  <c r="K456" i="2"/>
  <c r="K100" i="2"/>
  <c r="K85" i="2"/>
  <c r="K423" i="2"/>
  <c r="K422" i="2"/>
  <c r="K420" i="2"/>
  <c r="K415" i="2"/>
  <c r="K414" i="2"/>
  <c r="K425" i="2"/>
  <c r="K416" i="2"/>
  <c r="K424" i="2"/>
  <c r="K421" i="2"/>
  <c r="K450" i="2"/>
  <c r="K417" i="2"/>
  <c r="K373" i="2"/>
  <c r="K372" i="2"/>
  <c r="K380" i="2"/>
  <c r="K441" i="2"/>
  <c r="K449" i="2"/>
  <c r="K60" i="2"/>
  <c r="K377" i="2"/>
  <c r="K407" i="2"/>
  <c r="K453" i="2"/>
  <c r="K371" i="2"/>
  <c r="K376" i="2"/>
  <c r="K379" i="2"/>
  <c r="K378" i="2"/>
  <c r="K374" i="2"/>
  <c r="K375" i="2"/>
  <c r="K370" i="2"/>
  <c r="K404" i="2"/>
  <c r="K335" i="2"/>
  <c r="K331" i="2"/>
  <c r="K51" i="2"/>
  <c r="K42" i="2"/>
  <c r="K330" i="2"/>
  <c r="K337" i="2"/>
  <c r="K334" i="2"/>
  <c r="K361" i="2"/>
  <c r="K10" i="2"/>
  <c r="K360" i="2"/>
  <c r="K338" i="2"/>
  <c r="K332" i="2"/>
  <c r="K333" i="2"/>
  <c r="K329" i="2"/>
  <c r="K328" i="2"/>
  <c r="K356" i="2"/>
  <c r="K336" i="2"/>
  <c r="K321" i="2"/>
  <c r="K363" i="2"/>
  <c r="K9" i="2"/>
  <c r="K357" i="2"/>
  <c r="K16" i="2"/>
  <c r="K961" i="2"/>
  <c r="K910" i="2"/>
  <c r="K872" i="2"/>
  <c r="K873" i="2"/>
  <c r="K851" i="2"/>
  <c r="K849" i="2"/>
  <c r="K827" i="2"/>
  <c r="K809" i="2"/>
  <c r="K787" i="2"/>
  <c r="K606" i="2"/>
  <c r="K111" i="2"/>
  <c r="K107" i="2"/>
  <c r="K503" i="2"/>
  <c r="K490" i="2"/>
  <c r="K91" i="2"/>
  <c r="K79" i="2"/>
  <c r="K408" i="2"/>
  <c r="K62" i="2"/>
  <c r="K445" i="2"/>
  <c r="K442" i="2"/>
  <c r="K452" i="2"/>
  <c r="K63" i="2"/>
  <c r="K71" i="2"/>
  <c r="K70" i="2"/>
  <c r="K397" i="2"/>
  <c r="K1007" i="2"/>
  <c r="K1009" i="2"/>
  <c r="K313" i="2"/>
  <c r="K990" i="2"/>
  <c r="K311" i="2"/>
  <c r="K974" i="2"/>
  <c r="K950" i="2"/>
  <c r="K303" i="2"/>
  <c r="K300" i="2"/>
  <c r="K928" i="2"/>
  <c r="K297" i="2"/>
  <c r="K898" i="2"/>
  <c r="K896" i="2"/>
  <c r="K885" i="2"/>
  <c r="K882" i="2"/>
  <c r="K883" i="2"/>
  <c r="K865" i="2"/>
  <c r="K860" i="2"/>
  <c r="K853" i="2"/>
  <c r="K861" i="2"/>
  <c r="K284" i="2"/>
  <c r="K273" i="2"/>
  <c r="K831" i="2"/>
  <c r="K274" i="2"/>
  <c r="K817" i="2"/>
  <c r="K818" i="2"/>
  <c r="K807" i="2"/>
  <c r="K814" i="2"/>
  <c r="K255" i="2"/>
  <c r="K815" i="2"/>
  <c r="K261" i="2"/>
  <c r="K757" i="2"/>
  <c r="K241" i="2"/>
  <c r="K242" i="2"/>
  <c r="K789" i="2"/>
  <c r="K243" i="2"/>
  <c r="K797" i="2"/>
  <c r="K746" i="2"/>
  <c r="K777" i="2"/>
  <c r="K778" i="2"/>
  <c r="K779" i="2"/>
  <c r="K279" i="2"/>
  <c r="K280" i="2"/>
  <c r="K791" i="2"/>
  <c r="K695" i="2"/>
  <c r="K233" i="2"/>
  <c r="K239" i="2"/>
  <c r="K252" i="2"/>
  <c r="K268" i="2"/>
  <c r="K281" i="2"/>
  <c r="K287" i="2"/>
  <c r="K289" i="2"/>
  <c r="K290" i="2"/>
  <c r="K291" i="2"/>
  <c r="K292" i="2"/>
  <c r="K293" i="2"/>
  <c r="K294" i="2"/>
  <c r="K697" i="2"/>
  <c r="K231" i="2"/>
  <c r="K577" i="2"/>
  <c r="K190" i="2"/>
  <c r="K189" i="2"/>
  <c r="K159" i="2"/>
  <c r="K160" i="2"/>
  <c r="K161" i="2"/>
  <c r="K162" i="2"/>
  <c r="K163" i="2"/>
  <c r="K146" i="2"/>
  <c r="K147" i="2"/>
  <c r="K1003" i="2"/>
  <c r="K1004" i="2"/>
  <c r="K993" i="2"/>
  <c r="K996" i="2"/>
  <c r="K989" i="2"/>
  <c r="K981" i="2"/>
  <c r="K986" i="2"/>
  <c r="K982" i="2"/>
  <c r="K987" i="2"/>
  <c r="K983" i="2"/>
  <c r="K979" i="2"/>
  <c r="K980" i="2"/>
  <c r="K975" i="2"/>
  <c r="K968" i="2"/>
  <c r="K969" i="2"/>
  <c r="K965" i="2"/>
  <c r="K966" i="2"/>
  <c r="K967" i="2"/>
  <c r="K957" i="2"/>
  <c r="K958" i="2"/>
  <c r="K954" i="2"/>
  <c r="K932" i="2"/>
  <c r="K301" i="2"/>
  <c r="K918" i="2"/>
  <c r="K917" i="2"/>
  <c r="K919" i="2"/>
  <c r="K902" i="2"/>
  <c r="K904" i="2"/>
  <c r="K905" i="2"/>
  <c r="K903" i="2"/>
  <c r="K893" i="2"/>
  <c r="K894" i="2"/>
  <c r="K870" i="2"/>
  <c r="K863" i="2"/>
  <c r="K862" i="2"/>
  <c r="K859" i="2"/>
  <c r="K847" i="2"/>
  <c r="K282" i="2"/>
  <c r="K836" i="2"/>
  <c r="K283" i="2"/>
  <c r="K837" i="2"/>
  <c r="K839" i="2"/>
  <c r="K838" i="2"/>
  <c r="K269" i="2"/>
  <c r="K270" i="2"/>
  <c r="K286" i="2"/>
  <c r="K830" i="2"/>
  <c r="K271" i="2"/>
  <c r="K820" i="2"/>
  <c r="K272" i="2"/>
  <c r="K277" i="2"/>
  <c r="K276" i="2"/>
  <c r="K278" i="2"/>
  <c r="K825" i="2"/>
  <c r="K805" i="2"/>
  <c r="K808" i="2"/>
  <c r="K253" i="2"/>
  <c r="K254" i="2"/>
  <c r="K813" i="2"/>
  <c r="K812" i="2"/>
  <c r="K806" i="2"/>
  <c r="K811" i="2"/>
  <c r="K258" i="2"/>
  <c r="K262" i="2"/>
  <c r="K267" i="2"/>
  <c r="K265" i="2"/>
  <c r="K263" i="2"/>
  <c r="K264" i="2"/>
  <c r="K259" i="2"/>
  <c r="K260" i="2"/>
  <c r="K240" i="2"/>
  <c r="K798" i="2"/>
  <c r="K800" i="2"/>
  <c r="K795" i="2"/>
  <c r="K755" i="2"/>
  <c r="K756" i="2"/>
  <c r="K244" i="2"/>
  <c r="K245" i="2"/>
  <c r="K719" i="2"/>
  <c r="K766" i="2"/>
  <c r="K250" i="2"/>
  <c r="K246" i="2"/>
  <c r="K796" i="2"/>
  <c r="K251" i="2"/>
  <c r="K720" i="2"/>
  <c r="K767" i="2"/>
  <c r="K768" i="2"/>
  <c r="K780" i="2"/>
  <c r="K769" i="2"/>
  <c r="K781" i="2"/>
  <c r="K770" i="2"/>
  <c r="K771" i="2"/>
  <c r="K772" i="2"/>
  <c r="K773" i="2"/>
  <c r="K774" i="2"/>
  <c r="K775" i="2"/>
  <c r="K754" i="2"/>
  <c r="K721" i="2"/>
  <c r="K722" i="2"/>
  <c r="K723" i="2"/>
  <c r="K724" i="2"/>
  <c r="K238" i="2"/>
  <c r="K725" i="2"/>
  <c r="K726" i="2"/>
  <c r="K727" i="2"/>
  <c r="K747" i="2"/>
  <c r="K728" i="2"/>
  <c r="K729" i="2"/>
  <c r="K730" i="2"/>
  <c r="K731" i="2"/>
  <c r="K748" i="2"/>
  <c r="K732" i="2"/>
  <c r="K733" i="2"/>
  <c r="K734" i="2"/>
  <c r="K735" i="2"/>
  <c r="K235" i="2"/>
  <c r="K736" i="2"/>
  <c r="K737" i="2"/>
  <c r="K738" i="2"/>
  <c r="K739" i="2"/>
  <c r="K740" i="2"/>
  <c r="K741" i="2"/>
  <c r="K742" i="2"/>
  <c r="K749" i="2"/>
  <c r="K750" i="2"/>
  <c r="K743" i="2"/>
  <c r="K230" i="2"/>
  <c r="K656" i="2"/>
  <c r="K232" i="2"/>
  <c r="K676" i="2"/>
  <c r="K677" i="2"/>
  <c r="K657" i="2"/>
  <c r="K658" i="2"/>
  <c r="K659" i="2"/>
  <c r="K678" i="2"/>
  <c r="K660" i="2"/>
  <c r="K661" i="2"/>
  <c r="K662" i="2"/>
  <c r="K663" i="2"/>
  <c r="K664" i="2"/>
  <c r="K679" i="2"/>
  <c r="K665" i="2"/>
  <c r="K666" i="2"/>
  <c r="K667" i="2"/>
  <c r="K668" i="2"/>
  <c r="K669" i="2"/>
  <c r="K680" i="2"/>
  <c r="K670" i="2"/>
  <c r="K671" i="2"/>
  <c r="K202" i="2"/>
  <c r="K200" i="2"/>
  <c r="K629" i="2"/>
  <c r="K225" i="2"/>
  <c r="K194" i="2"/>
  <c r="K213" i="2"/>
  <c r="K214" i="2"/>
  <c r="K204" i="2"/>
  <c r="K215" i="2"/>
  <c r="K216" i="2"/>
  <c r="K205" i="2"/>
  <c r="K686" i="2"/>
  <c r="K222" i="2"/>
  <c r="K201" i="2"/>
  <c r="K223" i="2"/>
  <c r="K217" i="2"/>
  <c r="K195" i="2"/>
  <c r="K684" i="2"/>
  <c r="K687" i="2"/>
  <c r="K623" i="2"/>
  <c r="K624" i="2"/>
  <c r="K630" i="2"/>
  <c r="K615" i="2"/>
  <c r="K625" i="2"/>
  <c r="K626" i="2"/>
  <c r="K631" i="2"/>
  <c r="K612" i="2"/>
  <c r="K614" i="2"/>
  <c r="K632" i="2"/>
  <c r="K607" i="2"/>
  <c r="K187" i="2"/>
  <c r="K191" i="2"/>
  <c r="K584" i="2"/>
  <c r="K181" i="2"/>
  <c r="K182" i="2"/>
  <c r="K633" i="2"/>
  <c r="K192" i="2"/>
  <c r="K193" i="2"/>
  <c r="K597" i="2"/>
  <c r="K593" i="2"/>
  <c r="K598" i="2"/>
  <c r="K594" i="2"/>
  <c r="K599" i="2"/>
  <c r="K595" i="2"/>
  <c r="K591" i="2"/>
  <c r="K601" i="2"/>
  <c r="K578" i="2"/>
  <c r="K596" i="2"/>
  <c r="K579" i="2"/>
  <c r="K174" i="2"/>
  <c r="K164" i="2"/>
  <c r="K179" i="2"/>
  <c r="K562" i="2"/>
  <c r="K575" i="2"/>
  <c r="K169" i="2"/>
  <c r="K178" i="2"/>
  <c r="K176" i="2"/>
  <c r="K608" i="2"/>
  <c r="K555" i="2"/>
  <c r="K563" i="2"/>
  <c r="K564" i="2"/>
  <c r="K565" i="2"/>
  <c r="K566" i="2"/>
  <c r="K144" i="2"/>
  <c r="K570" i="2"/>
  <c r="K544" i="2"/>
  <c r="K149" i="2"/>
  <c r="K155" i="2"/>
  <c r="K154" i="2"/>
  <c r="K554" i="2"/>
  <c r="K551" i="2"/>
  <c r="K542" i="2"/>
  <c r="K545" i="2"/>
  <c r="K543" i="2"/>
  <c r="K546" i="2"/>
  <c r="K142" i="2"/>
  <c r="K132" i="2"/>
  <c r="K130" i="2"/>
  <c r="K547" i="2"/>
  <c r="K134" i="2"/>
  <c r="K136" i="2"/>
  <c r="K536" i="2"/>
  <c r="K137" i="2"/>
  <c r="K141" i="2"/>
  <c r="K535" i="2"/>
  <c r="K135" i="2"/>
  <c r="K518" i="2"/>
  <c r="K138" i="2"/>
  <c r="K530" i="2"/>
  <c r="K517" i="2"/>
  <c r="K520" i="2"/>
  <c r="K531" i="2"/>
  <c r="K521" i="2"/>
  <c r="K112" i="2"/>
  <c r="K108" i="2"/>
  <c r="K529" i="2"/>
  <c r="K120" i="2"/>
  <c r="K125" i="2"/>
  <c r="K119" i="2"/>
  <c r="K116" i="2"/>
  <c r="K514" i="2"/>
  <c r="K118" i="2"/>
  <c r="K113" i="2"/>
  <c r="K479" i="2"/>
  <c r="K475" i="2"/>
  <c r="K509" i="2"/>
  <c r="K480" i="2"/>
  <c r="K485" i="2"/>
  <c r="K477" i="2"/>
  <c r="K478" i="2"/>
  <c r="K486" i="2"/>
  <c r="K87" i="2"/>
  <c r="K464" i="2"/>
  <c r="K481" i="2"/>
  <c r="K476" i="2"/>
  <c r="K505" i="2"/>
  <c r="K498" i="2"/>
  <c r="K463" i="2"/>
  <c r="K99" i="2"/>
  <c r="K497" i="2"/>
  <c r="K504" i="2"/>
  <c r="K462" i="2"/>
  <c r="K428" i="2"/>
  <c r="K496" i="2"/>
  <c r="K492" i="2"/>
  <c r="K431" i="2"/>
  <c r="K94" i="2"/>
  <c r="K493" i="2"/>
  <c r="K96" i="2"/>
  <c r="K98" i="2"/>
  <c r="K93" i="2"/>
  <c r="K482" i="2"/>
  <c r="K458" i="2"/>
  <c r="K84" i="2"/>
  <c r="K102" i="2"/>
  <c r="K80" i="2"/>
  <c r="K81" i="2"/>
  <c r="K88" i="2"/>
  <c r="K103" i="2"/>
  <c r="K83" i="2"/>
  <c r="K82" i="2"/>
  <c r="K86" i="2"/>
  <c r="K412" i="2"/>
  <c r="K429" i="2"/>
  <c r="K434" i="2"/>
  <c r="K430" i="2"/>
  <c r="K432" i="2"/>
  <c r="K439" i="2"/>
  <c r="K413" i="2"/>
  <c r="K433" i="2"/>
  <c r="K440" i="2"/>
  <c r="K74" i="2"/>
  <c r="K447" i="2"/>
  <c r="K67" i="2"/>
  <c r="K383" i="2"/>
  <c r="K384" i="2"/>
  <c r="K396" i="2"/>
  <c r="K385" i="2"/>
  <c r="K393" i="2"/>
  <c r="K411" i="2"/>
  <c r="K444" i="2"/>
  <c r="K451" i="2"/>
  <c r="K448" i="2"/>
  <c r="K454" i="2"/>
  <c r="K61" i="2"/>
  <c r="K395" i="2"/>
  <c r="K72" i="2"/>
  <c r="K455" i="2"/>
  <c r="K75" i="2"/>
  <c r="K381" i="2"/>
  <c r="K386" i="2"/>
  <c r="K406" i="2"/>
  <c r="K392" i="2"/>
  <c r="K401" i="2"/>
  <c r="K382" i="2"/>
  <c r="K394" i="2"/>
  <c r="K391" i="2"/>
  <c r="K387" i="2"/>
  <c r="K38" i="2"/>
  <c r="K54" i="2"/>
  <c r="K7" i="2"/>
  <c r="K405" i="2"/>
  <c r="K403" i="2"/>
  <c r="K56" i="2"/>
  <c r="K39" i="2"/>
  <c r="K346" i="2"/>
  <c r="K52" i="2"/>
  <c r="K37" i="2"/>
  <c r="K40" i="2"/>
  <c r="K43" i="2"/>
  <c r="K343" i="2"/>
  <c r="K352" i="2"/>
  <c r="K47" i="2"/>
  <c r="K57" i="2"/>
  <c r="K49" i="2"/>
  <c r="K44" i="2"/>
  <c r="K50" i="2"/>
  <c r="K8" i="2"/>
  <c r="K344" i="2"/>
  <c r="K355" i="2"/>
  <c r="K32" i="2"/>
  <c r="K13" i="2"/>
  <c r="K358" i="2"/>
  <c r="K362" i="2"/>
  <c r="K348" i="2"/>
  <c r="K342" i="2"/>
  <c r="K34" i="2"/>
  <c r="K347" i="2"/>
  <c r="K345" i="2"/>
  <c r="K349" i="2"/>
  <c r="K27" i="2"/>
  <c r="K320" i="2"/>
  <c r="K317" i="2"/>
  <c r="K2" i="2"/>
  <c r="K353" i="2"/>
  <c r="K327" i="2"/>
  <c r="K367" i="2"/>
  <c r="K18" i="2"/>
  <c r="K11" i="2"/>
  <c r="K322" i="2"/>
  <c r="K323" i="2"/>
  <c r="K366" i="2"/>
  <c r="K12" i="2"/>
  <c r="K324" i="2"/>
  <c r="K36" i="2"/>
  <c r="K35" i="2"/>
  <c r="K23" i="2"/>
  <c r="K17" i="2"/>
  <c r="K326" i="2"/>
  <c r="K33" i="2"/>
  <c r="K30" i="2"/>
  <c r="K318" i="2"/>
  <c r="K29" i="2"/>
  <c r="K31" i="2"/>
  <c r="K319" i="2"/>
  <c r="K28" i="2"/>
  <c r="K26" i="2"/>
  <c r="K368" i="2"/>
  <c r="K21" i="2"/>
  <c r="K25" i="2"/>
  <c r="K24" i="2"/>
  <c r="K410" i="2"/>
  <c r="K446" i="2"/>
  <c r="K443" i="2"/>
  <c r="K398" i="2"/>
  <c r="K399" i="2"/>
  <c r="K1010" i="2"/>
  <c r="K998" i="2"/>
  <c r="K1005" i="2"/>
  <c r="K999" i="2"/>
  <c r="K1000" i="2"/>
  <c r="K995" i="2"/>
  <c r="K1001" i="2"/>
  <c r="K992" i="2"/>
  <c r="K984" i="2"/>
  <c r="K985" i="2"/>
  <c r="K977" i="2"/>
  <c r="K306" i="2"/>
  <c r="K307" i="2"/>
  <c r="K308" i="2"/>
  <c r="K959" i="2"/>
  <c r="K962" i="2"/>
  <c r="K963" i="2"/>
  <c r="K964" i="2"/>
  <c r="K304" i="2"/>
  <c r="K305" i="2"/>
  <c r="K955" i="2"/>
  <c r="K956" i="2"/>
  <c r="K947" i="2"/>
  <c r="K302" i="2"/>
  <c r="K941" i="2"/>
  <c r="K298" i="2"/>
  <c r="K299" i="2"/>
  <c r="K943" i="2"/>
  <c r="K295" i="2"/>
  <c r="K944" i="2"/>
  <c r="K940" i="2"/>
  <c r="K934" i="2"/>
  <c r="K935" i="2"/>
  <c r="K296" i="2"/>
  <c r="K929" i="2"/>
  <c r="K936" i="2"/>
  <c r="K922" i="2"/>
  <c r="K930" i="2"/>
  <c r="K923" i="2"/>
  <c r="K912" i="2"/>
  <c r="K914" i="2"/>
  <c r="K907" i="2"/>
  <c r="K924" i="2"/>
  <c r="K908" i="2"/>
  <c r="K889" i="2"/>
  <c r="K890" i="2"/>
  <c r="K895" i="2"/>
  <c r="K888" i="2"/>
  <c r="K887" i="2"/>
  <c r="K868" i="2"/>
  <c r="K871" i="2"/>
  <c r="K881" i="2"/>
  <c r="K874" i="2"/>
  <c r="K855" i="2"/>
  <c r="K840" i="2"/>
  <c r="K843" i="2"/>
  <c r="K844" i="2"/>
  <c r="K845" i="2"/>
  <c r="K846" i="2"/>
  <c r="K841" i="2"/>
  <c r="K816" i="2"/>
  <c r="K826" i="2"/>
  <c r="K804" i="2"/>
  <c r="K792" i="2"/>
  <c r="K784" i="2"/>
  <c r="K785" i="2"/>
  <c r="K699" i="2"/>
  <c r="K783" i="2"/>
  <c r="K782" i="2"/>
  <c r="K637" i="2"/>
  <c r="K227" i="2"/>
  <c r="K655" i="2"/>
  <c r="K654" i="2"/>
  <c r="K581" i="2"/>
  <c r="K180" i="2"/>
  <c r="K556" i="2"/>
  <c r="K186" i="2"/>
  <c r="K185" i="2"/>
  <c r="K188" i="2"/>
  <c r="K184" i="2"/>
  <c r="K158" i="2"/>
  <c r="K168" i="2"/>
  <c r="K167" i="2"/>
  <c r="K582" i="2"/>
  <c r="K583" i="2"/>
  <c r="K143" i="2"/>
  <c r="K511" i="2"/>
  <c r="K133" i="2"/>
  <c r="K534" i="2"/>
  <c r="K92" i="2"/>
  <c r="K506" i="2"/>
  <c r="K97" i="2"/>
  <c r="K65" i="2"/>
  <c r="K427" i="2"/>
  <c r="K426" i="2"/>
  <c r="K66" i="2"/>
  <c r="K369" i="2"/>
  <c r="K5" i="2"/>
  <c r="K3" i="2"/>
  <c r="K46" i="2"/>
  <c r="K6" i="2"/>
  <c r="K4" i="2"/>
  <c r="K364" i="2"/>
  <c r="K365" i="2"/>
  <c r="K341" i="2"/>
  <c r="K339" i="2"/>
  <c r="K354" i="2"/>
  <c r="K310" i="2"/>
  <c r="D945" i="2"/>
  <c r="D925" i="2"/>
  <c r="D884" i="2"/>
  <c r="D848" i="2"/>
  <c r="D567" i="2"/>
  <c r="D636" i="2"/>
  <c r="D55" i="2"/>
  <c r="D866" i="2"/>
  <c r="D696" i="2"/>
  <c r="D166" i="2"/>
  <c r="D145" i="2"/>
  <c r="D532" i="2"/>
  <c r="D1002" i="2"/>
  <c r="D864" i="2"/>
  <c r="D228" i="2"/>
  <c r="D198" i="2"/>
  <c r="D172" i="2"/>
  <c r="D568" i="2"/>
  <c r="D127" i="2"/>
  <c r="D488" i="2"/>
  <c r="D359" i="2"/>
  <c r="D1006" i="2"/>
  <c r="D976" i="2"/>
  <c r="D951" i="2"/>
  <c r="D952" i="2"/>
  <c r="D920" i="2"/>
  <c r="D933" i="2"/>
  <c r="D913" i="2"/>
  <c r="D921" i="2"/>
  <c r="D911" i="2"/>
  <c r="D906" i="2"/>
  <c r="D875" i="2"/>
  <c r="D854" i="2"/>
  <c r="D690" i="2"/>
  <c r="D691" i="2"/>
  <c r="D698" i="2"/>
  <c r="D210" i="2"/>
  <c r="D617" i="2"/>
  <c r="D157" i="2"/>
  <c r="D580" i="2"/>
  <c r="D508" i="2"/>
  <c r="D400" i="2"/>
  <c r="D776" i="2"/>
  <c r="D744" i="2"/>
  <c r="D236" i="2"/>
  <c r="D745" i="2"/>
  <c r="D752" i="2"/>
  <c r="D693" i="2"/>
  <c r="D672" i="2"/>
  <c r="D673" i="2"/>
  <c r="D674" i="2"/>
  <c r="D675" i="2"/>
  <c r="D203" i="2"/>
  <c r="D196" i="2"/>
  <c r="D229" i="2"/>
  <c r="D218" i="2"/>
  <c r="D688" i="2"/>
  <c r="D224" i="2"/>
  <c r="D219" i="2"/>
  <c r="D197" i="2"/>
  <c r="D682" i="2"/>
  <c r="D616" i="2"/>
  <c r="D627" i="2"/>
  <c r="D628" i="2"/>
  <c r="D609" i="2"/>
  <c r="D183" i="2"/>
  <c r="D634" i="2"/>
  <c r="D173" i="2"/>
  <c r="D602" i="2"/>
  <c r="D175" i="2"/>
  <c r="D165" i="2"/>
  <c r="D171" i="2"/>
  <c r="D576" i="2"/>
  <c r="D170" i="2"/>
  <c r="D177" i="2"/>
  <c r="D569" i="2"/>
  <c r="D610" i="2"/>
  <c r="D571" i="2"/>
  <c r="D151" i="2"/>
  <c r="D152" i="2"/>
  <c r="D572" i="2"/>
  <c r="D553" i="2"/>
  <c r="D150" i="2"/>
  <c r="D550" i="2"/>
  <c r="D533" i="2"/>
  <c r="D131" i="2"/>
  <c r="D140" i="2"/>
  <c r="D537" i="2"/>
  <c r="D538" i="2"/>
  <c r="D516" i="2"/>
  <c r="D139" i="2"/>
  <c r="D128" i="2"/>
  <c r="D124" i="2"/>
  <c r="D522" i="2"/>
  <c r="D483" i="2"/>
  <c r="D126" i="2"/>
  <c r="D115" i="2"/>
  <c r="D121" i="2"/>
  <c r="D117" i="2"/>
  <c r="D515" i="2"/>
  <c r="D114" i="2"/>
  <c r="D489" i="2"/>
  <c r="D510" i="2"/>
  <c r="D90" i="2"/>
  <c r="D484" i="2"/>
  <c r="D95" i="2"/>
  <c r="D459" i="2"/>
  <c r="D460" i="2"/>
  <c r="D89" i="2"/>
  <c r="D104" i="2"/>
  <c r="D436" i="2"/>
  <c r="D438" i="2"/>
  <c r="D437" i="2"/>
  <c r="D435" i="2"/>
  <c r="D76" i="2"/>
  <c r="D389" i="2"/>
  <c r="D45" i="2"/>
  <c r="D402" i="2"/>
  <c r="D390" i="2"/>
  <c r="D388" i="2"/>
  <c r="D53" i="2"/>
  <c r="D48" i="2"/>
  <c r="D14" i="2"/>
  <c r="D350" i="2"/>
  <c r="D351" i="2"/>
  <c r="D20" i="2"/>
  <c r="D15" i="2"/>
  <c r="D325" i="2"/>
  <c r="D19" i="2"/>
  <c r="D22" i="2"/>
  <c r="D315" i="2"/>
  <c r="D876" i="2"/>
  <c r="D877" i="2"/>
  <c r="D878" i="2"/>
  <c r="D879" i="2"/>
  <c r="D880" i="2"/>
  <c r="D852" i="2"/>
  <c r="D850" i="2"/>
  <c r="D828" i="2"/>
  <c r="D829" i="2"/>
  <c r="D821" i="2"/>
  <c r="D822" i="2"/>
  <c r="D801" i="2"/>
  <c r="D810" i="2"/>
  <c r="D803" i="2"/>
  <c r="D790" i="2"/>
  <c r="D788" i="2"/>
  <c r="D786" i="2"/>
  <c r="D249" i="2"/>
  <c r="D751" i="2"/>
  <c r="D692" i="2"/>
  <c r="D635" i="2"/>
  <c r="D638" i="2"/>
  <c r="D211" i="2"/>
  <c r="D212" i="2"/>
  <c r="D221" i="2"/>
  <c r="D199" i="2"/>
  <c r="D681" i="2"/>
  <c r="D592" i="2"/>
  <c r="D574" i="2"/>
  <c r="D603" i="2"/>
  <c r="D604" i="2"/>
  <c r="D552" i="2"/>
  <c r="D122" i="2"/>
  <c r="D123" i="2"/>
  <c r="D523" i="2"/>
  <c r="D524" i="2"/>
  <c r="D109" i="2"/>
  <c r="D105" i="2"/>
  <c r="D106" i="2"/>
  <c r="D491" i="2"/>
  <c r="D499" i="2"/>
  <c r="D500" i="2"/>
  <c r="D457" i="2"/>
  <c r="D101" i="2"/>
  <c r="D77" i="2"/>
  <c r="D78" i="2"/>
  <c r="D409" i="2"/>
  <c r="D58" i="2"/>
  <c r="D59" i="2"/>
  <c r="D64" i="2"/>
  <c r="D68" i="2"/>
  <c r="D69" i="2"/>
  <c r="D41" i="2"/>
  <c r="D314" i="2"/>
  <c r="D226" i="2"/>
  <c r="D561" i="2"/>
  <c r="D340" i="2"/>
  <c r="D931" i="2"/>
  <c r="D942" i="2"/>
  <c r="D915" i="2"/>
  <c r="D886" i="2"/>
  <c r="D842" i="2"/>
  <c r="D867" i="2"/>
  <c r="D1008" i="2"/>
  <c r="D997" i="2"/>
  <c r="D991" i="2"/>
  <c r="D988" i="2"/>
  <c r="D312" i="2"/>
  <c r="D309" i="2"/>
  <c r="D938" i="2"/>
  <c r="D937" i="2"/>
  <c r="D939" i="2"/>
  <c r="D926" i="2"/>
  <c r="D927" i="2"/>
  <c r="D897" i="2"/>
  <c r="D832" i="2"/>
  <c r="D833" i="2"/>
  <c r="D823" i="2"/>
  <c r="D824" i="2"/>
  <c r="D802" i="2"/>
  <c r="D753" i="2"/>
  <c r="D694" i="2"/>
  <c r="D683" i="2"/>
  <c r="D549" i="2"/>
  <c r="D487" i="2"/>
  <c r="D461" i="2"/>
  <c r="D73" i="2"/>
  <c r="D316" i="2"/>
  <c r="D994" i="2"/>
  <c r="D978" i="2"/>
  <c r="D970" i="2"/>
  <c r="D972" i="2"/>
  <c r="D973" i="2"/>
  <c r="D971" i="2"/>
  <c r="D960" i="2"/>
  <c r="D953" i="2"/>
  <c r="D949" i="2"/>
  <c r="D916" i="2"/>
  <c r="D909" i="2"/>
  <c r="D900" i="2"/>
  <c r="D899" i="2"/>
  <c r="D901" i="2"/>
  <c r="D891" i="2"/>
  <c r="D892" i="2"/>
  <c r="D869" i="2"/>
  <c r="D856" i="2"/>
  <c r="D858" i="2"/>
  <c r="D857" i="2"/>
  <c r="D288" i="2"/>
  <c r="D834" i="2"/>
  <c r="D835" i="2"/>
  <c r="D285" i="2"/>
  <c r="D819" i="2"/>
  <c r="D275" i="2"/>
  <c r="D256" i="2"/>
  <c r="D793" i="2"/>
  <c r="D266" i="2"/>
  <c r="D257" i="2"/>
  <c r="D799" i="2"/>
  <c r="D794" i="2"/>
  <c r="D700" i="2"/>
  <c r="D247" i="2"/>
  <c r="D248" i="2"/>
  <c r="D701" i="2"/>
  <c r="D759" i="2"/>
  <c r="D760" i="2"/>
  <c r="D765" i="2"/>
  <c r="D761" i="2"/>
  <c r="D762" i="2"/>
  <c r="D763" i="2"/>
  <c r="D764" i="2"/>
  <c r="D713" i="2"/>
  <c r="D237" i="2"/>
  <c r="D702" i="2"/>
  <c r="D703" i="2"/>
  <c r="D714" i="2"/>
  <c r="D715" i="2"/>
  <c r="D704" i="2"/>
  <c r="D705" i="2"/>
  <c r="D706" i="2"/>
  <c r="D234" i="2"/>
  <c r="D716" i="2"/>
  <c r="D717" i="2"/>
  <c r="D707" i="2"/>
  <c r="D708" i="2"/>
  <c r="D709" i="2"/>
  <c r="D710" i="2"/>
  <c r="D718" i="2"/>
  <c r="D711" i="2"/>
  <c r="D712" i="2"/>
  <c r="D639" i="2"/>
  <c r="D650" i="2"/>
  <c r="D640" i="2"/>
  <c r="D641" i="2"/>
  <c r="D642" i="2"/>
  <c r="D643" i="2"/>
  <c r="D644" i="2"/>
  <c r="D645" i="2"/>
  <c r="D646" i="2"/>
  <c r="D647" i="2"/>
  <c r="D651" i="2"/>
  <c r="D652" i="2"/>
  <c r="D648" i="2"/>
  <c r="D649" i="2"/>
  <c r="D653" i="2"/>
  <c r="D618" i="2"/>
  <c r="D209" i="2"/>
  <c r="D206" i="2"/>
  <c r="D207" i="2"/>
  <c r="D208" i="2"/>
  <c r="D220" i="2"/>
  <c r="D685" i="2"/>
  <c r="D619" i="2"/>
  <c r="D620" i="2"/>
  <c r="D585" i="2"/>
  <c r="D621" i="2"/>
  <c r="D622" i="2"/>
  <c r="D613" i="2"/>
  <c r="D590" i="2"/>
  <c r="D586" i="2"/>
  <c r="D587" i="2"/>
  <c r="D588" i="2"/>
  <c r="D600" i="2"/>
  <c r="D589" i="2"/>
  <c r="D557" i="2"/>
  <c r="D605" i="2"/>
  <c r="D558" i="2"/>
  <c r="D559" i="2"/>
  <c r="D560" i="2"/>
  <c r="D539" i="2"/>
  <c r="D148" i="2"/>
  <c r="D153" i="2"/>
  <c r="D528" i="2"/>
  <c r="D156" i="2"/>
  <c r="D541" i="2"/>
  <c r="D540" i="2"/>
  <c r="D129" i="2"/>
  <c r="D548" i="2"/>
  <c r="D512" i="2"/>
  <c r="D526" i="2"/>
  <c r="D513" i="2"/>
  <c r="D527" i="2"/>
  <c r="D519" i="2"/>
  <c r="D110" i="2"/>
  <c r="D525" i="2"/>
  <c r="D465" i="2"/>
  <c r="D466" i="2"/>
  <c r="D472" i="2"/>
  <c r="D507" i="2"/>
  <c r="D468" i="2"/>
  <c r="D467" i="2"/>
  <c r="D473" i="2"/>
  <c r="D469" i="2"/>
  <c r="D470" i="2"/>
  <c r="D471" i="2"/>
  <c r="D501" i="2"/>
  <c r="D502" i="2"/>
  <c r="D418" i="2"/>
  <c r="D494" i="2"/>
  <c r="D419" i="2"/>
  <c r="D495" i="2"/>
  <c r="D474" i="2"/>
  <c r="D456" i="2"/>
  <c r="D100" i="2"/>
  <c r="D85" i="2"/>
  <c r="D423" i="2"/>
  <c r="D422" i="2"/>
  <c r="D420" i="2"/>
  <c r="D415" i="2"/>
  <c r="D414" i="2"/>
  <c r="D425" i="2"/>
  <c r="D416" i="2"/>
  <c r="D424" i="2"/>
  <c r="D421" i="2"/>
  <c r="D450" i="2"/>
  <c r="D417" i="2"/>
  <c r="D373" i="2"/>
  <c r="D372" i="2"/>
  <c r="D380" i="2"/>
  <c r="D441" i="2"/>
  <c r="D449" i="2"/>
  <c r="D60" i="2"/>
  <c r="D377" i="2"/>
  <c r="D407" i="2"/>
  <c r="D453" i="2"/>
  <c r="D371" i="2"/>
  <c r="D376" i="2"/>
  <c r="D379" i="2"/>
  <c r="D378" i="2"/>
  <c r="D374" i="2"/>
  <c r="D375" i="2"/>
  <c r="D370" i="2"/>
  <c r="D404" i="2"/>
  <c r="D335" i="2"/>
  <c r="D331" i="2"/>
  <c r="D51" i="2"/>
  <c r="D42" i="2"/>
  <c r="D330" i="2"/>
  <c r="D337" i="2"/>
  <c r="D334" i="2"/>
  <c r="D361" i="2"/>
  <c r="D10" i="2"/>
  <c r="D360" i="2"/>
  <c r="D338" i="2"/>
  <c r="D332" i="2"/>
  <c r="D333" i="2"/>
  <c r="D329" i="2"/>
  <c r="D328" i="2"/>
  <c r="D356" i="2"/>
  <c r="D336" i="2"/>
  <c r="D321" i="2"/>
  <c r="D363" i="2"/>
  <c r="D9" i="2"/>
  <c r="D357" i="2"/>
  <c r="D16" i="2"/>
  <c r="D961" i="2"/>
  <c r="D910" i="2"/>
  <c r="D872" i="2"/>
  <c r="D873" i="2"/>
  <c r="D851" i="2"/>
  <c r="D849" i="2"/>
  <c r="D827" i="2"/>
  <c r="D809" i="2"/>
  <c r="D787" i="2"/>
  <c r="D606" i="2"/>
  <c r="D111" i="2"/>
  <c r="D107" i="2"/>
  <c r="D503" i="2"/>
  <c r="D490" i="2"/>
  <c r="D91" i="2"/>
  <c r="D79" i="2"/>
  <c r="D408" i="2"/>
  <c r="D62" i="2"/>
  <c r="D445" i="2"/>
  <c r="D442" i="2"/>
  <c r="D452" i="2"/>
  <c r="D63" i="2"/>
  <c r="D71" i="2"/>
  <c r="D70" i="2"/>
  <c r="D397" i="2"/>
  <c r="D1007" i="2"/>
  <c r="D1009" i="2"/>
  <c r="D313" i="2"/>
  <c r="D990" i="2"/>
  <c r="D311" i="2"/>
  <c r="D974" i="2"/>
  <c r="D950" i="2"/>
  <c r="D303" i="2"/>
  <c r="D300" i="2"/>
  <c r="D928" i="2"/>
  <c r="D297" i="2"/>
  <c r="D898" i="2"/>
  <c r="D896" i="2"/>
  <c r="D885" i="2"/>
  <c r="D882" i="2"/>
  <c r="D883" i="2"/>
  <c r="D865" i="2"/>
  <c r="D860" i="2"/>
  <c r="D853" i="2"/>
  <c r="D861" i="2"/>
  <c r="D284" i="2"/>
  <c r="D273" i="2"/>
  <c r="D831" i="2"/>
  <c r="D274" i="2"/>
  <c r="D817" i="2"/>
  <c r="D818" i="2"/>
  <c r="D807" i="2"/>
  <c r="D814" i="2"/>
  <c r="D255" i="2"/>
  <c r="D815" i="2"/>
  <c r="D261" i="2"/>
  <c r="D757" i="2"/>
  <c r="D241" i="2"/>
  <c r="D242" i="2"/>
  <c r="D789" i="2"/>
  <c r="D243" i="2"/>
  <c r="D797" i="2"/>
  <c r="D746" i="2"/>
  <c r="D777" i="2"/>
  <c r="D778" i="2"/>
  <c r="D779" i="2"/>
  <c r="D279" i="2"/>
  <c r="D280" i="2"/>
  <c r="D791" i="2"/>
  <c r="D689" i="2"/>
  <c r="D695" i="2"/>
  <c r="D233" i="2"/>
  <c r="D239" i="2"/>
  <c r="D252" i="2"/>
  <c r="D268" i="2"/>
  <c r="D281" i="2"/>
  <c r="D287" i="2"/>
  <c r="D289" i="2"/>
  <c r="D290" i="2"/>
  <c r="D291" i="2"/>
  <c r="D292" i="2"/>
  <c r="D293" i="2"/>
  <c r="D294" i="2"/>
  <c r="D697" i="2"/>
  <c r="D231" i="2"/>
  <c r="D611" i="2"/>
  <c r="D577" i="2"/>
  <c r="D190" i="2"/>
  <c r="D573" i="2"/>
  <c r="D189" i="2"/>
  <c r="D159" i="2"/>
  <c r="D160" i="2"/>
  <c r="D161" i="2"/>
  <c r="D162" i="2"/>
  <c r="D163" i="2"/>
  <c r="D146" i="2"/>
  <c r="D147" i="2"/>
  <c r="D1003" i="2"/>
  <c r="D1004" i="2"/>
  <c r="D993" i="2"/>
  <c r="D996" i="2"/>
  <c r="D989" i="2"/>
  <c r="D981" i="2"/>
  <c r="D986" i="2"/>
  <c r="D982" i="2"/>
  <c r="D987" i="2"/>
  <c r="D983" i="2"/>
  <c r="D979" i="2"/>
  <c r="D980" i="2"/>
  <c r="D975" i="2"/>
  <c r="D968" i="2"/>
  <c r="D969" i="2"/>
  <c r="D965" i="2"/>
  <c r="D966" i="2"/>
  <c r="D967" i="2"/>
  <c r="D957" i="2"/>
  <c r="D958" i="2"/>
  <c r="D954" i="2"/>
  <c r="D932" i="2"/>
  <c r="D301" i="2"/>
  <c r="D918" i="2"/>
  <c r="D917" i="2"/>
  <c r="D919" i="2"/>
  <c r="D902" i="2"/>
  <c r="D904" i="2"/>
  <c r="D905" i="2"/>
  <c r="D903" i="2"/>
  <c r="D893" i="2"/>
  <c r="D894" i="2"/>
  <c r="D870" i="2"/>
  <c r="D863" i="2"/>
  <c r="D862" i="2"/>
  <c r="D859" i="2"/>
  <c r="D847" i="2"/>
  <c r="D282" i="2"/>
  <c r="D836" i="2"/>
  <c r="D283" i="2"/>
  <c r="D837" i="2"/>
  <c r="D839" i="2"/>
  <c r="D838" i="2"/>
  <c r="D269" i="2"/>
  <c r="D270" i="2"/>
  <c r="D286" i="2"/>
  <c r="D830" i="2"/>
  <c r="D271" i="2"/>
  <c r="D820" i="2"/>
  <c r="D272" i="2"/>
  <c r="D277" i="2"/>
  <c r="D276" i="2"/>
  <c r="D278" i="2"/>
  <c r="D825" i="2"/>
  <c r="D805" i="2"/>
  <c r="D808" i="2"/>
  <c r="D253" i="2"/>
  <c r="D254" i="2"/>
  <c r="D813" i="2"/>
  <c r="D812" i="2"/>
  <c r="D806" i="2"/>
  <c r="D811" i="2"/>
  <c r="D258" i="2"/>
  <c r="D262" i="2"/>
  <c r="D267" i="2"/>
  <c r="D265" i="2"/>
  <c r="D263" i="2"/>
  <c r="D264" i="2"/>
  <c r="D259" i="2"/>
  <c r="D260" i="2"/>
  <c r="D240" i="2"/>
  <c r="D798" i="2"/>
  <c r="D800" i="2"/>
  <c r="D795" i="2"/>
  <c r="D755" i="2"/>
  <c r="D756" i="2"/>
  <c r="D244" i="2"/>
  <c r="D245" i="2"/>
  <c r="D719" i="2"/>
  <c r="D766" i="2"/>
  <c r="D250" i="2"/>
  <c r="D246" i="2"/>
  <c r="D796" i="2"/>
  <c r="D251" i="2"/>
  <c r="D720" i="2"/>
  <c r="D767" i="2"/>
  <c r="D768" i="2"/>
  <c r="D780" i="2"/>
  <c r="D769" i="2"/>
  <c r="D781" i="2"/>
  <c r="D770" i="2"/>
  <c r="D771" i="2"/>
  <c r="D772" i="2"/>
  <c r="D773" i="2"/>
  <c r="D774" i="2"/>
  <c r="D775" i="2"/>
  <c r="D754" i="2"/>
  <c r="D721" i="2"/>
  <c r="D722" i="2"/>
  <c r="D723" i="2"/>
  <c r="D724" i="2"/>
  <c r="D238" i="2"/>
  <c r="D725" i="2"/>
  <c r="D726" i="2"/>
  <c r="D727" i="2"/>
  <c r="D747" i="2"/>
  <c r="D728" i="2"/>
  <c r="D729" i="2"/>
  <c r="D730" i="2"/>
  <c r="D731" i="2"/>
  <c r="D748" i="2"/>
  <c r="D732" i="2"/>
  <c r="D733" i="2"/>
  <c r="D734" i="2"/>
  <c r="D735" i="2"/>
  <c r="D235" i="2"/>
  <c r="D736" i="2"/>
  <c r="D737" i="2"/>
  <c r="D738" i="2"/>
  <c r="D739" i="2"/>
  <c r="D740" i="2"/>
  <c r="D741" i="2"/>
  <c r="D742" i="2"/>
  <c r="D749" i="2"/>
  <c r="D750" i="2"/>
  <c r="D743" i="2"/>
  <c r="D230" i="2"/>
  <c r="D656" i="2"/>
  <c r="D232" i="2"/>
  <c r="D676" i="2"/>
  <c r="D677" i="2"/>
  <c r="D657" i="2"/>
  <c r="D658" i="2"/>
  <c r="D659" i="2"/>
  <c r="D678" i="2"/>
  <c r="D660" i="2"/>
  <c r="D661" i="2"/>
  <c r="D662" i="2"/>
  <c r="D663" i="2"/>
  <c r="D664" i="2"/>
  <c r="D679" i="2"/>
  <c r="D665" i="2"/>
  <c r="D666" i="2"/>
  <c r="D667" i="2"/>
  <c r="D668" i="2"/>
  <c r="D669" i="2"/>
  <c r="D680" i="2"/>
  <c r="D670" i="2"/>
  <c r="D671" i="2"/>
  <c r="D202" i="2"/>
  <c r="D200" i="2"/>
  <c r="D629" i="2"/>
  <c r="D225" i="2"/>
  <c r="D194" i="2"/>
  <c r="D213" i="2"/>
  <c r="D214" i="2"/>
  <c r="D204" i="2"/>
  <c r="D215" i="2"/>
  <c r="D216" i="2"/>
  <c r="D205" i="2"/>
  <c r="D686" i="2"/>
  <c r="D222" i="2"/>
  <c r="D201" i="2"/>
  <c r="D223" i="2"/>
  <c r="D217" i="2"/>
  <c r="D195" i="2"/>
  <c r="D684" i="2"/>
  <c r="D687" i="2"/>
  <c r="D623" i="2"/>
  <c r="D624" i="2"/>
  <c r="D630" i="2"/>
  <c r="D615" i="2"/>
  <c r="D625" i="2"/>
  <c r="D626" i="2"/>
  <c r="D631" i="2"/>
  <c r="D612" i="2"/>
  <c r="D614" i="2"/>
  <c r="D632" i="2"/>
  <c r="D607" i="2"/>
  <c r="D187" i="2"/>
  <c r="D191" i="2"/>
  <c r="D584" i="2"/>
  <c r="D181" i="2"/>
  <c r="D182" i="2"/>
  <c r="D633" i="2"/>
  <c r="D192" i="2"/>
  <c r="D193" i="2"/>
  <c r="D597" i="2"/>
  <c r="D593" i="2"/>
  <c r="D598" i="2"/>
  <c r="D594" i="2"/>
  <c r="D599" i="2"/>
  <c r="D595" i="2"/>
  <c r="D591" i="2"/>
  <c r="D601" i="2"/>
  <c r="D578" i="2"/>
  <c r="D596" i="2"/>
  <c r="D579" i="2"/>
  <c r="D174" i="2"/>
  <c r="D164" i="2"/>
  <c r="D179" i="2"/>
  <c r="D562" i="2"/>
  <c r="D575" i="2"/>
  <c r="D169" i="2"/>
  <c r="D178" i="2"/>
  <c r="D176" i="2"/>
  <c r="D608" i="2"/>
  <c r="D555" i="2"/>
  <c r="D563" i="2"/>
  <c r="D564" i="2"/>
  <c r="D565" i="2"/>
  <c r="D566" i="2"/>
  <c r="D144" i="2"/>
  <c r="D570" i="2"/>
  <c r="D544" i="2"/>
  <c r="D149" i="2"/>
  <c r="D155" i="2"/>
  <c r="D154" i="2"/>
  <c r="D554" i="2"/>
  <c r="D551" i="2"/>
  <c r="D542" i="2"/>
  <c r="D545" i="2"/>
  <c r="D543" i="2"/>
  <c r="D546" i="2"/>
  <c r="D142" i="2"/>
  <c r="D132" i="2"/>
  <c r="D130" i="2"/>
  <c r="D547" i="2"/>
  <c r="D134" i="2"/>
  <c r="D136" i="2"/>
  <c r="D536" i="2"/>
  <c r="D137" i="2"/>
  <c r="D141" i="2"/>
  <c r="D535" i="2"/>
  <c r="D135" i="2"/>
  <c r="D518" i="2"/>
  <c r="D138" i="2"/>
  <c r="D530" i="2"/>
  <c r="D517" i="2"/>
  <c r="D520" i="2"/>
  <c r="D531" i="2"/>
  <c r="D521" i="2"/>
  <c r="D112" i="2"/>
  <c r="D108" i="2"/>
  <c r="D529" i="2"/>
  <c r="D120" i="2"/>
  <c r="D125" i="2"/>
  <c r="D119" i="2"/>
  <c r="D116" i="2"/>
  <c r="D514" i="2"/>
  <c r="D118" i="2"/>
  <c r="D113" i="2"/>
  <c r="D479" i="2"/>
  <c r="D475" i="2"/>
  <c r="D509" i="2"/>
  <c r="D480" i="2"/>
  <c r="D485" i="2"/>
  <c r="D477" i="2"/>
  <c r="D478" i="2"/>
  <c r="D486" i="2"/>
  <c r="D87" i="2"/>
  <c r="D464" i="2"/>
  <c r="D481" i="2"/>
  <c r="D476" i="2"/>
  <c r="D505" i="2"/>
  <c r="D498" i="2"/>
  <c r="D463" i="2"/>
  <c r="D99" i="2"/>
  <c r="D497" i="2"/>
  <c r="D504" i="2"/>
  <c r="D462" i="2"/>
  <c r="D428" i="2"/>
  <c r="D496" i="2"/>
  <c r="D492" i="2"/>
  <c r="D431" i="2"/>
  <c r="D94" i="2"/>
  <c r="D493" i="2"/>
  <c r="D96" i="2"/>
  <c r="D98" i="2"/>
  <c r="D93" i="2"/>
  <c r="D482" i="2"/>
  <c r="D458" i="2"/>
  <c r="D84" i="2"/>
  <c r="D102" i="2"/>
  <c r="D80" i="2"/>
  <c r="D81" i="2"/>
  <c r="D88" i="2"/>
  <c r="D103" i="2"/>
  <c r="D83" i="2"/>
  <c r="D82" i="2"/>
  <c r="D86" i="2"/>
  <c r="D412" i="2"/>
  <c r="D429" i="2"/>
  <c r="D434" i="2"/>
  <c r="D430" i="2"/>
  <c r="D432" i="2"/>
  <c r="D439" i="2"/>
  <c r="D413" i="2"/>
  <c r="D433" i="2"/>
  <c r="D440" i="2"/>
  <c r="D74" i="2"/>
  <c r="D447" i="2"/>
  <c r="D67" i="2"/>
  <c r="D383" i="2"/>
  <c r="D384" i="2"/>
  <c r="D396" i="2"/>
  <c r="D385" i="2"/>
  <c r="D393" i="2"/>
  <c r="D411" i="2"/>
  <c r="D444" i="2"/>
  <c r="D451" i="2"/>
  <c r="D448" i="2"/>
  <c r="D454" i="2"/>
  <c r="D61" i="2"/>
  <c r="D395" i="2"/>
  <c r="D72" i="2"/>
  <c r="D455" i="2"/>
  <c r="D75" i="2"/>
  <c r="D381" i="2"/>
  <c r="D386" i="2"/>
  <c r="D406" i="2"/>
  <c r="D392" i="2"/>
  <c r="D401" i="2"/>
  <c r="D382" i="2"/>
  <c r="D394" i="2"/>
  <c r="D391" i="2"/>
  <c r="D387" i="2"/>
  <c r="D38" i="2"/>
  <c r="D54" i="2"/>
  <c r="D7" i="2"/>
  <c r="D405" i="2"/>
  <c r="D403" i="2"/>
  <c r="D56" i="2"/>
  <c r="D39" i="2"/>
  <c r="D346" i="2"/>
  <c r="D52" i="2"/>
  <c r="D37" i="2"/>
  <c r="D40" i="2"/>
  <c r="D43" i="2"/>
  <c r="D343" i="2"/>
  <c r="D352" i="2"/>
  <c r="D47" i="2"/>
  <c r="D57" i="2"/>
  <c r="D49" i="2"/>
  <c r="D44" i="2"/>
  <c r="D50" i="2"/>
  <c r="D8" i="2"/>
  <c r="D344" i="2"/>
  <c r="D355" i="2"/>
  <c r="D32" i="2"/>
  <c r="D13" i="2"/>
  <c r="D358" i="2"/>
  <c r="D362" i="2"/>
  <c r="D348" i="2"/>
  <c r="D342" i="2"/>
  <c r="D34" i="2"/>
  <c r="D347" i="2"/>
  <c r="D345" i="2"/>
  <c r="D349" i="2"/>
  <c r="D27" i="2"/>
  <c r="D320" i="2"/>
  <c r="D317" i="2"/>
  <c r="D2" i="2"/>
  <c r="D353" i="2"/>
  <c r="D327" i="2"/>
  <c r="D367" i="2"/>
  <c r="D18" i="2"/>
  <c r="D11" i="2"/>
  <c r="D322" i="2"/>
  <c r="D323" i="2"/>
  <c r="D366" i="2"/>
  <c r="D12" i="2"/>
  <c r="D324" i="2"/>
  <c r="D36" i="2"/>
  <c r="D35" i="2"/>
  <c r="D23" i="2"/>
  <c r="D17" i="2"/>
  <c r="D326" i="2"/>
  <c r="D33" i="2"/>
  <c r="D30" i="2"/>
  <c r="D318" i="2"/>
  <c r="D29" i="2"/>
  <c r="D31" i="2"/>
  <c r="D319" i="2"/>
  <c r="D28" i="2"/>
  <c r="D26" i="2"/>
  <c r="D368" i="2"/>
  <c r="D21" i="2"/>
  <c r="D25" i="2"/>
  <c r="D24" i="2"/>
  <c r="D410" i="2"/>
  <c r="D446" i="2"/>
  <c r="D443" i="2"/>
  <c r="D398" i="2"/>
  <c r="D399" i="2"/>
  <c r="D1010" i="2"/>
  <c r="D998" i="2"/>
  <c r="D1005" i="2"/>
  <c r="D999" i="2"/>
  <c r="D1000" i="2"/>
  <c r="D995" i="2"/>
  <c r="D1001" i="2"/>
  <c r="D992" i="2"/>
  <c r="D984" i="2"/>
  <c r="D985" i="2"/>
  <c r="D977" i="2"/>
  <c r="D306" i="2"/>
  <c r="D307" i="2"/>
  <c r="D308" i="2"/>
  <c r="D959" i="2"/>
  <c r="D962" i="2"/>
  <c r="D963" i="2"/>
  <c r="D964" i="2"/>
  <c r="D304" i="2"/>
  <c r="D305" i="2"/>
  <c r="D955" i="2"/>
  <c r="D956" i="2"/>
  <c r="D948" i="2"/>
  <c r="D946" i="2"/>
  <c r="D947" i="2"/>
  <c r="D302" i="2"/>
  <c r="D941" i="2"/>
  <c r="D298" i="2"/>
  <c r="D299" i="2"/>
  <c r="D943" i="2"/>
  <c r="D295" i="2"/>
  <c r="D944" i="2"/>
  <c r="D940" i="2"/>
  <c r="D934" i="2"/>
  <c r="D935" i="2"/>
  <c r="D296" i="2"/>
  <c r="D929" i="2"/>
  <c r="D936" i="2"/>
  <c r="D922" i="2"/>
  <c r="D930" i="2"/>
  <c r="D923" i="2"/>
  <c r="D912" i="2"/>
  <c r="D914" i="2"/>
  <c r="D907" i="2"/>
  <c r="D924" i="2"/>
  <c r="D908" i="2"/>
  <c r="D889" i="2"/>
  <c r="D890" i="2"/>
  <c r="D895" i="2"/>
  <c r="D888" i="2"/>
  <c r="D887" i="2"/>
  <c r="D868" i="2"/>
  <c r="D871" i="2"/>
  <c r="D881" i="2"/>
  <c r="D874" i="2"/>
  <c r="D855" i="2"/>
  <c r="D840" i="2"/>
  <c r="D843" i="2"/>
  <c r="D844" i="2"/>
  <c r="D845" i="2"/>
  <c r="D846" i="2"/>
  <c r="D841" i="2"/>
  <c r="D816" i="2"/>
  <c r="D826" i="2"/>
  <c r="D804" i="2"/>
  <c r="D792" i="2"/>
  <c r="D784" i="2"/>
  <c r="D785" i="2"/>
  <c r="D699" i="2"/>
  <c r="D783" i="2"/>
  <c r="D782" i="2"/>
  <c r="D758" i="2"/>
  <c r="D637" i="2"/>
  <c r="D227" i="2"/>
  <c r="D655" i="2"/>
  <c r="D654" i="2"/>
  <c r="D581" i="2"/>
  <c r="D180" i="2"/>
  <c r="D556" i="2"/>
  <c r="D186" i="2"/>
  <c r="D185" i="2"/>
  <c r="D188" i="2"/>
  <c r="D184" i="2"/>
  <c r="D158" i="2"/>
  <c r="D168" i="2"/>
  <c r="D167" i="2"/>
  <c r="D582" i="2"/>
  <c r="D583" i="2"/>
  <c r="D143" i="2"/>
  <c r="D511" i="2"/>
  <c r="D133" i="2"/>
  <c r="D534" i="2"/>
  <c r="D92" i="2"/>
  <c r="D506" i="2"/>
  <c r="D97" i="2"/>
  <c r="D65" i="2"/>
  <c r="D427" i="2"/>
  <c r="D426" i="2"/>
  <c r="D66" i="2"/>
  <c r="D369" i="2"/>
  <c r="D5" i="2"/>
  <c r="D3" i="2"/>
  <c r="D46" i="2"/>
  <c r="D6" i="2"/>
  <c r="D4" i="2"/>
  <c r="D364" i="2"/>
  <c r="D365" i="2"/>
  <c r="D341" i="2"/>
  <c r="D339" i="2"/>
  <c r="D354" i="2"/>
  <c r="D310" i="2"/>
  <c r="R112" i="3"/>
  <c r="R113" i="3"/>
  <c r="R114" i="3"/>
  <c r="R115" i="3"/>
  <c r="R205" i="3"/>
  <c r="R13" i="3"/>
  <c r="R116" i="3"/>
  <c r="R117" i="3"/>
  <c r="R7" i="3"/>
  <c r="R44" i="3"/>
  <c r="R68" i="3"/>
  <c r="R72" i="3"/>
  <c r="R74" i="3"/>
  <c r="R135" i="3"/>
  <c r="R8" i="3"/>
  <c r="R9" i="3"/>
  <c r="R105" i="3"/>
  <c r="R193" i="3"/>
  <c r="R25" i="3"/>
  <c r="R10" i="3"/>
  <c r="R106" i="3"/>
  <c r="R107" i="3"/>
  <c r="R108" i="3"/>
  <c r="R109" i="3"/>
  <c r="R95" i="3"/>
  <c r="R96" i="3"/>
  <c r="R110" i="3"/>
  <c r="R111" i="3"/>
  <c r="R194" i="3"/>
  <c r="R118" i="3"/>
  <c r="R119" i="3"/>
  <c r="R120" i="3"/>
  <c r="R99" i="3"/>
  <c r="R100" i="3"/>
  <c r="R202" i="3"/>
  <c r="R6" i="3"/>
  <c r="R14" i="3"/>
  <c r="R15" i="3"/>
  <c r="R24" i="3"/>
  <c r="R32" i="3"/>
  <c r="R33" i="3"/>
  <c r="R41" i="3"/>
  <c r="R42" i="3"/>
  <c r="R46" i="3"/>
  <c r="R47" i="3"/>
  <c r="R48" i="3"/>
  <c r="R49" i="3"/>
  <c r="R73" i="3"/>
  <c r="R76" i="3"/>
  <c r="R77" i="3"/>
  <c r="R78" i="3"/>
  <c r="R79" i="3"/>
  <c r="R80" i="3"/>
  <c r="R82" i="3"/>
  <c r="R92" i="3"/>
  <c r="R93" i="3"/>
  <c r="R98" i="3"/>
  <c r="R121" i="3"/>
  <c r="R122" i="3"/>
  <c r="R123" i="3"/>
  <c r="R124" i="3"/>
  <c r="R126" i="3"/>
  <c r="R131" i="3"/>
  <c r="R132" i="3"/>
  <c r="R133" i="3"/>
  <c r="R134" i="3"/>
  <c r="R136" i="3"/>
  <c r="R197" i="3"/>
  <c r="R198" i="3"/>
  <c r="R199" i="3"/>
  <c r="R200" i="3"/>
  <c r="R206" i="3"/>
  <c r="R203" i="3"/>
  <c r="R11" i="3"/>
  <c r="R23" i="3"/>
  <c r="R31" i="3"/>
  <c r="R40" i="3"/>
  <c r="R45" i="3"/>
  <c r="R69" i="3"/>
  <c r="R75" i="3"/>
  <c r="R81" i="3"/>
  <c r="R97" i="3"/>
  <c r="R125" i="3"/>
  <c r="R130" i="3"/>
  <c r="R195" i="3"/>
  <c r="R196" i="3"/>
  <c r="R204" i="3"/>
  <c r="R43" i="3"/>
  <c r="R201" i="3"/>
  <c r="R104" i="3"/>
  <c r="R128" i="3"/>
  <c r="R129" i="3"/>
  <c r="R2" i="3"/>
  <c r="R34" i="3"/>
  <c r="R51" i="3"/>
  <c r="R137" i="3"/>
  <c r="R138" i="3"/>
  <c r="R139" i="3"/>
  <c r="R140" i="3"/>
  <c r="R141" i="3"/>
  <c r="R142" i="3"/>
  <c r="R143" i="3"/>
  <c r="R157" i="3"/>
  <c r="R190" i="3"/>
  <c r="R158" i="3"/>
  <c r="R191" i="3"/>
  <c r="R159" i="3"/>
  <c r="R35" i="3"/>
  <c r="R52" i="3"/>
  <c r="R53" i="3"/>
  <c r="R70" i="3"/>
  <c r="R160" i="3"/>
  <c r="R161" i="3"/>
  <c r="R162" i="3"/>
  <c r="R163" i="3"/>
  <c r="R164" i="3"/>
  <c r="R3" i="3"/>
  <c r="R54" i="3"/>
  <c r="R55" i="3"/>
  <c r="R144" i="3"/>
  <c r="R145" i="3"/>
  <c r="R146" i="3"/>
  <c r="R147" i="3"/>
  <c r="R148" i="3"/>
  <c r="R149" i="3"/>
  <c r="R165" i="3"/>
  <c r="R166" i="3"/>
  <c r="R167" i="3"/>
  <c r="R36" i="3"/>
  <c r="R150" i="3"/>
  <c r="R151" i="3"/>
  <c r="R152" i="3"/>
  <c r="R192" i="3"/>
  <c r="R168" i="3"/>
  <c r="R84" i="3"/>
  <c r="R26" i="3"/>
  <c r="R37" i="3"/>
  <c r="R169" i="3"/>
  <c r="R4" i="3"/>
  <c r="R5" i="3"/>
  <c r="R56" i="3"/>
  <c r="R101" i="3"/>
  <c r="R153" i="3"/>
  <c r="R16" i="3"/>
  <c r="R85" i="3"/>
  <c r="R86" i="3"/>
  <c r="R170" i="3"/>
  <c r="R38" i="3"/>
  <c r="R171" i="3"/>
  <c r="R27" i="3"/>
  <c r="R18" i="3"/>
  <c r="R19" i="3"/>
  <c r="R20" i="3"/>
  <c r="R29" i="3"/>
  <c r="R30" i="3"/>
  <c r="R50" i="3"/>
  <c r="R57" i="3"/>
  <c r="R58" i="3"/>
  <c r="R59" i="3"/>
  <c r="R60" i="3"/>
  <c r="R61" i="3"/>
  <c r="R62" i="3"/>
  <c r="R63" i="3"/>
  <c r="R71" i="3"/>
  <c r="R83" i="3"/>
  <c r="R87" i="3"/>
  <c r="R90" i="3"/>
  <c r="R91" i="3"/>
  <c r="R102" i="3"/>
  <c r="R127" i="3"/>
  <c r="R172" i="3"/>
  <c r="R173" i="3"/>
  <c r="R174" i="3"/>
  <c r="R175" i="3"/>
  <c r="R176" i="3"/>
  <c r="R177" i="3"/>
  <c r="R178" i="3"/>
  <c r="R179" i="3"/>
  <c r="R180" i="3"/>
  <c r="R181" i="3"/>
  <c r="R182" i="3"/>
  <c r="R154" i="3"/>
  <c r="R155" i="3"/>
  <c r="R183" i="3"/>
  <c r="R28" i="3"/>
  <c r="R21" i="3"/>
  <c r="R22" i="3"/>
  <c r="R64" i="3"/>
  <c r="R88" i="3"/>
  <c r="R94" i="3"/>
  <c r="R184" i="3"/>
  <c r="R185" i="3"/>
  <c r="R186" i="3"/>
  <c r="R65" i="3"/>
  <c r="R66" i="3"/>
  <c r="R67" i="3"/>
  <c r="R103" i="3"/>
  <c r="R156" i="3"/>
  <c r="R17" i="3"/>
  <c r="R39" i="3"/>
  <c r="R89" i="3"/>
  <c r="R187" i="3"/>
  <c r="R188" i="3"/>
  <c r="R189" i="3"/>
  <c r="R12" i="3"/>
  <c r="J206" i="3"/>
  <c r="J205" i="3"/>
  <c r="J204" i="3"/>
  <c r="J200" i="3"/>
  <c r="J201" i="3"/>
  <c r="J199" i="3"/>
  <c r="J198" i="3"/>
  <c r="J197" i="3"/>
  <c r="J196" i="3"/>
  <c r="J195" i="3"/>
  <c r="J194" i="3"/>
  <c r="J193" i="3"/>
  <c r="J136" i="3"/>
  <c r="J135" i="3"/>
  <c r="J134" i="3"/>
  <c r="J133" i="3"/>
  <c r="J132" i="3"/>
  <c r="J131" i="3"/>
  <c r="J130" i="3"/>
  <c r="J129" i="3"/>
  <c r="J128" i="3"/>
  <c r="J126" i="3"/>
  <c r="J125" i="3"/>
  <c r="J124" i="3"/>
  <c r="J123" i="3"/>
  <c r="J122" i="3"/>
  <c r="J121" i="3"/>
  <c r="J117" i="3"/>
  <c r="J115" i="3"/>
  <c r="J114" i="3"/>
  <c r="J113" i="3"/>
  <c r="J116" i="3"/>
  <c r="J112" i="3"/>
  <c r="J120" i="3"/>
  <c r="J119" i="3"/>
  <c r="J118" i="3"/>
  <c r="J109" i="3"/>
  <c r="J108" i="3"/>
  <c r="J107" i="3"/>
  <c r="J106" i="3"/>
  <c r="J111" i="3"/>
  <c r="J110" i="3"/>
  <c r="J105" i="3"/>
  <c r="J104" i="3"/>
  <c r="J98" i="3"/>
  <c r="J97" i="3"/>
  <c r="J96" i="3"/>
  <c r="J95" i="3"/>
  <c r="J93" i="3"/>
  <c r="J92" i="3"/>
  <c r="J82" i="3"/>
  <c r="J81" i="3"/>
  <c r="J80" i="3"/>
  <c r="J79" i="3"/>
  <c r="J78" i="3"/>
  <c r="J77" i="3"/>
  <c r="J76" i="3"/>
  <c r="J75" i="3"/>
  <c r="J74" i="3"/>
  <c r="J73" i="3"/>
  <c r="J72" i="3"/>
  <c r="J69" i="3"/>
  <c r="J68" i="3"/>
  <c r="J49" i="3"/>
  <c r="J48" i="3"/>
  <c r="J47" i="3"/>
  <c r="J46" i="3"/>
  <c r="J45" i="3"/>
  <c r="J44" i="3"/>
  <c r="J43" i="3"/>
  <c r="J42" i="3"/>
  <c r="J41" i="3"/>
  <c r="J40" i="3"/>
  <c r="J33" i="3"/>
  <c r="J32" i="3"/>
  <c r="J31" i="3"/>
  <c r="J25" i="3"/>
  <c r="J24" i="3"/>
  <c r="J23" i="3"/>
  <c r="J9" i="3"/>
  <c r="J7" i="3"/>
  <c r="J15" i="3"/>
  <c r="J14" i="3"/>
  <c r="J13" i="3"/>
  <c r="J12" i="3"/>
  <c r="J11" i="3"/>
  <c r="J10" i="3"/>
  <c r="J8" i="3"/>
  <c r="J6" i="3"/>
  <c r="M39" i="3"/>
  <c r="M188" i="3"/>
  <c r="M104" i="3"/>
  <c r="M89" i="3"/>
  <c r="M128" i="3"/>
  <c r="M189" i="3"/>
  <c r="M17" i="3"/>
  <c r="M129" i="3"/>
  <c r="M160" i="3"/>
  <c r="M54" i="3"/>
  <c r="M52" i="3"/>
  <c r="M53" i="3"/>
  <c r="M74" i="3"/>
  <c r="M165" i="3"/>
  <c r="M55" i="3"/>
  <c r="M135" i="3"/>
  <c r="M8" i="3"/>
  <c r="M144" i="3"/>
  <c r="M145" i="3"/>
  <c r="M146" i="3"/>
  <c r="M147" i="3"/>
  <c r="M166" i="3"/>
  <c r="M167" i="3"/>
  <c r="M161" i="3"/>
  <c r="M70" i="3"/>
  <c r="M162" i="3"/>
  <c r="M193" i="3"/>
  <c r="M148" i="3"/>
  <c r="M72" i="3"/>
  <c r="M44" i="3"/>
  <c r="M105" i="3"/>
  <c r="M68" i="3"/>
  <c r="M37" i="3"/>
  <c r="M110" i="3"/>
  <c r="M111" i="3"/>
  <c r="M10" i="3"/>
  <c r="M194" i="3"/>
  <c r="M84" i="3"/>
  <c r="M169" i="3"/>
  <c r="M106" i="3"/>
  <c r="M95" i="3"/>
  <c r="M107" i="3"/>
  <c r="M108" i="3"/>
  <c r="M96" i="3"/>
  <c r="M168" i="3"/>
  <c r="M109" i="3"/>
  <c r="M26" i="3"/>
  <c r="M192" i="3"/>
  <c r="M184" i="3"/>
  <c r="M64" i="3"/>
  <c r="M75" i="3"/>
  <c r="M130" i="3"/>
  <c r="M23" i="3"/>
  <c r="M185" i="3"/>
  <c r="M81" i="3"/>
  <c r="M195" i="3"/>
  <c r="M196" i="3"/>
  <c r="M40" i="3"/>
  <c r="M204" i="3"/>
  <c r="M186" i="3"/>
  <c r="M21" i="3"/>
  <c r="M97" i="3"/>
  <c r="M11" i="3"/>
  <c r="M125" i="3"/>
  <c r="M45" i="3"/>
  <c r="M88" i="3"/>
  <c r="M31" i="3"/>
  <c r="M69" i="3"/>
  <c r="M22" i="3"/>
  <c r="M118" i="3"/>
  <c r="M119" i="3"/>
  <c r="M205" i="3"/>
  <c r="M12" i="3"/>
  <c r="M13" i="3"/>
  <c r="M120" i="3"/>
  <c r="M85" i="3"/>
  <c r="M112" i="3"/>
  <c r="M116" i="3"/>
  <c r="M86" i="3"/>
  <c r="M113" i="3"/>
  <c r="M114" i="3"/>
  <c r="M158" i="3"/>
  <c r="M16" i="3"/>
  <c r="M115" i="3"/>
  <c r="M117" i="3"/>
  <c r="M190" i="3"/>
  <c r="M191" i="3"/>
  <c r="M172" i="3"/>
  <c r="M57" i="3"/>
  <c r="M65" i="3"/>
  <c r="M58" i="3"/>
  <c r="M66" i="3"/>
  <c r="M59" i="3"/>
  <c r="M60" i="3"/>
  <c r="M67" i="3"/>
  <c r="M76" i="3"/>
  <c r="M61" i="3"/>
  <c r="M62" i="3"/>
  <c r="M41" i="3"/>
  <c r="M77" i="3"/>
  <c r="M63" i="3"/>
  <c r="M131" i="3"/>
  <c r="M24" i="3"/>
  <c r="M173" i="3"/>
  <c r="M32" i="3"/>
  <c r="M51" i="3"/>
  <c r="M137" i="3"/>
  <c r="M121" i="3"/>
  <c r="M102" i="3"/>
  <c r="M103" i="3"/>
  <c r="M82" i="3"/>
  <c r="M6" i="3"/>
  <c r="M122" i="3"/>
  <c r="M206" i="3"/>
  <c r="M136" i="3"/>
  <c r="M14" i="3"/>
  <c r="M50" i="3"/>
  <c r="M150" i="3"/>
  <c r="M138" i="3"/>
  <c r="M151" i="3"/>
  <c r="M139" i="3"/>
  <c r="M132" i="3"/>
  <c r="M46" i="3"/>
  <c r="M197" i="3"/>
  <c r="M79" i="3"/>
  <c r="M198" i="3"/>
  <c r="M140" i="3"/>
  <c r="M25" i="3"/>
  <c r="M123" i="3"/>
  <c r="M174" i="3"/>
  <c r="M157" i="3"/>
  <c r="M42" i="3"/>
  <c r="M43" i="3"/>
  <c r="M175" i="3"/>
  <c r="M87" i="3"/>
  <c r="M124" i="3"/>
  <c r="M29" i="3"/>
  <c r="M30" i="3"/>
  <c r="M199" i="3"/>
  <c r="M80" i="3"/>
  <c r="M34" i="3"/>
  <c r="M36" i="3"/>
  <c r="M133" i="3"/>
  <c r="M18" i="3"/>
  <c r="M176" i="3"/>
  <c r="M98" i="3"/>
  <c r="M2" i="3"/>
  <c r="M177" i="3"/>
  <c r="M15" i="3"/>
  <c r="M141" i="3"/>
  <c r="M152" i="3"/>
  <c r="M178" i="3"/>
  <c r="M92" i="3"/>
  <c r="M126" i="3"/>
  <c r="M179" i="3"/>
  <c r="M47" i="3"/>
  <c r="M201" i="3"/>
  <c r="M90" i="3"/>
  <c r="M19" i="3"/>
  <c r="M180" i="3"/>
  <c r="M71" i="3"/>
  <c r="M181" i="3"/>
  <c r="M156" i="3"/>
  <c r="M142" i="3"/>
  <c r="M78" i="3"/>
  <c r="M134" i="3"/>
  <c r="M200" i="3"/>
  <c r="M93" i="3"/>
  <c r="M91" i="3"/>
  <c r="M143" i="3"/>
  <c r="M48" i="3"/>
  <c r="M73" i="3"/>
  <c r="M49" i="3"/>
  <c r="M33" i="3"/>
  <c r="M127" i="3"/>
  <c r="M20" i="3"/>
  <c r="M83" i="3"/>
  <c r="M38" i="3"/>
  <c r="M56" i="3"/>
  <c r="M153" i="3"/>
  <c r="M154" i="3"/>
  <c r="M155" i="3"/>
  <c r="M101" i="3"/>
  <c r="M5" i="3"/>
  <c r="M202" i="3"/>
  <c r="M203" i="3"/>
  <c r="M171" i="3"/>
  <c r="M183" i="3"/>
  <c r="M99" i="3"/>
  <c r="M149" i="3"/>
  <c r="M159" i="3"/>
  <c r="M35" i="3"/>
  <c r="M163" i="3"/>
  <c r="M3" i="3"/>
  <c r="M164" i="3"/>
  <c r="M7" i="3"/>
  <c r="M9" i="3"/>
  <c r="M4" i="3"/>
  <c r="M100" i="3"/>
  <c r="M170" i="3"/>
  <c r="M182" i="3"/>
  <c r="M28" i="3"/>
  <c r="M27" i="3"/>
  <c r="M187" i="3"/>
  <c r="D39" i="3"/>
  <c r="D188" i="3"/>
  <c r="D104" i="3"/>
  <c r="D89" i="3"/>
  <c r="D128" i="3"/>
  <c r="D189" i="3"/>
  <c r="D17" i="3"/>
  <c r="D129" i="3"/>
  <c r="D160" i="3"/>
  <c r="D54" i="3"/>
  <c r="D52" i="3"/>
  <c r="D53" i="3"/>
  <c r="D74" i="3"/>
  <c r="D165" i="3"/>
  <c r="D55" i="3"/>
  <c r="D135" i="3"/>
  <c r="D8" i="3"/>
  <c r="D144" i="3"/>
  <c r="D145" i="3"/>
  <c r="D146" i="3"/>
  <c r="D147" i="3"/>
  <c r="D166" i="3"/>
  <c r="D167" i="3"/>
  <c r="D161" i="3"/>
  <c r="D70" i="3"/>
  <c r="D162" i="3"/>
  <c r="D193" i="3"/>
  <c r="D148" i="3"/>
  <c r="D72" i="3"/>
  <c r="D44" i="3"/>
  <c r="D105" i="3"/>
  <c r="D68" i="3"/>
  <c r="D37" i="3"/>
  <c r="D110" i="3"/>
  <c r="D111" i="3"/>
  <c r="D10" i="3"/>
  <c r="D194" i="3"/>
  <c r="D84" i="3"/>
  <c r="D169" i="3"/>
  <c r="D106" i="3"/>
  <c r="D95" i="3"/>
  <c r="D107" i="3"/>
  <c r="D108" i="3"/>
  <c r="D96" i="3"/>
  <c r="D168" i="3"/>
  <c r="D109" i="3"/>
  <c r="D26" i="3"/>
  <c r="D192" i="3"/>
  <c r="D184" i="3"/>
  <c r="D64" i="3"/>
  <c r="D75" i="3"/>
  <c r="D130" i="3"/>
  <c r="D23" i="3"/>
  <c r="D185" i="3"/>
  <c r="D81" i="3"/>
  <c r="D195" i="3"/>
  <c r="D196" i="3"/>
  <c r="D40" i="3"/>
  <c r="D204" i="3"/>
  <c r="D186" i="3"/>
  <c r="D21" i="3"/>
  <c r="D97" i="3"/>
  <c r="D11" i="3"/>
  <c r="D125" i="3"/>
  <c r="D45" i="3"/>
  <c r="D88" i="3"/>
  <c r="D94" i="3"/>
  <c r="D31" i="3"/>
  <c r="D69" i="3"/>
  <c r="D22" i="3"/>
  <c r="D118" i="3"/>
  <c r="D119" i="3"/>
  <c r="D205" i="3"/>
  <c r="D12" i="3"/>
  <c r="D13" i="3"/>
  <c r="D120" i="3"/>
  <c r="D85" i="3"/>
  <c r="D112" i="3"/>
  <c r="D116" i="3"/>
  <c r="D86" i="3"/>
  <c r="D113" i="3"/>
  <c r="D114" i="3"/>
  <c r="D158" i="3"/>
  <c r="D16" i="3"/>
  <c r="D115" i="3"/>
  <c r="D117" i="3"/>
  <c r="D190" i="3"/>
  <c r="D191" i="3"/>
  <c r="D172" i="3"/>
  <c r="D57" i="3"/>
  <c r="D65" i="3"/>
  <c r="D58" i="3"/>
  <c r="D66" i="3"/>
  <c r="D59" i="3"/>
  <c r="D60" i="3"/>
  <c r="D67" i="3"/>
  <c r="D76" i="3"/>
  <c r="D61" i="3"/>
  <c r="D62" i="3"/>
  <c r="D41" i="3"/>
  <c r="D77" i="3"/>
  <c r="D63" i="3"/>
  <c r="D131" i="3"/>
  <c r="D24" i="3"/>
  <c r="D173" i="3"/>
  <c r="D32" i="3"/>
  <c r="D51" i="3"/>
  <c r="D137" i="3"/>
  <c r="D121" i="3"/>
  <c r="D102" i="3"/>
  <c r="D103" i="3"/>
  <c r="D82" i="3"/>
  <c r="D6" i="3"/>
  <c r="D122" i="3"/>
  <c r="D206" i="3"/>
  <c r="D136" i="3"/>
  <c r="D14" i="3"/>
  <c r="D50" i="3"/>
  <c r="D150" i="3"/>
  <c r="D138" i="3"/>
  <c r="D151" i="3"/>
  <c r="D139" i="3"/>
  <c r="D132" i="3"/>
  <c r="D46" i="3"/>
  <c r="D197" i="3"/>
  <c r="D79" i="3"/>
  <c r="D198" i="3"/>
  <c r="D140" i="3"/>
  <c r="D25" i="3"/>
  <c r="D123" i="3"/>
  <c r="D174" i="3"/>
  <c r="D157" i="3"/>
  <c r="D42" i="3"/>
  <c r="D43" i="3"/>
  <c r="D175" i="3"/>
  <c r="D87" i="3"/>
  <c r="D124" i="3"/>
  <c r="D29" i="3"/>
  <c r="D30" i="3"/>
  <c r="D199" i="3"/>
  <c r="D80" i="3"/>
  <c r="D34" i="3"/>
  <c r="D36" i="3"/>
  <c r="D133" i="3"/>
  <c r="D18" i="3"/>
  <c r="D176" i="3"/>
  <c r="D98" i="3"/>
  <c r="D2" i="3"/>
  <c r="D177" i="3"/>
  <c r="D15" i="3"/>
  <c r="D141" i="3"/>
  <c r="D152" i="3"/>
  <c r="D178" i="3"/>
  <c r="D92" i="3"/>
  <c r="D126" i="3"/>
  <c r="D179" i="3"/>
  <c r="D47" i="3"/>
  <c r="D201" i="3"/>
  <c r="D90" i="3"/>
  <c r="D19" i="3"/>
  <c r="D180" i="3"/>
  <c r="D71" i="3"/>
  <c r="D181" i="3"/>
  <c r="D156" i="3"/>
  <c r="D142" i="3"/>
  <c r="D78" i="3"/>
  <c r="D134" i="3"/>
  <c r="D200" i="3"/>
  <c r="D93" i="3"/>
  <c r="D91" i="3"/>
  <c r="D143" i="3"/>
  <c r="D48" i="3"/>
  <c r="D73" i="3"/>
  <c r="D49" i="3"/>
  <c r="D33" i="3"/>
  <c r="D127" i="3"/>
  <c r="D20" i="3"/>
  <c r="D83" i="3"/>
  <c r="D38" i="3"/>
  <c r="D56" i="3"/>
  <c r="D153" i="3"/>
  <c r="D154" i="3"/>
  <c r="D155" i="3"/>
  <c r="D101" i="3"/>
  <c r="D5" i="3"/>
  <c r="D202" i="3"/>
  <c r="D203" i="3"/>
  <c r="D171" i="3"/>
  <c r="D183" i="3"/>
  <c r="D99" i="3"/>
  <c r="D149" i="3"/>
  <c r="D159" i="3"/>
  <c r="D35" i="3"/>
  <c r="D163" i="3"/>
  <c r="D3" i="3"/>
  <c r="D164" i="3"/>
  <c r="D7" i="3"/>
  <c r="D9" i="3"/>
  <c r="D4" i="3"/>
  <c r="D100" i="3"/>
  <c r="D170" i="3"/>
  <c r="D182" i="3"/>
  <c r="D28" i="3"/>
  <c r="D27" i="3"/>
  <c r="D187" i="3"/>
  <c r="P33" i="4"/>
  <c r="P25" i="4"/>
  <c r="P32" i="4"/>
  <c r="P23" i="4"/>
  <c r="P22" i="4"/>
  <c r="P24" i="4"/>
  <c r="P10" i="4"/>
  <c r="P11" i="4"/>
  <c r="P18" i="4"/>
  <c r="P19" i="4"/>
  <c r="P6" i="4"/>
  <c r="P7" i="4"/>
  <c r="P12" i="4"/>
  <c r="P13" i="4"/>
  <c r="P20" i="4"/>
  <c r="P21" i="4"/>
  <c r="P8" i="4"/>
  <c r="P9" i="4"/>
  <c r="P38" i="4"/>
  <c r="P41" i="4"/>
  <c r="P42" i="4"/>
  <c r="P16" i="4"/>
  <c r="P34" i="4"/>
  <c r="P26" i="4"/>
  <c r="P27" i="4"/>
  <c r="P35" i="4"/>
  <c r="P36" i="4"/>
  <c r="P17" i="4"/>
  <c r="P43" i="4"/>
  <c r="P14" i="4"/>
  <c r="P39" i="4"/>
  <c r="P40" i="4"/>
  <c r="P28" i="4"/>
  <c r="P15" i="4"/>
  <c r="P37" i="4"/>
  <c r="P4" i="4"/>
  <c r="P31" i="4"/>
  <c r="P44" i="4"/>
  <c r="P2" i="4"/>
  <c r="P3" i="4"/>
  <c r="P29" i="4"/>
  <c r="P30" i="4"/>
  <c r="P5" i="4"/>
  <c r="X88" i="4"/>
  <c r="X83" i="4"/>
  <c r="X82" i="4"/>
  <c r="X78" i="4"/>
  <c r="X77" i="4"/>
  <c r="X76" i="4"/>
  <c r="X75" i="4"/>
  <c r="X72" i="4"/>
  <c r="X71" i="4"/>
  <c r="X69" i="4"/>
  <c r="X67" i="4"/>
  <c r="X58" i="4"/>
  <c r="X57" i="4"/>
  <c r="X56" i="4"/>
  <c r="X55" i="4"/>
  <c r="X50" i="4"/>
  <c r="L34" i="4"/>
  <c r="L31" i="4"/>
  <c r="L26" i="4"/>
  <c r="L27" i="4"/>
  <c r="L24" i="4"/>
  <c r="L35" i="4"/>
  <c r="L32" i="4"/>
  <c r="L36" i="4"/>
  <c r="L17" i="4"/>
  <c r="L44" i="4"/>
  <c r="L43" i="4"/>
  <c r="L2" i="4"/>
  <c r="L3" i="4"/>
  <c r="L4" i="4"/>
  <c r="L5" i="4"/>
  <c r="L38" i="4"/>
  <c r="L37" i="4"/>
  <c r="L39" i="4"/>
  <c r="L40" i="4"/>
  <c r="L28" i="4"/>
  <c r="L25" i="4"/>
  <c r="L29" i="4"/>
  <c r="L30" i="4"/>
  <c r="L23" i="4"/>
  <c r="L41" i="4"/>
  <c r="L22" i="4"/>
  <c r="L42" i="4"/>
  <c r="L16" i="4"/>
  <c r="L14" i="4"/>
  <c r="L15" i="4"/>
  <c r="L10" i="4"/>
  <c r="L11" i="4"/>
  <c r="L18" i="4"/>
  <c r="L19" i="4"/>
  <c r="L6" i="4"/>
  <c r="L7" i="4"/>
  <c r="L12" i="4"/>
  <c r="L13" i="4"/>
  <c r="L20" i="4"/>
  <c r="L21" i="4"/>
  <c r="L8" i="4"/>
  <c r="L9" i="4"/>
  <c r="L84" i="4"/>
  <c r="L85" i="4"/>
  <c r="L81" i="4"/>
  <c r="L46" i="4"/>
  <c r="L47" i="4"/>
  <c r="L48" i="4"/>
  <c r="L67" i="4"/>
  <c r="L68" i="4"/>
  <c r="L69" i="4"/>
  <c r="L62" i="4"/>
  <c r="L63" i="4"/>
  <c r="L89" i="4"/>
  <c r="L88" i="4"/>
  <c r="L51" i="4"/>
  <c r="L50" i="4"/>
  <c r="L57" i="4"/>
  <c r="L58" i="4"/>
  <c r="L72" i="4"/>
  <c r="L77" i="4"/>
  <c r="L75" i="4"/>
  <c r="L79" i="4"/>
  <c r="L78" i="4"/>
  <c r="L76" i="4"/>
  <c r="L80" i="4"/>
  <c r="L71" i="4"/>
  <c r="L70" i="4"/>
  <c r="L82" i="4"/>
  <c r="L83" i="4"/>
  <c r="L61" i="4"/>
  <c r="L64" i="4"/>
  <c r="L66" i="4"/>
  <c r="L65" i="4"/>
  <c r="L60" i="4"/>
  <c r="L59" i="4"/>
  <c r="L74" i="4"/>
  <c r="L56" i="4"/>
  <c r="L55" i="4"/>
  <c r="L49" i="4"/>
  <c r="L54" i="4"/>
  <c r="L53" i="4"/>
  <c r="L86" i="4"/>
  <c r="L73" i="4"/>
  <c r="L87" i="4"/>
  <c r="L52" i="4"/>
  <c r="L33" i="4"/>
  <c r="D34" i="4"/>
  <c r="D31" i="4"/>
  <c r="D26" i="4"/>
  <c r="D27" i="4"/>
  <c r="D24" i="4"/>
  <c r="D35" i="4"/>
  <c r="D32" i="4"/>
  <c r="D36" i="4"/>
  <c r="D17" i="4"/>
  <c r="D44" i="4"/>
  <c r="D43" i="4"/>
  <c r="D2" i="4"/>
  <c r="D3" i="4"/>
  <c r="D4" i="4"/>
  <c r="D5" i="4"/>
  <c r="D38" i="4"/>
  <c r="D37" i="4"/>
  <c r="D39" i="4"/>
  <c r="D40" i="4"/>
  <c r="D28" i="4"/>
  <c r="D25" i="4"/>
  <c r="D29" i="4"/>
  <c r="D30" i="4"/>
  <c r="D23" i="4"/>
  <c r="D41" i="4"/>
  <c r="D22" i="4"/>
  <c r="D42" i="4"/>
  <c r="D16" i="4"/>
  <c r="D14" i="4"/>
  <c r="D15" i="4"/>
  <c r="D10" i="4"/>
  <c r="D11" i="4"/>
  <c r="D18" i="4"/>
  <c r="D19" i="4"/>
  <c r="D6" i="4"/>
  <c r="D7" i="4"/>
  <c r="D12" i="4"/>
  <c r="D13" i="4"/>
  <c r="D20" i="4"/>
  <c r="D21" i="4"/>
  <c r="D8" i="4"/>
  <c r="D9" i="4"/>
  <c r="D84" i="4"/>
  <c r="D85" i="4"/>
  <c r="D81" i="4"/>
  <c r="D46" i="4"/>
  <c r="D47" i="4"/>
  <c r="D48" i="4"/>
  <c r="D67" i="4"/>
  <c r="D68" i="4"/>
  <c r="D69" i="4"/>
  <c r="D62" i="4"/>
  <c r="D63" i="4"/>
  <c r="D89" i="4"/>
  <c r="D88" i="4"/>
  <c r="D51" i="4"/>
  <c r="D50" i="4"/>
  <c r="D57" i="4"/>
  <c r="D58" i="4"/>
  <c r="D72" i="4"/>
  <c r="D77" i="4"/>
  <c r="D75" i="4"/>
  <c r="D79" i="4"/>
  <c r="D78" i="4"/>
  <c r="D76" i="4"/>
  <c r="D80" i="4"/>
  <c r="D71" i="4"/>
  <c r="D70" i="4"/>
  <c r="D82" i="4"/>
  <c r="D83" i="4"/>
  <c r="D61" i="4"/>
  <c r="D64" i="4"/>
  <c r="D66" i="4"/>
  <c r="D65" i="4"/>
  <c r="D60" i="4"/>
  <c r="D59" i="4"/>
  <c r="D74" i="4"/>
  <c r="D56" i="4"/>
  <c r="D55" i="4"/>
  <c r="D49" i="4"/>
  <c r="D54" i="4"/>
  <c r="D53" i="4"/>
  <c r="D86" i="4"/>
  <c r="D73" i="4"/>
  <c r="D87" i="4"/>
  <c r="D52" i="4"/>
  <c r="D33" i="4"/>
</calcChain>
</file>

<file path=xl/sharedStrings.xml><?xml version="1.0" encoding="utf-8"?>
<sst xmlns="http://schemas.openxmlformats.org/spreadsheetml/2006/main" count="33006" uniqueCount="1392">
  <si>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</si>
  <si>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</si>
  <si>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</si>
  <si>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</si>
  <si>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</si>
  <si>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</si>
  <si>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</si>
  <si>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</si>
  <si>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</si>
  <si>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</si>
  <si>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</si>
  <si>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</si>
  <si>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</si>
  <si>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</si>
  <si>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</si>
  <si>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</si>
  <si>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</si>
  <si>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</si>
  <si>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</si>
  <si>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</si>
  <si>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</si>
  <si>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</si>
  <si>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</si>
  <si>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</si>
  <si>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</si>
  <si>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</si>
  <si>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</si>
  <si>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</si>
  <si>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</si>
  <si>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</si>
  <si>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</si>
  <si>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</si>
  <si>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</si>
  <si>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</si>
  <si>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</si>
  <si>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</si>
  <si>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</si>
  <si>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</si>
  <si>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</si>
  <si>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</si>
  <si>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</si>
  <si>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</si>
  <si>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</si>
  <si>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</si>
  <si>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</si>
  <si>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</si>
  <si>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</si>
  <si>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</si>
  <si>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</si>
  <si>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PIENIADZ</t>
  </si>
  <si>
    <t>BILL</t>
  </si>
  <si>
    <t>Allstate Health Solutions</t>
  </si>
  <si>
    <t>PA</t>
  </si>
  <si>
    <t>Accident</t>
  </si>
  <si>
    <t>TrioMED Accident and CI 14939</t>
  </si>
  <si>
    <t>CARRYER</t>
  </si>
  <si>
    <t>KELLY</t>
  </si>
  <si>
    <t>Active</t>
  </si>
  <si>
    <t xml:space="preserve">Monthly </t>
  </si>
  <si>
    <t>Converted</t>
  </si>
  <si>
    <t>RN</t>
  </si>
  <si>
    <t>N</t>
  </si>
  <si>
    <t>SWOGER</t>
  </si>
  <si>
    <t>RICHARD</t>
  </si>
  <si>
    <t>HOFFMANN</t>
  </si>
  <si>
    <t>JASON</t>
  </si>
  <si>
    <t>VILLANO</t>
  </si>
  <si>
    <t>REGINA</t>
  </si>
  <si>
    <t>BERLACHER</t>
  </si>
  <si>
    <t>GREG</t>
  </si>
  <si>
    <t>ROKEN</t>
  </si>
  <si>
    <t>JOHN</t>
  </si>
  <si>
    <t>WIMBERLY</t>
  </si>
  <si>
    <t>DANIEL</t>
  </si>
  <si>
    <t>LA</t>
  </si>
  <si>
    <t>Ancillary</t>
  </si>
  <si>
    <t>Cancer and Heart/Stroke 20231</t>
  </si>
  <si>
    <t>AWES</t>
  </si>
  <si>
    <t>IBRAHIM</t>
  </si>
  <si>
    <t>AZ</t>
  </si>
  <si>
    <t>Critical Illness w/ Term Life 21677</t>
  </si>
  <si>
    <t>CALTAGIRONE</t>
  </si>
  <si>
    <t>RYAN</t>
  </si>
  <si>
    <t>FY</t>
  </si>
  <si>
    <t>PEGRAM</t>
  </si>
  <si>
    <t>MARCELLUS</t>
  </si>
  <si>
    <t>Dental</t>
  </si>
  <si>
    <t>SELECT DENTAL 29304</t>
  </si>
  <si>
    <t>FOLEY</t>
  </si>
  <si>
    <t>CAROL</t>
  </si>
  <si>
    <t>BROMLEY</t>
  </si>
  <si>
    <t>MONIKA</t>
  </si>
  <si>
    <t>Schumann</t>
  </si>
  <si>
    <t>Barry</t>
  </si>
  <si>
    <t>Chargeback</t>
  </si>
  <si>
    <t>WEBB</t>
  </si>
  <si>
    <t>MICHELLE</t>
  </si>
  <si>
    <t>TX</t>
  </si>
  <si>
    <t>BRENNER</t>
  </si>
  <si>
    <t>BARRY</t>
  </si>
  <si>
    <t>SOMMESE</t>
  </si>
  <si>
    <t>JULIE</t>
  </si>
  <si>
    <t>IL</t>
  </si>
  <si>
    <t>Drapac</t>
  </si>
  <si>
    <t>Stephanie</t>
  </si>
  <si>
    <t>Default</t>
  </si>
  <si>
    <t>AMBROSE</t>
  </si>
  <si>
    <t>THOMAS</t>
  </si>
  <si>
    <t>Medicare Supplement</t>
  </si>
  <si>
    <t>NHIC MedSupp 2022 Plan F, G Age 65-80</t>
  </si>
  <si>
    <t>TUNSTALL</t>
  </si>
  <si>
    <t>LORI</t>
  </si>
  <si>
    <t>VERANO</t>
  </si>
  <si>
    <t>GLORIA</t>
  </si>
  <si>
    <t>REYNOLDS</t>
  </si>
  <si>
    <t>STEPHEN</t>
  </si>
  <si>
    <t>NHIC MedSupp 2022 IL Plan N Age 65-80</t>
  </si>
  <si>
    <t>Walenga</t>
  </si>
  <si>
    <t>Dale</t>
  </si>
  <si>
    <t>BAIN</t>
  </si>
  <si>
    <t>ALAN</t>
  </si>
  <si>
    <t>SCHULZE</t>
  </si>
  <si>
    <t>COLLEEN</t>
  </si>
  <si>
    <t>GULICK</t>
  </si>
  <si>
    <t>KIM</t>
  </si>
  <si>
    <t>FL</t>
  </si>
  <si>
    <t>Other</t>
  </si>
  <si>
    <t>Accident Fixed Benefit</t>
  </si>
  <si>
    <t>KATELENN</t>
  </si>
  <si>
    <t>ROBLES</t>
  </si>
  <si>
    <t>CAROLINE</t>
  </si>
  <si>
    <t>GA</t>
  </si>
  <si>
    <t>Plan Enhancer 20214</t>
  </si>
  <si>
    <t>RIGGAN</t>
  </si>
  <si>
    <t>SHANNON</t>
  </si>
  <si>
    <t>IA</t>
  </si>
  <si>
    <t>GIILESPIE</t>
  </si>
  <si>
    <t>JAMES</t>
  </si>
  <si>
    <t>PARDUE</t>
  </si>
  <si>
    <t>JONES</t>
  </si>
  <si>
    <t>DOUGLAS</t>
  </si>
  <si>
    <t>STROHMAN</t>
  </si>
  <si>
    <t>BRIAN</t>
  </si>
  <si>
    <t>MARVIN</t>
  </si>
  <si>
    <t>STEVEN</t>
  </si>
  <si>
    <t>Shulman</t>
  </si>
  <si>
    <t>Jake</t>
  </si>
  <si>
    <t>MARTIN</t>
  </si>
  <si>
    <t>TRACEY</t>
  </si>
  <si>
    <t>PUANGCO</t>
  </si>
  <si>
    <t>LYNN</t>
  </si>
  <si>
    <t>SANTOS</t>
  </si>
  <si>
    <t>RICARDO</t>
  </si>
  <si>
    <t>HOSMAN</t>
  </si>
  <si>
    <t>CRUZ</t>
  </si>
  <si>
    <t>FUENTES</t>
  </si>
  <si>
    <t>VICTOR</t>
  </si>
  <si>
    <t>MELANIE</t>
  </si>
  <si>
    <t>EDWARDS</t>
  </si>
  <si>
    <t>YALE</t>
  </si>
  <si>
    <t>JACOB</t>
  </si>
  <si>
    <t>SMITH</t>
  </si>
  <si>
    <t>EVAN</t>
  </si>
  <si>
    <t>MD</t>
  </si>
  <si>
    <t>Accident Fixed-Benefit 21044</t>
  </si>
  <si>
    <t>Max</t>
  </si>
  <si>
    <t>Ronald</t>
  </si>
  <si>
    <t>LINAHAN</t>
  </si>
  <si>
    <t>DIANE</t>
  </si>
  <si>
    <t>Supplement</t>
  </si>
  <si>
    <t>NHIC Dental 2020 DVH 65+</t>
  </si>
  <si>
    <t>WAGNER</t>
  </si>
  <si>
    <t>DWIGHT</t>
  </si>
  <si>
    <t>WOODALL</t>
  </si>
  <si>
    <t>CHRISTIANSEN</t>
  </si>
  <si>
    <t>LISA</t>
  </si>
  <si>
    <t>KY</t>
  </si>
  <si>
    <t>BRIGHTBILL</t>
  </si>
  <si>
    <t>LESLIE</t>
  </si>
  <si>
    <t>CLOGSTON</t>
  </si>
  <si>
    <t>DONNA</t>
  </si>
  <si>
    <t>YOCHUM</t>
  </si>
  <si>
    <t>MICHAEL</t>
  </si>
  <si>
    <t>INSKIPT</t>
  </si>
  <si>
    <t>DEBORAH</t>
  </si>
  <si>
    <t>DIMIDIO</t>
  </si>
  <si>
    <t>LEONARD</t>
  </si>
  <si>
    <t>KOZACHECK</t>
  </si>
  <si>
    <t>ANNE MARIE</t>
  </si>
  <si>
    <t>CARISE</t>
  </si>
  <si>
    <t>DENI</t>
  </si>
  <si>
    <t>ALFORD</t>
  </si>
  <si>
    <t>TRINA</t>
  </si>
  <si>
    <t>CHURCHVILLE</t>
  </si>
  <si>
    <t>KAREN</t>
  </si>
  <si>
    <t>LYMAN</t>
  </si>
  <si>
    <t>FENTON</t>
  </si>
  <si>
    <t>EDITH</t>
  </si>
  <si>
    <t>DEAN</t>
  </si>
  <si>
    <t>CRAIG</t>
  </si>
  <si>
    <t>CO</t>
  </si>
  <si>
    <t>Geske</t>
  </si>
  <si>
    <t>Heather</t>
  </si>
  <si>
    <t>LAUFF</t>
  </si>
  <si>
    <t>KIMBERLY</t>
  </si>
  <si>
    <t>BOWIE</t>
  </si>
  <si>
    <t>PETRUNGARO</t>
  </si>
  <si>
    <t>ANDREA</t>
  </si>
  <si>
    <t>HUNKELE</t>
  </si>
  <si>
    <t>GLENN</t>
  </si>
  <si>
    <t>OH</t>
  </si>
  <si>
    <t>RAFAT</t>
  </si>
  <si>
    <t>SULTANA</t>
  </si>
  <si>
    <t>Abdul</t>
  </si>
  <si>
    <t>Saadia</t>
  </si>
  <si>
    <t>MATHENY</t>
  </si>
  <si>
    <t>PEGGY</t>
  </si>
  <si>
    <t>Shepard</t>
  </si>
  <si>
    <t>Jill</t>
  </si>
  <si>
    <t>MCCOLLUM</t>
  </si>
  <si>
    <t>MI</t>
  </si>
  <si>
    <t>Y</t>
  </si>
  <si>
    <t>WATKINS</t>
  </si>
  <si>
    <t>NICHOLAS</t>
  </si>
  <si>
    <t>Brousseau</t>
  </si>
  <si>
    <t>Christopher</t>
  </si>
  <si>
    <t>BENNETT</t>
  </si>
  <si>
    <t>INGA</t>
  </si>
  <si>
    <t>KINCAID</t>
  </si>
  <si>
    <t>AARON</t>
  </si>
  <si>
    <t>Sherman</t>
  </si>
  <si>
    <t>Matthew</t>
  </si>
  <si>
    <t>HUNTINGTON</t>
  </si>
  <si>
    <t>GARY</t>
  </si>
  <si>
    <t>FANIA</t>
  </si>
  <si>
    <t>RICHTER</t>
  </si>
  <si>
    <t>PETER</t>
  </si>
  <si>
    <t>EBIN</t>
  </si>
  <si>
    <t>MCMILLEN</t>
  </si>
  <si>
    <t>MCCLELLAND</t>
  </si>
  <si>
    <t>SHERYL</t>
  </si>
  <si>
    <t>HANNIBAL</t>
  </si>
  <si>
    <t>QUILLAN</t>
  </si>
  <si>
    <t>Cancer and Heart/Stroke GI 20231</t>
  </si>
  <si>
    <t>MORRIS</t>
  </si>
  <si>
    <t>LAUREN</t>
  </si>
  <si>
    <t>TEIPEL</t>
  </si>
  <si>
    <t>GREGORY</t>
  </si>
  <si>
    <t>JESSIE</t>
  </si>
  <si>
    <t>ROBERT</t>
  </si>
  <si>
    <t>VOLLAND</t>
  </si>
  <si>
    <t>SHARMA</t>
  </si>
  <si>
    <t>JAIDEV</t>
  </si>
  <si>
    <t>Allen</t>
  </si>
  <si>
    <t>James</t>
  </si>
  <si>
    <t>KIRKVOLD</t>
  </si>
  <si>
    <t>SD</t>
  </si>
  <si>
    <t>Yale</t>
  </si>
  <si>
    <t>Richard</t>
  </si>
  <si>
    <t>RESURRECCION</t>
  </si>
  <si>
    <t>WILLIAM</t>
  </si>
  <si>
    <t>Choi</t>
  </si>
  <si>
    <t>Andrew</t>
  </si>
  <si>
    <t>SANDERS</t>
  </si>
  <si>
    <t>ASHLEY</t>
  </si>
  <si>
    <t>SHIPWASH</t>
  </si>
  <si>
    <t>HOWARD</t>
  </si>
  <si>
    <t>MO</t>
  </si>
  <si>
    <t>WHITE</t>
  </si>
  <si>
    <t>TUCKER</t>
  </si>
  <si>
    <t>JOYCE</t>
  </si>
  <si>
    <t>WHEELER</t>
  </si>
  <si>
    <t>STACEY</t>
  </si>
  <si>
    <t>WALDEN</t>
  </si>
  <si>
    <t>NABOR</t>
  </si>
  <si>
    <t>SHADA</t>
  </si>
  <si>
    <t>TLACIL</t>
  </si>
  <si>
    <t>AMANDA</t>
  </si>
  <si>
    <t>SIMMONS</t>
  </si>
  <si>
    <t>ERIC</t>
  </si>
  <si>
    <t>HERNANDEZ</t>
  </si>
  <si>
    <t>RAY</t>
  </si>
  <si>
    <t>WARREN</t>
  </si>
  <si>
    <t>TRACY</t>
  </si>
  <si>
    <t>LISKOVEC</t>
  </si>
  <si>
    <t>FRANK</t>
  </si>
  <si>
    <t>DEALEY</t>
  </si>
  <si>
    <t>DUSTIN</t>
  </si>
  <si>
    <t>KENDIG</t>
  </si>
  <si>
    <t>DEVON</t>
  </si>
  <si>
    <t>Association</t>
  </si>
  <si>
    <t>LIFE Association Membership - C 14956 PPO</t>
  </si>
  <si>
    <t>A1</t>
  </si>
  <si>
    <t>JOHNSON</t>
  </si>
  <si>
    <t>ROBLEY</t>
  </si>
  <si>
    <t>LIFE Association Membership - C 14956 LM</t>
  </si>
  <si>
    <t>HEGSTROM</t>
  </si>
  <si>
    <t>GRANT</t>
  </si>
  <si>
    <t>Life Association Access</t>
  </si>
  <si>
    <t>A6</t>
  </si>
  <si>
    <t>ADLER</t>
  </si>
  <si>
    <t>SAMUEL</t>
  </si>
  <si>
    <t>RUSSELL</t>
  </si>
  <si>
    <t>DONALD</t>
  </si>
  <si>
    <t>TIRADES</t>
  </si>
  <si>
    <t>KURT</t>
  </si>
  <si>
    <t>BOUWKAMP</t>
  </si>
  <si>
    <t>CALEB</t>
  </si>
  <si>
    <t>IN</t>
  </si>
  <si>
    <t>Life Association C IN</t>
  </si>
  <si>
    <t>Sanderock</t>
  </si>
  <si>
    <t>Marsha</t>
  </si>
  <si>
    <t>A10</t>
  </si>
  <si>
    <t>BLANCHARD</t>
  </si>
  <si>
    <t>WESLEY</t>
  </si>
  <si>
    <t>MORELAND</t>
  </si>
  <si>
    <t>BRADLEY</t>
  </si>
  <si>
    <t>GREEN</t>
  </si>
  <si>
    <t>DANNA</t>
  </si>
  <si>
    <t>DITTLINGER</t>
  </si>
  <si>
    <t>CORRINE</t>
  </si>
  <si>
    <t>TORNQUIST</t>
  </si>
  <si>
    <t>RANDY</t>
  </si>
  <si>
    <t>HIRSHORN</t>
  </si>
  <si>
    <t>KEVIN</t>
  </si>
  <si>
    <t>LAROCCO-MCVAY</t>
  </si>
  <si>
    <t>MONICA</t>
  </si>
  <si>
    <t>STENGEL</t>
  </si>
  <si>
    <t>SHARON</t>
  </si>
  <si>
    <t>Cheregi</t>
  </si>
  <si>
    <t>Raluca</t>
  </si>
  <si>
    <t>ROUS</t>
  </si>
  <si>
    <t>TIANNA</t>
  </si>
  <si>
    <t>DUMPER</t>
  </si>
  <si>
    <t>Horn</t>
  </si>
  <si>
    <t>Jeffrey</t>
  </si>
  <si>
    <t>ALLEN</t>
  </si>
  <si>
    <t>DEANNA</t>
  </si>
  <si>
    <t>WOODS</t>
  </si>
  <si>
    <t>BALLEZA</t>
  </si>
  <si>
    <t>Jerger</t>
  </si>
  <si>
    <t>Colleen</t>
  </si>
  <si>
    <t>ARNOLD</t>
  </si>
  <si>
    <t>ZACHARY</t>
  </si>
  <si>
    <t>GESKE</t>
  </si>
  <si>
    <t>SHERMAN</t>
  </si>
  <si>
    <t>MAYER</t>
  </si>
  <si>
    <t>TAYLOR</t>
  </si>
  <si>
    <t>KAITLIN</t>
  </si>
  <si>
    <t>DEBARTOLO</t>
  </si>
  <si>
    <t>DANIELA</t>
  </si>
  <si>
    <t>DIONESOTES</t>
  </si>
  <si>
    <t>NOAH</t>
  </si>
  <si>
    <t>Dionesotes</t>
  </si>
  <si>
    <t>Noah</t>
  </si>
  <si>
    <t>TANNEHILL</t>
  </si>
  <si>
    <t>HATCHER</t>
  </si>
  <si>
    <t>OK</t>
  </si>
  <si>
    <t>Powers</t>
  </si>
  <si>
    <t>WASHINGTON</t>
  </si>
  <si>
    <t>BEVERLY</t>
  </si>
  <si>
    <t>TAUGNER</t>
  </si>
  <si>
    <t>CHRISTIAN</t>
  </si>
  <si>
    <t>ZELENSKY</t>
  </si>
  <si>
    <t>ZOE</t>
  </si>
  <si>
    <t>Fixed Indemnity</t>
  </si>
  <si>
    <t>NHIC LM 2021 Hospital Expense Protection U65</t>
  </si>
  <si>
    <t>CHEEVER</t>
  </si>
  <si>
    <t>MARILYN</t>
  </si>
  <si>
    <t>Allstate Health Access (GI)</t>
  </si>
  <si>
    <t>Allstate Health Access</t>
  </si>
  <si>
    <t>Allstate Recuro RX Discount Card</t>
  </si>
  <si>
    <t>CULVERHOUSE</t>
  </si>
  <si>
    <t>ELIZABETH</t>
  </si>
  <si>
    <t>AL</t>
  </si>
  <si>
    <t>Term Life 21673</t>
  </si>
  <si>
    <t>TRASK</t>
  </si>
  <si>
    <t>PATSY</t>
  </si>
  <si>
    <t>GINNEVER</t>
  </si>
  <si>
    <t>ANITA</t>
  </si>
  <si>
    <t>CHIRAFISI</t>
  </si>
  <si>
    <t>JOANNIE</t>
  </si>
  <si>
    <t>PAGE</t>
  </si>
  <si>
    <t>WI</t>
  </si>
  <si>
    <t>TUTLLE</t>
  </si>
  <si>
    <t>JACK</t>
  </si>
  <si>
    <t>KS</t>
  </si>
  <si>
    <t>BARNETT</t>
  </si>
  <si>
    <t>ALEXANDER</t>
  </si>
  <si>
    <t>MT</t>
  </si>
  <si>
    <t>OWENS</t>
  </si>
  <si>
    <t>JOSEPH</t>
  </si>
  <si>
    <t>MUCCI</t>
  </si>
  <si>
    <t>KATHY</t>
  </si>
  <si>
    <t>GARDNER</t>
  </si>
  <si>
    <t>OR</t>
  </si>
  <si>
    <t>DAUGHERTY</t>
  </si>
  <si>
    <t>MATTHEW</t>
  </si>
  <si>
    <t>CIVIC</t>
  </si>
  <si>
    <t>NECKO</t>
  </si>
  <si>
    <t>BAILEY</t>
  </si>
  <si>
    <t>PORTUGAL</t>
  </si>
  <si>
    <t>Dental Indemnity 21618</t>
  </si>
  <si>
    <t>CRISTIAN</t>
  </si>
  <si>
    <t>HANNA</t>
  </si>
  <si>
    <t>DAVID</t>
  </si>
  <si>
    <t>ALPERS</t>
  </si>
  <si>
    <t>MADISON</t>
  </si>
  <si>
    <t>NC</t>
  </si>
  <si>
    <t>KINYUA</t>
  </si>
  <si>
    <t>JARED</t>
  </si>
  <si>
    <t>LARRY</t>
  </si>
  <si>
    <t>DUNN</t>
  </si>
  <si>
    <t>PATRICIA</t>
  </si>
  <si>
    <t>Oliver</t>
  </si>
  <si>
    <t>Brittany</t>
  </si>
  <si>
    <t>BATTUR</t>
  </si>
  <si>
    <t>EGSHIGLEN</t>
  </si>
  <si>
    <t>ZANA</t>
  </si>
  <si>
    <t>NASANDELGER</t>
  </si>
  <si>
    <t>PITTENGER</t>
  </si>
  <si>
    <t>DEBRA</t>
  </si>
  <si>
    <t>CLAYTON</t>
  </si>
  <si>
    <t>Weller</t>
  </si>
  <si>
    <t>Nathan</t>
  </si>
  <si>
    <t>JABLONSKI</t>
  </si>
  <si>
    <t>Chad</t>
  </si>
  <si>
    <t>BRINSON</t>
  </si>
  <si>
    <t>RENITA</t>
  </si>
  <si>
    <t>TOOGOOD</t>
  </si>
  <si>
    <t>RAWLINS</t>
  </si>
  <si>
    <t>TAMI</t>
  </si>
  <si>
    <t>SCHLICKER</t>
  </si>
  <si>
    <t>RYLEE</t>
  </si>
  <si>
    <t>JASEN</t>
  </si>
  <si>
    <t>IRLBACKER</t>
  </si>
  <si>
    <t>KAMARA</t>
  </si>
  <si>
    <t>FLORETTA</t>
  </si>
  <si>
    <t>ADAM</t>
  </si>
  <si>
    <t>COKER</t>
  </si>
  <si>
    <t>PLASKEY</t>
  </si>
  <si>
    <t>Rose</t>
  </si>
  <si>
    <t>Latesha</t>
  </si>
  <si>
    <t>GRAY</t>
  </si>
  <si>
    <t>LASHEILA</t>
  </si>
  <si>
    <t>GUTIERREZ</t>
  </si>
  <si>
    <t>PAXTON</t>
  </si>
  <si>
    <t>AK</t>
  </si>
  <si>
    <t>Weitzman</t>
  </si>
  <si>
    <t>Kenneth</t>
  </si>
  <si>
    <t>CASTRO</t>
  </si>
  <si>
    <t>TANIA</t>
  </si>
  <si>
    <t>DYE</t>
  </si>
  <si>
    <t>HESS</t>
  </si>
  <si>
    <t>TAMERA</t>
  </si>
  <si>
    <t>WINTER</t>
  </si>
  <si>
    <t>VICKI</t>
  </si>
  <si>
    <t>CALSONCIN</t>
  </si>
  <si>
    <t>RUDY</t>
  </si>
  <si>
    <t>ROWLAND</t>
  </si>
  <si>
    <t>BRANDON</t>
  </si>
  <si>
    <t>DOEREN</t>
  </si>
  <si>
    <t>NATANIEL</t>
  </si>
  <si>
    <t>REGGI</t>
  </si>
  <si>
    <t>DESIREE</t>
  </si>
  <si>
    <t>Patrick</t>
  </si>
  <si>
    <t>GANNASCOLI</t>
  </si>
  <si>
    <t>Hess</t>
  </si>
  <si>
    <t>Jennifer</t>
  </si>
  <si>
    <t>Short Term Medical</t>
  </si>
  <si>
    <t>NHIC STM PPO All Other States</t>
  </si>
  <si>
    <t>National General STM CO-CT-IA-KS-MD-MO-ND-OR-SD</t>
  </si>
  <si>
    <t>A3</t>
  </si>
  <si>
    <t>Recuro CO-CT-IA-KS-MD-MO-ND-OR-SD</t>
  </si>
  <si>
    <t>HAUSS</t>
  </si>
  <si>
    <t>ESTHER</t>
  </si>
  <si>
    <t>Recuro PPO All Other States</t>
  </si>
  <si>
    <t>NHIC STM 2022 IN, UT Renewable</t>
  </si>
  <si>
    <t>BLAKE</t>
  </si>
  <si>
    <t>ESCALANTE</t>
  </si>
  <si>
    <t>HUNT</t>
  </si>
  <si>
    <t>KENNETH</t>
  </si>
  <si>
    <t>GUZMAN</t>
  </si>
  <si>
    <t>JOSE</t>
  </si>
  <si>
    <t>MOORE</t>
  </si>
  <si>
    <t>WAYNE</t>
  </si>
  <si>
    <t>HARRIS-HERNANDEZ</t>
  </si>
  <si>
    <t>MARY</t>
  </si>
  <si>
    <t>HERRICK</t>
  </si>
  <si>
    <t>JERRI</t>
  </si>
  <si>
    <t>BECERRA</t>
  </si>
  <si>
    <t>YVETTE</t>
  </si>
  <si>
    <t>RICE</t>
  </si>
  <si>
    <t>REBECCA</t>
  </si>
  <si>
    <t>HERRERA-LARSEN</t>
  </si>
  <si>
    <t>SCIUPIDER</t>
  </si>
  <si>
    <t>MAGDALENA</t>
  </si>
  <si>
    <t>KPOGO</t>
  </si>
  <si>
    <t>LOUISA</t>
  </si>
  <si>
    <t>SINKLIER</t>
  </si>
  <si>
    <t>HEIDI</t>
  </si>
  <si>
    <t>CRISSINGER</t>
  </si>
  <si>
    <t>RECTOR</t>
  </si>
  <si>
    <t>ANDREW</t>
  </si>
  <si>
    <t>DUNAVANT</t>
  </si>
  <si>
    <t>HEGARTY</t>
  </si>
  <si>
    <t>NGUYEN</t>
  </si>
  <si>
    <t>VAN</t>
  </si>
  <si>
    <t>CATHERINE</t>
  </si>
  <si>
    <t>VA</t>
  </si>
  <si>
    <t>AUSTIN</t>
  </si>
  <si>
    <t>ALDWIN</t>
  </si>
  <si>
    <t>GATZ</t>
  </si>
  <si>
    <t>FRANCHESCA</t>
  </si>
  <si>
    <t>WILLIS</t>
  </si>
  <si>
    <t>SC</t>
  </si>
  <si>
    <t>HUDZIK</t>
  </si>
  <si>
    <t>TIMOTHY</t>
  </si>
  <si>
    <t>CASTELAN</t>
  </si>
  <si>
    <t>ANTONIO</t>
  </si>
  <si>
    <t>LIVELY</t>
  </si>
  <si>
    <t>LANDON</t>
  </si>
  <si>
    <t>TAMEKA</t>
  </si>
  <si>
    <t>CARR</t>
  </si>
  <si>
    <t>MARIA</t>
  </si>
  <si>
    <t>Hunsberger</t>
  </si>
  <si>
    <t>Anthony</t>
  </si>
  <si>
    <t>KASDI</t>
  </si>
  <si>
    <t>MAHMOUD</t>
  </si>
  <si>
    <t>BOERSMA</t>
  </si>
  <si>
    <t>NICOLE</t>
  </si>
  <si>
    <t>BOWLES</t>
  </si>
  <si>
    <t>KOMEN</t>
  </si>
  <si>
    <t>DARCY</t>
  </si>
  <si>
    <t>Tigue</t>
  </si>
  <si>
    <t>Kirk</t>
  </si>
  <si>
    <t>BRECK</t>
  </si>
  <si>
    <t>ALEXIS</t>
  </si>
  <si>
    <t>MANSOUR</t>
  </si>
  <si>
    <t>RASMUSSEN</t>
  </si>
  <si>
    <t>AMBER</t>
  </si>
  <si>
    <t>KIRILOVA</t>
  </si>
  <si>
    <t>KALINA</t>
  </si>
  <si>
    <t>HAMILTON</t>
  </si>
  <si>
    <t>JUSTIN</t>
  </si>
  <si>
    <t>ESTES</t>
  </si>
  <si>
    <t>JEREMY</t>
  </si>
  <si>
    <t>VELMS</t>
  </si>
  <si>
    <t>COLEEN</t>
  </si>
  <si>
    <t>REYNA</t>
  </si>
  <si>
    <t>QUESINBERRY</t>
  </si>
  <si>
    <t>JENNIFER</t>
  </si>
  <si>
    <t>THOMPSON</t>
  </si>
  <si>
    <t>CLIFTON</t>
  </si>
  <si>
    <t>VINITSKI</t>
  </si>
  <si>
    <t>ABRAHAM</t>
  </si>
  <si>
    <t>MARTHA</t>
  </si>
  <si>
    <t>VANRIXEL</t>
  </si>
  <si>
    <t>NICKOLAS</t>
  </si>
  <si>
    <t>MORENO</t>
  </si>
  <si>
    <t>BRANSFORD</t>
  </si>
  <si>
    <t>DESARAE</t>
  </si>
  <si>
    <t>ROMYN</t>
  </si>
  <si>
    <t>UT</t>
  </si>
  <si>
    <t>JONAS</t>
  </si>
  <si>
    <t>SULLIVAN</t>
  </si>
  <si>
    <t>Lee</t>
  </si>
  <si>
    <t>Joel</t>
  </si>
  <si>
    <t>FLORDELIZA</t>
  </si>
  <si>
    <t>GARCIA</t>
  </si>
  <si>
    <t>DEBELLIS</t>
  </si>
  <si>
    <t>AMIT</t>
  </si>
  <si>
    <t>BELANI</t>
  </si>
  <si>
    <t>ZABRINA</t>
  </si>
  <si>
    <t>LINN</t>
  </si>
  <si>
    <t>SARA</t>
  </si>
  <si>
    <t>RIVERA</t>
  </si>
  <si>
    <t>JAYSON</t>
  </si>
  <si>
    <t>BEAKE</t>
  </si>
  <si>
    <t>ROSINE</t>
  </si>
  <si>
    <t>INGABIRE</t>
  </si>
  <si>
    <t>AGUGLIA</t>
  </si>
  <si>
    <t>SCOTT</t>
  </si>
  <si>
    <t>CHARLES</t>
  </si>
  <si>
    <t>VICKERS</t>
  </si>
  <si>
    <t>DE</t>
  </si>
  <si>
    <t>KAWAND</t>
  </si>
  <si>
    <t>BRANNAN</t>
  </si>
  <si>
    <t>SIDNEY</t>
  </si>
  <si>
    <t>LUNDY</t>
  </si>
  <si>
    <t>KRISTYN</t>
  </si>
  <si>
    <t>FARRIS</t>
  </si>
  <si>
    <t>BARTOLOME</t>
  </si>
  <si>
    <t>MIRTA</t>
  </si>
  <si>
    <t>BLACKWELL</t>
  </si>
  <si>
    <t>CORTNEY</t>
  </si>
  <si>
    <t>MIELKE</t>
  </si>
  <si>
    <t>ALYSSA</t>
  </si>
  <si>
    <t>WALLI</t>
  </si>
  <si>
    <t>ERO</t>
  </si>
  <si>
    <t>BURLEY</t>
  </si>
  <si>
    <t>BOYLE</t>
  </si>
  <si>
    <t>ANNE</t>
  </si>
  <si>
    <t>MATTHEW-GEORGE</t>
  </si>
  <si>
    <t>DORCAS</t>
  </si>
  <si>
    <t>HARPER</t>
  </si>
  <si>
    <t>Garnett</t>
  </si>
  <si>
    <t>Michael</t>
  </si>
  <si>
    <t>HACKLEMAN</t>
  </si>
  <si>
    <t>SUZANNE</t>
  </si>
  <si>
    <t>CARIOTI</t>
  </si>
  <si>
    <t>MULLOY</t>
  </si>
  <si>
    <t>BRATTON</t>
  </si>
  <si>
    <t>TONEY</t>
  </si>
  <si>
    <t>LEE</t>
  </si>
  <si>
    <t>PAUL</t>
  </si>
  <si>
    <t>BEEHLER</t>
  </si>
  <si>
    <t>HANNAH</t>
  </si>
  <si>
    <t>LEONHARDT</t>
  </si>
  <si>
    <t>KATHLEEN</t>
  </si>
  <si>
    <t>WY</t>
  </si>
  <si>
    <t>GALEAZ</t>
  </si>
  <si>
    <t>PATTI</t>
  </si>
  <si>
    <t>MOSHER</t>
  </si>
  <si>
    <t>BENJAMIN</t>
  </si>
  <si>
    <t>MININGER</t>
  </si>
  <si>
    <t>Solivan</t>
  </si>
  <si>
    <t>Erica</t>
  </si>
  <si>
    <t>RUSSOW</t>
  </si>
  <si>
    <t>THOMPKINS</t>
  </si>
  <si>
    <t>JOHNNA</t>
  </si>
  <si>
    <t>BLASSINGALE</t>
  </si>
  <si>
    <t>OGLETREE</t>
  </si>
  <si>
    <t>SHAUNDA</t>
  </si>
  <si>
    <t>SOLIVAN</t>
  </si>
  <si>
    <t>NANCY</t>
  </si>
  <si>
    <t>SHUMINSKY</t>
  </si>
  <si>
    <t>TERRI</t>
  </si>
  <si>
    <t>BROWN</t>
  </si>
  <si>
    <t>CARL</t>
  </si>
  <si>
    <t>RUBINFELD</t>
  </si>
  <si>
    <t>GARNETT</t>
  </si>
  <si>
    <t>KEEVA</t>
  </si>
  <si>
    <t>OLIVER</t>
  </si>
  <si>
    <t>ADAMS</t>
  </si>
  <si>
    <t>JOSEPHINE</t>
  </si>
  <si>
    <t>SHACKELFORD</t>
  </si>
  <si>
    <t>JACLYN</t>
  </si>
  <si>
    <t>MS</t>
  </si>
  <si>
    <t>WRIGHT</t>
  </si>
  <si>
    <t>BRIANA</t>
  </si>
  <si>
    <t>TRAVERSO-RODRIQUEZ</t>
  </si>
  <si>
    <t>JOAQUIN</t>
  </si>
  <si>
    <t>WILLIAMS</t>
  </si>
  <si>
    <t>EARNEST</t>
  </si>
  <si>
    <t>MULLER</t>
  </si>
  <si>
    <t>JESSICA</t>
  </si>
  <si>
    <t>CONSTANTINO</t>
  </si>
  <si>
    <t>ROSEANN</t>
  </si>
  <si>
    <t>PAMELA</t>
  </si>
  <si>
    <t>GIRGENTI</t>
  </si>
  <si>
    <t>ELLIS</t>
  </si>
  <si>
    <t>LINDA</t>
  </si>
  <si>
    <t>OTT</t>
  </si>
  <si>
    <t>LINDSAY</t>
  </si>
  <si>
    <t>GOLAY</t>
  </si>
  <si>
    <t>LAWVER</t>
  </si>
  <si>
    <t>SHAWN</t>
  </si>
  <si>
    <t>CHRIS</t>
  </si>
  <si>
    <t>PERSON</t>
  </si>
  <si>
    <t>JORDAN</t>
  </si>
  <si>
    <t>KING</t>
  </si>
  <si>
    <t>MAGGIE</t>
  </si>
  <si>
    <t>POWERS</t>
  </si>
  <si>
    <t>KELLE</t>
  </si>
  <si>
    <t>MURPHY</t>
  </si>
  <si>
    <t>LYNSEY</t>
  </si>
  <si>
    <t>DIECKMANN</t>
  </si>
  <si>
    <t>ANTHONY</t>
  </si>
  <si>
    <t>CAMPANELLA</t>
  </si>
  <si>
    <t>SHAMAR</t>
  </si>
  <si>
    <t>TAMMIE</t>
  </si>
  <si>
    <t>REINHART</t>
  </si>
  <si>
    <t>ERIN</t>
  </si>
  <si>
    <t>KINNEY</t>
  </si>
  <si>
    <t>LOYD</t>
  </si>
  <si>
    <t>YARMUTH</t>
  </si>
  <si>
    <t>BRETT</t>
  </si>
  <si>
    <t>STOREY</t>
  </si>
  <si>
    <t>DENIE</t>
  </si>
  <si>
    <t>RENAE</t>
  </si>
  <si>
    <t>ISAACSON</t>
  </si>
  <si>
    <t>GERMAIN</t>
  </si>
  <si>
    <t>PALUMBO</t>
  </si>
  <si>
    <t>JEROME</t>
  </si>
  <si>
    <t>PHOOSRISOM</t>
  </si>
  <si>
    <t>KHANTHONG</t>
  </si>
  <si>
    <t>Life</t>
  </si>
  <si>
    <t>NHIC Life 2023 Graded - 5028 Final Expense</t>
  </si>
  <si>
    <t>THANADABOUTH</t>
  </si>
  <si>
    <t>PATSAMON</t>
  </si>
  <si>
    <t>PATEL</t>
  </si>
  <si>
    <t>SUSHILABEN</t>
  </si>
  <si>
    <t>NHIC Life 2023 Level - 5029 Final Expense</t>
  </si>
  <si>
    <t>RONNA</t>
  </si>
  <si>
    <t>Med Supp GI USA</t>
  </si>
  <si>
    <t>CROWE</t>
  </si>
  <si>
    <t>CYNTHIA</t>
  </si>
  <si>
    <t>AMRAVANESWAREN</t>
  </si>
  <si>
    <t>R</t>
  </si>
  <si>
    <t>LISIVICK</t>
  </si>
  <si>
    <t>SPROAT</t>
  </si>
  <si>
    <t>POPE</t>
  </si>
  <si>
    <t>NHIC MedSupp 2022 Plan F, G U65</t>
  </si>
  <si>
    <t>MURRAY</t>
  </si>
  <si>
    <t>NHIC STM 2022 IN, UT Single Term</t>
  </si>
  <si>
    <t>Recuro 2022 IN Single Term</t>
  </si>
  <si>
    <t>Recuro PPO All Other States Renewable</t>
  </si>
  <si>
    <t>NHIC STM PPO All Other States Renewable</t>
  </si>
  <si>
    <t>JILL</t>
  </si>
  <si>
    <t>STEPHENSON</t>
  </si>
  <si>
    <t>BONNI</t>
  </si>
  <si>
    <t>TrioMED 30k 15307</t>
  </si>
  <si>
    <t>LANDER</t>
  </si>
  <si>
    <t>HUFF</t>
  </si>
  <si>
    <t>LIPPOLIS</t>
  </si>
  <si>
    <t>TrioMED 15k 15285</t>
  </si>
  <si>
    <t>POPA</t>
  </si>
  <si>
    <t>SCAVICCHIO</t>
  </si>
  <si>
    <t>STEWART</t>
  </si>
  <si>
    <t>JOANNE</t>
  </si>
  <si>
    <t>CHOI</t>
  </si>
  <si>
    <t>SYUNGYONG</t>
  </si>
  <si>
    <t>STROUPHAR</t>
  </si>
  <si>
    <t>GERALDINE</t>
  </si>
  <si>
    <t>BAKER</t>
  </si>
  <si>
    <t>ZAPP</t>
  </si>
  <si>
    <t>BERZONSKI</t>
  </si>
  <si>
    <t>MELINDA</t>
  </si>
  <si>
    <t>Cancer and Heart/Stroke 20231 CO-FL-MN-MI</t>
  </si>
  <si>
    <t>BROTTEN</t>
  </si>
  <si>
    <t>ND</t>
  </si>
  <si>
    <t>WHITTAKER</t>
  </si>
  <si>
    <t>MCNARY</t>
  </si>
  <si>
    <t>LINSLEY</t>
  </si>
  <si>
    <t>TANYA</t>
  </si>
  <si>
    <t>WICKS</t>
  </si>
  <si>
    <t>KYLE</t>
  </si>
  <si>
    <t>EARLY</t>
  </si>
  <si>
    <t>PATRICK</t>
  </si>
  <si>
    <t>PARMER</t>
  </si>
  <si>
    <t>DEVIN</t>
  </si>
  <si>
    <t>TREHERN</t>
  </si>
  <si>
    <t>BRYAN</t>
  </si>
  <si>
    <t>PENA</t>
  </si>
  <si>
    <t>LUCINDA</t>
  </si>
  <si>
    <t>JACKSON</t>
  </si>
  <si>
    <t>ANGELIA</t>
  </si>
  <si>
    <t>ROBERTSON</t>
  </si>
  <si>
    <t>BUNNY</t>
  </si>
  <si>
    <t>CAVE</t>
  </si>
  <si>
    <t>HILLMAN</t>
  </si>
  <si>
    <t>MORRISON</t>
  </si>
  <si>
    <t>CAFFEY</t>
  </si>
  <si>
    <t>BONNIE</t>
  </si>
  <si>
    <t>KINKAID</t>
  </si>
  <si>
    <t>ARP</t>
  </si>
  <si>
    <t>BRENT</t>
  </si>
  <si>
    <t>BLACKLEDGE</t>
  </si>
  <si>
    <t>NATHAN</t>
  </si>
  <si>
    <t>FOSTER</t>
  </si>
  <si>
    <t>TERI</t>
  </si>
  <si>
    <t>SCHILL</t>
  </si>
  <si>
    <t>DANIELLE</t>
  </si>
  <si>
    <t>YOUMBI</t>
  </si>
  <si>
    <t>MANUELA</t>
  </si>
  <si>
    <t>MOTYKA</t>
  </si>
  <si>
    <t>KIMBERLEIGH</t>
  </si>
  <si>
    <t>TOKAS</t>
  </si>
  <si>
    <t>DICKINSON</t>
  </si>
  <si>
    <t>KRISTIN</t>
  </si>
  <si>
    <t>KUHN</t>
  </si>
  <si>
    <t>JEFFRIES</t>
  </si>
  <si>
    <t>ZARIYAH</t>
  </si>
  <si>
    <t>LIGON</t>
  </si>
  <si>
    <t>LAROUX</t>
  </si>
  <si>
    <t>TAMMY</t>
  </si>
  <si>
    <t>REITER</t>
  </si>
  <si>
    <t>KONKOL</t>
  </si>
  <si>
    <t>SARAH</t>
  </si>
  <si>
    <t>WEST</t>
  </si>
  <si>
    <t>CARLEE</t>
  </si>
  <si>
    <t>BANKS</t>
  </si>
  <si>
    <t>JACKY</t>
  </si>
  <si>
    <t>SABOT</t>
  </si>
  <si>
    <t>GRIGSBY</t>
  </si>
  <si>
    <t>CREASBAUM</t>
  </si>
  <si>
    <t>FOWLER</t>
  </si>
  <si>
    <t>LEVY</t>
  </si>
  <si>
    <t>SPENCER</t>
  </si>
  <si>
    <t>RAMBOLDT</t>
  </si>
  <si>
    <t>WENDY</t>
  </si>
  <si>
    <t>FUHRHOP</t>
  </si>
  <si>
    <t>HEATHER</t>
  </si>
  <si>
    <t>HOCHERL</t>
  </si>
  <si>
    <t>BEILFUSS</t>
  </si>
  <si>
    <t>CLANCY</t>
  </si>
  <si>
    <t>STEPHANIE</t>
  </si>
  <si>
    <t>HENRY</t>
  </si>
  <si>
    <t>VIRGIL</t>
  </si>
  <si>
    <t>AR</t>
  </si>
  <si>
    <t>FREY</t>
  </si>
  <si>
    <t>SZAPIELAK</t>
  </si>
  <si>
    <t>MICHELE</t>
  </si>
  <si>
    <t>NILAY</t>
  </si>
  <si>
    <t>RUSS</t>
  </si>
  <si>
    <t>ANDRASEK</t>
  </si>
  <si>
    <t>LEWIS</t>
  </si>
  <si>
    <t>VAUGHN</t>
  </si>
  <si>
    <t>LARA</t>
  </si>
  <si>
    <t>VALENZUELA</t>
  </si>
  <si>
    <t>CARLOS</t>
  </si>
  <si>
    <t>MARIS</t>
  </si>
  <si>
    <t>MARKSBERRY</t>
  </si>
  <si>
    <t>ANGELA</t>
  </si>
  <si>
    <t>SCHAEFER</t>
  </si>
  <si>
    <t>JENKINS</t>
  </si>
  <si>
    <t>CHRISTOPHER</t>
  </si>
  <si>
    <t>SUSSMAN</t>
  </si>
  <si>
    <t>ANNA</t>
  </si>
  <si>
    <t>GOOD</t>
  </si>
  <si>
    <t>CUPPLES</t>
  </si>
  <si>
    <t>TROY</t>
  </si>
  <si>
    <t>OWEN</t>
  </si>
  <si>
    <t>TYSON</t>
  </si>
  <si>
    <t>BENSON</t>
  </si>
  <si>
    <t>NARRELL</t>
  </si>
  <si>
    <t>ESCHEVERRIA</t>
  </si>
  <si>
    <t>HANSSI</t>
  </si>
  <si>
    <t>BARTRAM</t>
  </si>
  <si>
    <t>BRIDGER</t>
  </si>
  <si>
    <t>OBERG</t>
  </si>
  <si>
    <t>BLAIR</t>
  </si>
  <si>
    <t>CORY</t>
  </si>
  <si>
    <t>SUDTELGTE</t>
  </si>
  <si>
    <t>JUNGE</t>
  </si>
  <si>
    <t>PIAZZA</t>
  </si>
  <si>
    <t>COVERDELL</t>
  </si>
  <si>
    <t>CARNAHAN</t>
  </si>
  <si>
    <t>CASIE</t>
  </si>
  <si>
    <t>LATONYA</t>
  </si>
  <si>
    <t>SINATRA</t>
  </si>
  <si>
    <t>THIGPEN</t>
  </si>
  <si>
    <t>RAGEN</t>
  </si>
  <si>
    <t>SOLOMON</t>
  </si>
  <si>
    <t>ALLISON</t>
  </si>
  <si>
    <t>BLIZZARD</t>
  </si>
  <si>
    <t>MCPHEETERS</t>
  </si>
  <si>
    <t>CISSIE</t>
  </si>
  <si>
    <t>SCHUTJER</t>
  </si>
  <si>
    <t>SHAHIN</t>
  </si>
  <si>
    <t>URIAS</t>
  </si>
  <si>
    <t>WEBER</t>
  </si>
  <si>
    <t>ESTER</t>
  </si>
  <si>
    <t>PELEGCOHEN</t>
  </si>
  <si>
    <t>SHAW</t>
  </si>
  <si>
    <t>HATELY</t>
  </si>
  <si>
    <t>RACHEL</t>
  </si>
  <si>
    <t>BYRD</t>
  </si>
  <si>
    <t>SHIPLEY</t>
  </si>
  <si>
    <t>BECKY</t>
  </si>
  <si>
    <t>FLEMING-SIEBENALER</t>
  </si>
  <si>
    <t>SANDRA</t>
  </si>
  <si>
    <t>NAMIO</t>
  </si>
  <si>
    <t>DOWDLE</t>
  </si>
  <si>
    <t>HEDGESPETH</t>
  </si>
  <si>
    <t>SLOSS</t>
  </si>
  <si>
    <t>DOMAROTSKY</t>
  </si>
  <si>
    <t>DIXON</t>
  </si>
  <si>
    <t>LOVETT</t>
  </si>
  <si>
    <t>ANDRE</t>
  </si>
  <si>
    <t>BATTS</t>
  </si>
  <si>
    <t>HEINTZ</t>
  </si>
  <si>
    <t>DAKOTA</t>
  </si>
  <si>
    <t>JIMENEZ</t>
  </si>
  <si>
    <t>MUKHIN</t>
  </si>
  <si>
    <t>TATYANA</t>
  </si>
  <si>
    <t>RICHARDS</t>
  </si>
  <si>
    <t>JASMINE</t>
  </si>
  <si>
    <t>PERRY</t>
  </si>
  <si>
    <t>NOVAKOVSKA</t>
  </si>
  <si>
    <t>OLHA</t>
  </si>
  <si>
    <t>SPICER</t>
  </si>
  <si>
    <t>SHELLEY</t>
  </si>
  <si>
    <t>BEATRIX</t>
  </si>
  <si>
    <t>EDELENBOS</t>
  </si>
  <si>
    <t>NISWANGER</t>
  </si>
  <si>
    <t>GRACE</t>
  </si>
  <si>
    <t>GABBARD</t>
  </si>
  <si>
    <t>KYLER</t>
  </si>
  <si>
    <t>MATUSIAK</t>
  </si>
  <si>
    <t>ALICJA</t>
  </si>
  <si>
    <t>Halsaver</t>
  </si>
  <si>
    <t>GORSKI</t>
  </si>
  <si>
    <t>NATALIA</t>
  </si>
  <si>
    <t>BURKS</t>
  </si>
  <si>
    <t>TINA</t>
  </si>
  <si>
    <t>FULLERTON</t>
  </si>
  <si>
    <t>ALBERT</t>
  </si>
  <si>
    <t>WOODFIN</t>
  </si>
  <si>
    <t>DEVORE</t>
  </si>
  <si>
    <t>TRAVUS</t>
  </si>
  <si>
    <t>REUTER</t>
  </si>
  <si>
    <t>SHEILA</t>
  </si>
  <si>
    <t>RODGER</t>
  </si>
  <si>
    <t>SONTERRE</t>
  </si>
  <si>
    <t>HOTT</t>
  </si>
  <si>
    <t>ARPS</t>
  </si>
  <si>
    <t>SAVANNAH</t>
  </si>
  <si>
    <t>COWAN</t>
  </si>
  <si>
    <t>CHAD</t>
  </si>
  <si>
    <t>SANTILLAN</t>
  </si>
  <si>
    <t>DESTANIE</t>
  </si>
  <si>
    <t>PICKENS</t>
  </si>
  <si>
    <t>NIKO</t>
  </si>
  <si>
    <t>RANDALL</t>
  </si>
  <si>
    <t>JA'NET</t>
  </si>
  <si>
    <t>KUTZLER</t>
  </si>
  <si>
    <t>MARGARET</t>
  </si>
  <si>
    <t>HARRIS</t>
  </si>
  <si>
    <t>RILEY</t>
  </si>
  <si>
    <t>MILLER</t>
  </si>
  <si>
    <t>SETH</t>
  </si>
  <si>
    <t>OLSZEWSKI</t>
  </si>
  <si>
    <t>BARTLETT</t>
  </si>
  <si>
    <t>KATHERINE</t>
  </si>
  <si>
    <t>MOBLEY</t>
  </si>
  <si>
    <t>DERON</t>
  </si>
  <si>
    <t>LAFROMBOIS</t>
  </si>
  <si>
    <t>WA</t>
  </si>
  <si>
    <t>SCALES</t>
  </si>
  <si>
    <t>MAURICE</t>
  </si>
  <si>
    <t>STEVANUS</t>
  </si>
  <si>
    <t>Life Association C OH</t>
  </si>
  <si>
    <t>COOK</t>
  </si>
  <si>
    <t>KISIN</t>
  </si>
  <si>
    <t>LORA</t>
  </si>
  <si>
    <t>Life Association Access (GI)</t>
  </si>
  <si>
    <t>LAURA</t>
  </si>
  <si>
    <t>HANSON</t>
  </si>
  <si>
    <t>MOENKHAUS</t>
  </si>
  <si>
    <t>JASO</t>
  </si>
  <si>
    <t>BARRETT</t>
  </si>
  <si>
    <t>My LIFE Wellness 21038</t>
  </si>
  <si>
    <t>NHIC Specified Care Association</t>
  </si>
  <si>
    <t>PAGET</t>
  </si>
  <si>
    <t>Allan</t>
  </si>
  <si>
    <t>H</t>
  </si>
  <si>
    <t>LEMMON</t>
  </si>
  <si>
    <t>ROGALSKY</t>
  </si>
  <si>
    <t>KOHLER</t>
  </si>
  <si>
    <t>PHILLIPS</t>
  </si>
  <si>
    <t>MARK</t>
  </si>
  <si>
    <t>SPALARIS</t>
  </si>
  <si>
    <t>NIKKI</t>
  </si>
  <si>
    <t>SOMOGIE</t>
  </si>
  <si>
    <t>SHILOH</t>
  </si>
  <si>
    <t>D'ORSANEO</t>
  </si>
  <si>
    <t>MASSIMINO</t>
  </si>
  <si>
    <t>DIDONATO</t>
  </si>
  <si>
    <t>JR</t>
  </si>
  <si>
    <t>WOLDEN</t>
  </si>
  <si>
    <t>SAMANTHA</t>
  </si>
  <si>
    <t>ABBOTT</t>
  </si>
  <si>
    <t>BREE</t>
  </si>
  <si>
    <t>BOEYEN</t>
  </si>
  <si>
    <t>KOURTNEY</t>
  </si>
  <si>
    <t>SHEN</t>
  </si>
  <si>
    <t>LUCY</t>
  </si>
  <si>
    <t>DOBLE</t>
  </si>
  <si>
    <t>MARIANO</t>
  </si>
  <si>
    <t>COPPLE</t>
  </si>
  <si>
    <t>KATHRYN</t>
  </si>
  <si>
    <t>KHOLODOVICH</t>
  </si>
  <si>
    <t>ANDRII</t>
  </si>
  <si>
    <t>HUGHES</t>
  </si>
  <si>
    <t>RHONDA</t>
  </si>
  <si>
    <t>RUSH</t>
  </si>
  <si>
    <t>ROE</t>
  </si>
  <si>
    <t>MARTA</t>
  </si>
  <si>
    <t>BRANDI</t>
  </si>
  <si>
    <t>JAN</t>
  </si>
  <si>
    <t>REILLY</t>
  </si>
  <si>
    <t>ANGEL</t>
  </si>
  <si>
    <t>HURSEY</t>
  </si>
  <si>
    <t>PAULA</t>
  </si>
  <si>
    <t>KENNEDY</t>
  </si>
  <si>
    <t>TREADWELL</t>
  </si>
  <si>
    <t>BRABEC</t>
  </si>
  <si>
    <t>BARBARA</t>
  </si>
  <si>
    <t>NHIC MedSupp 2022 IL Plan F, G 81+</t>
  </si>
  <si>
    <t>LU</t>
  </si>
  <si>
    <t>NHIC MedSupp 2022 IL Plan F, G Age 65-80</t>
  </si>
  <si>
    <t>KAMINSKI</t>
  </si>
  <si>
    <t>AMY</t>
  </si>
  <si>
    <t>REEDER</t>
  </si>
  <si>
    <t>NHIC MedSupp 2022 Plan N Age 65-80</t>
  </si>
  <si>
    <t>OBRIEN</t>
  </si>
  <si>
    <t>MARINA</t>
  </si>
  <si>
    <t>RONNIE</t>
  </si>
  <si>
    <t>NHIC MedSupp 2022 Plan F, G 81+</t>
  </si>
  <si>
    <t>ALI</t>
  </si>
  <si>
    <t>YOUSRI</t>
  </si>
  <si>
    <t>KAHLER</t>
  </si>
  <si>
    <t>NHIC MedSupp 2022 IN Plan F, G, N Age 65-80</t>
  </si>
  <si>
    <t>BIEBER</t>
  </si>
  <si>
    <t>NEAL</t>
  </si>
  <si>
    <t>NHIC MedSupp 2022 FL Plan F, G Age 65-80</t>
  </si>
  <si>
    <t>SWANSON</t>
  </si>
  <si>
    <t>JOHNSTON</t>
  </si>
  <si>
    <t>MCCORKLE</t>
  </si>
  <si>
    <t>COMBS</t>
  </si>
  <si>
    <t>NHIC MedSupp 2022 CO Plan F, G, N Age 65-80</t>
  </si>
  <si>
    <t>LANZIDELLE</t>
  </si>
  <si>
    <t>BOVA</t>
  </si>
  <si>
    <t>JUDITH</t>
  </si>
  <si>
    <t>HANSFORD</t>
  </si>
  <si>
    <t>DIVITO</t>
  </si>
  <si>
    <t>ALEX</t>
  </si>
  <si>
    <t>MICHELSEN</t>
  </si>
  <si>
    <t>SUSAN</t>
  </si>
  <si>
    <t>ACKLEY</t>
  </si>
  <si>
    <t>SUZIE</t>
  </si>
  <si>
    <t>HUEPPCHEN</t>
  </si>
  <si>
    <t>BULK</t>
  </si>
  <si>
    <t>MARIE</t>
  </si>
  <si>
    <t>GLOVER</t>
  </si>
  <si>
    <t>JACKIE</t>
  </si>
  <si>
    <t>RICHARDSON</t>
  </si>
  <si>
    <t>BRENDA</t>
  </si>
  <si>
    <t>LYNDA</t>
  </si>
  <si>
    <t>NEMETHY</t>
  </si>
  <si>
    <t>POWELL</t>
  </si>
  <si>
    <t>NAKKIARA</t>
  </si>
  <si>
    <t>HAZEN</t>
  </si>
  <si>
    <t>CONNIE</t>
  </si>
  <si>
    <t>VULJANIC</t>
  </si>
  <si>
    <t>PALMER</t>
  </si>
  <si>
    <t>AUDINO</t>
  </si>
  <si>
    <t>OLSON</t>
  </si>
  <si>
    <t>ZURAITIS</t>
  </si>
  <si>
    <t>BAXTER</t>
  </si>
  <si>
    <t>CABAN</t>
  </si>
  <si>
    <t>RITA</t>
  </si>
  <si>
    <t>PARROTT</t>
  </si>
  <si>
    <t>BILLIE</t>
  </si>
  <si>
    <t>SCHUMANN</t>
  </si>
  <si>
    <t>MAK</t>
  </si>
  <si>
    <t>WILSON</t>
  </si>
  <si>
    <t>HAMM</t>
  </si>
  <si>
    <t>WOOD</t>
  </si>
  <si>
    <t>DEREK</t>
  </si>
  <si>
    <t>BADRAA</t>
  </si>
  <si>
    <t>BURMAN</t>
  </si>
  <si>
    <t>SPIEKER</t>
  </si>
  <si>
    <t>LANCE</t>
  </si>
  <si>
    <t>HANASH</t>
  </si>
  <si>
    <t>DAWOOD</t>
  </si>
  <si>
    <t>LYNNA</t>
  </si>
  <si>
    <t>VOLBRECHT</t>
  </si>
  <si>
    <t>PECK</t>
  </si>
  <si>
    <t>MARCO</t>
  </si>
  <si>
    <t>BLUHM</t>
  </si>
  <si>
    <t>JEFFREY</t>
  </si>
  <si>
    <t>PYLE</t>
  </si>
  <si>
    <t>DARREN</t>
  </si>
  <si>
    <t>MOSS</t>
  </si>
  <si>
    <t>LUGO</t>
  </si>
  <si>
    <t>JAVIER</t>
  </si>
  <si>
    <t>EAVES</t>
  </si>
  <si>
    <t>JIMMY</t>
  </si>
  <si>
    <t>LEAH</t>
  </si>
  <si>
    <t>DYLAN</t>
  </si>
  <si>
    <t>BOYD</t>
  </si>
  <si>
    <t>SKIBINSKI</t>
  </si>
  <si>
    <t>DIANA</t>
  </si>
  <si>
    <t>SWAIN</t>
  </si>
  <si>
    <t>CHAMAIPORN</t>
  </si>
  <si>
    <t>HOWELL</t>
  </si>
  <si>
    <t>MANES</t>
  </si>
  <si>
    <t>SYLENA</t>
  </si>
  <si>
    <t>ESPINOZA</t>
  </si>
  <si>
    <t>JAZZMINE</t>
  </si>
  <si>
    <t>PANNA</t>
  </si>
  <si>
    <t>III</t>
  </si>
  <si>
    <t>RUBEN</t>
  </si>
  <si>
    <t>LONNA</t>
  </si>
  <si>
    <t>NOBILE</t>
  </si>
  <si>
    <t>GABRIELLA</t>
  </si>
  <si>
    <t>WERNER</t>
  </si>
  <si>
    <t>DILLON</t>
  </si>
  <si>
    <t>EZNACK</t>
  </si>
  <si>
    <t>CHASE</t>
  </si>
  <si>
    <t>DOMINIQUE</t>
  </si>
  <si>
    <t>ABNEY</t>
  </si>
  <si>
    <t>MATT</t>
  </si>
  <si>
    <t>ELLIOTT</t>
  </si>
  <si>
    <t>PURCELL</t>
  </si>
  <si>
    <t>TIJERINA</t>
  </si>
  <si>
    <t>GARRETSON</t>
  </si>
  <si>
    <t>DEATON</t>
  </si>
  <si>
    <t>AYUSH</t>
  </si>
  <si>
    <t>TUNGALAG</t>
  </si>
  <si>
    <t>ENKHTUR</t>
  </si>
  <si>
    <t>ODMAA</t>
  </si>
  <si>
    <t>KAUR</t>
  </si>
  <si>
    <t>MANJIT</t>
  </si>
  <si>
    <t>MARRUFO</t>
  </si>
  <si>
    <t>FERNANDO</t>
  </si>
  <si>
    <t>CASILHAS</t>
  </si>
  <si>
    <t>METUIWE</t>
  </si>
  <si>
    <t>IFEANYICHUKWU</t>
  </si>
  <si>
    <t>SECHSER</t>
  </si>
  <si>
    <t>BUYANTOGTOKH</t>
  </si>
  <si>
    <t>NARANZUL</t>
  </si>
  <si>
    <t>REGAN</t>
  </si>
  <si>
    <t>CASEY</t>
  </si>
  <si>
    <t>BRITT</t>
  </si>
  <si>
    <t>BATDELGER</t>
  </si>
  <si>
    <t>TSERENBAT</t>
  </si>
  <si>
    <t>HODGSON</t>
  </si>
  <si>
    <t>BURGENER</t>
  </si>
  <si>
    <t>MOONEY</t>
  </si>
  <si>
    <t>MOSINSKI</t>
  </si>
  <si>
    <t>BALDAN</t>
  </si>
  <si>
    <t>OYUNCHIMEG</t>
  </si>
  <si>
    <t>PITTS</t>
  </si>
  <si>
    <t>LENA</t>
  </si>
  <si>
    <t>BOWSER</t>
  </si>
  <si>
    <t>FUSILERO</t>
  </si>
  <si>
    <t>SANTIAGO</t>
  </si>
  <si>
    <t>JENSEN</t>
  </si>
  <si>
    <t>GUILLERMINA</t>
  </si>
  <si>
    <t>PEREZ</t>
  </si>
  <si>
    <t>GHESSICA</t>
  </si>
  <si>
    <t>SCHAENZER</t>
  </si>
  <si>
    <t>ALTANSOR</t>
  </si>
  <si>
    <t>NYAMBAATAR</t>
  </si>
  <si>
    <t>LUJUANA</t>
  </si>
  <si>
    <t>PLAINFEATHER</t>
  </si>
  <si>
    <t>CHOINDONJAMTS</t>
  </si>
  <si>
    <t>GERELTOGTOKH</t>
  </si>
  <si>
    <t>DONOVAN</t>
  </si>
  <si>
    <t>SKIPWORTH</t>
  </si>
  <si>
    <t>CURTIS</t>
  </si>
  <si>
    <t>ANNON</t>
  </si>
  <si>
    <t>WYNNE</t>
  </si>
  <si>
    <t>CONLIN</t>
  </si>
  <si>
    <t>Berg</t>
  </si>
  <si>
    <t>Ines</t>
  </si>
  <si>
    <t>KEMPKER</t>
  </si>
  <si>
    <t>BEKEMEYER</t>
  </si>
  <si>
    <t>CORPORON</t>
  </si>
  <si>
    <t>SHERRI</t>
  </si>
  <si>
    <t>HENDRIX</t>
  </si>
  <si>
    <t>TERRICA</t>
  </si>
  <si>
    <t>ORTIZ</t>
  </si>
  <si>
    <t>VILHAUER</t>
  </si>
  <si>
    <t>TONY</t>
  </si>
  <si>
    <t>BRUNNER</t>
  </si>
  <si>
    <t>NELSON</t>
  </si>
  <si>
    <t>SHIRLEY</t>
  </si>
  <si>
    <t>Ferguson</t>
  </si>
  <si>
    <t>Taliah</t>
  </si>
  <si>
    <t>SANCHEZ</t>
  </si>
  <si>
    <t>GUADALUPE</t>
  </si>
  <si>
    <t>DENOFRIO</t>
  </si>
  <si>
    <t>DOSSETT</t>
  </si>
  <si>
    <t>OTGON</t>
  </si>
  <si>
    <t>KHATANBAATAR</t>
  </si>
  <si>
    <t>LOIGEROT</t>
  </si>
  <si>
    <t>ETHAN</t>
  </si>
  <si>
    <t>BATTULGA</t>
  </si>
  <si>
    <t>NARMANDAKH</t>
  </si>
  <si>
    <t>CHRIST</t>
  </si>
  <si>
    <t>ROBIN</t>
  </si>
  <si>
    <t>NAVA</t>
  </si>
  <si>
    <t>LOPEZ</t>
  </si>
  <si>
    <t>EDWARD</t>
  </si>
  <si>
    <t>WILLAMS</t>
  </si>
  <si>
    <t>DWAYNE</t>
  </si>
  <si>
    <t>MCFARLAND</t>
  </si>
  <si>
    <t>RITCHEY</t>
  </si>
  <si>
    <t>RENEE</t>
  </si>
  <si>
    <t>SODNOMPIL</t>
  </si>
  <si>
    <t>ALTANTUYA</t>
  </si>
  <si>
    <t>PADILLA</t>
  </si>
  <si>
    <t>DESEREE</t>
  </si>
  <si>
    <t>GARZA</t>
  </si>
  <si>
    <t>CLUCAS</t>
  </si>
  <si>
    <t>THERESE</t>
  </si>
  <si>
    <t>GATES</t>
  </si>
  <si>
    <t>Serio</t>
  </si>
  <si>
    <t>Tom</t>
  </si>
  <si>
    <t>BOMMELMAN</t>
  </si>
  <si>
    <t>MARIANNE</t>
  </si>
  <si>
    <t>FINLAY</t>
  </si>
  <si>
    <t>NINA</t>
  </si>
  <si>
    <t>ERDENE</t>
  </si>
  <si>
    <t>LIGHTFOOT</t>
  </si>
  <si>
    <t>JONATHAN</t>
  </si>
  <si>
    <t>LUBSANOV</t>
  </si>
  <si>
    <t>VALERII</t>
  </si>
  <si>
    <t>SEDBAZAR</t>
  </si>
  <si>
    <t>ENKHBOLORMAA</t>
  </si>
  <si>
    <t>DALY</t>
  </si>
  <si>
    <t>CHRISTY</t>
  </si>
  <si>
    <t>NURZED</t>
  </si>
  <si>
    <t>TSOGZOLMAA</t>
  </si>
  <si>
    <t>YADAMSUREN</t>
  </si>
  <si>
    <t>GANSUKH</t>
  </si>
  <si>
    <t>PITZAFERRO</t>
  </si>
  <si>
    <t>WILLSTEAD</t>
  </si>
  <si>
    <t>KRISTY</t>
  </si>
  <si>
    <t>JUNETTA</t>
  </si>
  <si>
    <t>POOLE</t>
  </si>
  <si>
    <t>COLLETTE</t>
  </si>
  <si>
    <t>CONCHO</t>
  </si>
  <si>
    <t>NM</t>
  </si>
  <si>
    <t>NHIC STM 2022 OH Single Term</t>
  </si>
  <si>
    <t>BELGER</t>
  </si>
  <si>
    <t>BERNICE</t>
  </si>
  <si>
    <t>LIEB</t>
  </si>
  <si>
    <t>MARCUS</t>
  </si>
  <si>
    <t>JANET</t>
  </si>
  <si>
    <t>PARK</t>
  </si>
  <si>
    <t>LINUS</t>
  </si>
  <si>
    <t>MOSAKOSKI</t>
  </si>
  <si>
    <t>LAWRENCE</t>
  </si>
  <si>
    <t>GEHRON</t>
  </si>
  <si>
    <t>RUEFENACHT</t>
  </si>
  <si>
    <t>LAICHALK</t>
  </si>
  <si>
    <t>BOTTOMS</t>
  </si>
  <si>
    <t>FONDA</t>
  </si>
  <si>
    <t>TURNER</t>
  </si>
  <si>
    <t>LORRIE</t>
  </si>
  <si>
    <t>HOFFMAN</t>
  </si>
  <si>
    <t>KLINE</t>
  </si>
  <si>
    <t>GREENHOW</t>
  </si>
  <si>
    <t>RAUBAUGH</t>
  </si>
  <si>
    <t>JANINE</t>
  </si>
  <si>
    <t>WOLF</t>
  </si>
  <si>
    <t>ROKES</t>
  </si>
  <si>
    <t>BATTAGLIA</t>
  </si>
  <si>
    <t>MENTEL</t>
  </si>
  <si>
    <t>AVITAL</t>
  </si>
  <si>
    <t>HADDAD</t>
  </si>
  <si>
    <t>SNYDER</t>
  </si>
  <si>
    <t>EVONNE</t>
  </si>
  <si>
    <t>TRAINOR</t>
  </si>
  <si>
    <t>JACQUELINE</t>
  </si>
  <si>
    <t>WHIGHAM</t>
  </si>
  <si>
    <t>SUMMERS</t>
  </si>
  <si>
    <t>KAUPINIS</t>
  </si>
  <si>
    <t>JOAN</t>
  </si>
  <si>
    <t>TAGUE</t>
  </si>
  <si>
    <t>KENST</t>
  </si>
  <si>
    <t>CHERYL</t>
  </si>
  <si>
    <t>BETINOL</t>
  </si>
  <si>
    <t>TRINIDAD</t>
  </si>
  <si>
    <t>CHISMAR</t>
  </si>
  <si>
    <t>BELLAIRE</t>
  </si>
  <si>
    <t>BRYANT</t>
  </si>
  <si>
    <t>ANA</t>
  </si>
  <si>
    <t>NHIC LM 2021 SENIOR INDEMNITY 65+</t>
  </si>
  <si>
    <t>Life Association Standalone Bundled wLM</t>
  </si>
  <si>
    <t>KOHNE</t>
  </si>
  <si>
    <t>MAUREEN</t>
  </si>
  <si>
    <t>AWAN</t>
  </si>
  <si>
    <t>RASHID</t>
  </si>
  <si>
    <t>RICCIARDI</t>
  </si>
  <si>
    <t>HOLETS</t>
  </si>
  <si>
    <t>DAVIS</t>
  </si>
  <si>
    <t>MCKEE</t>
  </si>
  <si>
    <t>SCHATZ</t>
  </si>
  <si>
    <t>RUDOLPH</t>
  </si>
  <si>
    <t>MEROW</t>
  </si>
  <si>
    <t>JODIE</t>
  </si>
  <si>
    <t>DUBACH</t>
  </si>
  <si>
    <t>HELAINE</t>
  </si>
  <si>
    <t>FORBES-SNIVELY</t>
  </si>
  <si>
    <t>JEANNE</t>
  </si>
  <si>
    <t>MASSUCCI</t>
  </si>
  <si>
    <t>JANEY</t>
  </si>
  <si>
    <t>O'NEILL</t>
  </si>
  <si>
    <t>GERALD</t>
  </si>
  <si>
    <t>LOOMIS</t>
  </si>
  <si>
    <t>LUCIANA</t>
  </si>
  <si>
    <t>FINKE</t>
  </si>
  <si>
    <t>HAYES</t>
  </si>
  <si>
    <t>JAQUEZ</t>
  </si>
  <si>
    <t>PEDRO</t>
  </si>
  <si>
    <t>ZIMMERMAN</t>
  </si>
  <si>
    <t>BECK</t>
  </si>
  <si>
    <t>TAWNI</t>
  </si>
  <si>
    <t>BAGGIANI</t>
  </si>
  <si>
    <t>BRUCE</t>
  </si>
  <si>
    <t>ENDRES</t>
  </si>
  <si>
    <t>GAYLE</t>
  </si>
  <si>
    <t>SKIDMORE</t>
  </si>
  <si>
    <t>BONITA</t>
  </si>
  <si>
    <t>HRONOPOULOS</t>
  </si>
  <si>
    <t>REESE</t>
  </si>
  <si>
    <t>WELLS</t>
  </si>
  <si>
    <t>WILLIE</t>
  </si>
  <si>
    <t>BENDER</t>
  </si>
  <si>
    <t>EVELYN</t>
  </si>
  <si>
    <t>VALE</t>
  </si>
  <si>
    <t>EMMA</t>
  </si>
  <si>
    <t>SNIVELY</t>
  </si>
  <si>
    <t>LISBERG</t>
  </si>
  <si>
    <t>CIPA</t>
  </si>
  <si>
    <t>GOTTUNG</t>
  </si>
  <si>
    <t>LYNNE</t>
  </si>
  <si>
    <t>WALLS</t>
  </si>
  <si>
    <t>FURRY</t>
  </si>
  <si>
    <t>Stocker</t>
  </si>
  <si>
    <t>Ryan</t>
  </si>
  <si>
    <t>LOWELL</t>
  </si>
  <si>
    <t>CALDERON</t>
  </si>
  <si>
    <t>FRANCISCO</t>
  </si>
  <si>
    <t>MAINIT</t>
  </si>
  <si>
    <t>MINDA</t>
  </si>
  <si>
    <t>MCADOO</t>
  </si>
  <si>
    <t>GOOTEE</t>
  </si>
  <si>
    <t>CHARRLIN</t>
  </si>
  <si>
    <t>CBK</t>
  </si>
  <si>
    <t>WACKENTHALER</t>
  </si>
  <si>
    <t>APRIL</t>
  </si>
  <si>
    <t>LAVY</t>
  </si>
  <si>
    <t>HALFACRE</t>
  </si>
  <si>
    <t>FERNANDEZ</t>
  </si>
  <si>
    <t>AMOATENG</t>
  </si>
  <si>
    <t>ABIGAIL</t>
  </si>
  <si>
    <t>DONA</t>
  </si>
  <si>
    <t>CARTER</t>
  </si>
  <si>
    <t>TOWANNA</t>
  </si>
  <si>
    <t>ROBINSON</t>
  </si>
  <si>
    <t>KLIS</t>
  </si>
  <si>
    <t>OSCAR</t>
  </si>
  <si>
    <t>MARQUITA</t>
  </si>
  <si>
    <t>INMAN</t>
  </si>
  <si>
    <t>NHIC STM 2022 IN Single Term</t>
  </si>
  <si>
    <t>MURPHREE</t>
  </si>
  <si>
    <t>KELBY</t>
  </si>
  <si>
    <t>GOKAN</t>
  </si>
  <si>
    <t>CODY</t>
  </si>
  <si>
    <t>RATTS</t>
  </si>
  <si>
    <t>LOGAN</t>
  </si>
  <si>
    <t>MACKINNON</t>
  </si>
  <si>
    <t>EWAN</t>
  </si>
  <si>
    <t>FANTAYIJA</t>
  </si>
  <si>
    <t>FINNIGAN</t>
  </si>
  <si>
    <t>MADRIGAL</t>
  </si>
  <si>
    <t>DIAZ</t>
  </si>
  <si>
    <t>ROSENDO</t>
  </si>
  <si>
    <t>19279958old</t>
  </si>
  <si>
    <t>21283956old</t>
  </si>
  <si>
    <t>AV1</t>
  </si>
  <si>
    <t>AV6</t>
  </si>
  <si>
    <t>AE</t>
  </si>
  <si>
    <t>Cancer and Heart-Stroke 20231</t>
  </si>
  <si>
    <t>Critical Illness with Term Life 21677</t>
  </si>
  <si>
    <t>Life Association C</t>
  </si>
  <si>
    <t>National General GI Access Plan-All States</t>
  </si>
  <si>
    <t>NHIC STM PPO IA</t>
  </si>
  <si>
    <t>Allstate OVR</t>
  </si>
  <si>
    <t>Main Line Benefits</t>
  </si>
  <si>
    <t>NB</t>
  </si>
  <si>
    <t>AV</t>
  </si>
  <si>
    <t>Cancer and Heart-Stroke 20231 CO-FL-MN-MI</t>
  </si>
  <si>
    <t>My Life Wellness 21038</t>
  </si>
  <si>
    <t>Final Expense Life Insurance (Graded)</t>
  </si>
  <si>
    <t>Final Expense Life Insurance (Level)</t>
  </si>
  <si>
    <t>NHIC MedSupp 2022 Plan F G Age 65-80</t>
  </si>
  <si>
    <t>NHIC MedSupp 2022 IL Plan F G 81+</t>
  </si>
  <si>
    <t>NHIC MedSupp 2022 IN Plan F G N Age 65-80</t>
  </si>
  <si>
    <t>NHIC MedSupp 2022 Plan F G U65</t>
  </si>
  <si>
    <t>17425766old</t>
  </si>
  <si>
    <t>20003537old</t>
  </si>
  <si>
    <t>17528908N</t>
  </si>
  <si>
    <t>18201929old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</si>
</sst>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212529"/>
      <name val="Ebrima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164" fontId="0" fillId="35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19" fillId="0" borderId="0" xfId="0" applyFont="1"/>
    <xf numFmtId="0" fontId="18" fillId="33" borderId="0" xfId="0" applyFont="1" applyFill="1"/>
    <xf numFmtId="0" fontId="14" fillId="33" borderId="0" xfId="0" applyFont="1" applyFill="1"/>
    <xf numFmtId="14" fontId="14" fillId="33" borderId="0" xfId="0" applyNumberFormat="1" applyFont="1" applyFill="1"/>
    <xf numFmtId="164" fontId="14" fillId="33" borderId="0" xfId="0" applyNumberFormat="1" applyFont="1" applyFill="1"/>
    <xf numFmtId="9" fontId="14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4AD4-C639-4A48-ACD3-5C57D8380C3E}">
  <dimension ref="A1:AV1321"/>
  <sheetViews>
    <sheetView topLeftCell="W372" workbookViewId="0">
      <selection activeCell="A392" sqref="A392:XFD392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36.5703125" bestFit="1" customWidth="1"/>
    <col min="11" max="11" width="15.7109375" bestFit="1" customWidth="1"/>
    <col min="12" max="12" width="13.5703125" bestFit="1" customWidth="1"/>
    <col min="13" max="13" width="12.28515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45999</v>
      </c>
      <c r="B2" t="s">
        <v>48</v>
      </c>
      <c r="C2">
        <v>649163</v>
      </c>
      <c r="D2">
        <v>2018439352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678320</v>
      </c>
      <c r="L2" t="s">
        <v>55</v>
      </c>
      <c r="M2" t="s">
        <v>56</v>
      </c>
      <c r="N2" t="s">
        <v>57</v>
      </c>
      <c r="O2" s="1">
        <v>45047</v>
      </c>
      <c r="Q2" s="1">
        <v>46023</v>
      </c>
      <c r="R2" s="2">
        <v>75.75</v>
      </c>
      <c r="S2">
        <v>1</v>
      </c>
      <c r="T2" t="s">
        <v>58</v>
      </c>
      <c r="U2" t="s">
        <v>59</v>
      </c>
      <c r="V2" s="3">
        <v>6.5000000000000002E-2</v>
      </c>
      <c r="W2" s="2">
        <v>0</v>
      </c>
      <c r="X2">
        <v>0</v>
      </c>
      <c r="Y2" t="s">
        <v>60</v>
      </c>
      <c r="Z2" t="s">
        <v>61</v>
      </c>
      <c r="AA2">
        <v>0</v>
      </c>
      <c r="AB2" s="2">
        <v>0</v>
      </c>
      <c r="AC2" s="2">
        <v>0</v>
      </c>
      <c r="AD2" s="4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4.92</v>
      </c>
      <c r="AN2" s="2">
        <v>4.92</v>
      </c>
      <c r="AO2" s="2">
        <v>0</v>
      </c>
      <c r="AP2" s="2">
        <v>0</v>
      </c>
      <c r="AQ2" s="2">
        <v>0</v>
      </c>
    </row>
    <row r="3" spans="1:48" x14ac:dyDescent="0.25">
      <c r="A3" s="1">
        <v>45999</v>
      </c>
      <c r="B3" t="s">
        <v>48</v>
      </c>
      <c r="C3">
        <v>649163</v>
      </c>
      <c r="D3">
        <v>2020488529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649164</v>
      </c>
      <c r="L3" t="s">
        <v>64</v>
      </c>
      <c r="M3" t="s">
        <v>65</v>
      </c>
      <c r="N3" t="s">
        <v>57</v>
      </c>
      <c r="O3" s="1">
        <v>45231</v>
      </c>
      <c r="Q3" s="1">
        <v>46023</v>
      </c>
      <c r="R3" s="2">
        <v>75.75</v>
      </c>
      <c r="S3">
        <v>1</v>
      </c>
      <c r="T3" t="s">
        <v>58</v>
      </c>
      <c r="U3" t="s">
        <v>59</v>
      </c>
      <c r="V3" s="3">
        <v>6.5000000000000002E-2</v>
      </c>
      <c r="W3" s="2">
        <v>0</v>
      </c>
      <c r="X3">
        <v>0</v>
      </c>
      <c r="Y3" t="s">
        <v>60</v>
      </c>
      <c r="Z3" t="s">
        <v>61</v>
      </c>
      <c r="AA3">
        <v>0</v>
      </c>
      <c r="AB3" s="2">
        <v>0</v>
      </c>
      <c r="AC3" s="2">
        <v>0</v>
      </c>
      <c r="AD3" s="4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4.92</v>
      </c>
      <c r="AN3" s="2">
        <v>4.92</v>
      </c>
      <c r="AO3" s="2">
        <v>0</v>
      </c>
      <c r="AP3" s="2">
        <v>0</v>
      </c>
      <c r="AQ3" s="2">
        <v>0</v>
      </c>
    </row>
    <row r="4" spans="1:48" x14ac:dyDescent="0.25">
      <c r="A4" s="1">
        <v>45999</v>
      </c>
      <c r="B4" t="s">
        <v>48</v>
      </c>
      <c r="C4">
        <v>649163</v>
      </c>
      <c r="D4">
        <v>2020974702</v>
      </c>
      <c r="E4" t="s">
        <v>66</v>
      </c>
      <c r="F4" t="s">
        <v>67</v>
      </c>
      <c r="G4" t="s">
        <v>51</v>
      </c>
      <c r="H4" t="s">
        <v>52</v>
      </c>
      <c r="I4" t="s">
        <v>53</v>
      </c>
      <c r="J4" t="s">
        <v>54</v>
      </c>
      <c r="K4">
        <v>649164</v>
      </c>
      <c r="L4" t="s">
        <v>64</v>
      </c>
      <c r="M4" t="s">
        <v>65</v>
      </c>
      <c r="N4" t="s">
        <v>57</v>
      </c>
      <c r="O4" s="1">
        <v>45292</v>
      </c>
      <c r="Q4" s="1">
        <v>46023</v>
      </c>
      <c r="R4" s="2">
        <v>52.69</v>
      </c>
      <c r="S4">
        <v>1</v>
      </c>
      <c r="T4" t="s">
        <v>58</v>
      </c>
      <c r="U4" t="s">
        <v>59</v>
      </c>
      <c r="V4" s="3">
        <v>6.5000000000000002E-2</v>
      </c>
      <c r="W4" s="2">
        <v>0</v>
      </c>
      <c r="X4">
        <v>0</v>
      </c>
      <c r="Y4" t="s">
        <v>60</v>
      </c>
      <c r="Z4" t="s">
        <v>61</v>
      </c>
      <c r="AA4">
        <v>0</v>
      </c>
      <c r="AB4" s="2">
        <v>0</v>
      </c>
      <c r="AC4" s="2">
        <v>0</v>
      </c>
      <c r="AD4" s="4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3.42</v>
      </c>
      <c r="AN4" s="2">
        <v>3.42</v>
      </c>
      <c r="AO4" s="2">
        <v>0</v>
      </c>
      <c r="AP4" s="2">
        <v>0</v>
      </c>
      <c r="AQ4" s="2">
        <v>0</v>
      </c>
    </row>
    <row r="5" spans="1:48" x14ac:dyDescent="0.25">
      <c r="A5" s="1">
        <v>45999</v>
      </c>
      <c r="B5" t="s">
        <v>48</v>
      </c>
      <c r="C5">
        <v>649163</v>
      </c>
      <c r="D5">
        <v>2022853293</v>
      </c>
      <c r="E5" t="s">
        <v>68</v>
      </c>
      <c r="F5" t="s">
        <v>69</v>
      </c>
      <c r="G5" t="s">
        <v>51</v>
      </c>
      <c r="H5" t="s">
        <v>52</v>
      </c>
      <c r="I5" t="s">
        <v>53</v>
      </c>
      <c r="J5" t="s">
        <v>54</v>
      </c>
      <c r="K5">
        <v>751867</v>
      </c>
      <c r="L5" t="s">
        <v>70</v>
      </c>
      <c r="M5" t="s">
        <v>71</v>
      </c>
      <c r="N5" t="s">
        <v>57</v>
      </c>
      <c r="O5" s="1">
        <v>45413</v>
      </c>
      <c r="Q5" s="1">
        <v>46023</v>
      </c>
      <c r="R5" s="2">
        <v>79.75</v>
      </c>
      <c r="S5">
        <v>1</v>
      </c>
      <c r="T5" t="s">
        <v>58</v>
      </c>
      <c r="U5" t="s">
        <v>59</v>
      </c>
      <c r="V5" s="3">
        <v>6.5000000000000002E-2</v>
      </c>
      <c r="W5" s="2">
        <v>0</v>
      </c>
      <c r="X5">
        <v>0</v>
      </c>
      <c r="Y5" t="s">
        <v>60</v>
      </c>
      <c r="Z5" t="s">
        <v>61</v>
      </c>
      <c r="AA5">
        <v>0</v>
      </c>
      <c r="AB5" s="2">
        <v>0</v>
      </c>
      <c r="AC5" s="2">
        <v>0</v>
      </c>
      <c r="AD5" s="4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5.18</v>
      </c>
      <c r="AN5" s="2">
        <v>5.18</v>
      </c>
      <c r="AO5" s="2">
        <v>0</v>
      </c>
      <c r="AP5" s="2">
        <v>0</v>
      </c>
      <c r="AQ5" s="2">
        <v>0</v>
      </c>
    </row>
    <row r="6" spans="1:48" x14ac:dyDescent="0.25">
      <c r="A6" s="1">
        <v>45999</v>
      </c>
      <c r="B6" t="s">
        <v>48</v>
      </c>
      <c r="C6">
        <v>649163</v>
      </c>
      <c r="D6">
        <v>2023530973</v>
      </c>
      <c r="E6" t="s">
        <v>72</v>
      </c>
      <c r="F6" t="s">
        <v>73</v>
      </c>
      <c r="G6" t="s">
        <v>51</v>
      </c>
      <c r="H6" t="s">
        <v>74</v>
      </c>
      <c r="I6" t="s">
        <v>75</v>
      </c>
      <c r="J6" t="s">
        <v>76</v>
      </c>
      <c r="K6">
        <v>751867</v>
      </c>
      <c r="L6" t="s">
        <v>70</v>
      </c>
      <c r="M6" t="s">
        <v>71</v>
      </c>
      <c r="N6" t="s">
        <v>57</v>
      </c>
      <c r="O6" s="1">
        <v>45474</v>
      </c>
      <c r="Q6" s="1">
        <v>46023</v>
      </c>
      <c r="R6" s="2">
        <v>27.73</v>
      </c>
      <c r="S6">
        <v>1</v>
      </c>
      <c r="T6" t="s">
        <v>58</v>
      </c>
      <c r="U6" t="s">
        <v>59</v>
      </c>
      <c r="V6" s="4">
        <v>0.1</v>
      </c>
      <c r="W6" s="2">
        <v>0</v>
      </c>
      <c r="X6">
        <v>0</v>
      </c>
      <c r="Y6" t="s">
        <v>60</v>
      </c>
      <c r="Z6" t="s">
        <v>61</v>
      </c>
      <c r="AA6">
        <v>0</v>
      </c>
      <c r="AB6" s="2">
        <v>0</v>
      </c>
      <c r="AC6" s="2">
        <v>0</v>
      </c>
      <c r="AD6" s="4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2.77</v>
      </c>
      <c r="AN6" s="2">
        <v>2.77</v>
      </c>
      <c r="AO6" s="2">
        <v>0</v>
      </c>
      <c r="AP6" s="2">
        <v>0</v>
      </c>
      <c r="AQ6" s="2">
        <v>0</v>
      </c>
    </row>
    <row r="7" spans="1:48" x14ac:dyDescent="0.25">
      <c r="A7" s="1">
        <v>45999</v>
      </c>
      <c r="B7" t="s">
        <v>48</v>
      </c>
      <c r="C7">
        <v>649163</v>
      </c>
      <c r="D7">
        <v>2028349433</v>
      </c>
      <c r="E7" t="s">
        <v>77</v>
      </c>
      <c r="F7" t="s">
        <v>78</v>
      </c>
      <c r="G7" t="s">
        <v>51</v>
      </c>
      <c r="H7" t="s">
        <v>79</v>
      </c>
      <c r="I7" t="s">
        <v>75</v>
      </c>
      <c r="J7" t="s">
        <v>80</v>
      </c>
      <c r="K7">
        <v>673059</v>
      </c>
      <c r="L7" t="s">
        <v>81</v>
      </c>
      <c r="M7" t="s">
        <v>82</v>
      </c>
      <c r="N7" t="s">
        <v>57</v>
      </c>
      <c r="O7" s="1">
        <v>45778</v>
      </c>
      <c r="Q7" s="1">
        <v>46023</v>
      </c>
      <c r="R7" s="2">
        <v>-54.63</v>
      </c>
      <c r="S7">
        <v>1</v>
      </c>
      <c r="T7" t="s">
        <v>58</v>
      </c>
      <c r="U7" t="s">
        <v>59</v>
      </c>
      <c r="V7" s="4">
        <v>0.9</v>
      </c>
      <c r="W7" s="2">
        <v>0</v>
      </c>
      <c r="X7">
        <v>-1</v>
      </c>
      <c r="Y7" t="s">
        <v>83</v>
      </c>
      <c r="Z7" t="s">
        <v>61</v>
      </c>
      <c r="AA7">
        <v>0</v>
      </c>
      <c r="AB7" s="2">
        <v>0</v>
      </c>
      <c r="AC7" s="2">
        <v>0</v>
      </c>
      <c r="AD7" s="4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-49.17</v>
      </c>
      <c r="AN7" s="2">
        <v>-49.17</v>
      </c>
      <c r="AO7" s="2">
        <v>0</v>
      </c>
      <c r="AP7" s="2">
        <v>0</v>
      </c>
      <c r="AQ7" s="2">
        <v>0</v>
      </c>
    </row>
    <row r="8" spans="1:48" x14ac:dyDescent="0.25">
      <c r="A8" s="1">
        <v>45999</v>
      </c>
      <c r="B8" t="s">
        <v>48</v>
      </c>
      <c r="C8">
        <v>649163</v>
      </c>
      <c r="D8">
        <v>2026604984</v>
      </c>
      <c r="E8" t="s">
        <v>84</v>
      </c>
      <c r="F8" t="s">
        <v>85</v>
      </c>
      <c r="G8" t="s">
        <v>51</v>
      </c>
      <c r="H8" t="s">
        <v>52</v>
      </c>
      <c r="I8" t="s">
        <v>86</v>
      </c>
      <c r="J8" t="s">
        <v>87</v>
      </c>
      <c r="K8">
        <v>650218</v>
      </c>
      <c r="L8" t="s">
        <v>88</v>
      </c>
      <c r="M8" t="s">
        <v>89</v>
      </c>
      <c r="N8" t="s">
        <v>57</v>
      </c>
      <c r="O8" s="1">
        <v>45689</v>
      </c>
      <c r="Q8" s="1">
        <v>46023</v>
      </c>
      <c r="R8" s="2">
        <v>44.21</v>
      </c>
      <c r="S8">
        <v>1</v>
      </c>
      <c r="T8" t="s">
        <v>58</v>
      </c>
      <c r="U8" t="s">
        <v>59</v>
      </c>
      <c r="V8" s="3">
        <v>0.375</v>
      </c>
      <c r="W8" s="2">
        <v>0</v>
      </c>
      <c r="X8">
        <v>0</v>
      </c>
      <c r="Y8" t="s">
        <v>83</v>
      </c>
      <c r="Z8" t="s">
        <v>61</v>
      </c>
      <c r="AA8">
        <v>0</v>
      </c>
      <c r="AB8" s="2">
        <v>0</v>
      </c>
      <c r="AC8" s="2">
        <v>0</v>
      </c>
      <c r="AD8" s="4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16.579999999999998</v>
      </c>
      <c r="AN8" s="2">
        <v>16.579999999999998</v>
      </c>
      <c r="AO8" s="2">
        <v>0</v>
      </c>
      <c r="AP8" s="2">
        <v>0</v>
      </c>
      <c r="AQ8" s="2">
        <v>0</v>
      </c>
    </row>
    <row r="9" spans="1:48" x14ac:dyDescent="0.25">
      <c r="A9" s="1">
        <v>45999</v>
      </c>
      <c r="B9" t="s">
        <v>48</v>
      </c>
      <c r="C9">
        <v>649163</v>
      </c>
      <c r="D9">
        <v>2028076165</v>
      </c>
      <c r="E9" t="s">
        <v>90</v>
      </c>
      <c r="F9" t="s">
        <v>91</v>
      </c>
      <c r="G9" t="s">
        <v>51</v>
      </c>
      <c r="H9" t="s">
        <v>79</v>
      </c>
      <c r="I9" t="s">
        <v>86</v>
      </c>
      <c r="J9" t="s">
        <v>87</v>
      </c>
      <c r="K9">
        <v>821015</v>
      </c>
      <c r="L9" t="s">
        <v>92</v>
      </c>
      <c r="M9" t="s">
        <v>93</v>
      </c>
      <c r="N9" t="s">
        <v>94</v>
      </c>
      <c r="O9" s="1">
        <v>45748</v>
      </c>
      <c r="P9" s="1">
        <v>45992</v>
      </c>
      <c r="Q9" s="1">
        <v>46023</v>
      </c>
      <c r="R9" s="2">
        <v>-55.04</v>
      </c>
      <c r="S9">
        <v>1</v>
      </c>
      <c r="T9" t="s">
        <v>58</v>
      </c>
      <c r="U9" t="s">
        <v>59</v>
      </c>
      <c r="V9" s="3">
        <v>0.375</v>
      </c>
      <c r="W9" s="2">
        <v>0</v>
      </c>
      <c r="X9">
        <v>-1</v>
      </c>
      <c r="Y9" t="s">
        <v>83</v>
      </c>
      <c r="Z9" t="s">
        <v>61</v>
      </c>
      <c r="AA9">
        <v>0</v>
      </c>
      <c r="AB9" s="2">
        <v>0</v>
      </c>
      <c r="AC9" s="2">
        <v>0</v>
      </c>
      <c r="AD9" s="4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-20.64</v>
      </c>
      <c r="AN9" s="2">
        <v>-20.64</v>
      </c>
      <c r="AO9" s="2">
        <v>0</v>
      </c>
      <c r="AP9" s="2">
        <v>0</v>
      </c>
      <c r="AQ9" s="2">
        <v>0</v>
      </c>
    </row>
    <row r="10" spans="1:48" x14ac:dyDescent="0.25">
      <c r="A10" s="1">
        <v>45999</v>
      </c>
      <c r="B10" t="s">
        <v>48</v>
      </c>
      <c r="C10">
        <v>649163</v>
      </c>
      <c r="D10">
        <v>2029168909</v>
      </c>
      <c r="E10" t="s">
        <v>95</v>
      </c>
      <c r="F10" t="s">
        <v>96</v>
      </c>
      <c r="G10" t="s">
        <v>51</v>
      </c>
      <c r="H10" t="s">
        <v>97</v>
      </c>
      <c r="I10" t="s">
        <v>86</v>
      </c>
      <c r="J10" t="s">
        <v>87</v>
      </c>
      <c r="K10">
        <v>806645</v>
      </c>
      <c r="L10" t="s">
        <v>98</v>
      </c>
      <c r="M10" t="s">
        <v>99</v>
      </c>
      <c r="N10" t="s">
        <v>94</v>
      </c>
      <c r="O10" s="1">
        <v>45809</v>
      </c>
      <c r="P10" s="1">
        <v>45992</v>
      </c>
      <c r="Q10" s="1">
        <v>46023</v>
      </c>
      <c r="R10" s="2">
        <v>-55.75</v>
      </c>
      <c r="S10">
        <v>1</v>
      </c>
      <c r="T10" t="s">
        <v>58</v>
      </c>
      <c r="U10" t="s">
        <v>59</v>
      </c>
      <c r="V10" s="3">
        <v>0.375</v>
      </c>
      <c r="W10" s="2">
        <v>0</v>
      </c>
      <c r="X10">
        <v>-1</v>
      </c>
      <c r="Y10" t="s">
        <v>83</v>
      </c>
      <c r="Z10" t="s">
        <v>61</v>
      </c>
      <c r="AA10">
        <v>0</v>
      </c>
      <c r="AB10" s="2">
        <v>0</v>
      </c>
      <c r="AC10" s="2">
        <v>0</v>
      </c>
      <c r="AD10" s="4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-20.91</v>
      </c>
      <c r="AN10" s="2">
        <v>-20.91</v>
      </c>
      <c r="AO10" s="2">
        <v>0</v>
      </c>
      <c r="AP10" s="2">
        <v>0</v>
      </c>
      <c r="AQ10" s="2">
        <v>0</v>
      </c>
    </row>
    <row r="11" spans="1:48" x14ac:dyDescent="0.25">
      <c r="A11" s="1">
        <v>45999</v>
      </c>
      <c r="B11" t="s">
        <v>48</v>
      </c>
      <c r="C11">
        <v>649163</v>
      </c>
      <c r="D11">
        <v>2031361276</v>
      </c>
      <c r="E11" t="s">
        <v>100</v>
      </c>
      <c r="F11" t="s">
        <v>101</v>
      </c>
      <c r="G11" t="s">
        <v>51</v>
      </c>
      <c r="H11" t="s">
        <v>102</v>
      </c>
      <c r="I11" t="s">
        <v>86</v>
      </c>
      <c r="J11" t="s">
        <v>87</v>
      </c>
      <c r="K11">
        <v>824081</v>
      </c>
      <c r="L11" t="s">
        <v>103</v>
      </c>
      <c r="M11" t="s">
        <v>104</v>
      </c>
      <c r="N11" t="s">
        <v>57</v>
      </c>
      <c r="O11" s="1">
        <v>45931</v>
      </c>
      <c r="Q11" s="1">
        <v>46023</v>
      </c>
      <c r="R11" s="2">
        <v>-53.87</v>
      </c>
      <c r="S11">
        <v>1</v>
      </c>
      <c r="T11" t="s">
        <v>58</v>
      </c>
      <c r="U11" t="s">
        <v>105</v>
      </c>
      <c r="V11" s="3">
        <v>0.375</v>
      </c>
      <c r="W11" s="2">
        <v>0</v>
      </c>
      <c r="X11">
        <v>-1</v>
      </c>
      <c r="Y11" t="s">
        <v>83</v>
      </c>
      <c r="Z11" t="s">
        <v>61</v>
      </c>
      <c r="AA11">
        <v>0</v>
      </c>
      <c r="AB11" s="2">
        <v>0</v>
      </c>
      <c r="AC11" s="2">
        <v>0</v>
      </c>
      <c r="AD11" s="4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-20.2</v>
      </c>
      <c r="AN11" s="2">
        <v>-20.2</v>
      </c>
      <c r="AO11" s="2">
        <v>0</v>
      </c>
      <c r="AP11" s="2">
        <v>0</v>
      </c>
      <c r="AQ11" s="2">
        <v>0</v>
      </c>
    </row>
    <row r="12" spans="1:48" x14ac:dyDescent="0.25">
      <c r="A12" s="1">
        <v>45999</v>
      </c>
      <c r="B12" t="s">
        <v>48</v>
      </c>
      <c r="C12">
        <v>649163</v>
      </c>
      <c r="D12">
        <v>2022892790</v>
      </c>
      <c r="E12" t="s">
        <v>106</v>
      </c>
      <c r="F12" t="s">
        <v>107</v>
      </c>
      <c r="G12" t="s">
        <v>51</v>
      </c>
      <c r="H12" t="s">
        <v>52</v>
      </c>
      <c r="I12" t="s">
        <v>108</v>
      </c>
      <c r="J12" t="s">
        <v>109</v>
      </c>
      <c r="K12">
        <v>649285</v>
      </c>
      <c r="L12" t="s">
        <v>110</v>
      </c>
      <c r="M12" t="s">
        <v>111</v>
      </c>
      <c r="N12" t="s">
        <v>57</v>
      </c>
      <c r="O12" s="1">
        <v>45413</v>
      </c>
      <c r="Q12" s="1">
        <v>46023</v>
      </c>
      <c r="R12" s="2">
        <v>127.68</v>
      </c>
      <c r="S12">
        <v>1</v>
      </c>
      <c r="T12" t="s">
        <v>58</v>
      </c>
      <c r="U12" t="s">
        <v>59</v>
      </c>
      <c r="V12" s="4">
        <v>0.04</v>
      </c>
      <c r="W12" s="2">
        <v>0</v>
      </c>
      <c r="X12">
        <v>0</v>
      </c>
      <c r="Y12" t="s">
        <v>60</v>
      </c>
      <c r="Z12" t="s">
        <v>61</v>
      </c>
      <c r="AA12">
        <v>0</v>
      </c>
      <c r="AB12" s="2">
        <v>0</v>
      </c>
      <c r="AC12" s="2">
        <v>0</v>
      </c>
      <c r="AD12" s="4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5.1100000000000003</v>
      </c>
      <c r="AN12" s="2">
        <v>5.1100000000000003</v>
      </c>
      <c r="AO12" s="2">
        <v>0</v>
      </c>
      <c r="AP12" s="2">
        <v>0</v>
      </c>
      <c r="AQ12" s="2">
        <v>0</v>
      </c>
    </row>
    <row r="13" spans="1:48" x14ac:dyDescent="0.25">
      <c r="A13" s="1">
        <v>45999</v>
      </c>
      <c r="B13" t="s">
        <v>48</v>
      </c>
      <c r="C13">
        <v>649163</v>
      </c>
      <c r="D13">
        <v>2026055881</v>
      </c>
      <c r="E13" t="s">
        <v>112</v>
      </c>
      <c r="F13" t="s">
        <v>113</v>
      </c>
      <c r="G13" t="s">
        <v>51</v>
      </c>
      <c r="H13" t="s">
        <v>52</v>
      </c>
      <c r="I13" t="s">
        <v>108</v>
      </c>
      <c r="J13" t="s">
        <v>109</v>
      </c>
      <c r="K13">
        <v>650218</v>
      </c>
      <c r="L13" t="s">
        <v>88</v>
      </c>
      <c r="M13" t="s">
        <v>89</v>
      </c>
      <c r="N13" t="s">
        <v>57</v>
      </c>
      <c r="O13" s="1">
        <v>45658</v>
      </c>
      <c r="Q13" s="1">
        <v>46023</v>
      </c>
      <c r="R13" s="2">
        <v>126.58</v>
      </c>
      <c r="S13">
        <v>1</v>
      </c>
      <c r="T13" t="s">
        <v>58</v>
      </c>
      <c r="U13" t="s">
        <v>59</v>
      </c>
      <c r="V13" s="4">
        <v>0.26</v>
      </c>
      <c r="W13" s="2">
        <v>0</v>
      </c>
      <c r="X13">
        <v>0</v>
      </c>
      <c r="Y13" t="s">
        <v>83</v>
      </c>
      <c r="Z13" t="s">
        <v>61</v>
      </c>
      <c r="AA13">
        <v>0</v>
      </c>
      <c r="AB13" s="2">
        <v>0</v>
      </c>
      <c r="AC13" s="2">
        <v>0</v>
      </c>
      <c r="AD13" s="4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32.909999999999997</v>
      </c>
      <c r="AN13" s="2">
        <v>32.909999999999997</v>
      </c>
      <c r="AO13" s="2">
        <v>0</v>
      </c>
      <c r="AP13" s="2">
        <v>0</v>
      </c>
      <c r="AQ13" s="2">
        <v>0</v>
      </c>
    </row>
    <row r="14" spans="1:48" x14ac:dyDescent="0.25">
      <c r="A14" s="1">
        <v>45999</v>
      </c>
      <c r="B14" t="s">
        <v>48</v>
      </c>
      <c r="D14">
        <v>2028000460</v>
      </c>
      <c r="E14" t="s">
        <v>114</v>
      </c>
      <c r="F14" t="s">
        <v>115</v>
      </c>
      <c r="G14" t="s">
        <v>51</v>
      </c>
      <c r="H14" t="s">
        <v>102</v>
      </c>
      <c r="I14" t="s">
        <v>108</v>
      </c>
      <c r="J14" t="s">
        <v>116</v>
      </c>
      <c r="L14" t="s">
        <v>117</v>
      </c>
      <c r="M14" t="s">
        <v>118</v>
      </c>
      <c r="N14" t="s">
        <v>57</v>
      </c>
      <c r="O14" s="1">
        <v>45748</v>
      </c>
      <c r="Q14" s="1">
        <v>46023</v>
      </c>
      <c r="R14" s="2">
        <v>114.69</v>
      </c>
      <c r="S14">
        <v>1</v>
      </c>
      <c r="T14" t="s">
        <v>58</v>
      </c>
      <c r="U14" t="s">
        <v>59</v>
      </c>
      <c r="V14" s="4">
        <v>0.28000000000000003</v>
      </c>
      <c r="W14" s="2">
        <v>0</v>
      </c>
      <c r="X14">
        <v>0</v>
      </c>
      <c r="Y14" t="s">
        <v>83</v>
      </c>
      <c r="Z14" t="s">
        <v>61</v>
      </c>
      <c r="AA14">
        <v>0</v>
      </c>
      <c r="AB14" s="2">
        <v>0</v>
      </c>
      <c r="AC14" s="2">
        <v>0</v>
      </c>
      <c r="AD14" s="4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32.11</v>
      </c>
      <c r="AN14" s="2">
        <v>32.11</v>
      </c>
      <c r="AO14" s="2">
        <v>0</v>
      </c>
      <c r="AP14" s="2">
        <v>0</v>
      </c>
      <c r="AQ14" s="2">
        <v>0</v>
      </c>
    </row>
    <row r="15" spans="1:48" x14ac:dyDescent="0.25">
      <c r="A15" s="1">
        <v>45999</v>
      </c>
      <c r="B15" t="s">
        <v>48</v>
      </c>
      <c r="C15">
        <v>649163</v>
      </c>
      <c r="D15">
        <v>2028166815</v>
      </c>
      <c r="E15" t="s">
        <v>119</v>
      </c>
      <c r="F15" t="s">
        <v>120</v>
      </c>
      <c r="G15" t="s">
        <v>51</v>
      </c>
      <c r="H15" t="s">
        <v>102</v>
      </c>
      <c r="I15" t="s">
        <v>108</v>
      </c>
      <c r="J15" t="s">
        <v>116</v>
      </c>
      <c r="K15">
        <v>820873</v>
      </c>
      <c r="L15" t="s">
        <v>117</v>
      </c>
      <c r="M15" t="s">
        <v>118</v>
      </c>
      <c r="N15" t="s">
        <v>57</v>
      </c>
      <c r="O15" s="1">
        <v>45778</v>
      </c>
      <c r="Q15" s="1">
        <v>46023</v>
      </c>
      <c r="R15" s="2">
        <v>106.67</v>
      </c>
      <c r="S15">
        <v>1</v>
      </c>
      <c r="T15" t="s">
        <v>58</v>
      </c>
      <c r="U15" t="s">
        <v>59</v>
      </c>
      <c r="V15" s="4">
        <v>0.28000000000000003</v>
      </c>
      <c r="W15" s="2">
        <v>0</v>
      </c>
      <c r="X15">
        <v>0</v>
      </c>
      <c r="Y15" t="s">
        <v>83</v>
      </c>
      <c r="Z15" t="s">
        <v>61</v>
      </c>
      <c r="AA15">
        <v>0</v>
      </c>
      <c r="AB15" s="2">
        <v>0</v>
      </c>
      <c r="AC15" s="2">
        <v>0</v>
      </c>
      <c r="AD15" s="4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29.87</v>
      </c>
      <c r="AN15" s="2">
        <v>29.87</v>
      </c>
      <c r="AO15" s="2">
        <v>0</v>
      </c>
      <c r="AP15" s="2">
        <v>0</v>
      </c>
      <c r="AQ15" s="2">
        <v>0</v>
      </c>
    </row>
    <row r="16" spans="1:48" x14ac:dyDescent="0.25">
      <c r="A16" s="1">
        <v>45999</v>
      </c>
      <c r="B16" t="s">
        <v>48</v>
      </c>
      <c r="C16">
        <v>649163</v>
      </c>
      <c r="D16">
        <v>2028643639</v>
      </c>
      <c r="E16" t="s">
        <v>121</v>
      </c>
      <c r="F16" t="s">
        <v>122</v>
      </c>
      <c r="G16" t="s">
        <v>51</v>
      </c>
      <c r="H16" t="s">
        <v>52</v>
      </c>
      <c r="I16" t="s">
        <v>108</v>
      </c>
      <c r="J16" t="s">
        <v>109</v>
      </c>
      <c r="K16">
        <v>649285</v>
      </c>
      <c r="L16" t="s">
        <v>110</v>
      </c>
      <c r="M16" t="s">
        <v>111</v>
      </c>
      <c r="N16" t="s">
        <v>57</v>
      </c>
      <c r="O16" s="1">
        <v>45809</v>
      </c>
      <c r="Q16" s="1">
        <v>46023</v>
      </c>
      <c r="R16" s="2">
        <v>108.21</v>
      </c>
      <c r="S16">
        <v>1</v>
      </c>
      <c r="T16" t="s">
        <v>58</v>
      </c>
      <c r="U16" t="s">
        <v>59</v>
      </c>
      <c r="V16" s="4">
        <v>0.04</v>
      </c>
      <c r="W16" s="2">
        <v>0</v>
      </c>
      <c r="X16">
        <v>0</v>
      </c>
      <c r="Y16" t="s">
        <v>83</v>
      </c>
      <c r="Z16" t="s">
        <v>61</v>
      </c>
      <c r="AA16">
        <v>0</v>
      </c>
      <c r="AB16" s="2">
        <v>0</v>
      </c>
      <c r="AC16" s="2">
        <v>0</v>
      </c>
      <c r="AD16" s="4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4.33</v>
      </c>
      <c r="AN16" s="2">
        <v>4.33</v>
      </c>
      <c r="AO16" s="2">
        <v>0</v>
      </c>
      <c r="AP16" s="2">
        <v>0</v>
      </c>
      <c r="AQ16" s="2">
        <v>0</v>
      </c>
    </row>
    <row r="17" spans="1:43" x14ac:dyDescent="0.25">
      <c r="A17" s="1">
        <v>45999</v>
      </c>
      <c r="B17" t="s">
        <v>48</v>
      </c>
      <c r="C17">
        <v>649163</v>
      </c>
      <c r="D17">
        <v>2016705959</v>
      </c>
      <c r="E17" t="s">
        <v>123</v>
      </c>
      <c r="F17" t="s">
        <v>124</v>
      </c>
      <c r="G17" t="s">
        <v>51</v>
      </c>
      <c r="H17" t="s">
        <v>125</v>
      </c>
      <c r="I17" t="s">
        <v>126</v>
      </c>
      <c r="J17" t="s">
        <v>127</v>
      </c>
      <c r="K17">
        <v>649793</v>
      </c>
      <c r="L17" t="s">
        <v>81</v>
      </c>
      <c r="M17" t="s">
        <v>128</v>
      </c>
      <c r="N17" t="s">
        <v>57</v>
      </c>
      <c r="O17" s="1">
        <v>44927</v>
      </c>
      <c r="Q17" s="1">
        <v>46023</v>
      </c>
      <c r="R17" s="2">
        <v>25.73</v>
      </c>
      <c r="S17">
        <v>1</v>
      </c>
      <c r="T17" t="s">
        <v>58</v>
      </c>
      <c r="U17" t="s">
        <v>59</v>
      </c>
      <c r="V17" s="4">
        <v>0.15</v>
      </c>
      <c r="W17" s="2">
        <v>0</v>
      </c>
      <c r="X17">
        <v>0</v>
      </c>
      <c r="Y17" t="s">
        <v>60</v>
      </c>
      <c r="Z17" t="s">
        <v>61</v>
      </c>
      <c r="AA17">
        <v>0</v>
      </c>
      <c r="AB17" s="2">
        <v>0</v>
      </c>
      <c r="AC17" s="2">
        <v>0</v>
      </c>
      <c r="AD17" s="4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3.86</v>
      </c>
      <c r="AN17" s="2">
        <v>3.86</v>
      </c>
      <c r="AO17" s="2">
        <v>0</v>
      </c>
      <c r="AP17" s="2">
        <v>0</v>
      </c>
      <c r="AQ17" s="2">
        <v>0</v>
      </c>
    </row>
    <row r="18" spans="1:43" x14ac:dyDescent="0.25">
      <c r="A18" s="1">
        <v>45999</v>
      </c>
      <c r="B18" t="s">
        <v>48</v>
      </c>
      <c r="C18">
        <v>649163</v>
      </c>
      <c r="D18">
        <v>2020706449</v>
      </c>
      <c r="E18" t="s">
        <v>129</v>
      </c>
      <c r="F18" t="s">
        <v>130</v>
      </c>
      <c r="G18" t="s">
        <v>51</v>
      </c>
      <c r="H18" t="s">
        <v>131</v>
      </c>
      <c r="I18" t="s">
        <v>126</v>
      </c>
      <c r="J18" t="s">
        <v>132</v>
      </c>
      <c r="K18">
        <v>673059</v>
      </c>
      <c r="L18" t="s">
        <v>81</v>
      </c>
      <c r="M18" t="s">
        <v>82</v>
      </c>
      <c r="N18" t="s">
        <v>94</v>
      </c>
      <c r="O18" s="1">
        <v>45261</v>
      </c>
      <c r="P18" s="1">
        <v>45999</v>
      </c>
      <c r="Q18" s="1">
        <v>46023</v>
      </c>
      <c r="R18" s="2">
        <v>-25.47</v>
      </c>
      <c r="S18">
        <v>1</v>
      </c>
      <c r="T18" t="s">
        <v>58</v>
      </c>
      <c r="U18" t="s">
        <v>59</v>
      </c>
      <c r="V18" s="4">
        <v>0.15</v>
      </c>
      <c r="W18" s="2">
        <v>0</v>
      </c>
      <c r="X18">
        <v>-1</v>
      </c>
      <c r="Y18" t="s">
        <v>60</v>
      </c>
      <c r="Z18" t="s">
        <v>61</v>
      </c>
      <c r="AA18">
        <v>0</v>
      </c>
      <c r="AB18" s="2">
        <v>0</v>
      </c>
      <c r="AC18" s="2">
        <v>0</v>
      </c>
      <c r="AD18" s="4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-3.82</v>
      </c>
      <c r="AN18" s="2">
        <v>-3.82</v>
      </c>
      <c r="AO18" s="2">
        <v>0</v>
      </c>
      <c r="AP18" s="2">
        <v>0</v>
      </c>
      <c r="AQ18" s="2">
        <v>0</v>
      </c>
    </row>
    <row r="19" spans="1:43" x14ac:dyDescent="0.25">
      <c r="A19" s="1">
        <v>45999</v>
      </c>
      <c r="B19" t="s">
        <v>48</v>
      </c>
      <c r="C19">
        <v>649163</v>
      </c>
      <c r="D19">
        <v>2023217202</v>
      </c>
      <c r="E19" t="s">
        <v>133</v>
      </c>
      <c r="F19" t="s">
        <v>134</v>
      </c>
      <c r="G19" t="s">
        <v>51</v>
      </c>
      <c r="H19" t="s">
        <v>135</v>
      </c>
      <c r="I19" t="s">
        <v>126</v>
      </c>
      <c r="J19" t="s">
        <v>132</v>
      </c>
      <c r="K19">
        <v>673059</v>
      </c>
      <c r="L19" t="s">
        <v>81</v>
      </c>
      <c r="M19" t="s">
        <v>82</v>
      </c>
      <c r="N19" t="s">
        <v>57</v>
      </c>
      <c r="O19" s="1">
        <v>45444</v>
      </c>
      <c r="Q19" s="1">
        <v>46023</v>
      </c>
      <c r="R19" s="2">
        <v>80.8</v>
      </c>
      <c r="S19">
        <v>1</v>
      </c>
      <c r="T19" t="s">
        <v>58</v>
      </c>
      <c r="U19" t="s">
        <v>59</v>
      </c>
      <c r="V19" s="4">
        <v>0.15</v>
      </c>
      <c r="W19" s="2">
        <v>0</v>
      </c>
      <c r="X19">
        <v>0</v>
      </c>
      <c r="Y19" t="s">
        <v>60</v>
      </c>
      <c r="Z19" t="s">
        <v>61</v>
      </c>
      <c r="AA19">
        <v>0</v>
      </c>
      <c r="AB19" s="2">
        <v>0</v>
      </c>
      <c r="AC19" s="2">
        <v>0</v>
      </c>
      <c r="AD19" s="4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12.12</v>
      </c>
      <c r="AN19" s="2">
        <v>12.12</v>
      </c>
      <c r="AO19" s="2">
        <v>0</v>
      </c>
      <c r="AP19" s="2">
        <v>0</v>
      </c>
      <c r="AQ19" s="2">
        <v>0</v>
      </c>
    </row>
    <row r="20" spans="1:43" x14ac:dyDescent="0.25">
      <c r="A20" s="1">
        <v>45999</v>
      </c>
      <c r="B20" t="s">
        <v>48</v>
      </c>
      <c r="C20">
        <v>649163</v>
      </c>
      <c r="D20">
        <v>2026569743</v>
      </c>
      <c r="E20" t="s">
        <v>136</v>
      </c>
      <c r="F20" t="s">
        <v>137</v>
      </c>
      <c r="G20" t="s">
        <v>51</v>
      </c>
      <c r="H20" t="s">
        <v>125</v>
      </c>
      <c r="I20" t="s">
        <v>126</v>
      </c>
      <c r="J20" t="s">
        <v>132</v>
      </c>
      <c r="K20">
        <v>767312</v>
      </c>
      <c r="L20" t="s">
        <v>138</v>
      </c>
      <c r="M20" t="s">
        <v>107</v>
      </c>
      <c r="N20" t="s">
        <v>57</v>
      </c>
      <c r="O20" s="1">
        <v>45689</v>
      </c>
      <c r="Q20" s="1">
        <v>46023</v>
      </c>
      <c r="R20" s="2">
        <v>10.75</v>
      </c>
      <c r="S20">
        <v>1</v>
      </c>
      <c r="T20" t="s">
        <v>58</v>
      </c>
      <c r="U20" t="s">
        <v>59</v>
      </c>
      <c r="V20" s="4">
        <v>0.7</v>
      </c>
      <c r="W20" s="2">
        <v>0</v>
      </c>
      <c r="X20">
        <v>0</v>
      </c>
      <c r="Y20" t="s">
        <v>83</v>
      </c>
      <c r="Z20" t="s">
        <v>61</v>
      </c>
      <c r="AA20">
        <v>0</v>
      </c>
      <c r="AB20" s="2">
        <v>0</v>
      </c>
      <c r="AC20" s="2">
        <v>0</v>
      </c>
      <c r="AD20" s="4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7.52</v>
      </c>
      <c r="AN20" s="2">
        <v>7.52</v>
      </c>
      <c r="AO20" s="2">
        <v>0</v>
      </c>
      <c r="AP20" s="2">
        <v>0</v>
      </c>
      <c r="AQ20" s="2">
        <v>0</v>
      </c>
    </row>
    <row r="21" spans="1:43" x14ac:dyDescent="0.25">
      <c r="A21" s="1">
        <v>45999</v>
      </c>
      <c r="B21" t="s">
        <v>48</v>
      </c>
      <c r="C21">
        <v>649163</v>
      </c>
      <c r="D21">
        <v>2026718142</v>
      </c>
      <c r="E21" t="s">
        <v>139</v>
      </c>
      <c r="F21" t="s">
        <v>140</v>
      </c>
      <c r="G21" t="s">
        <v>51</v>
      </c>
      <c r="H21" t="s">
        <v>102</v>
      </c>
      <c r="I21" t="s">
        <v>126</v>
      </c>
      <c r="J21" t="s">
        <v>132</v>
      </c>
      <c r="K21">
        <v>768271</v>
      </c>
      <c r="L21" t="s">
        <v>141</v>
      </c>
      <c r="M21" t="s">
        <v>142</v>
      </c>
      <c r="N21" t="s">
        <v>57</v>
      </c>
      <c r="O21" s="1">
        <v>45689</v>
      </c>
      <c r="Q21" s="1">
        <v>46023</v>
      </c>
      <c r="R21" s="2">
        <v>284.54000000000002</v>
      </c>
      <c r="S21">
        <v>1</v>
      </c>
      <c r="T21" t="s">
        <v>58</v>
      </c>
      <c r="U21" t="s">
        <v>59</v>
      </c>
      <c r="V21" s="4">
        <v>0.7</v>
      </c>
      <c r="W21" s="2">
        <v>0</v>
      </c>
      <c r="X21">
        <v>0</v>
      </c>
      <c r="Y21" t="s">
        <v>83</v>
      </c>
      <c r="Z21" t="s">
        <v>61</v>
      </c>
      <c r="AA21">
        <v>0</v>
      </c>
      <c r="AB21" s="2">
        <v>0</v>
      </c>
      <c r="AC21" s="2">
        <v>0</v>
      </c>
      <c r="AD21" s="4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199.18</v>
      </c>
      <c r="AN21" s="2">
        <v>199.18</v>
      </c>
      <c r="AO21" s="2">
        <v>0</v>
      </c>
      <c r="AP21" s="2">
        <v>0</v>
      </c>
      <c r="AQ21" s="2">
        <v>0</v>
      </c>
    </row>
    <row r="22" spans="1:43" x14ac:dyDescent="0.25">
      <c r="A22" s="1">
        <v>45999</v>
      </c>
      <c r="B22" t="s">
        <v>48</v>
      </c>
      <c r="C22">
        <v>649163</v>
      </c>
      <c r="D22">
        <v>2027980063</v>
      </c>
      <c r="E22" t="s">
        <v>143</v>
      </c>
      <c r="F22" t="s">
        <v>144</v>
      </c>
      <c r="G22" t="s">
        <v>51</v>
      </c>
      <c r="H22" t="s">
        <v>102</v>
      </c>
      <c r="I22" t="s">
        <v>126</v>
      </c>
      <c r="J22" t="s">
        <v>132</v>
      </c>
      <c r="K22">
        <v>856824</v>
      </c>
      <c r="L22" t="s">
        <v>145</v>
      </c>
      <c r="M22" t="s">
        <v>146</v>
      </c>
      <c r="N22" t="s">
        <v>57</v>
      </c>
      <c r="O22" s="1">
        <v>45748</v>
      </c>
      <c r="Q22" s="1">
        <v>46023</v>
      </c>
      <c r="R22" s="2">
        <v>31.6</v>
      </c>
      <c r="S22">
        <v>1</v>
      </c>
      <c r="T22" t="s">
        <v>58</v>
      </c>
      <c r="U22" t="s">
        <v>59</v>
      </c>
      <c r="V22" s="4">
        <v>0.7</v>
      </c>
      <c r="W22" s="2">
        <v>0</v>
      </c>
      <c r="X22">
        <v>0</v>
      </c>
      <c r="Y22" t="s">
        <v>83</v>
      </c>
      <c r="Z22" t="s">
        <v>61</v>
      </c>
      <c r="AA22">
        <v>0</v>
      </c>
      <c r="AB22" s="2">
        <v>0</v>
      </c>
      <c r="AC22" s="2">
        <v>0</v>
      </c>
      <c r="AD22" s="4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22.12</v>
      </c>
      <c r="AN22" s="2">
        <v>22.12</v>
      </c>
      <c r="AO22" s="2">
        <v>0</v>
      </c>
      <c r="AP22" s="2">
        <v>0</v>
      </c>
      <c r="AQ22" s="2">
        <v>0</v>
      </c>
    </row>
    <row r="23" spans="1:43" x14ac:dyDescent="0.25">
      <c r="A23" s="1">
        <v>45999</v>
      </c>
      <c r="B23" t="s">
        <v>48</v>
      </c>
      <c r="C23">
        <v>649163</v>
      </c>
      <c r="D23">
        <v>2028043912</v>
      </c>
      <c r="E23" t="s">
        <v>147</v>
      </c>
      <c r="F23" t="s">
        <v>148</v>
      </c>
      <c r="G23" t="s">
        <v>51</v>
      </c>
      <c r="H23" t="s">
        <v>102</v>
      </c>
      <c r="I23" t="s">
        <v>126</v>
      </c>
      <c r="J23" t="s">
        <v>132</v>
      </c>
      <c r="K23">
        <v>806645</v>
      </c>
      <c r="L23" t="s">
        <v>98</v>
      </c>
      <c r="M23" t="s">
        <v>99</v>
      </c>
      <c r="N23" t="s">
        <v>94</v>
      </c>
      <c r="O23" s="1">
        <v>45748</v>
      </c>
      <c r="P23" s="1">
        <v>45992</v>
      </c>
      <c r="Q23" s="1">
        <v>46023</v>
      </c>
      <c r="R23" s="2">
        <v>-19</v>
      </c>
      <c r="S23">
        <v>1</v>
      </c>
      <c r="T23" t="s">
        <v>58</v>
      </c>
      <c r="U23" t="s">
        <v>59</v>
      </c>
      <c r="V23" s="4">
        <v>0.7</v>
      </c>
      <c r="W23" s="2">
        <v>0</v>
      </c>
      <c r="X23">
        <v>-1</v>
      </c>
      <c r="Y23" t="s">
        <v>83</v>
      </c>
      <c r="Z23" t="s">
        <v>61</v>
      </c>
      <c r="AA23">
        <v>0</v>
      </c>
      <c r="AB23" s="2">
        <v>0</v>
      </c>
      <c r="AC23" s="2">
        <v>0</v>
      </c>
      <c r="AD23" s="4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-13.3</v>
      </c>
      <c r="AN23" s="2">
        <v>-13.3</v>
      </c>
      <c r="AO23" s="2">
        <v>0</v>
      </c>
      <c r="AP23" s="2">
        <v>0</v>
      </c>
      <c r="AQ23" s="2">
        <v>0</v>
      </c>
    </row>
    <row r="24" spans="1:43" x14ac:dyDescent="0.25">
      <c r="A24" s="1">
        <v>45999</v>
      </c>
      <c r="B24" t="s">
        <v>48</v>
      </c>
      <c r="C24">
        <v>649163</v>
      </c>
      <c r="D24">
        <v>2028349434</v>
      </c>
      <c r="E24" t="s">
        <v>77</v>
      </c>
      <c r="F24" t="s">
        <v>78</v>
      </c>
      <c r="G24" t="s">
        <v>51</v>
      </c>
      <c r="H24" t="s">
        <v>79</v>
      </c>
      <c r="I24" t="s">
        <v>126</v>
      </c>
      <c r="J24" t="s">
        <v>132</v>
      </c>
      <c r="K24">
        <v>673059</v>
      </c>
      <c r="L24" t="s">
        <v>81</v>
      </c>
      <c r="M24" t="s">
        <v>82</v>
      </c>
      <c r="N24" t="s">
        <v>57</v>
      </c>
      <c r="O24" s="1">
        <v>45778</v>
      </c>
      <c r="Q24" s="1">
        <v>46023</v>
      </c>
      <c r="R24" s="2">
        <v>-43.8</v>
      </c>
      <c r="S24">
        <v>1</v>
      </c>
      <c r="T24" t="s">
        <v>58</v>
      </c>
      <c r="U24" t="s">
        <v>59</v>
      </c>
      <c r="V24" s="4">
        <v>0.7</v>
      </c>
      <c r="W24" s="2">
        <v>0</v>
      </c>
      <c r="X24">
        <v>-1</v>
      </c>
      <c r="Y24" t="s">
        <v>83</v>
      </c>
      <c r="Z24" t="s">
        <v>61</v>
      </c>
      <c r="AA24">
        <v>0</v>
      </c>
      <c r="AB24" s="2">
        <v>0</v>
      </c>
      <c r="AC24" s="2">
        <v>0</v>
      </c>
      <c r="AD24" s="4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-30.66</v>
      </c>
      <c r="AN24" s="2">
        <v>-30.66</v>
      </c>
      <c r="AO24" s="2">
        <v>0</v>
      </c>
      <c r="AP24" s="2">
        <v>0</v>
      </c>
      <c r="AQ24" s="2">
        <v>0</v>
      </c>
    </row>
    <row r="25" spans="1:43" x14ac:dyDescent="0.25">
      <c r="A25" s="1">
        <v>45999</v>
      </c>
      <c r="B25" t="s">
        <v>48</v>
      </c>
      <c r="C25">
        <v>649163</v>
      </c>
      <c r="D25">
        <v>2029168908</v>
      </c>
      <c r="E25" t="s">
        <v>95</v>
      </c>
      <c r="F25" t="s">
        <v>96</v>
      </c>
      <c r="G25" t="s">
        <v>51</v>
      </c>
      <c r="H25" t="s">
        <v>97</v>
      </c>
      <c r="I25" t="s">
        <v>126</v>
      </c>
      <c r="J25" t="s">
        <v>132</v>
      </c>
      <c r="K25">
        <v>806645</v>
      </c>
      <c r="L25" t="s">
        <v>98</v>
      </c>
      <c r="M25" t="s">
        <v>99</v>
      </c>
      <c r="N25" t="s">
        <v>94</v>
      </c>
      <c r="O25" s="1">
        <v>45809</v>
      </c>
      <c r="P25" s="1">
        <v>45992</v>
      </c>
      <c r="Q25" s="1">
        <v>46023</v>
      </c>
      <c r="R25" s="2">
        <v>-82.05</v>
      </c>
      <c r="S25">
        <v>1</v>
      </c>
      <c r="T25" t="s">
        <v>58</v>
      </c>
      <c r="U25" t="s">
        <v>59</v>
      </c>
      <c r="V25" s="4">
        <v>0.7</v>
      </c>
      <c r="W25" s="2">
        <v>0</v>
      </c>
      <c r="X25">
        <v>-1</v>
      </c>
      <c r="Y25" t="s">
        <v>83</v>
      </c>
      <c r="Z25" t="s">
        <v>61</v>
      </c>
      <c r="AA25">
        <v>0</v>
      </c>
      <c r="AB25" s="2">
        <v>0</v>
      </c>
      <c r="AC25" s="2">
        <v>0</v>
      </c>
      <c r="AD25" s="4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-57.44</v>
      </c>
      <c r="AN25" s="2">
        <v>-57.44</v>
      </c>
      <c r="AO25" s="2">
        <v>0</v>
      </c>
      <c r="AP25" s="2">
        <v>0</v>
      </c>
      <c r="AQ25" s="2">
        <v>0</v>
      </c>
    </row>
    <row r="26" spans="1:43" x14ac:dyDescent="0.25">
      <c r="A26" s="1">
        <v>45999</v>
      </c>
      <c r="B26" t="s">
        <v>48</v>
      </c>
      <c r="C26">
        <v>649163</v>
      </c>
      <c r="D26">
        <v>2029274820</v>
      </c>
      <c r="E26" t="s">
        <v>149</v>
      </c>
      <c r="F26" t="s">
        <v>150</v>
      </c>
      <c r="G26" t="s">
        <v>51</v>
      </c>
      <c r="H26" t="s">
        <v>102</v>
      </c>
      <c r="I26" t="s">
        <v>126</v>
      </c>
      <c r="J26" t="s">
        <v>132</v>
      </c>
      <c r="K26">
        <v>812994</v>
      </c>
      <c r="L26" t="s">
        <v>151</v>
      </c>
      <c r="M26" t="s">
        <v>152</v>
      </c>
      <c r="N26" t="s">
        <v>94</v>
      </c>
      <c r="O26" s="1">
        <v>45839</v>
      </c>
      <c r="P26" s="1">
        <v>45999</v>
      </c>
      <c r="Q26" s="1">
        <v>46023</v>
      </c>
      <c r="R26" s="2">
        <v>-377.02</v>
      </c>
      <c r="S26">
        <v>1</v>
      </c>
      <c r="T26" t="s">
        <v>58</v>
      </c>
      <c r="U26" t="s">
        <v>59</v>
      </c>
      <c r="V26" s="4">
        <v>0.7</v>
      </c>
      <c r="W26" s="2">
        <v>0</v>
      </c>
      <c r="X26">
        <v>-1</v>
      </c>
      <c r="Y26" t="s">
        <v>83</v>
      </c>
      <c r="Z26" t="s">
        <v>61</v>
      </c>
      <c r="AA26">
        <v>0</v>
      </c>
      <c r="AB26" s="2">
        <v>0</v>
      </c>
      <c r="AC26" s="2">
        <v>0</v>
      </c>
      <c r="AD26" s="4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-263.91000000000003</v>
      </c>
      <c r="AN26" s="2">
        <v>-263.91000000000003</v>
      </c>
      <c r="AO26" s="2">
        <v>0</v>
      </c>
      <c r="AP26" s="2">
        <v>0</v>
      </c>
      <c r="AQ26" s="2">
        <v>0</v>
      </c>
    </row>
    <row r="27" spans="1:43" x14ac:dyDescent="0.25">
      <c r="A27" s="1">
        <v>45999</v>
      </c>
      <c r="B27" t="s">
        <v>48</v>
      </c>
      <c r="C27">
        <v>649163</v>
      </c>
      <c r="D27">
        <v>2029494259</v>
      </c>
      <c r="E27" t="s">
        <v>153</v>
      </c>
      <c r="F27" t="s">
        <v>154</v>
      </c>
      <c r="G27" t="s">
        <v>51</v>
      </c>
      <c r="H27" t="s">
        <v>74</v>
      </c>
      <c r="I27" t="s">
        <v>126</v>
      </c>
      <c r="J27" t="s">
        <v>132</v>
      </c>
      <c r="K27">
        <v>792847</v>
      </c>
      <c r="L27" t="s">
        <v>155</v>
      </c>
      <c r="M27" t="s">
        <v>156</v>
      </c>
      <c r="N27" t="s">
        <v>57</v>
      </c>
      <c r="O27" s="1">
        <v>45839</v>
      </c>
      <c r="Q27" s="1">
        <v>46023</v>
      </c>
      <c r="R27" s="2">
        <v>46.14</v>
      </c>
      <c r="S27">
        <v>1</v>
      </c>
      <c r="T27" t="s">
        <v>58</v>
      </c>
      <c r="U27" t="s">
        <v>59</v>
      </c>
      <c r="V27" s="4">
        <v>0.7</v>
      </c>
      <c r="W27" s="2">
        <v>0</v>
      </c>
      <c r="X27">
        <v>0</v>
      </c>
      <c r="Y27" t="s">
        <v>83</v>
      </c>
      <c r="Z27" t="s">
        <v>61</v>
      </c>
      <c r="AA27">
        <v>0</v>
      </c>
      <c r="AB27" s="2">
        <v>0</v>
      </c>
      <c r="AC27" s="2">
        <v>0</v>
      </c>
      <c r="AD27" s="4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32.299999999999997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1">
        <v>45999</v>
      </c>
      <c r="B28" t="s">
        <v>48</v>
      </c>
      <c r="C28">
        <v>649163</v>
      </c>
      <c r="D28">
        <v>2029944314</v>
      </c>
      <c r="E28" t="s">
        <v>157</v>
      </c>
      <c r="F28" t="s">
        <v>158</v>
      </c>
      <c r="G28" t="s">
        <v>51</v>
      </c>
      <c r="H28" t="s">
        <v>102</v>
      </c>
      <c r="I28" t="s">
        <v>126</v>
      </c>
      <c r="J28" t="s">
        <v>132</v>
      </c>
      <c r="K28">
        <v>812782</v>
      </c>
      <c r="L28" t="s">
        <v>159</v>
      </c>
      <c r="M28" t="s">
        <v>160</v>
      </c>
      <c r="N28" t="s">
        <v>57</v>
      </c>
      <c r="O28" s="1">
        <v>45870</v>
      </c>
      <c r="Q28" s="1">
        <v>46023</v>
      </c>
      <c r="R28" s="2">
        <v>15.75</v>
      </c>
      <c r="S28">
        <v>1</v>
      </c>
      <c r="T28" t="s">
        <v>58</v>
      </c>
      <c r="U28" t="s">
        <v>59</v>
      </c>
      <c r="V28" s="4">
        <v>0.7</v>
      </c>
      <c r="W28" s="2">
        <v>0</v>
      </c>
      <c r="X28">
        <v>0</v>
      </c>
      <c r="Y28" t="s">
        <v>83</v>
      </c>
      <c r="Z28" t="s">
        <v>61</v>
      </c>
      <c r="AA28">
        <v>0</v>
      </c>
      <c r="AB28" s="2">
        <v>0</v>
      </c>
      <c r="AC28" s="2">
        <v>0</v>
      </c>
      <c r="AD28" s="4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11.02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1">
        <v>45999</v>
      </c>
      <c r="B29" t="s">
        <v>48</v>
      </c>
      <c r="C29">
        <v>649163</v>
      </c>
      <c r="D29">
        <v>2031658338</v>
      </c>
      <c r="E29" t="s">
        <v>161</v>
      </c>
      <c r="F29" t="s">
        <v>162</v>
      </c>
      <c r="G29" t="s">
        <v>51</v>
      </c>
      <c r="H29" t="s">
        <v>163</v>
      </c>
      <c r="I29" t="s">
        <v>126</v>
      </c>
      <c r="J29" t="s">
        <v>164</v>
      </c>
      <c r="K29">
        <v>823068</v>
      </c>
      <c r="L29" t="s">
        <v>165</v>
      </c>
      <c r="M29" t="s">
        <v>166</v>
      </c>
      <c r="N29" t="s">
        <v>57</v>
      </c>
      <c r="O29" s="1">
        <v>45962</v>
      </c>
      <c r="Q29" s="1">
        <v>46023</v>
      </c>
      <c r="R29" s="2">
        <v>-55.58</v>
      </c>
      <c r="S29">
        <v>1</v>
      </c>
      <c r="T29" t="s">
        <v>58</v>
      </c>
      <c r="U29" t="s">
        <v>105</v>
      </c>
      <c r="V29" s="4">
        <v>0.7</v>
      </c>
      <c r="W29" s="2">
        <v>0</v>
      </c>
      <c r="X29">
        <v>-1</v>
      </c>
      <c r="Y29" t="s">
        <v>83</v>
      </c>
      <c r="Z29" t="s">
        <v>61</v>
      </c>
      <c r="AA29">
        <v>0</v>
      </c>
      <c r="AB29" s="2">
        <v>0</v>
      </c>
      <c r="AC29" s="2">
        <v>0</v>
      </c>
      <c r="AD29" s="4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-38.909999999999997</v>
      </c>
      <c r="AN29" s="2">
        <v>-38.909999999999997</v>
      </c>
      <c r="AO29" s="2">
        <v>0</v>
      </c>
      <c r="AP29" s="2">
        <v>0</v>
      </c>
      <c r="AQ29" s="2">
        <v>0</v>
      </c>
    </row>
    <row r="30" spans="1:43" x14ac:dyDescent="0.25">
      <c r="A30" s="1">
        <v>45999</v>
      </c>
      <c r="B30" t="s">
        <v>48</v>
      </c>
      <c r="C30">
        <v>649163</v>
      </c>
      <c r="D30">
        <v>2016815697</v>
      </c>
      <c r="E30" t="s">
        <v>167</v>
      </c>
      <c r="F30" t="s">
        <v>168</v>
      </c>
      <c r="G30" t="s">
        <v>51</v>
      </c>
      <c r="H30" t="s">
        <v>52</v>
      </c>
      <c r="I30" t="s">
        <v>169</v>
      </c>
      <c r="J30" t="s">
        <v>170</v>
      </c>
      <c r="K30">
        <v>649164</v>
      </c>
      <c r="L30" t="s">
        <v>64</v>
      </c>
      <c r="M30" t="s">
        <v>65</v>
      </c>
      <c r="N30" t="s">
        <v>57</v>
      </c>
      <c r="O30" s="1">
        <v>44896</v>
      </c>
      <c r="Q30" s="1">
        <v>46023</v>
      </c>
      <c r="R30" s="2">
        <v>49.99</v>
      </c>
      <c r="S30">
        <v>1</v>
      </c>
      <c r="T30" t="s">
        <v>58</v>
      </c>
      <c r="U30" t="s">
        <v>59</v>
      </c>
      <c r="V30" s="3">
        <v>5.2499999999999998E-2</v>
      </c>
      <c r="W30" s="2">
        <v>0</v>
      </c>
      <c r="X30">
        <v>0</v>
      </c>
      <c r="Y30" t="s">
        <v>60</v>
      </c>
      <c r="Z30" t="s">
        <v>61</v>
      </c>
      <c r="AA30">
        <v>0</v>
      </c>
      <c r="AB30" s="2">
        <v>0</v>
      </c>
      <c r="AC30" s="2">
        <v>0</v>
      </c>
      <c r="AD30" s="4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2.62</v>
      </c>
      <c r="AN30" s="2">
        <v>2.62</v>
      </c>
      <c r="AO30" s="2">
        <v>0</v>
      </c>
      <c r="AP30" s="2">
        <v>0</v>
      </c>
      <c r="AQ30" s="2">
        <v>0</v>
      </c>
    </row>
    <row r="31" spans="1:43" x14ac:dyDescent="0.25">
      <c r="A31" s="1">
        <v>45999</v>
      </c>
      <c r="B31" t="s">
        <v>48</v>
      </c>
      <c r="C31">
        <v>649163</v>
      </c>
      <c r="D31">
        <v>2018434791</v>
      </c>
      <c r="E31" t="s">
        <v>171</v>
      </c>
      <c r="F31" t="s">
        <v>172</v>
      </c>
      <c r="G31" t="s">
        <v>51</v>
      </c>
      <c r="H31" t="s">
        <v>125</v>
      </c>
      <c r="I31" t="s">
        <v>169</v>
      </c>
      <c r="J31" t="s">
        <v>170</v>
      </c>
      <c r="K31">
        <v>673059</v>
      </c>
      <c r="L31" t="s">
        <v>81</v>
      </c>
      <c r="M31" t="s">
        <v>82</v>
      </c>
      <c r="N31" t="s">
        <v>57</v>
      </c>
      <c r="O31" s="1">
        <v>45047</v>
      </c>
      <c r="Q31" s="1">
        <v>46023</v>
      </c>
      <c r="R31" s="2">
        <v>46.65</v>
      </c>
      <c r="S31">
        <v>1</v>
      </c>
      <c r="T31" t="s">
        <v>58</v>
      </c>
      <c r="U31" t="s">
        <v>59</v>
      </c>
      <c r="V31" s="3">
        <v>5.2499999999999998E-2</v>
      </c>
      <c r="W31" s="2">
        <v>0</v>
      </c>
      <c r="X31">
        <v>0</v>
      </c>
      <c r="Y31" t="s">
        <v>60</v>
      </c>
      <c r="Z31" t="s">
        <v>61</v>
      </c>
      <c r="AA31">
        <v>0</v>
      </c>
      <c r="AB31" s="2">
        <v>0</v>
      </c>
      <c r="AC31" s="2">
        <v>0</v>
      </c>
      <c r="AD31" s="4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2.4500000000000002</v>
      </c>
      <c r="AN31" s="2">
        <v>2.4500000000000002</v>
      </c>
      <c r="AO31" s="2">
        <v>0</v>
      </c>
      <c r="AP31" s="2">
        <v>0</v>
      </c>
      <c r="AQ31" s="2">
        <v>0</v>
      </c>
    </row>
    <row r="32" spans="1:43" x14ac:dyDescent="0.25">
      <c r="A32" s="1">
        <v>45999</v>
      </c>
      <c r="B32" t="s">
        <v>48</v>
      </c>
      <c r="C32">
        <v>649163</v>
      </c>
      <c r="D32">
        <v>2019324243</v>
      </c>
      <c r="E32" t="s">
        <v>173</v>
      </c>
      <c r="F32" t="s">
        <v>71</v>
      </c>
      <c r="G32" t="s">
        <v>51</v>
      </c>
      <c r="H32" t="s">
        <v>125</v>
      </c>
      <c r="I32" t="s">
        <v>169</v>
      </c>
      <c r="J32" t="s">
        <v>170</v>
      </c>
      <c r="K32">
        <v>673059</v>
      </c>
      <c r="L32" t="s">
        <v>81</v>
      </c>
      <c r="M32" t="s">
        <v>82</v>
      </c>
      <c r="N32" t="s">
        <v>57</v>
      </c>
      <c r="O32" s="1">
        <v>45139</v>
      </c>
      <c r="Q32" s="1">
        <v>46023</v>
      </c>
      <c r="R32" s="2">
        <v>14.99</v>
      </c>
      <c r="S32">
        <v>1</v>
      </c>
      <c r="T32" t="s">
        <v>58</v>
      </c>
      <c r="U32" t="s">
        <v>59</v>
      </c>
      <c r="V32" s="3">
        <v>5.2499999999999998E-2</v>
      </c>
      <c r="W32" s="2">
        <v>0</v>
      </c>
      <c r="X32">
        <v>0</v>
      </c>
      <c r="Y32" t="s">
        <v>60</v>
      </c>
      <c r="Z32" t="s">
        <v>61</v>
      </c>
      <c r="AA32">
        <v>0</v>
      </c>
      <c r="AB32" s="2">
        <v>0</v>
      </c>
      <c r="AC32" s="2">
        <v>0</v>
      </c>
      <c r="AD32" s="4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0.79</v>
      </c>
      <c r="AN32" s="2">
        <v>0.79</v>
      </c>
      <c r="AO32" s="2">
        <v>0</v>
      </c>
      <c r="AP32" s="2">
        <v>0</v>
      </c>
      <c r="AQ32" s="2">
        <v>0</v>
      </c>
    </row>
    <row r="33" spans="1:43" x14ac:dyDescent="0.25">
      <c r="A33" s="1">
        <v>45999</v>
      </c>
      <c r="B33" t="s">
        <v>48</v>
      </c>
      <c r="C33">
        <v>649163</v>
      </c>
      <c r="D33">
        <v>2019422323</v>
      </c>
      <c r="E33" t="s">
        <v>174</v>
      </c>
      <c r="F33" t="s">
        <v>175</v>
      </c>
      <c r="G33" t="s">
        <v>51</v>
      </c>
      <c r="H33" t="s">
        <v>176</v>
      </c>
      <c r="I33" t="s">
        <v>169</v>
      </c>
      <c r="J33" t="s">
        <v>170</v>
      </c>
      <c r="K33">
        <v>673059</v>
      </c>
      <c r="L33" t="s">
        <v>81</v>
      </c>
      <c r="M33" t="s">
        <v>82</v>
      </c>
      <c r="N33" t="s">
        <v>57</v>
      </c>
      <c r="O33" s="1">
        <v>45139</v>
      </c>
      <c r="Q33" s="1">
        <v>46023</v>
      </c>
      <c r="R33" s="2">
        <v>42.84</v>
      </c>
      <c r="S33">
        <v>1</v>
      </c>
      <c r="T33" t="s">
        <v>58</v>
      </c>
      <c r="U33" t="s">
        <v>59</v>
      </c>
      <c r="V33" s="3">
        <v>5.2499999999999998E-2</v>
      </c>
      <c r="W33" s="2">
        <v>0</v>
      </c>
      <c r="X33">
        <v>0</v>
      </c>
      <c r="Y33" t="s">
        <v>60</v>
      </c>
      <c r="Z33" t="s">
        <v>61</v>
      </c>
      <c r="AA33">
        <v>0</v>
      </c>
      <c r="AB33" s="2">
        <v>0</v>
      </c>
      <c r="AC33" s="2">
        <v>0</v>
      </c>
      <c r="AD33" s="4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2.25</v>
      </c>
      <c r="AN33" s="2">
        <v>2.25</v>
      </c>
      <c r="AO33" s="2">
        <v>0</v>
      </c>
      <c r="AP33" s="2">
        <v>0</v>
      </c>
      <c r="AQ33" s="2">
        <v>0</v>
      </c>
    </row>
    <row r="34" spans="1:43" x14ac:dyDescent="0.25">
      <c r="A34" s="1">
        <v>45999</v>
      </c>
      <c r="B34" t="s">
        <v>48</v>
      </c>
      <c r="C34">
        <v>649163</v>
      </c>
      <c r="D34">
        <v>2020599250</v>
      </c>
      <c r="E34" t="s">
        <v>177</v>
      </c>
      <c r="F34" t="s">
        <v>178</v>
      </c>
      <c r="G34" t="s">
        <v>51</v>
      </c>
      <c r="H34" t="s">
        <v>52</v>
      </c>
      <c r="I34" t="s">
        <v>169</v>
      </c>
      <c r="J34" t="s">
        <v>170</v>
      </c>
      <c r="K34">
        <v>649164</v>
      </c>
      <c r="L34" t="s">
        <v>64</v>
      </c>
      <c r="M34" t="s">
        <v>65</v>
      </c>
      <c r="N34" t="s">
        <v>57</v>
      </c>
      <c r="O34" s="1">
        <v>45292</v>
      </c>
      <c r="Q34" s="1">
        <v>46023</v>
      </c>
      <c r="R34" s="2">
        <v>45.54</v>
      </c>
      <c r="S34">
        <v>1</v>
      </c>
      <c r="T34" t="s">
        <v>58</v>
      </c>
      <c r="U34" t="s">
        <v>59</v>
      </c>
      <c r="V34" s="3">
        <v>5.2499999999999998E-2</v>
      </c>
      <c r="W34" s="2">
        <v>0</v>
      </c>
      <c r="X34">
        <v>0</v>
      </c>
      <c r="Y34" t="s">
        <v>60</v>
      </c>
      <c r="Z34" t="s">
        <v>61</v>
      </c>
      <c r="AA34">
        <v>0</v>
      </c>
      <c r="AB34" s="2">
        <v>0</v>
      </c>
      <c r="AC34" s="2">
        <v>0</v>
      </c>
      <c r="AD34" s="4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2.39</v>
      </c>
      <c r="AN34" s="2">
        <v>2.39</v>
      </c>
      <c r="AO34" s="2">
        <v>0</v>
      </c>
      <c r="AP34" s="2">
        <v>0</v>
      </c>
      <c r="AQ34" s="2">
        <v>0</v>
      </c>
    </row>
    <row r="35" spans="1:43" x14ac:dyDescent="0.25">
      <c r="A35" s="1">
        <v>45999</v>
      </c>
      <c r="B35" t="s">
        <v>48</v>
      </c>
      <c r="C35">
        <v>649163</v>
      </c>
      <c r="D35">
        <v>2020891510</v>
      </c>
      <c r="E35" t="s">
        <v>179</v>
      </c>
      <c r="F35" t="s">
        <v>180</v>
      </c>
      <c r="G35" t="s">
        <v>51</v>
      </c>
      <c r="H35" t="s">
        <v>52</v>
      </c>
      <c r="I35" t="s">
        <v>169</v>
      </c>
      <c r="J35" t="s">
        <v>170</v>
      </c>
      <c r="K35">
        <v>649164</v>
      </c>
      <c r="L35" t="s">
        <v>64</v>
      </c>
      <c r="M35" t="s">
        <v>65</v>
      </c>
      <c r="N35" t="s">
        <v>57</v>
      </c>
      <c r="O35" s="1">
        <v>45261</v>
      </c>
      <c r="Q35" s="1">
        <v>46023</v>
      </c>
      <c r="R35" s="2">
        <v>13.07</v>
      </c>
      <c r="S35">
        <v>1</v>
      </c>
      <c r="T35" t="s">
        <v>58</v>
      </c>
      <c r="U35" t="s">
        <v>59</v>
      </c>
      <c r="V35" s="3">
        <v>5.2499999999999998E-2</v>
      </c>
      <c r="W35" s="2">
        <v>0</v>
      </c>
      <c r="X35">
        <v>0</v>
      </c>
      <c r="Y35" t="s">
        <v>60</v>
      </c>
      <c r="Z35" t="s">
        <v>61</v>
      </c>
      <c r="AA35">
        <v>0</v>
      </c>
      <c r="AB35" s="2">
        <v>0</v>
      </c>
      <c r="AC35" s="2">
        <v>0</v>
      </c>
      <c r="AD35" s="4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0.69</v>
      </c>
      <c r="AN35" s="2">
        <v>0.69</v>
      </c>
      <c r="AO35" s="2">
        <v>0</v>
      </c>
      <c r="AP35" s="2">
        <v>0</v>
      </c>
      <c r="AQ35" s="2">
        <v>0</v>
      </c>
    </row>
    <row r="36" spans="1:43" x14ac:dyDescent="0.25">
      <c r="A36" s="1">
        <v>45999</v>
      </c>
      <c r="B36" t="s">
        <v>48</v>
      </c>
      <c r="C36">
        <v>649163</v>
      </c>
      <c r="D36">
        <v>2020966338</v>
      </c>
      <c r="E36" t="s">
        <v>181</v>
      </c>
      <c r="F36" t="s">
        <v>182</v>
      </c>
      <c r="G36" t="s">
        <v>51</v>
      </c>
      <c r="H36" t="s">
        <v>52</v>
      </c>
      <c r="I36" t="s">
        <v>169</v>
      </c>
      <c r="J36" t="s">
        <v>170</v>
      </c>
      <c r="K36">
        <v>728134</v>
      </c>
      <c r="L36" t="s">
        <v>183</v>
      </c>
      <c r="M36" t="s">
        <v>184</v>
      </c>
      <c r="N36" t="s">
        <v>57</v>
      </c>
      <c r="O36" s="1">
        <v>45292</v>
      </c>
      <c r="Q36" s="1">
        <v>46023</v>
      </c>
      <c r="R36" s="2">
        <v>48.22</v>
      </c>
      <c r="S36">
        <v>1</v>
      </c>
      <c r="T36" t="s">
        <v>58</v>
      </c>
      <c r="U36" t="s">
        <v>59</v>
      </c>
      <c r="V36" s="3">
        <v>5.2499999999999998E-2</v>
      </c>
      <c r="W36" s="2">
        <v>0</v>
      </c>
      <c r="X36">
        <v>0</v>
      </c>
      <c r="Y36" t="s">
        <v>60</v>
      </c>
      <c r="Z36" t="s">
        <v>61</v>
      </c>
      <c r="AA36">
        <v>0</v>
      </c>
      <c r="AB36" s="2">
        <v>0</v>
      </c>
      <c r="AC36" s="2">
        <v>0</v>
      </c>
      <c r="AD36" s="4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2.5299999999999998</v>
      </c>
      <c r="AN36" s="2">
        <v>2.5299999999999998</v>
      </c>
      <c r="AO36" s="2">
        <v>0</v>
      </c>
      <c r="AP36" s="2">
        <v>0</v>
      </c>
      <c r="AQ36" s="2">
        <v>0</v>
      </c>
    </row>
    <row r="37" spans="1:43" x14ac:dyDescent="0.25">
      <c r="A37" s="1">
        <v>45999</v>
      </c>
      <c r="B37" t="s">
        <v>48</v>
      </c>
      <c r="C37">
        <v>649163</v>
      </c>
      <c r="D37">
        <v>2020974703</v>
      </c>
      <c r="E37" t="s">
        <v>66</v>
      </c>
      <c r="F37" t="s">
        <v>67</v>
      </c>
      <c r="G37" t="s">
        <v>51</v>
      </c>
      <c r="H37" t="s">
        <v>52</v>
      </c>
      <c r="I37" t="s">
        <v>169</v>
      </c>
      <c r="J37" t="s">
        <v>170</v>
      </c>
      <c r="K37">
        <v>649164</v>
      </c>
      <c r="L37" t="s">
        <v>64</v>
      </c>
      <c r="M37" t="s">
        <v>65</v>
      </c>
      <c r="N37" t="s">
        <v>57</v>
      </c>
      <c r="O37" s="1">
        <v>45292</v>
      </c>
      <c r="Q37" s="1">
        <v>46023</v>
      </c>
      <c r="R37" s="2">
        <v>40.99</v>
      </c>
      <c r="S37">
        <v>1</v>
      </c>
      <c r="T37" t="s">
        <v>58</v>
      </c>
      <c r="U37" t="s">
        <v>59</v>
      </c>
      <c r="V37" s="3">
        <v>5.2499999999999998E-2</v>
      </c>
      <c r="W37" s="2">
        <v>0</v>
      </c>
      <c r="X37">
        <v>0</v>
      </c>
      <c r="Y37" t="s">
        <v>60</v>
      </c>
      <c r="Z37" t="s">
        <v>61</v>
      </c>
      <c r="AA37">
        <v>0</v>
      </c>
      <c r="AB37" s="2">
        <v>0</v>
      </c>
      <c r="AC37" s="2">
        <v>0</v>
      </c>
      <c r="AD37" s="4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2.15</v>
      </c>
      <c r="AN37" s="2">
        <v>2.15</v>
      </c>
      <c r="AO37" s="2">
        <v>0</v>
      </c>
      <c r="AP37" s="2">
        <v>0</v>
      </c>
      <c r="AQ37" s="2">
        <v>0</v>
      </c>
    </row>
    <row r="38" spans="1:43" x14ac:dyDescent="0.25">
      <c r="A38" s="1">
        <v>45999</v>
      </c>
      <c r="B38" t="s">
        <v>48</v>
      </c>
      <c r="C38">
        <v>649163</v>
      </c>
      <c r="D38">
        <v>2021180346</v>
      </c>
      <c r="E38" t="s">
        <v>185</v>
      </c>
      <c r="F38" t="s">
        <v>186</v>
      </c>
      <c r="G38" t="s">
        <v>51</v>
      </c>
      <c r="H38" t="s">
        <v>52</v>
      </c>
      <c r="I38" t="s">
        <v>169</v>
      </c>
      <c r="J38" t="s">
        <v>170</v>
      </c>
      <c r="K38">
        <v>649247</v>
      </c>
      <c r="L38" t="s">
        <v>187</v>
      </c>
      <c r="M38" t="s">
        <v>188</v>
      </c>
      <c r="N38" t="s">
        <v>57</v>
      </c>
      <c r="O38" s="1">
        <v>45292</v>
      </c>
      <c r="Q38" s="1">
        <v>46023</v>
      </c>
      <c r="R38" s="2">
        <v>104.08</v>
      </c>
      <c r="S38">
        <v>1</v>
      </c>
      <c r="T38" t="s">
        <v>58</v>
      </c>
      <c r="U38" t="s">
        <v>59</v>
      </c>
      <c r="V38" s="3">
        <v>5.2499999999999998E-2</v>
      </c>
      <c r="W38" s="2">
        <v>0</v>
      </c>
      <c r="X38">
        <v>0</v>
      </c>
      <c r="Y38" t="s">
        <v>60</v>
      </c>
      <c r="Z38" t="s">
        <v>61</v>
      </c>
      <c r="AA38">
        <v>0</v>
      </c>
      <c r="AB38" s="2">
        <v>0</v>
      </c>
      <c r="AC38" s="2">
        <v>0</v>
      </c>
      <c r="AD38" s="4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5.46</v>
      </c>
      <c r="AN38" s="2">
        <v>5.46</v>
      </c>
      <c r="AO38" s="2">
        <v>0</v>
      </c>
      <c r="AP38" s="2">
        <v>0</v>
      </c>
      <c r="AQ38" s="2">
        <v>0</v>
      </c>
    </row>
    <row r="39" spans="1:43" x14ac:dyDescent="0.25">
      <c r="A39" s="1">
        <v>45999</v>
      </c>
      <c r="B39" t="s">
        <v>48</v>
      </c>
      <c r="C39">
        <v>649163</v>
      </c>
      <c r="D39">
        <v>2021511833</v>
      </c>
      <c r="E39" t="s">
        <v>189</v>
      </c>
      <c r="F39" t="s">
        <v>190</v>
      </c>
      <c r="G39" t="s">
        <v>51</v>
      </c>
      <c r="H39" t="s">
        <v>52</v>
      </c>
      <c r="I39" t="s">
        <v>169</v>
      </c>
      <c r="J39" t="s">
        <v>170</v>
      </c>
      <c r="K39">
        <v>649247</v>
      </c>
      <c r="L39" t="s">
        <v>187</v>
      </c>
      <c r="M39" t="s">
        <v>188</v>
      </c>
      <c r="N39" t="s">
        <v>57</v>
      </c>
      <c r="O39" s="1">
        <v>45323</v>
      </c>
      <c r="Q39" s="1">
        <v>46023</v>
      </c>
      <c r="R39" s="2">
        <v>69.599999999999994</v>
      </c>
      <c r="S39">
        <v>1</v>
      </c>
      <c r="T39" t="s">
        <v>58</v>
      </c>
      <c r="U39" t="s">
        <v>59</v>
      </c>
      <c r="V39" s="3">
        <v>5.2499999999999998E-2</v>
      </c>
      <c r="W39" s="2">
        <v>0</v>
      </c>
      <c r="X39">
        <v>0</v>
      </c>
      <c r="Y39" t="s">
        <v>60</v>
      </c>
      <c r="Z39" t="s">
        <v>61</v>
      </c>
      <c r="AA39">
        <v>0</v>
      </c>
      <c r="AB39" s="2">
        <v>0</v>
      </c>
      <c r="AC39" s="2">
        <v>0</v>
      </c>
      <c r="AD39" s="4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3.65</v>
      </c>
      <c r="AN39" s="2">
        <v>3.65</v>
      </c>
      <c r="AO39" s="2">
        <v>0</v>
      </c>
      <c r="AP39" s="2">
        <v>0</v>
      </c>
      <c r="AQ39" s="2">
        <v>0</v>
      </c>
    </row>
    <row r="40" spans="1:43" x14ac:dyDescent="0.25">
      <c r="A40" s="1">
        <v>45999</v>
      </c>
      <c r="B40" t="s">
        <v>48</v>
      </c>
      <c r="C40">
        <v>649163</v>
      </c>
      <c r="D40">
        <v>2022853291</v>
      </c>
      <c r="E40" t="s">
        <v>68</v>
      </c>
      <c r="F40" t="s">
        <v>69</v>
      </c>
      <c r="G40" t="s">
        <v>51</v>
      </c>
      <c r="H40" t="s">
        <v>52</v>
      </c>
      <c r="I40" t="s">
        <v>169</v>
      </c>
      <c r="J40" t="s">
        <v>170</v>
      </c>
      <c r="K40">
        <v>751867</v>
      </c>
      <c r="L40" t="s">
        <v>70</v>
      </c>
      <c r="M40" t="s">
        <v>71</v>
      </c>
      <c r="N40" t="s">
        <v>57</v>
      </c>
      <c r="O40" s="1">
        <v>45413</v>
      </c>
      <c r="Q40" s="1">
        <v>46023</v>
      </c>
      <c r="R40" s="2">
        <v>46.01</v>
      </c>
      <c r="S40">
        <v>1</v>
      </c>
      <c r="T40" t="s">
        <v>58</v>
      </c>
      <c r="U40" t="s">
        <v>59</v>
      </c>
      <c r="V40" s="3">
        <v>5.2499999999999998E-2</v>
      </c>
      <c r="W40" s="2">
        <v>0</v>
      </c>
      <c r="X40">
        <v>0</v>
      </c>
      <c r="Y40" t="s">
        <v>60</v>
      </c>
      <c r="Z40" t="s">
        <v>61</v>
      </c>
      <c r="AA40">
        <v>0</v>
      </c>
      <c r="AB40" s="2">
        <v>0</v>
      </c>
      <c r="AC40" s="2">
        <v>0</v>
      </c>
      <c r="AD40" s="4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2.42</v>
      </c>
      <c r="AN40" s="2">
        <v>2.42</v>
      </c>
      <c r="AO40" s="2">
        <v>0</v>
      </c>
      <c r="AP40" s="2">
        <v>0</v>
      </c>
      <c r="AQ40" s="2">
        <v>0</v>
      </c>
    </row>
    <row r="41" spans="1:43" x14ac:dyDescent="0.25">
      <c r="A41" s="1">
        <v>45999</v>
      </c>
      <c r="B41" t="s">
        <v>48</v>
      </c>
      <c r="C41">
        <v>649163</v>
      </c>
      <c r="D41">
        <v>2023280128</v>
      </c>
      <c r="E41" t="s">
        <v>191</v>
      </c>
      <c r="F41" t="s">
        <v>192</v>
      </c>
      <c r="G41" t="s">
        <v>51</v>
      </c>
      <c r="H41" t="s">
        <v>52</v>
      </c>
      <c r="I41" t="s">
        <v>169</v>
      </c>
      <c r="J41" t="s">
        <v>170</v>
      </c>
      <c r="K41">
        <v>728134</v>
      </c>
      <c r="L41" t="s">
        <v>183</v>
      </c>
      <c r="M41" t="s">
        <v>184</v>
      </c>
      <c r="N41" t="s">
        <v>57</v>
      </c>
      <c r="O41" s="1">
        <v>45444</v>
      </c>
      <c r="Q41" s="1">
        <v>46023</v>
      </c>
      <c r="R41" s="2">
        <v>33.590000000000003</v>
      </c>
      <c r="S41">
        <v>1</v>
      </c>
      <c r="T41" t="s">
        <v>58</v>
      </c>
      <c r="U41" t="s">
        <v>59</v>
      </c>
      <c r="V41" s="3">
        <v>5.2499999999999998E-2</v>
      </c>
      <c r="W41" s="2">
        <v>0</v>
      </c>
      <c r="X41">
        <v>0</v>
      </c>
      <c r="Y41" t="s">
        <v>60</v>
      </c>
      <c r="Z41" t="s">
        <v>61</v>
      </c>
      <c r="AA41">
        <v>0</v>
      </c>
      <c r="AB41" s="2">
        <v>0</v>
      </c>
      <c r="AC41" s="2">
        <v>0</v>
      </c>
      <c r="AD41" s="4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1.76</v>
      </c>
      <c r="AN41" s="2">
        <v>1.76</v>
      </c>
      <c r="AO41" s="2">
        <v>0</v>
      </c>
      <c r="AP41" s="2">
        <v>0</v>
      </c>
      <c r="AQ41" s="2">
        <v>0</v>
      </c>
    </row>
    <row r="42" spans="1:43" x14ac:dyDescent="0.25">
      <c r="A42" s="1">
        <v>45999</v>
      </c>
      <c r="B42" t="s">
        <v>48</v>
      </c>
      <c r="C42">
        <v>649163</v>
      </c>
      <c r="D42">
        <v>2025670861</v>
      </c>
      <c r="E42" t="s">
        <v>193</v>
      </c>
      <c r="F42" t="s">
        <v>194</v>
      </c>
      <c r="G42" t="s">
        <v>51</v>
      </c>
      <c r="H42" t="s">
        <v>52</v>
      </c>
      <c r="I42" t="s">
        <v>169</v>
      </c>
      <c r="J42" t="s">
        <v>170</v>
      </c>
      <c r="K42">
        <v>649247</v>
      </c>
      <c r="L42" t="s">
        <v>187</v>
      </c>
      <c r="M42" t="s">
        <v>188</v>
      </c>
      <c r="N42" t="s">
        <v>57</v>
      </c>
      <c r="O42" s="1">
        <v>45658</v>
      </c>
      <c r="Q42" s="1">
        <v>46023</v>
      </c>
      <c r="R42" s="2">
        <v>56.88</v>
      </c>
      <c r="S42">
        <v>1</v>
      </c>
      <c r="T42" t="s">
        <v>58</v>
      </c>
      <c r="U42" t="s">
        <v>59</v>
      </c>
      <c r="V42" s="4">
        <v>0.47</v>
      </c>
      <c r="W42" s="2">
        <v>0</v>
      </c>
      <c r="X42">
        <v>0</v>
      </c>
      <c r="Y42" t="s">
        <v>83</v>
      </c>
      <c r="Z42" t="s">
        <v>61</v>
      </c>
      <c r="AA42">
        <v>0</v>
      </c>
      <c r="AB42" s="2">
        <v>0</v>
      </c>
      <c r="AC42" s="2">
        <v>0</v>
      </c>
      <c r="AD42" s="4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26.73</v>
      </c>
      <c r="AN42" s="2">
        <v>26.73</v>
      </c>
      <c r="AO42" s="2">
        <v>0</v>
      </c>
      <c r="AP42" s="2">
        <v>0</v>
      </c>
      <c r="AQ42" s="2">
        <v>0</v>
      </c>
    </row>
    <row r="43" spans="1:43" x14ac:dyDescent="0.25">
      <c r="A43" s="1">
        <v>45999</v>
      </c>
      <c r="B43" t="s">
        <v>48</v>
      </c>
      <c r="C43">
        <v>649163</v>
      </c>
      <c r="D43">
        <v>2025937347</v>
      </c>
      <c r="E43" t="s">
        <v>195</v>
      </c>
      <c r="F43" t="s">
        <v>150</v>
      </c>
      <c r="G43" t="s">
        <v>51</v>
      </c>
      <c r="H43" t="s">
        <v>52</v>
      </c>
      <c r="I43" t="s">
        <v>169</v>
      </c>
      <c r="J43" t="s">
        <v>170</v>
      </c>
      <c r="K43">
        <v>649247</v>
      </c>
      <c r="L43" t="s">
        <v>187</v>
      </c>
      <c r="M43" t="s">
        <v>188</v>
      </c>
      <c r="N43" t="s">
        <v>57</v>
      </c>
      <c r="O43" s="1">
        <v>45658</v>
      </c>
      <c r="Q43" s="1">
        <v>46023</v>
      </c>
      <c r="R43" s="2">
        <v>56.88</v>
      </c>
      <c r="S43">
        <v>1</v>
      </c>
      <c r="T43" t="s">
        <v>58</v>
      </c>
      <c r="U43" t="s">
        <v>59</v>
      </c>
      <c r="V43" s="4">
        <v>0.47</v>
      </c>
      <c r="W43" s="2">
        <v>0</v>
      </c>
      <c r="X43">
        <v>0</v>
      </c>
      <c r="Y43" t="s">
        <v>83</v>
      </c>
      <c r="Z43" t="s">
        <v>61</v>
      </c>
      <c r="AA43">
        <v>0</v>
      </c>
      <c r="AB43" s="2">
        <v>0</v>
      </c>
      <c r="AC43" s="2">
        <v>0</v>
      </c>
      <c r="AD43" s="4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26.73</v>
      </c>
      <c r="AN43" s="2">
        <v>26.73</v>
      </c>
      <c r="AO43" s="2">
        <v>0</v>
      </c>
      <c r="AP43" s="2">
        <v>0</v>
      </c>
      <c r="AQ43" s="2">
        <v>0</v>
      </c>
    </row>
    <row r="44" spans="1:43" x14ac:dyDescent="0.25">
      <c r="A44" s="1">
        <v>45999</v>
      </c>
      <c r="B44" t="s">
        <v>48</v>
      </c>
      <c r="C44">
        <v>649163</v>
      </c>
      <c r="D44">
        <v>2026147450</v>
      </c>
      <c r="E44" t="s">
        <v>196</v>
      </c>
      <c r="F44" t="s">
        <v>197</v>
      </c>
      <c r="G44" t="s">
        <v>51</v>
      </c>
      <c r="H44" t="s">
        <v>52</v>
      </c>
      <c r="I44" t="s">
        <v>169</v>
      </c>
      <c r="J44" t="s">
        <v>170</v>
      </c>
      <c r="K44">
        <v>728134</v>
      </c>
      <c r="L44" t="s">
        <v>183</v>
      </c>
      <c r="M44" t="s">
        <v>184</v>
      </c>
      <c r="N44" t="s">
        <v>57</v>
      </c>
      <c r="O44" s="1">
        <v>45658</v>
      </c>
      <c r="Q44" s="1">
        <v>46023</v>
      </c>
      <c r="R44" s="2">
        <v>33.590000000000003</v>
      </c>
      <c r="S44">
        <v>1</v>
      </c>
      <c r="T44" t="s">
        <v>58</v>
      </c>
      <c r="U44" t="s">
        <v>59</v>
      </c>
      <c r="V44" s="4">
        <v>0.47</v>
      </c>
      <c r="W44" s="2">
        <v>0</v>
      </c>
      <c r="X44">
        <v>0</v>
      </c>
      <c r="Y44" t="s">
        <v>83</v>
      </c>
      <c r="Z44" t="s">
        <v>61</v>
      </c>
      <c r="AA44">
        <v>0</v>
      </c>
      <c r="AB44" s="2">
        <v>0</v>
      </c>
      <c r="AC44" s="2">
        <v>0</v>
      </c>
      <c r="AD44" s="4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15.79</v>
      </c>
      <c r="AN44" s="2">
        <v>15.79</v>
      </c>
      <c r="AO44" s="2">
        <v>0</v>
      </c>
      <c r="AP44" s="2">
        <v>0</v>
      </c>
      <c r="AQ44" s="2">
        <v>0</v>
      </c>
    </row>
    <row r="45" spans="1:43" x14ac:dyDescent="0.25">
      <c r="A45" s="1">
        <v>45999</v>
      </c>
      <c r="B45" t="s">
        <v>48</v>
      </c>
      <c r="C45">
        <v>649163</v>
      </c>
      <c r="D45">
        <v>2026760350</v>
      </c>
      <c r="E45" t="s">
        <v>198</v>
      </c>
      <c r="F45" t="s">
        <v>199</v>
      </c>
      <c r="G45" t="s">
        <v>51</v>
      </c>
      <c r="H45" t="s">
        <v>200</v>
      </c>
      <c r="I45" t="s">
        <v>169</v>
      </c>
      <c r="J45" t="s">
        <v>170</v>
      </c>
      <c r="K45">
        <v>816021</v>
      </c>
      <c r="L45" t="s">
        <v>201</v>
      </c>
      <c r="M45" t="s">
        <v>202</v>
      </c>
      <c r="N45" t="s">
        <v>57</v>
      </c>
      <c r="O45" s="1">
        <v>45689</v>
      </c>
      <c r="Q45" s="1">
        <v>46023</v>
      </c>
      <c r="R45" s="2">
        <v>76.209999999999994</v>
      </c>
      <c r="S45">
        <v>1</v>
      </c>
      <c r="T45" t="s">
        <v>58</v>
      </c>
      <c r="U45" t="s">
        <v>59</v>
      </c>
      <c r="V45" s="4">
        <v>0.47</v>
      </c>
      <c r="W45" s="2">
        <v>0</v>
      </c>
      <c r="X45">
        <v>0</v>
      </c>
      <c r="Y45" t="s">
        <v>83</v>
      </c>
      <c r="Z45" t="s">
        <v>61</v>
      </c>
      <c r="AA45">
        <v>0</v>
      </c>
      <c r="AB45" s="2">
        <v>0</v>
      </c>
      <c r="AC45" s="2">
        <v>0</v>
      </c>
      <c r="AD45" s="4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35.82</v>
      </c>
      <c r="AN45" s="2">
        <v>35.82</v>
      </c>
      <c r="AO45" s="2">
        <v>0</v>
      </c>
      <c r="AP45" s="2">
        <v>0</v>
      </c>
      <c r="AQ45" s="2">
        <v>0</v>
      </c>
    </row>
    <row r="46" spans="1:43" x14ac:dyDescent="0.25">
      <c r="A46" s="1">
        <v>45999</v>
      </c>
      <c r="B46" t="s">
        <v>48</v>
      </c>
      <c r="C46">
        <v>649163</v>
      </c>
      <c r="D46">
        <v>2027175182</v>
      </c>
      <c r="E46" t="s">
        <v>203</v>
      </c>
      <c r="F46" t="s">
        <v>204</v>
      </c>
      <c r="G46" t="s">
        <v>51</v>
      </c>
      <c r="H46" t="s">
        <v>52</v>
      </c>
      <c r="I46" t="s">
        <v>169</v>
      </c>
      <c r="J46" t="s">
        <v>170</v>
      </c>
      <c r="K46">
        <v>728134</v>
      </c>
      <c r="L46" t="s">
        <v>183</v>
      </c>
      <c r="M46" t="s">
        <v>184</v>
      </c>
      <c r="N46" t="s">
        <v>57</v>
      </c>
      <c r="O46" s="1">
        <v>45717</v>
      </c>
      <c r="Q46" s="1">
        <v>46023</v>
      </c>
      <c r="R46" s="2">
        <v>87.18</v>
      </c>
      <c r="S46">
        <v>1</v>
      </c>
      <c r="T46" t="s">
        <v>58</v>
      </c>
      <c r="U46" t="s">
        <v>59</v>
      </c>
      <c r="V46" s="4">
        <v>0.47</v>
      </c>
      <c r="W46" s="2">
        <v>0</v>
      </c>
      <c r="X46">
        <v>0</v>
      </c>
      <c r="Y46" t="s">
        <v>83</v>
      </c>
      <c r="Z46" t="s">
        <v>61</v>
      </c>
      <c r="AA46">
        <v>0</v>
      </c>
      <c r="AB46" s="2">
        <v>0</v>
      </c>
      <c r="AC46" s="2">
        <v>0</v>
      </c>
      <c r="AD46" s="4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40.97</v>
      </c>
      <c r="AN46" s="2">
        <v>40.97</v>
      </c>
      <c r="AO46" s="2">
        <v>0</v>
      </c>
      <c r="AP46" s="2">
        <v>0</v>
      </c>
      <c r="AQ46" s="2">
        <v>0</v>
      </c>
    </row>
    <row r="47" spans="1:43" x14ac:dyDescent="0.25">
      <c r="A47" s="1">
        <v>45999</v>
      </c>
      <c r="B47" t="s">
        <v>48</v>
      </c>
      <c r="C47">
        <v>649163</v>
      </c>
      <c r="D47">
        <v>2027922861</v>
      </c>
      <c r="E47" t="s">
        <v>205</v>
      </c>
      <c r="F47" t="s">
        <v>142</v>
      </c>
      <c r="G47" t="s">
        <v>51</v>
      </c>
      <c r="H47" t="s">
        <v>102</v>
      </c>
      <c r="I47" t="s">
        <v>169</v>
      </c>
      <c r="J47" t="s">
        <v>170</v>
      </c>
      <c r="K47">
        <v>768887</v>
      </c>
      <c r="L47" t="s">
        <v>206</v>
      </c>
      <c r="M47" t="s">
        <v>207</v>
      </c>
      <c r="N47" t="s">
        <v>57</v>
      </c>
      <c r="O47" s="1">
        <v>45748</v>
      </c>
      <c r="Q47" s="1">
        <v>46023</v>
      </c>
      <c r="R47" s="2">
        <v>112.33</v>
      </c>
      <c r="S47">
        <v>1</v>
      </c>
      <c r="T47" t="s">
        <v>58</v>
      </c>
      <c r="U47" t="s">
        <v>59</v>
      </c>
      <c r="V47" s="4">
        <v>0.47</v>
      </c>
      <c r="W47" s="2">
        <v>0</v>
      </c>
      <c r="X47">
        <v>0</v>
      </c>
      <c r="Y47" t="s">
        <v>83</v>
      </c>
      <c r="Z47" t="s">
        <v>61</v>
      </c>
      <c r="AA47">
        <v>0</v>
      </c>
      <c r="AB47" s="2">
        <v>0</v>
      </c>
      <c r="AC47" s="2">
        <v>0</v>
      </c>
      <c r="AD47" s="4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52.8</v>
      </c>
      <c r="AN47" s="2">
        <v>52.8</v>
      </c>
      <c r="AO47" s="2">
        <v>0</v>
      </c>
      <c r="AP47" s="2">
        <v>0</v>
      </c>
      <c r="AQ47" s="2">
        <v>0</v>
      </c>
    </row>
    <row r="48" spans="1:43" x14ac:dyDescent="0.25">
      <c r="A48" s="1">
        <v>45999</v>
      </c>
      <c r="B48" t="s">
        <v>48</v>
      </c>
      <c r="C48">
        <v>649163</v>
      </c>
      <c r="D48">
        <v>2028132283</v>
      </c>
      <c r="E48" t="s">
        <v>208</v>
      </c>
      <c r="F48" t="s">
        <v>209</v>
      </c>
      <c r="G48" t="s">
        <v>51</v>
      </c>
      <c r="H48" t="s">
        <v>210</v>
      </c>
      <c r="I48" t="s">
        <v>169</v>
      </c>
      <c r="J48" t="s">
        <v>170</v>
      </c>
      <c r="K48">
        <v>728134</v>
      </c>
      <c r="L48" t="s">
        <v>183</v>
      </c>
      <c r="M48" t="s">
        <v>184</v>
      </c>
      <c r="N48" t="s">
        <v>57</v>
      </c>
      <c r="O48" s="1">
        <v>45748</v>
      </c>
      <c r="Q48" s="1">
        <v>46023</v>
      </c>
      <c r="R48" s="2">
        <v>36.119999999999997</v>
      </c>
      <c r="S48">
        <v>1</v>
      </c>
      <c r="T48" t="s">
        <v>58</v>
      </c>
      <c r="U48" t="s">
        <v>59</v>
      </c>
      <c r="V48" s="4">
        <v>0.47</v>
      </c>
      <c r="W48" s="2">
        <v>0</v>
      </c>
      <c r="X48">
        <v>0</v>
      </c>
      <c r="Y48" t="s">
        <v>83</v>
      </c>
      <c r="Z48" t="s">
        <v>61</v>
      </c>
      <c r="AA48">
        <v>0</v>
      </c>
      <c r="AB48" s="2">
        <v>0</v>
      </c>
      <c r="AC48" s="2">
        <v>0</v>
      </c>
      <c r="AD48" s="4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16.98</v>
      </c>
      <c r="AN48" s="2">
        <v>16.98</v>
      </c>
      <c r="AO48" s="2">
        <v>0</v>
      </c>
      <c r="AP48" s="2">
        <v>0</v>
      </c>
      <c r="AQ48" s="2">
        <v>0</v>
      </c>
    </row>
    <row r="49" spans="1:43" x14ac:dyDescent="0.25">
      <c r="A49" s="1">
        <v>45999</v>
      </c>
      <c r="B49" t="s">
        <v>48</v>
      </c>
      <c r="C49">
        <v>649163</v>
      </c>
      <c r="D49">
        <v>2030127609</v>
      </c>
      <c r="E49" t="s">
        <v>211</v>
      </c>
      <c r="F49" t="s">
        <v>212</v>
      </c>
      <c r="G49" t="s">
        <v>51</v>
      </c>
      <c r="H49" t="s">
        <v>102</v>
      </c>
      <c r="I49" t="s">
        <v>169</v>
      </c>
      <c r="J49" t="s">
        <v>170</v>
      </c>
      <c r="K49">
        <v>824076</v>
      </c>
      <c r="L49" t="s">
        <v>213</v>
      </c>
      <c r="M49" t="s">
        <v>214</v>
      </c>
      <c r="N49" t="s">
        <v>57</v>
      </c>
      <c r="O49" s="1">
        <v>45870</v>
      </c>
      <c r="Q49" s="1">
        <v>46023</v>
      </c>
      <c r="R49" s="2">
        <v>94.04</v>
      </c>
      <c r="S49">
        <v>1</v>
      </c>
      <c r="T49" t="s">
        <v>58</v>
      </c>
      <c r="U49" t="s">
        <v>59</v>
      </c>
      <c r="V49" s="4">
        <v>0.47</v>
      </c>
      <c r="W49" s="2">
        <v>0</v>
      </c>
      <c r="X49">
        <v>0</v>
      </c>
      <c r="Y49" t="s">
        <v>83</v>
      </c>
      <c r="Z49" t="s">
        <v>61</v>
      </c>
      <c r="AA49">
        <v>0</v>
      </c>
      <c r="AB49" s="2">
        <v>0</v>
      </c>
      <c r="AC49" s="2">
        <v>0</v>
      </c>
      <c r="AD49" s="4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44.19</v>
      </c>
      <c r="AM49" s="2">
        <v>0.01</v>
      </c>
      <c r="AN49" s="2">
        <v>0.01</v>
      </c>
      <c r="AO49" s="2">
        <v>0</v>
      </c>
      <c r="AP49" s="2">
        <v>0</v>
      </c>
      <c r="AQ49" s="2">
        <v>0</v>
      </c>
    </row>
    <row r="50" spans="1:43" x14ac:dyDescent="0.25">
      <c r="A50" s="1">
        <v>45999</v>
      </c>
      <c r="B50" t="s">
        <v>48</v>
      </c>
      <c r="C50">
        <v>649163</v>
      </c>
      <c r="D50">
        <v>2030983565</v>
      </c>
      <c r="E50" t="s">
        <v>215</v>
      </c>
      <c r="F50" t="s">
        <v>216</v>
      </c>
      <c r="G50" t="s">
        <v>51</v>
      </c>
      <c r="H50" t="s">
        <v>210</v>
      </c>
      <c r="I50" t="s">
        <v>169</v>
      </c>
      <c r="J50" t="s">
        <v>170</v>
      </c>
      <c r="K50">
        <v>888536</v>
      </c>
      <c r="L50" t="s">
        <v>217</v>
      </c>
      <c r="M50" t="s">
        <v>218</v>
      </c>
      <c r="N50" t="s">
        <v>57</v>
      </c>
      <c r="O50" s="1">
        <v>45931</v>
      </c>
      <c r="Q50" s="1">
        <v>46023</v>
      </c>
      <c r="R50" s="2">
        <v>65.680000000000007</v>
      </c>
      <c r="S50">
        <v>1</v>
      </c>
      <c r="T50" t="s">
        <v>58</v>
      </c>
      <c r="U50" t="s">
        <v>105</v>
      </c>
      <c r="V50" s="4">
        <v>0.47</v>
      </c>
      <c r="W50" s="2">
        <v>0</v>
      </c>
      <c r="X50">
        <v>0</v>
      </c>
      <c r="Y50" t="s">
        <v>83</v>
      </c>
      <c r="Z50" t="s">
        <v>61</v>
      </c>
      <c r="AA50">
        <v>0</v>
      </c>
      <c r="AB50" s="2">
        <v>0</v>
      </c>
      <c r="AC50" s="2">
        <v>0</v>
      </c>
      <c r="AD50" s="4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30.87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1">
        <v>45999</v>
      </c>
      <c r="B51" t="s">
        <v>48</v>
      </c>
      <c r="C51">
        <v>649163</v>
      </c>
      <c r="D51">
        <v>2032417242</v>
      </c>
      <c r="E51" t="s">
        <v>219</v>
      </c>
      <c r="F51" t="s">
        <v>82</v>
      </c>
      <c r="G51" t="s">
        <v>51</v>
      </c>
      <c r="H51" t="s">
        <v>220</v>
      </c>
      <c r="I51" t="s">
        <v>53</v>
      </c>
      <c r="J51" t="s">
        <v>54</v>
      </c>
      <c r="K51">
        <v>673059</v>
      </c>
      <c r="L51" t="s">
        <v>81</v>
      </c>
      <c r="M51" t="s">
        <v>82</v>
      </c>
      <c r="N51" t="s">
        <v>57</v>
      </c>
      <c r="O51" s="1">
        <v>46023</v>
      </c>
      <c r="Q51" s="1">
        <v>46054</v>
      </c>
      <c r="R51" s="2">
        <v>75.67</v>
      </c>
      <c r="S51">
        <v>1</v>
      </c>
      <c r="T51" t="s">
        <v>58</v>
      </c>
      <c r="U51" t="s">
        <v>105</v>
      </c>
      <c r="V51" s="4">
        <v>0.6</v>
      </c>
      <c r="W51" s="2">
        <v>0</v>
      </c>
      <c r="X51">
        <v>0</v>
      </c>
      <c r="Y51" t="s">
        <v>83</v>
      </c>
      <c r="Z51" t="s">
        <v>221</v>
      </c>
      <c r="AA51">
        <v>6</v>
      </c>
      <c r="AB51" s="2">
        <v>272.39999999999998</v>
      </c>
      <c r="AC51" s="2">
        <v>0</v>
      </c>
      <c r="AD51" s="4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45.4</v>
      </c>
      <c r="AM51" s="2">
        <v>0</v>
      </c>
      <c r="AN51" s="2">
        <v>272.39999999999998</v>
      </c>
      <c r="AO51" s="2">
        <v>0</v>
      </c>
      <c r="AP51" s="2">
        <v>0</v>
      </c>
      <c r="AQ51" s="2">
        <v>0</v>
      </c>
    </row>
    <row r="52" spans="1:43" x14ac:dyDescent="0.25">
      <c r="A52" s="1">
        <v>45999</v>
      </c>
      <c r="B52" t="s">
        <v>48</v>
      </c>
      <c r="C52">
        <v>649163</v>
      </c>
      <c r="D52">
        <v>2032430002</v>
      </c>
      <c r="E52" t="s">
        <v>222</v>
      </c>
      <c r="F52" t="s">
        <v>223</v>
      </c>
      <c r="G52" t="s">
        <v>51</v>
      </c>
      <c r="H52" t="s">
        <v>220</v>
      </c>
      <c r="I52" t="s">
        <v>53</v>
      </c>
      <c r="J52" t="s">
        <v>54</v>
      </c>
      <c r="K52">
        <v>822733</v>
      </c>
      <c r="L52" t="s">
        <v>224</v>
      </c>
      <c r="M52" t="s">
        <v>225</v>
      </c>
      <c r="N52" t="s">
        <v>57</v>
      </c>
      <c r="O52" s="1">
        <v>45993</v>
      </c>
      <c r="Q52" s="1">
        <v>46024</v>
      </c>
      <c r="R52" s="2">
        <v>52.69</v>
      </c>
      <c r="S52">
        <v>1</v>
      </c>
      <c r="T52" t="s">
        <v>58</v>
      </c>
      <c r="U52" t="s">
        <v>105</v>
      </c>
      <c r="V52" s="4">
        <v>0.6</v>
      </c>
      <c r="W52" s="2">
        <v>0</v>
      </c>
      <c r="X52">
        <v>0</v>
      </c>
      <c r="Y52" t="s">
        <v>83</v>
      </c>
      <c r="Z52" t="s">
        <v>221</v>
      </c>
      <c r="AA52">
        <v>6</v>
      </c>
      <c r="AB52" s="2">
        <v>189.66</v>
      </c>
      <c r="AC52" s="2">
        <v>0</v>
      </c>
      <c r="AD52" s="4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31.61</v>
      </c>
      <c r="AM52" s="2">
        <v>0</v>
      </c>
      <c r="AN52" s="2">
        <v>189.66</v>
      </c>
      <c r="AO52" s="2">
        <v>0</v>
      </c>
      <c r="AP52" s="2">
        <v>0</v>
      </c>
      <c r="AQ52" s="2">
        <v>0</v>
      </c>
    </row>
    <row r="53" spans="1:43" x14ac:dyDescent="0.25">
      <c r="A53" s="1">
        <v>45999</v>
      </c>
      <c r="B53" t="s">
        <v>48</v>
      </c>
      <c r="C53">
        <v>649163</v>
      </c>
      <c r="D53">
        <v>2032462074</v>
      </c>
      <c r="E53" t="s">
        <v>226</v>
      </c>
      <c r="F53" t="s">
        <v>227</v>
      </c>
      <c r="G53" t="s">
        <v>51</v>
      </c>
      <c r="H53" t="s">
        <v>131</v>
      </c>
      <c r="I53" t="s">
        <v>53</v>
      </c>
      <c r="J53" t="s">
        <v>54</v>
      </c>
      <c r="K53">
        <v>673059</v>
      </c>
      <c r="L53" t="s">
        <v>81</v>
      </c>
      <c r="M53" t="s">
        <v>82</v>
      </c>
      <c r="N53" t="s">
        <v>57</v>
      </c>
      <c r="O53" s="1">
        <v>46023</v>
      </c>
      <c r="Q53" s="1">
        <v>46054</v>
      </c>
      <c r="R53" s="2">
        <v>75.67</v>
      </c>
      <c r="S53">
        <v>1</v>
      </c>
      <c r="T53" t="s">
        <v>58</v>
      </c>
      <c r="U53" t="s">
        <v>105</v>
      </c>
      <c r="V53" s="4">
        <v>0.6</v>
      </c>
      <c r="W53" s="2">
        <v>0</v>
      </c>
      <c r="X53">
        <v>0</v>
      </c>
      <c r="Y53" t="s">
        <v>83</v>
      </c>
      <c r="Z53" t="s">
        <v>221</v>
      </c>
      <c r="AA53">
        <v>6</v>
      </c>
      <c r="AB53" s="2">
        <v>272.39999999999998</v>
      </c>
      <c r="AC53" s="2">
        <v>0</v>
      </c>
      <c r="AD53" s="4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45.4</v>
      </c>
      <c r="AM53" s="2">
        <v>0</v>
      </c>
      <c r="AN53" s="2">
        <v>272.39999999999998</v>
      </c>
      <c r="AO53" s="2">
        <v>0</v>
      </c>
      <c r="AP53" s="2">
        <v>0</v>
      </c>
      <c r="AQ53" s="2">
        <v>0</v>
      </c>
    </row>
    <row r="54" spans="1:43" x14ac:dyDescent="0.25">
      <c r="A54" s="1">
        <v>45999</v>
      </c>
      <c r="B54" t="s">
        <v>48</v>
      </c>
      <c r="C54">
        <v>649163</v>
      </c>
      <c r="D54">
        <v>2032465133</v>
      </c>
      <c r="E54" t="s">
        <v>228</v>
      </c>
      <c r="F54" t="s">
        <v>229</v>
      </c>
      <c r="G54" t="s">
        <v>51</v>
      </c>
      <c r="H54" t="s">
        <v>102</v>
      </c>
      <c r="I54" t="s">
        <v>53</v>
      </c>
      <c r="J54" t="s">
        <v>54</v>
      </c>
      <c r="K54">
        <v>894525</v>
      </c>
      <c r="L54" t="s">
        <v>230</v>
      </c>
      <c r="M54" t="s">
        <v>231</v>
      </c>
      <c r="N54" t="s">
        <v>57</v>
      </c>
      <c r="O54" s="1">
        <v>46023</v>
      </c>
      <c r="Q54" s="1">
        <v>46054</v>
      </c>
      <c r="R54" s="2">
        <v>96.55</v>
      </c>
      <c r="S54">
        <v>1</v>
      </c>
      <c r="T54" t="s">
        <v>58</v>
      </c>
      <c r="U54" t="s">
        <v>105</v>
      </c>
      <c r="V54" s="4">
        <v>0.6</v>
      </c>
      <c r="W54" s="2">
        <v>0</v>
      </c>
      <c r="X54">
        <v>0</v>
      </c>
      <c r="Y54" t="s">
        <v>83</v>
      </c>
      <c r="Z54" t="s">
        <v>221</v>
      </c>
      <c r="AA54">
        <v>6</v>
      </c>
      <c r="AB54" s="2">
        <v>347.58</v>
      </c>
      <c r="AC54" s="2">
        <v>0</v>
      </c>
      <c r="AD54" s="4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57.93</v>
      </c>
      <c r="AM54" s="2">
        <v>0</v>
      </c>
      <c r="AN54" s="2">
        <v>347.58</v>
      </c>
      <c r="AO54" s="2">
        <v>0</v>
      </c>
      <c r="AP54" s="2">
        <v>0</v>
      </c>
      <c r="AQ54" s="2">
        <v>0</v>
      </c>
    </row>
    <row r="55" spans="1:43" x14ac:dyDescent="0.25">
      <c r="A55" s="1">
        <v>45999</v>
      </c>
      <c r="B55" t="s">
        <v>48</v>
      </c>
      <c r="C55">
        <v>649163</v>
      </c>
      <c r="D55">
        <v>2032492818</v>
      </c>
      <c r="E55" t="s">
        <v>232</v>
      </c>
      <c r="F55" t="s">
        <v>233</v>
      </c>
      <c r="G55" t="s">
        <v>51</v>
      </c>
      <c r="H55" t="s">
        <v>52</v>
      </c>
      <c r="I55" t="s">
        <v>53</v>
      </c>
      <c r="J55" t="s">
        <v>54</v>
      </c>
      <c r="K55">
        <v>751867</v>
      </c>
      <c r="L55" t="s">
        <v>70</v>
      </c>
      <c r="M55" t="s">
        <v>71</v>
      </c>
      <c r="N55" t="s">
        <v>57</v>
      </c>
      <c r="O55" s="1">
        <v>46023</v>
      </c>
      <c r="Q55" s="1">
        <v>46054</v>
      </c>
      <c r="R55" s="2">
        <v>46.45</v>
      </c>
      <c r="S55">
        <v>1</v>
      </c>
      <c r="T55" t="s">
        <v>58</v>
      </c>
      <c r="U55" t="s">
        <v>105</v>
      </c>
      <c r="V55" s="4">
        <v>0.6</v>
      </c>
      <c r="W55" s="2">
        <v>0</v>
      </c>
      <c r="X55">
        <v>0</v>
      </c>
      <c r="Y55" t="s">
        <v>83</v>
      </c>
      <c r="Z55" t="s">
        <v>221</v>
      </c>
      <c r="AA55">
        <v>6</v>
      </c>
      <c r="AB55" s="2">
        <v>167.22</v>
      </c>
      <c r="AC55" s="2">
        <v>0</v>
      </c>
      <c r="AD55" s="4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27.87</v>
      </c>
      <c r="AM55" s="2">
        <v>0</v>
      </c>
      <c r="AN55" s="2">
        <v>167.22</v>
      </c>
      <c r="AO55" s="2">
        <v>0</v>
      </c>
      <c r="AP55" s="2">
        <v>0</v>
      </c>
      <c r="AQ55" s="2">
        <v>0</v>
      </c>
    </row>
    <row r="56" spans="1:43" x14ac:dyDescent="0.25">
      <c r="A56" s="1">
        <v>45999</v>
      </c>
      <c r="B56" t="s">
        <v>48</v>
      </c>
      <c r="C56">
        <v>649163</v>
      </c>
      <c r="D56">
        <v>2032496013</v>
      </c>
      <c r="E56" t="s">
        <v>234</v>
      </c>
      <c r="F56" t="s">
        <v>182</v>
      </c>
      <c r="G56" t="s">
        <v>51</v>
      </c>
      <c r="H56" t="s">
        <v>52</v>
      </c>
      <c r="I56" t="s">
        <v>53</v>
      </c>
      <c r="J56" t="s">
        <v>54</v>
      </c>
      <c r="K56">
        <v>650794</v>
      </c>
      <c r="L56" t="s">
        <v>235</v>
      </c>
      <c r="M56" t="s">
        <v>236</v>
      </c>
      <c r="N56" t="s">
        <v>57</v>
      </c>
      <c r="O56" s="1">
        <v>46023</v>
      </c>
      <c r="Q56" s="1">
        <v>46054</v>
      </c>
      <c r="R56" s="2">
        <v>69.5</v>
      </c>
      <c r="S56">
        <v>1</v>
      </c>
      <c r="T56" t="s">
        <v>58</v>
      </c>
      <c r="U56" t="s">
        <v>105</v>
      </c>
      <c r="V56" s="4">
        <v>0.6</v>
      </c>
      <c r="W56" s="2">
        <v>0</v>
      </c>
      <c r="X56">
        <v>0</v>
      </c>
      <c r="Y56" t="s">
        <v>83</v>
      </c>
      <c r="Z56" t="s">
        <v>221</v>
      </c>
      <c r="AA56">
        <v>6</v>
      </c>
      <c r="AB56" s="2">
        <v>250.2</v>
      </c>
      <c r="AC56" s="2">
        <v>0</v>
      </c>
      <c r="AD56" s="4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41.7</v>
      </c>
      <c r="AM56" s="2">
        <v>0</v>
      </c>
      <c r="AN56" s="2">
        <v>250.2</v>
      </c>
      <c r="AO56" s="2">
        <v>0</v>
      </c>
      <c r="AP56" s="2">
        <v>0</v>
      </c>
      <c r="AQ56" s="2">
        <v>0</v>
      </c>
    </row>
    <row r="57" spans="1:43" x14ac:dyDescent="0.25">
      <c r="A57" s="1">
        <v>45999</v>
      </c>
      <c r="B57" t="s">
        <v>48</v>
      </c>
      <c r="C57">
        <v>649163</v>
      </c>
      <c r="D57">
        <v>2032496773</v>
      </c>
      <c r="E57" t="s">
        <v>237</v>
      </c>
      <c r="F57" t="s">
        <v>157</v>
      </c>
      <c r="G57" t="s">
        <v>51</v>
      </c>
      <c r="H57" t="s">
        <v>210</v>
      </c>
      <c r="I57" t="s">
        <v>53</v>
      </c>
      <c r="J57" t="s">
        <v>54</v>
      </c>
      <c r="K57">
        <v>673059</v>
      </c>
      <c r="L57" t="s">
        <v>81</v>
      </c>
      <c r="M57" t="s">
        <v>82</v>
      </c>
      <c r="N57" t="s">
        <v>57</v>
      </c>
      <c r="O57" s="1">
        <v>46023</v>
      </c>
      <c r="Q57" s="1">
        <v>46054</v>
      </c>
      <c r="R57" s="2">
        <v>93.26</v>
      </c>
      <c r="S57">
        <v>1</v>
      </c>
      <c r="T57" t="s">
        <v>58</v>
      </c>
      <c r="U57" t="s">
        <v>105</v>
      </c>
      <c r="V57" s="4">
        <v>0.6</v>
      </c>
      <c r="W57" s="2">
        <v>0</v>
      </c>
      <c r="X57">
        <v>0</v>
      </c>
      <c r="Y57" t="s">
        <v>83</v>
      </c>
      <c r="Z57" t="s">
        <v>221</v>
      </c>
      <c r="AA57">
        <v>6</v>
      </c>
      <c r="AB57" s="2">
        <v>335.76</v>
      </c>
      <c r="AC57" s="2">
        <v>0</v>
      </c>
      <c r="AD57" s="4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55.96</v>
      </c>
      <c r="AM57" s="2">
        <v>0</v>
      </c>
      <c r="AN57" s="2">
        <v>335.76</v>
      </c>
      <c r="AO57" s="2">
        <v>0</v>
      </c>
      <c r="AP57" s="2">
        <v>0</v>
      </c>
      <c r="AQ57" s="2">
        <v>0</v>
      </c>
    </row>
    <row r="58" spans="1:43" x14ac:dyDescent="0.25">
      <c r="A58" s="1">
        <v>45999</v>
      </c>
      <c r="B58" t="s">
        <v>48</v>
      </c>
      <c r="C58">
        <v>649163</v>
      </c>
      <c r="D58">
        <v>2032515206</v>
      </c>
      <c r="E58" t="s">
        <v>238</v>
      </c>
      <c r="F58" t="s">
        <v>65</v>
      </c>
      <c r="G58" t="s">
        <v>51</v>
      </c>
      <c r="H58" t="s">
        <v>52</v>
      </c>
      <c r="I58" t="s">
        <v>53</v>
      </c>
      <c r="J58" t="s">
        <v>54</v>
      </c>
      <c r="K58">
        <v>649247</v>
      </c>
      <c r="L58" t="s">
        <v>187</v>
      </c>
      <c r="M58" t="s">
        <v>188</v>
      </c>
      <c r="N58" t="s">
        <v>57</v>
      </c>
      <c r="O58" s="1">
        <v>46023</v>
      </c>
      <c r="Q58" s="1">
        <v>46054</v>
      </c>
      <c r="R58" s="2">
        <v>79.75</v>
      </c>
      <c r="S58">
        <v>1</v>
      </c>
      <c r="T58" t="s">
        <v>58</v>
      </c>
      <c r="U58" t="s">
        <v>105</v>
      </c>
      <c r="V58" s="4">
        <v>0.6</v>
      </c>
      <c r="W58" s="2">
        <v>0</v>
      </c>
      <c r="X58">
        <v>0</v>
      </c>
      <c r="Y58" t="s">
        <v>83</v>
      </c>
      <c r="Z58" t="s">
        <v>221</v>
      </c>
      <c r="AA58">
        <v>6</v>
      </c>
      <c r="AB58" s="2">
        <v>287.10000000000002</v>
      </c>
      <c r="AC58" s="2">
        <v>0</v>
      </c>
      <c r="AD58" s="4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47.85</v>
      </c>
      <c r="AM58" s="2">
        <v>0</v>
      </c>
      <c r="AN58" s="2">
        <v>287.10000000000002</v>
      </c>
      <c r="AO58" s="2">
        <v>0</v>
      </c>
      <c r="AP58" s="2">
        <v>0</v>
      </c>
      <c r="AQ58" s="2">
        <v>0</v>
      </c>
    </row>
    <row r="59" spans="1:43" x14ac:dyDescent="0.25">
      <c r="A59" s="1">
        <v>45999</v>
      </c>
      <c r="B59" t="s">
        <v>48</v>
      </c>
      <c r="C59">
        <v>649163</v>
      </c>
      <c r="D59">
        <v>2032537368</v>
      </c>
      <c r="E59" t="s">
        <v>239</v>
      </c>
      <c r="F59" t="s">
        <v>240</v>
      </c>
      <c r="G59" t="s">
        <v>51</v>
      </c>
      <c r="H59" t="s">
        <v>52</v>
      </c>
      <c r="I59" t="s">
        <v>53</v>
      </c>
      <c r="J59" t="s">
        <v>54</v>
      </c>
      <c r="K59">
        <v>650794</v>
      </c>
      <c r="L59" t="s">
        <v>235</v>
      </c>
      <c r="M59" t="s">
        <v>236</v>
      </c>
      <c r="N59" t="s">
        <v>57</v>
      </c>
      <c r="O59" s="1">
        <v>46023</v>
      </c>
      <c r="Q59" s="1">
        <v>46054</v>
      </c>
      <c r="R59" s="2">
        <v>69.5</v>
      </c>
      <c r="S59">
        <v>1</v>
      </c>
      <c r="T59" t="s">
        <v>58</v>
      </c>
      <c r="U59" t="s">
        <v>105</v>
      </c>
      <c r="V59" s="4">
        <v>0.6</v>
      </c>
      <c r="W59" s="2">
        <v>0</v>
      </c>
      <c r="X59">
        <v>0</v>
      </c>
      <c r="Y59" t="s">
        <v>83</v>
      </c>
      <c r="Z59" t="s">
        <v>221</v>
      </c>
      <c r="AA59">
        <v>6</v>
      </c>
      <c r="AB59" s="2">
        <v>250.2</v>
      </c>
      <c r="AC59" s="2">
        <v>0</v>
      </c>
      <c r="AD59" s="4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41.7</v>
      </c>
      <c r="AM59" s="2">
        <v>0</v>
      </c>
      <c r="AN59" s="2">
        <v>250.2</v>
      </c>
      <c r="AO59" s="2">
        <v>0</v>
      </c>
      <c r="AP59" s="2">
        <v>0</v>
      </c>
      <c r="AQ59" s="2">
        <v>0</v>
      </c>
    </row>
    <row r="60" spans="1:43" x14ac:dyDescent="0.25">
      <c r="A60" s="1">
        <v>45999</v>
      </c>
      <c r="B60" t="s">
        <v>48</v>
      </c>
      <c r="C60">
        <v>649163</v>
      </c>
      <c r="D60">
        <v>2031947561</v>
      </c>
      <c r="E60" t="s">
        <v>241</v>
      </c>
      <c r="F60" t="s">
        <v>242</v>
      </c>
      <c r="G60" t="s">
        <v>51</v>
      </c>
      <c r="H60" t="s">
        <v>97</v>
      </c>
      <c r="I60" t="s">
        <v>75</v>
      </c>
      <c r="J60" t="s">
        <v>243</v>
      </c>
      <c r="K60">
        <v>673059</v>
      </c>
      <c r="L60" t="s">
        <v>81</v>
      </c>
      <c r="M60" t="s">
        <v>82</v>
      </c>
      <c r="N60" t="s">
        <v>57</v>
      </c>
      <c r="O60" s="1">
        <v>46023</v>
      </c>
      <c r="Q60" s="1">
        <v>46054</v>
      </c>
      <c r="R60" s="2">
        <v>22.15</v>
      </c>
      <c r="S60">
        <v>1</v>
      </c>
      <c r="T60" t="s">
        <v>58</v>
      </c>
      <c r="U60" t="s">
        <v>105</v>
      </c>
      <c r="V60" s="4">
        <v>0.75</v>
      </c>
      <c r="W60" s="2">
        <v>0</v>
      </c>
      <c r="X60">
        <v>0</v>
      </c>
      <c r="Y60" t="s">
        <v>83</v>
      </c>
      <c r="Z60" t="s">
        <v>221</v>
      </c>
      <c r="AA60">
        <v>6</v>
      </c>
      <c r="AB60" s="2">
        <v>99.66</v>
      </c>
      <c r="AC60" s="2">
        <v>0</v>
      </c>
      <c r="AD60" s="4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16.61</v>
      </c>
      <c r="AM60" s="2">
        <v>0</v>
      </c>
      <c r="AN60" s="2">
        <v>99.66</v>
      </c>
      <c r="AO60" s="2">
        <v>0</v>
      </c>
      <c r="AP60" s="2">
        <v>0</v>
      </c>
      <c r="AQ60" s="2">
        <v>0</v>
      </c>
    </row>
    <row r="61" spans="1:43" x14ac:dyDescent="0.25">
      <c r="A61" s="1">
        <v>45999</v>
      </c>
      <c r="B61" t="s">
        <v>48</v>
      </c>
      <c r="C61">
        <v>649163</v>
      </c>
      <c r="D61">
        <v>2031988912</v>
      </c>
      <c r="E61" t="s">
        <v>244</v>
      </c>
      <c r="F61" t="s">
        <v>245</v>
      </c>
      <c r="G61" t="s">
        <v>51</v>
      </c>
      <c r="H61" t="s">
        <v>102</v>
      </c>
      <c r="I61" t="s">
        <v>75</v>
      </c>
      <c r="J61" t="s">
        <v>80</v>
      </c>
      <c r="K61">
        <v>651818</v>
      </c>
      <c r="L61" t="s">
        <v>246</v>
      </c>
      <c r="M61" t="s">
        <v>247</v>
      </c>
      <c r="N61" t="s">
        <v>57</v>
      </c>
      <c r="O61" s="1">
        <v>45996</v>
      </c>
      <c r="Q61" s="1">
        <v>46027</v>
      </c>
      <c r="R61" s="2">
        <v>36.130000000000003</v>
      </c>
      <c r="S61">
        <v>1</v>
      </c>
      <c r="T61" t="s">
        <v>58</v>
      </c>
      <c r="U61" t="s">
        <v>105</v>
      </c>
      <c r="V61" s="4">
        <v>0.9</v>
      </c>
      <c r="W61" s="2">
        <v>0</v>
      </c>
      <c r="X61">
        <v>0</v>
      </c>
      <c r="Y61" t="s">
        <v>83</v>
      </c>
      <c r="Z61" t="s">
        <v>221</v>
      </c>
      <c r="AA61">
        <v>6</v>
      </c>
      <c r="AB61" s="2">
        <v>195.12</v>
      </c>
      <c r="AC61" s="2">
        <v>0</v>
      </c>
      <c r="AD61" s="4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32.520000000000003</v>
      </c>
      <c r="AM61" s="2">
        <v>0</v>
      </c>
      <c r="AN61" s="2">
        <v>195.12</v>
      </c>
      <c r="AO61" s="2">
        <v>0</v>
      </c>
      <c r="AP61" s="2">
        <v>0</v>
      </c>
      <c r="AQ61" s="2">
        <v>0</v>
      </c>
    </row>
    <row r="62" spans="1:43" x14ac:dyDescent="0.25">
      <c r="A62" s="1">
        <v>45999</v>
      </c>
      <c r="B62" t="s">
        <v>48</v>
      </c>
      <c r="C62">
        <v>649163</v>
      </c>
      <c r="D62">
        <v>2032077086</v>
      </c>
      <c r="E62" t="s">
        <v>248</v>
      </c>
      <c r="F62" t="s">
        <v>249</v>
      </c>
      <c r="G62" t="s">
        <v>51</v>
      </c>
      <c r="H62" t="s">
        <v>97</v>
      </c>
      <c r="I62" t="s">
        <v>75</v>
      </c>
      <c r="J62" t="s">
        <v>243</v>
      </c>
      <c r="K62">
        <v>651818</v>
      </c>
      <c r="L62" t="s">
        <v>246</v>
      </c>
      <c r="M62" t="s">
        <v>247</v>
      </c>
      <c r="N62" t="s">
        <v>57</v>
      </c>
      <c r="O62" s="1">
        <v>45997</v>
      </c>
      <c r="Q62" s="1">
        <v>46028</v>
      </c>
      <c r="R62" s="2">
        <v>79.8</v>
      </c>
      <c r="S62">
        <v>1</v>
      </c>
      <c r="T62" t="s">
        <v>58</v>
      </c>
      <c r="U62" t="s">
        <v>105</v>
      </c>
      <c r="V62" s="4">
        <v>0.75</v>
      </c>
      <c r="W62" s="2">
        <v>0</v>
      </c>
      <c r="X62">
        <v>0</v>
      </c>
      <c r="Y62" t="s">
        <v>83</v>
      </c>
      <c r="Z62" t="s">
        <v>221</v>
      </c>
      <c r="AA62">
        <v>6</v>
      </c>
      <c r="AB62" s="2">
        <v>359.1</v>
      </c>
      <c r="AC62" s="2">
        <v>0</v>
      </c>
      <c r="AD62" s="4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59.85</v>
      </c>
      <c r="AM62" s="2">
        <v>0</v>
      </c>
      <c r="AN62" s="2">
        <v>359.1</v>
      </c>
      <c r="AO62" s="2">
        <v>0</v>
      </c>
      <c r="AP62" s="2">
        <v>0</v>
      </c>
      <c r="AQ62" s="2">
        <v>0</v>
      </c>
    </row>
    <row r="63" spans="1:43" x14ac:dyDescent="0.25">
      <c r="A63" s="1">
        <v>45999</v>
      </c>
      <c r="B63" t="s">
        <v>48</v>
      </c>
      <c r="C63">
        <v>649163</v>
      </c>
      <c r="D63">
        <v>2032283205</v>
      </c>
      <c r="E63" t="s">
        <v>250</v>
      </c>
      <c r="F63" t="s">
        <v>96</v>
      </c>
      <c r="G63" t="s">
        <v>51</v>
      </c>
      <c r="H63" t="s">
        <v>102</v>
      </c>
      <c r="I63" t="s">
        <v>75</v>
      </c>
      <c r="J63" t="s">
        <v>243</v>
      </c>
      <c r="K63">
        <v>651818</v>
      </c>
      <c r="L63" t="s">
        <v>246</v>
      </c>
      <c r="M63" t="s">
        <v>247</v>
      </c>
      <c r="N63" t="s">
        <v>57</v>
      </c>
      <c r="O63" s="1">
        <v>45997</v>
      </c>
      <c r="Q63" s="1">
        <v>46028</v>
      </c>
      <c r="R63" s="2">
        <v>177.01</v>
      </c>
      <c r="S63">
        <v>1</v>
      </c>
      <c r="T63" t="s">
        <v>58</v>
      </c>
      <c r="U63" t="s">
        <v>105</v>
      </c>
      <c r="V63" s="4">
        <v>0.75</v>
      </c>
      <c r="W63" s="2">
        <v>0</v>
      </c>
      <c r="X63">
        <v>0</v>
      </c>
      <c r="Y63" t="s">
        <v>83</v>
      </c>
      <c r="Z63" t="s">
        <v>221</v>
      </c>
      <c r="AA63">
        <v>6</v>
      </c>
      <c r="AB63" s="2">
        <v>796.56</v>
      </c>
      <c r="AC63" s="2">
        <v>0</v>
      </c>
      <c r="AD63" s="4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132.76</v>
      </c>
      <c r="AM63" s="2">
        <v>0</v>
      </c>
      <c r="AN63" s="2">
        <v>796.56</v>
      </c>
      <c r="AO63" s="2">
        <v>0</v>
      </c>
      <c r="AP63" s="2">
        <v>0</v>
      </c>
      <c r="AQ63" s="2">
        <v>0</v>
      </c>
    </row>
    <row r="64" spans="1:43" x14ac:dyDescent="0.25">
      <c r="A64" s="1">
        <v>45999</v>
      </c>
      <c r="B64" t="s">
        <v>48</v>
      </c>
      <c r="C64">
        <v>649163</v>
      </c>
      <c r="D64">
        <v>2032333660</v>
      </c>
      <c r="E64" t="s">
        <v>251</v>
      </c>
      <c r="F64" t="s">
        <v>252</v>
      </c>
      <c r="G64" t="s">
        <v>51</v>
      </c>
      <c r="H64" t="s">
        <v>102</v>
      </c>
      <c r="I64" t="s">
        <v>75</v>
      </c>
      <c r="J64" t="s">
        <v>243</v>
      </c>
      <c r="K64">
        <v>843573</v>
      </c>
      <c r="L64" t="s">
        <v>253</v>
      </c>
      <c r="M64" t="s">
        <v>254</v>
      </c>
      <c r="N64" t="s">
        <v>57</v>
      </c>
      <c r="O64" s="1">
        <v>45993</v>
      </c>
      <c r="Q64" s="1">
        <v>46024</v>
      </c>
      <c r="R64" s="2">
        <v>149.29</v>
      </c>
      <c r="S64">
        <v>1</v>
      </c>
      <c r="T64" t="s">
        <v>58</v>
      </c>
      <c r="U64" t="s">
        <v>105</v>
      </c>
      <c r="V64" s="4">
        <v>0.75</v>
      </c>
      <c r="W64" s="2">
        <v>0</v>
      </c>
      <c r="X64">
        <v>0</v>
      </c>
      <c r="Y64" t="s">
        <v>83</v>
      </c>
      <c r="Z64" t="s">
        <v>221</v>
      </c>
      <c r="AA64">
        <v>6</v>
      </c>
      <c r="AB64" s="2">
        <v>671.82</v>
      </c>
      <c r="AC64" s="2">
        <v>0</v>
      </c>
      <c r="AD64" s="4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111.97</v>
      </c>
      <c r="AM64" s="2">
        <v>0</v>
      </c>
      <c r="AN64" s="2">
        <v>671.82</v>
      </c>
      <c r="AO64" s="2">
        <v>0</v>
      </c>
      <c r="AP64" s="2">
        <v>0</v>
      </c>
      <c r="AQ64" s="2">
        <v>0</v>
      </c>
    </row>
    <row r="65" spans="1:43" x14ac:dyDescent="0.25">
      <c r="A65" s="1">
        <v>45999</v>
      </c>
      <c r="B65" t="s">
        <v>48</v>
      </c>
      <c r="C65">
        <v>649163</v>
      </c>
      <c r="D65">
        <v>2032417243</v>
      </c>
      <c r="E65" t="s">
        <v>219</v>
      </c>
      <c r="F65" t="s">
        <v>82</v>
      </c>
      <c r="G65" t="s">
        <v>51</v>
      </c>
      <c r="H65" t="s">
        <v>220</v>
      </c>
      <c r="I65" t="s">
        <v>75</v>
      </c>
      <c r="J65" t="s">
        <v>80</v>
      </c>
      <c r="K65">
        <v>673059</v>
      </c>
      <c r="L65" t="s">
        <v>81</v>
      </c>
      <c r="M65" t="s">
        <v>82</v>
      </c>
      <c r="N65" t="s">
        <v>57</v>
      </c>
      <c r="O65" s="1">
        <v>46023</v>
      </c>
      <c r="Q65" s="1">
        <v>46054</v>
      </c>
      <c r="R65" s="2">
        <v>90.94</v>
      </c>
      <c r="S65">
        <v>1</v>
      </c>
      <c r="T65" t="s">
        <v>58</v>
      </c>
      <c r="U65" t="s">
        <v>105</v>
      </c>
      <c r="V65" s="4">
        <v>0.9</v>
      </c>
      <c r="W65" s="2">
        <v>0</v>
      </c>
      <c r="X65">
        <v>0</v>
      </c>
      <c r="Y65" t="s">
        <v>83</v>
      </c>
      <c r="Z65" t="s">
        <v>221</v>
      </c>
      <c r="AA65">
        <v>6</v>
      </c>
      <c r="AB65" s="2">
        <v>491.1</v>
      </c>
      <c r="AC65" s="2">
        <v>0</v>
      </c>
      <c r="AD65" s="4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81.849999999999994</v>
      </c>
      <c r="AM65" s="2">
        <v>0</v>
      </c>
      <c r="AN65" s="2">
        <v>491.1</v>
      </c>
      <c r="AO65" s="2">
        <v>0</v>
      </c>
      <c r="AP65" s="2">
        <v>0</v>
      </c>
      <c r="AQ65" s="2">
        <v>0</v>
      </c>
    </row>
    <row r="66" spans="1:43" x14ac:dyDescent="0.25">
      <c r="A66" s="1">
        <v>45999</v>
      </c>
      <c r="B66" t="s">
        <v>48</v>
      </c>
      <c r="C66">
        <v>649163</v>
      </c>
      <c r="D66">
        <v>2032431198</v>
      </c>
      <c r="E66" t="s">
        <v>255</v>
      </c>
      <c r="F66" t="s">
        <v>192</v>
      </c>
      <c r="G66" t="s">
        <v>51</v>
      </c>
      <c r="H66" t="s">
        <v>256</v>
      </c>
      <c r="I66" t="s">
        <v>75</v>
      </c>
      <c r="J66" t="s">
        <v>80</v>
      </c>
      <c r="K66">
        <v>651818</v>
      </c>
      <c r="L66" t="s">
        <v>246</v>
      </c>
      <c r="M66" t="s">
        <v>247</v>
      </c>
      <c r="N66" t="s">
        <v>57</v>
      </c>
      <c r="O66" s="1">
        <v>45994</v>
      </c>
      <c r="Q66" s="1">
        <v>46025</v>
      </c>
      <c r="R66" s="2">
        <v>65.650000000000006</v>
      </c>
      <c r="S66">
        <v>1</v>
      </c>
      <c r="T66" t="s">
        <v>58</v>
      </c>
      <c r="U66" t="s">
        <v>105</v>
      </c>
      <c r="V66" s="4">
        <v>0.9</v>
      </c>
      <c r="W66" s="2">
        <v>0</v>
      </c>
      <c r="X66">
        <v>0</v>
      </c>
      <c r="Y66" t="s">
        <v>83</v>
      </c>
      <c r="Z66" t="s">
        <v>221</v>
      </c>
      <c r="AA66">
        <v>6</v>
      </c>
      <c r="AB66" s="2">
        <v>354.48</v>
      </c>
      <c r="AC66" s="2">
        <v>0</v>
      </c>
      <c r="AD66" s="4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59.08</v>
      </c>
      <c r="AM66" s="2">
        <v>0</v>
      </c>
      <c r="AN66" s="2">
        <v>354.48</v>
      </c>
      <c r="AO66" s="2">
        <v>0</v>
      </c>
      <c r="AP66" s="2">
        <v>0</v>
      </c>
      <c r="AQ66" s="2">
        <v>0</v>
      </c>
    </row>
    <row r="67" spans="1:43" x14ac:dyDescent="0.25">
      <c r="A67" s="1">
        <v>45999</v>
      </c>
      <c r="B67" t="s">
        <v>48</v>
      </c>
      <c r="C67">
        <v>649163</v>
      </c>
      <c r="D67">
        <v>2032444198</v>
      </c>
      <c r="E67" t="s">
        <v>244</v>
      </c>
      <c r="F67" t="s">
        <v>147</v>
      </c>
      <c r="G67" t="s">
        <v>51</v>
      </c>
      <c r="H67" t="s">
        <v>220</v>
      </c>
      <c r="I67" t="s">
        <v>75</v>
      </c>
      <c r="J67" t="s">
        <v>243</v>
      </c>
      <c r="K67">
        <v>823350</v>
      </c>
      <c r="L67" t="s">
        <v>257</v>
      </c>
      <c r="M67" t="s">
        <v>258</v>
      </c>
      <c r="N67" t="s">
        <v>57</v>
      </c>
      <c r="O67" s="1">
        <v>45995</v>
      </c>
      <c r="Q67" s="1">
        <v>46026</v>
      </c>
      <c r="R67" s="2">
        <v>96.75</v>
      </c>
      <c r="S67">
        <v>1</v>
      </c>
      <c r="T67" t="s">
        <v>58</v>
      </c>
      <c r="U67" t="s">
        <v>105</v>
      </c>
      <c r="V67" s="4">
        <v>0.75</v>
      </c>
      <c r="W67" s="2">
        <v>0</v>
      </c>
      <c r="X67">
        <v>0</v>
      </c>
      <c r="Y67" t="s">
        <v>83</v>
      </c>
      <c r="Z67" t="s">
        <v>221</v>
      </c>
      <c r="AA67">
        <v>6</v>
      </c>
      <c r="AB67" s="2">
        <v>435.36</v>
      </c>
      <c r="AC67" s="2">
        <v>0</v>
      </c>
      <c r="AD67" s="4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72.56</v>
      </c>
      <c r="AM67" s="2">
        <v>0</v>
      </c>
      <c r="AN67" s="2">
        <v>435.36</v>
      </c>
      <c r="AO67" s="2">
        <v>0</v>
      </c>
      <c r="AP67" s="2">
        <v>0</v>
      </c>
      <c r="AQ67" s="2">
        <v>0</v>
      </c>
    </row>
    <row r="68" spans="1:43" x14ac:dyDescent="0.25">
      <c r="A68" s="1">
        <v>45999</v>
      </c>
      <c r="B68" t="s">
        <v>48</v>
      </c>
      <c r="C68">
        <v>649163</v>
      </c>
      <c r="D68">
        <v>2032445034</v>
      </c>
      <c r="E68" t="s">
        <v>259</v>
      </c>
      <c r="F68" t="s">
        <v>260</v>
      </c>
      <c r="G68" t="s">
        <v>51</v>
      </c>
      <c r="H68" t="s">
        <v>102</v>
      </c>
      <c r="I68" t="s">
        <v>75</v>
      </c>
      <c r="J68" t="s">
        <v>80</v>
      </c>
      <c r="K68">
        <v>824062</v>
      </c>
      <c r="L68" t="s">
        <v>261</v>
      </c>
      <c r="M68" t="s">
        <v>262</v>
      </c>
      <c r="N68" t="s">
        <v>57</v>
      </c>
      <c r="O68" s="1">
        <v>46006</v>
      </c>
      <c r="Q68" s="1">
        <v>46037</v>
      </c>
      <c r="R68" s="2">
        <v>29.67</v>
      </c>
      <c r="S68">
        <v>1</v>
      </c>
      <c r="T68" t="s">
        <v>58</v>
      </c>
      <c r="U68" t="s">
        <v>105</v>
      </c>
      <c r="V68" s="4">
        <v>0.9</v>
      </c>
      <c r="W68" s="2">
        <v>0</v>
      </c>
      <c r="X68">
        <v>0</v>
      </c>
      <c r="Y68" t="s">
        <v>83</v>
      </c>
      <c r="Z68" t="s">
        <v>221</v>
      </c>
      <c r="AA68">
        <v>6</v>
      </c>
      <c r="AB68" s="2">
        <v>160.19999999999999</v>
      </c>
      <c r="AC68" s="2">
        <v>0</v>
      </c>
      <c r="AD68" s="4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26.7</v>
      </c>
      <c r="AM68" s="2">
        <v>0</v>
      </c>
      <c r="AN68" s="2">
        <v>160.19999999999999</v>
      </c>
      <c r="AO68" s="2">
        <v>0</v>
      </c>
      <c r="AP68" s="2">
        <v>0</v>
      </c>
      <c r="AQ68" s="2">
        <v>0</v>
      </c>
    </row>
    <row r="69" spans="1:43" x14ac:dyDescent="0.25">
      <c r="A69" s="1">
        <v>45999</v>
      </c>
      <c r="B69" t="s">
        <v>48</v>
      </c>
      <c r="C69">
        <v>649163</v>
      </c>
      <c r="D69">
        <v>2032448444</v>
      </c>
      <c r="E69" t="s">
        <v>263</v>
      </c>
      <c r="F69" t="s">
        <v>264</v>
      </c>
      <c r="G69" t="s">
        <v>51</v>
      </c>
      <c r="H69" t="s">
        <v>163</v>
      </c>
      <c r="I69" t="s">
        <v>75</v>
      </c>
      <c r="J69" t="s">
        <v>80</v>
      </c>
      <c r="K69">
        <v>823068</v>
      </c>
      <c r="L69" t="s">
        <v>165</v>
      </c>
      <c r="M69" t="s">
        <v>166</v>
      </c>
      <c r="N69" t="s">
        <v>57</v>
      </c>
      <c r="O69" s="1">
        <v>45993</v>
      </c>
      <c r="Q69" s="1">
        <v>46024</v>
      </c>
      <c r="R69" s="2">
        <v>15.25</v>
      </c>
      <c r="S69">
        <v>1</v>
      </c>
      <c r="T69" t="s">
        <v>58</v>
      </c>
      <c r="U69" t="s">
        <v>105</v>
      </c>
      <c r="V69" s="4">
        <v>0.9</v>
      </c>
      <c r="W69" s="2">
        <v>0</v>
      </c>
      <c r="X69">
        <v>0</v>
      </c>
      <c r="Y69" t="s">
        <v>83</v>
      </c>
      <c r="Z69" t="s">
        <v>221</v>
      </c>
      <c r="AA69">
        <v>6</v>
      </c>
      <c r="AB69" s="2">
        <v>82.32</v>
      </c>
      <c r="AC69" s="2">
        <v>0</v>
      </c>
      <c r="AD69" s="4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13.72</v>
      </c>
      <c r="AM69" s="2">
        <v>0</v>
      </c>
      <c r="AN69" s="2">
        <v>82.32</v>
      </c>
      <c r="AO69" s="2">
        <v>0</v>
      </c>
      <c r="AP69" s="2">
        <v>0</v>
      </c>
      <c r="AQ69" s="2">
        <v>0</v>
      </c>
    </row>
    <row r="70" spans="1:43" x14ac:dyDescent="0.25">
      <c r="A70" s="1">
        <v>45999</v>
      </c>
      <c r="B70" t="s">
        <v>48</v>
      </c>
      <c r="C70">
        <v>649163</v>
      </c>
      <c r="D70">
        <v>2032448985</v>
      </c>
      <c r="E70" t="s">
        <v>263</v>
      </c>
      <c r="F70" t="s">
        <v>182</v>
      </c>
      <c r="G70" t="s">
        <v>51</v>
      </c>
      <c r="H70" t="s">
        <v>163</v>
      </c>
      <c r="I70" t="s">
        <v>75</v>
      </c>
      <c r="J70" t="s">
        <v>80</v>
      </c>
      <c r="K70">
        <v>823068</v>
      </c>
      <c r="L70" t="s">
        <v>165</v>
      </c>
      <c r="M70" t="s">
        <v>166</v>
      </c>
      <c r="N70" t="s">
        <v>57</v>
      </c>
      <c r="O70" s="1">
        <v>45993</v>
      </c>
      <c r="Q70" s="1">
        <v>46024</v>
      </c>
      <c r="R70" s="2">
        <v>129.13999999999999</v>
      </c>
      <c r="S70">
        <v>1</v>
      </c>
      <c r="T70" t="s">
        <v>58</v>
      </c>
      <c r="U70" t="s">
        <v>105</v>
      </c>
      <c r="V70" s="4">
        <v>0.9</v>
      </c>
      <c r="W70" s="2">
        <v>0</v>
      </c>
      <c r="X70">
        <v>0</v>
      </c>
      <c r="Y70" t="s">
        <v>83</v>
      </c>
      <c r="Z70" t="s">
        <v>221</v>
      </c>
      <c r="AA70">
        <v>6</v>
      </c>
      <c r="AB70" s="2">
        <v>697.38</v>
      </c>
      <c r="AC70" s="2">
        <v>0</v>
      </c>
      <c r="AD70" s="4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116.23</v>
      </c>
      <c r="AM70" s="2">
        <v>0</v>
      </c>
      <c r="AN70" s="2">
        <v>697.38</v>
      </c>
      <c r="AO70" s="2">
        <v>0</v>
      </c>
      <c r="AP70" s="2">
        <v>0</v>
      </c>
      <c r="AQ70" s="2">
        <v>0</v>
      </c>
    </row>
    <row r="71" spans="1:43" x14ac:dyDescent="0.25">
      <c r="A71" s="1">
        <v>45999</v>
      </c>
      <c r="B71" t="s">
        <v>48</v>
      </c>
      <c r="C71">
        <v>649163</v>
      </c>
      <c r="D71">
        <v>2026047881</v>
      </c>
      <c r="E71" t="s">
        <v>265</v>
      </c>
      <c r="F71" t="s">
        <v>266</v>
      </c>
      <c r="G71" t="s">
        <v>51</v>
      </c>
      <c r="H71" t="s">
        <v>267</v>
      </c>
      <c r="I71" t="s">
        <v>86</v>
      </c>
      <c r="J71" t="s">
        <v>87</v>
      </c>
      <c r="K71">
        <v>651818</v>
      </c>
      <c r="L71" t="s">
        <v>246</v>
      </c>
      <c r="M71" t="s">
        <v>247</v>
      </c>
      <c r="N71" t="s">
        <v>57</v>
      </c>
      <c r="O71" s="1">
        <v>45633</v>
      </c>
      <c r="Q71" s="1">
        <v>46029</v>
      </c>
      <c r="R71" s="2">
        <v>40.07</v>
      </c>
      <c r="S71">
        <v>1</v>
      </c>
      <c r="T71" t="s">
        <v>58</v>
      </c>
      <c r="U71" t="s">
        <v>59</v>
      </c>
      <c r="V71" s="4">
        <v>0.06</v>
      </c>
      <c r="W71" s="2">
        <v>0</v>
      </c>
      <c r="X71">
        <v>0</v>
      </c>
      <c r="Y71" t="s">
        <v>60</v>
      </c>
      <c r="Z71" t="s">
        <v>61</v>
      </c>
      <c r="AA71">
        <v>0</v>
      </c>
      <c r="AB71" s="2">
        <v>0</v>
      </c>
      <c r="AC71" s="2">
        <v>0</v>
      </c>
      <c r="AD71" s="4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2.4</v>
      </c>
      <c r="AN71" s="2">
        <v>2.4</v>
      </c>
      <c r="AO71" s="2">
        <v>0</v>
      </c>
      <c r="AP71" s="2">
        <v>0</v>
      </c>
      <c r="AQ71" s="2">
        <v>0</v>
      </c>
    </row>
    <row r="72" spans="1:43" x14ac:dyDescent="0.25">
      <c r="A72" s="1">
        <v>45999</v>
      </c>
      <c r="B72" t="s">
        <v>48</v>
      </c>
      <c r="C72">
        <v>649163</v>
      </c>
      <c r="D72">
        <v>2032480605</v>
      </c>
      <c r="E72" t="s">
        <v>268</v>
      </c>
      <c r="F72" t="s">
        <v>260</v>
      </c>
      <c r="G72" t="s">
        <v>51</v>
      </c>
      <c r="H72" t="s">
        <v>163</v>
      </c>
      <c r="I72" t="s">
        <v>75</v>
      </c>
      <c r="J72" t="s">
        <v>80</v>
      </c>
      <c r="K72">
        <v>823068</v>
      </c>
      <c r="L72" t="s">
        <v>165</v>
      </c>
      <c r="M72" t="s">
        <v>166</v>
      </c>
      <c r="N72" t="s">
        <v>57</v>
      </c>
      <c r="O72" s="1">
        <v>45995</v>
      </c>
      <c r="Q72" s="1">
        <v>46026</v>
      </c>
      <c r="R72" s="2">
        <v>41.03</v>
      </c>
      <c r="S72">
        <v>1</v>
      </c>
      <c r="T72" t="s">
        <v>58</v>
      </c>
      <c r="U72" t="s">
        <v>105</v>
      </c>
      <c r="V72" s="4">
        <v>0.9</v>
      </c>
      <c r="W72" s="2">
        <v>0</v>
      </c>
      <c r="X72">
        <v>0</v>
      </c>
      <c r="Y72" t="s">
        <v>83</v>
      </c>
      <c r="Z72" t="s">
        <v>221</v>
      </c>
      <c r="AA72">
        <v>6</v>
      </c>
      <c r="AB72" s="2">
        <v>221.58</v>
      </c>
      <c r="AC72" s="2">
        <v>0</v>
      </c>
      <c r="AD72" s="4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36.93</v>
      </c>
      <c r="AM72" s="2">
        <v>0</v>
      </c>
      <c r="AN72" s="2">
        <v>221.58</v>
      </c>
      <c r="AO72" s="2">
        <v>0</v>
      </c>
      <c r="AP72" s="2">
        <v>0</v>
      </c>
      <c r="AQ72" s="2">
        <v>0</v>
      </c>
    </row>
    <row r="73" spans="1:43" x14ac:dyDescent="0.25">
      <c r="A73" s="1">
        <v>45999</v>
      </c>
      <c r="B73" t="s">
        <v>48</v>
      </c>
      <c r="C73">
        <v>649163</v>
      </c>
      <c r="D73">
        <v>2032483380</v>
      </c>
      <c r="E73" t="s">
        <v>269</v>
      </c>
      <c r="F73" t="s">
        <v>270</v>
      </c>
      <c r="G73" t="s">
        <v>51</v>
      </c>
      <c r="H73" t="s">
        <v>163</v>
      </c>
      <c r="I73" t="s">
        <v>75</v>
      </c>
      <c r="J73" t="s">
        <v>80</v>
      </c>
      <c r="K73">
        <v>823068</v>
      </c>
      <c r="L73" t="s">
        <v>165</v>
      </c>
      <c r="M73" t="s">
        <v>166</v>
      </c>
      <c r="N73" t="s">
        <v>57</v>
      </c>
      <c r="O73" s="1">
        <v>46011</v>
      </c>
      <c r="Q73" s="1">
        <v>46042</v>
      </c>
      <c r="R73" s="2">
        <v>77.540000000000006</v>
      </c>
      <c r="S73">
        <v>1</v>
      </c>
      <c r="T73" t="s">
        <v>58</v>
      </c>
      <c r="U73" t="s">
        <v>105</v>
      </c>
      <c r="V73" s="4">
        <v>0.9</v>
      </c>
      <c r="W73" s="2">
        <v>0</v>
      </c>
      <c r="X73">
        <v>0</v>
      </c>
      <c r="Y73" t="s">
        <v>83</v>
      </c>
      <c r="Z73" t="s">
        <v>221</v>
      </c>
      <c r="AA73">
        <v>6</v>
      </c>
      <c r="AB73" s="2">
        <v>418.74</v>
      </c>
      <c r="AC73" s="2">
        <v>0</v>
      </c>
      <c r="AD73" s="4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69.790000000000006</v>
      </c>
      <c r="AM73" s="2">
        <v>0</v>
      </c>
      <c r="AN73" s="2">
        <v>418.74</v>
      </c>
      <c r="AO73" s="2">
        <v>0</v>
      </c>
      <c r="AP73" s="2">
        <v>0</v>
      </c>
      <c r="AQ73" s="2">
        <v>0</v>
      </c>
    </row>
    <row r="74" spans="1:43" x14ac:dyDescent="0.25">
      <c r="A74" s="1">
        <v>45999</v>
      </c>
      <c r="B74" t="s">
        <v>48</v>
      </c>
      <c r="C74">
        <v>649163</v>
      </c>
      <c r="D74">
        <v>2032486186</v>
      </c>
      <c r="E74" t="s">
        <v>271</v>
      </c>
      <c r="F74" t="s">
        <v>272</v>
      </c>
      <c r="G74" t="s">
        <v>51</v>
      </c>
      <c r="H74" t="s">
        <v>79</v>
      </c>
      <c r="I74" t="s">
        <v>75</v>
      </c>
      <c r="J74" t="s">
        <v>80</v>
      </c>
      <c r="K74">
        <v>673059</v>
      </c>
      <c r="L74" t="s">
        <v>81</v>
      </c>
      <c r="M74" t="s">
        <v>82</v>
      </c>
      <c r="N74" t="s">
        <v>57</v>
      </c>
      <c r="O74" s="1">
        <v>46023</v>
      </c>
      <c r="Q74" s="1">
        <v>46054</v>
      </c>
      <c r="R74" s="2">
        <v>93.13</v>
      </c>
      <c r="S74">
        <v>1</v>
      </c>
      <c r="T74" t="s">
        <v>58</v>
      </c>
      <c r="U74" t="s">
        <v>105</v>
      </c>
      <c r="V74" s="4">
        <v>0.9</v>
      </c>
      <c r="W74" s="2">
        <v>0</v>
      </c>
      <c r="X74">
        <v>0</v>
      </c>
      <c r="Y74" t="s">
        <v>83</v>
      </c>
      <c r="Z74" t="s">
        <v>221</v>
      </c>
      <c r="AA74">
        <v>6</v>
      </c>
      <c r="AB74" s="2">
        <v>502.92</v>
      </c>
      <c r="AC74" s="2">
        <v>0</v>
      </c>
      <c r="AD74" s="4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83.82</v>
      </c>
      <c r="AM74" s="2">
        <v>0</v>
      </c>
      <c r="AN74" s="2">
        <v>502.92</v>
      </c>
      <c r="AO74" s="2">
        <v>0</v>
      </c>
      <c r="AP74" s="2">
        <v>0</v>
      </c>
      <c r="AQ74" s="2">
        <v>0</v>
      </c>
    </row>
    <row r="75" spans="1:43" x14ac:dyDescent="0.25">
      <c r="A75" s="1">
        <v>45999</v>
      </c>
      <c r="B75" t="s">
        <v>48</v>
      </c>
      <c r="C75">
        <v>649163</v>
      </c>
      <c r="D75">
        <v>2032490376</v>
      </c>
      <c r="E75" t="s">
        <v>273</v>
      </c>
      <c r="F75" t="s">
        <v>96</v>
      </c>
      <c r="G75" t="s">
        <v>51</v>
      </c>
      <c r="H75" t="s">
        <v>131</v>
      </c>
      <c r="I75" t="s">
        <v>75</v>
      </c>
      <c r="J75" t="s">
        <v>80</v>
      </c>
      <c r="K75">
        <v>673059</v>
      </c>
      <c r="L75" t="s">
        <v>81</v>
      </c>
      <c r="M75" t="s">
        <v>82</v>
      </c>
      <c r="N75" t="s">
        <v>57</v>
      </c>
      <c r="O75" s="1">
        <v>46023</v>
      </c>
      <c r="Q75" s="1">
        <v>46054</v>
      </c>
      <c r="R75" s="2">
        <v>65.650000000000006</v>
      </c>
      <c r="S75">
        <v>1</v>
      </c>
      <c r="T75" t="s">
        <v>58</v>
      </c>
      <c r="U75" t="s">
        <v>105</v>
      </c>
      <c r="V75" s="4">
        <v>0.9</v>
      </c>
      <c r="W75" s="2">
        <v>0</v>
      </c>
      <c r="X75">
        <v>0</v>
      </c>
      <c r="Y75" t="s">
        <v>83</v>
      </c>
      <c r="Z75" t="s">
        <v>221</v>
      </c>
      <c r="AA75">
        <v>6</v>
      </c>
      <c r="AB75" s="2">
        <v>354.48</v>
      </c>
      <c r="AC75" s="2">
        <v>0</v>
      </c>
      <c r="AD75" s="4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59.08</v>
      </c>
      <c r="AM75" s="2">
        <v>0</v>
      </c>
      <c r="AN75" s="2">
        <v>354.48</v>
      </c>
      <c r="AO75" s="2">
        <v>0</v>
      </c>
      <c r="AP75" s="2">
        <v>0</v>
      </c>
      <c r="AQ75" s="2">
        <v>0</v>
      </c>
    </row>
    <row r="76" spans="1:43" x14ac:dyDescent="0.25">
      <c r="A76" s="1">
        <v>45999</v>
      </c>
      <c r="B76" t="s">
        <v>48</v>
      </c>
      <c r="C76">
        <v>649163</v>
      </c>
      <c r="D76">
        <v>2032496774</v>
      </c>
      <c r="E76" t="s">
        <v>237</v>
      </c>
      <c r="F76" t="s">
        <v>157</v>
      </c>
      <c r="G76" t="s">
        <v>51</v>
      </c>
      <c r="H76" t="s">
        <v>210</v>
      </c>
      <c r="I76" t="s">
        <v>75</v>
      </c>
      <c r="J76" t="s">
        <v>243</v>
      </c>
      <c r="K76">
        <v>673059</v>
      </c>
      <c r="L76" t="s">
        <v>81</v>
      </c>
      <c r="M76" t="s">
        <v>82</v>
      </c>
      <c r="N76" t="s">
        <v>57</v>
      </c>
      <c r="O76" s="1">
        <v>46023</v>
      </c>
      <c r="Q76" s="1">
        <v>46054</v>
      </c>
      <c r="R76" s="2">
        <v>77.290000000000006</v>
      </c>
      <c r="S76">
        <v>1</v>
      </c>
      <c r="T76" t="s">
        <v>58</v>
      </c>
      <c r="U76" t="s">
        <v>105</v>
      </c>
      <c r="V76" s="4">
        <v>0.75</v>
      </c>
      <c r="W76" s="2">
        <v>0</v>
      </c>
      <c r="X76">
        <v>0</v>
      </c>
      <c r="Y76" t="s">
        <v>83</v>
      </c>
      <c r="Z76" t="s">
        <v>221</v>
      </c>
      <c r="AA76">
        <v>6</v>
      </c>
      <c r="AB76" s="2">
        <v>347.82</v>
      </c>
      <c r="AC76" s="2">
        <v>0</v>
      </c>
      <c r="AD76" s="4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57.97</v>
      </c>
      <c r="AM76" s="2">
        <v>0</v>
      </c>
      <c r="AN76" s="2">
        <v>347.82</v>
      </c>
      <c r="AO76" s="2">
        <v>0</v>
      </c>
      <c r="AP76" s="2">
        <v>0</v>
      </c>
      <c r="AQ76" s="2">
        <v>0</v>
      </c>
    </row>
    <row r="77" spans="1:43" x14ac:dyDescent="0.25">
      <c r="A77" s="1">
        <v>45999</v>
      </c>
      <c r="B77" t="s">
        <v>48</v>
      </c>
      <c r="C77">
        <v>649163</v>
      </c>
      <c r="D77">
        <v>2032512773</v>
      </c>
      <c r="E77" t="s">
        <v>274</v>
      </c>
      <c r="F77" t="s">
        <v>144</v>
      </c>
      <c r="G77" t="s">
        <v>51</v>
      </c>
      <c r="H77" t="s">
        <v>102</v>
      </c>
      <c r="I77" t="s">
        <v>75</v>
      </c>
      <c r="J77" t="s">
        <v>243</v>
      </c>
      <c r="K77">
        <v>812782</v>
      </c>
      <c r="L77" t="s">
        <v>159</v>
      </c>
      <c r="M77" t="s">
        <v>160</v>
      </c>
      <c r="N77" t="s">
        <v>57</v>
      </c>
      <c r="O77" s="1">
        <v>46023</v>
      </c>
      <c r="Q77" s="1">
        <v>46054</v>
      </c>
      <c r="R77" s="2">
        <v>50.62</v>
      </c>
      <c r="S77">
        <v>1</v>
      </c>
      <c r="T77" t="s">
        <v>58</v>
      </c>
      <c r="U77" t="s">
        <v>105</v>
      </c>
      <c r="V77" s="4">
        <v>0.75</v>
      </c>
      <c r="W77" s="2">
        <v>0</v>
      </c>
      <c r="X77">
        <v>0</v>
      </c>
      <c r="Y77" t="s">
        <v>83</v>
      </c>
      <c r="Z77" t="s">
        <v>221</v>
      </c>
      <c r="AA77">
        <v>6</v>
      </c>
      <c r="AB77" s="2">
        <v>227.76</v>
      </c>
      <c r="AC77" s="2">
        <v>0</v>
      </c>
      <c r="AD77" s="4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37.96</v>
      </c>
      <c r="AM77" s="2">
        <v>0</v>
      </c>
      <c r="AN77" s="2">
        <v>227.76</v>
      </c>
      <c r="AO77" s="2">
        <v>0</v>
      </c>
      <c r="AP77" s="2">
        <v>0</v>
      </c>
      <c r="AQ77" s="2">
        <v>0</v>
      </c>
    </row>
    <row r="78" spans="1:43" x14ac:dyDescent="0.25">
      <c r="A78" s="1">
        <v>45999</v>
      </c>
      <c r="B78" t="s">
        <v>48</v>
      </c>
      <c r="C78">
        <v>649163</v>
      </c>
      <c r="D78">
        <v>2032515031</v>
      </c>
      <c r="E78" t="s">
        <v>275</v>
      </c>
      <c r="F78" t="s">
        <v>236</v>
      </c>
      <c r="G78" t="s">
        <v>51</v>
      </c>
      <c r="H78" t="s">
        <v>102</v>
      </c>
      <c r="I78" t="s">
        <v>75</v>
      </c>
      <c r="J78" t="s">
        <v>243</v>
      </c>
      <c r="K78">
        <v>673059</v>
      </c>
      <c r="L78" t="s">
        <v>81</v>
      </c>
      <c r="M78" t="s">
        <v>82</v>
      </c>
      <c r="N78" t="s">
        <v>57</v>
      </c>
      <c r="O78" s="1">
        <v>46023</v>
      </c>
      <c r="Q78" s="1">
        <v>46054</v>
      </c>
      <c r="R78" s="2">
        <v>155.38</v>
      </c>
      <c r="S78">
        <v>1</v>
      </c>
      <c r="T78" t="s">
        <v>58</v>
      </c>
      <c r="U78" t="s">
        <v>105</v>
      </c>
      <c r="V78" s="4">
        <v>0.75</v>
      </c>
      <c r="W78" s="2">
        <v>0</v>
      </c>
      <c r="X78">
        <v>0</v>
      </c>
      <c r="Y78" t="s">
        <v>83</v>
      </c>
      <c r="Z78" t="s">
        <v>221</v>
      </c>
      <c r="AA78">
        <v>6</v>
      </c>
      <c r="AB78" s="2">
        <v>699.24</v>
      </c>
      <c r="AC78" s="2">
        <v>0</v>
      </c>
      <c r="AD78" s="4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116.54</v>
      </c>
      <c r="AM78" s="2">
        <v>0</v>
      </c>
      <c r="AN78" s="2">
        <v>699.24</v>
      </c>
      <c r="AO78" s="2">
        <v>0</v>
      </c>
      <c r="AP78" s="2">
        <v>0</v>
      </c>
      <c r="AQ78" s="2">
        <v>0</v>
      </c>
    </row>
    <row r="79" spans="1:43" x14ac:dyDescent="0.25">
      <c r="A79" s="1">
        <v>45999</v>
      </c>
      <c r="B79" t="s">
        <v>48</v>
      </c>
      <c r="C79">
        <v>649163</v>
      </c>
      <c r="D79">
        <v>2032516770</v>
      </c>
      <c r="E79" t="s">
        <v>276</v>
      </c>
      <c r="F79" t="s">
        <v>277</v>
      </c>
      <c r="G79" t="s">
        <v>51</v>
      </c>
      <c r="H79" t="s">
        <v>131</v>
      </c>
      <c r="I79" t="s">
        <v>75</v>
      </c>
      <c r="J79" t="s">
        <v>80</v>
      </c>
      <c r="K79">
        <v>767312</v>
      </c>
      <c r="L79" t="s">
        <v>138</v>
      </c>
      <c r="M79" t="s">
        <v>107</v>
      </c>
      <c r="N79" t="s">
        <v>57</v>
      </c>
      <c r="O79" s="1">
        <v>45996</v>
      </c>
      <c r="Q79" s="1">
        <v>46027</v>
      </c>
      <c r="R79" s="2">
        <v>47.75</v>
      </c>
      <c r="S79">
        <v>1</v>
      </c>
      <c r="T79" t="s">
        <v>58</v>
      </c>
      <c r="U79" t="s">
        <v>105</v>
      </c>
      <c r="V79" s="4">
        <v>0.9</v>
      </c>
      <c r="W79" s="2">
        <v>0</v>
      </c>
      <c r="X79">
        <v>0</v>
      </c>
      <c r="Y79" t="s">
        <v>83</v>
      </c>
      <c r="Z79" t="s">
        <v>221</v>
      </c>
      <c r="AA79">
        <v>6</v>
      </c>
      <c r="AB79" s="2">
        <v>257.88</v>
      </c>
      <c r="AC79" s="2">
        <v>0</v>
      </c>
      <c r="AD79" s="4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42.98</v>
      </c>
      <c r="AM79" s="2">
        <v>0</v>
      </c>
      <c r="AN79" s="2">
        <v>257.88</v>
      </c>
      <c r="AO79" s="2">
        <v>0</v>
      </c>
      <c r="AP79" s="2">
        <v>0</v>
      </c>
      <c r="AQ79" s="2">
        <v>0</v>
      </c>
    </row>
    <row r="80" spans="1:43" x14ac:dyDescent="0.25">
      <c r="A80" s="1">
        <v>45999</v>
      </c>
      <c r="B80" t="s">
        <v>48</v>
      </c>
      <c r="C80">
        <v>649163</v>
      </c>
      <c r="D80">
        <v>2032535520</v>
      </c>
      <c r="E80" t="s">
        <v>278</v>
      </c>
      <c r="F80" t="s">
        <v>279</v>
      </c>
      <c r="G80" t="s">
        <v>51</v>
      </c>
      <c r="H80" t="s">
        <v>163</v>
      </c>
      <c r="I80" t="s">
        <v>75</v>
      </c>
      <c r="J80" t="s">
        <v>80</v>
      </c>
      <c r="K80">
        <v>823068</v>
      </c>
      <c r="L80" t="s">
        <v>165</v>
      </c>
      <c r="M80" t="s">
        <v>166</v>
      </c>
      <c r="N80" t="s">
        <v>57</v>
      </c>
      <c r="O80" s="1">
        <v>46023</v>
      </c>
      <c r="Q80" s="1">
        <v>46054</v>
      </c>
      <c r="R80" s="2">
        <v>92.59</v>
      </c>
      <c r="S80">
        <v>1</v>
      </c>
      <c r="T80" t="s">
        <v>58</v>
      </c>
      <c r="U80" t="s">
        <v>105</v>
      </c>
      <c r="V80" s="4">
        <v>0.9</v>
      </c>
      <c r="W80" s="2">
        <v>0</v>
      </c>
      <c r="X80">
        <v>0</v>
      </c>
      <c r="Y80" t="s">
        <v>83</v>
      </c>
      <c r="Z80" t="s">
        <v>221</v>
      </c>
      <c r="AA80">
        <v>6</v>
      </c>
      <c r="AB80" s="2">
        <v>499.98</v>
      </c>
      <c r="AC80" s="2">
        <v>0</v>
      </c>
      <c r="AD80" s="4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83.33</v>
      </c>
      <c r="AM80" s="2">
        <v>0</v>
      </c>
      <c r="AN80" s="2">
        <v>499.98</v>
      </c>
      <c r="AO80" s="2">
        <v>0</v>
      </c>
      <c r="AP80" s="2">
        <v>0</v>
      </c>
      <c r="AQ80" s="2">
        <v>0</v>
      </c>
    </row>
    <row r="81" spans="1:43" x14ac:dyDescent="0.25">
      <c r="A81" s="1">
        <v>45999</v>
      </c>
      <c r="B81" t="s">
        <v>48</v>
      </c>
      <c r="C81">
        <v>649163</v>
      </c>
      <c r="D81">
        <v>2032540065</v>
      </c>
      <c r="E81" t="s">
        <v>280</v>
      </c>
      <c r="F81" t="s">
        <v>281</v>
      </c>
      <c r="G81" t="s">
        <v>51</v>
      </c>
      <c r="H81" t="s">
        <v>97</v>
      </c>
      <c r="I81" t="s">
        <v>75</v>
      </c>
      <c r="J81" t="s">
        <v>243</v>
      </c>
      <c r="K81">
        <v>856824</v>
      </c>
      <c r="L81" t="s">
        <v>145</v>
      </c>
      <c r="M81" t="s">
        <v>146</v>
      </c>
      <c r="N81" t="s">
        <v>57</v>
      </c>
      <c r="O81" s="1">
        <v>45997</v>
      </c>
      <c r="Q81" s="1">
        <v>46028</v>
      </c>
      <c r="R81" s="2">
        <v>155.74</v>
      </c>
      <c r="S81">
        <v>1</v>
      </c>
      <c r="T81" t="s">
        <v>58</v>
      </c>
      <c r="U81" t="s">
        <v>105</v>
      </c>
      <c r="V81" s="4">
        <v>0.75</v>
      </c>
      <c r="W81" s="2">
        <v>0</v>
      </c>
      <c r="X81">
        <v>0</v>
      </c>
      <c r="Y81" t="s">
        <v>83</v>
      </c>
      <c r="Z81" t="s">
        <v>221</v>
      </c>
      <c r="AA81">
        <v>6</v>
      </c>
      <c r="AB81" s="2">
        <v>700.8</v>
      </c>
      <c r="AC81" s="2">
        <v>0</v>
      </c>
      <c r="AD81" s="4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116.8</v>
      </c>
      <c r="AM81" s="2">
        <v>0</v>
      </c>
      <c r="AN81" s="2">
        <v>700.8</v>
      </c>
      <c r="AO81" s="2">
        <v>0</v>
      </c>
      <c r="AP81" s="2">
        <v>0</v>
      </c>
      <c r="AQ81" s="2">
        <v>0</v>
      </c>
    </row>
    <row r="82" spans="1:43" x14ac:dyDescent="0.25">
      <c r="A82" s="1">
        <v>45999</v>
      </c>
      <c r="B82" t="s">
        <v>48</v>
      </c>
      <c r="C82">
        <v>649163</v>
      </c>
      <c r="D82">
        <v>2032541421</v>
      </c>
      <c r="E82" t="s">
        <v>282</v>
      </c>
      <c r="F82" t="s">
        <v>283</v>
      </c>
      <c r="G82" t="s">
        <v>51</v>
      </c>
      <c r="H82" t="s">
        <v>102</v>
      </c>
      <c r="I82" t="s">
        <v>75</v>
      </c>
      <c r="J82" t="s">
        <v>243</v>
      </c>
      <c r="K82">
        <v>814033</v>
      </c>
      <c r="L82" t="s">
        <v>284</v>
      </c>
      <c r="M82" t="s">
        <v>285</v>
      </c>
      <c r="N82" t="s">
        <v>57</v>
      </c>
      <c r="O82" s="1">
        <v>46023</v>
      </c>
      <c r="Q82" s="1">
        <v>46054</v>
      </c>
      <c r="R82" s="2">
        <v>74.62</v>
      </c>
      <c r="S82">
        <v>1</v>
      </c>
      <c r="T82" t="s">
        <v>58</v>
      </c>
      <c r="U82" t="s">
        <v>105</v>
      </c>
      <c r="V82" s="4">
        <v>0.75</v>
      </c>
      <c r="W82" s="2">
        <v>0</v>
      </c>
      <c r="X82">
        <v>0</v>
      </c>
      <c r="Y82" t="s">
        <v>83</v>
      </c>
      <c r="Z82" t="s">
        <v>221</v>
      </c>
      <c r="AA82">
        <v>6</v>
      </c>
      <c r="AB82" s="2">
        <v>335.76</v>
      </c>
      <c r="AC82" s="2">
        <v>0</v>
      </c>
      <c r="AD82" s="4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55.96</v>
      </c>
      <c r="AM82" s="2">
        <v>0</v>
      </c>
      <c r="AN82" s="2">
        <v>335.76</v>
      </c>
      <c r="AO82" s="2">
        <v>0</v>
      </c>
      <c r="AP82" s="2">
        <v>0</v>
      </c>
      <c r="AQ82" s="2">
        <v>0</v>
      </c>
    </row>
    <row r="83" spans="1:43" x14ac:dyDescent="0.25">
      <c r="A83" s="1">
        <v>45999</v>
      </c>
      <c r="B83" t="s">
        <v>48</v>
      </c>
      <c r="C83">
        <v>649163</v>
      </c>
      <c r="D83">
        <v>2032543859</v>
      </c>
      <c r="E83" t="s">
        <v>286</v>
      </c>
      <c r="F83" t="s">
        <v>287</v>
      </c>
      <c r="G83" t="s">
        <v>51</v>
      </c>
      <c r="H83" t="s">
        <v>102</v>
      </c>
      <c r="I83" t="s">
        <v>75</v>
      </c>
      <c r="J83" t="s">
        <v>80</v>
      </c>
      <c r="K83">
        <v>894525</v>
      </c>
      <c r="L83" t="s">
        <v>230</v>
      </c>
      <c r="M83" t="s">
        <v>231</v>
      </c>
      <c r="N83" t="s">
        <v>57</v>
      </c>
      <c r="O83" s="1">
        <v>46023</v>
      </c>
      <c r="Q83" s="1">
        <v>46054</v>
      </c>
      <c r="R83" s="2">
        <v>29.88</v>
      </c>
      <c r="S83">
        <v>1</v>
      </c>
      <c r="T83" t="s">
        <v>58</v>
      </c>
      <c r="U83" t="s">
        <v>105</v>
      </c>
      <c r="V83" s="4">
        <v>0.9</v>
      </c>
      <c r="W83" s="2">
        <v>0</v>
      </c>
      <c r="X83">
        <v>0</v>
      </c>
      <c r="Y83" t="s">
        <v>83</v>
      </c>
      <c r="Z83" t="s">
        <v>221</v>
      </c>
      <c r="AA83">
        <v>6</v>
      </c>
      <c r="AB83" s="2">
        <v>161.34</v>
      </c>
      <c r="AC83" s="2">
        <v>0</v>
      </c>
      <c r="AD83" s="4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26.89</v>
      </c>
      <c r="AM83" s="2">
        <v>0</v>
      </c>
      <c r="AN83" s="2">
        <v>161.34</v>
      </c>
      <c r="AO83" s="2">
        <v>0</v>
      </c>
      <c r="AP83" s="2">
        <v>0</v>
      </c>
      <c r="AQ83" s="2">
        <v>0</v>
      </c>
    </row>
    <row r="84" spans="1:43" x14ac:dyDescent="0.25">
      <c r="A84" s="1">
        <v>45999</v>
      </c>
      <c r="B84" t="s">
        <v>48</v>
      </c>
      <c r="C84">
        <v>649163</v>
      </c>
      <c r="D84">
        <v>2032548721</v>
      </c>
      <c r="E84" t="s">
        <v>288</v>
      </c>
      <c r="F84" t="s">
        <v>289</v>
      </c>
      <c r="G84" t="s">
        <v>51</v>
      </c>
      <c r="H84" t="s">
        <v>200</v>
      </c>
      <c r="I84" t="s">
        <v>75</v>
      </c>
      <c r="J84" t="s">
        <v>243</v>
      </c>
      <c r="K84">
        <v>816021</v>
      </c>
      <c r="L84" t="s">
        <v>201</v>
      </c>
      <c r="M84" t="s">
        <v>202</v>
      </c>
      <c r="N84" t="s">
        <v>57</v>
      </c>
      <c r="O84" s="1">
        <v>45998</v>
      </c>
      <c r="Q84" s="1">
        <v>46029</v>
      </c>
      <c r="R84" s="2">
        <v>7</v>
      </c>
      <c r="S84">
        <v>1</v>
      </c>
      <c r="T84" t="s">
        <v>58</v>
      </c>
      <c r="U84" t="s">
        <v>105</v>
      </c>
      <c r="V84" s="4">
        <v>0.75</v>
      </c>
      <c r="W84" s="2">
        <v>0</v>
      </c>
      <c r="X84">
        <v>0</v>
      </c>
      <c r="Y84" t="s">
        <v>83</v>
      </c>
      <c r="Z84" t="s">
        <v>221</v>
      </c>
      <c r="AA84">
        <v>6</v>
      </c>
      <c r="AB84" s="2">
        <v>31.5</v>
      </c>
      <c r="AC84" s="2">
        <v>0</v>
      </c>
      <c r="AD84" s="4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5.25</v>
      </c>
      <c r="AM84" s="2">
        <v>0</v>
      </c>
      <c r="AN84" s="2">
        <v>31.5</v>
      </c>
      <c r="AO84" s="2">
        <v>0</v>
      </c>
      <c r="AP84" s="2">
        <v>0</v>
      </c>
      <c r="AQ84" s="2">
        <v>0</v>
      </c>
    </row>
    <row r="85" spans="1:43" x14ac:dyDescent="0.25">
      <c r="A85" s="1">
        <v>45999</v>
      </c>
      <c r="B85" t="s">
        <v>48</v>
      </c>
      <c r="C85">
        <v>649163</v>
      </c>
      <c r="D85">
        <v>2032429445</v>
      </c>
      <c r="E85" t="s">
        <v>222</v>
      </c>
      <c r="F85" t="s">
        <v>223</v>
      </c>
      <c r="G85" t="s">
        <v>51</v>
      </c>
      <c r="H85" t="s">
        <v>220</v>
      </c>
      <c r="I85" t="s">
        <v>290</v>
      </c>
      <c r="J85" t="s">
        <v>291</v>
      </c>
      <c r="K85">
        <v>822733</v>
      </c>
      <c r="L85" t="s">
        <v>224</v>
      </c>
      <c r="M85" t="s">
        <v>225</v>
      </c>
      <c r="N85" t="s">
        <v>57</v>
      </c>
      <c r="O85" s="1">
        <v>45993</v>
      </c>
      <c r="Q85" s="1">
        <v>46024</v>
      </c>
      <c r="R85" s="2">
        <v>15</v>
      </c>
      <c r="S85">
        <v>1</v>
      </c>
      <c r="T85" t="s">
        <v>58</v>
      </c>
      <c r="U85" t="s">
        <v>292</v>
      </c>
      <c r="V85" s="4">
        <v>0.28999999999999998</v>
      </c>
      <c r="W85" s="2">
        <v>0</v>
      </c>
      <c r="X85">
        <v>0</v>
      </c>
      <c r="Y85" t="s">
        <v>83</v>
      </c>
      <c r="Z85" t="s">
        <v>221</v>
      </c>
      <c r="AA85">
        <v>0</v>
      </c>
      <c r="AB85" s="2">
        <v>0</v>
      </c>
      <c r="AC85" s="2">
        <v>0</v>
      </c>
      <c r="AD85" s="4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4.3499999999999996</v>
      </c>
      <c r="AN85" s="2">
        <v>4.3499999999999996</v>
      </c>
      <c r="AO85" s="2">
        <v>0</v>
      </c>
      <c r="AP85" s="2">
        <v>0</v>
      </c>
      <c r="AQ85" s="2">
        <v>0</v>
      </c>
    </row>
    <row r="86" spans="1:43" x14ac:dyDescent="0.25">
      <c r="A86" s="1">
        <v>45999</v>
      </c>
      <c r="B86" t="s">
        <v>48</v>
      </c>
      <c r="C86">
        <v>649163</v>
      </c>
      <c r="D86">
        <v>2032434022</v>
      </c>
      <c r="E86" t="s">
        <v>293</v>
      </c>
      <c r="F86" t="s">
        <v>294</v>
      </c>
      <c r="G86" t="s">
        <v>51</v>
      </c>
      <c r="H86" t="s">
        <v>102</v>
      </c>
      <c r="I86" t="s">
        <v>290</v>
      </c>
      <c r="J86" t="s">
        <v>295</v>
      </c>
      <c r="K86">
        <v>894525</v>
      </c>
      <c r="L86" t="s">
        <v>230</v>
      </c>
      <c r="M86" t="s">
        <v>231</v>
      </c>
      <c r="N86" t="s">
        <v>57</v>
      </c>
      <c r="O86" s="1">
        <v>46023</v>
      </c>
      <c r="Q86" s="1">
        <v>46054</v>
      </c>
      <c r="R86" s="2">
        <v>15</v>
      </c>
      <c r="S86">
        <v>1</v>
      </c>
      <c r="T86" t="s">
        <v>58</v>
      </c>
      <c r="U86" t="s">
        <v>105</v>
      </c>
      <c r="V86" s="4">
        <v>0.38</v>
      </c>
      <c r="W86" s="2">
        <v>0</v>
      </c>
      <c r="X86">
        <v>0</v>
      </c>
      <c r="Y86" t="s">
        <v>83</v>
      </c>
      <c r="Z86" t="s">
        <v>221</v>
      </c>
      <c r="AA86">
        <v>6</v>
      </c>
      <c r="AB86" s="2">
        <v>34.200000000000003</v>
      </c>
      <c r="AC86" s="2">
        <v>0</v>
      </c>
      <c r="AD86" s="4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5.7</v>
      </c>
      <c r="AM86" s="2">
        <v>0</v>
      </c>
      <c r="AN86" s="2">
        <v>34.200000000000003</v>
      </c>
      <c r="AO86" s="2">
        <v>0</v>
      </c>
      <c r="AP86" s="2">
        <v>0</v>
      </c>
      <c r="AQ86" s="2">
        <v>0</v>
      </c>
    </row>
    <row r="87" spans="1:43" x14ac:dyDescent="0.25">
      <c r="A87" s="1">
        <v>45999</v>
      </c>
      <c r="B87" t="s">
        <v>48</v>
      </c>
      <c r="C87">
        <v>649163</v>
      </c>
      <c r="D87">
        <v>2032443157</v>
      </c>
      <c r="E87" t="s">
        <v>296</v>
      </c>
      <c r="F87" t="s">
        <v>297</v>
      </c>
      <c r="G87" t="s">
        <v>51</v>
      </c>
      <c r="H87" t="s">
        <v>102</v>
      </c>
      <c r="I87" t="s">
        <v>290</v>
      </c>
      <c r="J87" t="s">
        <v>295</v>
      </c>
      <c r="K87">
        <v>894525</v>
      </c>
      <c r="L87" t="s">
        <v>230</v>
      </c>
      <c r="M87" t="s">
        <v>231</v>
      </c>
      <c r="N87" t="s">
        <v>57</v>
      </c>
      <c r="O87" s="1">
        <v>46023</v>
      </c>
      <c r="Q87" s="1">
        <v>46054</v>
      </c>
      <c r="R87" s="2">
        <v>15</v>
      </c>
      <c r="S87">
        <v>1</v>
      </c>
      <c r="T87" t="s">
        <v>58</v>
      </c>
      <c r="U87" t="s">
        <v>105</v>
      </c>
      <c r="V87" s="4">
        <v>0.38</v>
      </c>
      <c r="W87" s="2">
        <v>0</v>
      </c>
      <c r="X87">
        <v>0</v>
      </c>
      <c r="Y87" t="s">
        <v>83</v>
      </c>
      <c r="Z87" t="s">
        <v>221</v>
      </c>
      <c r="AA87">
        <v>6</v>
      </c>
      <c r="AB87" s="2">
        <v>34.200000000000003</v>
      </c>
      <c r="AC87" s="2">
        <v>0</v>
      </c>
      <c r="AD87" s="4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5.7</v>
      </c>
      <c r="AM87" s="2">
        <v>0</v>
      </c>
      <c r="AN87" s="2">
        <v>34.200000000000003</v>
      </c>
      <c r="AO87" s="2">
        <v>0</v>
      </c>
      <c r="AP87" s="2">
        <v>0</v>
      </c>
      <c r="AQ87" s="2">
        <v>0</v>
      </c>
    </row>
    <row r="88" spans="1:43" x14ac:dyDescent="0.25">
      <c r="A88" s="1">
        <v>45999</v>
      </c>
      <c r="B88" t="s">
        <v>48</v>
      </c>
      <c r="C88">
        <v>649163</v>
      </c>
      <c r="D88">
        <v>2032445035</v>
      </c>
      <c r="E88" t="s">
        <v>259</v>
      </c>
      <c r="F88" t="s">
        <v>260</v>
      </c>
      <c r="G88" t="s">
        <v>51</v>
      </c>
      <c r="H88" t="s">
        <v>102</v>
      </c>
      <c r="I88" t="s">
        <v>290</v>
      </c>
      <c r="J88" t="s">
        <v>298</v>
      </c>
      <c r="K88">
        <v>824062</v>
      </c>
      <c r="L88" t="s">
        <v>261</v>
      </c>
      <c r="M88" t="s">
        <v>262</v>
      </c>
      <c r="N88" t="s">
        <v>57</v>
      </c>
      <c r="O88" s="1">
        <v>46006</v>
      </c>
      <c r="Q88" s="1">
        <v>46037</v>
      </c>
      <c r="R88" s="2">
        <v>15</v>
      </c>
      <c r="S88">
        <v>1</v>
      </c>
      <c r="T88" t="s">
        <v>58</v>
      </c>
      <c r="U88" t="s">
        <v>299</v>
      </c>
      <c r="V88" s="4">
        <v>0.38</v>
      </c>
      <c r="W88" s="2">
        <v>0</v>
      </c>
      <c r="X88">
        <v>0</v>
      </c>
      <c r="Y88" t="s">
        <v>83</v>
      </c>
      <c r="Z88" t="s">
        <v>221</v>
      </c>
      <c r="AA88">
        <v>6</v>
      </c>
      <c r="AB88" s="2">
        <v>34.200000000000003</v>
      </c>
      <c r="AC88" s="2">
        <v>0</v>
      </c>
      <c r="AD88" s="4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5.7</v>
      </c>
      <c r="AM88" s="2">
        <v>0</v>
      </c>
      <c r="AN88" s="2">
        <v>34.200000000000003</v>
      </c>
      <c r="AO88" s="2">
        <v>0</v>
      </c>
      <c r="AP88" s="2">
        <v>0</v>
      </c>
      <c r="AQ88" s="2">
        <v>0</v>
      </c>
    </row>
    <row r="89" spans="1:43" x14ac:dyDescent="0.25">
      <c r="A89" s="1">
        <v>45999</v>
      </c>
      <c r="B89" t="s">
        <v>48</v>
      </c>
      <c r="C89">
        <v>649163</v>
      </c>
      <c r="D89">
        <v>2032453027</v>
      </c>
      <c r="E89" t="s">
        <v>300</v>
      </c>
      <c r="F89" t="s">
        <v>301</v>
      </c>
      <c r="G89" t="s">
        <v>51</v>
      </c>
      <c r="H89" t="s">
        <v>125</v>
      </c>
      <c r="I89" t="s">
        <v>290</v>
      </c>
      <c r="J89" t="s">
        <v>291</v>
      </c>
      <c r="K89">
        <v>767312</v>
      </c>
      <c r="L89" t="s">
        <v>138</v>
      </c>
      <c r="M89" t="s">
        <v>107</v>
      </c>
      <c r="N89" t="s">
        <v>57</v>
      </c>
      <c r="O89" s="1">
        <v>46023</v>
      </c>
      <c r="Q89" s="1">
        <v>46054</v>
      </c>
      <c r="R89" s="2">
        <v>15</v>
      </c>
      <c r="S89">
        <v>1</v>
      </c>
      <c r="T89" t="s">
        <v>58</v>
      </c>
      <c r="U89" t="s">
        <v>299</v>
      </c>
      <c r="V89" s="4">
        <v>0.28999999999999998</v>
      </c>
      <c r="W89" s="2">
        <v>0</v>
      </c>
      <c r="X89">
        <v>0</v>
      </c>
      <c r="Y89" t="s">
        <v>83</v>
      </c>
      <c r="Z89" t="s">
        <v>221</v>
      </c>
      <c r="AA89">
        <v>6</v>
      </c>
      <c r="AB89" s="2">
        <v>26.1</v>
      </c>
      <c r="AC89" s="2">
        <v>0</v>
      </c>
      <c r="AD89" s="4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4.3499999999999996</v>
      </c>
      <c r="AM89" s="2">
        <v>0</v>
      </c>
      <c r="AN89" s="2">
        <v>26.1</v>
      </c>
      <c r="AO89" s="2">
        <v>0</v>
      </c>
      <c r="AP89" s="2">
        <v>0</v>
      </c>
      <c r="AQ89" s="2">
        <v>0</v>
      </c>
    </row>
    <row r="90" spans="1:43" x14ac:dyDescent="0.25">
      <c r="A90" s="1">
        <v>45999</v>
      </c>
      <c r="B90" t="s">
        <v>48</v>
      </c>
      <c r="C90">
        <v>649163</v>
      </c>
      <c r="D90">
        <v>2032465281</v>
      </c>
      <c r="E90" t="s">
        <v>302</v>
      </c>
      <c r="F90" t="s">
        <v>303</v>
      </c>
      <c r="G90" t="s">
        <v>51</v>
      </c>
      <c r="H90" t="s">
        <v>131</v>
      </c>
      <c r="I90" t="s">
        <v>290</v>
      </c>
      <c r="J90" t="s">
        <v>295</v>
      </c>
      <c r="K90">
        <v>751867</v>
      </c>
      <c r="L90" t="s">
        <v>70</v>
      </c>
      <c r="M90" t="s">
        <v>71</v>
      </c>
      <c r="N90" t="s">
        <v>57</v>
      </c>
      <c r="O90" s="1">
        <v>46023</v>
      </c>
      <c r="Q90" s="1">
        <v>46054</v>
      </c>
      <c r="R90" s="2">
        <v>15</v>
      </c>
      <c r="S90">
        <v>1</v>
      </c>
      <c r="T90" t="s">
        <v>58</v>
      </c>
      <c r="U90" t="s">
        <v>105</v>
      </c>
      <c r="V90" s="4">
        <v>0.38</v>
      </c>
      <c r="W90" s="2">
        <v>0</v>
      </c>
      <c r="X90">
        <v>0</v>
      </c>
      <c r="Y90" t="s">
        <v>83</v>
      </c>
      <c r="Z90" t="s">
        <v>221</v>
      </c>
      <c r="AA90">
        <v>6</v>
      </c>
      <c r="AB90" s="2">
        <v>34.200000000000003</v>
      </c>
      <c r="AC90" s="2">
        <v>0</v>
      </c>
      <c r="AD90" s="4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5.7</v>
      </c>
      <c r="AM90" s="2">
        <v>0</v>
      </c>
      <c r="AN90" s="2">
        <v>34.200000000000003</v>
      </c>
      <c r="AO90" s="2">
        <v>0</v>
      </c>
      <c r="AP90" s="2">
        <v>0</v>
      </c>
      <c r="AQ90" s="2">
        <v>0</v>
      </c>
    </row>
    <row r="91" spans="1:43" x14ac:dyDescent="0.25">
      <c r="A91" s="1">
        <v>45999</v>
      </c>
      <c r="B91" t="s">
        <v>48</v>
      </c>
      <c r="C91">
        <v>649163</v>
      </c>
      <c r="D91">
        <v>2032486188</v>
      </c>
      <c r="E91" t="s">
        <v>271</v>
      </c>
      <c r="F91" t="s">
        <v>272</v>
      </c>
      <c r="G91" t="s">
        <v>51</v>
      </c>
      <c r="H91" t="s">
        <v>79</v>
      </c>
      <c r="I91" t="s">
        <v>290</v>
      </c>
      <c r="J91" t="s">
        <v>291</v>
      </c>
      <c r="K91">
        <v>673059</v>
      </c>
      <c r="L91" t="s">
        <v>81</v>
      </c>
      <c r="M91" t="s">
        <v>82</v>
      </c>
      <c r="N91" t="s">
        <v>57</v>
      </c>
      <c r="O91" s="1">
        <v>46023</v>
      </c>
      <c r="Q91" s="1">
        <v>46054</v>
      </c>
      <c r="R91" s="2">
        <v>15</v>
      </c>
      <c r="S91">
        <v>1</v>
      </c>
      <c r="T91" t="s">
        <v>58</v>
      </c>
      <c r="U91" t="s">
        <v>299</v>
      </c>
      <c r="V91" s="4">
        <v>0.28999999999999998</v>
      </c>
      <c r="W91" s="2">
        <v>0</v>
      </c>
      <c r="X91">
        <v>0</v>
      </c>
      <c r="Y91" t="s">
        <v>83</v>
      </c>
      <c r="Z91" t="s">
        <v>221</v>
      </c>
      <c r="AA91">
        <v>6</v>
      </c>
      <c r="AB91" s="2">
        <v>26.1</v>
      </c>
      <c r="AC91" s="2">
        <v>0</v>
      </c>
      <c r="AD91" s="4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4.3499999999999996</v>
      </c>
      <c r="AM91" s="2">
        <v>0</v>
      </c>
      <c r="AN91" s="2">
        <v>26.1</v>
      </c>
      <c r="AO91" s="2">
        <v>0</v>
      </c>
      <c r="AP91" s="2">
        <v>0</v>
      </c>
      <c r="AQ91" s="2">
        <v>0</v>
      </c>
    </row>
    <row r="92" spans="1:43" x14ac:dyDescent="0.25">
      <c r="A92" s="1">
        <v>45999</v>
      </c>
      <c r="B92" t="s">
        <v>48</v>
      </c>
      <c r="C92">
        <v>649163</v>
      </c>
      <c r="D92">
        <v>2032486498</v>
      </c>
      <c r="E92" t="s">
        <v>304</v>
      </c>
      <c r="F92" t="s">
        <v>305</v>
      </c>
      <c r="G92" t="s">
        <v>51</v>
      </c>
      <c r="H92" t="s">
        <v>102</v>
      </c>
      <c r="I92" t="s">
        <v>290</v>
      </c>
      <c r="J92" t="s">
        <v>298</v>
      </c>
      <c r="K92">
        <v>894525</v>
      </c>
      <c r="L92" t="s">
        <v>230</v>
      </c>
      <c r="M92" t="s">
        <v>231</v>
      </c>
      <c r="N92" t="s">
        <v>57</v>
      </c>
      <c r="O92" s="1">
        <v>46023</v>
      </c>
      <c r="Q92" s="1">
        <v>46054</v>
      </c>
      <c r="R92" s="2">
        <v>15</v>
      </c>
      <c r="S92">
        <v>1</v>
      </c>
      <c r="T92" t="s">
        <v>58</v>
      </c>
      <c r="U92" t="s">
        <v>299</v>
      </c>
      <c r="V92" s="4">
        <v>0.38</v>
      </c>
      <c r="W92" s="2">
        <v>0</v>
      </c>
      <c r="X92">
        <v>0</v>
      </c>
      <c r="Y92" t="s">
        <v>83</v>
      </c>
      <c r="Z92" t="s">
        <v>221</v>
      </c>
      <c r="AA92">
        <v>6</v>
      </c>
      <c r="AB92" s="2">
        <v>34.200000000000003</v>
      </c>
      <c r="AC92" s="2">
        <v>0</v>
      </c>
      <c r="AD92" s="4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5.7</v>
      </c>
      <c r="AM92" s="2">
        <v>0</v>
      </c>
      <c r="AN92" s="2">
        <v>34.200000000000003</v>
      </c>
      <c r="AO92" s="2">
        <v>0</v>
      </c>
      <c r="AP92" s="2">
        <v>0</v>
      </c>
      <c r="AQ92" s="2">
        <v>0</v>
      </c>
    </row>
    <row r="93" spans="1:43" x14ac:dyDescent="0.25">
      <c r="A93" s="1">
        <v>45999</v>
      </c>
      <c r="B93" t="s">
        <v>48</v>
      </c>
      <c r="C93">
        <v>649163</v>
      </c>
      <c r="D93">
        <v>2032491249</v>
      </c>
      <c r="E93" t="s">
        <v>306</v>
      </c>
      <c r="F93" t="s">
        <v>307</v>
      </c>
      <c r="G93" t="s">
        <v>51</v>
      </c>
      <c r="H93" t="s">
        <v>308</v>
      </c>
      <c r="I93" t="s">
        <v>290</v>
      </c>
      <c r="J93" t="s">
        <v>309</v>
      </c>
      <c r="K93">
        <v>877790</v>
      </c>
      <c r="L93" t="s">
        <v>310</v>
      </c>
      <c r="M93" t="s">
        <v>311</v>
      </c>
      <c r="N93" t="s">
        <v>57</v>
      </c>
      <c r="O93" s="1">
        <v>45995</v>
      </c>
      <c r="Q93" s="1">
        <v>46026</v>
      </c>
      <c r="R93" s="2">
        <v>15</v>
      </c>
      <c r="S93">
        <v>1</v>
      </c>
      <c r="T93" t="s">
        <v>58</v>
      </c>
      <c r="U93" t="s">
        <v>312</v>
      </c>
      <c r="V93" s="4">
        <v>0.19</v>
      </c>
      <c r="W93" s="2">
        <v>0</v>
      </c>
      <c r="X93">
        <v>0</v>
      </c>
      <c r="Y93" t="s">
        <v>83</v>
      </c>
      <c r="Z93" t="s">
        <v>221</v>
      </c>
      <c r="AA93">
        <v>6</v>
      </c>
      <c r="AB93" s="2">
        <v>17.100000000000001</v>
      </c>
      <c r="AC93" s="2">
        <v>0</v>
      </c>
      <c r="AD93" s="4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2.85</v>
      </c>
      <c r="AM93" s="2">
        <v>0</v>
      </c>
      <c r="AN93" s="2">
        <v>17.100000000000001</v>
      </c>
      <c r="AO93" s="2">
        <v>0</v>
      </c>
      <c r="AP93" s="2">
        <v>0</v>
      </c>
      <c r="AQ93" s="2">
        <v>0</v>
      </c>
    </row>
    <row r="94" spans="1:43" x14ac:dyDescent="0.25">
      <c r="A94" s="1">
        <v>45999</v>
      </c>
      <c r="B94" t="s">
        <v>48</v>
      </c>
      <c r="C94">
        <v>649163</v>
      </c>
      <c r="D94">
        <v>2032493080</v>
      </c>
      <c r="E94" t="s">
        <v>313</v>
      </c>
      <c r="F94" t="s">
        <v>314</v>
      </c>
      <c r="G94" t="s">
        <v>51</v>
      </c>
      <c r="H94" t="s">
        <v>102</v>
      </c>
      <c r="I94" t="s">
        <v>290</v>
      </c>
      <c r="J94" t="s">
        <v>298</v>
      </c>
      <c r="K94">
        <v>894525</v>
      </c>
      <c r="L94" t="s">
        <v>230</v>
      </c>
      <c r="M94" t="s">
        <v>231</v>
      </c>
      <c r="N94" t="s">
        <v>57</v>
      </c>
      <c r="O94" s="1">
        <v>46023</v>
      </c>
      <c r="Q94" s="1">
        <v>46054</v>
      </c>
      <c r="R94" s="2">
        <v>15</v>
      </c>
      <c r="S94">
        <v>1</v>
      </c>
      <c r="T94" t="s">
        <v>58</v>
      </c>
      <c r="U94" t="s">
        <v>299</v>
      </c>
      <c r="V94" s="4">
        <v>0.38</v>
      </c>
      <c r="W94" s="2">
        <v>0</v>
      </c>
      <c r="X94">
        <v>0</v>
      </c>
      <c r="Y94" t="s">
        <v>83</v>
      </c>
      <c r="Z94" t="s">
        <v>221</v>
      </c>
      <c r="AA94">
        <v>6</v>
      </c>
      <c r="AB94" s="2">
        <v>34.200000000000003</v>
      </c>
      <c r="AC94" s="2">
        <v>0</v>
      </c>
      <c r="AD94" s="4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5.7</v>
      </c>
      <c r="AM94" s="2">
        <v>0</v>
      </c>
      <c r="AN94" s="2">
        <v>34.200000000000003</v>
      </c>
      <c r="AO94" s="2">
        <v>0</v>
      </c>
      <c r="AP94" s="2">
        <v>0</v>
      </c>
      <c r="AQ94" s="2">
        <v>0</v>
      </c>
    </row>
    <row r="95" spans="1:43" x14ac:dyDescent="0.25">
      <c r="A95" s="1">
        <v>45999</v>
      </c>
      <c r="B95" t="s">
        <v>48</v>
      </c>
      <c r="C95">
        <v>649163</v>
      </c>
      <c r="D95">
        <v>2032495261</v>
      </c>
      <c r="E95" t="s">
        <v>315</v>
      </c>
      <c r="F95" t="s">
        <v>316</v>
      </c>
      <c r="G95" t="s">
        <v>51</v>
      </c>
      <c r="H95" t="s">
        <v>102</v>
      </c>
      <c r="I95" t="s">
        <v>290</v>
      </c>
      <c r="J95" t="s">
        <v>298</v>
      </c>
      <c r="K95">
        <v>894525</v>
      </c>
      <c r="L95" t="s">
        <v>230</v>
      </c>
      <c r="M95" t="s">
        <v>231</v>
      </c>
      <c r="N95" t="s">
        <v>57</v>
      </c>
      <c r="O95" s="1">
        <v>46023</v>
      </c>
      <c r="Q95" s="1">
        <v>46054</v>
      </c>
      <c r="R95" s="2">
        <v>15</v>
      </c>
      <c r="S95">
        <v>1</v>
      </c>
      <c r="T95" t="s">
        <v>58</v>
      </c>
      <c r="U95" t="s">
        <v>299</v>
      </c>
      <c r="V95" s="4">
        <v>0.38</v>
      </c>
      <c r="W95" s="2">
        <v>0</v>
      </c>
      <c r="X95">
        <v>0</v>
      </c>
      <c r="Y95" t="s">
        <v>83</v>
      </c>
      <c r="Z95" t="s">
        <v>221</v>
      </c>
      <c r="AA95">
        <v>6</v>
      </c>
      <c r="AB95" s="2">
        <v>34.200000000000003</v>
      </c>
      <c r="AC95" s="2">
        <v>0</v>
      </c>
      <c r="AD95" s="4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5.7</v>
      </c>
      <c r="AM95" s="2">
        <v>0</v>
      </c>
      <c r="AN95" s="2">
        <v>34.200000000000003</v>
      </c>
      <c r="AO95" s="2">
        <v>0</v>
      </c>
      <c r="AP95" s="2">
        <v>0</v>
      </c>
      <c r="AQ95" s="2">
        <v>0</v>
      </c>
    </row>
    <row r="96" spans="1:43" x14ac:dyDescent="0.25">
      <c r="A96" s="1">
        <v>45999</v>
      </c>
      <c r="B96" t="s">
        <v>48</v>
      </c>
      <c r="C96">
        <v>649163</v>
      </c>
      <c r="D96">
        <v>2032499984</v>
      </c>
      <c r="E96" t="s">
        <v>317</v>
      </c>
      <c r="F96" t="s">
        <v>318</v>
      </c>
      <c r="G96" t="s">
        <v>51</v>
      </c>
      <c r="H96" t="s">
        <v>308</v>
      </c>
      <c r="I96" t="s">
        <v>290</v>
      </c>
      <c r="J96" t="s">
        <v>309</v>
      </c>
      <c r="K96">
        <v>877790</v>
      </c>
      <c r="L96" t="s">
        <v>310</v>
      </c>
      <c r="M96" t="s">
        <v>311</v>
      </c>
      <c r="N96" t="s">
        <v>57</v>
      </c>
      <c r="O96" s="1">
        <v>45996</v>
      </c>
      <c r="Q96" s="1">
        <v>46027</v>
      </c>
      <c r="R96" s="2">
        <v>15</v>
      </c>
      <c r="S96">
        <v>1</v>
      </c>
      <c r="T96" t="s">
        <v>58</v>
      </c>
      <c r="U96" t="s">
        <v>299</v>
      </c>
      <c r="V96" s="4">
        <v>0.19</v>
      </c>
      <c r="W96" s="2">
        <v>0</v>
      </c>
      <c r="X96">
        <v>0</v>
      </c>
      <c r="Y96" t="s">
        <v>83</v>
      </c>
      <c r="Z96" t="s">
        <v>221</v>
      </c>
      <c r="AA96">
        <v>6</v>
      </c>
      <c r="AB96" s="2">
        <v>17.100000000000001</v>
      </c>
      <c r="AC96" s="2">
        <v>0</v>
      </c>
      <c r="AD96" s="4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2.85</v>
      </c>
      <c r="AM96" s="2">
        <v>0</v>
      </c>
      <c r="AN96" s="2">
        <v>17.100000000000001</v>
      </c>
      <c r="AO96" s="2">
        <v>0</v>
      </c>
      <c r="AP96" s="2">
        <v>0</v>
      </c>
      <c r="AQ96" s="2">
        <v>0</v>
      </c>
    </row>
    <row r="97" spans="1:43" x14ac:dyDescent="0.25">
      <c r="A97" s="1">
        <v>45999</v>
      </c>
      <c r="B97" t="s">
        <v>48</v>
      </c>
      <c r="C97">
        <v>649163</v>
      </c>
      <c r="D97">
        <v>2032516838</v>
      </c>
      <c r="E97" t="s">
        <v>319</v>
      </c>
      <c r="F97" t="s">
        <v>320</v>
      </c>
      <c r="G97" t="s">
        <v>51</v>
      </c>
      <c r="H97" t="s">
        <v>308</v>
      </c>
      <c r="I97" t="s">
        <v>290</v>
      </c>
      <c r="J97" t="s">
        <v>309</v>
      </c>
      <c r="K97">
        <v>673059</v>
      </c>
      <c r="L97" t="s">
        <v>81</v>
      </c>
      <c r="M97" t="s">
        <v>82</v>
      </c>
      <c r="N97" t="s">
        <v>57</v>
      </c>
      <c r="O97" s="1">
        <v>46023</v>
      </c>
      <c r="Q97" s="1">
        <v>46054</v>
      </c>
      <c r="R97" s="2">
        <v>15</v>
      </c>
      <c r="S97">
        <v>1</v>
      </c>
      <c r="T97" t="s">
        <v>58</v>
      </c>
      <c r="U97" t="s">
        <v>299</v>
      </c>
      <c r="V97" s="4">
        <v>0.19</v>
      </c>
      <c r="W97" s="2">
        <v>0</v>
      </c>
      <c r="X97">
        <v>0</v>
      </c>
      <c r="Y97" t="s">
        <v>83</v>
      </c>
      <c r="Z97" t="s">
        <v>221</v>
      </c>
      <c r="AA97">
        <v>6</v>
      </c>
      <c r="AB97" s="2">
        <v>17.100000000000001</v>
      </c>
      <c r="AC97" s="2">
        <v>0</v>
      </c>
      <c r="AD97" s="4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2.85</v>
      </c>
      <c r="AM97" s="2">
        <v>0</v>
      </c>
      <c r="AN97" s="2">
        <v>17.100000000000001</v>
      </c>
      <c r="AO97" s="2">
        <v>0</v>
      </c>
      <c r="AP97" s="2">
        <v>0</v>
      </c>
      <c r="AQ97" s="2">
        <v>0</v>
      </c>
    </row>
    <row r="98" spans="1:43" x14ac:dyDescent="0.25">
      <c r="A98" s="1">
        <v>45999</v>
      </c>
      <c r="B98" t="s">
        <v>48</v>
      </c>
      <c r="C98">
        <v>649163</v>
      </c>
      <c r="D98">
        <v>2032519631</v>
      </c>
      <c r="E98" t="s">
        <v>321</v>
      </c>
      <c r="F98" t="s">
        <v>322</v>
      </c>
      <c r="G98" t="s">
        <v>51</v>
      </c>
      <c r="H98" t="s">
        <v>102</v>
      </c>
      <c r="I98" t="s">
        <v>290</v>
      </c>
      <c r="J98" t="s">
        <v>298</v>
      </c>
      <c r="K98">
        <v>894525</v>
      </c>
      <c r="L98" t="s">
        <v>230</v>
      </c>
      <c r="M98" t="s">
        <v>231</v>
      </c>
      <c r="N98" t="s">
        <v>57</v>
      </c>
      <c r="O98" s="1">
        <v>46023</v>
      </c>
      <c r="Q98" s="1">
        <v>46054</v>
      </c>
      <c r="R98" s="2">
        <v>15</v>
      </c>
      <c r="S98">
        <v>1</v>
      </c>
      <c r="T98" t="s">
        <v>58</v>
      </c>
      <c r="U98" t="s">
        <v>299</v>
      </c>
      <c r="V98" s="4">
        <v>0.38</v>
      </c>
      <c r="W98" s="2">
        <v>0</v>
      </c>
      <c r="X98">
        <v>0</v>
      </c>
      <c r="Y98" t="s">
        <v>83</v>
      </c>
      <c r="Z98" t="s">
        <v>221</v>
      </c>
      <c r="AA98">
        <v>6</v>
      </c>
      <c r="AB98" s="2">
        <v>34.200000000000003</v>
      </c>
      <c r="AC98" s="2">
        <v>0</v>
      </c>
      <c r="AD98" s="4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5.7</v>
      </c>
      <c r="AM98" s="2">
        <v>0</v>
      </c>
      <c r="AN98" s="2">
        <v>34.200000000000003</v>
      </c>
      <c r="AO98" s="2">
        <v>0</v>
      </c>
      <c r="AP98" s="2">
        <v>0</v>
      </c>
      <c r="AQ98" s="2">
        <v>0</v>
      </c>
    </row>
    <row r="99" spans="1:43" x14ac:dyDescent="0.25">
      <c r="A99" s="1">
        <v>45999</v>
      </c>
      <c r="B99" t="s">
        <v>48</v>
      </c>
      <c r="C99">
        <v>649163</v>
      </c>
      <c r="D99">
        <v>2032549293</v>
      </c>
      <c r="E99" t="s">
        <v>323</v>
      </c>
      <c r="F99" t="s">
        <v>324</v>
      </c>
      <c r="G99" t="s">
        <v>51</v>
      </c>
      <c r="H99" t="s">
        <v>125</v>
      </c>
      <c r="I99" t="s">
        <v>290</v>
      </c>
      <c r="J99" t="s">
        <v>291</v>
      </c>
      <c r="K99">
        <v>650218</v>
      </c>
      <c r="L99" t="s">
        <v>88</v>
      </c>
      <c r="M99" t="s">
        <v>89</v>
      </c>
      <c r="N99" t="s">
        <v>57</v>
      </c>
      <c r="O99" s="1">
        <v>46023</v>
      </c>
      <c r="Q99" s="1">
        <v>46054</v>
      </c>
      <c r="R99" s="2">
        <v>15</v>
      </c>
      <c r="S99">
        <v>1</v>
      </c>
      <c r="T99" t="s">
        <v>58</v>
      </c>
      <c r="U99" t="s">
        <v>312</v>
      </c>
      <c r="V99" s="4">
        <v>0.28999999999999998</v>
      </c>
      <c r="W99" s="2">
        <v>0</v>
      </c>
      <c r="X99">
        <v>0</v>
      </c>
      <c r="Y99" t="s">
        <v>83</v>
      </c>
      <c r="Z99" t="s">
        <v>221</v>
      </c>
      <c r="AA99">
        <v>6</v>
      </c>
      <c r="AB99" s="2">
        <v>26.1</v>
      </c>
      <c r="AC99" s="2">
        <v>0</v>
      </c>
      <c r="AD99" s="4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4.3499999999999996</v>
      </c>
      <c r="AM99" s="2">
        <v>0</v>
      </c>
      <c r="AN99" s="2">
        <v>26.1</v>
      </c>
      <c r="AO99" s="2">
        <v>0</v>
      </c>
      <c r="AP99" s="2">
        <v>0</v>
      </c>
      <c r="AQ99" s="2">
        <v>0</v>
      </c>
    </row>
    <row r="100" spans="1:43" x14ac:dyDescent="0.25">
      <c r="A100" s="1">
        <v>45999</v>
      </c>
      <c r="B100" t="s">
        <v>48</v>
      </c>
      <c r="C100">
        <v>649163</v>
      </c>
      <c r="D100">
        <v>2032554458</v>
      </c>
      <c r="E100" t="s">
        <v>325</v>
      </c>
      <c r="F100" t="s">
        <v>326</v>
      </c>
      <c r="G100" t="s">
        <v>51</v>
      </c>
      <c r="H100" t="s">
        <v>102</v>
      </c>
      <c r="I100" t="s">
        <v>290</v>
      </c>
      <c r="J100" t="s">
        <v>298</v>
      </c>
      <c r="K100">
        <v>824076</v>
      </c>
      <c r="L100" t="s">
        <v>213</v>
      </c>
      <c r="M100" t="s">
        <v>214</v>
      </c>
      <c r="N100" t="s">
        <v>57</v>
      </c>
      <c r="O100" s="1">
        <v>45998</v>
      </c>
      <c r="Q100" s="1">
        <v>46029</v>
      </c>
      <c r="R100" s="2">
        <v>15</v>
      </c>
      <c r="S100">
        <v>1</v>
      </c>
      <c r="T100" t="s">
        <v>58</v>
      </c>
      <c r="U100" t="s">
        <v>299</v>
      </c>
      <c r="V100" s="4">
        <v>0.38</v>
      </c>
      <c r="W100" s="2">
        <v>0</v>
      </c>
      <c r="X100">
        <v>0</v>
      </c>
      <c r="Y100" t="s">
        <v>83</v>
      </c>
      <c r="Z100" t="s">
        <v>221</v>
      </c>
      <c r="AA100">
        <v>6</v>
      </c>
      <c r="AB100" s="2">
        <v>34.200000000000003</v>
      </c>
      <c r="AC100" s="2">
        <v>0</v>
      </c>
      <c r="AD100" s="4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5.7</v>
      </c>
      <c r="AM100" s="2">
        <v>0</v>
      </c>
      <c r="AN100" s="2">
        <v>34.200000000000003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45999</v>
      </c>
      <c r="B101" t="s">
        <v>48</v>
      </c>
      <c r="C101">
        <v>649163</v>
      </c>
      <c r="D101">
        <v>2031947562</v>
      </c>
      <c r="E101" t="s">
        <v>241</v>
      </c>
      <c r="F101" t="s">
        <v>242</v>
      </c>
      <c r="G101" t="s">
        <v>51</v>
      </c>
      <c r="H101" t="s">
        <v>97</v>
      </c>
      <c r="I101" t="s">
        <v>86</v>
      </c>
      <c r="J101" t="s">
        <v>87</v>
      </c>
      <c r="K101">
        <v>673059</v>
      </c>
      <c r="L101" t="s">
        <v>81</v>
      </c>
      <c r="M101" t="s">
        <v>82</v>
      </c>
      <c r="N101" t="s">
        <v>57</v>
      </c>
      <c r="O101" s="1">
        <v>46023</v>
      </c>
      <c r="Q101" s="1">
        <v>46054</v>
      </c>
      <c r="R101" s="2">
        <v>61.4</v>
      </c>
      <c r="S101">
        <v>1</v>
      </c>
      <c r="T101" t="s">
        <v>58</v>
      </c>
      <c r="U101" t="s">
        <v>105</v>
      </c>
      <c r="V101" s="3">
        <v>0.375</v>
      </c>
      <c r="W101" s="2">
        <v>0</v>
      </c>
      <c r="X101">
        <v>0</v>
      </c>
      <c r="Y101" t="s">
        <v>83</v>
      </c>
      <c r="Z101" t="s">
        <v>221</v>
      </c>
      <c r="AA101">
        <v>6</v>
      </c>
      <c r="AB101" s="2">
        <v>138.12</v>
      </c>
      <c r="AC101" s="2">
        <v>0</v>
      </c>
      <c r="AD101" s="4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23.02</v>
      </c>
      <c r="AM101" s="2">
        <v>0</v>
      </c>
      <c r="AN101" s="2">
        <v>138.12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45999</v>
      </c>
      <c r="B102" t="s">
        <v>48</v>
      </c>
      <c r="C102">
        <v>649163</v>
      </c>
      <c r="D102">
        <v>2032077087</v>
      </c>
      <c r="E102" t="s">
        <v>248</v>
      </c>
      <c r="F102" t="s">
        <v>249</v>
      </c>
      <c r="G102" t="s">
        <v>51</v>
      </c>
      <c r="H102" t="s">
        <v>97</v>
      </c>
      <c r="I102" t="s">
        <v>86</v>
      </c>
      <c r="J102" t="s">
        <v>87</v>
      </c>
      <c r="K102">
        <v>651818</v>
      </c>
      <c r="L102" t="s">
        <v>246</v>
      </c>
      <c r="M102" t="s">
        <v>247</v>
      </c>
      <c r="N102" t="s">
        <v>57</v>
      </c>
      <c r="O102" s="1">
        <v>45997</v>
      </c>
      <c r="Q102" s="1">
        <v>46028</v>
      </c>
      <c r="R102" s="2">
        <v>38.72</v>
      </c>
      <c r="S102">
        <v>1</v>
      </c>
      <c r="T102" t="s">
        <v>58</v>
      </c>
      <c r="U102" t="s">
        <v>105</v>
      </c>
      <c r="V102" s="3">
        <v>0.375</v>
      </c>
      <c r="W102" s="2">
        <v>0</v>
      </c>
      <c r="X102">
        <v>0</v>
      </c>
      <c r="Y102" t="s">
        <v>83</v>
      </c>
      <c r="Z102" t="s">
        <v>221</v>
      </c>
      <c r="AA102">
        <v>6</v>
      </c>
      <c r="AB102" s="2">
        <v>87.12</v>
      </c>
      <c r="AC102" s="2">
        <v>0</v>
      </c>
      <c r="AD102" s="4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14.52</v>
      </c>
      <c r="AM102" s="2">
        <v>0</v>
      </c>
      <c r="AN102" s="2">
        <v>87.12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45999</v>
      </c>
      <c r="B103" t="s">
        <v>48</v>
      </c>
      <c r="C103">
        <v>649163</v>
      </c>
      <c r="D103">
        <v>2032333658</v>
      </c>
      <c r="E103" t="s">
        <v>251</v>
      </c>
      <c r="F103" t="s">
        <v>252</v>
      </c>
      <c r="G103" t="s">
        <v>51</v>
      </c>
      <c r="H103" t="s">
        <v>102</v>
      </c>
      <c r="I103" t="s">
        <v>86</v>
      </c>
      <c r="J103" t="s">
        <v>87</v>
      </c>
      <c r="K103">
        <v>843573</v>
      </c>
      <c r="L103" t="s">
        <v>253</v>
      </c>
      <c r="M103" t="s">
        <v>254</v>
      </c>
      <c r="N103" t="s">
        <v>57</v>
      </c>
      <c r="O103" s="1">
        <v>45993</v>
      </c>
      <c r="Q103" s="1">
        <v>46024</v>
      </c>
      <c r="R103" s="2">
        <v>257.49</v>
      </c>
      <c r="S103">
        <v>1</v>
      </c>
      <c r="T103" t="s">
        <v>58</v>
      </c>
      <c r="U103" t="s">
        <v>105</v>
      </c>
      <c r="V103" s="3">
        <v>0.375</v>
      </c>
      <c r="W103" s="2">
        <v>0</v>
      </c>
      <c r="X103">
        <v>0</v>
      </c>
      <c r="Y103" t="s">
        <v>83</v>
      </c>
      <c r="Z103" t="s">
        <v>221</v>
      </c>
      <c r="AA103">
        <v>6</v>
      </c>
      <c r="AB103" s="2">
        <v>579.36</v>
      </c>
      <c r="AC103" s="2">
        <v>0</v>
      </c>
      <c r="AD103" s="4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96.56</v>
      </c>
      <c r="AM103" s="2">
        <v>0</v>
      </c>
      <c r="AN103" s="2">
        <v>579.36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45999</v>
      </c>
      <c r="B104" t="s">
        <v>48</v>
      </c>
      <c r="C104">
        <v>649163</v>
      </c>
      <c r="D104">
        <v>2032382702</v>
      </c>
      <c r="E104" t="s">
        <v>327</v>
      </c>
      <c r="F104" t="s">
        <v>328</v>
      </c>
      <c r="G104" t="s">
        <v>51</v>
      </c>
      <c r="H104" t="s">
        <v>102</v>
      </c>
      <c r="I104" t="s">
        <v>86</v>
      </c>
      <c r="J104" t="s">
        <v>87</v>
      </c>
      <c r="K104">
        <v>893408</v>
      </c>
      <c r="L104" t="s">
        <v>329</v>
      </c>
      <c r="M104" t="s">
        <v>330</v>
      </c>
      <c r="N104" t="s">
        <v>57</v>
      </c>
      <c r="O104" s="1">
        <v>45994</v>
      </c>
      <c r="Q104" s="1">
        <v>46025</v>
      </c>
      <c r="R104" s="2">
        <v>77.48</v>
      </c>
      <c r="S104">
        <v>1</v>
      </c>
      <c r="T104" t="s">
        <v>58</v>
      </c>
      <c r="U104" t="s">
        <v>105</v>
      </c>
      <c r="V104" s="3">
        <v>0.375</v>
      </c>
      <c r="W104" s="2">
        <v>0</v>
      </c>
      <c r="X104">
        <v>0</v>
      </c>
      <c r="Y104" t="s">
        <v>83</v>
      </c>
      <c r="Z104" t="s">
        <v>221</v>
      </c>
      <c r="AA104">
        <v>6</v>
      </c>
      <c r="AB104" s="2">
        <v>174.36</v>
      </c>
      <c r="AC104" s="2">
        <v>0</v>
      </c>
      <c r="AD104" s="4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29.06</v>
      </c>
      <c r="AM104" s="2">
        <v>0</v>
      </c>
      <c r="AN104" s="2">
        <v>174.36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45999</v>
      </c>
      <c r="B105" t="s">
        <v>48</v>
      </c>
      <c r="C105">
        <v>649163</v>
      </c>
      <c r="D105">
        <v>2032403821</v>
      </c>
      <c r="E105" t="s">
        <v>331</v>
      </c>
      <c r="F105" t="s">
        <v>332</v>
      </c>
      <c r="G105" t="s">
        <v>51</v>
      </c>
      <c r="H105" t="s">
        <v>102</v>
      </c>
      <c r="I105" t="s">
        <v>86</v>
      </c>
      <c r="J105" t="s">
        <v>87</v>
      </c>
      <c r="K105">
        <v>821015</v>
      </c>
      <c r="L105" t="s">
        <v>92</v>
      </c>
      <c r="M105" t="s">
        <v>93</v>
      </c>
      <c r="N105" t="s">
        <v>57</v>
      </c>
      <c r="O105" s="1">
        <v>46023</v>
      </c>
      <c r="Q105" s="1">
        <v>46054</v>
      </c>
      <c r="R105" s="2">
        <v>78.760000000000005</v>
      </c>
      <c r="S105">
        <v>1</v>
      </c>
      <c r="T105" t="s">
        <v>58</v>
      </c>
      <c r="U105" t="s">
        <v>105</v>
      </c>
      <c r="V105" s="3">
        <v>0.375</v>
      </c>
      <c r="W105" s="2">
        <v>0</v>
      </c>
      <c r="X105">
        <v>0</v>
      </c>
      <c r="Y105" t="s">
        <v>83</v>
      </c>
      <c r="Z105" t="s">
        <v>221</v>
      </c>
      <c r="AA105">
        <v>6</v>
      </c>
      <c r="AB105" s="2">
        <v>177.24</v>
      </c>
      <c r="AC105" s="2">
        <v>0</v>
      </c>
      <c r="AD105" s="4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29.54</v>
      </c>
      <c r="AM105" s="2">
        <v>0</v>
      </c>
      <c r="AN105" s="2">
        <v>177.24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45999</v>
      </c>
      <c r="B106" t="s">
        <v>48</v>
      </c>
      <c r="C106">
        <v>649163</v>
      </c>
      <c r="D106">
        <v>2032417241</v>
      </c>
      <c r="E106" t="s">
        <v>219</v>
      </c>
      <c r="F106" t="s">
        <v>82</v>
      </c>
      <c r="G106" t="s">
        <v>51</v>
      </c>
      <c r="H106" t="s">
        <v>220</v>
      </c>
      <c r="I106" t="s">
        <v>86</v>
      </c>
      <c r="J106" t="s">
        <v>87</v>
      </c>
      <c r="K106">
        <v>673059</v>
      </c>
      <c r="L106" t="s">
        <v>81</v>
      </c>
      <c r="M106" t="s">
        <v>82</v>
      </c>
      <c r="N106" t="s">
        <v>57</v>
      </c>
      <c r="O106" s="1">
        <v>46023</v>
      </c>
      <c r="Q106" s="1">
        <v>46054</v>
      </c>
      <c r="R106" s="2">
        <v>21.23</v>
      </c>
      <c r="S106">
        <v>1</v>
      </c>
      <c r="T106" t="s">
        <v>58</v>
      </c>
      <c r="U106" t="s">
        <v>105</v>
      </c>
      <c r="V106" s="3">
        <v>0.375</v>
      </c>
      <c r="W106" s="2">
        <v>0</v>
      </c>
      <c r="X106">
        <v>0</v>
      </c>
      <c r="Y106" t="s">
        <v>83</v>
      </c>
      <c r="Z106" t="s">
        <v>221</v>
      </c>
      <c r="AA106">
        <v>6</v>
      </c>
      <c r="AB106" s="2">
        <v>47.76</v>
      </c>
      <c r="AC106" s="2">
        <v>0</v>
      </c>
      <c r="AD106" s="4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7.96</v>
      </c>
      <c r="AM106" s="2">
        <v>0</v>
      </c>
      <c r="AN106" s="2">
        <v>47.76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45999</v>
      </c>
      <c r="B107" t="s">
        <v>48</v>
      </c>
      <c r="C107">
        <v>649163</v>
      </c>
      <c r="D107">
        <v>2032437705</v>
      </c>
      <c r="E107" t="s">
        <v>333</v>
      </c>
      <c r="F107" t="s">
        <v>249</v>
      </c>
      <c r="G107" t="s">
        <v>51</v>
      </c>
      <c r="H107" t="s">
        <v>102</v>
      </c>
      <c r="I107" t="s">
        <v>86</v>
      </c>
      <c r="J107" t="s">
        <v>87</v>
      </c>
      <c r="K107">
        <v>822381</v>
      </c>
      <c r="L107" t="s">
        <v>334</v>
      </c>
      <c r="M107" t="s">
        <v>335</v>
      </c>
      <c r="N107" t="s">
        <v>57</v>
      </c>
      <c r="O107" s="1">
        <v>45993</v>
      </c>
      <c r="Q107" s="1">
        <v>46024</v>
      </c>
      <c r="R107" s="2">
        <v>77.48</v>
      </c>
      <c r="S107">
        <v>1</v>
      </c>
      <c r="T107" t="s">
        <v>58</v>
      </c>
      <c r="U107" t="s">
        <v>105</v>
      </c>
      <c r="V107" s="3">
        <v>0.375</v>
      </c>
      <c r="W107" s="2">
        <v>0</v>
      </c>
      <c r="X107">
        <v>0</v>
      </c>
      <c r="Y107" t="s">
        <v>83</v>
      </c>
      <c r="Z107" t="s">
        <v>221</v>
      </c>
      <c r="AA107">
        <v>6</v>
      </c>
      <c r="AB107" s="2">
        <v>174.36</v>
      </c>
      <c r="AC107" s="2">
        <v>0</v>
      </c>
      <c r="AD107" s="4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29.06</v>
      </c>
      <c r="AM107" s="2">
        <v>0</v>
      </c>
      <c r="AN107" s="2">
        <v>174.36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45999</v>
      </c>
      <c r="B108" t="s">
        <v>48</v>
      </c>
      <c r="C108">
        <v>649163</v>
      </c>
      <c r="D108">
        <v>2032449150</v>
      </c>
      <c r="E108" t="s">
        <v>336</v>
      </c>
      <c r="F108" t="s">
        <v>337</v>
      </c>
      <c r="G108" t="s">
        <v>51</v>
      </c>
      <c r="H108" t="s">
        <v>79</v>
      </c>
      <c r="I108" t="s">
        <v>86</v>
      </c>
      <c r="J108" t="s">
        <v>87</v>
      </c>
      <c r="K108">
        <v>767312</v>
      </c>
      <c r="L108" t="s">
        <v>138</v>
      </c>
      <c r="M108" t="s">
        <v>107</v>
      </c>
      <c r="N108" t="s">
        <v>57</v>
      </c>
      <c r="O108" s="1">
        <v>45993</v>
      </c>
      <c r="Q108" s="1">
        <v>46024</v>
      </c>
      <c r="R108" s="2">
        <v>32.340000000000003</v>
      </c>
      <c r="S108">
        <v>1</v>
      </c>
      <c r="T108" t="s">
        <v>58</v>
      </c>
      <c r="U108" t="s">
        <v>105</v>
      </c>
      <c r="V108" s="3">
        <v>0.375</v>
      </c>
      <c r="W108" s="2">
        <v>0</v>
      </c>
      <c r="X108">
        <v>0</v>
      </c>
      <c r="Y108" t="s">
        <v>83</v>
      </c>
      <c r="Z108" t="s">
        <v>221</v>
      </c>
      <c r="AA108">
        <v>6</v>
      </c>
      <c r="AB108" s="2">
        <v>72.78</v>
      </c>
      <c r="AC108" s="2">
        <v>0</v>
      </c>
      <c r="AD108" s="4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12.13</v>
      </c>
      <c r="AM108" s="2">
        <v>0</v>
      </c>
      <c r="AN108" s="2">
        <v>72.78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45999</v>
      </c>
      <c r="B109" t="s">
        <v>48</v>
      </c>
      <c r="C109">
        <v>649163</v>
      </c>
      <c r="D109">
        <v>2032450903</v>
      </c>
      <c r="E109" t="s">
        <v>338</v>
      </c>
      <c r="F109" t="s">
        <v>249</v>
      </c>
      <c r="G109" t="s">
        <v>51</v>
      </c>
      <c r="H109" t="s">
        <v>267</v>
      </c>
      <c r="I109" t="s">
        <v>86</v>
      </c>
      <c r="J109" t="s">
        <v>87</v>
      </c>
      <c r="K109">
        <v>767312</v>
      </c>
      <c r="L109" t="s">
        <v>138</v>
      </c>
      <c r="M109" t="s">
        <v>107</v>
      </c>
      <c r="N109" t="s">
        <v>57</v>
      </c>
      <c r="O109" s="1">
        <v>45993</v>
      </c>
      <c r="Q109" s="1">
        <v>46024</v>
      </c>
      <c r="R109" s="2">
        <v>37.479999999999997</v>
      </c>
      <c r="S109">
        <v>1</v>
      </c>
      <c r="T109" t="s">
        <v>58</v>
      </c>
      <c r="U109" t="s">
        <v>105</v>
      </c>
      <c r="V109" s="3">
        <v>0.375</v>
      </c>
      <c r="W109" s="2">
        <v>0</v>
      </c>
      <c r="X109">
        <v>0</v>
      </c>
      <c r="Y109" t="s">
        <v>83</v>
      </c>
      <c r="Z109" t="s">
        <v>221</v>
      </c>
      <c r="AA109">
        <v>6</v>
      </c>
      <c r="AB109" s="2">
        <v>84.36</v>
      </c>
      <c r="AC109" s="2">
        <v>0</v>
      </c>
      <c r="AD109" s="4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14.06</v>
      </c>
      <c r="AM109" s="2">
        <v>0</v>
      </c>
      <c r="AN109" s="2">
        <v>84.36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45999</v>
      </c>
      <c r="B110" t="s">
        <v>48</v>
      </c>
      <c r="C110">
        <v>649163</v>
      </c>
      <c r="D110">
        <v>2032459592</v>
      </c>
      <c r="E110" t="s">
        <v>339</v>
      </c>
      <c r="F110" t="s">
        <v>229</v>
      </c>
      <c r="G110" t="s">
        <v>51</v>
      </c>
      <c r="H110" t="s">
        <v>97</v>
      </c>
      <c r="I110" t="s">
        <v>86</v>
      </c>
      <c r="J110" t="s">
        <v>87</v>
      </c>
      <c r="K110">
        <v>875334</v>
      </c>
      <c r="L110" t="s">
        <v>340</v>
      </c>
      <c r="M110" t="s">
        <v>341</v>
      </c>
      <c r="N110" t="s">
        <v>57</v>
      </c>
      <c r="O110" s="1">
        <v>46023</v>
      </c>
      <c r="Q110" s="1">
        <v>46054</v>
      </c>
      <c r="R110" s="2">
        <v>138.22</v>
      </c>
      <c r="S110">
        <v>1</v>
      </c>
      <c r="T110" t="s">
        <v>58</v>
      </c>
      <c r="U110" t="s">
        <v>105</v>
      </c>
      <c r="V110" s="3">
        <v>0.375</v>
      </c>
      <c r="W110" s="2">
        <v>0</v>
      </c>
      <c r="X110">
        <v>0</v>
      </c>
      <c r="Y110" t="s">
        <v>83</v>
      </c>
      <c r="Z110" t="s">
        <v>221</v>
      </c>
      <c r="AA110">
        <v>6</v>
      </c>
      <c r="AB110" s="2">
        <v>310.98</v>
      </c>
      <c r="AC110" s="2">
        <v>0</v>
      </c>
      <c r="AD110" s="4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51.83</v>
      </c>
      <c r="AM110" s="2">
        <v>0</v>
      </c>
      <c r="AN110" s="2">
        <v>310.98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45999</v>
      </c>
      <c r="B111" t="s">
        <v>48</v>
      </c>
      <c r="C111">
        <v>649163</v>
      </c>
      <c r="D111">
        <v>2032459637</v>
      </c>
      <c r="E111" t="s">
        <v>342</v>
      </c>
      <c r="F111" t="s">
        <v>343</v>
      </c>
      <c r="G111" t="s">
        <v>51</v>
      </c>
      <c r="H111" t="s">
        <v>200</v>
      </c>
      <c r="I111" t="s">
        <v>86</v>
      </c>
      <c r="J111" t="s">
        <v>87</v>
      </c>
      <c r="K111">
        <v>796984</v>
      </c>
      <c r="L111" t="s">
        <v>344</v>
      </c>
      <c r="M111" t="s">
        <v>260</v>
      </c>
      <c r="N111" t="s">
        <v>57</v>
      </c>
      <c r="O111" s="1">
        <v>45994</v>
      </c>
      <c r="Q111" s="1">
        <v>46025</v>
      </c>
      <c r="R111" s="2">
        <v>55.63</v>
      </c>
      <c r="S111">
        <v>1</v>
      </c>
      <c r="T111" t="s">
        <v>58</v>
      </c>
      <c r="U111" t="s">
        <v>105</v>
      </c>
      <c r="V111" s="3">
        <v>0.375</v>
      </c>
      <c r="W111" s="2">
        <v>0</v>
      </c>
      <c r="X111">
        <v>0</v>
      </c>
      <c r="Y111" t="s">
        <v>83</v>
      </c>
      <c r="Z111" t="s">
        <v>221</v>
      </c>
      <c r="AA111">
        <v>6</v>
      </c>
      <c r="AB111" s="2">
        <v>125.16</v>
      </c>
      <c r="AC111" s="2">
        <v>0</v>
      </c>
      <c r="AD111" s="4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20.86</v>
      </c>
      <c r="AM111" s="2">
        <v>0</v>
      </c>
      <c r="AN111" s="2">
        <v>125.16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45999</v>
      </c>
      <c r="B112" t="s">
        <v>48</v>
      </c>
      <c r="C112">
        <v>649163</v>
      </c>
      <c r="D112">
        <v>2032462075</v>
      </c>
      <c r="E112" t="s">
        <v>226</v>
      </c>
      <c r="F112" t="s">
        <v>227</v>
      </c>
      <c r="G112" t="s">
        <v>51</v>
      </c>
      <c r="H112" t="s">
        <v>131</v>
      </c>
      <c r="I112" t="s">
        <v>86</v>
      </c>
      <c r="J112" t="s">
        <v>87</v>
      </c>
      <c r="K112">
        <v>673059</v>
      </c>
      <c r="L112" t="s">
        <v>81</v>
      </c>
      <c r="M112" t="s">
        <v>82</v>
      </c>
      <c r="N112" t="s">
        <v>57</v>
      </c>
      <c r="O112" s="1">
        <v>46023</v>
      </c>
      <c r="Q112" s="1">
        <v>46054</v>
      </c>
      <c r="R112" s="2">
        <v>37.409999999999997</v>
      </c>
      <c r="S112">
        <v>1</v>
      </c>
      <c r="T112" t="s">
        <v>58</v>
      </c>
      <c r="U112" t="s">
        <v>105</v>
      </c>
      <c r="V112" s="3">
        <v>0.375</v>
      </c>
      <c r="W112" s="2">
        <v>0</v>
      </c>
      <c r="X112">
        <v>0</v>
      </c>
      <c r="Y112" t="s">
        <v>83</v>
      </c>
      <c r="Z112" t="s">
        <v>221</v>
      </c>
      <c r="AA112">
        <v>6</v>
      </c>
      <c r="AB112" s="2">
        <v>84.18</v>
      </c>
      <c r="AC112" s="2">
        <v>0</v>
      </c>
      <c r="AD112" s="4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14.03</v>
      </c>
      <c r="AM112" s="2">
        <v>0</v>
      </c>
      <c r="AN112" s="2">
        <v>84.18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45999</v>
      </c>
      <c r="B113" t="s">
        <v>48</v>
      </c>
      <c r="C113">
        <v>649163</v>
      </c>
      <c r="D113">
        <v>2032471095</v>
      </c>
      <c r="E113" t="s">
        <v>345</v>
      </c>
      <c r="F113" t="s">
        <v>346</v>
      </c>
      <c r="G113" t="s">
        <v>51</v>
      </c>
      <c r="H113" t="s">
        <v>102</v>
      </c>
      <c r="I113" t="s">
        <v>86</v>
      </c>
      <c r="J113" t="s">
        <v>87</v>
      </c>
      <c r="K113">
        <v>806645</v>
      </c>
      <c r="L113" t="s">
        <v>98</v>
      </c>
      <c r="M113" t="s">
        <v>99</v>
      </c>
      <c r="N113" t="s">
        <v>57</v>
      </c>
      <c r="O113" s="1">
        <v>46023</v>
      </c>
      <c r="Q113" s="1">
        <v>46054</v>
      </c>
      <c r="R113" s="2">
        <v>152.33000000000001</v>
      </c>
      <c r="S113">
        <v>1</v>
      </c>
      <c r="T113" t="s">
        <v>58</v>
      </c>
      <c r="U113" t="s">
        <v>105</v>
      </c>
      <c r="V113" s="3">
        <v>0.375</v>
      </c>
      <c r="W113" s="2">
        <v>0</v>
      </c>
      <c r="X113">
        <v>0</v>
      </c>
      <c r="Y113" t="s">
        <v>83</v>
      </c>
      <c r="Z113" t="s">
        <v>221</v>
      </c>
      <c r="AA113">
        <v>6</v>
      </c>
      <c r="AB113" s="2">
        <v>342.72</v>
      </c>
      <c r="AC113" s="2">
        <v>0</v>
      </c>
      <c r="AD113" s="4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57.12</v>
      </c>
      <c r="AM113" s="2">
        <v>0</v>
      </c>
      <c r="AN113" s="2">
        <v>342.72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45999</v>
      </c>
      <c r="B114" t="s">
        <v>48</v>
      </c>
      <c r="C114">
        <v>649163</v>
      </c>
      <c r="D114">
        <v>2032476389</v>
      </c>
      <c r="E114" t="s">
        <v>347</v>
      </c>
      <c r="F114" t="s">
        <v>348</v>
      </c>
      <c r="G114" t="s">
        <v>51</v>
      </c>
      <c r="H114" t="s">
        <v>308</v>
      </c>
      <c r="I114" t="s">
        <v>86</v>
      </c>
      <c r="J114" t="s">
        <v>87</v>
      </c>
      <c r="K114">
        <v>877790</v>
      </c>
      <c r="L114" t="s">
        <v>310</v>
      </c>
      <c r="M114" t="s">
        <v>311</v>
      </c>
      <c r="N114" t="s">
        <v>57</v>
      </c>
      <c r="O114" s="1">
        <v>45995</v>
      </c>
      <c r="Q114" s="1">
        <v>46026</v>
      </c>
      <c r="R114" s="2">
        <v>45.79</v>
      </c>
      <c r="S114">
        <v>1</v>
      </c>
      <c r="T114" t="s">
        <v>58</v>
      </c>
      <c r="U114" t="s">
        <v>105</v>
      </c>
      <c r="V114" s="3">
        <v>0.375</v>
      </c>
      <c r="W114" s="2">
        <v>0</v>
      </c>
      <c r="X114">
        <v>0</v>
      </c>
      <c r="Y114" t="s">
        <v>83</v>
      </c>
      <c r="Z114" t="s">
        <v>221</v>
      </c>
      <c r="AA114">
        <v>6</v>
      </c>
      <c r="AB114" s="2">
        <v>103.02</v>
      </c>
      <c r="AC114" s="2">
        <v>0</v>
      </c>
      <c r="AD114" s="4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17.170000000000002</v>
      </c>
      <c r="AM114" s="2">
        <v>0</v>
      </c>
      <c r="AN114" s="2">
        <v>103.02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45999</v>
      </c>
      <c r="B115" t="s">
        <v>48</v>
      </c>
      <c r="C115">
        <v>649163</v>
      </c>
      <c r="D115">
        <v>2032480157</v>
      </c>
      <c r="E115" t="s">
        <v>349</v>
      </c>
      <c r="F115" t="s">
        <v>350</v>
      </c>
      <c r="G115" t="s">
        <v>51</v>
      </c>
      <c r="H115" t="s">
        <v>102</v>
      </c>
      <c r="I115" t="s">
        <v>86</v>
      </c>
      <c r="J115" t="s">
        <v>87</v>
      </c>
      <c r="K115">
        <v>824062</v>
      </c>
      <c r="L115" t="s">
        <v>261</v>
      </c>
      <c r="M115" t="s">
        <v>262</v>
      </c>
      <c r="N115" t="s">
        <v>57</v>
      </c>
      <c r="O115" s="1">
        <v>46023</v>
      </c>
      <c r="Q115" s="1">
        <v>46054</v>
      </c>
      <c r="R115" s="2">
        <v>78.760000000000005</v>
      </c>
      <c r="S115">
        <v>1</v>
      </c>
      <c r="T115" t="s">
        <v>58</v>
      </c>
      <c r="U115" t="s">
        <v>105</v>
      </c>
      <c r="V115" s="3">
        <v>0.375</v>
      </c>
      <c r="W115" s="2">
        <v>0</v>
      </c>
      <c r="X115">
        <v>0</v>
      </c>
      <c r="Y115" t="s">
        <v>83</v>
      </c>
      <c r="Z115" t="s">
        <v>221</v>
      </c>
      <c r="AA115">
        <v>6</v>
      </c>
      <c r="AB115" s="2">
        <v>177.24</v>
      </c>
      <c r="AC115" s="2">
        <v>0</v>
      </c>
      <c r="AD115" s="4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29.54</v>
      </c>
      <c r="AM115" s="2">
        <v>0</v>
      </c>
      <c r="AN115" s="2">
        <v>177.24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45999</v>
      </c>
      <c r="B116" t="s">
        <v>48</v>
      </c>
      <c r="C116">
        <v>649163</v>
      </c>
      <c r="D116">
        <v>2032489610</v>
      </c>
      <c r="E116" t="s">
        <v>351</v>
      </c>
      <c r="F116" t="s">
        <v>352</v>
      </c>
      <c r="G116" t="s">
        <v>51</v>
      </c>
      <c r="H116" t="s">
        <v>102</v>
      </c>
      <c r="I116" t="s">
        <v>86</v>
      </c>
      <c r="J116" t="s">
        <v>87</v>
      </c>
      <c r="K116">
        <v>884312</v>
      </c>
      <c r="L116" t="s">
        <v>353</v>
      </c>
      <c r="M116" t="s">
        <v>354</v>
      </c>
      <c r="N116" t="s">
        <v>57</v>
      </c>
      <c r="O116" s="1">
        <v>45999</v>
      </c>
      <c r="Q116" s="1">
        <v>46030</v>
      </c>
      <c r="R116" s="2">
        <v>77.48</v>
      </c>
      <c r="S116">
        <v>1</v>
      </c>
      <c r="T116" t="s">
        <v>58</v>
      </c>
      <c r="U116" t="s">
        <v>105</v>
      </c>
      <c r="V116" s="3">
        <v>0.375</v>
      </c>
      <c r="W116" s="2">
        <v>0</v>
      </c>
      <c r="X116">
        <v>0</v>
      </c>
      <c r="Y116" t="s">
        <v>83</v>
      </c>
      <c r="Z116" t="s">
        <v>221</v>
      </c>
      <c r="AA116">
        <v>6</v>
      </c>
      <c r="AB116" s="2">
        <v>174.36</v>
      </c>
      <c r="AC116" s="2">
        <v>0</v>
      </c>
      <c r="AD116" s="4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29.06</v>
      </c>
      <c r="AM116" s="2">
        <v>0</v>
      </c>
      <c r="AN116" s="2">
        <v>174.36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45999</v>
      </c>
      <c r="B117" t="s">
        <v>48</v>
      </c>
      <c r="C117">
        <v>649163</v>
      </c>
      <c r="D117">
        <v>2032490525</v>
      </c>
      <c r="E117" t="s">
        <v>355</v>
      </c>
      <c r="F117" t="s">
        <v>194</v>
      </c>
      <c r="G117" t="s">
        <v>51</v>
      </c>
      <c r="H117" t="s">
        <v>102</v>
      </c>
      <c r="I117" t="s">
        <v>86</v>
      </c>
      <c r="J117" t="s">
        <v>87</v>
      </c>
      <c r="K117">
        <v>814033</v>
      </c>
      <c r="L117" t="s">
        <v>284</v>
      </c>
      <c r="M117" t="s">
        <v>285</v>
      </c>
      <c r="N117" t="s">
        <v>57</v>
      </c>
      <c r="O117" s="1">
        <v>46023</v>
      </c>
      <c r="Q117" s="1">
        <v>46054</v>
      </c>
      <c r="R117" s="2">
        <v>54.7</v>
      </c>
      <c r="S117">
        <v>1</v>
      </c>
      <c r="T117" t="s">
        <v>58</v>
      </c>
      <c r="U117" t="s">
        <v>105</v>
      </c>
      <c r="V117" s="3">
        <v>0.375</v>
      </c>
      <c r="W117" s="2">
        <v>0</v>
      </c>
      <c r="X117">
        <v>0</v>
      </c>
      <c r="Y117" t="s">
        <v>83</v>
      </c>
      <c r="Z117" t="s">
        <v>221</v>
      </c>
      <c r="AA117">
        <v>6</v>
      </c>
      <c r="AB117" s="2">
        <v>123.06</v>
      </c>
      <c r="AC117" s="2">
        <v>0</v>
      </c>
      <c r="AD117" s="4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20.51</v>
      </c>
      <c r="AM117" s="2">
        <v>0</v>
      </c>
      <c r="AN117" s="2">
        <v>123.06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45999</v>
      </c>
      <c r="B118" t="s">
        <v>48</v>
      </c>
      <c r="C118">
        <v>649163</v>
      </c>
      <c r="D118">
        <v>2032492816</v>
      </c>
      <c r="E118" t="s">
        <v>232</v>
      </c>
      <c r="F118" t="s">
        <v>233</v>
      </c>
      <c r="G118" t="s">
        <v>51</v>
      </c>
      <c r="H118" t="s">
        <v>52</v>
      </c>
      <c r="I118" t="s">
        <v>86</v>
      </c>
      <c r="J118" t="s">
        <v>87</v>
      </c>
      <c r="K118">
        <v>751867</v>
      </c>
      <c r="L118" t="s">
        <v>70</v>
      </c>
      <c r="M118" t="s">
        <v>71</v>
      </c>
      <c r="N118" t="s">
        <v>57</v>
      </c>
      <c r="O118" s="1">
        <v>46023</v>
      </c>
      <c r="Q118" s="1">
        <v>46054</v>
      </c>
      <c r="R118" s="2">
        <v>61.58</v>
      </c>
      <c r="S118">
        <v>1</v>
      </c>
      <c r="T118" t="s">
        <v>58</v>
      </c>
      <c r="U118" t="s">
        <v>105</v>
      </c>
      <c r="V118" s="3">
        <v>0.375</v>
      </c>
      <c r="W118" s="2">
        <v>0</v>
      </c>
      <c r="X118">
        <v>0</v>
      </c>
      <c r="Y118" t="s">
        <v>83</v>
      </c>
      <c r="Z118" t="s">
        <v>221</v>
      </c>
      <c r="AA118">
        <v>6</v>
      </c>
      <c r="AB118" s="2">
        <v>138.54</v>
      </c>
      <c r="AC118" s="2">
        <v>0</v>
      </c>
      <c r="AD118" s="4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23.09</v>
      </c>
      <c r="AM118" s="2">
        <v>0</v>
      </c>
      <c r="AN118" s="2">
        <v>138.54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45999</v>
      </c>
      <c r="B119" t="s">
        <v>48</v>
      </c>
      <c r="C119">
        <v>649163</v>
      </c>
      <c r="D119">
        <v>2032523595</v>
      </c>
      <c r="E119" t="s">
        <v>356</v>
      </c>
      <c r="F119" t="s">
        <v>175</v>
      </c>
      <c r="G119" t="s">
        <v>51</v>
      </c>
      <c r="H119" t="s">
        <v>357</v>
      </c>
      <c r="I119" t="s">
        <v>86</v>
      </c>
      <c r="J119" t="s">
        <v>87</v>
      </c>
      <c r="K119">
        <v>820140</v>
      </c>
      <c r="L119" t="s">
        <v>358</v>
      </c>
      <c r="M119" t="s">
        <v>231</v>
      </c>
      <c r="N119" t="s">
        <v>57</v>
      </c>
      <c r="O119" s="1">
        <v>45997</v>
      </c>
      <c r="Q119" s="1">
        <v>46028</v>
      </c>
      <c r="R119" s="2">
        <v>44.18</v>
      </c>
      <c r="S119">
        <v>1</v>
      </c>
      <c r="T119" t="s">
        <v>58</v>
      </c>
      <c r="U119" t="s">
        <v>105</v>
      </c>
      <c r="V119" s="3">
        <v>9.5000000000000001E-2</v>
      </c>
      <c r="W119" s="2">
        <v>0</v>
      </c>
      <c r="X119">
        <v>0</v>
      </c>
      <c r="Y119" t="s">
        <v>83</v>
      </c>
      <c r="Z119" t="s">
        <v>221</v>
      </c>
      <c r="AA119">
        <v>6</v>
      </c>
      <c r="AB119" s="2">
        <v>25.2</v>
      </c>
      <c r="AC119" s="2">
        <v>0</v>
      </c>
      <c r="AD119" s="4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4.2</v>
      </c>
      <c r="AM119" s="2">
        <v>0</v>
      </c>
      <c r="AN119" s="2">
        <v>25.2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45999</v>
      </c>
      <c r="B120" t="s">
        <v>48</v>
      </c>
      <c r="C120">
        <v>649163</v>
      </c>
      <c r="D120">
        <v>2032547050</v>
      </c>
      <c r="E120" t="s">
        <v>359</v>
      </c>
      <c r="F120" t="s">
        <v>360</v>
      </c>
      <c r="G120" t="s">
        <v>51</v>
      </c>
      <c r="H120" t="s">
        <v>97</v>
      </c>
      <c r="I120" t="s">
        <v>86</v>
      </c>
      <c r="J120" t="s">
        <v>87</v>
      </c>
      <c r="K120">
        <v>813184</v>
      </c>
      <c r="L120" t="s">
        <v>361</v>
      </c>
      <c r="M120" t="s">
        <v>362</v>
      </c>
      <c r="N120" t="s">
        <v>57</v>
      </c>
      <c r="O120" s="1">
        <v>45998</v>
      </c>
      <c r="Q120" s="1">
        <v>46029</v>
      </c>
      <c r="R120" s="2">
        <v>41.29</v>
      </c>
      <c r="S120">
        <v>1</v>
      </c>
      <c r="T120" t="s">
        <v>58</v>
      </c>
      <c r="U120" t="s">
        <v>105</v>
      </c>
      <c r="V120" s="3">
        <v>0.375</v>
      </c>
      <c r="W120" s="2">
        <v>0</v>
      </c>
      <c r="X120">
        <v>0</v>
      </c>
      <c r="Y120" t="s">
        <v>83</v>
      </c>
      <c r="Z120" t="s">
        <v>221</v>
      </c>
      <c r="AA120">
        <v>6</v>
      </c>
      <c r="AB120" s="2">
        <v>92.88</v>
      </c>
      <c r="AC120" s="2">
        <v>0</v>
      </c>
      <c r="AD120" s="4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15.48</v>
      </c>
      <c r="AM120" s="2">
        <v>0</v>
      </c>
      <c r="AN120" s="2">
        <v>92.88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45999</v>
      </c>
      <c r="B121" t="s">
        <v>48</v>
      </c>
      <c r="C121">
        <v>649163</v>
      </c>
      <c r="D121">
        <v>2032548720</v>
      </c>
      <c r="E121" t="s">
        <v>288</v>
      </c>
      <c r="F121" t="s">
        <v>289</v>
      </c>
      <c r="G121" t="s">
        <v>51</v>
      </c>
      <c r="H121" t="s">
        <v>200</v>
      </c>
      <c r="I121" t="s">
        <v>86</v>
      </c>
      <c r="J121" t="s">
        <v>87</v>
      </c>
      <c r="K121">
        <v>816021</v>
      </c>
      <c r="L121" t="s">
        <v>201</v>
      </c>
      <c r="M121" t="s">
        <v>202</v>
      </c>
      <c r="N121" t="s">
        <v>57</v>
      </c>
      <c r="O121" s="1">
        <v>45998</v>
      </c>
      <c r="Q121" s="1">
        <v>46029</v>
      </c>
      <c r="R121" s="2">
        <v>54.57</v>
      </c>
      <c r="S121">
        <v>1</v>
      </c>
      <c r="T121" t="s">
        <v>58</v>
      </c>
      <c r="U121" t="s">
        <v>105</v>
      </c>
      <c r="V121" s="3">
        <v>0.375</v>
      </c>
      <c r="W121" s="2">
        <v>0</v>
      </c>
      <c r="X121">
        <v>0</v>
      </c>
      <c r="Y121" t="s">
        <v>83</v>
      </c>
      <c r="Z121" t="s">
        <v>221</v>
      </c>
      <c r="AA121">
        <v>6</v>
      </c>
      <c r="AB121" s="2">
        <v>122.76</v>
      </c>
      <c r="AC121" s="2">
        <v>0</v>
      </c>
      <c r="AD121" s="4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20.46</v>
      </c>
      <c r="AM121" s="2">
        <v>0</v>
      </c>
      <c r="AN121" s="2">
        <v>122.76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45999</v>
      </c>
      <c r="B122" t="s">
        <v>48</v>
      </c>
      <c r="C122">
        <v>649163</v>
      </c>
      <c r="D122">
        <v>2032551264</v>
      </c>
      <c r="E122" t="s">
        <v>363</v>
      </c>
      <c r="F122" t="s">
        <v>364</v>
      </c>
      <c r="G122" t="s">
        <v>51</v>
      </c>
      <c r="H122" t="s">
        <v>102</v>
      </c>
      <c r="I122" t="s">
        <v>86</v>
      </c>
      <c r="J122" t="s">
        <v>87</v>
      </c>
      <c r="K122">
        <v>806645</v>
      </c>
      <c r="L122" t="s">
        <v>98</v>
      </c>
      <c r="M122" t="s">
        <v>99</v>
      </c>
      <c r="N122" t="s">
        <v>57</v>
      </c>
      <c r="O122" s="1">
        <v>46023</v>
      </c>
      <c r="Q122" s="1">
        <v>46054</v>
      </c>
      <c r="R122" s="2">
        <v>54.7</v>
      </c>
      <c r="S122">
        <v>1</v>
      </c>
      <c r="T122" t="s">
        <v>58</v>
      </c>
      <c r="U122" t="s">
        <v>105</v>
      </c>
      <c r="V122" s="3">
        <v>0.375</v>
      </c>
      <c r="W122" s="2">
        <v>0</v>
      </c>
      <c r="X122">
        <v>0</v>
      </c>
      <c r="Y122" t="s">
        <v>83</v>
      </c>
      <c r="Z122" t="s">
        <v>221</v>
      </c>
      <c r="AA122">
        <v>6</v>
      </c>
      <c r="AB122" s="2">
        <v>123.06</v>
      </c>
      <c r="AC122" s="2">
        <v>0</v>
      </c>
      <c r="AD122" s="4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20.51</v>
      </c>
      <c r="AM122" s="2">
        <v>0</v>
      </c>
      <c r="AN122" s="2">
        <v>123.06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45999</v>
      </c>
      <c r="B123" t="s">
        <v>48</v>
      </c>
      <c r="C123">
        <v>649163</v>
      </c>
      <c r="D123">
        <v>2032434020</v>
      </c>
      <c r="E123" t="s">
        <v>293</v>
      </c>
      <c r="F123" t="s">
        <v>294</v>
      </c>
      <c r="G123" t="s">
        <v>51</v>
      </c>
      <c r="H123" t="s">
        <v>102</v>
      </c>
      <c r="I123" t="s">
        <v>365</v>
      </c>
      <c r="J123" t="s">
        <v>366</v>
      </c>
      <c r="K123">
        <v>894525</v>
      </c>
      <c r="L123" t="s">
        <v>230</v>
      </c>
      <c r="M123" t="s">
        <v>231</v>
      </c>
      <c r="N123" t="s">
        <v>57</v>
      </c>
      <c r="O123" s="1">
        <v>46023</v>
      </c>
      <c r="Q123" s="1">
        <v>46054</v>
      </c>
      <c r="R123" s="2">
        <v>42.1</v>
      </c>
      <c r="S123">
        <v>1</v>
      </c>
      <c r="T123" t="s">
        <v>58</v>
      </c>
      <c r="U123" t="s">
        <v>105</v>
      </c>
      <c r="V123" s="4">
        <v>0.38</v>
      </c>
      <c r="W123" s="2">
        <v>0</v>
      </c>
      <c r="X123">
        <v>0</v>
      </c>
      <c r="Y123" t="s">
        <v>83</v>
      </c>
      <c r="Z123" t="s">
        <v>221</v>
      </c>
      <c r="AA123">
        <v>6</v>
      </c>
      <c r="AB123" s="2">
        <v>96</v>
      </c>
      <c r="AC123" s="2">
        <v>0</v>
      </c>
      <c r="AD123" s="4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16</v>
      </c>
      <c r="AM123" s="2">
        <v>0</v>
      </c>
      <c r="AN123" s="2">
        <v>96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45999</v>
      </c>
      <c r="B124" t="s">
        <v>48</v>
      </c>
      <c r="C124">
        <v>649163</v>
      </c>
      <c r="D124">
        <v>2032443156</v>
      </c>
      <c r="E124" t="s">
        <v>296</v>
      </c>
      <c r="F124" t="s">
        <v>297</v>
      </c>
      <c r="G124" t="s">
        <v>51</v>
      </c>
      <c r="H124" t="s">
        <v>102</v>
      </c>
      <c r="I124" t="s">
        <v>365</v>
      </c>
      <c r="J124" t="s">
        <v>366</v>
      </c>
      <c r="K124">
        <v>894525</v>
      </c>
      <c r="L124" t="s">
        <v>230</v>
      </c>
      <c r="M124" t="s">
        <v>231</v>
      </c>
      <c r="N124" t="s">
        <v>57</v>
      </c>
      <c r="O124" s="1">
        <v>46023</v>
      </c>
      <c r="Q124" s="1">
        <v>46054</v>
      </c>
      <c r="R124" s="2">
        <v>55.07</v>
      </c>
      <c r="S124">
        <v>1</v>
      </c>
      <c r="T124" t="s">
        <v>58</v>
      </c>
      <c r="U124" t="s">
        <v>105</v>
      </c>
      <c r="V124" s="4">
        <v>0.38</v>
      </c>
      <c r="W124" s="2">
        <v>0</v>
      </c>
      <c r="X124">
        <v>0</v>
      </c>
      <c r="Y124" t="s">
        <v>83</v>
      </c>
      <c r="Z124" t="s">
        <v>221</v>
      </c>
      <c r="AA124">
        <v>6</v>
      </c>
      <c r="AB124" s="2">
        <v>125.58</v>
      </c>
      <c r="AC124" s="2">
        <v>0</v>
      </c>
      <c r="AD124" s="4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20.93</v>
      </c>
      <c r="AM124" s="2">
        <v>0</v>
      </c>
      <c r="AN124" s="2">
        <v>125.58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45999</v>
      </c>
      <c r="B125" t="s">
        <v>48</v>
      </c>
      <c r="C125">
        <v>649163</v>
      </c>
      <c r="D125">
        <v>2032443548</v>
      </c>
      <c r="E125" t="s">
        <v>367</v>
      </c>
      <c r="F125" t="s">
        <v>368</v>
      </c>
      <c r="G125" t="s">
        <v>51</v>
      </c>
      <c r="H125" t="s">
        <v>200</v>
      </c>
      <c r="I125" t="s">
        <v>365</v>
      </c>
      <c r="J125" t="s">
        <v>369</v>
      </c>
      <c r="K125">
        <v>796984</v>
      </c>
      <c r="L125" t="s">
        <v>344</v>
      </c>
      <c r="M125" t="s">
        <v>260</v>
      </c>
      <c r="N125" t="s">
        <v>57</v>
      </c>
      <c r="O125" s="1">
        <v>45993</v>
      </c>
      <c r="Q125" s="1">
        <v>46024</v>
      </c>
      <c r="R125" s="2">
        <v>161.63999999999999</v>
      </c>
      <c r="S125">
        <v>1</v>
      </c>
      <c r="T125" t="s">
        <v>58</v>
      </c>
      <c r="U125" t="s">
        <v>105</v>
      </c>
      <c r="V125" s="4">
        <v>0.19</v>
      </c>
      <c r="W125" s="2">
        <v>0</v>
      </c>
      <c r="X125">
        <v>0</v>
      </c>
      <c r="Y125" t="s">
        <v>83</v>
      </c>
      <c r="Z125" t="s">
        <v>221</v>
      </c>
      <c r="AA125">
        <v>6</v>
      </c>
      <c r="AB125" s="2">
        <v>184.26</v>
      </c>
      <c r="AC125" s="2">
        <v>0</v>
      </c>
      <c r="AD125" s="4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30.71</v>
      </c>
      <c r="AM125" s="2">
        <v>0</v>
      </c>
      <c r="AN125" s="2">
        <v>184.26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45999</v>
      </c>
      <c r="B126" t="s">
        <v>48</v>
      </c>
      <c r="C126">
        <v>649163</v>
      </c>
      <c r="D126">
        <v>2032445031</v>
      </c>
      <c r="E126" t="s">
        <v>259</v>
      </c>
      <c r="F126" t="s">
        <v>260</v>
      </c>
      <c r="G126" t="s">
        <v>51</v>
      </c>
      <c r="H126" t="s">
        <v>102</v>
      </c>
      <c r="I126" t="s">
        <v>365</v>
      </c>
      <c r="J126" t="s">
        <v>370</v>
      </c>
      <c r="K126">
        <v>824062</v>
      </c>
      <c r="L126" t="s">
        <v>261</v>
      </c>
      <c r="M126" t="s">
        <v>262</v>
      </c>
      <c r="N126" t="s">
        <v>57</v>
      </c>
      <c r="O126" s="1">
        <v>46006</v>
      </c>
      <c r="Q126" s="1">
        <v>46037</v>
      </c>
      <c r="R126" s="2">
        <v>118.19</v>
      </c>
      <c r="S126">
        <v>1</v>
      </c>
      <c r="T126" t="s">
        <v>58</v>
      </c>
      <c r="U126" t="s">
        <v>105</v>
      </c>
      <c r="V126" s="4">
        <v>0.38</v>
      </c>
      <c r="W126" s="2">
        <v>0</v>
      </c>
      <c r="X126">
        <v>0</v>
      </c>
      <c r="Y126" t="s">
        <v>83</v>
      </c>
      <c r="Z126" t="s">
        <v>221</v>
      </c>
      <c r="AA126">
        <v>6</v>
      </c>
      <c r="AB126" s="2">
        <v>269.45999999999998</v>
      </c>
      <c r="AC126" s="2">
        <v>0</v>
      </c>
      <c r="AD126" s="4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44.91</v>
      </c>
      <c r="AM126" s="2">
        <v>0</v>
      </c>
      <c r="AN126" s="2">
        <v>269.45999999999998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45999</v>
      </c>
      <c r="B127" t="s">
        <v>48</v>
      </c>
      <c r="C127">
        <v>649163</v>
      </c>
      <c r="D127">
        <v>2032445032</v>
      </c>
      <c r="E127" t="s">
        <v>259</v>
      </c>
      <c r="F127" t="s">
        <v>260</v>
      </c>
      <c r="G127" t="s">
        <v>51</v>
      </c>
      <c r="H127" t="s">
        <v>102</v>
      </c>
      <c r="I127" t="s">
        <v>365</v>
      </c>
      <c r="J127" t="s">
        <v>371</v>
      </c>
      <c r="K127">
        <v>824062</v>
      </c>
      <c r="L127" t="s">
        <v>261</v>
      </c>
      <c r="M127" t="s">
        <v>262</v>
      </c>
      <c r="N127" t="s">
        <v>57</v>
      </c>
      <c r="O127" s="1">
        <v>46006</v>
      </c>
      <c r="Q127" s="1">
        <v>46037</v>
      </c>
      <c r="R127" s="2">
        <v>7.09</v>
      </c>
      <c r="S127">
        <v>1</v>
      </c>
      <c r="T127" t="s">
        <v>58</v>
      </c>
      <c r="U127" t="s">
        <v>105</v>
      </c>
      <c r="V127" s="4">
        <v>0.38</v>
      </c>
      <c r="W127" s="2">
        <v>0</v>
      </c>
      <c r="X127">
        <v>0</v>
      </c>
      <c r="Y127" t="s">
        <v>83</v>
      </c>
      <c r="Z127" t="s">
        <v>221</v>
      </c>
      <c r="AA127">
        <v>6</v>
      </c>
      <c r="AB127" s="2">
        <v>16.14</v>
      </c>
      <c r="AC127" s="2">
        <v>0</v>
      </c>
      <c r="AD127" s="4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2.69</v>
      </c>
      <c r="AM127" s="2">
        <v>0</v>
      </c>
      <c r="AN127" s="2">
        <v>16.14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45999</v>
      </c>
      <c r="B128" t="s">
        <v>48</v>
      </c>
      <c r="C128">
        <v>649163</v>
      </c>
      <c r="D128">
        <v>2032465134</v>
      </c>
      <c r="E128" t="s">
        <v>228</v>
      </c>
      <c r="F128" t="s">
        <v>229</v>
      </c>
      <c r="G128" t="s">
        <v>51</v>
      </c>
      <c r="H128" t="s">
        <v>102</v>
      </c>
      <c r="I128" t="s">
        <v>365</v>
      </c>
      <c r="J128" t="s">
        <v>366</v>
      </c>
      <c r="K128">
        <v>894525</v>
      </c>
      <c r="L128" t="s">
        <v>230</v>
      </c>
      <c r="M128" t="s">
        <v>231</v>
      </c>
      <c r="N128" t="s">
        <v>57</v>
      </c>
      <c r="O128" s="1">
        <v>46023</v>
      </c>
      <c r="Q128" s="1">
        <v>46054</v>
      </c>
      <c r="R128" s="2">
        <v>74.98</v>
      </c>
      <c r="S128">
        <v>1</v>
      </c>
      <c r="T128" t="s">
        <v>58</v>
      </c>
      <c r="U128" t="s">
        <v>105</v>
      </c>
      <c r="V128" s="4">
        <v>0.38</v>
      </c>
      <c r="W128" s="2">
        <v>0</v>
      </c>
      <c r="X128">
        <v>0</v>
      </c>
      <c r="Y128" t="s">
        <v>83</v>
      </c>
      <c r="Z128" t="s">
        <v>221</v>
      </c>
      <c r="AA128">
        <v>6</v>
      </c>
      <c r="AB128" s="2">
        <v>170.94</v>
      </c>
      <c r="AC128" s="2">
        <v>0</v>
      </c>
      <c r="AD128" s="4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28.49</v>
      </c>
      <c r="AM128" s="2">
        <v>0</v>
      </c>
      <c r="AN128" s="2">
        <v>170.94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45999</v>
      </c>
      <c r="B129" t="s">
        <v>48</v>
      </c>
      <c r="C129">
        <v>649163</v>
      </c>
      <c r="D129">
        <v>2032465279</v>
      </c>
      <c r="E129" t="s">
        <v>302</v>
      </c>
      <c r="F129" t="s">
        <v>303</v>
      </c>
      <c r="G129" t="s">
        <v>51</v>
      </c>
      <c r="H129" t="s">
        <v>131</v>
      </c>
      <c r="I129" t="s">
        <v>365</v>
      </c>
      <c r="J129" t="s">
        <v>366</v>
      </c>
      <c r="K129">
        <v>751867</v>
      </c>
      <c r="L129" t="s">
        <v>70</v>
      </c>
      <c r="M129" t="s">
        <v>71</v>
      </c>
      <c r="N129" t="s">
        <v>57</v>
      </c>
      <c r="O129" s="1">
        <v>46023</v>
      </c>
      <c r="Q129" s="1">
        <v>46054</v>
      </c>
      <c r="R129" s="2">
        <v>31.64</v>
      </c>
      <c r="S129">
        <v>1</v>
      </c>
      <c r="T129" t="s">
        <v>58</v>
      </c>
      <c r="U129" t="s">
        <v>105</v>
      </c>
      <c r="V129" s="4">
        <v>0.38</v>
      </c>
      <c r="W129" s="2">
        <v>0</v>
      </c>
      <c r="X129">
        <v>0</v>
      </c>
      <c r="Y129" t="s">
        <v>83</v>
      </c>
      <c r="Z129" t="s">
        <v>221</v>
      </c>
      <c r="AA129">
        <v>6</v>
      </c>
      <c r="AB129" s="2">
        <v>72.12</v>
      </c>
      <c r="AC129" s="2">
        <v>0</v>
      </c>
      <c r="AD129" s="4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12.02</v>
      </c>
      <c r="AM129" s="2">
        <v>0</v>
      </c>
      <c r="AN129" s="2">
        <v>72.12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45999</v>
      </c>
      <c r="B130" t="s">
        <v>48</v>
      </c>
      <c r="C130">
        <v>649163</v>
      </c>
      <c r="D130">
        <v>2032486496</v>
      </c>
      <c r="E130" t="s">
        <v>304</v>
      </c>
      <c r="F130" t="s">
        <v>305</v>
      </c>
      <c r="G130" t="s">
        <v>51</v>
      </c>
      <c r="H130" t="s">
        <v>102</v>
      </c>
      <c r="I130" t="s">
        <v>365</v>
      </c>
      <c r="J130" t="s">
        <v>370</v>
      </c>
      <c r="K130">
        <v>894525</v>
      </c>
      <c r="L130" t="s">
        <v>230</v>
      </c>
      <c r="M130" t="s">
        <v>231</v>
      </c>
      <c r="N130" t="s">
        <v>57</v>
      </c>
      <c r="O130" s="1">
        <v>46023</v>
      </c>
      <c r="Q130" s="1">
        <v>46054</v>
      </c>
      <c r="R130" s="2">
        <v>173.24</v>
      </c>
      <c r="S130">
        <v>1</v>
      </c>
      <c r="T130" t="s">
        <v>58</v>
      </c>
      <c r="U130" t="s">
        <v>105</v>
      </c>
      <c r="V130" s="4">
        <v>0.38</v>
      </c>
      <c r="W130" s="2">
        <v>0</v>
      </c>
      <c r="X130">
        <v>0</v>
      </c>
      <c r="Y130" t="s">
        <v>83</v>
      </c>
      <c r="Z130" t="s">
        <v>221</v>
      </c>
      <c r="AA130">
        <v>6</v>
      </c>
      <c r="AB130" s="2">
        <v>394.98</v>
      </c>
      <c r="AC130" s="2">
        <v>0</v>
      </c>
      <c r="AD130" s="4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65.83</v>
      </c>
      <c r="AM130" s="2">
        <v>0</v>
      </c>
      <c r="AN130" s="2">
        <v>394.98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45999</v>
      </c>
      <c r="B131" t="s">
        <v>48</v>
      </c>
      <c r="C131">
        <v>649163</v>
      </c>
      <c r="D131">
        <v>2032486497</v>
      </c>
      <c r="E131" t="s">
        <v>304</v>
      </c>
      <c r="F131" t="s">
        <v>305</v>
      </c>
      <c r="G131" t="s">
        <v>51</v>
      </c>
      <c r="H131" t="s">
        <v>102</v>
      </c>
      <c r="I131" t="s">
        <v>365</v>
      </c>
      <c r="J131" t="s">
        <v>371</v>
      </c>
      <c r="K131">
        <v>894525</v>
      </c>
      <c r="L131" t="s">
        <v>230</v>
      </c>
      <c r="M131" t="s">
        <v>231</v>
      </c>
      <c r="N131" t="s">
        <v>57</v>
      </c>
      <c r="O131" s="1">
        <v>46023</v>
      </c>
      <c r="Q131" s="1">
        <v>46054</v>
      </c>
      <c r="R131" s="2">
        <v>7.09</v>
      </c>
      <c r="S131">
        <v>1</v>
      </c>
      <c r="T131" t="s">
        <v>58</v>
      </c>
      <c r="U131" t="s">
        <v>105</v>
      </c>
      <c r="V131" s="4">
        <v>0.38</v>
      </c>
      <c r="W131" s="2">
        <v>0</v>
      </c>
      <c r="X131">
        <v>0</v>
      </c>
      <c r="Y131" t="s">
        <v>83</v>
      </c>
      <c r="Z131" t="s">
        <v>221</v>
      </c>
      <c r="AA131">
        <v>6</v>
      </c>
      <c r="AB131" s="2">
        <v>16.14</v>
      </c>
      <c r="AC131" s="2">
        <v>0</v>
      </c>
      <c r="AD131" s="4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2.69</v>
      </c>
      <c r="AM131" s="2">
        <v>0</v>
      </c>
      <c r="AN131" s="2">
        <v>16.14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45999</v>
      </c>
      <c r="B132" t="s">
        <v>48</v>
      </c>
      <c r="C132">
        <v>649163</v>
      </c>
      <c r="D132">
        <v>2032492817</v>
      </c>
      <c r="E132" t="s">
        <v>232</v>
      </c>
      <c r="F132" t="s">
        <v>233</v>
      </c>
      <c r="G132" t="s">
        <v>51</v>
      </c>
      <c r="H132" t="s">
        <v>52</v>
      </c>
      <c r="I132" t="s">
        <v>365</v>
      </c>
      <c r="J132" t="s">
        <v>366</v>
      </c>
      <c r="K132">
        <v>751867</v>
      </c>
      <c r="L132" t="s">
        <v>70</v>
      </c>
      <c r="M132" t="s">
        <v>71</v>
      </c>
      <c r="N132" t="s">
        <v>57</v>
      </c>
      <c r="O132" s="1">
        <v>46023</v>
      </c>
      <c r="Q132" s="1">
        <v>46054</v>
      </c>
      <c r="R132" s="2">
        <v>55.16</v>
      </c>
      <c r="S132">
        <v>1</v>
      </c>
      <c r="T132" t="s">
        <v>58</v>
      </c>
      <c r="U132" t="s">
        <v>105</v>
      </c>
      <c r="V132" s="4">
        <v>0.38</v>
      </c>
      <c r="W132" s="2">
        <v>0</v>
      </c>
      <c r="X132">
        <v>0</v>
      </c>
      <c r="Y132" t="s">
        <v>83</v>
      </c>
      <c r="Z132" t="s">
        <v>221</v>
      </c>
      <c r="AA132">
        <v>6</v>
      </c>
      <c r="AB132" s="2">
        <v>125.76</v>
      </c>
      <c r="AC132" s="2">
        <v>0</v>
      </c>
      <c r="AD132" s="4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20.96</v>
      </c>
      <c r="AM132" s="2">
        <v>0</v>
      </c>
      <c r="AN132" s="2">
        <v>125.76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45999</v>
      </c>
      <c r="B133" t="s">
        <v>48</v>
      </c>
      <c r="C133">
        <v>649163</v>
      </c>
      <c r="D133">
        <v>2032493079</v>
      </c>
      <c r="E133" t="s">
        <v>313</v>
      </c>
      <c r="F133" t="s">
        <v>314</v>
      </c>
      <c r="G133" t="s">
        <v>51</v>
      </c>
      <c r="H133" t="s">
        <v>102</v>
      </c>
      <c r="I133" t="s">
        <v>365</v>
      </c>
      <c r="J133" t="s">
        <v>370</v>
      </c>
      <c r="K133">
        <v>894525</v>
      </c>
      <c r="L133" t="s">
        <v>230</v>
      </c>
      <c r="M133" t="s">
        <v>231</v>
      </c>
      <c r="N133" t="s">
        <v>57</v>
      </c>
      <c r="O133" s="1">
        <v>46023</v>
      </c>
      <c r="Q133" s="1">
        <v>46054</v>
      </c>
      <c r="R133" s="2">
        <v>195.81</v>
      </c>
      <c r="S133">
        <v>1</v>
      </c>
      <c r="T133" t="s">
        <v>58</v>
      </c>
      <c r="U133" t="s">
        <v>105</v>
      </c>
      <c r="V133" s="4">
        <v>0.38</v>
      </c>
      <c r="W133" s="2">
        <v>0</v>
      </c>
      <c r="X133">
        <v>0</v>
      </c>
      <c r="Y133" t="s">
        <v>83</v>
      </c>
      <c r="Z133" t="s">
        <v>221</v>
      </c>
      <c r="AA133">
        <v>6</v>
      </c>
      <c r="AB133" s="2">
        <v>446.46</v>
      </c>
      <c r="AC133" s="2">
        <v>0</v>
      </c>
      <c r="AD133" s="4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74.41</v>
      </c>
      <c r="AM133" s="2">
        <v>0</v>
      </c>
      <c r="AN133" s="2">
        <v>446.46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45999</v>
      </c>
      <c r="B134" t="s">
        <v>48</v>
      </c>
      <c r="C134">
        <v>649163</v>
      </c>
      <c r="D134">
        <v>2032495260</v>
      </c>
      <c r="E134" t="s">
        <v>315</v>
      </c>
      <c r="F134" t="s">
        <v>316</v>
      </c>
      <c r="G134" t="s">
        <v>51</v>
      </c>
      <c r="H134" t="s">
        <v>102</v>
      </c>
      <c r="I134" t="s">
        <v>365</v>
      </c>
      <c r="J134" t="s">
        <v>370</v>
      </c>
      <c r="K134">
        <v>894525</v>
      </c>
      <c r="L134" t="s">
        <v>230</v>
      </c>
      <c r="M134" t="s">
        <v>231</v>
      </c>
      <c r="N134" t="s">
        <v>57</v>
      </c>
      <c r="O134" s="1">
        <v>46023</v>
      </c>
      <c r="Q134" s="1">
        <v>46054</v>
      </c>
      <c r="R134" s="2">
        <v>195.81</v>
      </c>
      <c r="S134">
        <v>1</v>
      </c>
      <c r="T134" t="s">
        <v>58</v>
      </c>
      <c r="U134" t="s">
        <v>105</v>
      </c>
      <c r="V134" s="4">
        <v>0.38</v>
      </c>
      <c r="W134" s="2">
        <v>0</v>
      </c>
      <c r="X134">
        <v>0</v>
      </c>
      <c r="Y134" t="s">
        <v>83</v>
      </c>
      <c r="Z134" t="s">
        <v>221</v>
      </c>
      <c r="AA134">
        <v>6</v>
      </c>
      <c r="AB134" s="2">
        <v>446.46</v>
      </c>
      <c r="AC134" s="2">
        <v>0</v>
      </c>
      <c r="AD134" s="4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74.41</v>
      </c>
      <c r="AM134" s="2">
        <v>0</v>
      </c>
      <c r="AN134" s="2">
        <v>446.46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45999</v>
      </c>
      <c r="B135" t="s">
        <v>48</v>
      </c>
      <c r="C135">
        <v>649163</v>
      </c>
      <c r="D135">
        <v>2032496771</v>
      </c>
      <c r="E135" t="s">
        <v>237</v>
      </c>
      <c r="F135" t="s">
        <v>157</v>
      </c>
      <c r="G135" t="s">
        <v>51</v>
      </c>
      <c r="H135" t="s">
        <v>210</v>
      </c>
      <c r="I135" t="s">
        <v>365</v>
      </c>
      <c r="J135" t="s">
        <v>369</v>
      </c>
      <c r="K135">
        <v>673059</v>
      </c>
      <c r="L135" t="s">
        <v>81</v>
      </c>
      <c r="M135" t="s">
        <v>82</v>
      </c>
      <c r="N135" t="s">
        <v>57</v>
      </c>
      <c r="O135" s="1">
        <v>46023</v>
      </c>
      <c r="Q135" s="1">
        <v>46054</v>
      </c>
      <c r="R135" s="2">
        <v>196.68</v>
      </c>
      <c r="S135">
        <v>1</v>
      </c>
      <c r="T135" t="s">
        <v>58</v>
      </c>
      <c r="U135" t="s">
        <v>105</v>
      </c>
      <c r="V135" s="4">
        <v>0.19</v>
      </c>
      <c r="W135" s="2">
        <v>0</v>
      </c>
      <c r="X135">
        <v>0</v>
      </c>
      <c r="Y135" t="s">
        <v>83</v>
      </c>
      <c r="Z135" t="s">
        <v>221</v>
      </c>
      <c r="AA135">
        <v>6</v>
      </c>
      <c r="AB135" s="2">
        <v>224.22</v>
      </c>
      <c r="AC135" s="2">
        <v>0</v>
      </c>
      <c r="AD135" s="4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37.369999999999997</v>
      </c>
      <c r="AM135" s="2">
        <v>0</v>
      </c>
      <c r="AN135" s="2">
        <v>224.22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45999</v>
      </c>
      <c r="B136" t="s">
        <v>48</v>
      </c>
      <c r="C136">
        <v>649163</v>
      </c>
      <c r="D136">
        <v>2032515207</v>
      </c>
      <c r="E136" t="s">
        <v>238</v>
      </c>
      <c r="F136" t="s">
        <v>65</v>
      </c>
      <c r="G136" t="s">
        <v>51</v>
      </c>
      <c r="H136" t="s">
        <v>52</v>
      </c>
      <c r="I136" t="s">
        <v>365</v>
      </c>
      <c r="J136" t="s">
        <v>366</v>
      </c>
      <c r="K136">
        <v>649247</v>
      </c>
      <c r="L136" t="s">
        <v>187</v>
      </c>
      <c r="M136" t="s">
        <v>188</v>
      </c>
      <c r="N136" t="s">
        <v>57</v>
      </c>
      <c r="O136" s="1">
        <v>46023</v>
      </c>
      <c r="Q136" s="1">
        <v>46054</v>
      </c>
      <c r="R136" s="2">
        <v>63.67</v>
      </c>
      <c r="S136">
        <v>1</v>
      </c>
      <c r="T136" t="s">
        <v>58</v>
      </c>
      <c r="U136" t="s">
        <v>105</v>
      </c>
      <c r="V136" s="4">
        <v>0.38</v>
      </c>
      <c r="W136" s="2">
        <v>0</v>
      </c>
      <c r="X136">
        <v>0</v>
      </c>
      <c r="Y136" t="s">
        <v>83</v>
      </c>
      <c r="Z136" t="s">
        <v>221</v>
      </c>
      <c r="AA136">
        <v>6</v>
      </c>
      <c r="AB136" s="2">
        <v>145.13999999999999</v>
      </c>
      <c r="AC136" s="2">
        <v>0</v>
      </c>
      <c r="AD136" s="4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24.19</v>
      </c>
      <c r="AM136" s="2">
        <v>0</v>
      </c>
      <c r="AN136" s="2">
        <v>145.13999999999999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45999</v>
      </c>
      <c r="B137" t="s">
        <v>48</v>
      </c>
      <c r="C137">
        <v>649163</v>
      </c>
      <c r="D137">
        <v>2032519629</v>
      </c>
      <c r="E137" t="s">
        <v>321</v>
      </c>
      <c r="F137" t="s">
        <v>322</v>
      </c>
      <c r="G137" t="s">
        <v>51</v>
      </c>
      <c r="H137" t="s">
        <v>102</v>
      </c>
      <c r="I137" t="s">
        <v>365</v>
      </c>
      <c r="J137" t="s">
        <v>370</v>
      </c>
      <c r="K137">
        <v>894525</v>
      </c>
      <c r="L137" t="s">
        <v>230</v>
      </c>
      <c r="M137" t="s">
        <v>231</v>
      </c>
      <c r="N137" t="s">
        <v>57</v>
      </c>
      <c r="O137" s="1">
        <v>46023</v>
      </c>
      <c r="Q137" s="1">
        <v>46054</v>
      </c>
      <c r="R137" s="2">
        <v>173.24</v>
      </c>
      <c r="S137">
        <v>1</v>
      </c>
      <c r="T137" t="s">
        <v>58</v>
      </c>
      <c r="U137" t="s">
        <v>105</v>
      </c>
      <c r="V137" s="4">
        <v>0.38</v>
      </c>
      <c r="W137" s="2">
        <v>0</v>
      </c>
      <c r="X137">
        <v>0</v>
      </c>
      <c r="Y137" t="s">
        <v>83</v>
      </c>
      <c r="Z137" t="s">
        <v>221</v>
      </c>
      <c r="AA137">
        <v>6</v>
      </c>
      <c r="AB137" s="2">
        <v>394.98</v>
      </c>
      <c r="AC137" s="2">
        <v>0</v>
      </c>
      <c r="AD137" s="4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65.83</v>
      </c>
      <c r="AM137" s="2">
        <v>0</v>
      </c>
      <c r="AN137" s="2">
        <v>394.98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45999</v>
      </c>
      <c r="B138" t="s">
        <v>48</v>
      </c>
      <c r="C138">
        <v>649163</v>
      </c>
      <c r="D138">
        <v>2032519630</v>
      </c>
      <c r="E138" t="s">
        <v>321</v>
      </c>
      <c r="F138" t="s">
        <v>322</v>
      </c>
      <c r="G138" t="s">
        <v>51</v>
      </c>
      <c r="H138" t="s">
        <v>102</v>
      </c>
      <c r="I138" t="s">
        <v>365</v>
      </c>
      <c r="J138" t="s">
        <v>371</v>
      </c>
      <c r="K138">
        <v>894525</v>
      </c>
      <c r="L138" t="s">
        <v>230</v>
      </c>
      <c r="M138" t="s">
        <v>231</v>
      </c>
      <c r="N138" t="s">
        <v>57</v>
      </c>
      <c r="O138" s="1">
        <v>46023</v>
      </c>
      <c r="Q138" s="1">
        <v>46054</v>
      </c>
      <c r="R138" s="2">
        <v>7.09</v>
      </c>
      <c r="S138">
        <v>1</v>
      </c>
      <c r="T138" t="s">
        <v>58</v>
      </c>
      <c r="U138" t="s">
        <v>105</v>
      </c>
      <c r="V138" s="4">
        <v>0.38</v>
      </c>
      <c r="W138" s="2">
        <v>0</v>
      </c>
      <c r="X138">
        <v>0</v>
      </c>
      <c r="Y138" t="s">
        <v>83</v>
      </c>
      <c r="Z138" t="s">
        <v>221</v>
      </c>
      <c r="AA138">
        <v>6</v>
      </c>
      <c r="AB138" s="2">
        <v>16.14</v>
      </c>
      <c r="AC138" s="2">
        <v>0</v>
      </c>
      <c r="AD138" s="4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2.69</v>
      </c>
      <c r="AM138" s="2">
        <v>0</v>
      </c>
      <c r="AN138" s="2">
        <v>16.14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45999</v>
      </c>
      <c r="B139" t="s">
        <v>48</v>
      </c>
      <c r="C139">
        <v>649163</v>
      </c>
      <c r="D139">
        <v>2032554456</v>
      </c>
      <c r="E139" t="s">
        <v>325</v>
      </c>
      <c r="F139" t="s">
        <v>326</v>
      </c>
      <c r="G139" t="s">
        <v>51</v>
      </c>
      <c r="H139" t="s">
        <v>102</v>
      </c>
      <c r="I139" t="s">
        <v>365</v>
      </c>
      <c r="J139" t="s">
        <v>370</v>
      </c>
      <c r="K139">
        <v>824076</v>
      </c>
      <c r="L139" t="s">
        <v>213</v>
      </c>
      <c r="M139" t="s">
        <v>214</v>
      </c>
      <c r="N139" t="s">
        <v>57</v>
      </c>
      <c r="O139" s="1">
        <v>45998</v>
      </c>
      <c r="Q139" s="1">
        <v>46029</v>
      </c>
      <c r="R139" s="2">
        <v>152.06</v>
      </c>
      <c r="S139">
        <v>1</v>
      </c>
      <c r="T139" t="s">
        <v>58</v>
      </c>
      <c r="U139" t="s">
        <v>105</v>
      </c>
      <c r="V139" s="4">
        <v>0.38</v>
      </c>
      <c r="W139" s="2">
        <v>0</v>
      </c>
      <c r="X139">
        <v>0</v>
      </c>
      <c r="Y139" t="s">
        <v>83</v>
      </c>
      <c r="Z139" t="s">
        <v>221</v>
      </c>
      <c r="AA139">
        <v>6</v>
      </c>
      <c r="AB139" s="2">
        <v>346.68</v>
      </c>
      <c r="AC139" s="2">
        <v>0</v>
      </c>
      <c r="AD139" s="4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57.78</v>
      </c>
      <c r="AM139" s="2">
        <v>0</v>
      </c>
      <c r="AN139" s="2">
        <v>346.68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45999</v>
      </c>
      <c r="B140" t="s">
        <v>48</v>
      </c>
      <c r="C140">
        <v>649163</v>
      </c>
      <c r="D140">
        <v>2032554457</v>
      </c>
      <c r="E140" t="s">
        <v>325</v>
      </c>
      <c r="F140" t="s">
        <v>326</v>
      </c>
      <c r="G140" t="s">
        <v>51</v>
      </c>
      <c r="H140" t="s">
        <v>102</v>
      </c>
      <c r="I140" t="s">
        <v>365</v>
      </c>
      <c r="J140" t="s">
        <v>371</v>
      </c>
      <c r="K140">
        <v>824076</v>
      </c>
      <c r="L140" t="s">
        <v>213</v>
      </c>
      <c r="M140" t="s">
        <v>214</v>
      </c>
      <c r="N140" t="s">
        <v>57</v>
      </c>
      <c r="O140" s="1">
        <v>45998</v>
      </c>
      <c r="Q140" s="1">
        <v>46029</v>
      </c>
      <c r="R140" s="2">
        <v>7.09</v>
      </c>
      <c r="S140">
        <v>1</v>
      </c>
      <c r="T140" t="s">
        <v>58</v>
      </c>
      <c r="U140" t="s">
        <v>105</v>
      </c>
      <c r="V140" s="4">
        <v>0.38</v>
      </c>
      <c r="W140" s="2">
        <v>0</v>
      </c>
      <c r="X140">
        <v>0</v>
      </c>
      <c r="Y140" t="s">
        <v>83</v>
      </c>
      <c r="Z140" t="s">
        <v>221</v>
      </c>
      <c r="AA140">
        <v>6</v>
      </c>
      <c r="AB140" s="2">
        <v>16.14</v>
      </c>
      <c r="AC140" s="2">
        <v>0</v>
      </c>
      <c r="AD140" s="4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2.69</v>
      </c>
      <c r="AM140" s="2">
        <v>0</v>
      </c>
      <c r="AN140" s="2">
        <v>16.14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45999</v>
      </c>
      <c r="B141" t="s">
        <v>48</v>
      </c>
      <c r="C141">
        <v>649163</v>
      </c>
      <c r="D141">
        <v>2031947560</v>
      </c>
      <c r="E141" t="s">
        <v>241</v>
      </c>
      <c r="F141" t="s">
        <v>242</v>
      </c>
      <c r="G141" t="s">
        <v>51</v>
      </c>
      <c r="H141" t="s">
        <v>97</v>
      </c>
      <c r="I141" t="s">
        <v>126</v>
      </c>
      <c r="J141" t="s">
        <v>132</v>
      </c>
      <c r="K141">
        <v>673059</v>
      </c>
      <c r="L141" t="s">
        <v>81</v>
      </c>
      <c r="M141" t="s">
        <v>82</v>
      </c>
      <c r="N141" t="s">
        <v>57</v>
      </c>
      <c r="O141" s="1">
        <v>46023</v>
      </c>
      <c r="Q141" s="1">
        <v>46054</v>
      </c>
      <c r="R141" s="2">
        <v>74.44</v>
      </c>
      <c r="S141">
        <v>1</v>
      </c>
      <c r="T141" t="s">
        <v>58</v>
      </c>
      <c r="U141" t="s">
        <v>105</v>
      </c>
      <c r="V141" s="4">
        <v>0.7</v>
      </c>
      <c r="W141" s="2">
        <v>0</v>
      </c>
      <c r="X141">
        <v>0</v>
      </c>
      <c r="Y141" t="s">
        <v>83</v>
      </c>
      <c r="Z141" t="s">
        <v>221</v>
      </c>
      <c r="AA141">
        <v>6</v>
      </c>
      <c r="AB141" s="2">
        <v>312.66000000000003</v>
      </c>
      <c r="AC141" s="2">
        <v>0</v>
      </c>
      <c r="AD141" s="4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52.11</v>
      </c>
      <c r="AM141" s="2">
        <v>0</v>
      </c>
      <c r="AN141" s="2">
        <v>312.66000000000003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45999</v>
      </c>
      <c r="B142" t="s">
        <v>48</v>
      </c>
      <c r="C142">
        <v>649163</v>
      </c>
      <c r="D142">
        <v>2031970926</v>
      </c>
      <c r="E142" t="s">
        <v>372</v>
      </c>
      <c r="F142" t="s">
        <v>373</v>
      </c>
      <c r="G142" t="s">
        <v>51</v>
      </c>
      <c r="H142" t="s">
        <v>374</v>
      </c>
      <c r="I142" t="s">
        <v>126</v>
      </c>
      <c r="J142" t="s">
        <v>132</v>
      </c>
      <c r="K142">
        <v>651818</v>
      </c>
      <c r="L142" t="s">
        <v>246</v>
      </c>
      <c r="M142" t="s">
        <v>247</v>
      </c>
      <c r="N142" t="s">
        <v>57</v>
      </c>
      <c r="O142" s="1">
        <v>45997</v>
      </c>
      <c r="Q142" s="1">
        <v>46028</v>
      </c>
      <c r="R142" s="2">
        <v>51.19</v>
      </c>
      <c r="S142">
        <v>1</v>
      </c>
      <c r="T142" t="s">
        <v>58</v>
      </c>
      <c r="U142" t="s">
        <v>105</v>
      </c>
      <c r="V142" s="4">
        <v>0.7</v>
      </c>
      <c r="W142" s="2">
        <v>0</v>
      </c>
      <c r="X142">
        <v>0</v>
      </c>
      <c r="Y142" t="s">
        <v>83</v>
      </c>
      <c r="Z142" t="s">
        <v>221</v>
      </c>
      <c r="AA142">
        <v>6</v>
      </c>
      <c r="AB142" s="2">
        <v>214.98</v>
      </c>
      <c r="AC142" s="2">
        <v>0</v>
      </c>
      <c r="AD142" s="4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35.83</v>
      </c>
      <c r="AM142" s="2">
        <v>0</v>
      </c>
      <c r="AN142" s="2">
        <v>214.98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45999</v>
      </c>
      <c r="B143" t="s">
        <v>48</v>
      </c>
      <c r="C143">
        <v>649163</v>
      </c>
      <c r="D143">
        <v>2031970927</v>
      </c>
      <c r="E143" t="s">
        <v>372</v>
      </c>
      <c r="F143" t="s">
        <v>373</v>
      </c>
      <c r="G143" t="s">
        <v>51</v>
      </c>
      <c r="H143" t="s">
        <v>374</v>
      </c>
      <c r="I143" t="s">
        <v>126</v>
      </c>
      <c r="J143" t="s">
        <v>375</v>
      </c>
      <c r="K143">
        <v>651818</v>
      </c>
      <c r="L143" t="s">
        <v>246</v>
      </c>
      <c r="M143" t="s">
        <v>247</v>
      </c>
      <c r="N143" t="s">
        <v>57</v>
      </c>
      <c r="O143" s="1">
        <v>45997</v>
      </c>
      <c r="Q143" s="1">
        <v>46028</v>
      </c>
      <c r="R143" s="2">
        <v>98.38</v>
      </c>
      <c r="S143">
        <v>1</v>
      </c>
      <c r="T143" t="s">
        <v>58</v>
      </c>
      <c r="U143" t="s">
        <v>105</v>
      </c>
      <c r="V143" s="4">
        <v>0.9</v>
      </c>
      <c r="W143" s="2">
        <v>0</v>
      </c>
      <c r="X143">
        <v>0</v>
      </c>
      <c r="Y143" t="s">
        <v>83</v>
      </c>
      <c r="Z143" t="s">
        <v>221</v>
      </c>
      <c r="AA143">
        <v>6</v>
      </c>
      <c r="AB143" s="2">
        <v>531.24</v>
      </c>
      <c r="AC143" s="2">
        <v>0</v>
      </c>
      <c r="AD143" s="4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88.54</v>
      </c>
      <c r="AM143" s="2">
        <v>0</v>
      </c>
      <c r="AN143" s="2">
        <v>531.24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45999</v>
      </c>
      <c r="B144" t="s">
        <v>48</v>
      </c>
      <c r="C144">
        <v>649163</v>
      </c>
      <c r="D144">
        <v>2031988911</v>
      </c>
      <c r="E144" t="s">
        <v>244</v>
      </c>
      <c r="F144" t="s">
        <v>245</v>
      </c>
      <c r="G144" t="s">
        <v>51</v>
      </c>
      <c r="H144" t="s">
        <v>102</v>
      </c>
      <c r="I144" t="s">
        <v>126</v>
      </c>
      <c r="J144" t="s">
        <v>132</v>
      </c>
      <c r="K144">
        <v>651818</v>
      </c>
      <c r="L144" t="s">
        <v>246</v>
      </c>
      <c r="M144" t="s">
        <v>247</v>
      </c>
      <c r="N144" t="s">
        <v>57</v>
      </c>
      <c r="O144" s="1">
        <v>45996</v>
      </c>
      <c r="Q144" s="1">
        <v>46027</v>
      </c>
      <c r="R144" s="2">
        <v>81.150000000000006</v>
      </c>
      <c r="S144">
        <v>1</v>
      </c>
      <c r="T144" t="s">
        <v>58</v>
      </c>
      <c r="U144" t="s">
        <v>105</v>
      </c>
      <c r="V144" s="4">
        <v>0.7</v>
      </c>
      <c r="W144" s="2">
        <v>0</v>
      </c>
      <c r="X144">
        <v>0</v>
      </c>
      <c r="Y144" t="s">
        <v>83</v>
      </c>
      <c r="Z144" t="s">
        <v>221</v>
      </c>
      <c r="AA144">
        <v>6</v>
      </c>
      <c r="AB144" s="2">
        <v>340.8</v>
      </c>
      <c r="AC144" s="2">
        <v>0</v>
      </c>
      <c r="AD144" s="4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56.8</v>
      </c>
      <c r="AM144" s="2">
        <v>0</v>
      </c>
      <c r="AN144" s="2">
        <v>340.8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45999</v>
      </c>
      <c r="B145" t="s">
        <v>48</v>
      </c>
      <c r="C145">
        <v>649163</v>
      </c>
      <c r="D145">
        <v>2031995944</v>
      </c>
      <c r="E145" t="s">
        <v>376</v>
      </c>
      <c r="F145" t="s">
        <v>270</v>
      </c>
      <c r="G145" t="s">
        <v>51</v>
      </c>
      <c r="H145" t="s">
        <v>267</v>
      </c>
      <c r="I145" t="s">
        <v>126</v>
      </c>
      <c r="J145" t="s">
        <v>375</v>
      </c>
      <c r="K145">
        <v>651818</v>
      </c>
      <c r="L145" t="s">
        <v>246</v>
      </c>
      <c r="M145" t="s">
        <v>247</v>
      </c>
      <c r="N145" t="s">
        <v>57</v>
      </c>
      <c r="O145" s="1">
        <v>45997</v>
      </c>
      <c r="Q145" s="1">
        <v>46028</v>
      </c>
      <c r="R145" s="2">
        <v>168.88</v>
      </c>
      <c r="S145">
        <v>1</v>
      </c>
      <c r="T145" t="s">
        <v>58</v>
      </c>
      <c r="U145" t="s">
        <v>105</v>
      </c>
      <c r="V145" s="4">
        <v>0.9</v>
      </c>
      <c r="W145" s="2">
        <v>0</v>
      </c>
      <c r="X145">
        <v>0</v>
      </c>
      <c r="Y145" t="s">
        <v>83</v>
      </c>
      <c r="Z145" t="s">
        <v>221</v>
      </c>
      <c r="AA145">
        <v>6</v>
      </c>
      <c r="AB145" s="2">
        <v>911.94</v>
      </c>
      <c r="AC145" s="2">
        <v>0</v>
      </c>
      <c r="AD145" s="4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151.99</v>
      </c>
      <c r="AM145" s="2">
        <v>0</v>
      </c>
      <c r="AN145" s="2">
        <v>911.94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45999</v>
      </c>
      <c r="B146" t="s">
        <v>48</v>
      </c>
      <c r="C146">
        <v>649163</v>
      </c>
      <c r="D146">
        <v>2032077085</v>
      </c>
      <c r="E146" t="s">
        <v>248</v>
      </c>
      <c r="F146" t="s">
        <v>249</v>
      </c>
      <c r="G146" t="s">
        <v>51</v>
      </c>
      <c r="H146" t="s">
        <v>97</v>
      </c>
      <c r="I146" t="s">
        <v>126</v>
      </c>
      <c r="J146" t="s">
        <v>132</v>
      </c>
      <c r="K146">
        <v>651818</v>
      </c>
      <c r="L146" t="s">
        <v>246</v>
      </c>
      <c r="M146" t="s">
        <v>247</v>
      </c>
      <c r="N146" t="s">
        <v>57</v>
      </c>
      <c r="O146" s="1">
        <v>45997</v>
      </c>
      <c r="Q146" s="1">
        <v>46028</v>
      </c>
      <c r="R146" s="2">
        <v>73.22</v>
      </c>
      <c r="S146">
        <v>1</v>
      </c>
      <c r="T146" t="s">
        <v>58</v>
      </c>
      <c r="U146" t="s">
        <v>105</v>
      </c>
      <c r="V146" s="4">
        <v>0.7</v>
      </c>
      <c r="W146" s="2">
        <v>0</v>
      </c>
      <c r="X146">
        <v>0</v>
      </c>
      <c r="Y146" t="s">
        <v>83</v>
      </c>
      <c r="Z146" t="s">
        <v>221</v>
      </c>
      <c r="AA146">
        <v>6</v>
      </c>
      <c r="AB146" s="2">
        <v>307.5</v>
      </c>
      <c r="AC146" s="2">
        <v>0</v>
      </c>
      <c r="AD146" s="4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51.25</v>
      </c>
      <c r="AM146" s="2">
        <v>0</v>
      </c>
      <c r="AN146" s="2">
        <v>307.5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45999</v>
      </c>
      <c r="B147" t="s">
        <v>48</v>
      </c>
      <c r="C147">
        <v>649163</v>
      </c>
      <c r="D147">
        <v>2032082996</v>
      </c>
      <c r="E147" t="s">
        <v>107</v>
      </c>
      <c r="F147" t="s">
        <v>377</v>
      </c>
      <c r="G147" t="s">
        <v>51</v>
      </c>
      <c r="H147" t="s">
        <v>102</v>
      </c>
      <c r="I147" t="s">
        <v>126</v>
      </c>
      <c r="J147" t="s">
        <v>132</v>
      </c>
      <c r="K147">
        <v>651818</v>
      </c>
      <c r="L147" t="s">
        <v>246</v>
      </c>
      <c r="M147" t="s">
        <v>247</v>
      </c>
      <c r="N147" t="s">
        <v>57</v>
      </c>
      <c r="O147" s="1">
        <v>45997</v>
      </c>
      <c r="Q147" s="1">
        <v>46028</v>
      </c>
      <c r="R147" s="2">
        <v>61.08</v>
      </c>
      <c r="S147">
        <v>1</v>
      </c>
      <c r="T147" t="s">
        <v>58</v>
      </c>
      <c r="U147" t="s">
        <v>105</v>
      </c>
      <c r="V147" s="4">
        <v>0.7</v>
      </c>
      <c r="W147" s="2">
        <v>0</v>
      </c>
      <c r="X147">
        <v>0</v>
      </c>
      <c r="Y147" t="s">
        <v>83</v>
      </c>
      <c r="Z147" t="s">
        <v>221</v>
      </c>
      <c r="AA147">
        <v>6</v>
      </c>
      <c r="AB147" s="2">
        <v>256.56</v>
      </c>
      <c r="AC147" s="2">
        <v>0</v>
      </c>
      <c r="AD147" s="4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42.76</v>
      </c>
      <c r="AM147" s="2">
        <v>0</v>
      </c>
      <c r="AN147" s="2">
        <v>256.56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45999</v>
      </c>
      <c r="B148" t="s">
        <v>48</v>
      </c>
      <c r="C148">
        <v>649163</v>
      </c>
      <c r="D148">
        <v>2032129357</v>
      </c>
      <c r="E148" t="s">
        <v>378</v>
      </c>
      <c r="F148" t="s">
        <v>379</v>
      </c>
      <c r="G148" t="s">
        <v>51</v>
      </c>
      <c r="H148" t="s">
        <v>267</v>
      </c>
      <c r="I148" t="s">
        <v>126</v>
      </c>
      <c r="J148" t="s">
        <v>375</v>
      </c>
      <c r="K148">
        <v>651818</v>
      </c>
      <c r="L148" t="s">
        <v>246</v>
      </c>
      <c r="M148" t="s">
        <v>247</v>
      </c>
      <c r="N148" t="s">
        <v>57</v>
      </c>
      <c r="O148" s="1">
        <v>45997</v>
      </c>
      <c r="Q148" s="1">
        <v>46028</v>
      </c>
      <c r="R148" s="2">
        <v>146.88</v>
      </c>
      <c r="S148">
        <v>1</v>
      </c>
      <c r="T148" t="s">
        <v>58</v>
      </c>
      <c r="U148" t="s">
        <v>105</v>
      </c>
      <c r="V148" s="4">
        <v>0.9</v>
      </c>
      <c r="W148" s="2">
        <v>0</v>
      </c>
      <c r="X148">
        <v>0</v>
      </c>
      <c r="Y148" t="s">
        <v>83</v>
      </c>
      <c r="Z148" t="s">
        <v>221</v>
      </c>
      <c r="AA148">
        <v>6</v>
      </c>
      <c r="AB148" s="2">
        <v>793.14</v>
      </c>
      <c r="AC148" s="2">
        <v>0</v>
      </c>
      <c r="AD148" s="4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132.19</v>
      </c>
      <c r="AM148" s="2">
        <v>0</v>
      </c>
      <c r="AN148" s="2">
        <v>793.14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45999</v>
      </c>
      <c r="B149" t="s">
        <v>48</v>
      </c>
      <c r="C149">
        <v>649163</v>
      </c>
      <c r="D149">
        <v>2032228229</v>
      </c>
      <c r="E149" t="s">
        <v>380</v>
      </c>
      <c r="F149" t="s">
        <v>381</v>
      </c>
      <c r="G149" t="s">
        <v>51</v>
      </c>
      <c r="H149" t="s">
        <v>102</v>
      </c>
      <c r="I149" t="s">
        <v>126</v>
      </c>
      <c r="J149" t="s">
        <v>132</v>
      </c>
      <c r="K149">
        <v>843573</v>
      </c>
      <c r="L149" t="s">
        <v>253</v>
      </c>
      <c r="M149" t="s">
        <v>254</v>
      </c>
      <c r="N149" t="s">
        <v>57</v>
      </c>
      <c r="O149" s="1">
        <v>45993</v>
      </c>
      <c r="Q149" s="1">
        <v>46024</v>
      </c>
      <c r="R149" s="2">
        <v>57.94</v>
      </c>
      <c r="S149">
        <v>1</v>
      </c>
      <c r="T149" t="s">
        <v>58</v>
      </c>
      <c r="U149" t="s">
        <v>105</v>
      </c>
      <c r="V149" s="4">
        <v>0.7</v>
      </c>
      <c r="W149" s="2">
        <v>0</v>
      </c>
      <c r="X149">
        <v>0</v>
      </c>
      <c r="Y149" t="s">
        <v>83</v>
      </c>
      <c r="Z149" t="s">
        <v>221</v>
      </c>
      <c r="AA149">
        <v>6</v>
      </c>
      <c r="AB149" s="2">
        <v>243.36</v>
      </c>
      <c r="AC149" s="2">
        <v>0</v>
      </c>
      <c r="AD149" s="4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40.56</v>
      </c>
      <c r="AM149" s="2">
        <v>0</v>
      </c>
      <c r="AN149" s="2">
        <v>243.36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45999</v>
      </c>
      <c r="B150" t="s">
        <v>48</v>
      </c>
      <c r="C150">
        <v>649163</v>
      </c>
      <c r="D150">
        <v>2032233871</v>
      </c>
      <c r="E150" t="s">
        <v>382</v>
      </c>
      <c r="F150" t="s">
        <v>264</v>
      </c>
      <c r="G150" t="s">
        <v>51</v>
      </c>
      <c r="H150" t="s">
        <v>383</v>
      </c>
      <c r="I150" t="s">
        <v>126</v>
      </c>
      <c r="J150" t="s">
        <v>132</v>
      </c>
      <c r="K150">
        <v>651818</v>
      </c>
      <c r="L150" t="s">
        <v>246</v>
      </c>
      <c r="M150" t="s">
        <v>247</v>
      </c>
      <c r="N150" t="s">
        <v>57</v>
      </c>
      <c r="O150" s="1">
        <v>45997</v>
      </c>
      <c r="Q150" s="1">
        <v>46028</v>
      </c>
      <c r="R150" s="2">
        <v>45.75</v>
      </c>
      <c r="S150">
        <v>1</v>
      </c>
      <c r="T150" t="s">
        <v>58</v>
      </c>
      <c r="U150" t="s">
        <v>105</v>
      </c>
      <c r="V150" s="4">
        <v>0.7</v>
      </c>
      <c r="W150" s="2">
        <v>0</v>
      </c>
      <c r="X150">
        <v>0</v>
      </c>
      <c r="Y150" t="s">
        <v>83</v>
      </c>
      <c r="Z150" t="s">
        <v>221</v>
      </c>
      <c r="AA150">
        <v>6</v>
      </c>
      <c r="AB150" s="2">
        <v>192.12</v>
      </c>
      <c r="AC150" s="2">
        <v>0</v>
      </c>
      <c r="AD150" s="4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32.020000000000003</v>
      </c>
      <c r="AM150" s="2">
        <v>0</v>
      </c>
      <c r="AN150" s="2">
        <v>192.12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45999</v>
      </c>
      <c r="B151" t="s">
        <v>48</v>
      </c>
      <c r="C151">
        <v>649163</v>
      </c>
      <c r="D151">
        <v>2032283204</v>
      </c>
      <c r="E151" t="s">
        <v>250</v>
      </c>
      <c r="F151" t="s">
        <v>96</v>
      </c>
      <c r="G151" t="s">
        <v>51</v>
      </c>
      <c r="H151" t="s">
        <v>102</v>
      </c>
      <c r="I151" t="s">
        <v>126</v>
      </c>
      <c r="J151" t="s">
        <v>132</v>
      </c>
      <c r="K151">
        <v>651818</v>
      </c>
      <c r="L151" t="s">
        <v>246</v>
      </c>
      <c r="M151" t="s">
        <v>247</v>
      </c>
      <c r="N151" t="s">
        <v>57</v>
      </c>
      <c r="O151" s="1">
        <v>45997</v>
      </c>
      <c r="Q151" s="1">
        <v>46028</v>
      </c>
      <c r="R151" s="2">
        <v>269.38</v>
      </c>
      <c r="S151">
        <v>1</v>
      </c>
      <c r="T151" t="s">
        <v>58</v>
      </c>
      <c r="U151" t="s">
        <v>105</v>
      </c>
      <c r="V151" s="4">
        <v>0.7</v>
      </c>
      <c r="W151" s="2">
        <v>0</v>
      </c>
      <c r="X151">
        <v>0</v>
      </c>
      <c r="Y151" t="s">
        <v>83</v>
      </c>
      <c r="Z151" t="s">
        <v>221</v>
      </c>
      <c r="AA151">
        <v>6</v>
      </c>
      <c r="AB151" s="2">
        <v>1131.42</v>
      </c>
      <c r="AC151" s="2">
        <v>0</v>
      </c>
      <c r="AD151" s="4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188.57</v>
      </c>
      <c r="AM151" s="2">
        <v>0</v>
      </c>
      <c r="AN151" s="2">
        <v>1131.42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45999</v>
      </c>
      <c r="B152" t="s">
        <v>48</v>
      </c>
      <c r="C152">
        <v>649163</v>
      </c>
      <c r="D152">
        <v>2032330624</v>
      </c>
      <c r="E152" t="s">
        <v>384</v>
      </c>
      <c r="F152" t="s">
        <v>385</v>
      </c>
      <c r="G152" t="s">
        <v>51</v>
      </c>
      <c r="H152" t="s">
        <v>386</v>
      </c>
      <c r="I152" t="s">
        <v>126</v>
      </c>
      <c r="J152" t="s">
        <v>132</v>
      </c>
      <c r="K152">
        <v>875334</v>
      </c>
      <c r="L152" t="s">
        <v>340</v>
      </c>
      <c r="M152" t="s">
        <v>341</v>
      </c>
      <c r="N152" t="s">
        <v>57</v>
      </c>
      <c r="O152" s="1">
        <v>46023</v>
      </c>
      <c r="Q152" s="1">
        <v>46054</v>
      </c>
      <c r="R152" s="2">
        <v>28.87</v>
      </c>
      <c r="S152">
        <v>1</v>
      </c>
      <c r="T152" t="s">
        <v>58</v>
      </c>
      <c r="U152" t="s">
        <v>105</v>
      </c>
      <c r="V152" s="4">
        <v>0.7</v>
      </c>
      <c r="W152" s="2">
        <v>0</v>
      </c>
      <c r="X152">
        <v>0</v>
      </c>
      <c r="Y152" t="s">
        <v>83</v>
      </c>
      <c r="Z152" t="s">
        <v>221</v>
      </c>
      <c r="AA152">
        <v>6</v>
      </c>
      <c r="AB152" s="2">
        <v>121.26</v>
      </c>
      <c r="AC152" s="2">
        <v>0</v>
      </c>
      <c r="AD152" s="4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20.21</v>
      </c>
      <c r="AM152" s="2">
        <v>0</v>
      </c>
      <c r="AN152" s="2">
        <v>121.26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45999</v>
      </c>
      <c r="B153" t="s">
        <v>48</v>
      </c>
      <c r="C153">
        <v>649163</v>
      </c>
      <c r="D153">
        <v>2032333659</v>
      </c>
      <c r="E153" t="s">
        <v>251</v>
      </c>
      <c r="F153" t="s">
        <v>252</v>
      </c>
      <c r="G153" t="s">
        <v>51</v>
      </c>
      <c r="H153" t="s">
        <v>102</v>
      </c>
      <c r="I153" t="s">
        <v>126</v>
      </c>
      <c r="J153" t="s">
        <v>132</v>
      </c>
      <c r="K153">
        <v>843573</v>
      </c>
      <c r="L153" t="s">
        <v>253</v>
      </c>
      <c r="M153" t="s">
        <v>254</v>
      </c>
      <c r="N153" t="s">
        <v>57</v>
      </c>
      <c r="O153" s="1">
        <v>45993</v>
      </c>
      <c r="Q153" s="1">
        <v>46024</v>
      </c>
      <c r="R153" s="2">
        <v>103.18</v>
      </c>
      <c r="S153">
        <v>1</v>
      </c>
      <c r="T153" t="s">
        <v>58</v>
      </c>
      <c r="U153" t="s">
        <v>105</v>
      </c>
      <c r="V153" s="4">
        <v>0.7</v>
      </c>
      <c r="W153" s="2">
        <v>0</v>
      </c>
      <c r="X153">
        <v>0</v>
      </c>
      <c r="Y153" t="s">
        <v>83</v>
      </c>
      <c r="Z153" t="s">
        <v>221</v>
      </c>
      <c r="AA153">
        <v>6</v>
      </c>
      <c r="AB153" s="2">
        <v>433.38</v>
      </c>
      <c r="AC153" s="2">
        <v>0</v>
      </c>
      <c r="AD153" s="4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72.23</v>
      </c>
      <c r="AM153" s="2">
        <v>0</v>
      </c>
      <c r="AN153" s="2">
        <v>433.38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45999</v>
      </c>
      <c r="B154" t="s">
        <v>48</v>
      </c>
      <c r="C154">
        <v>649163</v>
      </c>
      <c r="D154">
        <v>2032337377</v>
      </c>
      <c r="E154" t="s">
        <v>387</v>
      </c>
      <c r="F154" t="s">
        <v>388</v>
      </c>
      <c r="G154" t="s">
        <v>51</v>
      </c>
      <c r="H154" t="s">
        <v>389</v>
      </c>
      <c r="I154" t="s">
        <v>126</v>
      </c>
      <c r="J154" t="s">
        <v>132</v>
      </c>
      <c r="K154">
        <v>651818</v>
      </c>
      <c r="L154" t="s">
        <v>246</v>
      </c>
      <c r="M154" t="s">
        <v>247</v>
      </c>
      <c r="N154" t="s">
        <v>57</v>
      </c>
      <c r="O154" s="1">
        <v>45997</v>
      </c>
      <c r="Q154" s="1">
        <v>46028</v>
      </c>
      <c r="R154" s="2">
        <v>38.5</v>
      </c>
      <c r="S154">
        <v>1</v>
      </c>
      <c r="T154" t="s">
        <v>58</v>
      </c>
      <c r="U154" t="s">
        <v>105</v>
      </c>
      <c r="V154" s="4">
        <v>0.7</v>
      </c>
      <c r="W154" s="2">
        <v>0</v>
      </c>
      <c r="X154">
        <v>0</v>
      </c>
      <c r="Y154" t="s">
        <v>83</v>
      </c>
      <c r="Z154" t="s">
        <v>221</v>
      </c>
      <c r="AA154">
        <v>6</v>
      </c>
      <c r="AB154" s="2">
        <v>161.69999999999999</v>
      </c>
      <c r="AC154" s="2">
        <v>0</v>
      </c>
      <c r="AD154" s="4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26.95</v>
      </c>
      <c r="AM154" s="2">
        <v>0</v>
      </c>
      <c r="AN154" s="2">
        <v>161.69999999999999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45999</v>
      </c>
      <c r="B155" t="s">
        <v>48</v>
      </c>
      <c r="C155">
        <v>649163</v>
      </c>
      <c r="D155">
        <v>2032382701</v>
      </c>
      <c r="E155" t="s">
        <v>327</v>
      </c>
      <c r="F155" t="s">
        <v>328</v>
      </c>
      <c r="G155" t="s">
        <v>51</v>
      </c>
      <c r="H155" t="s">
        <v>102</v>
      </c>
      <c r="I155" t="s">
        <v>126</v>
      </c>
      <c r="J155" t="s">
        <v>132</v>
      </c>
      <c r="K155">
        <v>893408</v>
      </c>
      <c r="L155" t="s">
        <v>329</v>
      </c>
      <c r="M155" t="s">
        <v>330</v>
      </c>
      <c r="N155" t="s">
        <v>57</v>
      </c>
      <c r="O155" s="1">
        <v>45994</v>
      </c>
      <c r="Q155" s="1">
        <v>46025</v>
      </c>
      <c r="R155" s="2">
        <v>124.72</v>
      </c>
      <c r="S155">
        <v>1</v>
      </c>
      <c r="T155" t="s">
        <v>58</v>
      </c>
      <c r="U155" t="s">
        <v>105</v>
      </c>
      <c r="V155" s="4">
        <v>0.7</v>
      </c>
      <c r="W155" s="2">
        <v>0</v>
      </c>
      <c r="X155">
        <v>0</v>
      </c>
      <c r="Y155" t="s">
        <v>83</v>
      </c>
      <c r="Z155" t="s">
        <v>221</v>
      </c>
      <c r="AA155">
        <v>6</v>
      </c>
      <c r="AB155" s="2">
        <v>523.79999999999995</v>
      </c>
      <c r="AC155" s="2">
        <v>0</v>
      </c>
      <c r="AD155" s="4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87.3</v>
      </c>
      <c r="AM155" s="2">
        <v>0</v>
      </c>
      <c r="AN155" s="2">
        <v>523.79999999999995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45999</v>
      </c>
      <c r="B156" t="s">
        <v>48</v>
      </c>
      <c r="C156">
        <v>649163</v>
      </c>
      <c r="D156">
        <v>2032403820</v>
      </c>
      <c r="E156" t="s">
        <v>331</v>
      </c>
      <c r="F156" t="s">
        <v>332</v>
      </c>
      <c r="G156" t="s">
        <v>51</v>
      </c>
      <c r="H156" t="s">
        <v>102</v>
      </c>
      <c r="I156" t="s">
        <v>126</v>
      </c>
      <c r="J156" t="s">
        <v>132</v>
      </c>
      <c r="K156">
        <v>821015</v>
      </c>
      <c r="L156" t="s">
        <v>92</v>
      </c>
      <c r="M156" t="s">
        <v>93</v>
      </c>
      <c r="N156" t="s">
        <v>57</v>
      </c>
      <c r="O156" s="1">
        <v>46023</v>
      </c>
      <c r="Q156" s="1">
        <v>46054</v>
      </c>
      <c r="R156" s="2">
        <v>78.569999999999993</v>
      </c>
      <c r="S156">
        <v>1</v>
      </c>
      <c r="T156" t="s">
        <v>58</v>
      </c>
      <c r="U156" t="s">
        <v>105</v>
      </c>
      <c r="V156" s="4">
        <v>0.7</v>
      </c>
      <c r="W156" s="2">
        <v>0</v>
      </c>
      <c r="X156">
        <v>0</v>
      </c>
      <c r="Y156" t="s">
        <v>83</v>
      </c>
      <c r="Z156" t="s">
        <v>221</v>
      </c>
      <c r="AA156">
        <v>6</v>
      </c>
      <c r="AB156" s="2">
        <v>330</v>
      </c>
      <c r="AC156" s="2">
        <v>0</v>
      </c>
      <c r="AD156" s="4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55</v>
      </c>
      <c r="AM156" s="2">
        <v>0</v>
      </c>
      <c r="AN156" s="2">
        <v>330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45999</v>
      </c>
      <c r="B157" t="s">
        <v>48</v>
      </c>
      <c r="C157">
        <v>649163</v>
      </c>
      <c r="D157">
        <v>2032417240</v>
      </c>
      <c r="E157" t="s">
        <v>219</v>
      </c>
      <c r="F157" t="s">
        <v>82</v>
      </c>
      <c r="G157" t="s">
        <v>51</v>
      </c>
      <c r="H157" t="s">
        <v>220</v>
      </c>
      <c r="I157" t="s">
        <v>126</v>
      </c>
      <c r="J157" t="s">
        <v>132</v>
      </c>
      <c r="K157">
        <v>673059</v>
      </c>
      <c r="L157" t="s">
        <v>81</v>
      </c>
      <c r="M157" t="s">
        <v>82</v>
      </c>
      <c r="N157" t="s">
        <v>57</v>
      </c>
      <c r="O157" s="1">
        <v>46023</v>
      </c>
      <c r="Q157" s="1">
        <v>46054</v>
      </c>
      <c r="R157" s="2">
        <v>28.87</v>
      </c>
      <c r="S157">
        <v>1</v>
      </c>
      <c r="T157" t="s">
        <v>58</v>
      </c>
      <c r="U157" t="s">
        <v>105</v>
      </c>
      <c r="V157" s="4">
        <v>0.7</v>
      </c>
      <c r="W157" s="2">
        <v>0</v>
      </c>
      <c r="X157">
        <v>0</v>
      </c>
      <c r="Y157" t="s">
        <v>83</v>
      </c>
      <c r="Z157" t="s">
        <v>221</v>
      </c>
      <c r="AA157">
        <v>6</v>
      </c>
      <c r="AB157" s="2">
        <v>121.26</v>
      </c>
      <c r="AC157" s="2">
        <v>0</v>
      </c>
      <c r="AD157" s="4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20.21</v>
      </c>
      <c r="AM157" s="2">
        <v>0</v>
      </c>
      <c r="AN157" s="2">
        <v>121.26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45999</v>
      </c>
      <c r="B158" t="s">
        <v>48</v>
      </c>
      <c r="C158">
        <v>649163</v>
      </c>
      <c r="D158">
        <v>2032430515</v>
      </c>
      <c r="E158" t="s">
        <v>390</v>
      </c>
      <c r="F158" t="s">
        <v>391</v>
      </c>
      <c r="G158" t="s">
        <v>51</v>
      </c>
      <c r="H158" t="s">
        <v>383</v>
      </c>
      <c r="I158" t="s">
        <v>126</v>
      </c>
      <c r="J158" t="s">
        <v>132</v>
      </c>
      <c r="K158">
        <v>813184</v>
      </c>
      <c r="L158" t="s">
        <v>361</v>
      </c>
      <c r="M158" t="s">
        <v>362</v>
      </c>
      <c r="N158" t="s">
        <v>57</v>
      </c>
      <c r="O158" s="1">
        <v>45993</v>
      </c>
      <c r="Q158" s="1">
        <v>46024</v>
      </c>
      <c r="R158" s="2">
        <v>93.74</v>
      </c>
      <c r="S158">
        <v>1</v>
      </c>
      <c r="T158" t="s">
        <v>58</v>
      </c>
      <c r="U158" t="s">
        <v>105</v>
      </c>
      <c r="V158" s="4">
        <v>0.7</v>
      </c>
      <c r="W158" s="2">
        <v>0</v>
      </c>
      <c r="X158">
        <v>0</v>
      </c>
      <c r="Y158" t="s">
        <v>83</v>
      </c>
      <c r="Z158" t="s">
        <v>221</v>
      </c>
      <c r="AA158">
        <v>6</v>
      </c>
      <c r="AB158" s="2">
        <v>393.72</v>
      </c>
      <c r="AC158" s="2">
        <v>0</v>
      </c>
      <c r="AD158" s="4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65.62</v>
      </c>
      <c r="AM158" s="2">
        <v>0</v>
      </c>
      <c r="AN158" s="2">
        <v>393.72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45999</v>
      </c>
      <c r="B159" t="s">
        <v>48</v>
      </c>
      <c r="C159">
        <v>649163</v>
      </c>
      <c r="D159">
        <v>2032431199</v>
      </c>
      <c r="E159" t="s">
        <v>255</v>
      </c>
      <c r="F159" t="s">
        <v>192</v>
      </c>
      <c r="G159" t="s">
        <v>51</v>
      </c>
      <c r="H159" t="s">
        <v>256</v>
      </c>
      <c r="I159" t="s">
        <v>126</v>
      </c>
      <c r="J159" t="s">
        <v>164</v>
      </c>
      <c r="K159">
        <v>651818</v>
      </c>
      <c r="L159" t="s">
        <v>246</v>
      </c>
      <c r="M159" t="s">
        <v>247</v>
      </c>
      <c r="N159" t="s">
        <v>57</v>
      </c>
      <c r="O159" s="1">
        <v>45994</v>
      </c>
      <c r="Q159" s="1">
        <v>46025</v>
      </c>
      <c r="R159" s="2">
        <v>21.44</v>
      </c>
      <c r="S159">
        <v>1</v>
      </c>
      <c r="T159" t="s">
        <v>58</v>
      </c>
      <c r="U159" t="s">
        <v>105</v>
      </c>
      <c r="V159" s="4">
        <v>0.7</v>
      </c>
      <c r="W159" s="2">
        <v>0</v>
      </c>
      <c r="X159">
        <v>0</v>
      </c>
      <c r="Y159" t="s">
        <v>83</v>
      </c>
      <c r="Z159" t="s">
        <v>221</v>
      </c>
      <c r="AA159">
        <v>6</v>
      </c>
      <c r="AB159" s="2">
        <v>90.06</v>
      </c>
      <c r="AC159" s="2">
        <v>0</v>
      </c>
      <c r="AD159" s="4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15.01</v>
      </c>
      <c r="AM159" s="2">
        <v>0</v>
      </c>
      <c r="AN159" s="2">
        <v>90.06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45999</v>
      </c>
      <c r="B160" t="s">
        <v>48</v>
      </c>
      <c r="C160">
        <v>649163</v>
      </c>
      <c r="D160">
        <v>2032431567</v>
      </c>
      <c r="E160" t="s">
        <v>392</v>
      </c>
      <c r="F160" t="s">
        <v>393</v>
      </c>
      <c r="G160" t="s">
        <v>51</v>
      </c>
      <c r="H160" t="s">
        <v>163</v>
      </c>
      <c r="I160" t="s">
        <v>126</v>
      </c>
      <c r="J160" t="s">
        <v>164</v>
      </c>
      <c r="K160">
        <v>823068</v>
      </c>
      <c r="L160" t="s">
        <v>165</v>
      </c>
      <c r="M160" t="s">
        <v>166</v>
      </c>
      <c r="N160" t="s">
        <v>57</v>
      </c>
      <c r="O160" s="1">
        <v>45993</v>
      </c>
      <c r="Q160" s="1">
        <v>46024</v>
      </c>
      <c r="R160" s="2">
        <v>24.61</v>
      </c>
      <c r="S160">
        <v>1</v>
      </c>
      <c r="T160" t="s">
        <v>58</v>
      </c>
      <c r="U160" t="s">
        <v>105</v>
      </c>
      <c r="V160" s="4">
        <v>0.7</v>
      </c>
      <c r="W160" s="2">
        <v>0</v>
      </c>
      <c r="X160">
        <v>0</v>
      </c>
      <c r="Y160" t="s">
        <v>83</v>
      </c>
      <c r="Z160" t="s">
        <v>221</v>
      </c>
      <c r="AA160">
        <v>6</v>
      </c>
      <c r="AB160" s="2">
        <v>103.38</v>
      </c>
      <c r="AC160" s="2">
        <v>0</v>
      </c>
      <c r="AD160" s="4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17.23</v>
      </c>
      <c r="AM160" s="2">
        <v>0</v>
      </c>
      <c r="AN160" s="2">
        <v>103.38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45999</v>
      </c>
      <c r="B161" t="s">
        <v>48</v>
      </c>
      <c r="C161">
        <v>649163</v>
      </c>
      <c r="D161">
        <v>2032434021</v>
      </c>
      <c r="E161" t="s">
        <v>293</v>
      </c>
      <c r="F161" t="s">
        <v>294</v>
      </c>
      <c r="G161" t="s">
        <v>51</v>
      </c>
      <c r="H161" t="s">
        <v>102</v>
      </c>
      <c r="I161" t="s">
        <v>126</v>
      </c>
      <c r="J161" t="s">
        <v>132</v>
      </c>
      <c r="K161">
        <v>894525</v>
      </c>
      <c r="L161" t="s">
        <v>230</v>
      </c>
      <c r="M161" t="s">
        <v>231</v>
      </c>
      <c r="N161" t="s">
        <v>57</v>
      </c>
      <c r="O161" s="1">
        <v>46023</v>
      </c>
      <c r="Q161" s="1">
        <v>46054</v>
      </c>
      <c r="R161" s="2">
        <v>34</v>
      </c>
      <c r="S161">
        <v>1</v>
      </c>
      <c r="T161" t="s">
        <v>58</v>
      </c>
      <c r="U161" t="s">
        <v>105</v>
      </c>
      <c r="V161" s="4">
        <v>0.7</v>
      </c>
      <c r="W161" s="2">
        <v>0</v>
      </c>
      <c r="X161">
        <v>0</v>
      </c>
      <c r="Y161" t="s">
        <v>83</v>
      </c>
      <c r="Z161" t="s">
        <v>221</v>
      </c>
      <c r="AA161">
        <v>6</v>
      </c>
      <c r="AB161" s="2">
        <v>142.80000000000001</v>
      </c>
      <c r="AC161" s="2">
        <v>0</v>
      </c>
      <c r="AD161" s="4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23.8</v>
      </c>
      <c r="AM161" s="2">
        <v>0</v>
      </c>
      <c r="AN161" s="2">
        <v>142.80000000000001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45999</v>
      </c>
      <c r="B162" t="s">
        <v>48</v>
      </c>
      <c r="C162">
        <v>649163</v>
      </c>
      <c r="D162">
        <v>2032436342</v>
      </c>
      <c r="E162" t="s">
        <v>394</v>
      </c>
      <c r="F162" t="s">
        <v>82</v>
      </c>
      <c r="G162" t="s">
        <v>51</v>
      </c>
      <c r="H162" t="s">
        <v>395</v>
      </c>
      <c r="I162" t="s">
        <v>126</v>
      </c>
      <c r="J162" t="s">
        <v>132</v>
      </c>
      <c r="K162">
        <v>753748</v>
      </c>
      <c r="L162" t="s">
        <v>396</v>
      </c>
      <c r="M162" t="s">
        <v>397</v>
      </c>
      <c r="N162" t="s">
        <v>57</v>
      </c>
      <c r="O162" s="1">
        <v>45993</v>
      </c>
      <c r="Q162" s="1">
        <v>46024</v>
      </c>
      <c r="R162" s="2">
        <v>22.72</v>
      </c>
      <c r="S162">
        <v>1</v>
      </c>
      <c r="T162" t="s">
        <v>58</v>
      </c>
      <c r="U162" t="s">
        <v>105</v>
      </c>
      <c r="V162" s="4">
        <v>0.7</v>
      </c>
      <c r="W162" s="2">
        <v>0</v>
      </c>
      <c r="X162">
        <v>0</v>
      </c>
      <c r="Y162" t="s">
        <v>83</v>
      </c>
      <c r="Z162" t="s">
        <v>221</v>
      </c>
      <c r="AA162">
        <v>6</v>
      </c>
      <c r="AB162" s="2">
        <v>95.4</v>
      </c>
      <c r="AC162" s="2">
        <v>0</v>
      </c>
      <c r="AD162" s="4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15.9</v>
      </c>
      <c r="AM162" s="2">
        <v>0</v>
      </c>
      <c r="AN162" s="2">
        <v>95.4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45999</v>
      </c>
      <c r="B163" t="s">
        <v>48</v>
      </c>
      <c r="C163">
        <v>649163</v>
      </c>
      <c r="D163">
        <v>2032436343</v>
      </c>
      <c r="E163" t="s">
        <v>394</v>
      </c>
      <c r="F163" t="s">
        <v>82</v>
      </c>
      <c r="G163" t="s">
        <v>51</v>
      </c>
      <c r="H163" t="s">
        <v>395</v>
      </c>
      <c r="I163" t="s">
        <v>126</v>
      </c>
      <c r="J163" t="s">
        <v>375</v>
      </c>
      <c r="K163">
        <v>753748</v>
      </c>
      <c r="L163" t="s">
        <v>396</v>
      </c>
      <c r="M163" t="s">
        <v>397</v>
      </c>
      <c r="N163" t="s">
        <v>57</v>
      </c>
      <c r="O163" s="1">
        <v>45993</v>
      </c>
      <c r="Q163" s="1">
        <v>46024</v>
      </c>
      <c r="R163" s="2">
        <v>13.92</v>
      </c>
      <c r="S163">
        <v>1</v>
      </c>
      <c r="T163" t="s">
        <v>58</v>
      </c>
      <c r="U163" t="s">
        <v>105</v>
      </c>
      <c r="V163" s="4">
        <v>0.9</v>
      </c>
      <c r="W163" s="2">
        <v>0</v>
      </c>
      <c r="X163">
        <v>0</v>
      </c>
      <c r="Y163" t="s">
        <v>83</v>
      </c>
      <c r="Z163" t="s">
        <v>221</v>
      </c>
      <c r="AA163">
        <v>6</v>
      </c>
      <c r="AB163" s="2">
        <v>75.180000000000007</v>
      </c>
      <c r="AC163" s="2">
        <v>0</v>
      </c>
      <c r="AD163" s="4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12.53</v>
      </c>
      <c r="AM163" s="2">
        <v>0</v>
      </c>
      <c r="AN163" s="2">
        <v>75.180000000000007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45999</v>
      </c>
      <c r="B164" t="s">
        <v>48</v>
      </c>
      <c r="C164">
        <v>649163</v>
      </c>
      <c r="D164">
        <v>2032437706</v>
      </c>
      <c r="E164" t="s">
        <v>333</v>
      </c>
      <c r="F164" t="s">
        <v>249</v>
      </c>
      <c r="G164" t="s">
        <v>51</v>
      </c>
      <c r="H164" t="s">
        <v>102</v>
      </c>
      <c r="I164" t="s">
        <v>126</v>
      </c>
      <c r="J164" t="s">
        <v>132</v>
      </c>
      <c r="K164">
        <v>822381</v>
      </c>
      <c r="L164" t="s">
        <v>334</v>
      </c>
      <c r="M164" t="s">
        <v>335</v>
      </c>
      <c r="N164" t="s">
        <v>57</v>
      </c>
      <c r="O164" s="1">
        <v>45993</v>
      </c>
      <c r="Q164" s="1">
        <v>46024</v>
      </c>
      <c r="R164" s="2">
        <v>19</v>
      </c>
      <c r="S164">
        <v>1</v>
      </c>
      <c r="T164" t="s">
        <v>58</v>
      </c>
      <c r="U164" t="s">
        <v>105</v>
      </c>
      <c r="V164" s="4">
        <v>0.7</v>
      </c>
      <c r="W164" s="2">
        <v>0</v>
      </c>
      <c r="X164">
        <v>0</v>
      </c>
      <c r="Y164" t="s">
        <v>83</v>
      </c>
      <c r="Z164" t="s">
        <v>221</v>
      </c>
      <c r="AA164">
        <v>6</v>
      </c>
      <c r="AB164" s="2">
        <v>79.8</v>
      </c>
      <c r="AC164" s="2">
        <v>0</v>
      </c>
      <c r="AD164" s="4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13.3</v>
      </c>
      <c r="AM164" s="2">
        <v>0</v>
      </c>
      <c r="AN164" s="2">
        <v>79.8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45999</v>
      </c>
      <c r="B165" t="s">
        <v>48</v>
      </c>
      <c r="C165">
        <v>649163</v>
      </c>
      <c r="D165">
        <v>2032437757</v>
      </c>
      <c r="E165" t="s">
        <v>398</v>
      </c>
      <c r="F165" t="s">
        <v>399</v>
      </c>
      <c r="G165" t="s">
        <v>51</v>
      </c>
      <c r="H165" t="s">
        <v>125</v>
      </c>
      <c r="I165" t="s">
        <v>126</v>
      </c>
      <c r="J165" t="s">
        <v>132</v>
      </c>
      <c r="K165">
        <v>768887</v>
      </c>
      <c r="L165" t="s">
        <v>206</v>
      </c>
      <c r="M165" t="s">
        <v>207</v>
      </c>
      <c r="N165" t="s">
        <v>57</v>
      </c>
      <c r="O165" s="1">
        <v>46023</v>
      </c>
      <c r="Q165" s="1">
        <v>46054</v>
      </c>
      <c r="R165" s="2">
        <v>41.59</v>
      </c>
      <c r="S165">
        <v>1</v>
      </c>
      <c r="T165" t="s">
        <v>58</v>
      </c>
      <c r="U165" t="s">
        <v>105</v>
      </c>
      <c r="V165" s="4">
        <v>0.7</v>
      </c>
      <c r="W165" s="2">
        <v>0</v>
      </c>
      <c r="X165">
        <v>0</v>
      </c>
      <c r="Y165" t="s">
        <v>83</v>
      </c>
      <c r="Z165" t="s">
        <v>221</v>
      </c>
      <c r="AA165">
        <v>6</v>
      </c>
      <c r="AB165" s="2">
        <v>174.66</v>
      </c>
      <c r="AC165" s="2">
        <v>0</v>
      </c>
      <c r="AD165" s="4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29.11</v>
      </c>
      <c r="AM165" s="2">
        <v>0</v>
      </c>
      <c r="AN165" s="2">
        <v>174.66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45999</v>
      </c>
      <c r="B166" t="s">
        <v>48</v>
      </c>
      <c r="C166">
        <v>649163</v>
      </c>
      <c r="D166">
        <v>2032443155</v>
      </c>
      <c r="E166" t="s">
        <v>296</v>
      </c>
      <c r="F166" t="s">
        <v>297</v>
      </c>
      <c r="G166" t="s">
        <v>51</v>
      </c>
      <c r="H166" t="s">
        <v>102</v>
      </c>
      <c r="I166" t="s">
        <v>126</v>
      </c>
      <c r="J166" t="s">
        <v>132</v>
      </c>
      <c r="K166">
        <v>894525</v>
      </c>
      <c r="L166" t="s">
        <v>230</v>
      </c>
      <c r="M166" t="s">
        <v>231</v>
      </c>
      <c r="N166" t="s">
        <v>57</v>
      </c>
      <c r="O166" s="1">
        <v>46023</v>
      </c>
      <c r="Q166" s="1">
        <v>46054</v>
      </c>
      <c r="R166" s="2">
        <v>53.82</v>
      </c>
      <c r="S166">
        <v>1</v>
      </c>
      <c r="T166" t="s">
        <v>58</v>
      </c>
      <c r="U166" t="s">
        <v>105</v>
      </c>
      <c r="V166" s="4">
        <v>0.7</v>
      </c>
      <c r="W166" s="2">
        <v>0</v>
      </c>
      <c r="X166">
        <v>0</v>
      </c>
      <c r="Y166" t="s">
        <v>83</v>
      </c>
      <c r="Z166" t="s">
        <v>221</v>
      </c>
      <c r="AA166">
        <v>6</v>
      </c>
      <c r="AB166" s="2">
        <v>226.02</v>
      </c>
      <c r="AC166" s="2">
        <v>0</v>
      </c>
      <c r="AD166" s="4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37.67</v>
      </c>
      <c r="AM166" s="2">
        <v>0</v>
      </c>
      <c r="AN166" s="2">
        <v>226.02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45999</v>
      </c>
      <c r="B167" t="s">
        <v>48</v>
      </c>
      <c r="C167">
        <v>649163</v>
      </c>
      <c r="D167">
        <v>2032443549</v>
      </c>
      <c r="E167" t="s">
        <v>367</v>
      </c>
      <c r="F167" t="s">
        <v>368</v>
      </c>
      <c r="G167" t="s">
        <v>51</v>
      </c>
      <c r="H167" t="s">
        <v>200</v>
      </c>
      <c r="I167" t="s">
        <v>126</v>
      </c>
      <c r="J167" t="s">
        <v>132</v>
      </c>
      <c r="K167">
        <v>796984</v>
      </c>
      <c r="L167" t="s">
        <v>344</v>
      </c>
      <c r="M167" t="s">
        <v>260</v>
      </c>
      <c r="N167" t="s">
        <v>57</v>
      </c>
      <c r="O167" s="1">
        <v>45993</v>
      </c>
      <c r="Q167" s="1">
        <v>46024</v>
      </c>
      <c r="R167" s="2">
        <v>8.49</v>
      </c>
      <c r="S167">
        <v>1</v>
      </c>
      <c r="T167" t="s">
        <v>58</v>
      </c>
      <c r="U167" t="s">
        <v>105</v>
      </c>
      <c r="V167" s="4">
        <v>0.7</v>
      </c>
      <c r="W167" s="2">
        <v>0</v>
      </c>
      <c r="X167">
        <v>0</v>
      </c>
      <c r="Y167" t="s">
        <v>83</v>
      </c>
      <c r="Z167" t="s">
        <v>221</v>
      </c>
      <c r="AA167">
        <v>6</v>
      </c>
      <c r="AB167" s="2">
        <v>35.64</v>
      </c>
      <c r="AC167" s="2">
        <v>0</v>
      </c>
      <c r="AD167" s="4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5.94</v>
      </c>
      <c r="AM167" s="2">
        <v>0</v>
      </c>
      <c r="AN167" s="2">
        <v>35.64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45999</v>
      </c>
      <c r="B168" t="s">
        <v>48</v>
      </c>
      <c r="C168">
        <v>649163</v>
      </c>
      <c r="D168">
        <v>2032444197</v>
      </c>
      <c r="E168" t="s">
        <v>244</v>
      </c>
      <c r="F168" t="s">
        <v>147</v>
      </c>
      <c r="G168" t="s">
        <v>51</v>
      </c>
      <c r="H168" t="s">
        <v>220</v>
      </c>
      <c r="I168" t="s">
        <v>126</v>
      </c>
      <c r="J168" t="s">
        <v>132</v>
      </c>
      <c r="K168">
        <v>823350</v>
      </c>
      <c r="L168" t="s">
        <v>257</v>
      </c>
      <c r="M168" t="s">
        <v>258</v>
      </c>
      <c r="N168" t="s">
        <v>57</v>
      </c>
      <c r="O168" s="1">
        <v>45995</v>
      </c>
      <c r="Q168" s="1">
        <v>46026</v>
      </c>
      <c r="R168" s="2">
        <v>32.979999999999997</v>
      </c>
      <c r="S168">
        <v>1</v>
      </c>
      <c r="T168" t="s">
        <v>58</v>
      </c>
      <c r="U168" t="s">
        <v>105</v>
      </c>
      <c r="V168" s="4">
        <v>0.7</v>
      </c>
      <c r="W168" s="2">
        <v>0</v>
      </c>
      <c r="X168">
        <v>0</v>
      </c>
      <c r="Y168" t="s">
        <v>83</v>
      </c>
      <c r="Z168" t="s">
        <v>221</v>
      </c>
      <c r="AA168">
        <v>6</v>
      </c>
      <c r="AB168" s="2">
        <v>138.54</v>
      </c>
      <c r="AC168" s="2">
        <v>0</v>
      </c>
      <c r="AD168" s="4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23.09</v>
      </c>
      <c r="AM168" s="2">
        <v>0</v>
      </c>
      <c r="AN168" s="2">
        <v>138.54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45999</v>
      </c>
      <c r="B169" t="s">
        <v>48</v>
      </c>
      <c r="C169">
        <v>649163</v>
      </c>
      <c r="D169">
        <v>2032445033</v>
      </c>
      <c r="E169" t="s">
        <v>259</v>
      </c>
      <c r="F169" t="s">
        <v>260</v>
      </c>
      <c r="G169" t="s">
        <v>51</v>
      </c>
      <c r="H169" t="s">
        <v>102</v>
      </c>
      <c r="I169" t="s">
        <v>126</v>
      </c>
      <c r="J169" t="s">
        <v>132</v>
      </c>
      <c r="K169">
        <v>824062</v>
      </c>
      <c r="L169" t="s">
        <v>261</v>
      </c>
      <c r="M169" t="s">
        <v>262</v>
      </c>
      <c r="N169" t="s">
        <v>57</v>
      </c>
      <c r="O169" s="1">
        <v>46006</v>
      </c>
      <c r="Q169" s="1">
        <v>46037</v>
      </c>
      <c r="R169" s="2">
        <v>22</v>
      </c>
      <c r="S169">
        <v>1</v>
      </c>
      <c r="T169" t="s">
        <v>58</v>
      </c>
      <c r="U169" t="s">
        <v>105</v>
      </c>
      <c r="V169" s="4">
        <v>0.7</v>
      </c>
      <c r="W169" s="2">
        <v>0</v>
      </c>
      <c r="X169">
        <v>0</v>
      </c>
      <c r="Y169" t="s">
        <v>83</v>
      </c>
      <c r="Z169" t="s">
        <v>221</v>
      </c>
      <c r="AA169">
        <v>6</v>
      </c>
      <c r="AB169" s="2">
        <v>92.4</v>
      </c>
      <c r="AC169" s="2">
        <v>0</v>
      </c>
      <c r="AD169" s="4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15.4</v>
      </c>
      <c r="AM169" s="2">
        <v>0</v>
      </c>
      <c r="AN169" s="2">
        <v>92.4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45999</v>
      </c>
      <c r="B170" t="s">
        <v>48</v>
      </c>
      <c r="C170">
        <v>649163</v>
      </c>
      <c r="D170">
        <v>2032448026</v>
      </c>
      <c r="E170" t="s">
        <v>400</v>
      </c>
      <c r="F170" t="s">
        <v>168</v>
      </c>
      <c r="G170" t="s">
        <v>51</v>
      </c>
      <c r="H170" t="s">
        <v>125</v>
      </c>
      <c r="I170" t="s">
        <v>126</v>
      </c>
      <c r="J170" t="s">
        <v>132</v>
      </c>
      <c r="K170">
        <v>812656</v>
      </c>
      <c r="L170" t="s">
        <v>401</v>
      </c>
      <c r="M170" t="s">
        <v>233</v>
      </c>
      <c r="N170" t="s">
        <v>57</v>
      </c>
      <c r="O170" s="1">
        <v>45993</v>
      </c>
      <c r="Q170" s="1">
        <v>46024</v>
      </c>
      <c r="R170" s="2">
        <v>41.59</v>
      </c>
      <c r="S170">
        <v>1</v>
      </c>
      <c r="T170" t="s">
        <v>58</v>
      </c>
      <c r="U170" t="s">
        <v>105</v>
      </c>
      <c r="V170" s="4">
        <v>0.7</v>
      </c>
      <c r="W170" s="2">
        <v>0</v>
      </c>
      <c r="X170">
        <v>0</v>
      </c>
      <c r="Y170" t="s">
        <v>83</v>
      </c>
      <c r="Z170" t="s">
        <v>221</v>
      </c>
      <c r="AA170">
        <v>6</v>
      </c>
      <c r="AB170" s="2">
        <v>174.66</v>
      </c>
      <c r="AC170" s="2">
        <v>0</v>
      </c>
      <c r="AD170" s="4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29.11</v>
      </c>
      <c r="AM170" s="2">
        <v>0</v>
      </c>
      <c r="AN170" s="2">
        <v>174.66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45999</v>
      </c>
      <c r="B171" t="s">
        <v>48</v>
      </c>
      <c r="C171">
        <v>649163</v>
      </c>
      <c r="D171">
        <v>2032448442</v>
      </c>
      <c r="E171" t="s">
        <v>263</v>
      </c>
      <c r="F171" t="s">
        <v>264</v>
      </c>
      <c r="G171" t="s">
        <v>51</v>
      </c>
      <c r="H171" t="s">
        <v>163</v>
      </c>
      <c r="I171" t="s">
        <v>126</v>
      </c>
      <c r="J171" t="s">
        <v>402</v>
      </c>
      <c r="K171">
        <v>823068</v>
      </c>
      <c r="L171" t="s">
        <v>165</v>
      </c>
      <c r="M171" t="s">
        <v>166</v>
      </c>
      <c r="N171" t="s">
        <v>57</v>
      </c>
      <c r="O171" s="1">
        <v>45993</v>
      </c>
      <c r="Q171" s="1">
        <v>46024</v>
      </c>
      <c r="R171" s="2">
        <v>27.8</v>
      </c>
      <c r="S171">
        <v>1</v>
      </c>
      <c r="T171" t="s">
        <v>58</v>
      </c>
      <c r="U171" t="s">
        <v>105</v>
      </c>
      <c r="V171" s="4">
        <v>0.42</v>
      </c>
      <c r="W171" s="2">
        <v>0</v>
      </c>
      <c r="X171">
        <v>0</v>
      </c>
      <c r="Y171" t="s">
        <v>83</v>
      </c>
      <c r="Z171" t="s">
        <v>221</v>
      </c>
      <c r="AA171">
        <v>6</v>
      </c>
      <c r="AB171" s="2">
        <v>70.08</v>
      </c>
      <c r="AC171" s="2">
        <v>0</v>
      </c>
      <c r="AD171" s="4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11.68</v>
      </c>
      <c r="AM171" s="2">
        <v>0</v>
      </c>
      <c r="AN171" s="2">
        <v>70.08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45999</v>
      </c>
      <c r="B172" t="s">
        <v>48</v>
      </c>
      <c r="C172">
        <v>649163</v>
      </c>
      <c r="D172">
        <v>2032448443</v>
      </c>
      <c r="E172" t="s">
        <v>263</v>
      </c>
      <c r="F172" t="s">
        <v>264</v>
      </c>
      <c r="G172" t="s">
        <v>51</v>
      </c>
      <c r="H172" t="s">
        <v>163</v>
      </c>
      <c r="I172" t="s">
        <v>126</v>
      </c>
      <c r="J172" t="s">
        <v>164</v>
      </c>
      <c r="K172">
        <v>823068</v>
      </c>
      <c r="L172" t="s">
        <v>165</v>
      </c>
      <c r="M172" t="s">
        <v>166</v>
      </c>
      <c r="N172" t="s">
        <v>57</v>
      </c>
      <c r="O172" s="1">
        <v>45993</v>
      </c>
      <c r="Q172" s="1">
        <v>46024</v>
      </c>
      <c r="R172" s="2">
        <v>24.61</v>
      </c>
      <c r="S172">
        <v>1</v>
      </c>
      <c r="T172" t="s">
        <v>58</v>
      </c>
      <c r="U172" t="s">
        <v>105</v>
      </c>
      <c r="V172" s="4">
        <v>0.7</v>
      </c>
      <c r="W172" s="2">
        <v>0</v>
      </c>
      <c r="X172">
        <v>0</v>
      </c>
      <c r="Y172" t="s">
        <v>83</v>
      </c>
      <c r="Z172" t="s">
        <v>221</v>
      </c>
      <c r="AA172">
        <v>6</v>
      </c>
      <c r="AB172" s="2">
        <v>103.38</v>
      </c>
      <c r="AC172" s="2">
        <v>0</v>
      </c>
      <c r="AD172" s="4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17.23</v>
      </c>
      <c r="AM172" s="2">
        <v>0</v>
      </c>
      <c r="AN172" s="2">
        <v>103.38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45999</v>
      </c>
      <c r="B173" t="s">
        <v>48</v>
      </c>
      <c r="C173">
        <v>649163</v>
      </c>
      <c r="D173">
        <v>2032448983</v>
      </c>
      <c r="E173" t="s">
        <v>263</v>
      </c>
      <c r="F173" t="s">
        <v>182</v>
      </c>
      <c r="G173" t="s">
        <v>51</v>
      </c>
      <c r="H173" t="s">
        <v>163</v>
      </c>
      <c r="I173" t="s">
        <v>126</v>
      </c>
      <c r="J173" t="s">
        <v>402</v>
      </c>
      <c r="K173">
        <v>823068</v>
      </c>
      <c r="L173" t="s">
        <v>165</v>
      </c>
      <c r="M173" t="s">
        <v>166</v>
      </c>
      <c r="N173" t="s">
        <v>57</v>
      </c>
      <c r="O173" s="1">
        <v>45993</v>
      </c>
      <c r="Q173" s="1">
        <v>46024</v>
      </c>
      <c r="R173" s="2">
        <v>43.86</v>
      </c>
      <c r="S173">
        <v>1</v>
      </c>
      <c r="T173" t="s">
        <v>58</v>
      </c>
      <c r="U173" t="s">
        <v>105</v>
      </c>
      <c r="V173" s="4">
        <v>0.42</v>
      </c>
      <c r="W173" s="2">
        <v>0</v>
      </c>
      <c r="X173">
        <v>0</v>
      </c>
      <c r="Y173" t="s">
        <v>83</v>
      </c>
      <c r="Z173" t="s">
        <v>221</v>
      </c>
      <c r="AA173">
        <v>6</v>
      </c>
      <c r="AB173" s="2">
        <v>110.52</v>
      </c>
      <c r="AC173" s="2">
        <v>0</v>
      </c>
      <c r="AD173" s="4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18.420000000000002</v>
      </c>
      <c r="AM173" s="2">
        <v>0</v>
      </c>
      <c r="AN173" s="2">
        <v>110.52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45999</v>
      </c>
      <c r="B174" t="s">
        <v>48</v>
      </c>
      <c r="C174">
        <v>649163</v>
      </c>
      <c r="D174">
        <v>2032448984</v>
      </c>
      <c r="E174" t="s">
        <v>263</v>
      </c>
      <c r="F174" t="s">
        <v>182</v>
      </c>
      <c r="G174" t="s">
        <v>51</v>
      </c>
      <c r="H174" t="s">
        <v>163</v>
      </c>
      <c r="I174" t="s">
        <v>126</v>
      </c>
      <c r="J174" t="s">
        <v>164</v>
      </c>
      <c r="K174">
        <v>823068</v>
      </c>
      <c r="L174" t="s">
        <v>165</v>
      </c>
      <c r="M174" t="s">
        <v>166</v>
      </c>
      <c r="N174" t="s">
        <v>57</v>
      </c>
      <c r="O174" s="1">
        <v>45993</v>
      </c>
      <c r="Q174" s="1">
        <v>46024</v>
      </c>
      <c r="R174" s="2">
        <v>24.61</v>
      </c>
      <c r="S174">
        <v>1</v>
      </c>
      <c r="T174" t="s">
        <v>58</v>
      </c>
      <c r="U174" t="s">
        <v>105</v>
      </c>
      <c r="V174" s="4">
        <v>0.7</v>
      </c>
      <c r="W174" s="2">
        <v>0</v>
      </c>
      <c r="X174">
        <v>0</v>
      </c>
      <c r="Y174" t="s">
        <v>83</v>
      </c>
      <c r="Z174" t="s">
        <v>221</v>
      </c>
      <c r="AA174">
        <v>6</v>
      </c>
      <c r="AB174" s="2">
        <v>103.38</v>
      </c>
      <c r="AC174" s="2">
        <v>0</v>
      </c>
      <c r="AD174" s="4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17.23</v>
      </c>
      <c r="AM174" s="2">
        <v>0</v>
      </c>
      <c r="AN174" s="2">
        <v>103.38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45999</v>
      </c>
      <c r="B175" t="s">
        <v>48</v>
      </c>
      <c r="C175">
        <v>649163</v>
      </c>
      <c r="D175">
        <v>2032450244</v>
      </c>
      <c r="E175" t="s">
        <v>403</v>
      </c>
      <c r="F175" t="s">
        <v>249</v>
      </c>
      <c r="G175" t="s">
        <v>51</v>
      </c>
      <c r="H175" t="s">
        <v>102</v>
      </c>
      <c r="I175" t="s">
        <v>126</v>
      </c>
      <c r="J175" t="s">
        <v>132</v>
      </c>
      <c r="K175">
        <v>893408</v>
      </c>
      <c r="L175" t="s">
        <v>329</v>
      </c>
      <c r="M175" t="s">
        <v>330</v>
      </c>
      <c r="N175" t="s">
        <v>57</v>
      </c>
      <c r="O175" s="1">
        <v>45993</v>
      </c>
      <c r="Q175" s="1">
        <v>46024</v>
      </c>
      <c r="R175" s="2">
        <v>198.36</v>
      </c>
      <c r="S175">
        <v>1</v>
      </c>
      <c r="T175" t="s">
        <v>58</v>
      </c>
      <c r="U175" t="s">
        <v>105</v>
      </c>
      <c r="V175" s="4">
        <v>0.7</v>
      </c>
      <c r="W175" s="2">
        <v>0</v>
      </c>
      <c r="X175">
        <v>0</v>
      </c>
      <c r="Y175" t="s">
        <v>83</v>
      </c>
      <c r="Z175" t="s">
        <v>221</v>
      </c>
      <c r="AA175">
        <v>6</v>
      </c>
      <c r="AB175" s="2">
        <v>833.1</v>
      </c>
      <c r="AC175" s="2">
        <v>0</v>
      </c>
      <c r="AD175" s="4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138.85</v>
      </c>
      <c r="AM175" s="2">
        <v>0</v>
      </c>
      <c r="AN175" s="2">
        <v>833.1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45999</v>
      </c>
      <c r="B176" t="s">
        <v>48</v>
      </c>
      <c r="C176">
        <v>649163</v>
      </c>
      <c r="D176">
        <v>2032450579</v>
      </c>
      <c r="E176" t="s">
        <v>404</v>
      </c>
      <c r="F176" t="s">
        <v>405</v>
      </c>
      <c r="G176" t="s">
        <v>51</v>
      </c>
      <c r="H176" t="s">
        <v>102</v>
      </c>
      <c r="I176" t="s">
        <v>126</v>
      </c>
      <c r="J176" t="s">
        <v>132</v>
      </c>
      <c r="K176">
        <v>814033</v>
      </c>
      <c r="L176" t="s">
        <v>284</v>
      </c>
      <c r="M176" t="s">
        <v>285</v>
      </c>
      <c r="N176" t="s">
        <v>57</v>
      </c>
      <c r="O176" s="1">
        <v>45993</v>
      </c>
      <c r="Q176" s="1">
        <v>46024</v>
      </c>
      <c r="R176" s="2">
        <v>95.54</v>
      </c>
      <c r="S176">
        <v>1</v>
      </c>
      <c r="T176" t="s">
        <v>58</v>
      </c>
      <c r="U176" t="s">
        <v>105</v>
      </c>
      <c r="V176" s="4">
        <v>0.7</v>
      </c>
      <c r="W176" s="2">
        <v>0</v>
      </c>
      <c r="X176">
        <v>0</v>
      </c>
      <c r="Y176" t="s">
        <v>83</v>
      </c>
      <c r="Z176" t="s">
        <v>221</v>
      </c>
      <c r="AA176">
        <v>6</v>
      </c>
      <c r="AB176" s="2">
        <v>401.28</v>
      </c>
      <c r="AC176" s="2">
        <v>0</v>
      </c>
      <c r="AD176" s="4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66.88</v>
      </c>
      <c r="AM176" s="2">
        <v>0</v>
      </c>
      <c r="AN176" s="2">
        <v>401.28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45999</v>
      </c>
      <c r="B177" t="s">
        <v>48</v>
      </c>
      <c r="C177">
        <v>649163</v>
      </c>
      <c r="D177">
        <v>2032450902</v>
      </c>
      <c r="E177" t="s">
        <v>338</v>
      </c>
      <c r="F177" t="s">
        <v>249</v>
      </c>
      <c r="G177" t="s">
        <v>51</v>
      </c>
      <c r="H177" t="s">
        <v>267</v>
      </c>
      <c r="I177" t="s">
        <v>126</v>
      </c>
      <c r="J177" t="s">
        <v>132</v>
      </c>
      <c r="K177">
        <v>767312</v>
      </c>
      <c r="L177" t="s">
        <v>138</v>
      </c>
      <c r="M177" t="s">
        <v>107</v>
      </c>
      <c r="N177" t="s">
        <v>57</v>
      </c>
      <c r="O177" s="1">
        <v>45993</v>
      </c>
      <c r="Q177" s="1">
        <v>46024</v>
      </c>
      <c r="R177" s="2">
        <v>51.74</v>
      </c>
      <c r="S177">
        <v>1</v>
      </c>
      <c r="T177" t="s">
        <v>58</v>
      </c>
      <c r="U177" t="s">
        <v>105</v>
      </c>
      <c r="V177" s="4">
        <v>0.7</v>
      </c>
      <c r="W177" s="2">
        <v>0</v>
      </c>
      <c r="X177">
        <v>0</v>
      </c>
      <c r="Y177" t="s">
        <v>83</v>
      </c>
      <c r="Z177" t="s">
        <v>221</v>
      </c>
      <c r="AA177">
        <v>6</v>
      </c>
      <c r="AB177" s="2">
        <v>217.32</v>
      </c>
      <c r="AC177" s="2">
        <v>0</v>
      </c>
      <c r="AD177" s="4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36.22</v>
      </c>
      <c r="AM177" s="2">
        <v>0</v>
      </c>
      <c r="AN177" s="2">
        <v>217.32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45999</v>
      </c>
      <c r="B178" t="s">
        <v>48</v>
      </c>
      <c r="C178">
        <v>649163</v>
      </c>
      <c r="D178">
        <v>2032451714</v>
      </c>
      <c r="E178" t="s">
        <v>406</v>
      </c>
      <c r="F178" t="s">
        <v>407</v>
      </c>
      <c r="G178" t="s">
        <v>51</v>
      </c>
      <c r="H178" t="s">
        <v>408</v>
      </c>
      <c r="I178" t="s">
        <v>126</v>
      </c>
      <c r="J178" t="s">
        <v>132</v>
      </c>
      <c r="K178">
        <v>756418</v>
      </c>
      <c r="L178" t="s">
        <v>409</v>
      </c>
      <c r="M178" t="s">
        <v>410</v>
      </c>
      <c r="N178" t="s">
        <v>57</v>
      </c>
      <c r="O178" s="1">
        <v>45993</v>
      </c>
      <c r="Q178" s="1">
        <v>46024</v>
      </c>
      <c r="R178" s="2">
        <v>34.340000000000003</v>
      </c>
      <c r="S178">
        <v>1</v>
      </c>
      <c r="T178" t="s">
        <v>58</v>
      </c>
      <c r="U178" t="s">
        <v>105</v>
      </c>
      <c r="V178" s="4">
        <v>0.7</v>
      </c>
      <c r="W178" s="2">
        <v>0</v>
      </c>
      <c r="X178">
        <v>0</v>
      </c>
      <c r="Y178" t="s">
        <v>83</v>
      </c>
      <c r="Z178" t="s">
        <v>221</v>
      </c>
      <c r="AA178">
        <v>6</v>
      </c>
      <c r="AB178" s="2">
        <v>144.24</v>
      </c>
      <c r="AC178" s="2">
        <v>0</v>
      </c>
      <c r="AD178" s="4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24.04</v>
      </c>
      <c r="AM178" s="2">
        <v>0</v>
      </c>
      <c r="AN178" s="2">
        <v>144.24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45999</v>
      </c>
      <c r="B179" t="s">
        <v>48</v>
      </c>
      <c r="C179">
        <v>649163</v>
      </c>
      <c r="D179">
        <v>2032453026</v>
      </c>
      <c r="E179" t="s">
        <v>300</v>
      </c>
      <c r="F179" t="s">
        <v>301</v>
      </c>
      <c r="G179" t="s">
        <v>51</v>
      </c>
      <c r="H179" t="s">
        <v>125</v>
      </c>
      <c r="I179" t="s">
        <v>126</v>
      </c>
      <c r="J179" t="s">
        <v>132</v>
      </c>
      <c r="K179">
        <v>767312</v>
      </c>
      <c r="L179" t="s">
        <v>138</v>
      </c>
      <c r="M179" t="s">
        <v>107</v>
      </c>
      <c r="N179" t="s">
        <v>57</v>
      </c>
      <c r="O179" s="1">
        <v>46023</v>
      </c>
      <c r="Q179" s="1">
        <v>46054</v>
      </c>
      <c r="R179" s="2">
        <v>14.93</v>
      </c>
      <c r="S179">
        <v>1</v>
      </c>
      <c r="T179" t="s">
        <v>58</v>
      </c>
      <c r="U179" t="s">
        <v>105</v>
      </c>
      <c r="V179" s="4">
        <v>0.7</v>
      </c>
      <c r="W179" s="2">
        <v>0</v>
      </c>
      <c r="X179">
        <v>0</v>
      </c>
      <c r="Y179" t="s">
        <v>83</v>
      </c>
      <c r="Z179" t="s">
        <v>221</v>
      </c>
      <c r="AA179">
        <v>6</v>
      </c>
      <c r="AB179" s="2">
        <v>62.7</v>
      </c>
      <c r="AC179" s="2">
        <v>0</v>
      </c>
      <c r="AD179" s="4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10.45</v>
      </c>
      <c r="AM179" s="2">
        <v>0</v>
      </c>
      <c r="AN179" s="2">
        <v>62.7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45999</v>
      </c>
      <c r="B180" t="s">
        <v>48</v>
      </c>
      <c r="C180">
        <v>649163</v>
      </c>
      <c r="D180">
        <v>2032454750</v>
      </c>
      <c r="E180" t="s">
        <v>161</v>
      </c>
      <c r="F180" t="s">
        <v>411</v>
      </c>
      <c r="G180" t="s">
        <v>51</v>
      </c>
      <c r="H180" t="s">
        <v>163</v>
      </c>
      <c r="I180" t="s">
        <v>126</v>
      </c>
      <c r="J180" t="s">
        <v>164</v>
      </c>
      <c r="K180">
        <v>823068</v>
      </c>
      <c r="L180" t="s">
        <v>165</v>
      </c>
      <c r="M180" t="s">
        <v>166</v>
      </c>
      <c r="N180" t="s">
        <v>57</v>
      </c>
      <c r="O180" s="1">
        <v>46022</v>
      </c>
      <c r="Q180" s="1">
        <v>46053</v>
      </c>
      <c r="R180" s="2">
        <v>48</v>
      </c>
      <c r="S180">
        <v>1</v>
      </c>
      <c r="T180" t="s">
        <v>58</v>
      </c>
      <c r="U180" t="s">
        <v>105</v>
      </c>
      <c r="V180" s="4">
        <v>0.7</v>
      </c>
      <c r="W180" s="2">
        <v>0</v>
      </c>
      <c r="X180">
        <v>0</v>
      </c>
      <c r="Y180" t="s">
        <v>83</v>
      </c>
      <c r="Z180" t="s">
        <v>221</v>
      </c>
      <c r="AA180">
        <v>6</v>
      </c>
      <c r="AB180" s="2">
        <v>201.6</v>
      </c>
      <c r="AC180" s="2">
        <v>0</v>
      </c>
      <c r="AD180" s="4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33.6</v>
      </c>
      <c r="AM180" s="2">
        <v>0</v>
      </c>
      <c r="AN180" s="2">
        <v>201.6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45999</v>
      </c>
      <c r="B181" t="s">
        <v>48</v>
      </c>
      <c r="C181">
        <v>649163</v>
      </c>
      <c r="D181">
        <v>2032456510</v>
      </c>
      <c r="E181" t="s">
        <v>412</v>
      </c>
      <c r="F181" t="s">
        <v>413</v>
      </c>
      <c r="G181" t="s">
        <v>51</v>
      </c>
      <c r="H181" t="s">
        <v>163</v>
      </c>
      <c r="I181" t="s">
        <v>126</v>
      </c>
      <c r="J181" t="s">
        <v>402</v>
      </c>
      <c r="K181">
        <v>902625</v>
      </c>
      <c r="L181" t="s">
        <v>414</v>
      </c>
      <c r="M181" t="s">
        <v>415</v>
      </c>
      <c r="N181" t="s">
        <v>57</v>
      </c>
      <c r="O181" s="1">
        <v>46023</v>
      </c>
      <c r="Q181" s="1">
        <v>46054</v>
      </c>
      <c r="R181" s="2">
        <v>24.8</v>
      </c>
      <c r="S181">
        <v>1</v>
      </c>
      <c r="T181" t="s">
        <v>58</v>
      </c>
      <c r="U181" t="s">
        <v>105</v>
      </c>
      <c r="V181" s="4">
        <v>0.42</v>
      </c>
      <c r="W181" s="2">
        <v>0</v>
      </c>
      <c r="X181">
        <v>0</v>
      </c>
      <c r="Y181" t="s">
        <v>83</v>
      </c>
      <c r="Z181" t="s">
        <v>221</v>
      </c>
      <c r="AA181">
        <v>6</v>
      </c>
      <c r="AB181" s="2">
        <v>62.52</v>
      </c>
      <c r="AC181" s="2">
        <v>0</v>
      </c>
      <c r="AD181" s="4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10.42</v>
      </c>
      <c r="AM181" s="2">
        <v>0</v>
      </c>
      <c r="AN181" s="2">
        <v>62.52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45999</v>
      </c>
      <c r="B182" t="s">
        <v>48</v>
      </c>
      <c r="C182">
        <v>649163</v>
      </c>
      <c r="D182">
        <v>2032457642</v>
      </c>
      <c r="E182" t="s">
        <v>416</v>
      </c>
      <c r="F182" t="s">
        <v>417</v>
      </c>
      <c r="G182" t="s">
        <v>51</v>
      </c>
      <c r="H182" t="s">
        <v>102</v>
      </c>
      <c r="I182" t="s">
        <v>126</v>
      </c>
      <c r="J182" t="s">
        <v>132</v>
      </c>
      <c r="K182">
        <v>807212</v>
      </c>
      <c r="L182" t="s">
        <v>418</v>
      </c>
      <c r="M182" t="s">
        <v>419</v>
      </c>
      <c r="N182" t="s">
        <v>57</v>
      </c>
      <c r="O182" s="1">
        <v>45994</v>
      </c>
      <c r="Q182" s="1">
        <v>46025</v>
      </c>
      <c r="R182" s="2">
        <v>19</v>
      </c>
      <c r="S182">
        <v>1</v>
      </c>
      <c r="T182" t="s">
        <v>58</v>
      </c>
      <c r="U182" t="s">
        <v>105</v>
      </c>
      <c r="V182" s="4">
        <v>0.7</v>
      </c>
      <c r="W182" s="2">
        <v>0</v>
      </c>
      <c r="X182">
        <v>0</v>
      </c>
      <c r="Y182" t="s">
        <v>83</v>
      </c>
      <c r="Z182" t="s">
        <v>221</v>
      </c>
      <c r="AA182">
        <v>6</v>
      </c>
      <c r="AB182" s="2">
        <v>79.8</v>
      </c>
      <c r="AC182" s="2">
        <v>0</v>
      </c>
      <c r="AD182" s="4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13.3</v>
      </c>
      <c r="AM182" s="2">
        <v>0</v>
      </c>
      <c r="AN182" s="2">
        <v>79.8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45999</v>
      </c>
      <c r="B183" t="s">
        <v>48</v>
      </c>
      <c r="C183">
        <v>649163</v>
      </c>
      <c r="D183">
        <v>2032459533</v>
      </c>
      <c r="E183" t="s">
        <v>420</v>
      </c>
      <c r="F183" t="s">
        <v>421</v>
      </c>
      <c r="G183" t="s">
        <v>51</v>
      </c>
      <c r="H183" t="s">
        <v>210</v>
      </c>
      <c r="I183" t="s">
        <v>126</v>
      </c>
      <c r="J183" t="s">
        <v>132</v>
      </c>
      <c r="K183">
        <v>673059</v>
      </c>
      <c r="L183" t="s">
        <v>81</v>
      </c>
      <c r="M183" t="s">
        <v>82</v>
      </c>
      <c r="N183" t="s">
        <v>57</v>
      </c>
      <c r="O183" s="1">
        <v>46023</v>
      </c>
      <c r="Q183" s="1">
        <v>46054</v>
      </c>
      <c r="R183" s="2">
        <v>122.88</v>
      </c>
      <c r="S183">
        <v>1</v>
      </c>
      <c r="T183" t="s">
        <v>58</v>
      </c>
      <c r="U183" t="s">
        <v>105</v>
      </c>
      <c r="V183" s="4">
        <v>0.7</v>
      </c>
      <c r="W183" s="2">
        <v>0</v>
      </c>
      <c r="X183">
        <v>0</v>
      </c>
      <c r="Y183" t="s">
        <v>83</v>
      </c>
      <c r="Z183" t="s">
        <v>221</v>
      </c>
      <c r="AA183">
        <v>6</v>
      </c>
      <c r="AB183" s="2">
        <v>516.12</v>
      </c>
      <c r="AC183" s="2">
        <v>0</v>
      </c>
      <c r="AD183" s="4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86.02</v>
      </c>
      <c r="AM183" s="2">
        <v>0</v>
      </c>
      <c r="AN183" s="2">
        <v>516.12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45999</v>
      </c>
      <c r="B184" t="s">
        <v>48</v>
      </c>
      <c r="C184">
        <v>649163</v>
      </c>
      <c r="D184">
        <v>2032459535</v>
      </c>
      <c r="E184" t="s">
        <v>420</v>
      </c>
      <c r="F184" t="s">
        <v>421</v>
      </c>
      <c r="G184" t="s">
        <v>51</v>
      </c>
      <c r="H184" t="s">
        <v>210</v>
      </c>
      <c r="I184" t="s">
        <v>126</v>
      </c>
      <c r="J184" t="s">
        <v>164</v>
      </c>
      <c r="K184">
        <v>673059</v>
      </c>
      <c r="L184" t="s">
        <v>81</v>
      </c>
      <c r="M184" t="s">
        <v>82</v>
      </c>
      <c r="N184" t="s">
        <v>57</v>
      </c>
      <c r="O184" s="1">
        <v>46023</v>
      </c>
      <c r="Q184" s="1">
        <v>46054</v>
      </c>
      <c r="R184" s="2">
        <v>21.44</v>
      </c>
      <c r="S184">
        <v>1</v>
      </c>
      <c r="T184" t="s">
        <v>58</v>
      </c>
      <c r="U184" t="s">
        <v>105</v>
      </c>
      <c r="V184" s="4">
        <v>0.7</v>
      </c>
      <c r="W184" s="2">
        <v>0</v>
      </c>
      <c r="X184">
        <v>0</v>
      </c>
      <c r="Y184" t="s">
        <v>83</v>
      </c>
      <c r="Z184" t="s">
        <v>221</v>
      </c>
      <c r="AA184">
        <v>6</v>
      </c>
      <c r="AB184" s="2">
        <v>90.06</v>
      </c>
      <c r="AC184" s="2">
        <v>0</v>
      </c>
      <c r="AD184" s="4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15.01</v>
      </c>
      <c r="AM184" s="2">
        <v>0</v>
      </c>
      <c r="AN184" s="2">
        <v>90.06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45999</v>
      </c>
      <c r="B185" t="s">
        <v>48</v>
      </c>
      <c r="C185">
        <v>649163</v>
      </c>
      <c r="D185">
        <v>2032459590</v>
      </c>
      <c r="E185" t="s">
        <v>339</v>
      </c>
      <c r="F185" t="s">
        <v>229</v>
      </c>
      <c r="G185" t="s">
        <v>51</v>
      </c>
      <c r="H185" t="s">
        <v>97</v>
      </c>
      <c r="I185" t="s">
        <v>126</v>
      </c>
      <c r="J185" t="s">
        <v>132</v>
      </c>
      <c r="K185">
        <v>875334</v>
      </c>
      <c r="L185" t="s">
        <v>340</v>
      </c>
      <c r="M185" t="s">
        <v>341</v>
      </c>
      <c r="N185" t="s">
        <v>57</v>
      </c>
      <c r="O185" s="1">
        <v>46023</v>
      </c>
      <c r="Q185" s="1">
        <v>46054</v>
      </c>
      <c r="R185" s="2">
        <v>50.24</v>
      </c>
      <c r="S185">
        <v>1</v>
      </c>
      <c r="T185" t="s">
        <v>58</v>
      </c>
      <c r="U185" t="s">
        <v>105</v>
      </c>
      <c r="V185" s="4">
        <v>0.7</v>
      </c>
      <c r="W185" s="2">
        <v>0</v>
      </c>
      <c r="X185">
        <v>0</v>
      </c>
      <c r="Y185" t="s">
        <v>83</v>
      </c>
      <c r="Z185" t="s">
        <v>221</v>
      </c>
      <c r="AA185">
        <v>6</v>
      </c>
      <c r="AB185" s="2">
        <v>211.02</v>
      </c>
      <c r="AC185" s="2">
        <v>0</v>
      </c>
      <c r="AD185" s="4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35.17</v>
      </c>
      <c r="AM185" s="2">
        <v>0</v>
      </c>
      <c r="AN185" s="2">
        <v>211.02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45999</v>
      </c>
      <c r="B186" t="s">
        <v>48</v>
      </c>
      <c r="C186">
        <v>649163</v>
      </c>
      <c r="D186">
        <v>2032459591</v>
      </c>
      <c r="E186" t="s">
        <v>339</v>
      </c>
      <c r="F186" t="s">
        <v>229</v>
      </c>
      <c r="G186" t="s">
        <v>51</v>
      </c>
      <c r="H186" t="s">
        <v>97</v>
      </c>
      <c r="I186" t="s">
        <v>126</v>
      </c>
      <c r="J186" t="s">
        <v>375</v>
      </c>
      <c r="K186">
        <v>875334</v>
      </c>
      <c r="L186" t="s">
        <v>340</v>
      </c>
      <c r="M186" t="s">
        <v>341</v>
      </c>
      <c r="N186" t="s">
        <v>57</v>
      </c>
      <c r="O186" s="1">
        <v>46023</v>
      </c>
      <c r="Q186" s="1">
        <v>46054</v>
      </c>
      <c r="R186" s="2">
        <v>15.58</v>
      </c>
      <c r="S186">
        <v>1</v>
      </c>
      <c r="T186" t="s">
        <v>58</v>
      </c>
      <c r="U186" t="s">
        <v>105</v>
      </c>
      <c r="V186" s="4">
        <v>0.9</v>
      </c>
      <c r="W186" s="2">
        <v>0</v>
      </c>
      <c r="X186">
        <v>0</v>
      </c>
      <c r="Y186" t="s">
        <v>83</v>
      </c>
      <c r="Z186" t="s">
        <v>221</v>
      </c>
      <c r="AA186">
        <v>6</v>
      </c>
      <c r="AB186" s="2">
        <v>84.12</v>
      </c>
      <c r="AC186" s="2">
        <v>0</v>
      </c>
      <c r="AD186" s="4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14.02</v>
      </c>
      <c r="AM186" s="2">
        <v>0</v>
      </c>
      <c r="AN186" s="2">
        <v>84.12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45999</v>
      </c>
      <c r="B187" t="s">
        <v>48</v>
      </c>
      <c r="C187">
        <v>649163</v>
      </c>
      <c r="D187">
        <v>2032462073</v>
      </c>
      <c r="E187" t="s">
        <v>226</v>
      </c>
      <c r="F187" t="s">
        <v>227</v>
      </c>
      <c r="G187" t="s">
        <v>51</v>
      </c>
      <c r="H187" t="s">
        <v>131</v>
      </c>
      <c r="I187" t="s">
        <v>126</v>
      </c>
      <c r="J187" t="s">
        <v>132</v>
      </c>
      <c r="K187">
        <v>673059</v>
      </c>
      <c r="L187" t="s">
        <v>81</v>
      </c>
      <c r="M187" t="s">
        <v>82</v>
      </c>
      <c r="N187" t="s">
        <v>57</v>
      </c>
      <c r="O187" s="1">
        <v>46023</v>
      </c>
      <c r="Q187" s="1">
        <v>46054</v>
      </c>
      <c r="R187" s="2">
        <v>26.32</v>
      </c>
      <c r="S187">
        <v>1</v>
      </c>
      <c r="T187" t="s">
        <v>58</v>
      </c>
      <c r="U187" t="s">
        <v>105</v>
      </c>
      <c r="V187" s="4">
        <v>0.7</v>
      </c>
      <c r="W187" s="2">
        <v>0</v>
      </c>
      <c r="X187">
        <v>0</v>
      </c>
      <c r="Y187" t="s">
        <v>83</v>
      </c>
      <c r="Z187" t="s">
        <v>221</v>
      </c>
      <c r="AA187">
        <v>6</v>
      </c>
      <c r="AB187" s="2">
        <v>110.52</v>
      </c>
      <c r="AC187" s="2">
        <v>0</v>
      </c>
      <c r="AD187" s="4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18.420000000000002</v>
      </c>
      <c r="AM187" s="2">
        <v>0</v>
      </c>
      <c r="AN187" s="2">
        <v>110.52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45999</v>
      </c>
      <c r="B188" t="s">
        <v>48</v>
      </c>
      <c r="C188">
        <v>649163</v>
      </c>
      <c r="D188">
        <v>2032465280</v>
      </c>
      <c r="E188" t="s">
        <v>302</v>
      </c>
      <c r="F188" t="s">
        <v>303</v>
      </c>
      <c r="G188" t="s">
        <v>51</v>
      </c>
      <c r="H188" t="s">
        <v>131</v>
      </c>
      <c r="I188" t="s">
        <v>126</v>
      </c>
      <c r="J188" t="s">
        <v>132</v>
      </c>
      <c r="K188">
        <v>751867</v>
      </c>
      <c r="L188" t="s">
        <v>70</v>
      </c>
      <c r="M188" t="s">
        <v>71</v>
      </c>
      <c r="N188" t="s">
        <v>57</v>
      </c>
      <c r="O188" s="1">
        <v>46023</v>
      </c>
      <c r="Q188" s="1">
        <v>46054</v>
      </c>
      <c r="R188" s="2">
        <v>23.28</v>
      </c>
      <c r="S188">
        <v>1</v>
      </c>
      <c r="T188" t="s">
        <v>58</v>
      </c>
      <c r="U188" t="s">
        <v>105</v>
      </c>
      <c r="V188" s="4">
        <v>0.7</v>
      </c>
      <c r="W188" s="2">
        <v>0</v>
      </c>
      <c r="X188">
        <v>0</v>
      </c>
      <c r="Y188" t="s">
        <v>83</v>
      </c>
      <c r="Z188" t="s">
        <v>221</v>
      </c>
      <c r="AA188">
        <v>6</v>
      </c>
      <c r="AB188" s="2">
        <v>97.8</v>
      </c>
      <c r="AC188" s="2">
        <v>0</v>
      </c>
      <c r="AD188" s="4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16.3</v>
      </c>
      <c r="AM188" s="2">
        <v>0</v>
      </c>
      <c r="AN188" s="2">
        <v>97.8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45999</v>
      </c>
      <c r="B189" t="s">
        <v>48</v>
      </c>
      <c r="C189">
        <v>649163</v>
      </c>
      <c r="D189">
        <v>2032466034</v>
      </c>
      <c r="E189" t="s">
        <v>293</v>
      </c>
      <c r="F189" t="s">
        <v>422</v>
      </c>
      <c r="G189" t="s">
        <v>51</v>
      </c>
      <c r="H189" t="s">
        <v>210</v>
      </c>
      <c r="I189" t="s">
        <v>126</v>
      </c>
      <c r="J189" t="s">
        <v>132</v>
      </c>
      <c r="K189">
        <v>893473</v>
      </c>
      <c r="L189" t="s">
        <v>423</v>
      </c>
      <c r="M189" t="s">
        <v>424</v>
      </c>
      <c r="N189" t="s">
        <v>57</v>
      </c>
      <c r="O189" s="1">
        <v>45994</v>
      </c>
      <c r="Q189" s="1">
        <v>46025</v>
      </c>
      <c r="R189" s="2">
        <v>44</v>
      </c>
      <c r="S189">
        <v>1</v>
      </c>
      <c r="T189" t="s">
        <v>58</v>
      </c>
      <c r="U189" t="s">
        <v>105</v>
      </c>
      <c r="V189" s="4">
        <v>0.7</v>
      </c>
      <c r="W189" s="2">
        <v>0</v>
      </c>
      <c r="X189">
        <v>0</v>
      </c>
      <c r="Y189" t="s">
        <v>83</v>
      </c>
      <c r="Z189" t="s">
        <v>221</v>
      </c>
      <c r="AA189">
        <v>6</v>
      </c>
      <c r="AB189" s="2">
        <v>184.8</v>
      </c>
      <c r="AC189" s="2">
        <v>0</v>
      </c>
      <c r="AD189" s="4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30.8</v>
      </c>
      <c r="AM189" s="2">
        <v>0</v>
      </c>
      <c r="AN189" s="2">
        <v>184.8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45999</v>
      </c>
      <c r="B190" t="s">
        <v>48</v>
      </c>
      <c r="C190">
        <v>649163</v>
      </c>
      <c r="D190">
        <v>2032467049</v>
      </c>
      <c r="E190" t="s">
        <v>425</v>
      </c>
      <c r="F190" t="s">
        <v>305</v>
      </c>
      <c r="G190" t="s">
        <v>51</v>
      </c>
      <c r="H190" t="s">
        <v>383</v>
      </c>
      <c r="I190" t="s">
        <v>126</v>
      </c>
      <c r="J190" t="s">
        <v>132</v>
      </c>
      <c r="K190">
        <v>856163</v>
      </c>
      <c r="L190" t="s">
        <v>257</v>
      </c>
      <c r="M190" t="s">
        <v>426</v>
      </c>
      <c r="N190" t="s">
        <v>57</v>
      </c>
      <c r="O190" s="1">
        <v>46023</v>
      </c>
      <c r="Q190" s="1">
        <v>46054</v>
      </c>
      <c r="R190" s="2">
        <v>36</v>
      </c>
      <c r="S190">
        <v>1</v>
      </c>
      <c r="T190" t="s">
        <v>58</v>
      </c>
      <c r="U190" t="s">
        <v>105</v>
      </c>
      <c r="V190" s="4">
        <v>0.7</v>
      </c>
      <c r="W190" s="2">
        <v>0</v>
      </c>
      <c r="X190">
        <v>0</v>
      </c>
      <c r="Y190" t="s">
        <v>83</v>
      </c>
      <c r="Z190" t="s">
        <v>221</v>
      </c>
      <c r="AA190">
        <v>6</v>
      </c>
      <c r="AB190" s="2">
        <v>151.19999999999999</v>
      </c>
      <c r="AC190" s="2">
        <v>0</v>
      </c>
      <c r="AD190" s="4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25.2</v>
      </c>
      <c r="AM190" s="2">
        <v>0</v>
      </c>
      <c r="AN190" s="2">
        <v>151.19999999999999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45999</v>
      </c>
      <c r="B191" t="s">
        <v>48</v>
      </c>
      <c r="C191">
        <v>649163</v>
      </c>
      <c r="D191">
        <v>2032468387</v>
      </c>
      <c r="E191" t="s">
        <v>427</v>
      </c>
      <c r="F191" t="s">
        <v>428</v>
      </c>
      <c r="G191" t="s">
        <v>51</v>
      </c>
      <c r="H191" t="s">
        <v>97</v>
      </c>
      <c r="I191" t="s">
        <v>126</v>
      </c>
      <c r="J191" t="s">
        <v>132</v>
      </c>
      <c r="K191">
        <v>856163</v>
      </c>
      <c r="L191" t="s">
        <v>257</v>
      </c>
      <c r="M191" t="s">
        <v>426</v>
      </c>
      <c r="N191" t="s">
        <v>57</v>
      </c>
      <c r="O191" s="1">
        <v>46023</v>
      </c>
      <c r="Q191" s="1">
        <v>46054</v>
      </c>
      <c r="R191" s="2">
        <v>51.09</v>
      </c>
      <c r="S191">
        <v>1</v>
      </c>
      <c r="T191" t="s">
        <v>58</v>
      </c>
      <c r="U191" t="s">
        <v>105</v>
      </c>
      <c r="V191" s="4">
        <v>0.7</v>
      </c>
      <c r="W191" s="2">
        <v>0</v>
      </c>
      <c r="X191">
        <v>0</v>
      </c>
      <c r="Y191" t="s">
        <v>83</v>
      </c>
      <c r="Z191" t="s">
        <v>221</v>
      </c>
      <c r="AA191">
        <v>6</v>
      </c>
      <c r="AB191" s="2">
        <v>214.56</v>
      </c>
      <c r="AC191" s="2">
        <v>0</v>
      </c>
      <c r="AD191" s="4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35.76</v>
      </c>
      <c r="AM191" s="2">
        <v>0</v>
      </c>
      <c r="AN191" s="2">
        <v>214.56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45999</v>
      </c>
      <c r="B192" t="s">
        <v>48</v>
      </c>
      <c r="C192">
        <v>649163</v>
      </c>
      <c r="D192">
        <v>2032468755</v>
      </c>
      <c r="E192" t="s">
        <v>429</v>
      </c>
      <c r="F192" t="s">
        <v>71</v>
      </c>
      <c r="G192" t="s">
        <v>51</v>
      </c>
      <c r="H192" t="s">
        <v>357</v>
      </c>
      <c r="I192" t="s">
        <v>126</v>
      </c>
      <c r="J192" t="s">
        <v>132</v>
      </c>
      <c r="K192">
        <v>767312</v>
      </c>
      <c r="L192" t="s">
        <v>138</v>
      </c>
      <c r="M192" t="s">
        <v>107</v>
      </c>
      <c r="N192" t="s">
        <v>57</v>
      </c>
      <c r="O192" s="1">
        <v>46023</v>
      </c>
      <c r="Q192" s="1">
        <v>46054</v>
      </c>
      <c r="R192" s="2">
        <v>167.54</v>
      </c>
      <c r="S192">
        <v>1</v>
      </c>
      <c r="T192" t="s">
        <v>58</v>
      </c>
      <c r="U192" t="s">
        <v>105</v>
      </c>
      <c r="V192" s="4">
        <v>0.7</v>
      </c>
      <c r="W192" s="2">
        <v>0</v>
      </c>
      <c r="X192">
        <v>0</v>
      </c>
      <c r="Y192" t="s">
        <v>83</v>
      </c>
      <c r="Z192" t="s">
        <v>221</v>
      </c>
      <c r="AA192">
        <v>6</v>
      </c>
      <c r="AB192" s="2">
        <v>703.68</v>
      </c>
      <c r="AC192" s="2">
        <v>0</v>
      </c>
      <c r="AD192" s="4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117.28</v>
      </c>
      <c r="AM192" s="2">
        <v>0</v>
      </c>
      <c r="AN192" s="2">
        <v>703.68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45999</v>
      </c>
      <c r="B193" t="s">
        <v>48</v>
      </c>
      <c r="C193">
        <v>649163</v>
      </c>
      <c r="D193">
        <v>2032469446</v>
      </c>
      <c r="E193" t="s">
        <v>430</v>
      </c>
      <c r="F193" t="s">
        <v>431</v>
      </c>
      <c r="G193" t="s">
        <v>51</v>
      </c>
      <c r="H193" t="s">
        <v>210</v>
      </c>
      <c r="I193" t="s">
        <v>126</v>
      </c>
      <c r="J193" t="s">
        <v>132</v>
      </c>
      <c r="K193">
        <v>756418</v>
      </c>
      <c r="L193" t="s">
        <v>409</v>
      </c>
      <c r="M193" t="s">
        <v>410</v>
      </c>
      <c r="N193" t="s">
        <v>57</v>
      </c>
      <c r="O193" s="1">
        <v>45994</v>
      </c>
      <c r="Q193" s="1">
        <v>46025</v>
      </c>
      <c r="R193" s="2">
        <v>34</v>
      </c>
      <c r="S193">
        <v>1</v>
      </c>
      <c r="T193" t="s">
        <v>58</v>
      </c>
      <c r="U193" t="s">
        <v>105</v>
      </c>
      <c r="V193" s="4">
        <v>0.7</v>
      </c>
      <c r="W193" s="2">
        <v>0</v>
      </c>
      <c r="X193">
        <v>0</v>
      </c>
      <c r="Y193" t="s">
        <v>83</v>
      </c>
      <c r="Z193" t="s">
        <v>221</v>
      </c>
      <c r="AA193">
        <v>6</v>
      </c>
      <c r="AB193" s="2">
        <v>142.80000000000001</v>
      </c>
      <c r="AC193" s="2">
        <v>0</v>
      </c>
      <c r="AD193" s="4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23.8</v>
      </c>
      <c r="AM193" s="2">
        <v>0</v>
      </c>
      <c r="AN193" s="2">
        <v>142.80000000000001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45999</v>
      </c>
      <c r="B194" t="s">
        <v>48</v>
      </c>
      <c r="C194">
        <v>649163</v>
      </c>
      <c r="D194">
        <v>2032469958</v>
      </c>
      <c r="E194" t="s">
        <v>432</v>
      </c>
      <c r="F194" t="s">
        <v>433</v>
      </c>
      <c r="G194" t="s">
        <v>51</v>
      </c>
      <c r="H194" t="s">
        <v>267</v>
      </c>
      <c r="I194" t="s">
        <v>126</v>
      </c>
      <c r="J194" t="s">
        <v>164</v>
      </c>
      <c r="K194">
        <v>822733</v>
      </c>
      <c r="L194" t="s">
        <v>224</v>
      </c>
      <c r="M194" t="s">
        <v>225</v>
      </c>
      <c r="N194" t="s">
        <v>57</v>
      </c>
      <c r="O194" s="1">
        <v>45994</v>
      </c>
      <c r="Q194" s="1">
        <v>46025</v>
      </c>
      <c r="R194" s="2">
        <v>25.73</v>
      </c>
      <c r="S194">
        <v>1</v>
      </c>
      <c r="T194" t="s">
        <v>58</v>
      </c>
      <c r="U194" t="s">
        <v>105</v>
      </c>
      <c r="V194" s="4">
        <v>0.7</v>
      </c>
      <c r="W194" s="2">
        <v>0</v>
      </c>
      <c r="X194">
        <v>0</v>
      </c>
      <c r="Y194" t="s">
        <v>83</v>
      </c>
      <c r="Z194" t="s">
        <v>221</v>
      </c>
      <c r="AA194">
        <v>6</v>
      </c>
      <c r="AB194" s="2">
        <v>108.06</v>
      </c>
      <c r="AC194" s="2">
        <v>0</v>
      </c>
      <c r="AD194" s="4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18.010000000000002</v>
      </c>
      <c r="AM194" s="2">
        <v>0</v>
      </c>
      <c r="AN194" s="2">
        <v>108.06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45999</v>
      </c>
      <c r="B195" t="s">
        <v>48</v>
      </c>
      <c r="C195">
        <v>649163</v>
      </c>
      <c r="D195">
        <v>2032469960</v>
      </c>
      <c r="E195" t="s">
        <v>432</v>
      </c>
      <c r="F195" t="s">
        <v>433</v>
      </c>
      <c r="G195" t="s">
        <v>51</v>
      </c>
      <c r="H195" t="s">
        <v>267</v>
      </c>
      <c r="I195" t="s">
        <v>126</v>
      </c>
      <c r="J195" t="s">
        <v>402</v>
      </c>
      <c r="K195">
        <v>822733</v>
      </c>
      <c r="L195" t="s">
        <v>224</v>
      </c>
      <c r="M195" t="s">
        <v>225</v>
      </c>
      <c r="N195" t="s">
        <v>57</v>
      </c>
      <c r="O195" s="1">
        <v>45994</v>
      </c>
      <c r="Q195" s="1">
        <v>46025</v>
      </c>
      <c r="R195" s="2">
        <v>30.09</v>
      </c>
      <c r="S195">
        <v>1</v>
      </c>
      <c r="T195" t="s">
        <v>58</v>
      </c>
      <c r="U195" t="s">
        <v>105</v>
      </c>
      <c r="V195" s="4">
        <v>0.42</v>
      </c>
      <c r="W195" s="2">
        <v>0</v>
      </c>
      <c r="X195">
        <v>0</v>
      </c>
      <c r="Y195" t="s">
        <v>83</v>
      </c>
      <c r="Z195" t="s">
        <v>221</v>
      </c>
      <c r="AA195">
        <v>6</v>
      </c>
      <c r="AB195" s="2">
        <v>75.84</v>
      </c>
      <c r="AC195" s="2">
        <v>0</v>
      </c>
      <c r="AD195" s="4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12.64</v>
      </c>
      <c r="AM195" s="2">
        <v>0</v>
      </c>
      <c r="AN195" s="2">
        <v>75.84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45999</v>
      </c>
      <c r="B196" t="s">
        <v>48</v>
      </c>
      <c r="C196">
        <v>649163</v>
      </c>
      <c r="D196">
        <v>2032470587</v>
      </c>
      <c r="E196" t="s">
        <v>137</v>
      </c>
      <c r="F196" t="s">
        <v>434</v>
      </c>
      <c r="G196" t="s">
        <v>51</v>
      </c>
      <c r="H196" t="s">
        <v>102</v>
      </c>
      <c r="I196" t="s">
        <v>126</v>
      </c>
      <c r="J196" t="s">
        <v>132</v>
      </c>
      <c r="K196">
        <v>893408</v>
      </c>
      <c r="L196" t="s">
        <v>329</v>
      </c>
      <c r="M196" t="s">
        <v>330</v>
      </c>
      <c r="N196" t="s">
        <v>57</v>
      </c>
      <c r="O196" s="1">
        <v>45994</v>
      </c>
      <c r="Q196" s="1">
        <v>46025</v>
      </c>
      <c r="R196" s="2">
        <v>121.06</v>
      </c>
      <c r="S196">
        <v>1</v>
      </c>
      <c r="T196" t="s">
        <v>58</v>
      </c>
      <c r="U196" t="s">
        <v>105</v>
      </c>
      <c r="V196" s="4">
        <v>0.7</v>
      </c>
      <c r="W196" s="2">
        <v>0</v>
      </c>
      <c r="X196">
        <v>0</v>
      </c>
      <c r="Y196" t="s">
        <v>83</v>
      </c>
      <c r="Z196" t="s">
        <v>221</v>
      </c>
      <c r="AA196">
        <v>6</v>
      </c>
      <c r="AB196" s="2">
        <v>508.44</v>
      </c>
      <c r="AC196" s="2">
        <v>0</v>
      </c>
      <c r="AD196" s="4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84.74</v>
      </c>
      <c r="AM196" s="2">
        <v>0</v>
      </c>
      <c r="AN196" s="2">
        <v>508.44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45999</v>
      </c>
      <c r="B197" t="s">
        <v>48</v>
      </c>
      <c r="C197">
        <v>649163</v>
      </c>
      <c r="D197">
        <v>2032471094</v>
      </c>
      <c r="E197" t="s">
        <v>345</v>
      </c>
      <c r="F197" t="s">
        <v>346</v>
      </c>
      <c r="G197" t="s">
        <v>51</v>
      </c>
      <c r="H197" t="s">
        <v>102</v>
      </c>
      <c r="I197" t="s">
        <v>126</v>
      </c>
      <c r="J197" t="s">
        <v>132</v>
      </c>
      <c r="K197">
        <v>806645</v>
      </c>
      <c r="L197" t="s">
        <v>98</v>
      </c>
      <c r="M197" t="s">
        <v>99</v>
      </c>
      <c r="N197" t="s">
        <v>57</v>
      </c>
      <c r="O197" s="1">
        <v>46023</v>
      </c>
      <c r="Q197" s="1">
        <v>46054</v>
      </c>
      <c r="R197" s="2">
        <v>269.38</v>
      </c>
      <c r="S197">
        <v>1</v>
      </c>
      <c r="T197" t="s">
        <v>58</v>
      </c>
      <c r="U197" t="s">
        <v>105</v>
      </c>
      <c r="V197" s="4">
        <v>0.7</v>
      </c>
      <c r="W197" s="2">
        <v>0</v>
      </c>
      <c r="X197">
        <v>0</v>
      </c>
      <c r="Y197" t="s">
        <v>83</v>
      </c>
      <c r="Z197" t="s">
        <v>221</v>
      </c>
      <c r="AA197">
        <v>6</v>
      </c>
      <c r="AB197" s="2">
        <v>1131.42</v>
      </c>
      <c r="AC197" s="2">
        <v>0</v>
      </c>
      <c r="AD197" s="4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188.57</v>
      </c>
      <c r="AM197" s="2">
        <v>0</v>
      </c>
      <c r="AN197" s="2">
        <v>1131.42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45999</v>
      </c>
      <c r="B198" t="s">
        <v>48</v>
      </c>
      <c r="C198">
        <v>649163</v>
      </c>
      <c r="D198">
        <v>2032474627</v>
      </c>
      <c r="E198" t="s">
        <v>435</v>
      </c>
      <c r="F198" t="s">
        <v>421</v>
      </c>
      <c r="G198" t="s">
        <v>51</v>
      </c>
      <c r="H198" t="s">
        <v>102</v>
      </c>
      <c r="I198" t="s">
        <v>126</v>
      </c>
      <c r="J198" t="s">
        <v>132</v>
      </c>
      <c r="K198">
        <v>673059</v>
      </c>
      <c r="L198" t="s">
        <v>81</v>
      </c>
      <c r="M198" t="s">
        <v>82</v>
      </c>
      <c r="N198" t="s">
        <v>57</v>
      </c>
      <c r="O198" s="1">
        <v>46023</v>
      </c>
      <c r="Q198" s="1">
        <v>46054</v>
      </c>
      <c r="R198" s="2">
        <v>118</v>
      </c>
      <c r="S198">
        <v>1</v>
      </c>
      <c r="T198" t="s">
        <v>58</v>
      </c>
      <c r="U198" t="s">
        <v>105</v>
      </c>
      <c r="V198" s="4">
        <v>0.7</v>
      </c>
      <c r="W198" s="2">
        <v>0</v>
      </c>
      <c r="X198">
        <v>0</v>
      </c>
      <c r="Y198" t="s">
        <v>83</v>
      </c>
      <c r="Z198" t="s">
        <v>221</v>
      </c>
      <c r="AA198">
        <v>6</v>
      </c>
      <c r="AB198" s="2">
        <v>495.6</v>
      </c>
      <c r="AC198" s="2">
        <v>0</v>
      </c>
      <c r="AD198" s="4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82.6</v>
      </c>
      <c r="AM198" s="2">
        <v>0</v>
      </c>
      <c r="AN198" s="2">
        <v>495.6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45999</v>
      </c>
      <c r="B199" t="s">
        <v>48</v>
      </c>
      <c r="C199">
        <v>649163</v>
      </c>
      <c r="D199">
        <v>2032476390</v>
      </c>
      <c r="E199" t="s">
        <v>347</v>
      </c>
      <c r="F199" t="s">
        <v>348</v>
      </c>
      <c r="G199" t="s">
        <v>51</v>
      </c>
      <c r="H199" t="s">
        <v>308</v>
      </c>
      <c r="I199" t="s">
        <v>126</v>
      </c>
      <c r="J199" t="s">
        <v>132</v>
      </c>
      <c r="K199">
        <v>877790</v>
      </c>
      <c r="L199" t="s">
        <v>310</v>
      </c>
      <c r="M199" t="s">
        <v>311</v>
      </c>
      <c r="N199" t="s">
        <v>57</v>
      </c>
      <c r="O199" s="1">
        <v>45995</v>
      </c>
      <c r="Q199" s="1">
        <v>46026</v>
      </c>
      <c r="R199" s="2">
        <v>10.18</v>
      </c>
      <c r="S199">
        <v>1</v>
      </c>
      <c r="T199" t="s">
        <v>58</v>
      </c>
      <c r="U199" t="s">
        <v>105</v>
      </c>
      <c r="V199" s="4">
        <v>0.7</v>
      </c>
      <c r="W199" s="2">
        <v>0</v>
      </c>
      <c r="X199">
        <v>0</v>
      </c>
      <c r="Y199" t="s">
        <v>83</v>
      </c>
      <c r="Z199" t="s">
        <v>221</v>
      </c>
      <c r="AA199">
        <v>6</v>
      </c>
      <c r="AB199" s="2">
        <v>42.78</v>
      </c>
      <c r="AC199" s="2">
        <v>0</v>
      </c>
      <c r="AD199" s="4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7.13</v>
      </c>
      <c r="AM199" s="2">
        <v>0</v>
      </c>
      <c r="AN199" s="2">
        <v>42.78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45999</v>
      </c>
      <c r="B200" t="s">
        <v>48</v>
      </c>
      <c r="C200">
        <v>649163</v>
      </c>
      <c r="D200">
        <v>2032477986</v>
      </c>
      <c r="E200" t="s">
        <v>436</v>
      </c>
      <c r="F200" t="s">
        <v>437</v>
      </c>
      <c r="G200" t="s">
        <v>51</v>
      </c>
      <c r="H200" t="s">
        <v>163</v>
      </c>
      <c r="I200" t="s">
        <v>126</v>
      </c>
      <c r="J200" t="s">
        <v>164</v>
      </c>
      <c r="K200">
        <v>652037</v>
      </c>
      <c r="L200" t="s">
        <v>235</v>
      </c>
      <c r="M200" t="s">
        <v>438</v>
      </c>
      <c r="N200" t="s">
        <v>57</v>
      </c>
      <c r="O200" s="1">
        <v>45995</v>
      </c>
      <c r="Q200" s="1">
        <v>46026</v>
      </c>
      <c r="R200" s="2">
        <v>24.61</v>
      </c>
      <c r="S200">
        <v>1</v>
      </c>
      <c r="T200" t="s">
        <v>58</v>
      </c>
      <c r="U200" t="s">
        <v>105</v>
      </c>
      <c r="V200" s="4">
        <v>0.7</v>
      </c>
      <c r="W200" s="2">
        <v>0</v>
      </c>
      <c r="X200">
        <v>0</v>
      </c>
      <c r="Y200" t="s">
        <v>83</v>
      </c>
      <c r="Z200" t="s">
        <v>221</v>
      </c>
      <c r="AA200">
        <v>6</v>
      </c>
      <c r="AB200" s="2">
        <v>103.38</v>
      </c>
      <c r="AC200" s="2">
        <v>0</v>
      </c>
      <c r="AD200" s="4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17.23</v>
      </c>
      <c r="AM200" s="2">
        <v>0</v>
      </c>
      <c r="AN200" s="2">
        <v>103.38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45999</v>
      </c>
      <c r="B201" t="s">
        <v>48</v>
      </c>
      <c r="C201">
        <v>649163</v>
      </c>
      <c r="D201">
        <v>2032478163</v>
      </c>
      <c r="E201" t="s">
        <v>439</v>
      </c>
      <c r="F201" t="s">
        <v>233</v>
      </c>
      <c r="G201" t="s">
        <v>51</v>
      </c>
      <c r="H201" t="s">
        <v>125</v>
      </c>
      <c r="I201" t="s">
        <v>126</v>
      </c>
      <c r="J201" t="s">
        <v>132</v>
      </c>
      <c r="K201">
        <v>673059</v>
      </c>
      <c r="L201" t="s">
        <v>81</v>
      </c>
      <c r="M201" t="s">
        <v>82</v>
      </c>
      <c r="N201" t="s">
        <v>57</v>
      </c>
      <c r="O201" s="1">
        <v>46023</v>
      </c>
      <c r="Q201" s="1">
        <v>46054</v>
      </c>
      <c r="R201" s="2">
        <v>27.21</v>
      </c>
      <c r="S201">
        <v>1</v>
      </c>
      <c r="T201" t="s">
        <v>58</v>
      </c>
      <c r="U201" t="s">
        <v>105</v>
      </c>
      <c r="V201" s="4">
        <v>0.7</v>
      </c>
      <c r="W201" s="2">
        <v>0</v>
      </c>
      <c r="X201">
        <v>0</v>
      </c>
      <c r="Y201" t="s">
        <v>83</v>
      </c>
      <c r="Z201" t="s">
        <v>221</v>
      </c>
      <c r="AA201">
        <v>6</v>
      </c>
      <c r="AB201" s="2">
        <v>114.3</v>
      </c>
      <c r="AC201" s="2">
        <v>0</v>
      </c>
      <c r="AD201" s="4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19.05</v>
      </c>
      <c r="AM201" s="2">
        <v>0</v>
      </c>
      <c r="AN201" s="2">
        <v>114.3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45999</v>
      </c>
      <c r="B202" t="s">
        <v>48</v>
      </c>
      <c r="C202">
        <v>649163</v>
      </c>
      <c r="D202">
        <v>2032480158</v>
      </c>
      <c r="E202" t="s">
        <v>349</v>
      </c>
      <c r="F202" t="s">
        <v>350</v>
      </c>
      <c r="G202" t="s">
        <v>51</v>
      </c>
      <c r="H202" t="s">
        <v>102</v>
      </c>
      <c r="I202" t="s">
        <v>126</v>
      </c>
      <c r="J202" t="s">
        <v>132</v>
      </c>
      <c r="K202">
        <v>824062</v>
      </c>
      <c r="L202" t="s">
        <v>261</v>
      </c>
      <c r="M202" t="s">
        <v>262</v>
      </c>
      <c r="N202" t="s">
        <v>57</v>
      </c>
      <c r="O202" s="1">
        <v>46023</v>
      </c>
      <c r="Q202" s="1">
        <v>46054</v>
      </c>
      <c r="R202" s="2">
        <v>22</v>
      </c>
      <c r="S202">
        <v>1</v>
      </c>
      <c r="T202" t="s">
        <v>58</v>
      </c>
      <c r="U202" t="s">
        <v>105</v>
      </c>
      <c r="V202" s="4">
        <v>0.7</v>
      </c>
      <c r="W202" s="2">
        <v>0</v>
      </c>
      <c r="X202">
        <v>0</v>
      </c>
      <c r="Y202" t="s">
        <v>83</v>
      </c>
      <c r="Z202" t="s">
        <v>221</v>
      </c>
      <c r="AA202">
        <v>6</v>
      </c>
      <c r="AB202" s="2">
        <v>92.4</v>
      </c>
      <c r="AC202" s="2">
        <v>0</v>
      </c>
      <c r="AD202" s="4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15.4</v>
      </c>
      <c r="AM202" s="2">
        <v>0</v>
      </c>
      <c r="AN202" s="2">
        <v>92.4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45999</v>
      </c>
      <c r="B203" t="s">
        <v>48</v>
      </c>
      <c r="C203">
        <v>649163</v>
      </c>
      <c r="D203">
        <v>2032480604</v>
      </c>
      <c r="E203" t="s">
        <v>268</v>
      </c>
      <c r="F203" t="s">
        <v>260</v>
      </c>
      <c r="G203" t="s">
        <v>51</v>
      </c>
      <c r="H203" t="s">
        <v>163</v>
      </c>
      <c r="I203" t="s">
        <v>126</v>
      </c>
      <c r="J203" t="s">
        <v>164</v>
      </c>
      <c r="K203">
        <v>823068</v>
      </c>
      <c r="L203" t="s">
        <v>165</v>
      </c>
      <c r="M203" t="s">
        <v>166</v>
      </c>
      <c r="N203" t="s">
        <v>57</v>
      </c>
      <c r="O203" s="1">
        <v>45995</v>
      </c>
      <c r="Q203" s="1">
        <v>46026</v>
      </c>
      <c r="R203" s="2">
        <v>24.61</v>
      </c>
      <c r="S203">
        <v>1</v>
      </c>
      <c r="T203" t="s">
        <v>58</v>
      </c>
      <c r="U203" t="s">
        <v>105</v>
      </c>
      <c r="V203" s="4">
        <v>0.7</v>
      </c>
      <c r="W203" s="2">
        <v>0</v>
      </c>
      <c r="X203">
        <v>0</v>
      </c>
      <c r="Y203" t="s">
        <v>83</v>
      </c>
      <c r="Z203" t="s">
        <v>221</v>
      </c>
      <c r="AA203">
        <v>6</v>
      </c>
      <c r="AB203" s="2">
        <v>103.38</v>
      </c>
      <c r="AC203" s="2">
        <v>0</v>
      </c>
      <c r="AD203" s="4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17.23</v>
      </c>
      <c r="AM203" s="2">
        <v>0</v>
      </c>
      <c r="AN203" s="2">
        <v>103.38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45999</v>
      </c>
      <c r="B204" t="s">
        <v>48</v>
      </c>
      <c r="C204">
        <v>649163</v>
      </c>
      <c r="D204">
        <v>2032480606</v>
      </c>
      <c r="E204" t="s">
        <v>268</v>
      </c>
      <c r="F204" t="s">
        <v>260</v>
      </c>
      <c r="G204" t="s">
        <v>51</v>
      </c>
      <c r="H204" t="s">
        <v>163</v>
      </c>
      <c r="I204" t="s">
        <v>126</v>
      </c>
      <c r="J204" t="s">
        <v>402</v>
      </c>
      <c r="K204">
        <v>823068</v>
      </c>
      <c r="L204" t="s">
        <v>165</v>
      </c>
      <c r="M204" t="s">
        <v>166</v>
      </c>
      <c r="N204" t="s">
        <v>57</v>
      </c>
      <c r="O204" s="1">
        <v>45995</v>
      </c>
      <c r="Q204" s="1">
        <v>46026</v>
      </c>
      <c r="R204" s="2">
        <v>38.85</v>
      </c>
      <c r="S204">
        <v>1</v>
      </c>
      <c r="T204" t="s">
        <v>58</v>
      </c>
      <c r="U204" t="s">
        <v>105</v>
      </c>
      <c r="V204" s="4">
        <v>0.42</v>
      </c>
      <c r="W204" s="2">
        <v>0</v>
      </c>
      <c r="X204">
        <v>0</v>
      </c>
      <c r="Y204" t="s">
        <v>83</v>
      </c>
      <c r="Z204" t="s">
        <v>221</v>
      </c>
      <c r="AA204">
        <v>6</v>
      </c>
      <c r="AB204" s="2">
        <v>97.92</v>
      </c>
      <c r="AC204" s="2">
        <v>0</v>
      </c>
      <c r="AD204" s="4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16.32</v>
      </c>
      <c r="AM204" s="2">
        <v>0</v>
      </c>
      <c r="AN204" s="2">
        <v>97.92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45999</v>
      </c>
      <c r="B205" t="s">
        <v>48</v>
      </c>
      <c r="C205">
        <v>649163</v>
      </c>
      <c r="D205">
        <v>2032486187</v>
      </c>
      <c r="E205" t="s">
        <v>271</v>
      </c>
      <c r="F205" t="s">
        <v>272</v>
      </c>
      <c r="G205" t="s">
        <v>51</v>
      </c>
      <c r="H205" t="s">
        <v>79</v>
      </c>
      <c r="I205" t="s">
        <v>126</v>
      </c>
      <c r="J205" t="s">
        <v>132</v>
      </c>
      <c r="K205">
        <v>673059</v>
      </c>
      <c r="L205" t="s">
        <v>81</v>
      </c>
      <c r="M205" t="s">
        <v>82</v>
      </c>
      <c r="N205" t="s">
        <v>57</v>
      </c>
      <c r="O205" s="1">
        <v>46023</v>
      </c>
      <c r="Q205" s="1">
        <v>46054</v>
      </c>
      <c r="R205" s="2">
        <v>85.36</v>
      </c>
      <c r="S205">
        <v>1</v>
      </c>
      <c r="T205" t="s">
        <v>58</v>
      </c>
      <c r="U205" t="s">
        <v>105</v>
      </c>
      <c r="V205" s="4">
        <v>0.7</v>
      </c>
      <c r="W205" s="2">
        <v>0</v>
      </c>
      <c r="X205">
        <v>0</v>
      </c>
      <c r="Y205" t="s">
        <v>83</v>
      </c>
      <c r="Z205" t="s">
        <v>221</v>
      </c>
      <c r="AA205">
        <v>6</v>
      </c>
      <c r="AB205" s="2">
        <v>358.5</v>
      </c>
      <c r="AC205" s="2">
        <v>0</v>
      </c>
      <c r="AD205" s="4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59.75</v>
      </c>
      <c r="AM205" s="2">
        <v>0</v>
      </c>
      <c r="AN205" s="2">
        <v>358.5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45999</v>
      </c>
      <c r="B206" t="s">
        <v>48</v>
      </c>
      <c r="C206">
        <v>649163</v>
      </c>
      <c r="D206">
        <v>2032487879</v>
      </c>
      <c r="E206" t="s">
        <v>440</v>
      </c>
      <c r="F206" t="s">
        <v>393</v>
      </c>
      <c r="G206" t="s">
        <v>51</v>
      </c>
      <c r="H206" t="s">
        <v>383</v>
      </c>
      <c r="I206" t="s">
        <v>126</v>
      </c>
      <c r="J206" t="s">
        <v>132</v>
      </c>
      <c r="K206">
        <v>839554</v>
      </c>
      <c r="L206" t="s">
        <v>441</v>
      </c>
      <c r="M206" t="s">
        <v>442</v>
      </c>
      <c r="N206" t="s">
        <v>57</v>
      </c>
      <c r="O206" s="1">
        <v>45995</v>
      </c>
      <c r="Q206" s="1">
        <v>46026</v>
      </c>
      <c r="R206" s="2">
        <v>36.58</v>
      </c>
      <c r="S206">
        <v>1</v>
      </c>
      <c r="T206" t="s">
        <v>58</v>
      </c>
      <c r="U206" t="s">
        <v>105</v>
      </c>
      <c r="V206" s="4">
        <v>0.7</v>
      </c>
      <c r="W206" s="2">
        <v>0</v>
      </c>
      <c r="X206">
        <v>0</v>
      </c>
      <c r="Y206" t="s">
        <v>83</v>
      </c>
      <c r="Z206" t="s">
        <v>221</v>
      </c>
      <c r="AA206">
        <v>6</v>
      </c>
      <c r="AB206" s="2">
        <v>153.66</v>
      </c>
      <c r="AC206" s="2">
        <v>0</v>
      </c>
      <c r="AD206" s="4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25.61</v>
      </c>
      <c r="AM206" s="2">
        <v>0</v>
      </c>
      <c r="AN206" s="2">
        <v>153.66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45999</v>
      </c>
      <c r="B207" t="s">
        <v>48</v>
      </c>
      <c r="C207">
        <v>649163</v>
      </c>
      <c r="D207">
        <v>2032489609</v>
      </c>
      <c r="E207" t="s">
        <v>351</v>
      </c>
      <c r="F207" t="s">
        <v>352</v>
      </c>
      <c r="G207" t="s">
        <v>51</v>
      </c>
      <c r="H207" t="s">
        <v>102</v>
      </c>
      <c r="I207" t="s">
        <v>126</v>
      </c>
      <c r="J207" t="s">
        <v>132</v>
      </c>
      <c r="K207">
        <v>884312</v>
      </c>
      <c r="L207" t="s">
        <v>353</v>
      </c>
      <c r="M207" t="s">
        <v>354</v>
      </c>
      <c r="N207" t="s">
        <v>57</v>
      </c>
      <c r="O207" s="1">
        <v>45999</v>
      </c>
      <c r="Q207" s="1">
        <v>46030</v>
      </c>
      <c r="R207" s="2">
        <v>41.29</v>
      </c>
      <c r="S207">
        <v>1</v>
      </c>
      <c r="T207" t="s">
        <v>58</v>
      </c>
      <c r="U207" t="s">
        <v>105</v>
      </c>
      <c r="V207" s="4">
        <v>0.7</v>
      </c>
      <c r="W207" s="2">
        <v>0</v>
      </c>
      <c r="X207">
        <v>0</v>
      </c>
      <c r="Y207" t="s">
        <v>83</v>
      </c>
      <c r="Z207" t="s">
        <v>221</v>
      </c>
      <c r="AA207">
        <v>6</v>
      </c>
      <c r="AB207" s="2">
        <v>173.4</v>
      </c>
      <c r="AC207" s="2">
        <v>0</v>
      </c>
      <c r="AD207" s="4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28.9</v>
      </c>
      <c r="AM207" s="2">
        <v>0</v>
      </c>
      <c r="AN207" s="2">
        <v>173.4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45999</v>
      </c>
      <c r="B208" t="s">
        <v>48</v>
      </c>
      <c r="C208">
        <v>649163</v>
      </c>
      <c r="D208">
        <v>2032490377</v>
      </c>
      <c r="E208" t="s">
        <v>273</v>
      </c>
      <c r="F208" t="s">
        <v>96</v>
      </c>
      <c r="G208" t="s">
        <v>51</v>
      </c>
      <c r="H208" t="s">
        <v>131</v>
      </c>
      <c r="I208" t="s">
        <v>126</v>
      </c>
      <c r="J208" t="s">
        <v>132</v>
      </c>
      <c r="K208">
        <v>673059</v>
      </c>
      <c r="L208" t="s">
        <v>81</v>
      </c>
      <c r="M208" t="s">
        <v>82</v>
      </c>
      <c r="N208" t="s">
        <v>57</v>
      </c>
      <c r="O208" s="1">
        <v>46023</v>
      </c>
      <c r="Q208" s="1">
        <v>46054</v>
      </c>
      <c r="R208" s="2">
        <v>23.25</v>
      </c>
      <c r="S208">
        <v>1</v>
      </c>
      <c r="T208" t="s">
        <v>58</v>
      </c>
      <c r="U208" t="s">
        <v>105</v>
      </c>
      <c r="V208" s="4">
        <v>0.7</v>
      </c>
      <c r="W208" s="2">
        <v>0</v>
      </c>
      <c r="X208">
        <v>0</v>
      </c>
      <c r="Y208" t="s">
        <v>83</v>
      </c>
      <c r="Z208" t="s">
        <v>221</v>
      </c>
      <c r="AA208">
        <v>6</v>
      </c>
      <c r="AB208" s="2">
        <v>97.68</v>
      </c>
      <c r="AC208" s="2">
        <v>0</v>
      </c>
      <c r="AD208" s="4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16.28</v>
      </c>
      <c r="AM208" s="2">
        <v>0</v>
      </c>
      <c r="AN208" s="2">
        <v>97.68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45999</v>
      </c>
      <c r="B209" t="s">
        <v>48</v>
      </c>
      <c r="C209">
        <v>649163</v>
      </c>
      <c r="D209">
        <v>2032490526</v>
      </c>
      <c r="E209" t="s">
        <v>355</v>
      </c>
      <c r="F209" t="s">
        <v>194</v>
      </c>
      <c r="G209" t="s">
        <v>51</v>
      </c>
      <c r="H209" t="s">
        <v>102</v>
      </c>
      <c r="I209" t="s">
        <v>126</v>
      </c>
      <c r="J209" t="s">
        <v>132</v>
      </c>
      <c r="K209">
        <v>814033</v>
      </c>
      <c r="L209" t="s">
        <v>284</v>
      </c>
      <c r="M209" t="s">
        <v>285</v>
      </c>
      <c r="N209" t="s">
        <v>57</v>
      </c>
      <c r="O209" s="1">
        <v>46023</v>
      </c>
      <c r="Q209" s="1">
        <v>46054</v>
      </c>
      <c r="R209" s="2">
        <v>95.54</v>
      </c>
      <c r="S209">
        <v>1</v>
      </c>
      <c r="T209" t="s">
        <v>58</v>
      </c>
      <c r="U209" t="s">
        <v>105</v>
      </c>
      <c r="V209" s="4">
        <v>0.7</v>
      </c>
      <c r="W209" s="2">
        <v>0</v>
      </c>
      <c r="X209">
        <v>0</v>
      </c>
      <c r="Y209" t="s">
        <v>83</v>
      </c>
      <c r="Z209" t="s">
        <v>221</v>
      </c>
      <c r="AA209">
        <v>6</v>
      </c>
      <c r="AB209" s="2">
        <v>401.28</v>
      </c>
      <c r="AC209" s="2">
        <v>0</v>
      </c>
      <c r="AD209" s="4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66.88</v>
      </c>
      <c r="AM209" s="2">
        <v>0</v>
      </c>
      <c r="AN209" s="2">
        <v>401.28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45999</v>
      </c>
      <c r="B210" t="s">
        <v>48</v>
      </c>
      <c r="C210">
        <v>649163</v>
      </c>
      <c r="D210">
        <v>2032495031</v>
      </c>
      <c r="E210" t="s">
        <v>443</v>
      </c>
      <c r="F210" t="s">
        <v>444</v>
      </c>
      <c r="G210" t="s">
        <v>51</v>
      </c>
      <c r="H210" t="s">
        <v>97</v>
      </c>
      <c r="I210" t="s">
        <v>126</v>
      </c>
      <c r="J210" t="s">
        <v>375</v>
      </c>
      <c r="K210">
        <v>767312</v>
      </c>
      <c r="L210" t="s">
        <v>138</v>
      </c>
      <c r="M210" t="s">
        <v>107</v>
      </c>
      <c r="N210" t="s">
        <v>57</v>
      </c>
      <c r="O210" s="1">
        <v>45995</v>
      </c>
      <c r="Q210" s="1">
        <v>46026</v>
      </c>
      <c r="R210" s="2">
        <v>68.42</v>
      </c>
      <c r="S210">
        <v>1</v>
      </c>
      <c r="T210" t="s">
        <v>58</v>
      </c>
      <c r="U210" t="s">
        <v>105</v>
      </c>
      <c r="V210" s="4">
        <v>0.9</v>
      </c>
      <c r="W210" s="2">
        <v>0</v>
      </c>
      <c r="X210">
        <v>0</v>
      </c>
      <c r="Y210" t="s">
        <v>83</v>
      </c>
      <c r="Z210" t="s">
        <v>221</v>
      </c>
      <c r="AA210">
        <v>6</v>
      </c>
      <c r="AB210" s="2">
        <v>369.48</v>
      </c>
      <c r="AC210" s="2">
        <v>0</v>
      </c>
      <c r="AD210" s="4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61.58</v>
      </c>
      <c r="AM210" s="2">
        <v>0</v>
      </c>
      <c r="AN210" s="2">
        <v>369.48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45999</v>
      </c>
      <c r="B211" t="s">
        <v>48</v>
      </c>
      <c r="C211">
        <v>649163</v>
      </c>
      <c r="D211">
        <v>2032495685</v>
      </c>
      <c r="E211" t="s">
        <v>445</v>
      </c>
      <c r="F211" t="s">
        <v>446</v>
      </c>
      <c r="G211" t="s">
        <v>51</v>
      </c>
      <c r="H211" t="s">
        <v>447</v>
      </c>
      <c r="I211" t="s">
        <v>126</v>
      </c>
      <c r="J211" t="s">
        <v>132</v>
      </c>
      <c r="K211">
        <v>867497</v>
      </c>
      <c r="L211" t="s">
        <v>448</v>
      </c>
      <c r="M211" t="s">
        <v>449</v>
      </c>
      <c r="N211" t="s">
        <v>57</v>
      </c>
      <c r="O211" s="1">
        <v>45995</v>
      </c>
      <c r="Q211" s="1">
        <v>46026</v>
      </c>
      <c r="R211" s="2">
        <v>95.86</v>
      </c>
      <c r="S211">
        <v>1</v>
      </c>
      <c r="T211" t="s">
        <v>58</v>
      </c>
      <c r="U211" t="s">
        <v>105</v>
      </c>
      <c r="V211" s="4">
        <v>0.7</v>
      </c>
      <c r="W211" s="2">
        <v>0</v>
      </c>
      <c r="X211">
        <v>0</v>
      </c>
      <c r="Y211" t="s">
        <v>83</v>
      </c>
      <c r="Z211" t="s">
        <v>221</v>
      </c>
      <c r="AA211">
        <v>6</v>
      </c>
      <c r="AB211" s="2">
        <v>402.6</v>
      </c>
      <c r="AC211" s="2">
        <v>0</v>
      </c>
      <c r="AD211" s="4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67.099999999999994</v>
      </c>
      <c r="AM211" s="2">
        <v>0</v>
      </c>
      <c r="AN211" s="2">
        <v>402.6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45999</v>
      </c>
      <c r="B212" t="s">
        <v>48</v>
      </c>
      <c r="C212">
        <v>649163</v>
      </c>
      <c r="D212">
        <v>2032496246</v>
      </c>
      <c r="E212" t="s">
        <v>450</v>
      </c>
      <c r="F212" t="s">
        <v>451</v>
      </c>
      <c r="G212" t="s">
        <v>51</v>
      </c>
      <c r="H212" t="s">
        <v>97</v>
      </c>
      <c r="I212" t="s">
        <v>126</v>
      </c>
      <c r="J212" t="s">
        <v>132</v>
      </c>
      <c r="K212">
        <v>806645</v>
      </c>
      <c r="L212" t="s">
        <v>98</v>
      </c>
      <c r="M212" t="s">
        <v>99</v>
      </c>
      <c r="N212" t="s">
        <v>57</v>
      </c>
      <c r="O212" s="1">
        <v>46023</v>
      </c>
      <c r="Q212" s="1">
        <v>46054</v>
      </c>
      <c r="R212" s="2">
        <v>60.4</v>
      </c>
      <c r="S212">
        <v>1</v>
      </c>
      <c r="T212" t="s">
        <v>58</v>
      </c>
      <c r="U212" t="s">
        <v>105</v>
      </c>
      <c r="V212" s="4">
        <v>0.7</v>
      </c>
      <c r="W212" s="2">
        <v>0</v>
      </c>
      <c r="X212">
        <v>0</v>
      </c>
      <c r="Y212" t="s">
        <v>83</v>
      </c>
      <c r="Z212" t="s">
        <v>221</v>
      </c>
      <c r="AA212">
        <v>6</v>
      </c>
      <c r="AB212" s="2">
        <v>253.68</v>
      </c>
      <c r="AC212" s="2">
        <v>0</v>
      </c>
      <c r="AD212" s="4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42.28</v>
      </c>
      <c r="AM212" s="2">
        <v>0</v>
      </c>
      <c r="AN212" s="2">
        <v>253.68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45999</v>
      </c>
      <c r="B213" t="s">
        <v>48</v>
      </c>
      <c r="C213">
        <v>649163</v>
      </c>
      <c r="D213">
        <v>2032496772</v>
      </c>
      <c r="E213" t="s">
        <v>237</v>
      </c>
      <c r="F213" t="s">
        <v>157</v>
      </c>
      <c r="G213" t="s">
        <v>51</v>
      </c>
      <c r="H213" t="s">
        <v>210</v>
      </c>
      <c r="I213" t="s">
        <v>126</v>
      </c>
      <c r="J213" t="s">
        <v>132</v>
      </c>
      <c r="K213">
        <v>673059</v>
      </c>
      <c r="L213" t="s">
        <v>81</v>
      </c>
      <c r="M213" t="s">
        <v>82</v>
      </c>
      <c r="N213" t="s">
        <v>57</v>
      </c>
      <c r="O213" s="1">
        <v>46023</v>
      </c>
      <c r="Q213" s="1">
        <v>46054</v>
      </c>
      <c r="R213" s="2">
        <v>196.02</v>
      </c>
      <c r="S213">
        <v>1</v>
      </c>
      <c r="T213" t="s">
        <v>58</v>
      </c>
      <c r="U213" t="s">
        <v>105</v>
      </c>
      <c r="V213" s="4">
        <v>0.7</v>
      </c>
      <c r="W213" s="2">
        <v>0</v>
      </c>
      <c r="X213">
        <v>0</v>
      </c>
      <c r="Y213" t="s">
        <v>83</v>
      </c>
      <c r="Z213" t="s">
        <v>221</v>
      </c>
      <c r="AA213">
        <v>6</v>
      </c>
      <c r="AB213" s="2">
        <v>823.26</v>
      </c>
      <c r="AC213" s="2">
        <v>0</v>
      </c>
      <c r="AD213" s="4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137.21</v>
      </c>
      <c r="AM213" s="2">
        <v>0</v>
      </c>
      <c r="AN213" s="2">
        <v>823.26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45999</v>
      </c>
      <c r="B214" t="s">
        <v>48</v>
      </c>
      <c r="C214">
        <v>649163</v>
      </c>
      <c r="D214">
        <v>2032512772</v>
      </c>
      <c r="E214" t="s">
        <v>274</v>
      </c>
      <c r="F214" t="s">
        <v>144</v>
      </c>
      <c r="G214" t="s">
        <v>51</v>
      </c>
      <c r="H214" t="s">
        <v>102</v>
      </c>
      <c r="I214" t="s">
        <v>126</v>
      </c>
      <c r="J214" t="s">
        <v>132</v>
      </c>
      <c r="K214">
        <v>812782</v>
      </c>
      <c r="L214" t="s">
        <v>159</v>
      </c>
      <c r="M214" t="s">
        <v>160</v>
      </c>
      <c r="N214" t="s">
        <v>57</v>
      </c>
      <c r="O214" s="1">
        <v>46023</v>
      </c>
      <c r="Q214" s="1">
        <v>46054</v>
      </c>
      <c r="R214" s="2">
        <v>145.41999999999999</v>
      </c>
      <c r="S214">
        <v>1</v>
      </c>
      <c r="T214" t="s">
        <v>58</v>
      </c>
      <c r="U214" t="s">
        <v>105</v>
      </c>
      <c r="V214" s="4">
        <v>0.7</v>
      </c>
      <c r="W214" s="2">
        <v>0</v>
      </c>
      <c r="X214">
        <v>0</v>
      </c>
      <c r="Y214" t="s">
        <v>83</v>
      </c>
      <c r="Z214" t="s">
        <v>221</v>
      </c>
      <c r="AA214">
        <v>6</v>
      </c>
      <c r="AB214" s="2">
        <v>610.74</v>
      </c>
      <c r="AC214" s="2">
        <v>0</v>
      </c>
      <c r="AD214" s="4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101.79</v>
      </c>
      <c r="AM214" s="2">
        <v>0</v>
      </c>
      <c r="AN214" s="2">
        <v>610.74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45999</v>
      </c>
      <c r="B215" t="s">
        <v>48</v>
      </c>
      <c r="C215">
        <v>649163</v>
      </c>
      <c r="D215">
        <v>2032515032</v>
      </c>
      <c r="E215" t="s">
        <v>275</v>
      </c>
      <c r="F215" t="s">
        <v>236</v>
      </c>
      <c r="G215" t="s">
        <v>51</v>
      </c>
      <c r="H215" t="s">
        <v>102</v>
      </c>
      <c r="I215" t="s">
        <v>126</v>
      </c>
      <c r="J215" t="s">
        <v>132</v>
      </c>
      <c r="K215">
        <v>673059</v>
      </c>
      <c r="L215" t="s">
        <v>81</v>
      </c>
      <c r="M215" t="s">
        <v>82</v>
      </c>
      <c r="N215" t="s">
        <v>57</v>
      </c>
      <c r="O215" s="1">
        <v>46023</v>
      </c>
      <c r="Q215" s="1">
        <v>46054</v>
      </c>
      <c r="R215" s="2">
        <v>62.75</v>
      </c>
      <c r="S215">
        <v>1</v>
      </c>
      <c r="T215" t="s">
        <v>58</v>
      </c>
      <c r="U215" t="s">
        <v>105</v>
      </c>
      <c r="V215" s="4">
        <v>0.7</v>
      </c>
      <c r="W215" s="2">
        <v>0</v>
      </c>
      <c r="X215">
        <v>0</v>
      </c>
      <c r="Y215" t="s">
        <v>83</v>
      </c>
      <c r="Z215" t="s">
        <v>221</v>
      </c>
      <c r="AA215">
        <v>6</v>
      </c>
      <c r="AB215" s="2">
        <v>263.52</v>
      </c>
      <c r="AC215" s="2">
        <v>0</v>
      </c>
      <c r="AD215" s="4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43.92</v>
      </c>
      <c r="AM215" s="2">
        <v>0</v>
      </c>
      <c r="AN215" s="2">
        <v>263.52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45999</v>
      </c>
      <c r="B216" t="s">
        <v>48</v>
      </c>
      <c r="C216">
        <v>649163</v>
      </c>
      <c r="D216">
        <v>2032515283</v>
      </c>
      <c r="E216" t="s">
        <v>452</v>
      </c>
      <c r="F216" t="s">
        <v>107</v>
      </c>
      <c r="G216" t="s">
        <v>51</v>
      </c>
      <c r="H216" t="s">
        <v>163</v>
      </c>
      <c r="I216" t="s">
        <v>126</v>
      </c>
      <c r="J216" t="s">
        <v>375</v>
      </c>
      <c r="K216">
        <v>823068</v>
      </c>
      <c r="L216" t="s">
        <v>165</v>
      </c>
      <c r="M216" t="s">
        <v>166</v>
      </c>
      <c r="N216" t="s">
        <v>57</v>
      </c>
      <c r="O216" s="1">
        <v>46023</v>
      </c>
      <c r="Q216" s="1">
        <v>46054</v>
      </c>
      <c r="R216" s="2">
        <v>41.88</v>
      </c>
      <c r="S216">
        <v>1</v>
      </c>
      <c r="T216" t="s">
        <v>58</v>
      </c>
      <c r="U216" t="s">
        <v>105</v>
      </c>
      <c r="V216" s="4">
        <v>0.9</v>
      </c>
      <c r="W216" s="2">
        <v>0</v>
      </c>
      <c r="X216">
        <v>0</v>
      </c>
      <c r="Y216" t="s">
        <v>83</v>
      </c>
      <c r="Z216" t="s">
        <v>221</v>
      </c>
      <c r="AA216">
        <v>6</v>
      </c>
      <c r="AB216" s="2">
        <v>226.14</v>
      </c>
      <c r="AC216" s="2">
        <v>0</v>
      </c>
      <c r="AD216" s="4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37.69</v>
      </c>
      <c r="AM216" s="2">
        <v>0</v>
      </c>
      <c r="AN216" s="2">
        <v>226.14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45999</v>
      </c>
      <c r="B217" t="s">
        <v>48</v>
      </c>
      <c r="C217">
        <v>649163</v>
      </c>
      <c r="D217">
        <v>2032515284</v>
      </c>
      <c r="E217" t="s">
        <v>452</v>
      </c>
      <c r="F217" t="s">
        <v>107</v>
      </c>
      <c r="G217" t="s">
        <v>51</v>
      </c>
      <c r="H217" t="s">
        <v>163</v>
      </c>
      <c r="I217" t="s">
        <v>126</v>
      </c>
      <c r="J217" t="s">
        <v>164</v>
      </c>
      <c r="K217">
        <v>823068</v>
      </c>
      <c r="L217" t="s">
        <v>165</v>
      </c>
      <c r="M217" t="s">
        <v>166</v>
      </c>
      <c r="N217" t="s">
        <v>57</v>
      </c>
      <c r="O217" s="1">
        <v>46023</v>
      </c>
      <c r="Q217" s="1">
        <v>46054</v>
      </c>
      <c r="R217" s="2">
        <v>24.61</v>
      </c>
      <c r="S217">
        <v>1</v>
      </c>
      <c r="T217" t="s">
        <v>58</v>
      </c>
      <c r="U217" t="s">
        <v>105</v>
      </c>
      <c r="V217" s="4">
        <v>0.7</v>
      </c>
      <c r="W217" s="2">
        <v>0</v>
      </c>
      <c r="X217">
        <v>0</v>
      </c>
      <c r="Y217" t="s">
        <v>83</v>
      </c>
      <c r="Z217" t="s">
        <v>221</v>
      </c>
      <c r="AA217">
        <v>6</v>
      </c>
      <c r="AB217" s="2">
        <v>103.38</v>
      </c>
      <c r="AC217" s="2">
        <v>0</v>
      </c>
      <c r="AD217" s="4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17.23</v>
      </c>
      <c r="AM217" s="2">
        <v>0</v>
      </c>
      <c r="AN217" s="2">
        <v>103.38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45999</v>
      </c>
      <c r="B218" t="s">
        <v>48</v>
      </c>
      <c r="C218">
        <v>649163</v>
      </c>
      <c r="D218">
        <v>2032515413</v>
      </c>
      <c r="E218" t="s">
        <v>453</v>
      </c>
      <c r="F218" t="s">
        <v>454</v>
      </c>
      <c r="G218" t="s">
        <v>51</v>
      </c>
      <c r="H218" t="s">
        <v>102</v>
      </c>
      <c r="I218" t="s">
        <v>126</v>
      </c>
      <c r="J218" t="s">
        <v>132</v>
      </c>
      <c r="K218">
        <v>843573</v>
      </c>
      <c r="L218" t="s">
        <v>253</v>
      </c>
      <c r="M218" t="s">
        <v>254</v>
      </c>
      <c r="N218" t="s">
        <v>57</v>
      </c>
      <c r="O218" s="1">
        <v>45997</v>
      </c>
      <c r="Q218" s="1">
        <v>46028</v>
      </c>
      <c r="R218" s="2">
        <v>78.400000000000006</v>
      </c>
      <c r="S218">
        <v>1</v>
      </c>
      <c r="T218" t="s">
        <v>58</v>
      </c>
      <c r="U218" t="s">
        <v>105</v>
      </c>
      <c r="V218" s="4">
        <v>0.7</v>
      </c>
      <c r="W218" s="2">
        <v>0</v>
      </c>
      <c r="X218">
        <v>0</v>
      </c>
      <c r="Y218" t="s">
        <v>83</v>
      </c>
      <c r="Z218" t="s">
        <v>221</v>
      </c>
      <c r="AA218">
        <v>6</v>
      </c>
      <c r="AB218" s="2">
        <v>329.28</v>
      </c>
      <c r="AC218" s="2">
        <v>0</v>
      </c>
      <c r="AD218" s="4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54.88</v>
      </c>
      <c r="AM218" s="2">
        <v>0</v>
      </c>
      <c r="AN218" s="2">
        <v>329.28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45999</v>
      </c>
      <c r="B219" t="s">
        <v>48</v>
      </c>
      <c r="C219">
        <v>649163</v>
      </c>
      <c r="D219">
        <v>2032516255</v>
      </c>
      <c r="E219" t="s">
        <v>455</v>
      </c>
      <c r="F219" t="s">
        <v>456</v>
      </c>
      <c r="G219" t="s">
        <v>51</v>
      </c>
      <c r="H219" t="s">
        <v>97</v>
      </c>
      <c r="I219" t="s">
        <v>126</v>
      </c>
      <c r="J219" t="s">
        <v>132</v>
      </c>
      <c r="K219">
        <v>893408</v>
      </c>
      <c r="L219" t="s">
        <v>329</v>
      </c>
      <c r="M219" t="s">
        <v>330</v>
      </c>
      <c r="N219" t="s">
        <v>57</v>
      </c>
      <c r="O219" s="1">
        <v>45996</v>
      </c>
      <c r="Q219" s="1">
        <v>46027</v>
      </c>
      <c r="R219" s="2">
        <v>103.8</v>
      </c>
      <c r="S219">
        <v>1</v>
      </c>
      <c r="T219" t="s">
        <v>58</v>
      </c>
      <c r="U219" t="s">
        <v>105</v>
      </c>
      <c r="V219" s="4">
        <v>0.7</v>
      </c>
      <c r="W219" s="2">
        <v>0</v>
      </c>
      <c r="X219">
        <v>0</v>
      </c>
      <c r="Y219" t="s">
        <v>83</v>
      </c>
      <c r="Z219" t="s">
        <v>221</v>
      </c>
      <c r="AA219">
        <v>6</v>
      </c>
      <c r="AB219" s="2">
        <v>435.96</v>
      </c>
      <c r="AC219" s="2">
        <v>0</v>
      </c>
      <c r="AD219" s="4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72.66</v>
      </c>
      <c r="AM219" s="2">
        <v>0</v>
      </c>
      <c r="AN219" s="2">
        <v>435.96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45999</v>
      </c>
      <c r="B220" t="s">
        <v>48</v>
      </c>
      <c r="C220">
        <v>649163</v>
      </c>
      <c r="D220">
        <v>2032516769</v>
      </c>
      <c r="E220" t="s">
        <v>276</v>
      </c>
      <c r="F220" t="s">
        <v>277</v>
      </c>
      <c r="G220" t="s">
        <v>51</v>
      </c>
      <c r="H220" t="s">
        <v>131</v>
      </c>
      <c r="I220" t="s">
        <v>126</v>
      </c>
      <c r="J220" t="s">
        <v>132</v>
      </c>
      <c r="K220">
        <v>767312</v>
      </c>
      <c r="L220" t="s">
        <v>138</v>
      </c>
      <c r="M220" t="s">
        <v>107</v>
      </c>
      <c r="N220" t="s">
        <v>57</v>
      </c>
      <c r="O220" s="1">
        <v>45996</v>
      </c>
      <c r="Q220" s="1">
        <v>46027</v>
      </c>
      <c r="R220" s="2">
        <v>26.32</v>
      </c>
      <c r="S220">
        <v>1</v>
      </c>
      <c r="T220" t="s">
        <v>58</v>
      </c>
      <c r="U220" t="s">
        <v>105</v>
      </c>
      <c r="V220" s="4">
        <v>0.7</v>
      </c>
      <c r="W220" s="2">
        <v>0</v>
      </c>
      <c r="X220">
        <v>0</v>
      </c>
      <c r="Y220" t="s">
        <v>83</v>
      </c>
      <c r="Z220" t="s">
        <v>221</v>
      </c>
      <c r="AA220">
        <v>6</v>
      </c>
      <c r="AB220" s="2">
        <v>110.52</v>
      </c>
      <c r="AC220" s="2">
        <v>0</v>
      </c>
      <c r="AD220" s="4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18.420000000000002</v>
      </c>
      <c r="AM220" s="2">
        <v>0</v>
      </c>
      <c r="AN220" s="2">
        <v>110.52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45999</v>
      </c>
      <c r="B221" t="s">
        <v>48</v>
      </c>
      <c r="C221">
        <v>649163</v>
      </c>
      <c r="D221">
        <v>2032521325</v>
      </c>
      <c r="E221" t="s">
        <v>457</v>
      </c>
      <c r="F221" t="s">
        <v>458</v>
      </c>
      <c r="G221" t="s">
        <v>51</v>
      </c>
      <c r="H221" t="s">
        <v>97</v>
      </c>
      <c r="I221" t="s">
        <v>126</v>
      </c>
      <c r="J221" t="s">
        <v>132</v>
      </c>
      <c r="K221">
        <v>839554</v>
      </c>
      <c r="L221" t="s">
        <v>441</v>
      </c>
      <c r="M221" t="s">
        <v>442</v>
      </c>
      <c r="N221" t="s">
        <v>57</v>
      </c>
      <c r="O221" s="1">
        <v>45996</v>
      </c>
      <c r="Q221" s="1">
        <v>46027</v>
      </c>
      <c r="R221" s="2">
        <v>159.53</v>
      </c>
      <c r="S221">
        <v>1</v>
      </c>
      <c r="T221" t="s">
        <v>58</v>
      </c>
      <c r="U221" t="s">
        <v>105</v>
      </c>
      <c r="V221" s="4">
        <v>0.7</v>
      </c>
      <c r="W221" s="2">
        <v>0</v>
      </c>
      <c r="X221">
        <v>0</v>
      </c>
      <c r="Y221" t="s">
        <v>83</v>
      </c>
      <c r="Z221" t="s">
        <v>221</v>
      </c>
      <c r="AA221">
        <v>6</v>
      </c>
      <c r="AB221" s="2">
        <v>670.02</v>
      </c>
      <c r="AC221" s="2">
        <v>0</v>
      </c>
      <c r="AD221" s="4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111.67</v>
      </c>
      <c r="AM221" s="2">
        <v>0</v>
      </c>
      <c r="AN221" s="2">
        <v>670.02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45999</v>
      </c>
      <c r="B222" t="s">
        <v>48</v>
      </c>
      <c r="C222">
        <v>649163</v>
      </c>
      <c r="D222">
        <v>2032534866</v>
      </c>
      <c r="E222" t="s">
        <v>459</v>
      </c>
      <c r="F222" t="s">
        <v>460</v>
      </c>
      <c r="G222" t="s">
        <v>51</v>
      </c>
      <c r="H222" t="s">
        <v>125</v>
      </c>
      <c r="I222" t="s">
        <v>126</v>
      </c>
      <c r="J222" t="s">
        <v>132</v>
      </c>
      <c r="K222">
        <v>867497</v>
      </c>
      <c r="L222" t="s">
        <v>448</v>
      </c>
      <c r="M222" t="s">
        <v>449</v>
      </c>
      <c r="N222" t="s">
        <v>57</v>
      </c>
      <c r="O222" s="1">
        <v>46001</v>
      </c>
      <c r="Q222" s="1">
        <v>46032</v>
      </c>
      <c r="R222" s="2">
        <v>10.75</v>
      </c>
      <c r="S222">
        <v>1</v>
      </c>
      <c r="T222" t="s">
        <v>58</v>
      </c>
      <c r="U222" t="s">
        <v>105</v>
      </c>
      <c r="V222" s="4">
        <v>0.7</v>
      </c>
      <c r="W222" s="2">
        <v>0</v>
      </c>
      <c r="X222">
        <v>0</v>
      </c>
      <c r="Y222" t="s">
        <v>83</v>
      </c>
      <c r="Z222" t="s">
        <v>221</v>
      </c>
      <c r="AA222">
        <v>6</v>
      </c>
      <c r="AB222" s="2">
        <v>45.12</v>
      </c>
      <c r="AC222" s="2">
        <v>0</v>
      </c>
      <c r="AD222" s="4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7.52</v>
      </c>
      <c r="AM222" s="2">
        <v>0</v>
      </c>
      <c r="AN222" s="2">
        <v>45.12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45999</v>
      </c>
      <c r="B223" t="s">
        <v>48</v>
      </c>
      <c r="C223">
        <v>649163</v>
      </c>
      <c r="D223">
        <v>2032535519</v>
      </c>
      <c r="E223" t="s">
        <v>278</v>
      </c>
      <c r="F223" t="s">
        <v>279</v>
      </c>
      <c r="G223" t="s">
        <v>51</v>
      </c>
      <c r="H223" t="s">
        <v>163</v>
      </c>
      <c r="I223" t="s">
        <v>126</v>
      </c>
      <c r="J223" t="s">
        <v>164</v>
      </c>
      <c r="K223">
        <v>823068</v>
      </c>
      <c r="L223" t="s">
        <v>165</v>
      </c>
      <c r="M223" t="s">
        <v>166</v>
      </c>
      <c r="N223" t="s">
        <v>57</v>
      </c>
      <c r="O223" s="1">
        <v>46023</v>
      </c>
      <c r="Q223" s="1">
        <v>46054</v>
      </c>
      <c r="R223" s="2">
        <v>48</v>
      </c>
      <c r="S223">
        <v>1</v>
      </c>
      <c r="T223" t="s">
        <v>58</v>
      </c>
      <c r="U223" t="s">
        <v>105</v>
      </c>
      <c r="V223" s="4">
        <v>0.7</v>
      </c>
      <c r="W223" s="2">
        <v>0</v>
      </c>
      <c r="X223">
        <v>0</v>
      </c>
      <c r="Y223" t="s">
        <v>83</v>
      </c>
      <c r="Z223" t="s">
        <v>221</v>
      </c>
      <c r="AA223">
        <v>6</v>
      </c>
      <c r="AB223" s="2">
        <v>201.6</v>
      </c>
      <c r="AC223" s="2">
        <v>0</v>
      </c>
      <c r="AD223" s="4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33.6</v>
      </c>
      <c r="AM223" s="2">
        <v>0</v>
      </c>
      <c r="AN223" s="2">
        <v>201.6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45999</v>
      </c>
      <c r="B224" t="s">
        <v>48</v>
      </c>
      <c r="C224">
        <v>649163</v>
      </c>
      <c r="D224">
        <v>2032538422</v>
      </c>
      <c r="E224" t="s">
        <v>461</v>
      </c>
      <c r="F224" t="s">
        <v>462</v>
      </c>
      <c r="G224" t="s">
        <v>51</v>
      </c>
      <c r="H224" t="s">
        <v>125</v>
      </c>
      <c r="I224" t="s">
        <v>126</v>
      </c>
      <c r="J224" t="s">
        <v>132</v>
      </c>
      <c r="K224">
        <v>814033</v>
      </c>
      <c r="L224" t="s">
        <v>284</v>
      </c>
      <c r="M224" t="s">
        <v>285</v>
      </c>
      <c r="N224" t="s">
        <v>57</v>
      </c>
      <c r="O224" s="1">
        <v>46023</v>
      </c>
      <c r="Q224" s="1">
        <v>46054</v>
      </c>
      <c r="R224" s="2">
        <v>27.89</v>
      </c>
      <c r="S224">
        <v>1</v>
      </c>
      <c r="T224" t="s">
        <v>58</v>
      </c>
      <c r="U224" t="s">
        <v>105</v>
      </c>
      <c r="V224" s="4">
        <v>0.7</v>
      </c>
      <c r="W224" s="2">
        <v>0</v>
      </c>
      <c r="X224">
        <v>0</v>
      </c>
      <c r="Y224" t="s">
        <v>83</v>
      </c>
      <c r="Z224" t="s">
        <v>221</v>
      </c>
      <c r="AA224">
        <v>6</v>
      </c>
      <c r="AB224" s="2">
        <v>117.12</v>
      </c>
      <c r="AC224" s="2">
        <v>0</v>
      </c>
      <c r="AD224" s="4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19.52</v>
      </c>
      <c r="AM224" s="2">
        <v>0</v>
      </c>
      <c r="AN224" s="2">
        <v>117.12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45999</v>
      </c>
      <c r="B225" t="s">
        <v>48</v>
      </c>
      <c r="C225">
        <v>649163</v>
      </c>
      <c r="D225">
        <v>2032540064</v>
      </c>
      <c r="E225" t="s">
        <v>280</v>
      </c>
      <c r="F225" t="s">
        <v>281</v>
      </c>
      <c r="G225" t="s">
        <v>51</v>
      </c>
      <c r="H225" t="s">
        <v>97</v>
      </c>
      <c r="I225" t="s">
        <v>126</v>
      </c>
      <c r="J225" t="s">
        <v>132</v>
      </c>
      <c r="K225">
        <v>856824</v>
      </c>
      <c r="L225" t="s">
        <v>145</v>
      </c>
      <c r="M225" t="s">
        <v>146</v>
      </c>
      <c r="N225" t="s">
        <v>57</v>
      </c>
      <c r="O225" s="1">
        <v>45997</v>
      </c>
      <c r="Q225" s="1">
        <v>46028</v>
      </c>
      <c r="R225" s="2">
        <v>176.94</v>
      </c>
      <c r="S225">
        <v>1</v>
      </c>
      <c r="T225" t="s">
        <v>58</v>
      </c>
      <c r="U225" t="s">
        <v>105</v>
      </c>
      <c r="V225" s="4">
        <v>0.7</v>
      </c>
      <c r="W225" s="2">
        <v>0</v>
      </c>
      <c r="X225">
        <v>0</v>
      </c>
      <c r="Y225" t="s">
        <v>83</v>
      </c>
      <c r="Z225" t="s">
        <v>221</v>
      </c>
      <c r="AA225">
        <v>6</v>
      </c>
      <c r="AB225" s="2">
        <v>743.16</v>
      </c>
      <c r="AC225" s="2">
        <v>0</v>
      </c>
      <c r="AD225" s="4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123.86</v>
      </c>
      <c r="AM225" s="2">
        <v>0</v>
      </c>
      <c r="AN225" s="2">
        <v>743.16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45999</v>
      </c>
      <c r="B226" t="s">
        <v>48</v>
      </c>
      <c r="C226">
        <v>649163</v>
      </c>
      <c r="D226">
        <v>2032541420</v>
      </c>
      <c r="E226" t="s">
        <v>282</v>
      </c>
      <c r="F226" t="s">
        <v>283</v>
      </c>
      <c r="G226" t="s">
        <v>51</v>
      </c>
      <c r="H226" t="s">
        <v>102</v>
      </c>
      <c r="I226" t="s">
        <v>126</v>
      </c>
      <c r="J226" t="s">
        <v>132</v>
      </c>
      <c r="K226">
        <v>814033</v>
      </c>
      <c r="L226" t="s">
        <v>284</v>
      </c>
      <c r="M226" t="s">
        <v>285</v>
      </c>
      <c r="N226" t="s">
        <v>57</v>
      </c>
      <c r="O226" s="1">
        <v>46023</v>
      </c>
      <c r="Q226" s="1">
        <v>46054</v>
      </c>
      <c r="R226" s="2">
        <v>78.03</v>
      </c>
      <c r="S226">
        <v>1</v>
      </c>
      <c r="T226" t="s">
        <v>58</v>
      </c>
      <c r="U226" t="s">
        <v>105</v>
      </c>
      <c r="V226" s="4">
        <v>0.7</v>
      </c>
      <c r="W226" s="2">
        <v>0</v>
      </c>
      <c r="X226">
        <v>0</v>
      </c>
      <c r="Y226" t="s">
        <v>83</v>
      </c>
      <c r="Z226" t="s">
        <v>221</v>
      </c>
      <c r="AA226">
        <v>6</v>
      </c>
      <c r="AB226" s="2">
        <v>327.72</v>
      </c>
      <c r="AC226" s="2">
        <v>0</v>
      </c>
      <c r="AD226" s="4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54.62</v>
      </c>
      <c r="AM226" s="2">
        <v>0</v>
      </c>
      <c r="AN226" s="2">
        <v>327.72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45999</v>
      </c>
      <c r="B227" t="s">
        <v>48</v>
      </c>
      <c r="C227">
        <v>649163</v>
      </c>
      <c r="D227">
        <v>2032547051</v>
      </c>
      <c r="E227" t="s">
        <v>359</v>
      </c>
      <c r="F227" t="s">
        <v>360</v>
      </c>
      <c r="G227" t="s">
        <v>51</v>
      </c>
      <c r="H227" t="s">
        <v>97</v>
      </c>
      <c r="I227" t="s">
        <v>126</v>
      </c>
      <c r="J227" t="s">
        <v>132</v>
      </c>
      <c r="K227">
        <v>813184</v>
      </c>
      <c r="L227" t="s">
        <v>361</v>
      </c>
      <c r="M227" t="s">
        <v>362</v>
      </c>
      <c r="N227" t="s">
        <v>57</v>
      </c>
      <c r="O227" s="1">
        <v>45998</v>
      </c>
      <c r="Q227" s="1">
        <v>46029</v>
      </c>
      <c r="R227" s="2">
        <v>129.22</v>
      </c>
      <c r="S227">
        <v>1</v>
      </c>
      <c r="T227" t="s">
        <v>58</v>
      </c>
      <c r="U227" t="s">
        <v>105</v>
      </c>
      <c r="V227" s="4">
        <v>0.7</v>
      </c>
      <c r="W227" s="2">
        <v>0</v>
      </c>
      <c r="X227">
        <v>0</v>
      </c>
      <c r="Y227" t="s">
        <v>83</v>
      </c>
      <c r="Z227" t="s">
        <v>221</v>
      </c>
      <c r="AA227">
        <v>6</v>
      </c>
      <c r="AB227" s="2">
        <v>542.70000000000005</v>
      </c>
      <c r="AC227" s="2">
        <v>0</v>
      </c>
      <c r="AD227" s="4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90.45</v>
      </c>
      <c r="AM227" s="2">
        <v>0</v>
      </c>
      <c r="AN227" s="2">
        <v>542.70000000000005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45999</v>
      </c>
      <c r="B228" t="s">
        <v>48</v>
      </c>
      <c r="C228">
        <v>649163</v>
      </c>
      <c r="D228">
        <v>2032547838</v>
      </c>
      <c r="E228" t="s">
        <v>463</v>
      </c>
      <c r="F228" t="s">
        <v>464</v>
      </c>
      <c r="G228" t="s">
        <v>51</v>
      </c>
      <c r="H228" t="s">
        <v>102</v>
      </c>
      <c r="I228" t="s">
        <v>126</v>
      </c>
      <c r="J228" t="s">
        <v>132</v>
      </c>
      <c r="K228">
        <v>930924</v>
      </c>
      <c r="L228" t="s">
        <v>201</v>
      </c>
      <c r="M228" t="s">
        <v>465</v>
      </c>
      <c r="N228" t="s">
        <v>57</v>
      </c>
      <c r="O228" s="1">
        <v>45999</v>
      </c>
      <c r="Q228" s="1">
        <v>46030</v>
      </c>
      <c r="R228" s="2">
        <v>34</v>
      </c>
      <c r="S228">
        <v>1</v>
      </c>
      <c r="T228" t="s">
        <v>58</v>
      </c>
      <c r="U228" t="s">
        <v>105</v>
      </c>
      <c r="V228" s="4">
        <v>0.7</v>
      </c>
      <c r="W228" s="2">
        <v>0</v>
      </c>
      <c r="X228">
        <v>0</v>
      </c>
      <c r="Y228" t="s">
        <v>83</v>
      </c>
      <c r="Z228" t="s">
        <v>221</v>
      </c>
      <c r="AA228">
        <v>6</v>
      </c>
      <c r="AB228" s="2">
        <v>142.80000000000001</v>
      </c>
      <c r="AC228" s="2">
        <v>0</v>
      </c>
      <c r="AD228" s="4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23.8</v>
      </c>
      <c r="AM228" s="2">
        <v>0</v>
      </c>
      <c r="AN228" s="2">
        <v>142.80000000000001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45999</v>
      </c>
      <c r="B229" t="s">
        <v>48</v>
      </c>
      <c r="C229">
        <v>649163</v>
      </c>
      <c r="D229">
        <v>2032551265</v>
      </c>
      <c r="E229" t="s">
        <v>363</v>
      </c>
      <c r="F229" t="s">
        <v>364</v>
      </c>
      <c r="G229" t="s">
        <v>51</v>
      </c>
      <c r="H229" t="s">
        <v>102</v>
      </c>
      <c r="I229" t="s">
        <v>126</v>
      </c>
      <c r="J229" t="s">
        <v>132</v>
      </c>
      <c r="K229">
        <v>806645</v>
      </c>
      <c r="L229" t="s">
        <v>98</v>
      </c>
      <c r="M229" t="s">
        <v>99</v>
      </c>
      <c r="N229" t="s">
        <v>57</v>
      </c>
      <c r="O229" s="1">
        <v>46023</v>
      </c>
      <c r="Q229" s="1">
        <v>46054</v>
      </c>
      <c r="R229" s="2">
        <v>49.8</v>
      </c>
      <c r="S229">
        <v>1</v>
      </c>
      <c r="T229" t="s">
        <v>58</v>
      </c>
      <c r="U229" t="s">
        <v>105</v>
      </c>
      <c r="V229" s="4">
        <v>0.7</v>
      </c>
      <c r="W229" s="2">
        <v>0</v>
      </c>
      <c r="X229">
        <v>0</v>
      </c>
      <c r="Y229" t="s">
        <v>83</v>
      </c>
      <c r="Z229" t="s">
        <v>221</v>
      </c>
      <c r="AA229">
        <v>6</v>
      </c>
      <c r="AB229" s="2">
        <v>209.16</v>
      </c>
      <c r="AC229" s="2">
        <v>0</v>
      </c>
      <c r="AD229" s="4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34.86</v>
      </c>
      <c r="AM229" s="2">
        <v>0</v>
      </c>
      <c r="AN229" s="2">
        <v>209.16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45999</v>
      </c>
      <c r="B230" t="s">
        <v>48</v>
      </c>
      <c r="C230">
        <v>649163</v>
      </c>
      <c r="D230">
        <v>2032551330</v>
      </c>
      <c r="E230" t="s">
        <v>466</v>
      </c>
      <c r="F230" t="s">
        <v>223</v>
      </c>
      <c r="G230" t="s">
        <v>51</v>
      </c>
      <c r="H230" t="s">
        <v>125</v>
      </c>
      <c r="I230" t="s">
        <v>126</v>
      </c>
      <c r="J230" t="s">
        <v>132</v>
      </c>
      <c r="K230">
        <v>897926</v>
      </c>
      <c r="L230" t="s">
        <v>467</v>
      </c>
      <c r="M230" t="s">
        <v>468</v>
      </c>
      <c r="N230" t="s">
        <v>57</v>
      </c>
      <c r="O230" s="1">
        <v>46023</v>
      </c>
      <c r="Q230" s="1">
        <v>46054</v>
      </c>
      <c r="R230" s="2">
        <v>57.38</v>
      </c>
      <c r="S230">
        <v>1</v>
      </c>
      <c r="T230" t="s">
        <v>58</v>
      </c>
      <c r="U230" t="s">
        <v>105</v>
      </c>
      <c r="V230" s="4">
        <v>0.7</v>
      </c>
      <c r="W230" s="2">
        <v>0</v>
      </c>
      <c r="X230">
        <v>0</v>
      </c>
      <c r="Y230" t="s">
        <v>83</v>
      </c>
      <c r="Z230" t="s">
        <v>221</v>
      </c>
      <c r="AA230">
        <v>6</v>
      </c>
      <c r="AB230" s="2">
        <v>241.02</v>
      </c>
      <c r="AC230" s="2">
        <v>0</v>
      </c>
      <c r="AD230" s="4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40.17</v>
      </c>
      <c r="AM230" s="2">
        <v>0</v>
      </c>
      <c r="AN230" s="2">
        <v>241.02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45999</v>
      </c>
      <c r="B231" t="s">
        <v>48</v>
      </c>
      <c r="C231">
        <v>649163</v>
      </c>
      <c r="D231">
        <v>2032429444</v>
      </c>
      <c r="E231" t="s">
        <v>222</v>
      </c>
      <c r="F231" t="s">
        <v>223</v>
      </c>
      <c r="G231" t="s">
        <v>51</v>
      </c>
      <c r="H231" t="s">
        <v>220</v>
      </c>
      <c r="I231" t="s">
        <v>469</v>
      </c>
      <c r="J231" t="s">
        <v>470</v>
      </c>
      <c r="K231">
        <v>822733</v>
      </c>
      <c r="L231" t="s">
        <v>224</v>
      </c>
      <c r="M231" t="s">
        <v>225</v>
      </c>
      <c r="N231" t="s">
        <v>57</v>
      </c>
      <c r="O231" s="1">
        <v>45993</v>
      </c>
      <c r="Q231" s="1">
        <v>46024</v>
      </c>
      <c r="R231" s="2">
        <v>347.41</v>
      </c>
      <c r="S231">
        <v>1</v>
      </c>
      <c r="T231" t="s">
        <v>58</v>
      </c>
      <c r="U231" t="s">
        <v>292</v>
      </c>
      <c r="V231" s="4">
        <v>0.28999999999999998</v>
      </c>
      <c r="W231" s="2">
        <v>0</v>
      </c>
      <c r="X231">
        <v>0</v>
      </c>
      <c r="Y231" t="s">
        <v>83</v>
      </c>
      <c r="Z231" t="s">
        <v>221</v>
      </c>
      <c r="AA231">
        <v>0</v>
      </c>
      <c r="AB231" s="2">
        <v>0</v>
      </c>
      <c r="AC231" s="2">
        <v>0</v>
      </c>
      <c r="AD231" s="4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100.75</v>
      </c>
      <c r="AN231" s="2">
        <v>100.75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45999</v>
      </c>
      <c r="B232" t="s">
        <v>48</v>
      </c>
      <c r="C232">
        <v>649163</v>
      </c>
      <c r="D232">
        <v>2032431197</v>
      </c>
      <c r="E232" t="s">
        <v>255</v>
      </c>
      <c r="F232" t="s">
        <v>192</v>
      </c>
      <c r="G232" t="s">
        <v>51</v>
      </c>
      <c r="H232" t="s">
        <v>256</v>
      </c>
      <c r="I232" t="s">
        <v>469</v>
      </c>
      <c r="J232" t="s">
        <v>471</v>
      </c>
      <c r="K232">
        <v>651818</v>
      </c>
      <c r="L232" t="s">
        <v>246</v>
      </c>
      <c r="M232" t="s">
        <v>247</v>
      </c>
      <c r="N232" t="s">
        <v>57</v>
      </c>
      <c r="O232" s="1">
        <v>45994</v>
      </c>
      <c r="Q232" s="1">
        <v>46025</v>
      </c>
      <c r="R232" s="2">
        <v>508.85</v>
      </c>
      <c r="S232">
        <v>1</v>
      </c>
      <c r="T232" t="s">
        <v>58</v>
      </c>
      <c r="U232" t="s">
        <v>299</v>
      </c>
      <c r="V232" s="4">
        <v>0.27</v>
      </c>
      <c r="W232" s="2">
        <v>0</v>
      </c>
      <c r="X232">
        <v>0</v>
      </c>
      <c r="Y232" t="s">
        <v>83</v>
      </c>
      <c r="Z232" t="s">
        <v>221</v>
      </c>
      <c r="AA232">
        <v>6</v>
      </c>
      <c r="AB232" s="2">
        <v>824.34</v>
      </c>
      <c r="AC232" s="2">
        <v>0</v>
      </c>
      <c r="AD232" s="4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137.38999999999999</v>
      </c>
      <c r="AM232" s="2">
        <v>0</v>
      </c>
      <c r="AN232" s="2">
        <v>824.34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45999</v>
      </c>
      <c r="B233" t="s">
        <v>48</v>
      </c>
      <c r="C233">
        <v>649163</v>
      </c>
      <c r="D233">
        <v>2032431565</v>
      </c>
      <c r="E233" t="s">
        <v>392</v>
      </c>
      <c r="F233" t="s">
        <v>393</v>
      </c>
      <c r="G233" t="s">
        <v>51</v>
      </c>
      <c r="H233" t="s">
        <v>163</v>
      </c>
      <c r="I233" t="s">
        <v>469</v>
      </c>
      <c r="J233" t="s">
        <v>471</v>
      </c>
      <c r="K233">
        <v>823068</v>
      </c>
      <c r="L233" t="s">
        <v>165</v>
      </c>
      <c r="M233" t="s">
        <v>166</v>
      </c>
      <c r="N233" t="s">
        <v>57</v>
      </c>
      <c r="O233" s="1">
        <v>45993</v>
      </c>
      <c r="Q233" s="1">
        <v>46024</v>
      </c>
      <c r="R233" s="2">
        <v>340.29</v>
      </c>
      <c r="S233">
        <v>1</v>
      </c>
      <c r="T233" t="s">
        <v>58</v>
      </c>
      <c r="U233" t="s">
        <v>472</v>
      </c>
      <c r="V233" s="4">
        <v>0.27</v>
      </c>
      <c r="W233" s="2">
        <v>0</v>
      </c>
      <c r="X233">
        <v>0</v>
      </c>
      <c r="Y233" t="s">
        <v>83</v>
      </c>
      <c r="Z233" t="s">
        <v>221</v>
      </c>
      <c r="AA233">
        <v>3</v>
      </c>
      <c r="AB233" s="2">
        <v>275.64</v>
      </c>
      <c r="AC233" s="2">
        <v>0</v>
      </c>
      <c r="AD233" s="4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91.88</v>
      </c>
      <c r="AM233" s="2">
        <v>0</v>
      </c>
      <c r="AN233" s="2">
        <v>275.64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45999</v>
      </c>
      <c r="B234" t="s">
        <v>48</v>
      </c>
      <c r="C234">
        <v>649163</v>
      </c>
      <c r="D234">
        <v>2032431566</v>
      </c>
      <c r="E234" t="s">
        <v>392</v>
      </c>
      <c r="F234" t="s">
        <v>393</v>
      </c>
      <c r="G234" t="s">
        <v>51</v>
      </c>
      <c r="H234" t="s">
        <v>163</v>
      </c>
      <c r="I234" t="s">
        <v>469</v>
      </c>
      <c r="J234" t="s">
        <v>473</v>
      </c>
      <c r="K234">
        <v>823068</v>
      </c>
      <c r="L234" t="s">
        <v>165</v>
      </c>
      <c r="M234" t="s">
        <v>166</v>
      </c>
      <c r="N234" t="s">
        <v>57</v>
      </c>
      <c r="O234" s="1">
        <v>45993</v>
      </c>
      <c r="Q234" s="1">
        <v>46024</v>
      </c>
      <c r="R234" s="2">
        <v>5</v>
      </c>
      <c r="S234">
        <v>1</v>
      </c>
      <c r="T234" t="s">
        <v>58</v>
      </c>
      <c r="U234" t="s">
        <v>472</v>
      </c>
      <c r="V234" s="4">
        <v>0.27</v>
      </c>
      <c r="W234" s="2">
        <v>0</v>
      </c>
      <c r="X234">
        <v>0</v>
      </c>
      <c r="Y234" t="s">
        <v>83</v>
      </c>
      <c r="Z234" t="s">
        <v>221</v>
      </c>
      <c r="AA234">
        <v>3</v>
      </c>
      <c r="AB234" s="2">
        <v>4.05</v>
      </c>
      <c r="AC234" s="2">
        <v>0</v>
      </c>
      <c r="AD234" s="4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1.35</v>
      </c>
      <c r="AM234" s="2">
        <v>0</v>
      </c>
      <c r="AN234" s="2">
        <v>4.05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45999</v>
      </c>
      <c r="B235" t="s">
        <v>48</v>
      </c>
      <c r="C235">
        <v>649163</v>
      </c>
      <c r="D235">
        <v>2032431568</v>
      </c>
      <c r="E235" t="s">
        <v>392</v>
      </c>
      <c r="F235" t="s">
        <v>393</v>
      </c>
      <c r="G235" t="s">
        <v>51</v>
      </c>
      <c r="H235" t="s">
        <v>163</v>
      </c>
      <c r="I235" t="s">
        <v>469</v>
      </c>
      <c r="J235" t="s">
        <v>473</v>
      </c>
      <c r="K235">
        <v>823068</v>
      </c>
      <c r="L235" t="s">
        <v>165</v>
      </c>
      <c r="M235" t="s">
        <v>166</v>
      </c>
      <c r="N235" t="s">
        <v>57</v>
      </c>
      <c r="O235" s="1">
        <v>45993</v>
      </c>
      <c r="Q235" s="1">
        <v>46024</v>
      </c>
      <c r="R235" s="2">
        <v>9.9499999999999993</v>
      </c>
      <c r="S235">
        <v>1</v>
      </c>
      <c r="T235" t="s">
        <v>58</v>
      </c>
      <c r="U235" t="s">
        <v>472</v>
      </c>
      <c r="V235" s="4">
        <v>0.27</v>
      </c>
      <c r="W235" s="2">
        <v>0</v>
      </c>
      <c r="X235">
        <v>0</v>
      </c>
      <c r="Y235" t="s">
        <v>83</v>
      </c>
      <c r="Z235" t="s">
        <v>221</v>
      </c>
      <c r="AA235">
        <v>3</v>
      </c>
      <c r="AB235" s="2">
        <v>8.07</v>
      </c>
      <c r="AC235" s="2">
        <v>0</v>
      </c>
      <c r="AD235" s="4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2.69</v>
      </c>
      <c r="AM235" s="2">
        <v>0</v>
      </c>
      <c r="AN235" s="2">
        <v>8.07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45999</v>
      </c>
      <c r="B236" t="s">
        <v>48</v>
      </c>
      <c r="C236">
        <v>649163</v>
      </c>
      <c r="D236">
        <v>2032436341</v>
      </c>
      <c r="E236" t="s">
        <v>394</v>
      </c>
      <c r="F236" t="s">
        <v>82</v>
      </c>
      <c r="G236" t="s">
        <v>51</v>
      </c>
      <c r="H236" t="s">
        <v>395</v>
      </c>
      <c r="I236" t="s">
        <v>469</v>
      </c>
      <c r="J236" t="s">
        <v>471</v>
      </c>
      <c r="K236">
        <v>753748</v>
      </c>
      <c r="L236" t="s">
        <v>396</v>
      </c>
      <c r="M236" t="s">
        <v>397</v>
      </c>
      <c r="N236" t="s">
        <v>57</v>
      </c>
      <c r="O236" s="1">
        <v>45993</v>
      </c>
      <c r="Q236" s="1">
        <v>46024</v>
      </c>
      <c r="R236" s="2">
        <v>228.84</v>
      </c>
      <c r="S236">
        <v>1</v>
      </c>
      <c r="T236" t="s">
        <v>58</v>
      </c>
      <c r="U236" t="s">
        <v>472</v>
      </c>
      <c r="V236" s="4">
        <v>0.27</v>
      </c>
      <c r="W236" s="2">
        <v>0</v>
      </c>
      <c r="X236">
        <v>0</v>
      </c>
      <c r="Y236" t="s">
        <v>83</v>
      </c>
      <c r="Z236" t="s">
        <v>221</v>
      </c>
      <c r="AA236">
        <v>3</v>
      </c>
      <c r="AB236" s="2">
        <v>185.37</v>
      </c>
      <c r="AC236" s="2">
        <v>0</v>
      </c>
      <c r="AD236" s="4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61.79</v>
      </c>
      <c r="AM236" s="2">
        <v>0</v>
      </c>
      <c r="AN236" s="2">
        <v>185.37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45999</v>
      </c>
      <c r="B237" t="s">
        <v>48</v>
      </c>
      <c r="C237">
        <v>649163</v>
      </c>
      <c r="D237">
        <v>2032450942</v>
      </c>
      <c r="E237" t="s">
        <v>474</v>
      </c>
      <c r="F237" t="s">
        <v>475</v>
      </c>
      <c r="G237" t="s">
        <v>51</v>
      </c>
      <c r="H237" t="s">
        <v>163</v>
      </c>
      <c r="I237" t="s">
        <v>469</v>
      </c>
      <c r="J237" t="s">
        <v>471</v>
      </c>
      <c r="K237">
        <v>652037</v>
      </c>
      <c r="L237" t="s">
        <v>235</v>
      </c>
      <c r="M237" t="s">
        <v>438</v>
      </c>
      <c r="N237" t="s">
        <v>57</v>
      </c>
      <c r="O237" s="1">
        <v>45993</v>
      </c>
      <c r="Q237" s="1">
        <v>46024</v>
      </c>
      <c r="R237" s="2">
        <v>143.30000000000001</v>
      </c>
      <c r="S237">
        <v>1</v>
      </c>
      <c r="T237" t="s">
        <v>58</v>
      </c>
      <c r="U237" t="s">
        <v>292</v>
      </c>
      <c r="V237" s="4">
        <v>0.27</v>
      </c>
      <c r="W237" s="2">
        <v>0</v>
      </c>
      <c r="X237">
        <v>0</v>
      </c>
      <c r="Y237" t="s">
        <v>83</v>
      </c>
      <c r="Z237" t="s">
        <v>221</v>
      </c>
      <c r="AA237">
        <v>0</v>
      </c>
      <c r="AB237" s="2">
        <v>0</v>
      </c>
      <c r="AC237" s="2">
        <v>0</v>
      </c>
      <c r="AD237" s="4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38.69</v>
      </c>
      <c r="AN237" s="2">
        <v>38.69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45999</v>
      </c>
      <c r="B238" t="s">
        <v>48</v>
      </c>
      <c r="C238">
        <v>649163</v>
      </c>
      <c r="D238">
        <v>2032453024</v>
      </c>
      <c r="E238" t="s">
        <v>300</v>
      </c>
      <c r="F238" t="s">
        <v>301</v>
      </c>
      <c r="G238" t="s">
        <v>51</v>
      </c>
      <c r="H238" t="s">
        <v>125</v>
      </c>
      <c r="I238" t="s">
        <v>469</v>
      </c>
      <c r="J238" t="s">
        <v>470</v>
      </c>
      <c r="K238">
        <v>767312</v>
      </c>
      <c r="L238" t="s">
        <v>138</v>
      </c>
      <c r="M238" t="s">
        <v>107</v>
      </c>
      <c r="N238" t="s">
        <v>57</v>
      </c>
      <c r="O238" s="1">
        <v>46023</v>
      </c>
      <c r="Q238" s="1">
        <v>46054</v>
      </c>
      <c r="R238" s="2">
        <v>208.65</v>
      </c>
      <c r="S238">
        <v>1</v>
      </c>
      <c r="T238" t="s">
        <v>58</v>
      </c>
      <c r="U238" t="s">
        <v>299</v>
      </c>
      <c r="V238" s="4">
        <v>0.28999999999999998</v>
      </c>
      <c r="W238" s="2">
        <v>0</v>
      </c>
      <c r="X238">
        <v>0</v>
      </c>
      <c r="Y238" t="s">
        <v>83</v>
      </c>
      <c r="Z238" t="s">
        <v>221</v>
      </c>
      <c r="AA238">
        <v>6</v>
      </c>
      <c r="AB238" s="2">
        <v>363.06</v>
      </c>
      <c r="AC238" s="2">
        <v>0</v>
      </c>
      <c r="AD238" s="4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60.51</v>
      </c>
      <c r="AM238" s="2">
        <v>0</v>
      </c>
      <c r="AN238" s="2">
        <v>363.06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45999</v>
      </c>
      <c r="B239" t="s">
        <v>48</v>
      </c>
      <c r="C239">
        <v>649163</v>
      </c>
      <c r="D239">
        <v>2032453025</v>
      </c>
      <c r="E239" t="s">
        <v>300</v>
      </c>
      <c r="F239" t="s">
        <v>301</v>
      </c>
      <c r="G239" t="s">
        <v>51</v>
      </c>
      <c r="H239" t="s">
        <v>125</v>
      </c>
      <c r="I239" t="s">
        <v>469</v>
      </c>
      <c r="J239" t="s">
        <v>476</v>
      </c>
      <c r="K239">
        <v>767312</v>
      </c>
      <c r="L239" t="s">
        <v>138</v>
      </c>
      <c r="M239" t="s">
        <v>107</v>
      </c>
      <c r="N239" t="s">
        <v>57</v>
      </c>
      <c r="O239" s="1">
        <v>46023</v>
      </c>
      <c r="Q239" s="1">
        <v>46054</v>
      </c>
      <c r="R239" s="2">
        <v>9.9499999999999993</v>
      </c>
      <c r="S239">
        <v>1</v>
      </c>
      <c r="T239" t="s">
        <v>58</v>
      </c>
      <c r="U239" t="s">
        <v>299</v>
      </c>
      <c r="V239" s="4">
        <v>0.28999999999999998</v>
      </c>
      <c r="W239" s="2">
        <v>0</v>
      </c>
      <c r="X239">
        <v>0</v>
      </c>
      <c r="Y239" t="s">
        <v>83</v>
      </c>
      <c r="Z239" t="s">
        <v>221</v>
      </c>
      <c r="AA239">
        <v>6</v>
      </c>
      <c r="AB239" s="2">
        <v>17.34</v>
      </c>
      <c r="AC239" s="2">
        <v>0</v>
      </c>
      <c r="AD239" s="4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2.89</v>
      </c>
      <c r="AM239" s="2">
        <v>0</v>
      </c>
      <c r="AN239" s="2">
        <v>17.34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45999</v>
      </c>
      <c r="B240" t="s">
        <v>48</v>
      </c>
      <c r="C240">
        <v>649163</v>
      </c>
      <c r="D240">
        <v>2032486184</v>
      </c>
      <c r="E240" t="s">
        <v>271</v>
      </c>
      <c r="F240" t="s">
        <v>272</v>
      </c>
      <c r="G240" t="s">
        <v>51</v>
      </c>
      <c r="H240" t="s">
        <v>79</v>
      </c>
      <c r="I240" t="s">
        <v>469</v>
      </c>
      <c r="J240" t="s">
        <v>470</v>
      </c>
      <c r="K240">
        <v>673059</v>
      </c>
      <c r="L240" t="s">
        <v>81</v>
      </c>
      <c r="M240" t="s">
        <v>82</v>
      </c>
      <c r="N240" t="s">
        <v>57</v>
      </c>
      <c r="O240" s="1">
        <v>46023</v>
      </c>
      <c r="Q240" s="1">
        <v>46054</v>
      </c>
      <c r="R240" s="2">
        <v>374.87</v>
      </c>
      <c r="S240">
        <v>1</v>
      </c>
      <c r="T240" t="s">
        <v>58</v>
      </c>
      <c r="U240" t="s">
        <v>299</v>
      </c>
      <c r="V240" s="4">
        <v>0.28999999999999998</v>
      </c>
      <c r="W240" s="2">
        <v>0</v>
      </c>
      <c r="X240">
        <v>0</v>
      </c>
      <c r="Y240" t="s">
        <v>83</v>
      </c>
      <c r="Z240" t="s">
        <v>221</v>
      </c>
      <c r="AA240">
        <v>6</v>
      </c>
      <c r="AB240" s="2">
        <v>652.26</v>
      </c>
      <c r="AC240" s="2">
        <v>0</v>
      </c>
      <c r="AD240" s="4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108.71</v>
      </c>
      <c r="AM240" s="2">
        <v>0</v>
      </c>
      <c r="AN240" s="2">
        <v>652.26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45999</v>
      </c>
      <c r="B241" t="s">
        <v>48</v>
      </c>
      <c r="C241">
        <v>649163</v>
      </c>
      <c r="D241">
        <v>2032486185</v>
      </c>
      <c r="E241" t="s">
        <v>271</v>
      </c>
      <c r="F241" t="s">
        <v>272</v>
      </c>
      <c r="G241" t="s">
        <v>51</v>
      </c>
      <c r="H241" t="s">
        <v>79</v>
      </c>
      <c r="I241" t="s">
        <v>469</v>
      </c>
      <c r="J241" t="s">
        <v>476</v>
      </c>
      <c r="K241">
        <v>673059</v>
      </c>
      <c r="L241" t="s">
        <v>81</v>
      </c>
      <c r="M241" t="s">
        <v>82</v>
      </c>
      <c r="N241" t="s">
        <v>57</v>
      </c>
      <c r="O241" s="1">
        <v>46023</v>
      </c>
      <c r="Q241" s="1">
        <v>46054</v>
      </c>
      <c r="R241" s="2">
        <v>9.9499999999999993</v>
      </c>
      <c r="S241">
        <v>1</v>
      </c>
      <c r="T241" t="s">
        <v>58</v>
      </c>
      <c r="U241" t="s">
        <v>299</v>
      </c>
      <c r="V241" s="4">
        <v>0.28999999999999998</v>
      </c>
      <c r="W241" s="2">
        <v>0</v>
      </c>
      <c r="X241">
        <v>0</v>
      </c>
      <c r="Y241" t="s">
        <v>83</v>
      </c>
      <c r="Z241" t="s">
        <v>221</v>
      </c>
      <c r="AA241">
        <v>6</v>
      </c>
      <c r="AB241" s="2">
        <v>17.34</v>
      </c>
      <c r="AC241" s="2">
        <v>0</v>
      </c>
      <c r="AD241" s="4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2.89</v>
      </c>
      <c r="AM241" s="2">
        <v>0</v>
      </c>
      <c r="AN241" s="2">
        <v>17.34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45999</v>
      </c>
      <c r="B242" t="s">
        <v>48</v>
      </c>
      <c r="C242">
        <v>649163</v>
      </c>
      <c r="D242">
        <v>2032491248</v>
      </c>
      <c r="E242" t="s">
        <v>306</v>
      </c>
      <c r="F242" t="s">
        <v>307</v>
      </c>
      <c r="G242" t="s">
        <v>51</v>
      </c>
      <c r="H242" t="s">
        <v>308</v>
      </c>
      <c r="I242" t="s">
        <v>469</v>
      </c>
      <c r="J242" t="s">
        <v>477</v>
      </c>
      <c r="K242">
        <v>877790</v>
      </c>
      <c r="L242" t="s">
        <v>310</v>
      </c>
      <c r="M242" t="s">
        <v>311</v>
      </c>
      <c r="N242" t="s">
        <v>57</v>
      </c>
      <c r="O242" s="1">
        <v>45995</v>
      </c>
      <c r="Q242" s="1">
        <v>46026</v>
      </c>
      <c r="R242" s="2">
        <v>194.66</v>
      </c>
      <c r="S242">
        <v>1</v>
      </c>
      <c r="T242" t="s">
        <v>58</v>
      </c>
      <c r="U242" t="s">
        <v>312</v>
      </c>
      <c r="V242" s="4">
        <v>0.19</v>
      </c>
      <c r="W242" s="2">
        <v>0</v>
      </c>
      <c r="X242">
        <v>0</v>
      </c>
      <c r="Y242" t="s">
        <v>83</v>
      </c>
      <c r="Z242" t="s">
        <v>221</v>
      </c>
      <c r="AA242">
        <v>6</v>
      </c>
      <c r="AB242" s="2">
        <v>221.94</v>
      </c>
      <c r="AC242" s="2">
        <v>0</v>
      </c>
      <c r="AD242" s="4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36.99</v>
      </c>
      <c r="AM242" s="2">
        <v>0</v>
      </c>
      <c r="AN242" s="2">
        <v>221.94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45999</v>
      </c>
      <c r="B243" t="s">
        <v>48</v>
      </c>
      <c r="C243">
        <v>649163</v>
      </c>
      <c r="D243">
        <v>2026048649</v>
      </c>
      <c r="E243" t="s">
        <v>478</v>
      </c>
      <c r="F243" t="s">
        <v>413</v>
      </c>
      <c r="G243" t="s">
        <v>51</v>
      </c>
      <c r="H243" t="s">
        <v>102</v>
      </c>
      <c r="I243" t="s">
        <v>86</v>
      </c>
      <c r="J243" t="s">
        <v>87</v>
      </c>
      <c r="K243">
        <v>651818</v>
      </c>
      <c r="L243" t="s">
        <v>246</v>
      </c>
      <c r="M243" t="s">
        <v>247</v>
      </c>
      <c r="N243" t="s">
        <v>57</v>
      </c>
      <c r="O243" s="1">
        <v>45664</v>
      </c>
      <c r="Q243" s="1">
        <v>46029</v>
      </c>
      <c r="R243" s="2">
        <v>190.54</v>
      </c>
      <c r="S243">
        <v>1</v>
      </c>
      <c r="T243" t="s">
        <v>58</v>
      </c>
      <c r="U243" t="s">
        <v>59</v>
      </c>
      <c r="V243" s="3">
        <v>0.375</v>
      </c>
      <c r="W243" s="2">
        <v>0</v>
      </c>
      <c r="X243">
        <v>0</v>
      </c>
      <c r="Y243" t="s">
        <v>83</v>
      </c>
      <c r="Z243" t="s">
        <v>61</v>
      </c>
      <c r="AA243">
        <v>0</v>
      </c>
      <c r="AB243" s="2">
        <v>0</v>
      </c>
      <c r="AC243" s="2">
        <v>0</v>
      </c>
      <c r="AD243" s="4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71.45</v>
      </c>
      <c r="AN243" s="2">
        <v>71.45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45999</v>
      </c>
      <c r="B244" t="s">
        <v>48</v>
      </c>
      <c r="C244">
        <v>649163</v>
      </c>
      <c r="D244">
        <v>2026057641</v>
      </c>
      <c r="E244" t="s">
        <v>479</v>
      </c>
      <c r="F244" t="s">
        <v>96</v>
      </c>
      <c r="G244" t="s">
        <v>51</v>
      </c>
      <c r="H244" t="s">
        <v>97</v>
      </c>
      <c r="I244" t="s">
        <v>86</v>
      </c>
      <c r="J244" t="s">
        <v>87</v>
      </c>
      <c r="K244">
        <v>767312</v>
      </c>
      <c r="L244" t="s">
        <v>138</v>
      </c>
      <c r="M244" t="s">
        <v>107</v>
      </c>
      <c r="N244" t="s">
        <v>57</v>
      </c>
      <c r="O244" s="1">
        <v>45632</v>
      </c>
      <c r="Q244" s="1">
        <v>46028</v>
      </c>
      <c r="R244" s="2">
        <v>32.380000000000003</v>
      </c>
      <c r="S244">
        <v>1</v>
      </c>
      <c r="T244" t="s">
        <v>58</v>
      </c>
      <c r="U244" t="s">
        <v>59</v>
      </c>
      <c r="V244" s="4">
        <v>0.06</v>
      </c>
      <c r="W244" s="2">
        <v>0</v>
      </c>
      <c r="X244">
        <v>0</v>
      </c>
      <c r="Y244" t="s">
        <v>60</v>
      </c>
      <c r="Z244" t="s">
        <v>61</v>
      </c>
      <c r="AA244">
        <v>0</v>
      </c>
      <c r="AB244" s="2">
        <v>0</v>
      </c>
      <c r="AC244" s="2">
        <v>0</v>
      </c>
      <c r="AD244" s="4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1.94</v>
      </c>
      <c r="AN244" s="2">
        <v>1.94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45999</v>
      </c>
      <c r="B245" t="s">
        <v>48</v>
      </c>
      <c r="C245">
        <v>649163</v>
      </c>
      <c r="D245">
        <v>2026119931</v>
      </c>
      <c r="E245" t="s">
        <v>480</v>
      </c>
      <c r="F245" t="s">
        <v>481</v>
      </c>
      <c r="G245" t="s">
        <v>51</v>
      </c>
      <c r="H245" t="s">
        <v>79</v>
      </c>
      <c r="I245" t="s">
        <v>86</v>
      </c>
      <c r="J245" t="s">
        <v>87</v>
      </c>
      <c r="K245">
        <v>651818</v>
      </c>
      <c r="L245" t="s">
        <v>246</v>
      </c>
      <c r="M245" t="s">
        <v>247</v>
      </c>
      <c r="N245" t="s">
        <v>57</v>
      </c>
      <c r="O245" s="1">
        <v>45664</v>
      </c>
      <c r="Q245" s="1">
        <v>46029</v>
      </c>
      <c r="R245" s="2">
        <v>58.32</v>
      </c>
      <c r="S245">
        <v>1</v>
      </c>
      <c r="T245" t="s">
        <v>58</v>
      </c>
      <c r="U245" t="s">
        <v>59</v>
      </c>
      <c r="V245" s="3">
        <v>0.375</v>
      </c>
      <c r="W245" s="2">
        <v>0</v>
      </c>
      <c r="X245">
        <v>0</v>
      </c>
      <c r="Y245" t="s">
        <v>83</v>
      </c>
      <c r="Z245" t="s">
        <v>61</v>
      </c>
      <c r="AA245">
        <v>0</v>
      </c>
      <c r="AB245" s="2">
        <v>0</v>
      </c>
      <c r="AC245" s="2">
        <v>0</v>
      </c>
      <c r="AD245" s="4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21.87</v>
      </c>
      <c r="AN245" s="2">
        <v>21.87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45999</v>
      </c>
      <c r="B246" t="s">
        <v>48</v>
      </c>
      <c r="C246">
        <v>649163</v>
      </c>
      <c r="D246">
        <v>2026152185</v>
      </c>
      <c r="E246" t="s">
        <v>482</v>
      </c>
      <c r="F246" t="s">
        <v>483</v>
      </c>
      <c r="G246" t="s">
        <v>51</v>
      </c>
      <c r="H246" t="s">
        <v>52</v>
      </c>
      <c r="I246" t="s">
        <v>86</v>
      </c>
      <c r="J246" t="s">
        <v>87</v>
      </c>
      <c r="K246">
        <v>751867</v>
      </c>
      <c r="L246" t="s">
        <v>70</v>
      </c>
      <c r="M246" t="s">
        <v>71</v>
      </c>
      <c r="N246" t="s">
        <v>57</v>
      </c>
      <c r="O246" s="1">
        <v>45658</v>
      </c>
      <c r="Q246" s="1">
        <v>46023</v>
      </c>
      <c r="R246" s="2">
        <v>24.88</v>
      </c>
      <c r="S246">
        <v>1</v>
      </c>
      <c r="T246" t="s">
        <v>58</v>
      </c>
      <c r="U246" t="s">
        <v>59</v>
      </c>
      <c r="V246" s="3">
        <v>0.375</v>
      </c>
      <c r="W246" s="2">
        <v>0</v>
      </c>
      <c r="X246">
        <v>0</v>
      </c>
      <c r="Y246" t="s">
        <v>83</v>
      </c>
      <c r="Z246" t="s">
        <v>61</v>
      </c>
      <c r="AA246">
        <v>0</v>
      </c>
      <c r="AB246" s="2">
        <v>0</v>
      </c>
      <c r="AC246" s="2">
        <v>0</v>
      </c>
      <c r="AD246" s="4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9.33</v>
      </c>
      <c r="AN246" s="2">
        <v>9.33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45999</v>
      </c>
      <c r="B247" t="s">
        <v>48</v>
      </c>
      <c r="C247">
        <v>649163</v>
      </c>
      <c r="D247">
        <v>2026485485</v>
      </c>
      <c r="E247" t="s">
        <v>484</v>
      </c>
      <c r="F247" t="s">
        <v>485</v>
      </c>
      <c r="G247" t="s">
        <v>51</v>
      </c>
      <c r="H247" t="s">
        <v>374</v>
      </c>
      <c r="I247" t="s">
        <v>86</v>
      </c>
      <c r="J247" t="s">
        <v>87</v>
      </c>
      <c r="K247">
        <v>650218</v>
      </c>
      <c r="L247" t="s">
        <v>88</v>
      </c>
      <c r="M247" t="s">
        <v>89</v>
      </c>
      <c r="N247" t="s">
        <v>57</v>
      </c>
      <c r="O247" s="1">
        <v>45665</v>
      </c>
      <c r="Q247" s="1">
        <v>46030</v>
      </c>
      <c r="R247" s="2">
        <v>55.63</v>
      </c>
      <c r="S247">
        <v>1</v>
      </c>
      <c r="T247" t="s">
        <v>58</v>
      </c>
      <c r="U247" t="s">
        <v>59</v>
      </c>
      <c r="V247" s="3">
        <v>0.375</v>
      </c>
      <c r="W247" s="2">
        <v>0</v>
      </c>
      <c r="X247">
        <v>0</v>
      </c>
      <c r="Y247" t="s">
        <v>83</v>
      </c>
      <c r="Z247" t="s">
        <v>61</v>
      </c>
      <c r="AA247">
        <v>0</v>
      </c>
      <c r="AB247" s="2">
        <v>0</v>
      </c>
      <c r="AC247" s="2">
        <v>0</v>
      </c>
      <c r="AD247" s="4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20.86</v>
      </c>
      <c r="AN247" s="2">
        <v>20.86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45999</v>
      </c>
      <c r="B248" t="s">
        <v>48</v>
      </c>
      <c r="C248">
        <v>649163</v>
      </c>
      <c r="D248">
        <v>2026617925</v>
      </c>
      <c r="E248" t="s">
        <v>486</v>
      </c>
      <c r="F248" t="s">
        <v>487</v>
      </c>
      <c r="G248" t="s">
        <v>51</v>
      </c>
      <c r="H248" t="s">
        <v>97</v>
      </c>
      <c r="I248" t="s">
        <v>86</v>
      </c>
      <c r="J248" t="s">
        <v>87</v>
      </c>
      <c r="K248">
        <v>651818</v>
      </c>
      <c r="L248" t="s">
        <v>246</v>
      </c>
      <c r="M248" t="s">
        <v>247</v>
      </c>
      <c r="N248" t="s">
        <v>57</v>
      </c>
      <c r="O248" s="1">
        <v>45695</v>
      </c>
      <c r="Q248" s="1">
        <v>46029</v>
      </c>
      <c r="R248" s="2">
        <v>48.88</v>
      </c>
      <c r="S248">
        <v>1</v>
      </c>
      <c r="T248" t="s">
        <v>58</v>
      </c>
      <c r="U248" t="s">
        <v>59</v>
      </c>
      <c r="V248" s="3">
        <v>0.375</v>
      </c>
      <c r="W248" s="2">
        <v>0</v>
      </c>
      <c r="X248">
        <v>0</v>
      </c>
      <c r="Y248" t="s">
        <v>83</v>
      </c>
      <c r="Z248" t="s">
        <v>61</v>
      </c>
      <c r="AA248">
        <v>0</v>
      </c>
      <c r="AB248" s="2">
        <v>0</v>
      </c>
      <c r="AC248" s="2">
        <v>0</v>
      </c>
      <c r="AD248" s="4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18.329999999999998</v>
      </c>
      <c r="AN248" s="2">
        <v>18.329999999999998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45999</v>
      </c>
      <c r="B249" t="s">
        <v>48</v>
      </c>
      <c r="C249">
        <v>649163</v>
      </c>
      <c r="D249">
        <v>2026628667</v>
      </c>
      <c r="E249" t="s">
        <v>488</v>
      </c>
      <c r="F249" t="s">
        <v>82</v>
      </c>
      <c r="G249" t="s">
        <v>51</v>
      </c>
      <c r="H249" t="s">
        <v>102</v>
      </c>
      <c r="I249" t="s">
        <v>86</v>
      </c>
      <c r="J249" t="s">
        <v>87</v>
      </c>
      <c r="K249">
        <v>651818</v>
      </c>
      <c r="L249" t="s">
        <v>246</v>
      </c>
      <c r="M249" t="s">
        <v>247</v>
      </c>
      <c r="N249" t="s">
        <v>57</v>
      </c>
      <c r="O249" s="1">
        <v>45695</v>
      </c>
      <c r="Q249" s="1">
        <v>46029</v>
      </c>
      <c r="R249" s="2">
        <v>43.36</v>
      </c>
      <c r="S249">
        <v>1</v>
      </c>
      <c r="T249" t="s">
        <v>58</v>
      </c>
      <c r="U249" t="s">
        <v>59</v>
      </c>
      <c r="V249" s="3">
        <v>0.375</v>
      </c>
      <c r="W249" s="2">
        <v>0</v>
      </c>
      <c r="X249">
        <v>0</v>
      </c>
      <c r="Y249" t="s">
        <v>83</v>
      </c>
      <c r="Z249" t="s">
        <v>61</v>
      </c>
      <c r="AA249">
        <v>0</v>
      </c>
      <c r="AB249" s="2">
        <v>0</v>
      </c>
      <c r="AC249" s="2">
        <v>0</v>
      </c>
      <c r="AD249" s="4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16.260000000000002</v>
      </c>
      <c r="AN249" s="2">
        <v>16.260000000000002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45999</v>
      </c>
      <c r="B250" t="s">
        <v>48</v>
      </c>
      <c r="C250">
        <v>649163</v>
      </c>
      <c r="D250">
        <v>2026680614</v>
      </c>
      <c r="E250" t="s">
        <v>293</v>
      </c>
      <c r="F250" t="s">
        <v>489</v>
      </c>
      <c r="G250" t="s">
        <v>51</v>
      </c>
      <c r="H250" t="s">
        <v>383</v>
      </c>
      <c r="I250" t="s">
        <v>86</v>
      </c>
      <c r="J250" t="s">
        <v>87</v>
      </c>
      <c r="K250">
        <v>651818</v>
      </c>
      <c r="L250" t="s">
        <v>246</v>
      </c>
      <c r="M250" t="s">
        <v>247</v>
      </c>
      <c r="N250" t="s">
        <v>57</v>
      </c>
      <c r="O250" s="1">
        <v>45695</v>
      </c>
      <c r="Q250" s="1">
        <v>46029</v>
      </c>
      <c r="R250" s="2">
        <v>42.23</v>
      </c>
      <c r="S250">
        <v>1</v>
      </c>
      <c r="T250" t="s">
        <v>58</v>
      </c>
      <c r="U250" t="s">
        <v>59</v>
      </c>
      <c r="V250" s="3">
        <v>0.375</v>
      </c>
      <c r="W250" s="2">
        <v>0</v>
      </c>
      <c r="X250">
        <v>0</v>
      </c>
      <c r="Y250" t="s">
        <v>83</v>
      </c>
      <c r="Z250" t="s">
        <v>61</v>
      </c>
      <c r="AA250">
        <v>0</v>
      </c>
      <c r="AB250" s="2">
        <v>0</v>
      </c>
      <c r="AC250" s="2">
        <v>0</v>
      </c>
      <c r="AD250" s="4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15.84</v>
      </c>
      <c r="AN250" s="2">
        <v>15.84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45999</v>
      </c>
      <c r="B251" t="s">
        <v>48</v>
      </c>
      <c r="C251">
        <v>649163</v>
      </c>
      <c r="D251">
        <v>2026860055</v>
      </c>
      <c r="E251" t="s">
        <v>490</v>
      </c>
      <c r="F251" t="s">
        <v>491</v>
      </c>
      <c r="G251" t="s">
        <v>51</v>
      </c>
      <c r="H251" t="s">
        <v>97</v>
      </c>
      <c r="I251" t="s">
        <v>86</v>
      </c>
      <c r="J251" t="s">
        <v>87</v>
      </c>
      <c r="K251">
        <v>651818</v>
      </c>
      <c r="L251" t="s">
        <v>246</v>
      </c>
      <c r="M251" t="s">
        <v>247</v>
      </c>
      <c r="N251" t="s">
        <v>57</v>
      </c>
      <c r="O251" s="1">
        <v>45695</v>
      </c>
      <c r="Q251" s="1">
        <v>46029</v>
      </c>
      <c r="R251" s="2">
        <v>57.96</v>
      </c>
      <c r="S251">
        <v>1</v>
      </c>
      <c r="T251" t="s">
        <v>58</v>
      </c>
      <c r="U251" t="s">
        <v>59</v>
      </c>
      <c r="V251" s="3">
        <v>0.375</v>
      </c>
      <c r="W251" s="2">
        <v>0</v>
      </c>
      <c r="X251">
        <v>0</v>
      </c>
      <c r="Y251" t="s">
        <v>83</v>
      </c>
      <c r="Z251" t="s">
        <v>61</v>
      </c>
      <c r="AA251">
        <v>0</v>
      </c>
      <c r="AB251" s="2">
        <v>0</v>
      </c>
      <c r="AC251" s="2">
        <v>0</v>
      </c>
      <c r="AD251" s="4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21.74</v>
      </c>
      <c r="AN251" s="2">
        <v>21.74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45999</v>
      </c>
      <c r="B252" t="s">
        <v>48</v>
      </c>
      <c r="C252">
        <v>649163</v>
      </c>
      <c r="D252">
        <v>2026862483</v>
      </c>
      <c r="E252" t="s">
        <v>492</v>
      </c>
      <c r="F252" t="s">
        <v>493</v>
      </c>
      <c r="G252" t="s">
        <v>51</v>
      </c>
      <c r="H252" t="s">
        <v>102</v>
      </c>
      <c r="I252" t="s">
        <v>86</v>
      </c>
      <c r="J252" t="s">
        <v>87</v>
      </c>
      <c r="K252">
        <v>764123</v>
      </c>
      <c r="L252" t="s">
        <v>494</v>
      </c>
      <c r="M252" t="s">
        <v>475</v>
      </c>
      <c r="N252" t="s">
        <v>57</v>
      </c>
      <c r="O252" s="1">
        <v>45694</v>
      </c>
      <c r="Q252" s="1">
        <v>46028</v>
      </c>
      <c r="R252" s="2">
        <v>64.760000000000005</v>
      </c>
      <c r="S252">
        <v>1</v>
      </c>
      <c r="T252" t="s">
        <v>58</v>
      </c>
      <c r="U252" t="s">
        <v>59</v>
      </c>
      <c r="V252" s="3">
        <v>0.375</v>
      </c>
      <c r="W252" s="2">
        <v>0</v>
      </c>
      <c r="X252">
        <v>0</v>
      </c>
      <c r="Y252" t="s">
        <v>83</v>
      </c>
      <c r="Z252" t="s">
        <v>61</v>
      </c>
      <c r="AA252">
        <v>0</v>
      </c>
      <c r="AB252" s="2">
        <v>0</v>
      </c>
      <c r="AC252" s="2">
        <v>0</v>
      </c>
      <c r="AD252" s="4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24.28</v>
      </c>
      <c r="AN252" s="2">
        <v>24.28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45999</v>
      </c>
      <c r="B253" t="s">
        <v>48</v>
      </c>
      <c r="C253">
        <v>649163</v>
      </c>
      <c r="D253">
        <v>2026978806</v>
      </c>
      <c r="E253" t="s">
        <v>495</v>
      </c>
      <c r="F253" t="s">
        <v>496</v>
      </c>
      <c r="G253" t="s">
        <v>51</v>
      </c>
      <c r="H253" t="s">
        <v>102</v>
      </c>
      <c r="I253" t="s">
        <v>86</v>
      </c>
      <c r="J253" t="s">
        <v>87</v>
      </c>
      <c r="K253">
        <v>824062</v>
      </c>
      <c r="L253" t="s">
        <v>261</v>
      </c>
      <c r="M253" t="s">
        <v>262</v>
      </c>
      <c r="N253" t="s">
        <v>57</v>
      </c>
      <c r="O253" s="1">
        <v>45695</v>
      </c>
      <c r="Q253" s="1">
        <v>46029</v>
      </c>
      <c r="R253" s="2">
        <v>112.85</v>
      </c>
      <c r="S253">
        <v>1</v>
      </c>
      <c r="T253" t="s">
        <v>58</v>
      </c>
      <c r="U253" t="s">
        <v>59</v>
      </c>
      <c r="V253" s="3">
        <v>0.375</v>
      </c>
      <c r="W253" s="2">
        <v>0</v>
      </c>
      <c r="X253">
        <v>0</v>
      </c>
      <c r="Y253" t="s">
        <v>83</v>
      </c>
      <c r="Z253" t="s">
        <v>61</v>
      </c>
      <c r="AA253">
        <v>0</v>
      </c>
      <c r="AB253" s="2">
        <v>0</v>
      </c>
      <c r="AC253" s="2">
        <v>0</v>
      </c>
      <c r="AD253" s="4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42.32</v>
      </c>
      <c r="AN253" s="2">
        <v>42.32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45999</v>
      </c>
      <c r="B254" t="s">
        <v>48</v>
      </c>
      <c r="C254">
        <v>649163</v>
      </c>
      <c r="D254">
        <v>2027001684</v>
      </c>
      <c r="E254" t="s">
        <v>497</v>
      </c>
      <c r="F254" t="s">
        <v>498</v>
      </c>
      <c r="G254" t="s">
        <v>51</v>
      </c>
      <c r="H254" t="s">
        <v>357</v>
      </c>
      <c r="I254" t="s">
        <v>86</v>
      </c>
      <c r="J254" t="s">
        <v>87</v>
      </c>
      <c r="K254">
        <v>767312</v>
      </c>
      <c r="L254" t="s">
        <v>138</v>
      </c>
      <c r="M254" t="s">
        <v>107</v>
      </c>
      <c r="N254" t="s">
        <v>57</v>
      </c>
      <c r="O254" s="1">
        <v>45696</v>
      </c>
      <c r="Q254" s="1">
        <v>46030</v>
      </c>
      <c r="R254" s="2">
        <v>77.2</v>
      </c>
      <c r="S254">
        <v>1</v>
      </c>
      <c r="T254" t="s">
        <v>58</v>
      </c>
      <c r="U254" t="s">
        <v>59</v>
      </c>
      <c r="V254" s="3">
        <v>0.375</v>
      </c>
      <c r="W254" s="2">
        <v>0</v>
      </c>
      <c r="X254">
        <v>0</v>
      </c>
      <c r="Y254" t="s">
        <v>83</v>
      </c>
      <c r="Z254" t="s">
        <v>61</v>
      </c>
      <c r="AA254">
        <v>0</v>
      </c>
      <c r="AB254" s="2">
        <v>0</v>
      </c>
      <c r="AC254" s="2">
        <v>0</v>
      </c>
      <c r="AD254" s="4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28.95</v>
      </c>
      <c r="AN254" s="2">
        <v>28.95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45999</v>
      </c>
      <c r="B255" t="s">
        <v>48</v>
      </c>
      <c r="C255">
        <v>649163</v>
      </c>
      <c r="D255">
        <v>2027001807</v>
      </c>
      <c r="E255" t="s">
        <v>499</v>
      </c>
      <c r="F255" t="s">
        <v>500</v>
      </c>
      <c r="G255" t="s">
        <v>51</v>
      </c>
      <c r="H255" t="s">
        <v>200</v>
      </c>
      <c r="I255" t="s">
        <v>86</v>
      </c>
      <c r="J255" t="s">
        <v>87</v>
      </c>
      <c r="K255">
        <v>816021</v>
      </c>
      <c r="L255" t="s">
        <v>201</v>
      </c>
      <c r="M255" t="s">
        <v>202</v>
      </c>
      <c r="N255" t="s">
        <v>57</v>
      </c>
      <c r="O255" s="1">
        <v>45698</v>
      </c>
      <c r="Q255" s="1">
        <v>46032</v>
      </c>
      <c r="R255" s="2">
        <v>53.08</v>
      </c>
      <c r="S255">
        <v>1</v>
      </c>
      <c r="T255" t="s">
        <v>58</v>
      </c>
      <c r="U255" t="s">
        <v>59</v>
      </c>
      <c r="V255" s="3">
        <v>0.375</v>
      </c>
      <c r="W255" s="2">
        <v>0</v>
      </c>
      <c r="X255">
        <v>0</v>
      </c>
      <c r="Y255" t="s">
        <v>83</v>
      </c>
      <c r="Z255" t="s">
        <v>61</v>
      </c>
      <c r="AA255">
        <v>0</v>
      </c>
      <c r="AB255" s="2">
        <v>0</v>
      </c>
      <c r="AC255" s="2">
        <v>0</v>
      </c>
      <c r="AD255" s="4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19.899999999999999</v>
      </c>
      <c r="AN255" s="2">
        <v>19.899999999999999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45999</v>
      </c>
      <c r="B256" t="s">
        <v>48</v>
      </c>
      <c r="C256">
        <v>649163</v>
      </c>
      <c r="D256">
        <v>2027014989</v>
      </c>
      <c r="E256" t="s">
        <v>501</v>
      </c>
      <c r="F256" t="s">
        <v>326</v>
      </c>
      <c r="G256" t="s">
        <v>51</v>
      </c>
      <c r="H256" t="s">
        <v>79</v>
      </c>
      <c r="I256" t="s">
        <v>86</v>
      </c>
      <c r="J256" t="s">
        <v>87</v>
      </c>
      <c r="K256">
        <v>673059</v>
      </c>
      <c r="L256" t="s">
        <v>81</v>
      </c>
      <c r="M256" t="s">
        <v>82</v>
      </c>
      <c r="N256" t="s">
        <v>57</v>
      </c>
      <c r="O256" s="1">
        <v>45696</v>
      </c>
      <c r="Q256" s="1">
        <v>46030</v>
      </c>
      <c r="R256" s="2">
        <v>59.58</v>
      </c>
      <c r="S256">
        <v>1</v>
      </c>
      <c r="T256" t="s">
        <v>58</v>
      </c>
      <c r="U256" t="s">
        <v>59</v>
      </c>
      <c r="V256" s="3">
        <v>0.375</v>
      </c>
      <c r="W256" s="2">
        <v>0</v>
      </c>
      <c r="X256">
        <v>0</v>
      </c>
      <c r="Y256" t="s">
        <v>83</v>
      </c>
      <c r="Z256" t="s">
        <v>61</v>
      </c>
      <c r="AA256">
        <v>0</v>
      </c>
      <c r="AB256" s="2">
        <v>0</v>
      </c>
      <c r="AC256" s="2">
        <v>0</v>
      </c>
      <c r="AD256" s="4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22.34</v>
      </c>
      <c r="AN256" s="2">
        <v>22.34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45999</v>
      </c>
      <c r="B257" t="s">
        <v>48</v>
      </c>
      <c r="C257">
        <v>649163</v>
      </c>
      <c r="D257">
        <v>2027052527</v>
      </c>
      <c r="E257" t="s">
        <v>502</v>
      </c>
      <c r="F257" t="s">
        <v>503</v>
      </c>
      <c r="G257" t="s">
        <v>51</v>
      </c>
      <c r="H257" t="s">
        <v>102</v>
      </c>
      <c r="I257" t="s">
        <v>86</v>
      </c>
      <c r="J257" t="s">
        <v>87</v>
      </c>
      <c r="K257">
        <v>766747</v>
      </c>
      <c r="L257" t="s">
        <v>504</v>
      </c>
      <c r="M257" t="s">
        <v>182</v>
      </c>
      <c r="N257" t="s">
        <v>57</v>
      </c>
      <c r="O257" s="1">
        <v>45699</v>
      </c>
      <c r="Q257" s="1">
        <v>46033</v>
      </c>
      <c r="R257" s="2">
        <v>48.61</v>
      </c>
      <c r="S257">
        <v>1</v>
      </c>
      <c r="T257" t="s">
        <v>58</v>
      </c>
      <c r="U257" t="s">
        <v>59</v>
      </c>
      <c r="V257" s="3">
        <v>0.375</v>
      </c>
      <c r="W257" s="2">
        <v>0</v>
      </c>
      <c r="X257">
        <v>0</v>
      </c>
      <c r="Y257" t="s">
        <v>83</v>
      </c>
      <c r="Z257" t="s">
        <v>61</v>
      </c>
      <c r="AA257">
        <v>0</v>
      </c>
      <c r="AB257" s="2">
        <v>0</v>
      </c>
      <c r="AC257" s="2">
        <v>0</v>
      </c>
      <c r="AD257" s="4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18.23</v>
      </c>
      <c r="AN257" s="2">
        <v>18.23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45999</v>
      </c>
      <c r="B258" t="s">
        <v>48</v>
      </c>
      <c r="C258">
        <v>649163</v>
      </c>
      <c r="D258">
        <v>2027055699</v>
      </c>
      <c r="E258" t="s">
        <v>505</v>
      </c>
      <c r="F258" t="s">
        <v>229</v>
      </c>
      <c r="G258" t="s">
        <v>51</v>
      </c>
      <c r="H258" t="s">
        <v>200</v>
      </c>
      <c r="I258" t="s">
        <v>86</v>
      </c>
      <c r="J258" t="s">
        <v>87</v>
      </c>
      <c r="K258">
        <v>816021</v>
      </c>
      <c r="L258" t="s">
        <v>201</v>
      </c>
      <c r="M258" t="s">
        <v>202</v>
      </c>
      <c r="N258" t="s">
        <v>57</v>
      </c>
      <c r="O258" s="1">
        <v>45699</v>
      </c>
      <c r="Q258" s="1">
        <v>46033</v>
      </c>
      <c r="R258" s="2">
        <v>53.08</v>
      </c>
      <c r="S258">
        <v>1</v>
      </c>
      <c r="T258" t="s">
        <v>58</v>
      </c>
      <c r="U258" t="s">
        <v>59</v>
      </c>
      <c r="V258" s="3">
        <v>0.375</v>
      </c>
      <c r="W258" s="2">
        <v>0</v>
      </c>
      <c r="X258">
        <v>0</v>
      </c>
      <c r="Y258" t="s">
        <v>83</v>
      </c>
      <c r="Z258" t="s">
        <v>61</v>
      </c>
      <c r="AA258">
        <v>0</v>
      </c>
      <c r="AB258" s="2">
        <v>0</v>
      </c>
      <c r="AC258" s="2">
        <v>0</v>
      </c>
      <c r="AD258" s="4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19.899999999999999</v>
      </c>
      <c r="AN258" s="2">
        <v>19.899999999999999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45999</v>
      </c>
      <c r="B259" t="s">
        <v>48</v>
      </c>
      <c r="C259">
        <v>649163</v>
      </c>
      <c r="D259">
        <v>2027059395</v>
      </c>
      <c r="E259" t="s">
        <v>506</v>
      </c>
      <c r="F259" t="s">
        <v>507</v>
      </c>
      <c r="G259" t="s">
        <v>51</v>
      </c>
      <c r="H259" t="s">
        <v>102</v>
      </c>
      <c r="I259" t="s">
        <v>86</v>
      </c>
      <c r="J259" t="s">
        <v>87</v>
      </c>
      <c r="K259">
        <v>824062</v>
      </c>
      <c r="L259" t="s">
        <v>261</v>
      </c>
      <c r="M259" t="s">
        <v>262</v>
      </c>
      <c r="N259" t="s">
        <v>57</v>
      </c>
      <c r="O259" s="1">
        <v>45700</v>
      </c>
      <c r="Q259" s="1">
        <v>46034</v>
      </c>
      <c r="R259" s="2">
        <v>64.760000000000005</v>
      </c>
      <c r="S259">
        <v>1</v>
      </c>
      <c r="T259" t="s">
        <v>58</v>
      </c>
      <c r="U259" t="s">
        <v>59</v>
      </c>
      <c r="V259" s="3">
        <v>0.375</v>
      </c>
      <c r="W259" s="2">
        <v>0</v>
      </c>
      <c r="X259">
        <v>0</v>
      </c>
      <c r="Y259" t="s">
        <v>83</v>
      </c>
      <c r="Z259" t="s">
        <v>61</v>
      </c>
      <c r="AA259">
        <v>0</v>
      </c>
      <c r="AB259" s="2">
        <v>0</v>
      </c>
      <c r="AC259" s="2">
        <v>0</v>
      </c>
      <c r="AD259" s="4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24.28</v>
      </c>
      <c r="AN259" s="2">
        <v>24.28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45999</v>
      </c>
      <c r="B260" t="s">
        <v>48</v>
      </c>
      <c r="C260">
        <v>649163</v>
      </c>
      <c r="D260">
        <v>2027070509</v>
      </c>
      <c r="E260" t="s">
        <v>293</v>
      </c>
      <c r="F260" t="s">
        <v>508</v>
      </c>
      <c r="G260" t="s">
        <v>51</v>
      </c>
      <c r="H260" t="s">
        <v>509</v>
      </c>
      <c r="I260" t="s">
        <v>86</v>
      </c>
      <c r="J260" t="s">
        <v>87</v>
      </c>
      <c r="K260">
        <v>756418</v>
      </c>
      <c r="L260" t="s">
        <v>409</v>
      </c>
      <c r="M260" t="s">
        <v>410</v>
      </c>
      <c r="N260" t="s">
        <v>57</v>
      </c>
      <c r="O260" s="1">
        <v>45700</v>
      </c>
      <c r="Q260" s="1">
        <v>46034</v>
      </c>
      <c r="R260" s="2">
        <v>31.14</v>
      </c>
      <c r="S260">
        <v>1</v>
      </c>
      <c r="T260" t="s">
        <v>58</v>
      </c>
      <c r="U260" t="s">
        <v>59</v>
      </c>
      <c r="V260" s="3">
        <v>0.375</v>
      </c>
      <c r="W260" s="2">
        <v>0</v>
      </c>
      <c r="X260">
        <v>0</v>
      </c>
      <c r="Y260" t="s">
        <v>83</v>
      </c>
      <c r="Z260" t="s">
        <v>61</v>
      </c>
      <c r="AA260">
        <v>0</v>
      </c>
      <c r="AB260" s="2">
        <v>0</v>
      </c>
      <c r="AC260" s="2">
        <v>0</v>
      </c>
      <c r="AD260" s="4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11.68</v>
      </c>
      <c r="AN260" s="2">
        <v>11.68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45999</v>
      </c>
      <c r="B261" t="s">
        <v>48</v>
      </c>
      <c r="C261">
        <v>649163</v>
      </c>
      <c r="D261">
        <v>2027380470</v>
      </c>
      <c r="E261" t="s">
        <v>510</v>
      </c>
      <c r="F261" t="s">
        <v>511</v>
      </c>
      <c r="G261" t="s">
        <v>51</v>
      </c>
      <c r="H261" t="s">
        <v>102</v>
      </c>
      <c r="I261" t="s">
        <v>86</v>
      </c>
      <c r="J261" t="s">
        <v>87</v>
      </c>
      <c r="K261">
        <v>822733</v>
      </c>
      <c r="L261" t="s">
        <v>224</v>
      </c>
      <c r="M261" t="s">
        <v>225</v>
      </c>
      <c r="N261" t="s">
        <v>57</v>
      </c>
      <c r="O261" s="1">
        <v>45723</v>
      </c>
      <c r="Q261" s="1">
        <v>46029</v>
      </c>
      <c r="R261" s="2">
        <v>60.3</v>
      </c>
      <c r="S261">
        <v>1</v>
      </c>
      <c r="T261" t="s">
        <v>58</v>
      </c>
      <c r="U261" t="s">
        <v>59</v>
      </c>
      <c r="V261" s="3">
        <v>0.375</v>
      </c>
      <c r="W261" s="2">
        <v>0</v>
      </c>
      <c r="X261">
        <v>0</v>
      </c>
      <c r="Y261" t="s">
        <v>83</v>
      </c>
      <c r="Z261" t="s">
        <v>61</v>
      </c>
      <c r="AA261">
        <v>0</v>
      </c>
      <c r="AB261" s="2">
        <v>0</v>
      </c>
      <c r="AC261" s="2">
        <v>0</v>
      </c>
      <c r="AD261" s="4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22.61</v>
      </c>
      <c r="AN261" s="2">
        <v>22.61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45999</v>
      </c>
      <c r="B262" t="s">
        <v>48</v>
      </c>
      <c r="C262">
        <v>649163</v>
      </c>
      <c r="D262">
        <v>2027482811</v>
      </c>
      <c r="E262" t="s">
        <v>226</v>
      </c>
      <c r="F262" t="s">
        <v>137</v>
      </c>
      <c r="G262" t="s">
        <v>51</v>
      </c>
      <c r="H262" t="s">
        <v>374</v>
      </c>
      <c r="I262" t="s">
        <v>86</v>
      </c>
      <c r="J262" t="s">
        <v>87</v>
      </c>
      <c r="K262">
        <v>651818</v>
      </c>
      <c r="L262" t="s">
        <v>246</v>
      </c>
      <c r="M262" t="s">
        <v>247</v>
      </c>
      <c r="N262" t="s">
        <v>57</v>
      </c>
      <c r="O262" s="1">
        <v>45723</v>
      </c>
      <c r="Q262" s="1">
        <v>46029</v>
      </c>
      <c r="R262" s="2">
        <v>40.1</v>
      </c>
      <c r="S262">
        <v>1</v>
      </c>
      <c r="T262" t="s">
        <v>58</v>
      </c>
      <c r="U262" t="s">
        <v>59</v>
      </c>
      <c r="V262" s="3">
        <v>0.375</v>
      </c>
      <c r="W262" s="2">
        <v>0</v>
      </c>
      <c r="X262">
        <v>0</v>
      </c>
      <c r="Y262" t="s">
        <v>83</v>
      </c>
      <c r="Z262" t="s">
        <v>61</v>
      </c>
      <c r="AA262">
        <v>0</v>
      </c>
      <c r="AB262" s="2">
        <v>0</v>
      </c>
      <c r="AC262" s="2">
        <v>0</v>
      </c>
      <c r="AD262" s="4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15.04</v>
      </c>
      <c r="AN262" s="2">
        <v>15.04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45999</v>
      </c>
      <c r="B263" t="s">
        <v>48</v>
      </c>
      <c r="C263">
        <v>649163</v>
      </c>
      <c r="D263">
        <v>2027545460</v>
      </c>
      <c r="E263" t="s">
        <v>512</v>
      </c>
      <c r="F263" t="s">
        <v>513</v>
      </c>
      <c r="G263" t="s">
        <v>51</v>
      </c>
      <c r="H263" t="s">
        <v>102</v>
      </c>
      <c r="I263" t="s">
        <v>86</v>
      </c>
      <c r="J263" t="s">
        <v>87</v>
      </c>
      <c r="K263">
        <v>651818</v>
      </c>
      <c r="L263" t="s">
        <v>246</v>
      </c>
      <c r="M263" t="s">
        <v>247</v>
      </c>
      <c r="N263" t="s">
        <v>57</v>
      </c>
      <c r="O263" s="1">
        <v>45723</v>
      </c>
      <c r="Q263" s="1">
        <v>46029</v>
      </c>
      <c r="R263" s="2">
        <v>48.61</v>
      </c>
      <c r="S263">
        <v>1</v>
      </c>
      <c r="T263" t="s">
        <v>58</v>
      </c>
      <c r="U263" t="s">
        <v>59</v>
      </c>
      <c r="V263" s="3">
        <v>0.375</v>
      </c>
      <c r="W263" s="2">
        <v>0</v>
      </c>
      <c r="X263">
        <v>0</v>
      </c>
      <c r="Y263" t="s">
        <v>83</v>
      </c>
      <c r="Z263" t="s">
        <v>61</v>
      </c>
      <c r="AA263">
        <v>0</v>
      </c>
      <c r="AB263" s="2">
        <v>0</v>
      </c>
      <c r="AC263" s="2">
        <v>0</v>
      </c>
      <c r="AD263" s="4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18.23</v>
      </c>
      <c r="AN263" s="2">
        <v>18.23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45999</v>
      </c>
      <c r="B264" t="s">
        <v>48</v>
      </c>
      <c r="C264">
        <v>649163</v>
      </c>
      <c r="D264">
        <v>2027573959</v>
      </c>
      <c r="E264" t="s">
        <v>514</v>
      </c>
      <c r="F264" t="s">
        <v>411</v>
      </c>
      <c r="G264" t="s">
        <v>51</v>
      </c>
      <c r="H264" t="s">
        <v>515</v>
      </c>
      <c r="I264" t="s">
        <v>86</v>
      </c>
      <c r="J264" t="s">
        <v>87</v>
      </c>
      <c r="K264">
        <v>673059</v>
      </c>
      <c r="L264" t="s">
        <v>81</v>
      </c>
      <c r="M264" t="s">
        <v>82</v>
      </c>
      <c r="N264" t="s">
        <v>57</v>
      </c>
      <c r="O264" s="1">
        <v>45757</v>
      </c>
      <c r="Q264" s="1">
        <v>46032</v>
      </c>
      <c r="R264" s="2">
        <v>23.34</v>
      </c>
      <c r="S264">
        <v>1</v>
      </c>
      <c r="T264" t="s">
        <v>58</v>
      </c>
      <c r="U264" t="s">
        <v>59</v>
      </c>
      <c r="V264" s="3">
        <v>0.375</v>
      </c>
      <c r="W264" s="2">
        <v>0</v>
      </c>
      <c r="X264">
        <v>0</v>
      </c>
      <c r="Y264" t="s">
        <v>83</v>
      </c>
      <c r="Z264" t="s">
        <v>61</v>
      </c>
      <c r="AA264">
        <v>0</v>
      </c>
      <c r="AB264" s="2">
        <v>0</v>
      </c>
      <c r="AC264" s="2">
        <v>0</v>
      </c>
      <c r="AD264" s="4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8.75</v>
      </c>
      <c r="AN264" s="2">
        <v>8.75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45999</v>
      </c>
      <c r="B265" t="s">
        <v>48</v>
      </c>
      <c r="C265">
        <v>649163</v>
      </c>
      <c r="D265">
        <v>2027706491</v>
      </c>
      <c r="E265" t="s">
        <v>516</v>
      </c>
      <c r="F265" t="s">
        <v>517</v>
      </c>
      <c r="G265" t="s">
        <v>51</v>
      </c>
      <c r="H265" t="s">
        <v>102</v>
      </c>
      <c r="I265" t="s">
        <v>86</v>
      </c>
      <c r="J265" t="s">
        <v>87</v>
      </c>
      <c r="K265">
        <v>768887</v>
      </c>
      <c r="L265" t="s">
        <v>206</v>
      </c>
      <c r="M265" t="s">
        <v>207</v>
      </c>
      <c r="N265" t="s">
        <v>57</v>
      </c>
      <c r="O265" s="1">
        <v>45727</v>
      </c>
      <c r="Q265" s="1">
        <v>46033</v>
      </c>
      <c r="R265" s="2">
        <v>103.42</v>
      </c>
      <c r="S265">
        <v>1</v>
      </c>
      <c r="T265" t="s">
        <v>58</v>
      </c>
      <c r="U265" t="s">
        <v>59</v>
      </c>
      <c r="V265" s="3">
        <v>0.375</v>
      </c>
      <c r="W265" s="2">
        <v>0</v>
      </c>
      <c r="X265">
        <v>0</v>
      </c>
      <c r="Y265" t="s">
        <v>83</v>
      </c>
      <c r="Z265" t="s">
        <v>61</v>
      </c>
      <c r="AA265">
        <v>0</v>
      </c>
      <c r="AB265" s="2">
        <v>0</v>
      </c>
      <c r="AC265" s="2">
        <v>0</v>
      </c>
      <c r="AD265" s="4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38.78</v>
      </c>
      <c r="AN265" s="2">
        <v>38.78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45999</v>
      </c>
      <c r="B266" t="s">
        <v>48</v>
      </c>
      <c r="C266">
        <v>649163</v>
      </c>
      <c r="D266">
        <v>2027729456</v>
      </c>
      <c r="E266" t="s">
        <v>518</v>
      </c>
      <c r="F266" t="s">
        <v>519</v>
      </c>
      <c r="G266" t="s">
        <v>51</v>
      </c>
      <c r="H266" t="s">
        <v>102</v>
      </c>
      <c r="I266" t="s">
        <v>86</v>
      </c>
      <c r="J266" t="s">
        <v>87</v>
      </c>
      <c r="K266">
        <v>812782</v>
      </c>
      <c r="L266" t="s">
        <v>159</v>
      </c>
      <c r="M266" t="s">
        <v>160</v>
      </c>
      <c r="N266" t="s">
        <v>57</v>
      </c>
      <c r="O266" s="1">
        <v>45728</v>
      </c>
      <c r="Q266" s="1">
        <v>46034</v>
      </c>
      <c r="R266" s="2">
        <v>150.44999999999999</v>
      </c>
      <c r="S266">
        <v>1</v>
      </c>
      <c r="T266" t="s">
        <v>58</v>
      </c>
      <c r="U266" t="s">
        <v>59</v>
      </c>
      <c r="V266" s="3">
        <v>0.375</v>
      </c>
      <c r="W266" s="2">
        <v>0</v>
      </c>
      <c r="X266">
        <v>0</v>
      </c>
      <c r="Y266" t="s">
        <v>83</v>
      </c>
      <c r="Z266" t="s">
        <v>61</v>
      </c>
      <c r="AA266">
        <v>0</v>
      </c>
      <c r="AB266" s="2">
        <v>0</v>
      </c>
      <c r="AC266" s="2">
        <v>0</v>
      </c>
      <c r="AD266" s="4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56.42</v>
      </c>
      <c r="AN266" s="2">
        <v>56.42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45999</v>
      </c>
      <c r="B267" t="s">
        <v>48</v>
      </c>
      <c r="C267">
        <v>649163</v>
      </c>
      <c r="D267">
        <v>2027980064</v>
      </c>
      <c r="E267" t="s">
        <v>143</v>
      </c>
      <c r="F267" t="s">
        <v>144</v>
      </c>
      <c r="G267" t="s">
        <v>51</v>
      </c>
      <c r="H267" t="s">
        <v>102</v>
      </c>
      <c r="I267" t="s">
        <v>86</v>
      </c>
      <c r="J267" t="s">
        <v>87</v>
      </c>
      <c r="K267">
        <v>856824</v>
      </c>
      <c r="L267" t="s">
        <v>145</v>
      </c>
      <c r="M267" t="s">
        <v>146</v>
      </c>
      <c r="N267" t="s">
        <v>57</v>
      </c>
      <c r="O267" s="1">
        <v>45748</v>
      </c>
      <c r="Q267" s="1">
        <v>46023</v>
      </c>
      <c r="R267" s="2">
        <v>48.61</v>
      </c>
      <c r="S267">
        <v>1</v>
      </c>
      <c r="T267" t="s">
        <v>58</v>
      </c>
      <c r="U267" t="s">
        <v>59</v>
      </c>
      <c r="V267" s="3">
        <v>0.375</v>
      </c>
      <c r="W267" s="2">
        <v>0</v>
      </c>
      <c r="X267">
        <v>0</v>
      </c>
      <c r="Y267" t="s">
        <v>83</v>
      </c>
      <c r="Z267" t="s">
        <v>61</v>
      </c>
      <c r="AA267">
        <v>0</v>
      </c>
      <c r="AB267" s="2">
        <v>0</v>
      </c>
      <c r="AC267" s="2">
        <v>0</v>
      </c>
      <c r="AD267" s="4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18.23</v>
      </c>
      <c r="AN267" s="2">
        <v>18.23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45999</v>
      </c>
      <c r="B268" t="s">
        <v>48</v>
      </c>
      <c r="C268">
        <v>649163</v>
      </c>
      <c r="D268">
        <v>2028043911</v>
      </c>
      <c r="E268" t="s">
        <v>147</v>
      </c>
      <c r="F268" t="s">
        <v>148</v>
      </c>
      <c r="G268" t="s">
        <v>51</v>
      </c>
      <c r="H268" t="s">
        <v>102</v>
      </c>
      <c r="I268" t="s">
        <v>86</v>
      </c>
      <c r="J268" t="s">
        <v>87</v>
      </c>
      <c r="K268">
        <v>806645</v>
      </c>
      <c r="L268" t="s">
        <v>98</v>
      </c>
      <c r="M268" t="s">
        <v>99</v>
      </c>
      <c r="N268" t="s">
        <v>94</v>
      </c>
      <c r="O268" s="1">
        <v>45748</v>
      </c>
      <c r="P268" s="1">
        <v>45992</v>
      </c>
      <c r="Q268" s="1">
        <v>46023</v>
      </c>
      <c r="R268" s="2">
        <v>-90.76</v>
      </c>
      <c r="S268">
        <v>1</v>
      </c>
      <c r="T268" t="s">
        <v>58</v>
      </c>
      <c r="U268" t="s">
        <v>59</v>
      </c>
      <c r="V268" s="3">
        <v>0.375</v>
      </c>
      <c r="W268" s="2">
        <v>0</v>
      </c>
      <c r="X268">
        <v>-1</v>
      </c>
      <c r="Y268" t="s">
        <v>83</v>
      </c>
      <c r="Z268" t="s">
        <v>61</v>
      </c>
      <c r="AA268">
        <v>0</v>
      </c>
      <c r="AB268" s="2">
        <v>0</v>
      </c>
      <c r="AC268" s="2">
        <v>0</v>
      </c>
      <c r="AD268" s="4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-34.04</v>
      </c>
      <c r="AN268" s="2">
        <v>-34.04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45999</v>
      </c>
      <c r="B269" t="s">
        <v>48</v>
      </c>
      <c r="C269">
        <v>649163</v>
      </c>
      <c r="D269">
        <v>2028052820</v>
      </c>
      <c r="E269" t="s">
        <v>520</v>
      </c>
      <c r="F269" t="s">
        <v>521</v>
      </c>
      <c r="G269" t="s">
        <v>51</v>
      </c>
      <c r="H269" t="s">
        <v>97</v>
      </c>
      <c r="I269" t="s">
        <v>86</v>
      </c>
      <c r="J269" t="s">
        <v>87</v>
      </c>
      <c r="K269">
        <v>753748</v>
      </c>
      <c r="L269" t="s">
        <v>396</v>
      </c>
      <c r="M269" t="s">
        <v>397</v>
      </c>
      <c r="N269" t="s">
        <v>57</v>
      </c>
      <c r="O269" s="1">
        <v>45748</v>
      </c>
      <c r="Q269" s="1">
        <v>46023</v>
      </c>
      <c r="R269" s="2">
        <v>-132.93</v>
      </c>
      <c r="S269">
        <v>1</v>
      </c>
      <c r="T269" t="s">
        <v>58</v>
      </c>
      <c r="U269" t="s">
        <v>59</v>
      </c>
      <c r="V269" s="3">
        <v>0.375</v>
      </c>
      <c r="W269" s="2">
        <v>0</v>
      </c>
      <c r="X269">
        <v>-1</v>
      </c>
      <c r="Y269" t="s">
        <v>83</v>
      </c>
      <c r="Z269" t="s">
        <v>61</v>
      </c>
      <c r="AA269">
        <v>0</v>
      </c>
      <c r="AB269" s="2">
        <v>0</v>
      </c>
      <c r="AC269" s="2">
        <v>0</v>
      </c>
      <c r="AD269" s="4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-49.85</v>
      </c>
      <c r="AN269" s="2">
        <v>-49.85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45999</v>
      </c>
      <c r="B270" t="s">
        <v>48</v>
      </c>
      <c r="C270">
        <v>649163</v>
      </c>
      <c r="D270">
        <v>2028174265</v>
      </c>
      <c r="E270" t="s">
        <v>266</v>
      </c>
      <c r="F270" t="s">
        <v>522</v>
      </c>
      <c r="G270" t="s">
        <v>51</v>
      </c>
      <c r="H270" t="s">
        <v>102</v>
      </c>
      <c r="I270" t="s">
        <v>86</v>
      </c>
      <c r="J270" t="s">
        <v>87</v>
      </c>
      <c r="K270">
        <v>843573</v>
      </c>
      <c r="L270" t="s">
        <v>253</v>
      </c>
      <c r="M270" t="s">
        <v>254</v>
      </c>
      <c r="N270" t="s">
        <v>57</v>
      </c>
      <c r="O270" s="1">
        <v>45758</v>
      </c>
      <c r="Q270" s="1">
        <v>46033</v>
      </c>
      <c r="R270" s="2">
        <v>32.67</v>
      </c>
      <c r="S270">
        <v>1</v>
      </c>
      <c r="T270" t="s">
        <v>58</v>
      </c>
      <c r="U270" t="s">
        <v>59</v>
      </c>
      <c r="V270" s="3">
        <v>0.375</v>
      </c>
      <c r="W270" s="2">
        <v>0</v>
      </c>
      <c r="X270">
        <v>0</v>
      </c>
      <c r="Y270" t="s">
        <v>83</v>
      </c>
      <c r="Z270" t="s">
        <v>61</v>
      </c>
      <c r="AA270">
        <v>0</v>
      </c>
      <c r="AB270" s="2">
        <v>0</v>
      </c>
      <c r="AC270" s="2">
        <v>0</v>
      </c>
      <c r="AD270" s="4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12.25</v>
      </c>
      <c r="AN270" s="2">
        <v>12.25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45999</v>
      </c>
      <c r="B271" t="s">
        <v>48</v>
      </c>
      <c r="C271">
        <v>649163</v>
      </c>
      <c r="D271">
        <v>2028192004</v>
      </c>
      <c r="E271" t="s">
        <v>523</v>
      </c>
      <c r="F271" t="s">
        <v>524</v>
      </c>
      <c r="G271" t="s">
        <v>51</v>
      </c>
      <c r="H271" t="s">
        <v>102</v>
      </c>
      <c r="I271" t="s">
        <v>86</v>
      </c>
      <c r="J271" t="s">
        <v>87</v>
      </c>
      <c r="K271">
        <v>840313</v>
      </c>
      <c r="L271" t="s">
        <v>525</v>
      </c>
      <c r="M271" t="s">
        <v>526</v>
      </c>
      <c r="N271" t="s">
        <v>57</v>
      </c>
      <c r="O271" s="1">
        <v>45755</v>
      </c>
      <c r="Q271" s="1">
        <v>46030</v>
      </c>
      <c r="R271" s="2">
        <v>129.41</v>
      </c>
      <c r="S271">
        <v>1</v>
      </c>
      <c r="T271" t="s">
        <v>58</v>
      </c>
      <c r="U271" t="s">
        <v>59</v>
      </c>
      <c r="V271" s="3">
        <v>0.375</v>
      </c>
      <c r="W271" s="2">
        <v>0</v>
      </c>
      <c r="X271">
        <v>0</v>
      </c>
      <c r="Y271" t="s">
        <v>83</v>
      </c>
      <c r="Z271" t="s">
        <v>61</v>
      </c>
      <c r="AA271">
        <v>0</v>
      </c>
      <c r="AB271" s="2">
        <v>0</v>
      </c>
      <c r="AC271" s="2">
        <v>0</v>
      </c>
      <c r="AD271" s="4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48.53</v>
      </c>
      <c r="AN271" s="2">
        <v>48.53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45999</v>
      </c>
      <c r="B272" t="s">
        <v>48</v>
      </c>
      <c r="C272">
        <v>649163</v>
      </c>
      <c r="D272">
        <v>2028271608</v>
      </c>
      <c r="E272" t="s">
        <v>527</v>
      </c>
      <c r="F272" t="s">
        <v>528</v>
      </c>
      <c r="G272" t="s">
        <v>51</v>
      </c>
      <c r="H272" t="s">
        <v>102</v>
      </c>
      <c r="I272" t="s">
        <v>86</v>
      </c>
      <c r="J272" t="s">
        <v>87</v>
      </c>
      <c r="K272">
        <v>856824</v>
      </c>
      <c r="L272" t="s">
        <v>145</v>
      </c>
      <c r="M272" t="s">
        <v>146</v>
      </c>
      <c r="N272" t="s">
        <v>57</v>
      </c>
      <c r="O272" s="1">
        <v>45755</v>
      </c>
      <c r="Q272" s="1">
        <v>46030</v>
      </c>
      <c r="R272" s="2">
        <v>81.94</v>
      </c>
      <c r="S272">
        <v>1</v>
      </c>
      <c r="T272" t="s">
        <v>58</v>
      </c>
      <c r="U272" t="s">
        <v>59</v>
      </c>
      <c r="V272" s="3">
        <v>0.375</v>
      </c>
      <c r="W272" s="2">
        <v>0</v>
      </c>
      <c r="X272">
        <v>0</v>
      </c>
      <c r="Y272" t="s">
        <v>83</v>
      </c>
      <c r="Z272" t="s">
        <v>61</v>
      </c>
      <c r="AA272">
        <v>0</v>
      </c>
      <c r="AB272" s="2">
        <v>0</v>
      </c>
      <c r="AC272" s="2">
        <v>0</v>
      </c>
      <c r="AD272" s="4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30.73</v>
      </c>
      <c r="AN272" s="2">
        <v>30.73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45999</v>
      </c>
      <c r="B273" t="s">
        <v>48</v>
      </c>
      <c r="C273">
        <v>649163</v>
      </c>
      <c r="D273">
        <v>2028281047</v>
      </c>
      <c r="E273" t="s">
        <v>529</v>
      </c>
      <c r="F273" t="s">
        <v>530</v>
      </c>
      <c r="G273" t="s">
        <v>51</v>
      </c>
      <c r="H273" t="s">
        <v>102</v>
      </c>
      <c r="I273" t="s">
        <v>86</v>
      </c>
      <c r="J273" t="s">
        <v>87</v>
      </c>
      <c r="K273">
        <v>806645</v>
      </c>
      <c r="L273" t="s">
        <v>98</v>
      </c>
      <c r="M273" t="s">
        <v>99</v>
      </c>
      <c r="N273" t="s">
        <v>57</v>
      </c>
      <c r="O273" s="1">
        <v>45755</v>
      </c>
      <c r="Q273" s="1">
        <v>46030</v>
      </c>
      <c r="R273" s="2">
        <v>59.51</v>
      </c>
      <c r="S273">
        <v>1</v>
      </c>
      <c r="T273" t="s">
        <v>58</v>
      </c>
      <c r="U273" t="s">
        <v>59</v>
      </c>
      <c r="V273" s="3">
        <v>0.375</v>
      </c>
      <c r="W273" s="2">
        <v>0</v>
      </c>
      <c r="X273">
        <v>0</v>
      </c>
      <c r="Y273" t="s">
        <v>83</v>
      </c>
      <c r="Z273" t="s">
        <v>61</v>
      </c>
      <c r="AA273">
        <v>0</v>
      </c>
      <c r="AB273" s="2">
        <v>0</v>
      </c>
      <c r="AC273" s="2">
        <v>0</v>
      </c>
      <c r="AD273" s="4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22.32</v>
      </c>
      <c r="AN273" s="2">
        <v>22.32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45999</v>
      </c>
      <c r="B274" t="s">
        <v>48</v>
      </c>
      <c r="C274">
        <v>649163</v>
      </c>
      <c r="D274">
        <v>2028281146</v>
      </c>
      <c r="E274" t="s">
        <v>531</v>
      </c>
      <c r="F274" t="s">
        <v>65</v>
      </c>
      <c r="G274" t="s">
        <v>51</v>
      </c>
      <c r="H274" t="s">
        <v>200</v>
      </c>
      <c r="I274" t="s">
        <v>86</v>
      </c>
      <c r="J274" t="s">
        <v>87</v>
      </c>
      <c r="K274">
        <v>816021</v>
      </c>
      <c r="L274" t="s">
        <v>201</v>
      </c>
      <c r="M274" t="s">
        <v>202</v>
      </c>
      <c r="N274" t="s">
        <v>57</v>
      </c>
      <c r="O274" s="1">
        <v>45755</v>
      </c>
      <c r="Q274" s="1">
        <v>46030</v>
      </c>
      <c r="R274" s="2">
        <v>120.25</v>
      </c>
      <c r="S274">
        <v>1</v>
      </c>
      <c r="T274" t="s">
        <v>58</v>
      </c>
      <c r="U274" t="s">
        <v>59</v>
      </c>
      <c r="V274" s="3">
        <v>0.375</v>
      </c>
      <c r="W274" s="2">
        <v>0</v>
      </c>
      <c r="X274">
        <v>0</v>
      </c>
      <c r="Y274" t="s">
        <v>83</v>
      </c>
      <c r="Z274" t="s">
        <v>61</v>
      </c>
      <c r="AA274">
        <v>0</v>
      </c>
      <c r="AB274" s="2">
        <v>0</v>
      </c>
      <c r="AC274" s="2">
        <v>0</v>
      </c>
      <c r="AD274" s="4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45.09</v>
      </c>
      <c r="AN274" s="2">
        <v>45.09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45999</v>
      </c>
      <c r="B275" t="s">
        <v>48</v>
      </c>
      <c r="C275">
        <v>649163</v>
      </c>
      <c r="D275">
        <v>2028297703</v>
      </c>
      <c r="E275" t="s">
        <v>532</v>
      </c>
      <c r="F275" t="s">
        <v>533</v>
      </c>
      <c r="G275" t="s">
        <v>51</v>
      </c>
      <c r="H275" t="s">
        <v>79</v>
      </c>
      <c r="I275" t="s">
        <v>86</v>
      </c>
      <c r="J275" t="s">
        <v>87</v>
      </c>
      <c r="K275">
        <v>822865</v>
      </c>
      <c r="L275" t="s">
        <v>534</v>
      </c>
      <c r="M275" t="s">
        <v>535</v>
      </c>
      <c r="N275" t="s">
        <v>57</v>
      </c>
      <c r="O275" s="1">
        <v>45756</v>
      </c>
      <c r="Q275" s="1">
        <v>46031</v>
      </c>
      <c r="R275" s="2">
        <v>18.62</v>
      </c>
      <c r="S275">
        <v>1</v>
      </c>
      <c r="T275" t="s">
        <v>58</v>
      </c>
      <c r="U275" t="s">
        <v>59</v>
      </c>
      <c r="V275" s="3">
        <v>0.375</v>
      </c>
      <c r="W275" s="2">
        <v>0</v>
      </c>
      <c r="X275">
        <v>0</v>
      </c>
      <c r="Y275" t="s">
        <v>83</v>
      </c>
      <c r="Z275" t="s">
        <v>61</v>
      </c>
      <c r="AA275">
        <v>0</v>
      </c>
      <c r="AB275" s="2">
        <v>0</v>
      </c>
      <c r="AC275" s="2">
        <v>0</v>
      </c>
      <c r="AD275" s="4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6.98</v>
      </c>
      <c r="AN275" s="2">
        <v>6.98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45999</v>
      </c>
      <c r="B276" t="s">
        <v>48</v>
      </c>
      <c r="C276">
        <v>649163</v>
      </c>
      <c r="D276">
        <v>2028349435</v>
      </c>
      <c r="E276" t="s">
        <v>77</v>
      </c>
      <c r="F276" t="s">
        <v>78</v>
      </c>
      <c r="G276" t="s">
        <v>51</v>
      </c>
      <c r="H276" t="s">
        <v>79</v>
      </c>
      <c r="I276" t="s">
        <v>86</v>
      </c>
      <c r="J276" t="s">
        <v>87</v>
      </c>
      <c r="K276">
        <v>673059</v>
      </c>
      <c r="L276" t="s">
        <v>81</v>
      </c>
      <c r="M276" t="s">
        <v>82</v>
      </c>
      <c r="N276" t="s">
        <v>57</v>
      </c>
      <c r="O276" s="1">
        <v>45778</v>
      </c>
      <c r="Q276" s="1">
        <v>46023</v>
      </c>
      <c r="R276" s="2">
        <v>-18.62</v>
      </c>
      <c r="S276">
        <v>1</v>
      </c>
      <c r="T276" t="s">
        <v>58</v>
      </c>
      <c r="U276" t="s">
        <v>59</v>
      </c>
      <c r="V276" s="3">
        <v>0.375</v>
      </c>
      <c r="W276" s="2">
        <v>0</v>
      </c>
      <c r="X276">
        <v>-1</v>
      </c>
      <c r="Y276" t="s">
        <v>83</v>
      </c>
      <c r="Z276" t="s">
        <v>61</v>
      </c>
      <c r="AA276">
        <v>0</v>
      </c>
      <c r="AB276" s="2">
        <v>0</v>
      </c>
      <c r="AC276" s="2">
        <v>0</v>
      </c>
      <c r="AD276" s="4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-6.98</v>
      </c>
      <c r="AN276" s="2">
        <v>-6.98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45999</v>
      </c>
      <c r="B277" t="s">
        <v>48</v>
      </c>
      <c r="C277">
        <v>649163</v>
      </c>
      <c r="D277">
        <v>2028367120</v>
      </c>
      <c r="E277" t="s">
        <v>536</v>
      </c>
      <c r="F277" t="s">
        <v>537</v>
      </c>
      <c r="G277" t="s">
        <v>51</v>
      </c>
      <c r="H277" t="s">
        <v>79</v>
      </c>
      <c r="I277" t="s">
        <v>86</v>
      </c>
      <c r="J277" t="s">
        <v>87</v>
      </c>
      <c r="K277">
        <v>673059</v>
      </c>
      <c r="L277" t="s">
        <v>81</v>
      </c>
      <c r="M277" t="s">
        <v>82</v>
      </c>
      <c r="N277" t="s">
        <v>57</v>
      </c>
      <c r="O277" s="1">
        <v>45759</v>
      </c>
      <c r="Q277" s="1">
        <v>46034</v>
      </c>
      <c r="R277" s="2">
        <v>18.62</v>
      </c>
      <c r="S277">
        <v>1</v>
      </c>
      <c r="T277" t="s">
        <v>58</v>
      </c>
      <c r="U277" t="s">
        <v>59</v>
      </c>
      <c r="V277" s="3">
        <v>0.375</v>
      </c>
      <c r="W277" s="2">
        <v>0</v>
      </c>
      <c r="X277">
        <v>0</v>
      </c>
      <c r="Y277" t="s">
        <v>83</v>
      </c>
      <c r="Z277" t="s">
        <v>61</v>
      </c>
      <c r="AA277">
        <v>0</v>
      </c>
      <c r="AB277" s="2">
        <v>0</v>
      </c>
      <c r="AC277" s="2">
        <v>0</v>
      </c>
      <c r="AD277" s="4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6.98</v>
      </c>
      <c r="AN277" s="2">
        <v>6.98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45999</v>
      </c>
      <c r="B278" t="s">
        <v>48</v>
      </c>
      <c r="C278">
        <v>649163</v>
      </c>
      <c r="D278">
        <v>2028683414</v>
      </c>
      <c r="E278" t="s">
        <v>538</v>
      </c>
      <c r="F278" t="s">
        <v>538</v>
      </c>
      <c r="G278" t="s">
        <v>51</v>
      </c>
      <c r="H278" t="s">
        <v>102</v>
      </c>
      <c r="I278" t="s">
        <v>86</v>
      </c>
      <c r="J278" t="s">
        <v>87</v>
      </c>
      <c r="K278">
        <v>824076</v>
      </c>
      <c r="L278" t="s">
        <v>213</v>
      </c>
      <c r="M278" t="s">
        <v>214</v>
      </c>
      <c r="N278" t="s">
        <v>57</v>
      </c>
      <c r="O278" s="1">
        <v>45778</v>
      </c>
      <c r="Q278" s="1">
        <v>46023</v>
      </c>
      <c r="R278" s="2">
        <v>176.99</v>
      </c>
      <c r="S278">
        <v>1</v>
      </c>
      <c r="T278" t="s">
        <v>58</v>
      </c>
      <c r="U278" t="s">
        <v>59</v>
      </c>
      <c r="V278" s="3">
        <v>0.375</v>
      </c>
      <c r="W278" s="2">
        <v>0</v>
      </c>
      <c r="X278">
        <v>0</v>
      </c>
      <c r="Y278" t="s">
        <v>83</v>
      </c>
      <c r="Z278" t="s">
        <v>61</v>
      </c>
      <c r="AA278">
        <v>0</v>
      </c>
      <c r="AB278" s="2">
        <v>0</v>
      </c>
      <c r="AC278" s="2">
        <v>0</v>
      </c>
      <c r="AD278" s="4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66.37</v>
      </c>
      <c r="AN278" s="2">
        <v>66.37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45999</v>
      </c>
      <c r="B279" t="s">
        <v>48</v>
      </c>
      <c r="C279">
        <v>649163</v>
      </c>
      <c r="D279">
        <v>2028775018</v>
      </c>
      <c r="E279" t="s">
        <v>539</v>
      </c>
      <c r="F279" t="s">
        <v>540</v>
      </c>
      <c r="G279" t="s">
        <v>51</v>
      </c>
      <c r="H279" t="s">
        <v>102</v>
      </c>
      <c r="I279" t="s">
        <v>86</v>
      </c>
      <c r="J279" t="s">
        <v>87</v>
      </c>
      <c r="K279">
        <v>856824</v>
      </c>
      <c r="L279" t="s">
        <v>145</v>
      </c>
      <c r="M279" t="s">
        <v>146</v>
      </c>
      <c r="N279" t="s">
        <v>57</v>
      </c>
      <c r="O279" s="1">
        <v>45783</v>
      </c>
      <c r="Q279" s="1">
        <v>46028</v>
      </c>
      <c r="R279" s="2">
        <v>22.52</v>
      </c>
      <c r="S279">
        <v>1</v>
      </c>
      <c r="T279" t="s">
        <v>58</v>
      </c>
      <c r="U279" t="s">
        <v>59</v>
      </c>
      <c r="V279" s="3">
        <v>0.375</v>
      </c>
      <c r="W279" s="2">
        <v>0</v>
      </c>
      <c r="X279">
        <v>0</v>
      </c>
      <c r="Y279" t="s">
        <v>83</v>
      </c>
      <c r="Z279" t="s">
        <v>61</v>
      </c>
      <c r="AA279">
        <v>0</v>
      </c>
      <c r="AB279" s="2">
        <v>0</v>
      </c>
      <c r="AC279" s="2">
        <v>0</v>
      </c>
      <c r="AD279" s="4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8.44</v>
      </c>
      <c r="AN279" s="2">
        <v>8.44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45999</v>
      </c>
      <c r="B280" t="s">
        <v>48</v>
      </c>
      <c r="C280">
        <v>649163</v>
      </c>
      <c r="D280">
        <v>2028775533</v>
      </c>
      <c r="E280" t="s">
        <v>541</v>
      </c>
      <c r="F280" t="s">
        <v>542</v>
      </c>
      <c r="G280" t="s">
        <v>51</v>
      </c>
      <c r="H280" t="s">
        <v>102</v>
      </c>
      <c r="I280" t="s">
        <v>86</v>
      </c>
      <c r="J280" t="s">
        <v>87</v>
      </c>
      <c r="K280">
        <v>856824</v>
      </c>
      <c r="L280" t="s">
        <v>145</v>
      </c>
      <c r="M280" t="s">
        <v>146</v>
      </c>
      <c r="N280" t="s">
        <v>57</v>
      </c>
      <c r="O280" s="1">
        <v>45783</v>
      </c>
      <c r="Q280" s="1">
        <v>46028</v>
      </c>
      <c r="R280" s="2">
        <v>22.52</v>
      </c>
      <c r="S280">
        <v>1</v>
      </c>
      <c r="T280" t="s">
        <v>58</v>
      </c>
      <c r="U280" t="s">
        <v>59</v>
      </c>
      <c r="V280" s="3">
        <v>0.375</v>
      </c>
      <c r="W280" s="2">
        <v>0</v>
      </c>
      <c r="X280">
        <v>0</v>
      </c>
      <c r="Y280" t="s">
        <v>83</v>
      </c>
      <c r="Z280" t="s">
        <v>61</v>
      </c>
      <c r="AA280">
        <v>0</v>
      </c>
      <c r="AB280" s="2">
        <v>0</v>
      </c>
      <c r="AC280" s="2">
        <v>0</v>
      </c>
      <c r="AD280" s="4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8.44</v>
      </c>
      <c r="AN280" s="2">
        <v>8.44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45999</v>
      </c>
      <c r="B281" t="s">
        <v>48</v>
      </c>
      <c r="C281">
        <v>649163</v>
      </c>
      <c r="D281">
        <v>2028801870</v>
      </c>
      <c r="E281" t="s">
        <v>543</v>
      </c>
      <c r="F281" t="s">
        <v>544</v>
      </c>
      <c r="G281" t="s">
        <v>51</v>
      </c>
      <c r="H281" t="s">
        <v>102</v>
      </c>
      <c r="I281" t="s">
        <v>86</v>
      </c>
      <c r="J281" t="s">
        <v>87</v>
      </c>
      <c r="K281">
        <v>824076</v>
      </c>
      <c r="L281" t="s">
        <v>213</v>
      </c>
      <c r="M281" t="s">
        <v>214</v>
      </c>
      <c r="N281" t="s">
        <v>57</v>
      </c>
      <c r="O281" s="1">
        <v>45784</v>
      </c>
      <c r="Q281" s="1">
        <v>46029</v>
      </c>
      <c r="R281" s="2">
        <v>38.44</v>
      </c>
      <c r="S281">
        <v>1</v>
      </c>
      <c r="T281" t="s">
        <v>58</v>
      </c>
      <c r="U281" t="s">
        <v>59</v>
      </c>
      <c r="V281" s="3">
        <v>0.375</v>
      </c>
      <c r="W281" s="2">
        <v>0</v>
      </c>
      <c r="X281">
        <v>0</v>
      </c>
      <c r="Y281" t="s">
        <v>83</v>
      </c>
      <c r="Z281" t="s">
        <v>61</v>
      </c>
      <c r="AA281">
        <v>0</v>
      </c>
      <c r="AB281" s="2">
        <v>0</v>
      </c>
      <c r="AC281" s="2">
        <v>0</v>
      </c>
      <c r="AD281" s="4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14.42</v>
      </c>
      <c r="AN281" s="2">
        <v>14.42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45999</v>
      </c>
      <c r="B282" t="s">
        <v>48</v>
      </c>
      <c r="C282">
        <v>649163</v>
      </c>
      <c r="D282">
        <v>2028819906</v>
      </c>
      <c r="E282" t="s">
        <v>545</v>
      </c>
      <c r="F282" t="s">
        <v>546</v>
      </c>
      <c r="G282" t="s">
        <v>51</v>
      </c>
      <c r="H282" t="s">
        <v>52</v>
      </c>
      <c r="I282" t="s">
        <v>86</v>
      </c>
      <c r="J282" t="s">
        <v>87</v>
      </c>
      <c r="K282">
        <v>650218</v>
      </c>
      <c r="L282" t="s">
        <v>88</v>
      </c>
      <c r="M282" t="s">
        <v>89</v>
      </c>
      <c r="N282" t="s">
        <v>57</v>
      </c>
      <c r="O282" s="1">
        <v>45785</v>
      </c>
      <c r="Q282" s="1">
        <v>46030</v>
      </c>
      <c r="R282" s="2">
        <v>32.979999999999997</v>
      </c>
      <c r="S282">
        <v>1</v>
      </c>
      <c r="T282" t="s">
        <v>58</v>
      </c>
      <c r="U282" t="s">
        <v>59</v>
      </c>
      <c r="V282" s="3">
        <v>0.375</v>
      </c>
      <c r="W282" s="2">
        <v>0</v>
      </c>
      <c r="X282">
        <v>0</v>
      </c>
      <c r="Y282" t="s">
        <v>83</v>
      </c>
      <c r="Z282" t="s">
        <v>61</v>
      </c>
      <c r="AA282">
        <v>0</v>
      </c>
      <c r="AB282" s="2">
        <v>0</v>
      </c>
      <c r="AC282" s="2">
        <v>0</v>
      </c>
      <c r="AD282" s="4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12.37</v>
      </c>
      <c r="AN282" s="2">
        <v>12.37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45999</v>
      </c>
      <c r="B283" t="s">
        <v>48</v>
      </c>
      <c r="C283">
        <v>649163</v>
      </c>
      <c r="D283">
        <v>2028831848</v>
      </c>
      <c r="E283" t="s">
        <v>547</v>
      </c>
      <c r="F283" t="s">
        <v>548</v>
      </c>
      <c r="G283" t="s">
        <v>51</v>
      </c>
      <c r="H283" t="s">
        <v>125</v>
      </c>
      <c r="I283" t="s">
        <v>86</v>
      </c>
      <c r="J283" t="s">
        <v>87</v>
      </c>
      <c r="K283">
        <v>856824</v>
      </c>
      <c r="L283" t="s">
        <v>145</v>
      </c>
      <c r="M283" t="s">
        <v>146</v>
      </c>
      <c r="N283" t="s">
        <v>57</v>
      </c>
      <c r="O283" s="1">
        <v>45786</v>
      </c>
      <c r="Q283" s="1">
        <v>46031</v>
      </c>
      <c r="R283" s="2">
        <v>43.68</v>
      </c>
      <c r="S283">
        <v>1</v>
      </c>
      <c r="T283" t="s">
        <v>58</v>
      </c>
      <c r="U283" t="s">
        <v>59</v>
      </c>
      <c r="V283" s="3">
        <v>0.375</v>
      </c>
      <c r="W283" s="2">
        <v>0</v>
      </c>
      <c r="X283">
        <v>0</v>
      </c>
      <c r="Y283" t="s">
        <v>83</v>
      </c>
      <c r="Z283" t="s">
        <v>61</v>
      </c>
      <c r="AA283">
        <v>0</v>
      </c>
      <c r="AB283" s="2">
        <v>0</v>
      </c>
      <c r="AC283" s="2">
        <v>0</v>
      </c>
      <c r="AD283" s="4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16.38</v>
      </c>
      <c r="AN283" s="2">
        <v>16.38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45999</v>
      </c>
      <c r="B284" t="s">
        <v>48</v>
      </c>
      <c r="C284">
        <v>649163</v>
      </c>
      <c r="D284">
        <v>2028878699</v>
      </c>
      <c r="E284" t="s">
        <v>549</v>
      </c>
      <c r="F284" t="s">
        <v>524</v>
      </c>
      <c r="G284" t="s">
        <v>51</v>
      </c>
      <c r="H284" t="s">
        <v>125</v>
      </c>
      <c r="I284" t="s">
        <v>86</v>
      </c>
      <c r="J284" t="s">
        <v>87</v>
      </c>
      <c r="K284">
        <v>806645</v>
      </c>
      <c r="L284" t="s">
        <v>98</v>
      </c>
      <c r="M284" t="s">
        <v>99</v>
      </c>
      <c r="N284" t="s">
        <v>57</v>
      </c>
      <c r="O284" s="1">
        <v>45788</v>
      </c>
      <c r="Q284" s="1">
        <v>46033</v>
      </c>
      <c r="R284" s="2">
        <v>37.5</v>
      </c>
      <c r="S284">
        <v>1</v>
      </c>
      <c r="T284" t="s">
        <v>58</v>
      </c>
      <c r="U284" t="s">
        <v>59</v>
      </c>
      <c r="V284" s="3">
        <v>0.375</v>
      </c>
      <c r="W284" s="2">
        <v>0</v>
      </c>
      <c r="X284">
        <v>0</v>
      </c>
      <c r="Y284" t="s">
        <v>83</v>
      </c>
      <c r="Z284" t="s">
        <v>61</v>
      </c>
      <c r="AA284">
        <v>0</v>
      </c>
      <c r="AB284" s="2">
        <v>0</v>
      </c>
      <c r="AC284" s="2">
        <v>0</v>
      </c>
      <c r="AD284" s="4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14.06</v>
      </c>
      <c r="AN284" s="2">
        <v>14.06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45999</v>
      </c>
      <c r="B285" t="s">
        <v>48</v>
      </c>
      <c r="C285">
        <v>649163</v>
      </c>
      <c r="D285">
        <v>2029196871</v>
      </c>
      <c r="E285" t="s">
        <v>72</v>
      </c>
      <c r="F285" t="s">
        <v>73</v>
      </c>
      <c r="G285" t="s">
        <v>51</v>
      </c>
      <c r="H285" t="s">
        <v>74</v>
      </c>
      <c r="I285" t="s">
        <v>86</v>
      </c>
      <c r="J285" t="s">
        <v>87</v>
      </c>
      <c r="K285">
        <v>650218</v>
      </c>
      <c r="L285" t="s">
        <v>88</v>
      </c>
      <c r="M285" t="s">
        <v>89</v>
      </c>
      <c r="N285" t="s">
        <v>57</v>
      </c>
      <c r="O285" s="1">
        <v>45809</v>
      </c>
      <c r="Q285" s="1">
        <v>46023</v>
      </c>
      <c r="R285" s="2">
        <v>28.07</v>
      </c>
      <c r="S285">
        <v>1</v>
      </c>
      <c r="T285" t="s">
        <v>58</v>
      </c>
      <c r="U285" t="s">
        <v>59</v>
      </c>
      <c r="V285" s="3">
        <v>0.375</v>
      </c>
      <c r="W285" s="2">
        <v>0</v>
      </c>
      <c r="X285">
        <v>0</v>
      </c>
      <c r="Y285" t="s">
        <v>83</v>
      </c>
      <c r="Z285" t="s">
        <v>61</v>
      </c>
      <c r="AA285">
        <v>0</v>
      </c>
      <c r="AB285" s="2">
        <v>0</v>
      </c>
      <c r="AC285" s="2">
        <v>0</v>
      </c>
      <c r="AD285" s="4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10.53</v>
      </c>
      <c r="AN285" s="2">
        <v>10.53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45999</v>
      </c>
      <c r="B286" t="s">
        <v>48</v>
      </c>
      <c r="C286">
        <v>649163</v>
      </c>
      <c r="D286">
        <v>2029275519</v>
      </c>
      <c r="E286" t="s">
        <v>550</v>
      </c>
      <c r="F286" t="s">
        <v>551</v>
      </c>
      <c r="G286" t="s">
        <v>51</v>
      </c>
      <c r="H286" t="s">
        <v>102</v>
      </c>
      <c r="I286" t="s">
        <v>86</v>
      </c>
      <c r="J286" t="s">
        <v>87</v>
      </c>
      <c r="K286">
        <v>821015</v>
      </c>
      <c r="L286" t="s">
        <v>92</v>
      </c>
      <c r="M286" t="s">
        <v>93</v>
      </c>
      <c r="N286" t="s">
        <v>57</v>
      </c>
      <c r="O286" s="1">
        <v>45815</v>
      </c>
      <c r="Q286" s="1">
        <v>46029</v>
      </c>
      <c r="R286" s="2">
        <v>156.16</v>
      </c>
      <c r="S286">
        <v>1</v>
      </c>
      <c r="T286" t="s">
        <v>58</v>
      </c>
      <c r="U286" t="s">
        <v>59</v>
      </c>
      <c r="V286" s="3">
        <v>0.375</v>
      </c>
      <c r="W286" s="2">
        <v>0</v>
      </c>
      <c r="X286">
        <v>0</v>
      </c>
      <c r="Y286" t="s">
        <v>83</v>
      </c>
      <c r="Z286" t="s">
        <v>61</v>
      </c>
      <c r="AA286">
        <v>0</v>
      </c>
      <c r="AB286" s="2">
        <v>0</v>
      </c>
      <c r="AC286" s="2">
        <v>0</v>
      </c>
      <c r="AD286" s="4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58.56</v>
      </c>
      <c r="AN286" s="2">
        <v>58.56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45999</v>
      </c>
      <c r="B287" t="s">
        <v>48</v>
      </c>
      <c r="C287">
        <v>649163</v>
      </c>
      <c r="D287">
        <v>2029378056</v>
      </c>
      <c r="E287" t="s">
        <v>552</v>
      </c>
      <c r="F287" t="s">
        <v>553</v>
      </c>
      <c r="G287" t="s">
        <v>51</v>
      </c>
      <c r="H287" t="s">
        <v>97</v>
      </c>
      <c r="I287" t="s">
        <v>86</v>
      </c>
      <c r="J287" t="s">
        <v>87</v>
      </c>
      <c r="K287">
        <v>823350</v>
      </c>
      <c r="L287" t="s">
        <v>257</v>
      </c>
      <c r="M287" t="s">
        <v>258</v>
      </c>
      <c r="N287" t="s">
        <v>57</v>
      </c>
      <c r="O287" s="1">
        <v>45820</v>
      </c>
      <c r="Q287" s="1">
        <v>46034</v>
      </c>
      <c r="R287" s="2">
        <v>117.83</v>
      </c>
      <c r="S287">
        <v>1</v>
      </c>
      <c r="T287" t="s">
        <v>58</v>
      </c>
      <c r="U287" t="s">
        <v>59</v>
      </c>
      <c r="V287" s="3">
        <v>0.375</v>
      </c>
      <c r="W287" s="2">
        <v>0</v>
      </c>
      <c r="X287">
        <v>0</v>
      </c>
      <c r="Y287" t="s">
        <v>83</v>
      </c>
      <c r="Z287" t="s">
        <v>61</v>
      </c>
      <c r="AA287">
        <v>0</v>
      </c>
      <c r="AB287" s="2">
        <v>0</v>
      </c>
      <c r="AC287" s="2">
        <v>0</v>
      </c>
      <c r="AD287" s="4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44.19</v>
      </c>
      <c r="AN287" s="2">
        <v>44.19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45999</v>
      </c>
      <c r="B288" t="s">
        <v>48</v>
      </c>
      <c r="C288">
        <v>649163</v>
      </c>
      <c r="D288">
        <v>2029378240</v>
      </c>
      <c r="E288" t="s">
        <v>554</v>
      </c>
      <c r="F288" t="s">
        <v>555</v>
      </c>
      <c r="G288" t="s">
        <v>51</v>
      </c>
      <c r="H288" t="s">
        <v>220</v>
      </c>
      <c r="I288" t="s">
        <v>86</v>
      </c>
      <c r="J288" t="s">
        <v>87</v>
      </c>
      <c r="K288">
        <v>812656</v>
      </c>
      <c r="L288" t="s">
        <v>401</v>
      </c>
      <c r="M288" t="s">
        <v>233</v>
      </c>
      <c r="N288" t="s">
        <v>57</v>
      </c>
      <c r="O288" s="1">
        <v>45818</v>
      </c>
      <c r="Q288" s="1">
        <v>46032</v>
      </c>
      <c r="R288" s="2">
        <v>115.5</v>
      </c>
      <c r="S288">
        <v>1</v>
      </c>
      <c r="T288" t="s">
        <v>58</v>
      </c>
      <c r="U288" t="s">
        <v>59</v>
      </c>
      <c r="V288" s="3">
        <v>0.375</v>
      </c>
      <c r="W288" s="2">
        <v>0</v>
      </c>
      <c r="X288">
        <v>0</v>
      </c>
      <c r="Y288" t="s">
        <v>83</v>
      </c>
      <c r="Z288" t="s">
        <v>61</v>
      </c>
      <c r="AA288">
        <v>0</v>
      </c>
      <c r="AB288" s="2">
        <v>0</v>
      </c>
      <c r="AC288" s="2">
        <v>0</v>
      </c>
      <c r="AD288" s="4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0.01</v>
      </c>
      <c r="AM288" s="2">
        <v>43.3</v>
      </c>
      <c r="AN288" s="2">
        <v>43.3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45999</v>
      </c>
      <c r="B289" t="s">
        <v>48</v>
      </c>
      <c r="C289">
        <v>649163</v>
      </c>
      <c r="D289">
        <v>2029405218</v>
      </c>
      <c r="E289" t="s">
        <v>554</v>
      </c>
      <c r="F289" t="s">
        <v>407</v>
      </c>
      <c r="G289" t="s">
        <v>51</v>
      </c>
      <c r="H289" t="s">
        <v>220</v>
      </c>
      <c r="I289" t="s">
        <v>86</v>
      </c>
      <c r="J289" t="s">
        <v>87</v>
      </c>
      <c r="K289">
        <v>812656</v>
      </c>
      <c r="L289" t="s">
        <v>401</v>
      </c>
      <c r="M289" t="s">
        <v>233</v>
      </c>
      <c r="N289" t="s">
        <v>57</v>
      </c>
      <c r="O289" s="1">
        <v>45820</v>
      </c>
      <c r="Q289" s="1">
        <v>46034</v>
      </c>
      <c r="R289" s="2">
        <v>38.4</v>
      </c>
      <c r="S289">
        <v>1</v>
      </c>
      <c r="T289" t="s">
        <v>58</v>
      </c>
      <c r="U289" t="s">
        <v>59</v>
      </c>
      <c r="V289" s="3">
        <v>0.375</v>
      </c>
      <c r="W289" s="2">
        <v>0</v>
      </c>
      <c r="X289">
        <v>0</v>
      </c>
      <c r="Y289" t="s">
        <v>83</v>
      </c>
      <c r="Z289" t="s">
        <v>61</v>
      </c>
      <c r="AA289">
        <v>0</v>
      </c>
      <c r="AB289" s="2">
        <v>0</v>
      </c>
      <c r="AC289" s="2">
        <v>0</v>
      </c>
      <c r="AD289" s="4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14.4</v>
      </c>
      <c r="AN289" s="2">
        <v>14.4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45999</v>
      </c>
      <c r="B290" t="s">
        <v>48</v>
      </c>
      <c r="C290">
        <v>649163</v>
      </c>
      <c r="D290">
        <v>2029407292</v>
      </c>
      <c r="E290" t="s">
        <v>73</v>
      </c>
      <c r="F290" t="s">
        <v>293</v>
      </c>
      <c r="G290" t="s">
        <v>51</v>
      </c>
      <c r="H290" t="s">
        <v>131</v>
      </c>
      <c r="I290" t="s">
        <v>86</v>
      </c>
      <c r="J290" t="s">
        <v>87</v>
      </c>
      <c r="K290">
        <v>651818</v>
      </c>
      <c r="L290" t="s">
        <v>246</v>
      </c>
      <c r="M290" t="s">
        <v>247</v>
      </c>
      <c r="N290" t="s">
        <v>57</v>
      </c>
      <c r="O290" s="1">
        <v>45845</v>
      </c>
      <c r="Q290" s="1">
        <v>46029</v>
      </c>
      <c r="R290" s="2">
        <v>106.85</v>
      </c>
      <c r="S290">
        <v>1</v>
      </c>
      <c r="T290" t="s">
        <v>58</v>
      </c>
      <c r="U290" t="s">
        <v>59</v>
      </c>
      <c r="V290" s="3">
        <v>0.375</v>
      </c>
      <c r="W290" s="2">
        <v>0</v>
      </c>
      <c r="X290">
        <v>0</v>
      </c>
      <c r="Y290" t="s">
        <v>83</v>
      </c>
      <c r="Z290" t="s">
        <v>61</v>
      </c>
      <c r="AA290">
        <v>0</v>
      </c>
      <c r="AB290" s="2">
        <v>0</v>
      </c>
      <c r="AC290" s="2">
        <v>0</v>
      </c>
      <c r="AD290" s="4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40.07</v>
      </c>
      <c r="AN290" s="2">
        <v>40.07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45999</v>
      </c>
      <c r="B291" t="s">
        <v>48</v>
      </c>
      <c r="C291">
        <v>649163</v>
      </c>
      <c r="D291">
        <v>2029413863</v>
      </c>
      <c r="E291" t="s">
        <v>280</v>
      </c>
      <c r="F291" t="s">
        <v>556</v>
      </c>
      <c r="G291" t="s">
        <v>51</v>
      </c>
      <c r="H291" t="s">
        <v>97</v>
      </c>
      <c r="I291" t="s">
        <v>86</v>
      </c>
      <c r="J291" t="s">
        <v>87</v>
      </c>
      <c r="K291">
        <v>823350</v>
      </c>
      <c r="L291" t="s">
        <v>257</v>
      </c>
      <c r="M291" t="s">
        <v>258</v>
      </c>
      <c r="N291" t="s">
        <v>57</v>
      </c>
      <c r="O291" s="1">
        <v>45820</v>
      </c>
      <c r="Q291" s="1">
        <v>46034</v>
      </c>
      <c r="R291" s="2">
        <v>68.19</v>
      </c>
      <c r="S291">
        <v>1</v>
      </c>
      <c r="T291" t="s">
        <v>58</v>
      </c>
      <c r="U291" t="s">
        <v>59</v>
      </c>
      <c r="V291" s="3">
        <v>0.375</v>
      </c>
      <c r="W291" s="2">
        <v>0</v>
      </c>
      <c r="X291">
        <v>0</v>
      </c>
      <c r="Y291" t="s">
        <v>83</v>
      </c>
      <c r="Z291" t="s">
        <v>61</v>
      </c>
      <c r="AA291">
        <v>0</v>
      </c>
      <c r="AB291" s="2">
        <v>0</v>
      </c>
      <c r="AC291" s="2">
        <v>0</v>
      </c>
      <c r="AD291" s="4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0.01</v>
      </c>
      <c r="AM291" s="2">
        <v>25.56</v>
      </c>
      <c r="AN291" s="2">
        <v>25.56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45999</v>
      </c>
      <c r="B292" t="s">
        <v>48</v>
      </c>
      <c r="C292">
        <v>649163</v>
      </c>
      <c r="D292">
        <v>2029494258</v>
      </c>
      <c r="E292" t="s">
        <v>153</v>
      </c>
      <c r="F292" t="s">
        <v>154</v>
      </c>
      <c r="G292" t="s">
        <v>51</v>
      </c>
      <c r="H292" t="s">
        <v>74</v>
      </c>
      <c r="I292" t="s">
        <v>86</v>
      </c>
      <c r="J292" t="s">
        <v>87</v>
      </c>
      <c r="K292">
        <v>792847</v>
      </c>
      <c r="L292" t="s">
        <v>155</v>
      </c>
      <c r="M292" t="s">
        <v>156</v>
      </c>
      <c r="N292" t="s">
        <v>57</v>
      </c>
      <c r="O292" s="1">
        <v>45839</v>
      </c>
      <c r="Q292" s="1">
        <v>46023</v>
      </c>
      <c r="R292" s="2">
        <v>72.37</v>
      </c>
      <c r="S292">
        <v>1</v>
      </c>
      <c r="T292" t="s">
        <v>58</v>
      </c>
      <c r="U292" t="s">
        <v>59</v>
      </c>
      <c r="V292" s="3">
        <v>0.375</v>
      </c>
      <c r="W292" s="2">
        <v>0</v>
      </c>
      <c r="X292">
        <v>0</v>
      </c>
      <c r="Y292" t="s">
        <v>83</v>
      </c>
      <c r="Z292" t="s">
        <v>61</v>
      </c>
      <c r="AA292">
        <v>0</v>
      </c>
      <c r="AB292" s="2">
        <v>0</v>
      </c>
      <c r="AC292" s="2">
        <v>0</v>
      </c>
      <c r="AD292" s="4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27.13</v>
      </c>
      <c r="AM292" s="2">
        <v>0.01</v>
      </c>
      <c r="AN292" s="2">
        <v>0.01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45999</v>
      </c>
      <c r="B293" t="s">
        <v>48</v>
      </c>
      <c r="C293">
        <v>649163</v>
      </c>
      <c r="D293">
        <v>2029502684</v>
      </c>
      <c r="E293" t="s">
        <v>557</v>
      </c>
      <c r="F293" t="s">
        <v>324</v>
      </c>
      <c r="G293" t="s">
        <v>51</v>
      </c>
      <c r="H293" t="s">
        <v>383</v>
      </c>
      <c r="I293" t="s">
        <v>86</v>
      </c>
      <c r="J293" t="s">
        <v>87</v>
      </c>
      <c r="K293">
        <v>823350</v>
      </c>
      <c r="L293" t="s">
        <v>257</v>
      </c>
      <c r="M293" t="s">
        <v>258</v>
      </c>
      <c r="N293" t="s">
        <v>57</v>
      </c>
      <c r="O293" s="1">
        <v>45829</v>
      </c>
      <c r="Q293" s="1">
        <v>46012</v>
      </c>
      <c r="R293" s="2">
        <v>78.41</v>
      </c>
      <c r="S293">
        <v>1</v>
      </c>
      <c r="T293" t="s">
        <v>58</v>
      </c>
      <c r="U293" t="s">
        <v>59</v>
      </c>
      <c r="V293" s="3">
        <v>0.375</v>
      </c>
      <c r="W293" s="2">
        <v>0</v>
      </c>
      <c r="X293">
        <v>0</v>
      </c>
      <c r="Y293" t="s">
        <v>83</v>
      </c>
      <c r="Z293" t="s">
        <v>61</v>
      </c>
      <c r="AA293">
        <v>0</v>
      </c>
      <c r="AB293" s="2">
        <v>0</v>
      </c>
      <c r="AC293" s="2">
        <v>0</v>
      </c>
      <c r="AD293" s="4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29.4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45999</v>
      </c>
      <c r="B294" t="s">
        <v>48</v>
      </c>
      <c r="C294">
        <v>649163</v>
      </c>
      <c r="D294">
        <v>2029761817</v>
      </c>
      <c r="E294" t="s">
        <v>558</v>
      </c>
      <c r="F294" t="s">
        <v>559</v>
      </c>
      <c r="G294" t="s">
        <v>51</v>
      </c>
      <c r="H294" t="s">
        <v>79</v>
      </c>
      <c r="I294" t="s">
        <v>86</v>
      </c>
      <c r="J294" t="s">
        <v>87</v>
      </c>
      <c r="K294">
        <v>812782</v>
      </c>
      <c r="L294" t="s">
        <v>159</v>
      </c>
      <c r="M294" t="s">
        <v>160</v>
      </c>
      <c r="N294" t="s">
        <v>57</v>
      </c>
      <c r="O294" s="1">
        <v>45841</v>
      </c>
      <c r="Q294" s="1">
        <v>46025</v>
      </c>
      <c r="R294" s="2">
        <v>-18.989999999999998</v>
      </c>
      <c r="S294">
        <v>1</v>
      </c>
      <c r="T294" t="s">
        <v>58</v>
      </c>
      <c r="U294" t="s">
        <v>59</v>
      </c>
      <c r="V294" s="3">
        <v>0.375</v>
      </c>
      <c r="W294" s="2">
        <v>0</v>
      </c>
      <c r="X294">
        <v>-1</v>
      </c>
      <c r="Y294" t="s">
        <v>83</v>
      </c>
      <c r="Z294" t="s">
        <v>61</v>
      </c>
      <c r="AA294">
        <v>0</v>
      </c>
      <c r="AB294" s="2">
        <v>0</v>
      </c>
      <c r="AC294" s="2">
        <v>0</v>
      </c>
      <c r="AD294" s="4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-7.12</v>
      </c>
      <c r="AN294" s="2">
        <v>-7.12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45999</v>
      </c>
      <c r="B295" t="s">
        <v>48</v>
      </c>
      <c r="C295">
        <v>649163</v>
      </c>
      <c r="D295">
        <v>2029787707</v>
      </c>
      <c r="E295" t="s">
        <v>373</v>
      </c>
      <c r="F295" t="s">
        <v>560</v>
      </c>
      <c r="G295" t="s">
        <v>51</v>
      </c>
      <c r="H295" t="s">
        <v>52</v>
      </c>
      <c r="I295" t="s">
        <v>86</v>
      </c>
      <c r="J295" t="s">
        <v>87</v>
      </c>
      <c r="K295">
        <v>651818</v>
      </c>
      <c r="L295" t="s">
        <v>246</v>
      </c>
      <c r="M295" t="s">
        <v>247</v>
      </c>
      <c r="N295" t="s">
        <v>57</v>
      </c>
      <c r="O295" s="1">
        <v>45870</v>
      </c>
      <c r="Q295" s="1">
        <v>46023</v>
      </c>
      <c r="R295" s="2">
        <v>59.67</v>
      </c>
      <c r="S295">
        <v>1</v>
      </c>
      <c r="T295" t="s">
        <v>58</v>
      </c>
      <c r="U295" t="s">
        <v>59</v>
      </c>
      <c r="V295" s="3">
        <v>0.375</v>
      </c>
      <c r="W295" s="2">
        <v>0</v>
      </c>
      <c r="X295">
        <v>0</v>
      </c>
      <c r="Y295" t="s">
        <v>83</v>
      </c>
      <c r="Z295" t="s">
        <v>61</v>
      </c>
      <c r="AA295">
        <v>0</v>
      </c>
      <c r="AB295" s="2">
        <v>0</v>
      </c>
      <c r="AC295" s="2">
        <v>0</v>
      </c>
      <c r="AD295" s="4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22.38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45999</v>
      </c>
      <c r="B296" t="s">
        <v>48</v>
      </c>
      <c r="C296">
        <v>649163</v>
      </c>
      <c r="D296">
        <v>2029869955</v>
      </c>
      <c r="E296" t="s">
        <v>561</v>
      </c>
      <c r="F296" t="s">
        <v>562</v>
      </c>
      <c r="G296" t="s">
        <v>51</v>
      </c>
      <c r="H296" t="s">
        <v>563</v>
      </c>
      <c r="I296" t="s">
        <v>86</v>
      </c>
      <c r="J296" t="s">
        <v>87</v>
      </c>
      <c r="K296">
        <v>767312</v>
      </c>
      <c r="L296" t="s">
        <v>138</v>
      </c>
      <c r="M296" t="s">
        <v>107</v>
      </c>
      <c r="N296" t="s">
        <v>57</v>
      </c>
      <c r="O296" s="1">
        <v>45848</v>
      </c>
      <c r="Q296" s="1">
        <v>46032</v>
      </c>
      <c r="R296" s="2">
        <v>28.86</v>
      </c>
      <c r="S296">
        <v>1</v>
      </c>
      <c r="T296" t="s">
        <v>58</v>
      </c>
      <c r="U296" t="s">
        <v>59</v>
      </c>
      <c r="V296" s="3">
        <v>0.375</v>
      </c>
      <c r="W296" s="2">
        <v>0</v>
      </c>
      <c r="X296">
        <v>0</v>
      </c>
      <c r="Y296" t="s">
        <v>83</v>
      </c>
      <c r="Z296" t="s">
        <v>61</v>
      </c>
      <c r="AA296">
        <v>0</v>
      </c>
      <c r="AB296" s="2">
        <v>0</v>
      </c>
      <c r="AC296" s="2">
        <v>0</v>
      </c>
      <c r="AD296" s="4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10.82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45999</v>
      </c>
      <c r="B297" t="s">
        <v>48</v>
      </c>
      <c r="C297">
        <v>649163</v>
      </c>
      <c r="D297">
        <v>2029877306</v>
      </c>
      <c r="E297" t="s">
        <v>564</v>
      </c>
      <c r="F297" t="s">
        <v>565</v>
      </c>
      <c r="G297" t="s">
        <v>51</v>
      </c>
      <c r="H297" t="s">
        <v>200</v>
      </c>
      <c r="I297" t="s">
        <v>86</v>
      </c>
      <c r="J297" t="s">
        <v>87</v>
      </c>
      <c r="K297">
        <v>824082</v>
      </c>
      <c r="L297" t="s">
        <v>566</v>
      </c>
      <c r="M297" t="s">
        <v>567</v>
      </c>
      <c r="N297" t="s">
        <v>57</v>
      </c>
      <c r="O297" s="1">
        <v>45848</v>
      </c>
      <c r="Q297" s="1">
        <v>46032</v>
      </c>
      <c r="R297" s="2">
        <v>189.23</v>
      </c>
      <c r="S297">
        <v>1</v>
      </c>
      <c r="T297" t="s">
        <v>58</v>
      </c>
      <c r="U297" t="s">
        <v>59</v>
      </c>
      <c r="V297" s="3">
        <v>0.375</v>
      </c>
      <c r="W297" s="2">
        <v>0</v>
      </c>
      <c r="X297">
        <v>0</v>
      </c>
      <c r="Y297" t="s">
        <v>83</v>
      </c>
      <c r="Z297" t="s">
        <v>61</v>
      </c>
      <c r="AA297">
        <v>0</v>
      </c>
      <c r="AB297" s="2">
        <v>0</v>
      </c>
      <c r="AC297" s="2">
        <v>0</v>
      </c>
      <c r="AD297" s="4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70.959999999999994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45999</v>
      </c>
      <c r="B298" t="s">
        <v>48</v>
      </c>
      <c r="C298">
        <v>649163</v>
      </c>
      <c r="D298">
        <v>2029880676</v>
      </c>
      <c r="E298" t="s">
        <v>568</v>
      </c>
      <c r="F298" t="s">
        <v>569</v>
      </c>
      <c r="G298" t="s">
        <v>51</v>
      </c>
      <c r="H298" t="s">
        <v>102</v>
      </c>
      <c r="I298" t="s">
        <v>86</v>
      </c>
      <c r="J298" t="s">
        <v>87</v>
      </c>
      <c r="K298">
        <v>812994</v>
      </c>
      <c r="L298" t="s">
        <v>151</v>
      </c>
      <c r="M298" t="s">
        <v>152</v>
      </c>
      <c r="N298" t="s">
        <v>57</v>
      </c>
      <c r="O298" s="1">
        <v>45848</v>
      </c>
      <c r="Q298" s="1">
        <v>46032</v>
      </c>
      <c r="R298" s="2">
        <v>77.48</v>
      </c>
      <c r="S298">
        <v>1</v>
      </c>
      <c r="T298" t="s">
        <v>58</v>
      </c>
      <c r="U298" t="s">
        <v>59</v>
      </c>
      <c r="V298" s="3">
        <v>0.375</v>
      </c>
      <c r="W298" s="2">
        <v>0</v>
      </c>
      <c r="X298">
        <v>0</v>
      </c>
      <c r="Y298" t="s">
        <v>83</v>
      </c>
      <c r="Z298" t="s">
        <v>61</v>
      </c>
      <c r="AA298">
        <v>0</v>
      </c>
      <c r="AB298" s="2">
        <v>0</v>
      </c>
      <c r="AC298" s="2">
        <v>0</v>
      </c>
      <c r="AD298" s="4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29.04</v>
      </c>
      <c r="AM298" s="2">
        <v>0.02</v>
      </c>
      <c r="AN298" s="2">
        <v>0.02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45999</v>
      </c>
      <c r="B299" t="s">
        <v>48</v>
      </c>
      <c r="C299">
        <v>649163</v>
      </c>
      <c r="D299">
        <v>2029894410</v>
      </c>
      <c r="E299" t="s">
        <v>71</v>
      </c>
      <c r="F299" t="s">
        <v>570</v>
      </c>
      <c r="G299" t="s">
        <v>51</v>
      </c>
      <c r="H299" t="s">
        <v>308</v>
      </c>
      <c r="I299" t="s">
        <v>86</v>
      </c>
      <c r="J299" t="s">
        <v>87</v>
      </c>
      <c r="K299">
        <v>877790</v>
      </c>
      <c r="L299" t="s">
        <v>310</v>
      </c>
      <c r="M299" t="s">
        <v>311</v>
      </c>
      <c r="N299" t="s">
        <v>57</v>
      </c>
      <c r="O299" s="1">
        <v>45849</v>
      </c>
      <c r="Q299" s="1">
        <v>46033</v>
      </c>
      <c r="R299" s="2">
        <v>189.28</v>
      </c>
      <c r="S299">
        <v>1</v>
      </c>
      <c r="T299" t="s">
        <v>58</v>
      </c>
      <c r="U299" t="s">
        <v>59</v>
      </c>
      <c r="V299" s="3">
        <v>0.375</v>
      </c>
      <c r="W299" s="2">
        <v>0</v>
      </c>
      <c r="X299">
        <v>0</v>
      </c>
      <c r="Y299" t="s">
        <v>83</v>
      </c>
      <c r="Z299" t="s">
        <v>61</v>
      </c>
      <c r="AA299">
        <v>0</v>
      </c>
      <c r="AB299" s="2">
        <v>0</v>
      </c>
      <c r="AC299" s="2">
        <v>0</v>
      </c>
      <c r="AD299" s="4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70.98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45999</v>
      </c>
      <c r="B300" t="s">
        <v>48</v>
      </c>
      <c r="C300">
        <v>649163</v>
      </c>
      <c r="D300">
        <v>2029904975</v>
      </c>
      <c r="E300" t="s">
        <v>571</v>
      </c>
      <c r="F300" t="s">
        <v>572</v>
      </c>
      <c r="G300" t="s">
        <v>51</v>
      </c>
      <c r="H300" t="s">
        <v>125</v>
      </c>
      <c r="I300" t="s">
        <v>86</v>
      </c>
      <c r="J300" t="s">
        <v>87</v>
      </c>
      <c r="K300">
        <v>651818</v>
      </c>
      <c r="L300" t="s">
        <v>246</v>
      </c>
      <c r="M300" t="s">
        <v>247</v>
      </c>
      <c r="N300" t="s">
        <v>57</v>
      </c>
      <c r="O300" s="1">
        <v>45850</v>
      </c>
      <c r="Q300" s="1">
        <v>46034</v>
      </c>
      <c r="R300" s="2">
        <v>102.62</v>
      </c>
      <c r="S300">
        <v>1</v>
      </c>
      <c r="T300" t="s">
        <v>58</v>
      </c>
      <c r="U300" t="s">
        <v>59</v>
      </c>
      <c r="V300" s="3">
        <v>0.375</v>
      </c>
      <c r="W300" s="2">
        <v>0</v>
      </c>
      <c r="X300">
        <v>0</v>
      </c>
      <c r="Y300" t="s">
        <v>83</v>
      </c>
      <c r="Z300" t="s">
        <v>61</v>
      </c>
      <c r="AA300">
        <v>0</v>
      </c>
      <c r="AB300" s="2">
        <v>0</v>
      </c>
      <c r="AC300" s="2">
        <v>0</v>
      </c>
      <c r="AD300" s="4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21.99</v>
      </c>
      <c r="AM300" s="2">
        <v>16.489999999999998</v>
      </c>
      <c r="AN300" s="2">
        <v>16.489999999999998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45999</v>
      </c>
      <c r="B301" t="s">
        <v>48</v>
      </c>
      <c r="C301">
        <v>649163</v>
      </c>
      <c r="D301">
        <v>2029910892</v>
      </c>
      <c r="E301" t="s">
        <v>573</v>
      </c>
      <c r="F301" t="s">
        <v>574</v>
      </c>
      <c r="G301" t="s">
        <v>51</v>
      </c>
      <c r="H301" t="s">
        <v>97</v>
      </c>
      <c r="I301" t="s">
        <v>86</v>
      </c>
      <c r="J301" t="s">
        <v>87</v>
      </c>
      <c r="K301">
        <v>856824</v>
      </c>
      <c r="L301" t="s">
        <v>145</v>
      </c>
      <c r="M301" t="s">
        <v>146</v>
      </c>
      <c r="N301" t="s">
        <v>57</v>
      </c>
      <c r="O301" s="1">
        <v>45850</v>
      </c>
      <c r="Q301" s="1">
        <v>46034</v>
      </c>
      <c r="R301" s="2">
        <v>28.38</v>
      </c>
      <c r="S301">
        <v>1</v>
      </c>
      <c r="T301" t="s">
        <v>58</v>
      </c>
      <c r="U301" t="s">
        <v>59</v>
      </c>
      <c r="V301" s="3">
        <v>0.375</v>
      </c>
      <c r="W301" s="2">
        <v>0</v>
      </c>
      <c r="X301">
        <v>0</v>
      </c>
      <c r="Y301" t="s">
        <v>83</v>
      </c>
      <c r="Z301" t="s">
        <v>61</v>
      </c>
      <c r="AA301">
        <v>0</v>
      </c>
      <c r="AB301" s="2">
        <v>0</v>
      </c>
      <c r="AC301" s="2">
        <v>0</v>
      </c>
      <c r="AD301" s="4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10.64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45999</v>
      </c>
      <c r="B302" t="s">
        <v>48</v>
      </c>
      <c r="C302">
        <v>649163</v>
      </c>
      <c r="D302">
        <v>2029944313</v>
      </c>
      <c r="E302" t="s">
        <v>157</v>
      </c>
      <c r="F302" t="s">
        <v>158</v>
      </c>
      <c r="G302" t="s">
        <v>51</v>
      </c>
      <c r="H302" t="s">
        <v>102</v>
      </c>
      <c r="I302" t="s">
        <v>86</v>
      </c>
      <c r="J302" t="s">
        <v>87</v>
      </c>
      <c r="K302">
        <v>812782</v>
      </c>
      <c r="L302" t="s">
        <v>159</v>
      </c>
      <c r="M302" t="s">
        <v>160</v>
      </c>
      <c r="N302" t="s">
        <v>57</v>
      </c>
      <c r="O302" s="1">
        <v>45870</v>
      </c>
      <c r="Q302" s="1">
        <v>46023</v>
      </c>
      <c r="R302" s="2">
        <v>149.87</v>
      </c>
      <c r="S302">
        <v>1</v>
      </c>
      <c r="T302" t="s">
        <v>58</v>
      </c>
      <c r="U302" t="s">
        <v>59</v>
      </c>
      <c r="V302" s="3">
        <v>0.375</v>
      </c>
      <c r="W302" s="2">
        <v>0</v>
      </c>
      <c r="X302">
        <v>0</v>
      </c>
      <c r="Y302" t="s">
        <v>83</v>
      </c>
      <c r="Z302" t="s">
        <v>61</v>
      </c>
      <c r="AA302">
        <v>0</v>
      </c>
      <c r="AB302" s="2">
        <v>0</v>
      </c>
      <c r="AC302" s="2">
        <v>0</v>
      </c>
      <c r="AD302" s="4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56.2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45999</v>
      </c>
      <c r="B303" t="s">
        <v>48</v>
      </c>
      <c r="C303">
        <v>649163</v>
      </c>
      <c r="D303">
        <v>2030002926</v>
      </c>
      <c r="E303" t="s">
        <v>107</v>
      </c>
      <c r="F303" t="s">
        <v>338</v>
      </c>
      <c r="G303" t="s">
        <v>51</v>
      </c>
      <c r="H303" t="s">
        <v>383</v>
      </c>
      <c r="I303" t="s">
        <v>86</v>
      </c>
      <c r="J303" t="s">
        <v>87</v>
      </c>
      <c r="K303">
        <v>824076</v>
      </c>
      <c r="L303" t="s">
        <v>213</v>
      </c>
      <c r="M303" t="s">
        <v>214</v>
      </c>
      <c r="N303" t="s">
        <v>57</v>
      </c>
      <c r="O303" s="1">
        <v>45870</v>
      </c>
      <c r="Q303" s="1">
        <v>46023</v>
      </c>
      <c r="R303" s="2">
        <v>188.04</v>
      </c>
      <c r="S303">
        <v>1</v>
      </c>
      <c r="T303" t="s">
        <v>58</v>
      </c>
      <c r="U303" t="s">
        <v>59</v>
      </c>
      <c r="V303" s="3">
        <v>0.375</v>
      </c>
      <c r="W303" s="2">
        <v>0</v>
      </c>
      <c r="X303">
        <v>0</v>
      </c>
      <c r="Y303" t="s">
        <v>83</v>
      </c>
      <c r="Z303" t="s">
        <v>61</v>
      </c>
      <c r="AA303">
        <v>0</v>
      </c>
      <c r="AB303" s="2">
        <v>0</v>
      </c>
      <c r="AC303" s="2">
        <v>0</v>
      </c>
      <c r="AD303" s="4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70.52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45999</v>
      </c>
      <c r="B304" t="s">
        <v>48</v>
      </c>
      <c r="C304">
        <v>649163</v>
      </c>
      <c r="D304">
        <v>2030178516</v>
      </c>
      <c r="E304" t="s">
        <v>575</v>
      </c>
      <c r="F304" t="s">
        <v>576</v>
      </c>
      <c r="G304" t="s">
        <v>51</v>
      </c>
      <c r="H304" t="s">
        <v>515</v>
      </c>
      <c r="I304" t="s">
        <v>86</v>
      </c>
      <c r="J304" t="s">
        <v>87</v>
      </c>
      <c r="K304">
        <v>822865</v>
      </c>
      <c r="L304" t="s">
        <v>534</v>
      </c>
      <c r="M304" t="s">
        <v>535</v>
      </c>
      <c r="N304" t="s">
        <v>57</v>
      </c>
      <c r="O304" s="1">
        <v>45867</v>
      </c>
      <c r="Q304" s="1">
        <v>46020</v>
      </c>
      <c r="R304" s="2">
        <v>23.34</v>
      </c>
      <c r="S304">
        <v>1</v>
      </c>
      <c r="T304" t="s">
        <v>58</v>
      </c>
      <c r="U304" t="s">
        <v>59</v>
      </c>
      <c r="V304" s="3">
        <v>0.375</v>
      </c>
      <c r="W304" s="2">
        <v>0</v>
      </c>
      <c r="X304">
        <v>0</v>
      </c>
      <c r="Y304" t="s">
        <v>83</v>
      </c>
      <c r="Z304" t="s">
        <v>61</v>
      </c>
      <c r="AA304">
        <v>0</v>
      </c>
      <c r="AB304" s="2">
        <v>0</v>
      </c>
      <c r="AC304" s="2">
        <v>0</v>
      </c>
      <c r="AD304" s="4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8.75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45999</v>
      </c>
      <c r="B305" t="s">
        <v>48</v>
      </c>
      <c r="C305">
        <v>649163</v>
      </c>
      <c r="D305">
        <v>2030189269</v>
      </c>
      <c r="E305" t="s">
        <v>577</v>
      </c>
      <c r="F305" t="s">
        <v>578</v>
      </c>
      <c r="G305" t="s">
        <v>51</v>
      </c>
      <c r="H305" t="s">
        <v>220</v>
      </c>
      <c r="I305" t="s">
        <v>86</v>
      </c>
      <c r="J305" t="s">
        <v>87</v>
      </c>
      <c r="K305">
        <v>651818</v>
      </c>
      <c r="L305" t="s">
        <v>246</v>
      </c>
      <c r="M305" t="s">
        <v>247</v>
      </c>
      <c r="N305" t="s">
        <v>57</v>
      </c>
      <c r="O305" s="1">
        <v>45876</v>
      </c>
      <c r="Q305" s="1">
        <v>46029</v>
      </c>
      <c r="R305" s="2">
        <v>47.06</v>
      </c>
      <c r="S305">
        <v>1</v>
      </c>
      <c r="T305" t="s">
        <v>58</v>
      </c>
      <c r="U305" t="s">
        <v>59</v>
      </c>
      <c r="V305" s="3">
        <v>0.375</v>
      </c>
      <c r="W305" s="2">
        <v>0</v>
      </c>
      <c r="X305">
        <v>0</v>
      </c>
      <c r="Y305" t="s">
        <v>83</v>
      </c>
      <c r="Z305" t="s">
        <v>61</v>
      </c>
      <c r="AA305">
        <v>0</v>
      </c>
      <c r="AB305" s="2">
        <v>0</v>
      </c>
      <c r="AC305" s="2">
        <v>0</v>
      </c>
      <c r="AD305" s="4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17.64</v>
      </c>
      <c r="AM305" s="2">
        <v>0.01</v>
      </c>
      <c r="AN305" s="2">
        <v>0.01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45999</v>
      </c>
      <c r="B306" t="s">
        <v>48</v>
      </c>
      <c r="C306">
        <v>649163</v>
      </c>
      <c r="D306">
        <v>2030341641</v>
      </c>
      <c r="E306" t="s">
        <v>579</v>
      </c>
      <c r="F306" t="s">
        <v>580</v>
      </c>
      <c r="G306" t="s">
        <v>51</v>
      </c>
      <c r="H306" t="s">
        <v>52</v>
      </c>
      <c r="I306" t="s">
        <v>86</v>
      </c>
      <c r="J306" t="s">
        <v>87</v>
      </c>
      <c r="K306">
        <v>702406</v>
      </c>
      <c r="L306" t="s">
        <v>581</v>
      </c>
      <c r="M306" t="s">
        <v>582</v>
      </c>
      <c r="N306" t="s">
        <v>57</v>
      </c>
      <c r="O306" s="1">
        <v>45875</v>
      </c>
      <c r="Q306" s="1">
        <v>46028</v>
      </c>
      <c r="R306" s="2">
        <v>30.12</v>
      </c>
      <c r="S306">
        <v>1</v>
      </c>
      <c r="T306" t="s">
        <v>58</v>
      </c>
      <c r="U306" t="s">
        <v>59</v>
      </c>
      <c r="V306" s="3">
        <v>0.375</v>
      </c>
      <c r="W306" s="2">
        <v>0</v>
      </c>
      <c r="X306">
        <v>0</v>
      </c>
      <c r="Y306" t="s">
        <v>83</v>
      </c>
      <c r="Z306" t="s">
        <v>61</v>
      </c>
      <c r="AA306">
        <v>0</v>
      </c>
      <c r="AB306" s="2">
        <v>0</v>
      </c>
      <c r="AC306" s="2">
        <v>0</v>
      </c>
      <c r="AD306" s="4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11.3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45999</v>
      </c>
      <c r="B307" t="s">
        <v>48</v>
      </c>
      <c r="C307">
        <v>649163</v>
      </c>
      <c r="D307">
        <v>2030367107</v>
      </c>
      <c r="E307" t="s">
        <v>583</v>
      </c>
      <c r="F307" t="s">
        <v>584</v>
      </c>
      <c r="G307" t="s">
        <v>51</v>
      </c>
      <c r="H307" t="s">
        <v>585</v>
      </c>
      <c r="I307" t="s">
        <v>86</v>
      </c>
      <c r="J307" t="s">
        <v>87</v>
      </c>
      <c r="K307">
        <v>650218</v>
      </c>
      <c r="L307" t="s">
        <v>88</v>
      </c>
      <c r="M307" t="s">
        <v>89</v>
      </c>
      <c r="N307" t="s">
        <v>57</v>
      </c>
      <c r="O307" s="1">
        <v>45877</v>
      </c>
      <c r="Q307" s="1">
        <v>46030</v>
      </c>
      <c r="R307" s="2">
        <v>67.63</v>
      </c>
      <c r="S307">
        <v>1</v>
      </c>
      <c r="T307" t="s">
        <v>58</v>
      </c>
      <c r="U307" t="s">
        <v>59</v>
      </c>
      <c r="V307" s="3">
        <v>0.375</v>
      </c>
      <c r="W307" s="2">
        <v>0</v>
      </c>
      <c r="X307">
        <v>0</v>
      </c>
      <c r="Y307" t="s">
        <v>83</v>
      </c>
      <c r="Z307" t="s">
        <v>61</v>
      </c>
      <c r="AA307">
        <v>0</v>
      </c>
      <c r="AB307" s="2">
        <v>0</v>
      </c>
      <c r="AC307" s="2">
        <v>0</v>
      </c>
      <c r="AD307" s="4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25.36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45999</v>
      </c>
      <c r="B308" t="s">
        <v>48</v>
      </c>
      <c r="C308">
        <v>649163</v>
      </c>
      <c r="D308">
        <v>2030380470</v>
      </c>
      <c r="E308" t="s">
        <v>586</v>
      </c>
      <c r="F308" t="s">
        <v>587</v>
      </c>
      <c r="G308" t="s">
        <v>51</v>
      </c>
      <c r="H308" t="s">
        <v>52</v>
      </c>
      <c r="I308" t="s">
        <v>86</v>
      </c>
      <c r="J308" t="s">
        <v>87</v>
      </c>
      <c r="K308">
        <v>650218</v>
      </c>
      <c r="L308" t="s">
        <v>88</v>
      </c>
      <c r="M308" t="s">
        <v>89</v>
      </c>
      <c r="N308" t="s">
        <v>57</v>
      </c>
      <c r="O308" s="1">
        <v>45877</v>
      </c>
      <c r="Q308" s="1">
        <v>46030</v>
      </c>
      <c r="R308" s="2">
        <v>27.11</v>
      </c>
      <c r="S308">
        <v>1</v>
      </c>
      <c r="T308" t="s">
        <v>58</v>
      </c>
      <c r="U308" t="s">
        <v>59</v>
      </c>
      <c r="V308" s="3">
        <v>0.375</v>
      </c>
      <c r="W308" s="2">
        <v>0</v>
      </c>
      <c r="X308">
        <v>0</v>
      </c>
      <c r="Y308" t="s">
        <v>83</v>
      </c>
      <c r="Z308" t="s">
        <v>61</v>
      </c>
      <c r="AA308">
        <v>0</v>
      </c>
      <c r="AB308" s="2">
        <v>0</v>
      </c>
      <c r="AC308" s="2">
        <v>0</v>
      </c>
      <c r="AD308" s="4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10.17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45999</v>
      </c>
      <c r="B309" t="s">
        <v>48</v>
      </c>
      <c r="C309">
        <v>649163</v>
      </c>
      <c r="D309">
        <v>2030404320</v>
      </c>
      <c r="E309" t="s">
        <v>588</v>
      </c>
      <c r="F309" t="s">
        <v>589</v>
      </c>
      <c r="G309" t="s">
        <v>51</v>
      </c>
      <c r="H309" t="s">
        <v>357</v>
      </c>
      <c r="I309" t="s">
        <v>86</v>
      </c>
      <c r="J309" t="s">
        <v>87</v>
      </c>
      <c r="K309">
        <v>822865</v>
      </c>
      <c r="L309" t="s">
        <v>534</v>
      </c>
      <c r="M309" t="s">
        <v>535</v>
      </c>
      <c r="N309" t="s">
        <v>57</v>
      </c>
      <c r="O309" s="1">
        <v>45878</v>
      </c>
      <c r="Q309" s="1">
        <v>46031</v>
      </c>
      <c r="R309" s="2">
        <v>44.56</v>
      </c>
      <c r="S309">
        <v>1</v>
      </c>
      <c r="T309" t="s">
        <v>58</v>
      </c>
      <c r="U309" t="s">
        <v>59</v>
      </c>
      <c r="V309" s="3">
        <v>0.375</v>
      </c>
      <c r="W309" s="2">
        <v>0</v>
      </c>
      <c r="X309">
        <v>0</v>
      </c>
      <c r="Y309" t="s">
        <v>83</v>
      </c>
      <c r="Z309" t="s">
        <v>61</v>
      </c>
      <c r="AA309">
        <v>0</v>
      </c>
      <c r="AB309" s="2">
        <v>0</v>
      </c>
      <c r="AC309" s="2">
        <v>0</v>
      </c>
      <c r="AD309" s="4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16.71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45999</v>
      </c>
      <c r="B310" t="s">
        <v>48</v>
      </c>
      <c r="C310">
        <v>649163</v>
      </c>
      <c r="D310">
        <v>2030406802</v>
      </c>
      <c r="E310" t="s">
        <v>590</v>
      </c>
      <c r="F310" t="s">
        <v>591</v>
      </c>
      <c r="G310" t="s">
        <v>51</v>
      </c>
      <c r="H310" t="s">
        <v>200</v>
      </c>
      <c r="I310" t="s">
        <v>86</v>
      </c>
      <c r="J310" t="s">
        <v>87</v>
      </c>
      <c r="K310">
        <v>796984</v>
      </c>
      <c r="L310" t="s">
        <v>344</v>
      </c>
      <c r="M310" t="s">
        <v>260</v>
      </c>
      <c r="N310" t="s">
        <v>57</v>
      </c>
      <c r="O310" s="1">
        <v>45878</v>
      </c>
      <c r="Q310" s="1">
        <v>46031</v>
      </c>
      <c r="R310" s="2">
        <v>47.28</v>
      </c>
      <c r="S310">
        <v>1</v>
      </c>
      <c r="T310" t="s">
        <v>58</v>
      </c>
      <c r="U310" t="s">
        <v>59</v>
      </c>
      <c r="V310" s="3">
        <v>0.375</v>
      </c>
      <c r="W310" s="2">
        <v>0</v>
      </c>
      <c r="X310">
        <v>0</v>
      </c>
      <c r="Y310" t="s">
        <v>83</v>
      </c>
      <c r="Z310" t="s">
        <v>61</v>
      </c>
      <c r="AA310">
        <v>0</v>
      </c>
      <c r="AB310" s="2">
        <v>0</v>
      </c>
      <c r="AC310" s="2">
        <v>0</v>
      </c>
      <c r="AD310" s="4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17.73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45999</v>
      </c>
      <c r="B311" t="s">
        <v>48</v>
      </c>
      <c r="C311">
        <v>649163</v>
      </c>
      <c r="D311">
        <v>2030431211</v>
      </c>
      <c r="E311" t="s">
        <v>592</v>
      </c>
      <c r="F311" t="s">
        <v>593</v>
      </c>
      <c r="G311" t="s">
        <v>51</v>
      </c>
      <c r="H311" t="s">
        <v>102</v>
      </c>
      <c r="I311" t="s">
        <v>86</v>
      </c>
      <c r="J311" t="s">
        <v>87</v>
      </c>
      <c r="K311">
        <v>651818</v>
      </c>
      <c r="L311" t="s">
        <v>246</v>
      </c>
      <c r="M311" t="s">
        <v>247</v>
      </c>
      <c r="N311" t="s">
        <v>57</v>
      </c>
      <c r="O311" s="1">
        <v>45907</v>
      </c>
      <c r="Q311" s="1">
        <v>46029</v>
      </c>
      <c r="R311" s="2">
        <v>63.37</v>
      </c>
      <c r="S311">
        <v>1</v>
      </c>
      <c r="T311" t="s">
        <v>58</v>
      </c>
      <c r="U311" t="s">
        <v>59</v>
      </c>
      <c r="V311" s="3">
        <v>0.375</v>
      </c>
      <c r="W311" s="2">
        <v>0</v>
      </c>
      <c r="X311">
        <v>0</v>
      </c>
      <c r="Y311" t="s">
        <v>83</v>
      </c>
      <c r="Z311" t="s">
        <v>61</v>
      </c>
      <c r="AA311">
        <v>0</v>
      </c>
      <c r="AB311" s="2">
        <v>0</v>
      </c>
      <c r="AC311" s="2">
        <v>0</v>
      </c>
      <c r="AD311" s="4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23.76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45999</v>
      </c>
      <c r="B312" t="s">
        <v>48</v>
      </c>
      <c r="C312">
        <v>649163</v>
      </c>
      <c r="D312">
        <v>2030517072</v>
      </c>
      <c r="E312" t="s">
        <v>594</v>
      </c>
      <c r="F312" t="s">
        <v>595</v>
      </c>
      <c r="G312" t="s">
        <v>51</v>
      </c>
      <c r="H312" t="s">
        <v>374</v>
      </c>
      <c r="I312" t="s">
        <v>86</v>
      </c>
      <c r="J312" t="s">
        <v>87</v>
      </c>
      <c r="K312">
        <v>651818</v>
      </c>
      <c r="L312" t="s">
        <v>246</v>
      </c>
      <c r="M312" t="s">
        <v>247</v>
      </c>
      <c r="N312" t="s">
        <v>57</v>
      </c>
      <c r="O312" s="1">
        <v>45907</v>
      </c>
      <c r="Q312" s="1">
        <v>46029</v>
      </c>
      <c r="R312" s="2">
        <v>47.83</v>
      </c>
      <c r="S312">
        <v>1</v>
      </c>
      <c r="T312" t="s">
        <v>58</v>
      </c>
      <c r="U312" t="s">
        <v>59</v>
      </c>
      <c r="V312" s="3">
        <v>0.375</v>
      </c>
      <c r="W312" s="2">
        <v>0</v>
      </c>
      <c r="X312">
        <v>0</v>
      </c>
      <c r="Y312" t="s">
        <v>83</v>
      </c>
      <c r="Z312" t="s">
        <v>61</v>
      </c>
      <c r="AA312">
        <v>0</v>
      </c>
      <c r="AB312" s="2">
        <v>0</v>
      </c>
      <c r="AC312" s="2">
        <v>0</v>
      </c>
      <c r="AD312" s="4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17.940000000000001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45999</v>
      </c>
      <c r="B313" t="s">
        <v>48</v>
      </c>
      <c r="C313">
        <v>649163</v>
      </c>
      <c r="D313">
        <v>2030518951</v>
      </c>
      <c r="E313" t="s">
        <v>596</v>
      </c>
      <c r="F313" t="s">
        <v>597</v>
      </c>
      <c r="G313" t="s">
        <v>51</v>
      </c>
      <c r="H313" t="s">
        <v>256</v>
      </c>
      <c r="I313" t="s">
        <v>86</v>
      </c>
      <c r="J313" t="s">
        <v>87</v>
      </c>
      <c r="K313">
        <v>651818</v>
      </c>
      <c r="L313" t="s">
        <v>246</v>
      </c>
      <c r="M313" t="s">
        <v>247</v>
      </c>
      <c r="N313" t="s">
        <v>57</v>
      </c>
      <c r="O313" s="1">
        <v>45907</v>
      </c>
      <c r="Q313" s="1">
        <v>46029</v>
      </c>
      <c r="R313" s="2">
        <v>48.69</v>
      </c>
      <c r="S313">
        <v>1</v>
      </c>
      <c r="T313" t="s">
        <v>58</v>
      </c>
      <c r="U313" t="s">
        <v>59</v>
      </c>
      <c r="V313" s="3">
        <v>0.375</v>
      </c>
      <c r="W313" s="2">
        <v>0</v>
      </c>
      <c r="X313">
        <v>0</v>
      </c>
      <c r="Y313" t="s">
        <v>83</v>
      </c>
      <c r="Z313" t="s">
        <v>61</v>
      </c>
      <c r="AA313">
        <v>0</v>
      </c>
      <c r="AB313" s="2">
        <v>0</v>
      </c>
      <c r="AC313" s="2">
        <v>0</v>
      </c>
      <c r="AD313" s="4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18.260000000000002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45999</v>
      </c>
      <c r="B314" t="s">
        <v>48</v>
      </c>
      <c r="C314">
        <v>649163</v>
      </c>
      <c r="D314">
        <v>2030752804</v>
      </c>
      <c r="E314" t="s">
        <v>598</v>
      </c>
      <c r="F314" t="s">
        <v>599</v>
      </c>
      <c r="G314" t="s">
        <v>51</v>
      </c>
      <c r="H314" t="s">
        <v>447</v>
      </c>
      <c r="I314" t="s">
        <v>86</v>
      </c>
      <c r="J314" t="s">
        <v>87</v>
      </c>
      <c r="K314">
        <v>651818</v>
      </c>
      <c r="L314" t="s">
        <v>246</v>
      </c>
      <c r="M314" t="s">
        <v>247</v>
      </c>
      <c r="N314" t="s">
        <v>57</v>
      </c>
      <c r="O314" s="1">
        <v>45906</v>
      </c>
      <c r="Q314" s="1">
        <v>46028</v>
      </c>
      <c r="R314" s="2">
        <v>91.51</v>
      </c>
      <c r="S314">
        <v>1</v>
      </c>
      <c r="T314" t="s">
        <v>58</v>
      </c>
      <c r="U314" t="s">
        <v>59</v>
      </c>
      <c r="V314" s="3">
        <v>0.375</v>
      </c>
      <c r="W314" s="2">
        <v>0</v>
      </c>
      <c r="X314">
        <v>0</v>
      </c>
      <c r="Y314" t="s">
        <v>83</v>
      </c>
      <c r="Z314" t="s">
        <v>61</v>
      </c>
      <c r="AA314">
        <v>0</v>
      </c>
      <c r="AB314" s="2">
        <v>0</v>
      </c>
      <c r="AC314" s="2">
        <v>0</v>
      </c>
      <c r="AD314" s="4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34.32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45999</v>
      </c>
      <c r="B315" t="s">
        <v>48</v>
      </c>
      <c r="C315">
        <v>649163</v>
      </c>
      <c r="D315">
        <v>2030966817</v>
      </c>
      <c r="E315" t="s">
        <v>600</v>
      </c>
      <c r="F315" t="s">
        <v>503</v>
      </c>
      <c r="G315" t="s">
        <v>51</v>
      </c>
      <c r="H315" t="s">
        <v>220</v>
      </c>
      <c r="I315" t="s">
        <v>86</v>
      </c>
      <c r="J315" t="s">
        <v>87</v>
      </c>
      <c r="K315">
        <v>823350</v>
      </c>
      <c r="L315" t="s">
        <v>257</v>
      </c>
      <c r="M315" t="s">
        <v>258</v>
      </c>
      <c r="N315" t="s">
        <v>57</v>
      </c>
      <c r="O315" s="1">
        <v>45910</v>
      </c>
      <c r="Q315" s="1">
        <v>46032</v>
      </c>
      <c r="R315" s="2">
        <v>61.74</v>
      </c>
      <c r="S315">
        <v>1</v>
      </c>
      <c r="T315" t="s">
        <v>58</v>
      </c>
      <c r="U315" t="s">
        <v>105</v>
      </c>
      <c r="V315" s="3">
        <v>0.375</v>
      </c>
      <c r="W315" s="2">
        <v>0</v>
      </c>
      <c r="X315">
        <v>0</v>
      </c>
      <c r="Y315" t="s">
        <v>83</v>
      </c>
      <c r="Z315" t="s">
        <v>61</v>
      </c>
      <c r="AA315">
        <v>0</v>
      </c>
      <c r="AB315" s="2">
        <v>0</v>
      </c>
      <c r="AC315" s="2">
        <v>0</v>
      </c>
      <c r="AD315" s="4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23.15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45999</v>
      </c>
      <c r="B316" t="s">
        <v>48</v>
      </c>
      <c r="C316">
        <v>649163</v>
      </c>
      <c r="D316">
        <v>2031014067</v>
      </c>
      <c r="E316" t="s">
        <v>601</v>
      </c>
      <c r="F316" t="s">
        <v>602</v>
      </c>
      <c r="G316" t="s">
        <v>51</v>
      </c>
      <c r="H316" t="s">
        <v>447</v>
      </c>
      <c r="I316" t="s">
        <v>86</v>
      </c>
      <c r="J316" t="s">
        <v>87</v>
      </c>
      <c r="K316">
        <v>651818</v>
      </c>
      <c r="L316" t="s">
        <v>246</v>
      </c>
      <c r="M316" t="s">
        <v>247</v>
      </c>
      <c r="N316" t="s">
        <v>57</v>
      </c>
      <c r="O316" s="1">
        <v>45936</v>
      </c>
      <c r="Q316" s="1">
        <v>46028</v>
      </c>
      <c r="R316" s="2">
        <v>99.05</v>
      </c>
      <c r="S316">
        <v>1</v>
      </c>
      <c r="T316" t="s">
        <v>58</v>
      </c>
      <c r="U316" t="s">
        <v>105</v>
      </c>
      <c r="V316" s="3">
        <v>0.375</v>
      </c>
      <c r="W316" s="2">
        <v>0</v>
      </c>
      <c r="X316">
        <v>0</v>
      </c>
      <c r="Y316" t="s">
        <v>83</v>
      </c>
      <c r="Z316" t="s">
        <v>61</v>
      </c>
      <c r="AA316">
        <v>0</v>
      </c>
      <c r="AB316" s="2">
        <v>0</v>
      </c>
      <c r="AC316" s="2">
        <v>0</v>
      </c>
      <c r="AD316" s="4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37.14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45999</v>
      </c>
      <c r="B317" t="s">
        <v>48</v>
      </c>
      <c r="C317">
        <v>649163</v>
      </c>
      <c r="D317">
        <v>2031106354</v>
      </c>
      <c r="E317" t="s">
        <v>603</v>
      </c>
      <c r="F317" t="s">
        <v>604</v>
      </c>
      <c r="G317" t="s">
        <v>51</v>
      </c>
      <c r="H317" t="s">
        <v>97</v>
      </c>
      <c r="I317" t="s">
        <v>86</v>
      </c>
      <c r="J317" t="s">
        <v>87</v>
      </c>
      <c r="K317">
        <v>822865</v>
      </c>
      <c r="L317" t="s">
        <v>534</v>
      </c>
      <c r="M317" t="s">
        <v>535</v>
      </c>
      <c r="N317" t="s">
        <v>57</v>
      </c>
      <c r="O317" s="1">
        <v>45932</v>
      </c>
      <c r="Q317" s="1">
        <v>46024</v>
      </c>
      <c r="R317" s="2">
        <v>33.39</v>
      </c>
      <c r="S317">
        <v>1</v>
      </c>
      <c r="T317" t="s">
        <v>58</v>
      </c>
      <c r="U317" t="s">
        <v>105</v>
      </c>
      <c r="V317" s="3">
        <v>0.375</v>
      </c>
      <c r="W317" s="2">
        <v>0</v>
      </c>
      <c r="X317">
        <v>0</v>
      </c>
      <c r="Y317" t="s">
        <v>83</v>
      </c>
      <c r="Z317" t="s">
        <v>61</v>
      </c>
      <c r="AA317">
        <v>0</v>
      </c>
      <c r="AB317" s="2">
        <v>0</v>
      </c>
      <c r="AC317" s="2">
        <v>0</v>
      </c>
      <c r="AD317" s="4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12.52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45999</v>
      </c>
      <c r="B318" t="s">
        <v>48</v>
      </c>
      <c r="C318">
        <v>649163</v>
      </c>
      <c r="D318">
        <v>2031195330</v>
      </c>
      <c r="E318" t="s">
        <v>605</v>
      </c>
      <c r="F318" t="s">
        <v>71</v>
      </c>
      <c r="G318" t="s">
        <v>51</v>
      </c>
      <c r="H318" t="s">
        <v>97</v>
      </c>
      <c r="I318" t="s">
        <v>86</v>
      </c>
      <c r="J318" t="s">
        <v>87</v>
      </c>
      <c r="K318">
        <v>884595</v>
      </c>
      <c r="L318" t="s">
        <v>606</v>
      </c>
      <c r="M318" t="s">
        <v>607</v>
      </c>
      <c r="N318" t="s">
        <v>57</v>
      </c>
      <c r="O318" s="1">
        <v>45939</v>
      </c>
      <c r="Q318" s="1">
        <v>46031</v>
      </c>
      <c r="R318" s="2">
        <v>28.38</v>
      </c>
      <c r="S318">
        <v>1</v>
      </c>
      <c r="T318" t="s">
        <v>58</v>
      </c>
      <c r="U318" t="s">
        <v>105</v>
      </c>
      <c r="V318" s="3">
        <v>0.375</v>
      </c>
      <c r="W318" s="2">
        <v>0</v>
      </c>
      <c r="X318">
        <v>0</v>
      </c>
      <c r="Y318" t="s">
        <v>83</v>
      </c>
      <c r="Z318" t="s">
        <v>61</v>
      </c>
      <c r="AA318">
        <v>0</v>
      </c>
      <c r="AB318" s="2">
        <v>0</v>
      </c>
      <c r="AC318" s="2">
        <v>0</v>
      </c>
      <c r="AD318" s="4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10.64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45999</v>
      </c>
      <c r="B319" t="s">
        <v>48</v>
      </c>
      <c r="C319">
        <v>649163</v>
      </c>
      <c r="D319">
        <v>2031246839</v>
      </c>
      <c r="E319" t="s">
        <v>608</v>
      </c>
      <c r="F319" t="s">
        <v>609</v>
      </c>
      <c r="G319" t="s">
        <v>51</v>
      </c>
      <c r="H319" t="s">
        <v>256</v>
      </c>
      <c r="I319" t="s">
        <v>86</v>
      </c>
      <c r="J319" t="s">
        <v>87</v>
      </c>
      <c r="K319">
        <v>651818</v>
      </c>
      <c r="L319" t="s">
        <v>246</v>
      </c>
      <c r="M319" t="s">
        <v>247</v>
      </c>
      <c r="N319" t="s">
        <v>57</v>
      </c>
      <c r="O319" s="1">
        <v>45936</v>
      </c>
      <c r="Q319" s="1">
        <v>46028</v>
      </c>
      <c r="R319" s="2">
        <v>84.44</v>
      </c>
      <c r="S319">
        <v>1</v>
      </c>
      <c r="T319" t="s">
        <v>58</v>
      </c>
      <c r="U319" t="s">
        <v>105</v>
      </c>
      <c r="V319" s="3">
        <v>0.375</v>
      </c>
      <c r="W319" s="2">
        <v>0</v>
      </c>
      <c r="X319">
        <v>0</v>
      </c>
      <c r="Y319" t="s">
        <v>83</v>
      </c>
      <c r="Z319" t="s">
        <v>61</v>
      </c>
      <c r="AA319">
        <v>0</v>
      </c>
      <c r="AB319" s="2">
        <v>0</v>
      </c>
      <c r="AC319" s="2">
        <v>0</v>
      </c>
      <c r="AD319" s="4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31.66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45999</v>
      </c>
      <c r="B320" t="s">
        <v>48</v>
      </c>
      <c r="C320">
        <v>649163</v>
      </c>
      <c r="D320">
        <v>2031247583</v>
      </c>
      <c r="E320" t="s">
        <v>610</v>
      </c>
      <c r="F320" t="s">
        <v>285</v>
      </c>
      <c r="G320" t="s">
        <v>51</v>
      </c>
      <c r="H320" t="s">
        <v>102</v>
      </c>
      <c r="I320" t="s">
        <v>86</v>
      </c>
      <c r="J320" t="s">
        <v>87</v>
      </c>
      <c r="K320">
        <v>651818</v>
      </c>
      <c r="L320" t="s">
        <v>246</v>
      </c>
      <c r="M320" t="s">
        <v>247</v>
      </c>
      <c r="N320" t="s">
        <v>57</v>
      </c>
      <c r="O320" s="1">
        <v>45936</v>
      </c>
      <c r="Q320" s="1">
        <v>46028</v>
      </c>
      <c r="R320" s="2">
        <v>149.87</v>
      </c>
      <c r="S320">
        <v>1</v>
      </c>
      <c r="T320" t="s">
        <v>58</v>
      </c>
      <c r="U320" t="s">
        <v>105</v>
      </c>
      <c r="V320" s="3">
        <v>0.375</v>
      </c>
      <c r="W320" s="2">
        <v>0</v>
      </c>
      <c r="X320">
        <v>0</v>
      </c>
      <c r="Y320" t="s">
        <v>83</v>
      </c>
      <c r="Z320" t="s">
        <v>61</v>
      </c>
      <c r="AA320">
        <v>0</v>
      </c>
      <c r="AB320" s="2">
        <v>0</v>
      </c>
      <c r="AC320" s="2">
        <v>0</v>
      </c>
      <c r="AD320" s="4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56.2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45999</v>
      </c>
      <c r="B321" t="s">
        <v>48</v>
      </c>
      <c r="C321">
        <v>649163</v>
      </c>
      <c r="D321">
        <v>2031492462</v>
      </c>
      <c r="E321" t="s">
        <v>611</v>
      </c>
      <c r="F321" t="s">
        <v>328</v>
      </c>
      <c r="G321" t="s">
        <v>51</v>
      </c>
      <c r="H321" t="s">
        <v>395</v>
      </c>
      <c r="I321" t="s">
        <v>86</v>
      </c>
      <c r="J321" t="s">
        <v>87</v>
      </c>
      <c r="K321">
        <v>823350</v>
      </c>
      <c r="L321" t="s">
        <v>257</v>
      </c>
      <c r="M321" t="s">
        <v>258</v>
      </c>
      <c r="N321" t="s">
        <v>57</v>
      </c>
      <c r="O321" s="1">
        <v>45938</v>
      </c>
      <c r="Q321" s="1">
        <v>46030</v>
      </c>
      <c r="R321" s="2">
        <v>88.69</v>
      </c>
      <c r="S321">
        <v>1</v>
      </c>
      <c r="T321" t="s">
        <v>58</v>
      </c>
      <c r="U321" t="s">
        <v>105</v>
      </c>
      <c r="V321" s="3">
        <v>0.375</v>
      </c>
      <c r="W321" s="2">
        <v>0</v>
      </c>
      <c r="X321">
        <v>0</v>
      </c>
      <c r="Y321" t="s">
        <v>83</v>
      </c>
      <c r="Z321" t="s">
        <v>61</v>
      </c>
      <c r="AA321">
        <v>0</v>
      </c>
      <c r="AB321" s="2">
        <v>0</v>
      </c>
      <c r="AC321" s="2">
        <v>0</v>
      </c>
      <c r="AD321" s="4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33.26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45999</v>
      </c>
      <c r="B322" t="s">
        <v>48</v>
      </c>
      <c r="C322">
        <v>649163</v>
      </c>
      <c r="D322">
        <v>2031526095</v>
      </c>
      <c r="E322" t="s">
        <v>612</v>
      </c>
      <c r="F322" t="s">
        <v>551</v>
      </c>
      <c r="G322" t="s">
        <v>51</v>
      </c>
      <c r="H322" t="s">
        <v>308</v>
      </c>
      <c r="I322" t="s">
        <v>86</v>
      </c>
      <c r="J322" t="s">
        <v>87</v>
      </c>
      <c r="K322">
        <v>877790</v>
      </c>
      <c r="L322" t="s">
        <v>310</v>
      </c>
      <c r="M322" t="s">
        <v>311</v>
      </c>
      <c r="N322" t="s">
        <v>57</v>
      </c>
      <c r="O322" s="1">
        <v>45939</v>
      </c>
      <c r="Q322" s="1">
        <v>46031</v>
      </c>
      <c r="R322" s="2">
        <v>48.15</v>
      </c>
      <c r="S322">
        <v>1</v>
      </c>
      <c r="T322" t="s">
        <v>58</v>
      </c>
      <c r="U322" t="s">
        <v>105</v>
      </c>
      <c r="V322" s="3">
        <v>0.375</v>
      </c>
      <c r="W322" s="2">
        <v>0</v>
      </c>
      <c r="X322">
        <v>0</v>
      </c>
      <c r="Y322" t="s">
        <v>83</v>
      </c>
      <c r="Z322" t="s">
        <v>61</v>
      </c>
      <c r="AA322">
        <v>0</v>
      </c>
      <c r="AB322" s="2">
        <v>0</v>
      </c>
      <c r="AC322" s="2">
        <v>0</v>
      </c>
      <c r="AD322" s="4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18.059999999999999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45999</v>
      </c>
      <c r="B323" t="s">
        <v>48</v>
      </c>
      <c r="C323">
        <v>649163</v>
      </c>
      <c r="D323">
        <v>2031636639</v>
      </c>
      <c r="E323" t="s">
        <v>613</v>
      </c>
      <c r="F323" t="s">
        <v>124</v>
      </c>
      <c r="G323" t="s">
        <v>51</v>
      </c>
      <c r="H323" t="s">
        <v>220</v>
      </c>
      <c r="I323" t="s">
        <v>86</v>
      </c>
      <c r="J323" t="s">
        <v>87</v>
      </c>
      <c r="K323">
        <v>813184</v>
      </c>
      <c r="L323" t="s">
        <v>361</v>
      </c>
      <c r="M323" t="s">
        <v>362</v>
      </c>
      <c r="N323" t="s">
        <v>94</v>
      </c>
      <c r="O323" s="1">
        <v>45946</v>
      </c>
      <c r="P323" s="1">
        <v>45999</v>
      </c>
      <c r="Q323" s="1">
        <v>46007</v>
      </c>
      <c r="R323" s="2">
        <v>-25.66</v>
      </c>
      <c r="S323">
        <v>1</v>
      </c>
      <c r="T323" t="s">
        <v>58</v>
      </c>
      <c r="U323" t="s">
        <v>105</v>
      </c>
      <c r="V323" s="3">
        <v>0.375</v>
      </c>
      <c r="W323" s="2">
        <v>0</v>
      </c>
      <c r="X323">
        <v>-1</v>
      </c>
      <c r="Y323" t="s">
        <v>83</v>
      </c>
      <c r="Z323" t="s">
        <v>61</v>
      </c>
      <c r="AA323">
        <v>0</v>
      </c>
      <c r="AB323" s="2">
        <v>0</v>
      </c>
      <c r="AC323" s="2">
        <v>0</v>
      </c>
      <c r="AD323" s="4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-9.6199999999999992</v>
      </c>
      <c r="AN323" s="2">
        <v>-9.6199999999999992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45999</v>
      </c>
      <c r="B324" t="s">
        <v>48</v>
      </c>
      <c r="C324">
        <v>649163</v>
      </c>
      <c r="D324">
        <v>2031690750</v>
      </c>
      <c r="E324" t="s">
        <v>614</v>
      </c>
      <c r="F324" t="s">
        <v>615</v>
      </c>
      <c r="G324" t="s">
        <v>51</v>
      </c>
      <c r="H324" t="s">
        <v>200</v>
      </c>
      <c r="I324" t="s">
        <v>86</v>
      </c>
      <c r="J324" t="s">
        <v>87</v>
      </c>
      <c r="K324">
        <v>816021</v>
      </c>
      <c r="L324" t="s">
        <v>201</v>
      </c>
      <c r="M324" t="s">
        <v>202</v>
      </c>
      <c r="N324" t="s">
        <v>57</v>
      </c>
      <c r="O324" s="1">
        <v>45948</v>
      </c>
      <c r="Q324" s="1">
        <v>46009</v>
      </c>
      <c r="R324" s="2">
        <v>71.760000000000005</v>
      </c>
      <c r="S324">
        <v>1</v>
      </c>
      <c r="T324" t="s">
        <v>58</v>
      </c>
      <c r="U324" t="s">
        <v>105</v>
      </c>
      <c r="V324" s="3">
        <v>0.375</v>
      </c>
      <c r="W324" s="2">
        <v>0</v>
      </c>
      <c r="X324">
        <v>0</v>
      </c>
      <c r="Y324" t="s">
        <v>83</v>
      </c>
      <c r="Z324" t="s">
        <v>61</v>
      </c>
      <c r="AA324">
        <v>0</v>
      </c>
      <c r="AB324" s="2">
        <v>0</v>
      </c>
      <c r="AC324" s="2">
        <v>0</v>
      </c>
      <c r="AD324" s="4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26.91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45999</v>
      </c>
      <c r="B325" t="s">
        <v>48</v>
      </c>
      <c r="C325">
        <v>649163</v>
      </c>
      <c r="D325">
        <v>2031755483</v>
      </c>
      <c r="E325" t="s">
        <v>616</v>
      </c>
      <c r="F325" t="s">
        <v>617</v>
      </c>
      <c r="G325" t="s">
        <v>51</v>
      </c>
      <c r="H325" t="s">
        <v>220</v>
      </c>
      <c r="I325" t="s">
        <v>86</v>
      </c>
      <c r="J325" t="s">
        <v>87</v>
      </c>
      <c r="K325">
        <v>651818</v>
      </c>
      <c r="L325" t="s">
        <v>246</v>
      </c>
      <c r="M325" t="s">
        <v>247</v>
      </c>
      <c r="N325" t="s">
        <v>57</v>
      </c>
      <c r="O325" s="1">
        <v>45967</v>
      </c>
      <c r="Q325" s="1">
        <v>46028</v>
      </c>
      <c r="R325" s="2">
        <v>76.31</v>
      </c>
      <c r="S325">
        <v>1</v>
      </c>
      <c r="T325" t="s">
        <v>58</v>
      </c>
      <c r="U325" t="s">
        <v>105</v>
      </c>
      <c r="V325" s="3">
        <v>0.375</v>
      </c>
      <c r="W325" s="2">
        <v>0</v>
      </c>
      <c r="X325">
        <v>0</v>
      </c>
      <c r="Y325" t="s">
        <v>83</v>
      </c>
      <c r="Z325" t="s">
        <v>61</v>
      </c>
      <c r="AA325">
        <v>0</v>
      </c>
      <c r="AB325" s="2">
        <v>0</v>
      </c>
      <c r="AC325" s="2">
        <v>0</v>
      </c>
      <c r="AD325" s="4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28.62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45999</v>
      </c>
      <c r="B326" t="s">
        <v>48</v>
      </c>
      <c r="C326">
        <v>649163</v>
      </c>
      <c r="D326">
        <v>2031824951</v>
      </c>
      <c r="E326" t="s">
        <v>618</v>
      </c>
      <c r="F326" t="s">
        <v>619</v>
      </c>
      <c r="G326" t="s">
        <v>51</v>
      </c>
      <c r="H326" t="s">
        <v>620</v>
      </c>
      <c r="I326" t="s">
        <v>86</v>
      </c>
      <c r="J326" t="s">
        <v>87</v>
      </c>
      <c r="K326">
        <v>651818</v>
      </c>
      <c r="L326" t="s">
        <v>246</v>
      </c>
      <c r="M326" t="s">
        <v>247</v>
      </c>
      <c r="N326" t="s">
        <v>57</v>
      </c>
      <c r="O326" s="1">
        <v>45967</v>
      </c>
      <c r="Q326" s="1">
        <v>46028</v>
      </c>
      <c r="R326" s="2">
        <v>61.93</v>
      </c>
      <c r="S326">
        <v>1</v>
      </c>
      <c r="T326" t="s">
        <v>58</v>
      </c>
      <c r="U326" t="s">
        <v>105</v>
      </c>
      <c r="V326" s="3">
        <v>0.375</v>
      </c>
      <c r="W326" s="2">
        <v>0</v>
      </c>
      <c r="X326">
        <v>0</v>
      </c>
      <c r="Y326" t="s">
        <v>83</v>
      </c>
      <c r="Z326" t="s">
        <v>61</v>
      </c>
      <c r="AA326">
        <v>0</v>
      </c>
      <c r="AB326" s="2">
        <v>0</v>
      </c>
      <c r="AC326" s="2">
        <v>0</v>
      </c>
      <c r="AD326" s="4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23.22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45999</v>
      </c>
      <c r="B327" t="s">
        <v>48</v>
      </c>
      <c r="C327">
        <v>649163</v>
      </c>
      <c r="D327">
        <v>2032000757</v>
      </c>
      <c r="E327" t="s">
        <v>621</v>
      </c>
      <c r="F327" t="s">
        <v>622</v>
      </c>
      <c r="G327" t="s">
        <v>51</v>
      </c>
      <c r="H327" t="s">
        <v>102</v>
      </c>
      <c r="I327" t="s">
        <v>86</v>
      </c>
      <c r="J327" t="s">
        <v>87</v>
      </c>
      <c r="K327">
        <v>843573</v>
      </c>
      <c r="L327" t="s">
        <v>253</v>
      </c>
      <c r="M327" t="s">
        <v>254</v>
      </c>
      <c r="N327" t="s">
        <v>57</v>
      </c>
      <c r="O327" s="1">
        <v>45968</v>
      </c>
      <c r="Q327" s="1">
        <v>46029</v>
      </c>
      <c r="R327" s="2">
        <v>53.87</v>
      </c>
      <c r="S327">
        <v>1</v>
      </c>
      <c r="T327" t="s">
        <v>58</v>
      </c>
      <c r="U327" t="s">
        <v>105</v>
      </c>
      <c r="V327" s="3">
        <v>0.375</v>
      </c>
      <c r="W327" s="2">
        <v>0</v>
      </c>
      <c r="X327">
        <v>0</v>
      </c>
      <c r="Y327" t="s">
        <v>83</v>
      </c>
      <c r="Z327" t="s">
        <v>61</v>
      </c>
      <c r="AA327">
        <v>0</v>
      </c>
      <c r="AB327" s="2">
        <v>0</v>
      </c>
      <c r="AC327" s="2">
        <v>0</v>
      </c>
      <c r="AD327" s="4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20.2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45999</v>
      </c>
      <c r="B328" t="s">
        <v>48</v>
      </c>
      <c r="C328">
        <v>649163</v>
      </c>
      <c r="D328">
        <v>2032002154</v>
      </c>
      <c r="E328" t="s">
        <v>623</v>
      </c>
      <c r="F328" t="s">
        <v>624</v>
      </c>
      <c r="G328" t="s">
        <v>51</v>
      </c>
      <c r="H328" t="s">
        <v>200</v>
      </c>
      <c r="I328" t="s">
        <v>86</v>
      </c>
      <c r="J328" t="s">
        <v>87</v>
      </c>
      <c r="K328">
        <v>816021</v>
      </c>
      <c r="L328" t="s">
        <v>201</v>
      </c>
      <c r="M328" t="s">
        <v>202</v>
      </c>
      <c r="N328" t="s">
        <v>57</v>
      </c>
      <c r="O328" s="1">
        <v>45967</v>
      </c>
      <c r="Q328" s="1">
        <v>46028</v>
      </c>
      <c r="R328" s="2">
        <v>54.57</v>
      </c>
      <c r="S328">
        <v>1</v>
      </c>
      <c r="T328" t="s">
        <v>58</v>
      </c>
      <c r="U328" t="s">
        <v>105</v>
      </c>
      <c r="V328" s="3">
        <v>0.375</v>
      </c>
      <c r="W328" s="2">
        <v>0</v>
      </c>
      <c r="X328">
        <v>0</v>
      </c>
      <c r="Y328" t="s">
        <v>83</v>
      </c>
      <c r="Z328" t="s">
        <v>61</v>
      </c>
      <c r="AA328">
        <v>0</v>
      </c>
      <c r="AB328" s="2">
        <v>0</v>
      </c>
      <c r="AC328" s="2">
        <v>0</v>
      </c>
      <c r="AD328" s="4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20.46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45999</v>
      </c>
      <c r="B329" t="s">
        <v>48</v>
      </c>
      <c r="C329">
        <v>649163</v>
      </c>
      <c r="D329">
        <v>2032021961</v>
      </c>
      <c r="E329" t="s">
        <v>625</v>
      </c>
      <c r="F329" t="s">
        <v>583</v>
      </c>
      <c r="G329" t="s">
        <v>51</v>
      </c>
      <c r="H329" t="s">
        <v>52</v>
      </c>
      <c r="I329" t="s">
        <v>86</v>
      </c>
      <c r="J329" t="s">
        <v>87</v>
      </c>
      <c r="K329">
        <v>877182</v>
      </c>
      <c r="L329" t="s">
        <v>626</v>
      </c>
      <c r="M329" t="s">
        <v>627</v>
      </c>
      <c r="N329" t="s">
        <v>57</v>
      </c>
      <c r="O329" s="1">
        <v>45968</v>
      </c>
      <c r="Q329" s="1">
        <v>46029</v>
      </c>
      <c r="R329" s="2">
        <v>15.88</v>
      </c>
      <c r="S329">
        <v>1</v>
      </c>
      <c r="T329" t="s">
        <v>58</v>
      </c>
      <c r="U329" t="s">
        <v>105</v>
      </c>
      <c r="V329" s="3">
        <v>0.375</v>
      </c>
      <c r="W329" s="2">
        <v>0</v>
      </c>
      <c r="X329">
        <v>0</v>
      </c>
      <c r="Y329" t="s">
        <v>83</v>
      </c>
      <c r="Z329" t="s">
        <v>61</v>
      </c>
      <c r="AA329">
        <v>0</v>
      </c>
      <c r="AB329" s="2">
        <v>0</v>
      </c>
      <c r="AC329" s="2">
        <v>0</v>
      </c>
      <c r="AD329" s="4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5.96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45999</v>
      </c>
      <c r="B330" t="s">
        <v>48</v>
      </c>
      <c r="C330">
        <v>649163</v>
      </c>
      <c r="D330">
        <v>2032038861</v>
      </c>
      <c r="E330" t="s">
        <v>628</v>
      </c>
      <c r="F330" t="s">
        <v>204</v>
      </c>
      <c r="G330" t="s">
        <v>51</v>
      </c>
      <c r="H330" t="s">
        <v>102</v>
      </c>
      <c r="I330" t="s">
        <v>86</v>
      </c>
      <c r="J330" t="s">
        <v>87</v>
      </c>
      <c r="K330">
        <v>843573</v>
      </c>
      <c r="L330" t="s">
        <v>253</v>
      </c>
      <c r="M330" t="s">
        <v>254</v>
      </c>
      <c r="N330" t="s">
        <v>57</v>
      </c>
      <c r="O330" s="1">
        <v>45972</v>
      </c>
      <c r="Q330" s="1">
        <v>46033</v>
      </c>
      <c r="R330" s="2">
        <v>109.28</v>
      </c>
      <c r="S330">
        <v>1</v>
      </c>
      <c r="T330" t="s">
        <v>58</v>
      </c>
      <c r="U330" t="s">
        <v>105</v>
      </c>
      <c r="V330" s="3">
        <v>0.375</v>
      </c>
      <c r="W330" s="2">
        <v>0</v>
      </c>
      <c r="X330">
        <v>0</v>
      </c>
      <c r="Y330" t="s">
        <v>83</v>
      </c>
      <c r="Z330" t="s">
        <v>61</v>
      </c>
      <c r="AA330">
        <v>0</v>
      </c>
      <c r="AB330" s="2">
        <v>0</v>
      </c>
      <c r="AC330" s="2">
        <v>0</v>
      </c>
      <c r="AD330" s="4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40.98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45999</v>
      </c>
      <c r="B331" t="s">
        <v>48</v>
      </c>
      <c r="C331">
        <v>649163</v>
      </c>
      <c r="D331">
        <v>2032111468</v>
      </c>
      <c r="E331" t="s">
        <v>629</v>
      </c>
      <c r="F331" t="s">
        <v>630</v>
      </c>
      <c r="G331" t="s">
        <v>51</v>
      </c>
      <c r="H331" t="s">
        <v>125</v>
      </c>
      <c r="I331" t="s">
        <v>86</v>
      </c>
      <c r="J331" t="s">
        <v>87</v>
      </c>
      <c r="K331">
        <v>897926</v>
      </c>
      <c r="L331" t="s">
        <v>467</v>
      </c>
      <c r="M331" t="s">
        <v>468</v>
      </c>
      <c r="N331" t="s">
        <v>57</v>
      </c>
      <c r="O331" s="1">
        <v>45973</v>
      </c>
      <c r="Q331" s="1">
        <v>46034</v>
      </c>
      <c r="R331" s="2">
        <v>54.95</v>
      </c>
      <c r="S331">
        <v>1</v>
      </c>
      <c r="T331" t="s">
        <v>58</v>
      </c>
      <c r="U331" t="s">
        <v>105</v>
      </c>
      <c r="V331" s="3">
        <v>0.375</v>
      </c>
      <c r="W331" s="2">
        <v>0</v>
      </c>
      <c r="X331">
        <v>0</v>
      </c>
      <c r="Y331" t="s">
        <v>83</v>
      </c>
      <c r="Z331" t="s">
        <v>61</v>
      </c>
      <c r="AA331">
        <v>0</v>
      </c>
      <c r="AB331" s="2">
        <v>0</v>
      </c>
      <c r="AC331" s="2">
        <v>0</v>
      </c>
      <c r="AD331" s="4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20.61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45999</v>
      </c>
      <c r="B332" t="s">
        <v>48</v>
      </c>
      <c r="C332">
        <v>649163</v>
      </c>
      <c r="D332">
        <v>2032389018</v>
      </c>
      <c r="E332" t="s">
        <v>631</v>
      </c>
      <c r="F332" t="s">
        <v>175</v>
      </c>
      <c r="G332" t="s">
        <v>51</v>
      </c>
      <c r="H332" t="s">
        <v>52</v>
      </c>
      <c r="I332" t="s">
        <v>86</v>
      </c>
      <c r="J332" t="s">
        <v>87</v>
      </c>
      <c r="K332">
        <v>650218</v>
      </c>
      <c r="L332" t="s">
        <v>88</v>
      </c>
      <c r="M332" t="s">
        <v>89</v>
      </c>
      <c r="N332" t="s">
        <v>57</v>
      </c>
      <c r="O332" s="1">
        <v>46023</v>
      </c>
      <c r="Q332" s="1">
        <v>46054</v>
      </c>
      <c r="R332" s="2">
        <v>-45.42</v>
      </c>
      <c r="S332">
        <v>1</v>
      </c>
      <c r="T332" t="s">
        <v>58</v>
      </c>
      <c r="U332" t="s">
        <v>105</v>
      </c>
      <c r="V332" s="3">
        <v>0.375</v>
      </c>
      <c r="W332" s="2">
        <v>0</v>
      </c>
      <c r="X332">
        <v>-1</v>
      </c>
      <c r="Y332" t="s">
        <v>83</v>
      </c>
      <c r="Z332" t="s">
        <v>61</v>
      </c>
      <c r="AA332">
        <v>0</v>
      </c>
      <c r="AB332" s="2">
        <v>0</v>
      </c>
      <c r="AC332" s="2">
        <v>0</v>
      </c>
      <c r="AD332" s="4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-17.03</v>
      </c>
      <c r="AN332" s="2">
        <v>-17.03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45999</v>
      </c>
      <c r="B333" t="s">
        <v>48</v>
      </c>
      <c r="C333">
        <v>649163</v>
      </c>
      <c r="D333">
        <v>2032404817</v>
      </c>
      <c r="E333" t="s">
        <v>632</v>
      </c>
      <c r="F333" t="s">
        <v>633</v>
      </c>
      <c r="G333" t="s">
        <v>51</v>
      </c>
      <c r="H333" t="s">
        <v>102</v>
      </c>
      <c r="I333" t="s">
        <v>86</v>
      </c>
      <c r="J333" t="s">
        <v>87</v>
      </c>
      <c r="K333">
        <v>806645</v>
      </c>
      <c r="L333" t="s">
        <v>98</v>
      </c>
      <c r="M333" t="s">
        <v>99</v>
      </c>
      <c r="N333" t="s">
        <v>94</v>
      </c>
      <c r="O333" s="1">
        <v>45990</v>
      </c>
      <c r="P333" s="1">
        <v>45999</v>
      </c>
      <c r="Q333" s="1">
        <v>46020</v>
      </c>
      <c r="R333" s="2">
        <v>-63.37</v>
      </c>
      <c r="S333">
        <v>1</v>
      </c>
      <c r="T333" t="s">
        <v>58</v>
      </c>
      <c r="U333" t="s">
        <v>105</v>
      </c>
      <c r="V333" s="3">
        <v>0.375</v>
      </c>
      <c r="W333" s="2">
        <v>0</v>
      </c>
      <c r="X333">
        <v>-1</v>
      </c>
      <c r="Y333" t="s">
        <v>83</v>
      </c>
      <c r="Z333" t="s">
        <v>61</v>
      </c>
      <c r="AA333">
        <v>0</v>
      </c>
      <c r="AB333" s="2">
        <v>0</v>
      </c>
      <c r="AC333" s="2">
        <v>0</v>
      </c>
      <c r="AD333" s="4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-23.76</v>
      </c>
      <c r="AN333" s="2">
        <v>-23.76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45999</v>
      </c>
      <c r="B334" t="s">
        <v>48</v>
      </c>
      <c r="C334">
        <v>649163</v>
      </c>
      <c r="D334">
        <v>2022747853</v>
      </c>
      <c r="E334" t="s">
        <v>634</v>
      </c>
      <c r="F334" t="s">
        <v>635</v>
      </c>
      <c r="G334" t="s">
        <v>51</v>
      </c>
      <c r="H334" t="s">
        <v>52</v>
      </c>
      <c r="I334" t="s">
        <v>365</v>
      </c>
      <c r="J334" t="s">
        <v>366</v>
      </c>
      <c r="K334">
        <v>751867</v>
      </c>
      <c r="L334" t="s">
        <v>70</v>
      </c>
      <c r="M334" t="s">
        <v>71</v>
      </c>
      <c r="N334" t="s">
        <v>57</v>
      </c>
      <c r="O334" s="1">
        <v>45413</v>
      </c>
      <c r="Q334" s="1">
        <v>46023</v>
      </c>
      <c r="R334" s="2">
        <v>61.39</v>
      </c>
      <c r="S334">
        <v>1</v>
      </c>
      <c r="T334" t="s">
        <v>58</v>
      </c>
      <c r="U334" t="s">
        <v>59</v>
      </c>
      <c r="V334" s="4">
        <v>0.1</v>
      </c>
      <c r="W334" s="2">
        <v>0</v>
      </c>
      <c r="X334">
        <v>0</v>
      </c>
      <c r="Y334" t="s">
        <v>60</v>
      </c>
      <c r="Z334" t="s">
        <v>61</v>
      </c>
      <c r="AA334">
        <v>0</v>
      </c>
      <c r="AB334" s="2">
        <v>0</v>
      </c>
      <c r="AC334" s="2">
        <v>0</v>
      </c>
      <c r="AD334" s="4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6.14</v>
      </c>
      <c r="AN334" s="2">
        <v>6.14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45999</v>
      </c>
      <c r="B335" t="s">
        <v>48</v>
      </c>
      <c r="C335">
        <v>649163</v>
      </c>
      <c r="D335">
        <v>2022853292</v>
      </c>
      <c r="E335" t="s">
        <v>68</v>
      </c>
      <c r="F335" t="s">
        <v>69</v>
      </c>
      <c r="G335" t="s">
        <v>51</v>
      </c>
      <c r="H335" t="s">
        <v>52</v>
      </c>
      <c r="I335" t="s">
        <v>365</v>
      </c>
      <c r="J335" t="s">
        <v>366</v>
      </c>
      <c r="K335">
        <v>751867</v>
      </c>
      <c r="L335" t="s">
        <v>70</v>
      </c>
      <c r="M335" t="s">
        <v>71</v>
      </c>
      <c r="N335" t="s">
        <v>57</v>
      </c>
      <c r="O335" s="1">
        <v>45413</v>
      </c>
      <c r="Q335" s="1">
        <v>46023</v>
      </c>
      <c r="R335" s="2">
        <v>116.64</v>
      </c>
      <c r="S335">
        <v>1</v>
      </c>
      <c r="T335" t="s">
        <v>58</v>
      </c>
      <c r="U335" t="s">
        <v>59</v>
      </c>
      <c r="V335" s="4">
        <v>0.1</v>
      </c>
      <c r="W335" s="2">
        <v>0</v>
      </c>
      <c r="X335">
        <v>0</v>
      </c>
      <c r="Y335" t="s">
        <v>60</v>
      </c>
      <c r="Z335" t="s">
        <v>61</v>
      </c>
      <c r="AA335">
        <v>0</v>
      </c>
      <c r="AB335" s="2">
        <v>0</v>
      </c>
      <c r="AC335" s="2">
        <v>0</v>
      </c>
      <c r="AD335" s="4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11.66</v>
      </c>
      <c r="AN335" s="2">
        <v>11.66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45999</v>
      </c>
      <c r="B336" t="s">
        <v>48</v>
      </c>
      <c r="C336">
        <v>649163</v>
      </c>
      <c r="D336">
        <v>2022874966</v>
      </c>
      <c r="E336" t="s">
        <v>636</v>
      </c>
      <c r="F336" t="s">
        <v>637</v>
      </c>
      <c r="G336" t="s">
        <v>51</v>
      </c>
      <c r="H336" t="s">
        <v>52</v>
      </c>
      <c r="I336" t="s">
        <v>365</v>
      </c>
      <c r="J336" t="s">
        <v>366</v>
      </c>
      <c r="K336">
        <v>751867</v>
      </c>
      <c r="L336" t="s">
        <v>70</v>
      </c>
      <c r="M336" t="s">
        <v>71</v>
      </c>
      <c r="N336" t="s">
        <v>57</v>
      </c>
      <c r="O336" s="1">
        <v>45413</v>
      </c>
      <c r="Q336" s="1">
        <v>46023</v>
      </c>
      <c r="R336" s="2">
        <v>69.63</v>
      </c>
      <c r="S336">
        <v>1</v>
      </c>
      <c r="T336" t="s">
        <v>58</v>
      </c>
      <c r="U336" t="s">
        <v>59</v>
      </c>
      <c r="V336" s="4">
        <v>0.1</v>
      </c>
      <c r="W336" s="2">
        <v>0</v>
      </c>
      <c r="X336">
        <v>0</v>
      </c>
      <c r="Y336" t="s">
        <v>60</v>
      </c>
      <c r="Z336" t="s">
        <v>61</v>
      </c>
      <c r="AA336">
        <v>0</v>
      </c>
      <c r="AB336" s="2">
        <v>0</v>
      </c>
      <c r="AC336" s="2">
        <v>0</v>
      </c>
      <c r="AD336" s="4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6.96</v>
      </c>
      <c r="AN336" s="2">
        <v>6.96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45999</v>
      </c>
      <c r="B337" t="s">
        <v>48</v>
      </c>
      <c r="C337">
        <v>649163</v>
      </c>
      <c r="D337">
        <v>2023010064</v>
      </c>
      <c r="E337" t="s">
        <v>638</v>
      </c>
      <c r="F337" t="s">
        <v>639</v>
      </c>
      <c r="G337" t="s">
        <v>51</v>
      </c>
      <c r="H337" t="s">
        <v>131</v>
      </c>
      <c r="I337" t="s">
        <v>365</v>
      </c>
      <c r="J337" t="s">
        <v>366</v>
      </c>
      <c r="K337">
        <v>751867</v>
      </c>
      <c r="L337" t="s">
        <v>70</v>
      </c>
      <c r="M337" t="s">
        <v>71</v>
      </c>
      <c r="N337" t="s">
        <v>57</v>
      </c>
      <c r="O337" s="1">
        <v>45419</v>
      </c>
      <c r="Q337" s="1">
        <v>46029</v>
      </c>
      <c r="R337" s="2">
        <v>17.34</v>
      </c>
      <c r="S337">
        <v>1</v>
      </c>
      <c r="T337" t="s">
        <v>58</v>
      </c>
      <c r="U337" t="s">
        <v>59</v>
      </c>
      <c r="V337" s="4">
        <v>0.1</v>
      </c>
      <c r="W337" s="2">
        <v>0</v>
      </c>
      <c r="X337">
        <v>0</v>
      </c>
      <c r="Y337" t="s">
        <v>60</v>
      </c>
      <c r="Z337" t="s">
        <v>61</v>
      </c>
      <c r="AA337">
        <v>0</v>
      </c>
      <c r="AB337" s="2">
        <v>0</v>
      </c>
      <c r="AC337" s="2">
        <v>0</v>
      </c>
      <c r="AD337" s="4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1.73</v>
      </c>
      <c r="AN337" s="2">
        <v>1.73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45999</v>
      </c>
      <c r="B338" t="s">
        <v>48</v>
      </c>
      <c r="C338">
        <v>649163</v>
      </c>
      <c r="D338">
        <v>2023048531</v>
      </c>
      <c r="E338" t="s">
        <v>640</v>
      </c>
      <c r="F338" t="s">
        <v>322</v>
      </c>
      <c r="G338" t="s">
        <v>51</v>
      </c>
      <c r="H338" t="s">
        <v>131</v>
      </c>
      <c r="I338" t="s">
        <v>365</v>
      </c>
      <c r="J338" t="s">
        <v>366</v>
      </c>
      <c r="K338">
        <v>751867</v>
      </c>
      <c r="L338" t="s">
        <v>70</v>
      </c>
      <c r="M338" t="s">
        <v>71</v>
      </c>
      <c r="N338" t="s">
        <v>57</v>
      </c>
      <c r="O338" s="1">
        <v>45422</v>
      </c>
      <c r="Q338" s="1">
        <v>46032</v>
      </c>
      <c r="R338" s="2">
        <v>55.07</v>
      </c>
      <c r="S338">
        <v>1</v>
      </c>
      <c r="T338" t="s">
        <v>58</v>
      </c>
      <c r="U338" t="s">
        <v>59</v>
      </c>
      <c r="V338" s="4">
        <v>0.1</v>
      </c>
      <c r="W338" s="2">
        <v>0</v>
      </c>
      <c r="X338">
        <v>0</v>
      </c>
      <c r="Y338" t="s">
        <v>60</v>
      </c>
      <c r="Z338" t="s">
        <v>61</v>
      </c>
      <c r="AA338">
        <v>0</v>
      </c>
      <c r="AB338" s="2">
        <v>0</v>
      </c>
      <c r="AC338" s="2">
        <v>0</v>
      </c>
      <c r="AD338" s="4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5.51</v>
      </c>
      <c r="AN338" s="2">
        <v>5.51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45999</v>
      </c>
      <c r="B339" t="s">
        <v>48</v>
      </c>
      <c r="C339">
        <v>649163</v>
      </c>
      <c r="D339">
        <v>2023372598</v>
      </c>
      <c r="E339" t="s">
        <v>641</v>
      </c>
      <c r="F339" t="s">
        <v>642</v>
      </c>
      <c r="G339" t="s">
        <v>51</v>
      </c>
      <c r="H339" t="s">
        <v>408</v>
      </c>
      <c r="I339" t="s">
        <v>365</v>
      </c>
      <c r="J339" t="s">
        <v>366</v>
      </c>
      <c r="K339">
        <v>650218</v>
      </c>
      <c r="L339" t="s">
        <v>88</v>
      </c>
      <c r="M339" t="s">
        <v>89</v>
      </c>
      <c r="N339" t="s">
        <v>57</v>
      </c>
      <c r="O339" s="1">
        <v>45447</v>
      </c>
      <c r="Q339" s="1">
        <v>46026</v>
      </c>
      <c r="R339" s="2">
        <v>30.89</v>
      </c>
      <c r="S339">
        <v>1</v>
      </c>
      <c r="T339" t="s">
        <v>58</v>
      </c>
      <c r="U339" t="s">
        <v>59</v>
      </c>
      <c r="V339" s="4">
        <v>0.1</v>
      </c>
      <c r="W339" s="2">
        <v>0</v>
      </c>
      <c r="X339">
        <v>0</v>
      </c>
      <c r="Y339" t="s">
        <v>60</v>
      </c>
      <c r="Z339" t="s">
        <v>61</v>
      </c>
      <c r="AA339">
        <v>0</v>
      </c>
      <c r="AB339" s="2">
        <v>0</v>
      </c>
      <c r="AC339" s="2">
        <v>0</v>
      </c>
      <c r="AD339" s="4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3.09</v>
      </c>
      <c r="AN339" s="2">
        <v>3.09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45999</v>
      </c>
      <c r="B340" t="s">
        <v>48</v>
      </c>
      <c r="C340">
        <v>649163</v>
      </c>
      <c r="D340">
        <v>2023530972</v>
      </c>
      <c r="E340" t="s">
        <v>72</v>
      </c>
      <c r="F340" t="s">
        <v>73</v>
      </c>
      <c r="G340" t="s">
        <v>51</v>
      </c>
      <c r="H340" t="s">
        <v>74</v>
      </c>
      <c r="I340" t="s">
        <v>365</v>
      </c>
      <c r="J340" t="s">
        <v>366</v>
      </c>
      <c r="K340">
        <v>751867</v>
      </c>
      <c r="L340" t="s">
        <v>70</v>
      </c>
      <c r="M340" t="s">
        <v>71</v>
      </c>
      <c r="N340" t="s">
        <v>57</v>
      </c>
      <c r="O340" s="1">
        <v>45474</v>
      </c>
      <c r="Q340" s="1">
        <v>46023</v>
      </c>
      <c r="R340" s="2">
        <v>22.98</v>
      </c>
      <c r="S340">
        <v>1</v>
      </c>
      <c r="T340" t="s">
        <v>58</v>
      </c>
      <c r="U340" t="s">
        <v>59</v>
      </c>
      <c r="V340" s="4">
        <v>0.1</v>
      </c>
      <c r="W340" s="2">
        <v>0</v>
      </c>
      <c r="X340">
        <v>0</v>
      </c>
      <c r="Y340" t="s">
        <v>60</v>
      </c>
      <c r="Z340" t="s">
        <v>61</v>
      </c>
      <c r="AA340">
        <v>0</v>
      </c>
      <c r="AB340" s="2">
        <v>0</v>
      </c>
      <c r="AC340" s="2">
        <v>0</v>
      </c>
      <c r="AD340" s="4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2.2999999999999998</v>
      </c>
      <c r="AN340" s="2">
        <v>2.2999999999999998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45999</v>
      </c>
      <c r="B341" t="s">
        <v>48</v>
      </c>
      <c r="C341">
        <v>649163</v>
      </c>
      <c r="D341">
        <v>2024320118</v>
      </c>
      <c r="E341" t="s">
        <v>643</v>
      </c>
      <c r="F341" t="s">
        <v>137</v>
      </c>
      <c r="G341" t="s">
        <v>51</v>
      </c>
      <c r="H341" t="s">
        <v>52</v>
      </c>
      <c r="I341" t="s">
        <v>365</v>
      </c>
      <c r="J341" t="s">
        <v>366</v>
      </c>
      <c r="K341">
        <v>650218</v>
      </c>
      <c r="L341" t="s">
        <v>88</v>
      </c>
      <c r="M341" t="s">
        <v>89</v>
      </c>
      <c r="N341" t="s">
        <v>57</v>
      </c>
      <c r="O341" s="1">
        <v>45514</v>
      </c>
      <c r="Q341" s="1">
        <v>46032</v>
      </c>
      <c r="R341" s="2">
        <v>19.309999999999999</v>
      </c>
      <c r="S341">
        <v>1</v>
      </c>
      <c r="T341" t="s">
        <v>58</v>
      </c>
      <c r="U341" t="s">
        <v>59</v>
      </c>
      <c r="V341" s="4">
        <v>0.1</v>
      </c>
      <c r="W341" s="2">
        <v>0</v>
      </c>
      <c r="X341">
        <v>0</v>
      </c>
      <c r="Y341" t="s">
        <v>60</v>
      </c>
      <c r="Z341" t="s">
        <v>61</v>
      </c>
      <c r="AA341">
        <v>0</v>
      </c>
      <c r="AB341" s="2">
        <v>0</v>
      </c>
      <c r="AC341" s="2">
        <v>0</v>
      </c>
      <c r="AD341" s="4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1.93</v>
      </c>
      <c r="AN341" s="2">
        <v>1.93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45999</v>
      </c>
      <c r="B342" t="s">
        <v>48</v>
      </c>
      <c r="C342">
        <v>649163</v>
      </c>
      <c r="D342">
        <v>2024324039</v>
      </c>
      <c r="E342" t="s">
        <v>644</v>
      </c>
      <c r="F342" t="s">
        <v>645</v>
      </c>
      <c r="G342" t="s">
        <v>51</v>
      </c>
      <c r="H342" t="s">
        <v>585</v>
      </c>
      <c r="I342" t="s">
        <v>365</v>
      </c>
      <c r="J342" t="s">
        <v>366</v>
      </c>
      <c r="K342">
        <v>650218</v>
      </c>
      <c r="L342" t="s">
        <v>88</v>
      </c>
      <c r="M342" t="s">
        <v>89</v>
      </c>
      <c r="N342" t="s">
        <v>57</v>
      </c>
      <c r="O342" s="1">
        <v>45514</v>
      </c>
      <c r="Q342" s="1">
        <v>46032</v>
      </c>
      <c r="R342" s="2">
        <v>11.03</v>
      </c>
      <c r="S342">
        <v>1</v>
      </c>
      <c r="T342" t="s">
        <v>58</v>
      </c>
      <c r="U342" t="s">
        <v>59</v>
      </c>
      <c r="V342" s="4">
        <v>0.1</v>
      </c>
      <c r="W342" s="2">
        <v>0</v>
      </c>
      <c r="X342">
        <v>0</v>
      </c>
      <c r="Y342" t="s">
        <v>60</v>
      </c>
      <c r="Z342" t="s">
        <v>61</v>
      </c>
      <c r="AA342">
        <v>0</v>
      </c>
      <c r="AB342" s="2">
        <v>0</v>
      </c>
      <c r="AC342" s="2">
        <v>0</v>
      </c>
      <c r="AD342" s="4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1.1000000000000001</v>
      </c>
      <c r="AN342" s="2">
        <v>1.1000000000000001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45999</v>
      </c>
      <c r="B343" t="s">
        <v>48</v>
      </c>
      <c r="C343">
        <v>649163</v>
      </c>
      <c r="D343">
        <v>2024737147</v>
      </c>
      <c r="E343" t="s">
        <v>646</v>
      </c>
      <c r="F343" t="s">
        <v>647</v>
      </c>
      <c r="G343" t="s">
        <v>51</v>
      </c>
      <c r="H343" t="s">
        <v>648</v>
      </c>
      <c r="I343" t="s">
        <v>365</v>
      </c>
      <c r="J343" t="s">
        <v>366</v>
      </c>
      <c r="K343">
        <v>751867</v>
      </c>
      <c r="L343" t="s">
        <v>70</v>
      </c>
      <c r="M343" t="s">
        <v>71</v>
      </c>
      <c r="N343" t="s">
        <v>57</v>
      </c>
      <c r="O343" s="1">
        <v>45541</v>
      </c>
      <c r="Q343" s="1">
        <v>46028</v>
      </c>
      <c r="R343" s="2">
        <v>43.39</v>
      </c>
      <c r="S343">
        <v>1</v>
      </c>
      <c r="T343" t="s">
        <v>58</v>
      </c>
      <c r="U343" t="s">
        <v>59</v>
      </c>
      <c r="V343" s="4">
        <v>0.1</v>
      </c>
      <c r="W343" s="2">
        <v>0</v>
      </c>
      <c r="X343">
        <v>0</v>
      </c>
      <c r="Y343" t="s">
        <v>60</v>
      </c>
      <c r="Z343" t="s">
        <v>61</v>
      </c>
      <c r="AA343">
        <v>0</v>
      </c>
      <c r="AB343" s="2">
        <v>0</v>
      </c>
      <c r="AC343" s="2">
        <v>0</v>
      </c>
      <c r="AD343" s="4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4.34</v>
      </c>
      <c r="AN343" s="2">
        <v>4.34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45999</v>
      </c>
      <c r="B344" t="s">
        <v>48</v>
      </c>
      <c r="C344">
        <v>649163</v>
      </c>
      <c r="D344">
        <v>2024752409</v>
      </c>
      <c r="E344" t="s">
        <v>649</v>
      </c>
      <c r="F344" t="s">
        <v>650</v>
      </c>
      <c r="G344" t="s">
        <v>51</v>
      </c>
      <c r="H344" t="s">
        <v>648</v>
      </c>
      <c r="I344" t="s">
        <v>365</v>
      </c>
      <c r="J344" t="s">
        <v>366</v>
      </c>
      <c r="K344">
        <v>751867</v>
      </c>
      <c r="L344" t="s">
        <v>70</v>
      </c>
      <c r="M344" t="s">
        <v>71</v>
      </c>
      <c r="N344" t="s">
        <v>57</v>
      </c>
      <c r="O344" s="1">
        <v>45544</v>
      </c>
      <c r="Q344" s="1">
        <v>46031</v>
      </c>
      <c r="R344" s="2">
        <v>20.76</v>
      </c>
      <c r="S344">
        <v>1</v>
      </c>
      <c r="T344" t="s">
        <v>58</v>
      </c>
      <c r="U344" t="s">
        <v>59</v>
      </c>
      <c r="V344" s="4">
        <v>0.1</v>
      </c>
      <c r="W344" s="2">
        <v>0</v>
      </c>
      <c r="X344">
        <v>0</v>
      </c>
      <c r="Y344" t="s">
        <v>60</v>
      </c>
      <c r="Z344" t="s">
        <v>61</v>
      </c>
      <c r="AA344">
        <v>0</v>
      </c>
      <c r="AB344" s="2">
        <v>0</v>
      </c>
      <c r="AC344" s="2">
        <v>0</v>
      </c>
      <c r="AD344" s="4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2.08</v>
      </c>
      <c r="AN344" s="2">
        <v>2.08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45999</v>
      </c>
      <c r="B345" t="s">
        <v>48</v>
      </c>
      <c r="C345">
        <v>649163</v>
      </c>
      <c r="D345">
        <v>2025046019</v>
      </c>
      <c r="E345" t="s">
        <v>651</v>
      </c>
      <c r="F345" t="s">
        <v>652</v>
      </c>
      <c r="G345" t="s">
        <v>51</v>
      </c>
      <c r="H345" t="s">
        <v>52</v>
      </c>
      <c r="I345" t="s">
        <v>365</v>
      </c>
      <c r="J345" t="s">
        <v>366</v>
      </c>
      <c r="K345">
        <v>649247</v>
      </c>
      <c r="L345" t="s">
        <v>187</v>
      </c>
      <c r="M345" t="s">
        <v>188</v>
      </c>
      <c r="N345" t="s">
        <v>57</v>
      </c>
      <c r="O345" s="1">
        <v>45566</v>
      </c>
      <c r="Q345" s="1">
        <v>46023</v>
      </c>
      <c r="R345" s="2">
        <v>80.319999999999993</v>
      </c>
      <c r="S345">
        <v>1</v>
      </c>
      <c r="T345" t="s">
        <v>58</v>
      </c>
      <c r="U345" t="s">
        <v>59</v>
      </c>
      <c r="V345" s="4">
        <v>0.1</v>
      </c>
      <c r="W345" s="2">
        <v>0</v>
      </c>
      <c r="X345">
        <v>0</v>
      </c>
      <c r="Y345" t="s">
        <v>60</v>
      </c>
      <c r="Z345" t="s">
        <v>61</v>
      </c>
      <c r="AA345">
        <v>0</v>
      </c>
      <c r="AB345" s="2">
        <v>0</v>
      </c>
      <c r="AC345" s="2">
        <v>0</v>
      </c>
      <c r="AD345" s="4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8.0299999999999994</v>
      </c>
      <c r="AN345" s="2">
        <v>8.0299999999999994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45999</v>
      </c>
      <c r="B346" t="s">
        <v>48</v>
      </c>
      <c r="C346">
        <v>649163</v>
      </c>
      <c r="D346">
        <v>2025222896</v>
      </c>
      <c r="E346" t="s">
        <v>653</v>
      </c>
      <c r="F346" t="s">
        <v>654</v>
      </c>
      <c r="G346" t="s">
        <v>51</v>
      </c>
      <c r="H346" t="s">
        <v>74</v>
      </c>
      <c r="I346" t="s">
        <v>365</v>
      </c>
      <c r="J346" t="s">
        <v>366</v>
      </c>
      <c r="K346">
        <v>751867</v>
      </c>
      <c r="L346" t="s">
        <v>70</v>
      </c>
      <c r="M346" t="s">
        <v>71</v>
      </c>
      <c r="N346" t="s">
        <v>57</v>
      </c>
      <c r="O346" s="1">
        <v>45574</v>
      </c>
      <c r="Q346" s="1">
        <v>46031</v>
      </c>
      <c r="R346" s="2">
        <v>31.64</v>
      </c>
      <c r="S346">
        <v>1</v>
      </c>
      <c r="T346" t="s">
        <v>58</v>
      </c>
      <c r="U346" t="s">
        <v>59</v>
      </c>
      <c r="V346" s="4">
        <v>0.1</v>
      </c>
      <c r="W346" s="2">
        <v>0</v>
      </c>
      <c r="X346">
        <v>0</v>
      </c>
      <c r="Y346" t="s">
        <v>60</v>
      </c>
      <c r="Z346" t="s">
        <v>61</v>
      </c>
      <c r="AA346">
        <v>0</v>
      </c>
      <c r="AB346" s="2">
        <v>0</v>
      </c>
      <c r="AC346" s="2">
        <v>0</v>
      </c>
      <c r="AD346" s="4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3.16</v>
      </c>
      <c r="AN346" s="2">
        <v>3.16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45999</v>
      </c>
      <c r="B347" t="s">
        <v>48</v>
      </c>
      <c r="C347">
        <v>649163</v>
      </c>
      <c r="D347">
        <v>2025271292</v>
      </c>
      <c r="E347" t="s">
        <v>655</v>
      </c>
      <c r="F347" t="s">
        <v>656</v>
      </c>
      <c r="G347" t="s">
        <v>51</v>
      </c>
      <c r="H347" t="s">
        <v>52</v>
      </c>
      <c r="I347" t="s">
        <v>365</v>
      </c>
      <c r="J347" t="s">
        <v>366</v>
      </c>
      <c r="K347">
        <v>650218</v>
      </c>
      <c r="L347" t="s">
        <v>88</v>
      </c>
      <c r="M347" t="s">
        <v>89</v>
      </c>
      <c r="N347" t="s">
        <v>57</v>
      </c>
      <c r="O347" s="1">
        <v>45577</v>
      </c>
      <c r="Q347" s="1">
        <v>46034</v>
      </c>
      <c r="R347" s="2">
        <v>89.62</v>
      </c>
      <c r="S347">
        <v>1</v>
      </c>
      <c r="T347" t="s">
        <v>58</v>
      </c>
      <c r="U347" t="s">
        <v>59</v>
      </c>
      <c r="V347" s="4">
        <v>0.1</v>
      </c>
      <c r="W347" s="2">
        <v>0</v>
      </c>
      <c r="X347">
        <v>0</v>
      </c>
      <c r="Y347" t="s">
        <v>60</v>
      </c>
      <c r="Z347" t="s">
        <v>61</v>
      </c>
      <c r="AA347">
        <v>0</v>
      </c>
      <c r="AB347" s="2">
        <v>0</v>
      </c>
      <c r="AC347" s="2">
        <v>0</v>
      </c>
      <c r="AD347" s="4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8.9600000000000009</v>
      </c>
      <c r="AN347" s="2">
        <v>8.9600000000000009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45999</v>
      </c>
      <c r="B348" t="s">
        <v>48</v>
      </c>
      <c r="C348">
        <v>649163</v>
      </c>
      <c r="D348">
        <v>2025655643</v>
      </c>
      <c r="E348" t="s">
        <v>657</v>
      </c>
      <c r="F348" t="s">
        <v>658</v>
      </c>
      <c r="G348" t="s">
        <v>51</v>
      </c>
      <c r="H348" t="s">
        <v>52</v>
      </c>
      <c r="I348" t="s">
        <v>365</v>
      </c>
      <c r="J348" t="s">
        <v>366</v>
      </c>
      <c r="K348">
        <v>650218</v>
      </c>
      <c r="L348" t="s">
        <v>88</v>
      </c>
      <c r="M348" t="s">
        <v>89</v>
      </c>
      <c r="N348" t="s">
        <v>57</v>
      </c>
      <c r="O348" s="1">
        <v>45603</v>
      </c>
      <c r="Q348" s="1">
        <v>46029</v>
      </c>
      <c r="R348" s="2">
        <v>55.16</v>
      </c>
      <c r="S348">
        <v>1</v>
      </c>
      <c r="T348" t="s">
        <v>58</v>
      </c>
      <c r="U348" t="s">
        <v>59</v>
      </c>
      <c r="V348" s="4">
        <v>0.1</v>
      </c>
      <c r="W348" s="2">
        <v>0</v>
      </c>
      <c r="X348">
        <v>0</v>
      </c>
      <c r="Y348" t="s">
        <v>60</v>
      </c>
      <c r="Z348" t="s">
        <v>61</v>
      </c>
      <c r="AA348">
        <v>0</v>
      </c>
      <c r="AB348" s="2">
        <v>0</v>
      </c>
      <c r="AC348" s="2">
        <v>0</v>
      </c>
      <c r="AD348" s="4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5.52</v>
      </c>
      <c r="AN348" s="2">
        <v>5.52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45999</v>
      </c>
      <c r="B349" t="s">
        <v>48</v>
      </c>
      <c r="C349">
        <v>649163</v>
      </c>
      <c r="D349">
        <v>2025698056</v>
      </c>
      <c r="E349" t="s">
        <v>56</v>
      </c>
      <c r="F349" t="s">
        <v>659</v>
      </c>
      <c r="G349" t="s">
        <v>51</v>
      </c>
      <c r="H349" t="s">
        <v>125</v>
      </c>
      <c r="I349" t="s">
        <v>365</v>
      </c>
      <c r="J349" t="s">
        <v>366</v>
      </c>
      <c r="K349">
        <v>650218</v>
      </c>
      <c r="L349" t="s">
        <v>88</v>
      </c>
      <c r="M349" t="s">
        <v>89</v>
      </c>
      <c r="N349" t="s">
        <v>57</v>
      </c>
      <c r="O349" s="1">
        <v>45605</v>
      </c>
      <c r="Q349" s="1">
        <v>46031</v>
      </c>
      <c r="R349" s="2">
        <v>26.12</v>
      </c>
      <c r="S349">
        <v>1</v>
      </c>
      <c r="T349" t="s">
        <v>58</v>
      </c>
      <c r="U349" t="s">
        <v>59</v>
      </c>
      <c r="V349" s="4">
        <v>0.1</v>
      </c>
      <c r="W349" s="2">
        <v>0</v>
      </c>
      <c r="X349">
        <v>0</v>
      </c>
      <c r="Y349" t="s">
        <v>60</v>
      </c>
      <c r="Z349" t="s">
        <v>61</v>
      </c>
      <c r="AA349">
        <v>0</v>
      </c>
      <c r="AB349" s="2">
        <v>0</v>
      </c>
      <c r="AC349" s="2">
        <v>0</v>
      </c>
      <c r="AD349" s="4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2.61</v>
      </c>
      <c r="AN349" s="2">
        <v>2.61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45999</v>
      </c>
      <c r="B350" t="s">
        <v>48</v>
      </c>
      <c r="C350">
        <v>649163</v>
      </c>
      <c r="D350">
        <v>2025724075</v>
      </c>
      <c r="E350" t="s">
        <v>660</v>
      </c>
      <c r="F350" t="s">
        <v>182</v>
      </c>
      <c r="G350" t="s">
        <v>51</v>
      </c>
      <c r="H350" t="s">
        <v>52</v>
      </c>
      <c r="I350" t="s">
        <v>365</v>
      </c>
      <c r="J350" t="s">
        <v>366</v>
      </c>
      <c r="K350">
        <v>650218</v>
      </c>
      <c r="L350" t="s">
        <v>88</v>
      </c>
      <c r="M350" t="s">
        <v>89</v>
      </c>
      <c r="N350" t="s">
        <v>57</v>
      </c>
      <c r="O350" s="1">
        <v>45608</v>
      </c>
      <c r="Q350" s="1">
        <v>46034</v>
      </c>
      <c r="R350" s="2">
        <v>53.16</v>
      </c>
      <c r="S350">
        <v>1</v>
      </c>
      <c r="T350" t="s">
        <v>58</v>
      </c>
      <c r="U350" t="s">
        <v>59</v>
      </c>
      <c r="V350" s="4">
        <v>0.1</v>
      </c>
      <c r="W350" s="2">
        <v>0</v>
      </c>
      <c r="X350">
        <v>0</v>
      </c>
      <c r="Y350" t="s">
        <v>60</v>
      </c>
      <c r="Z350" t="s">
        <v>61</v>
      </c>
      <c r="AA350">
        <v>0</v>
      </c>
      <c r="AB350" s="2">
        <v>0</v>
      </c>
      <c r="AC350" s="2">
        <v>0</v>
      </c>
      <c r="AD350" s="4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5.32</v>
      </c>
      <c r="AN350" s="2">
        <v>5.32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45999</v>
      </c>
      <c r="B351" t="s">
        <v>48</v>
      </c>
      <c r="C351">
        <v>649163</v>
      </c>
      <c r="D351">
        <v>2025727307</v>
      </c>
      <c r="E351" t="s">
        <v>661</v>
      </c>
      <c r="F351" t="s">
        <v>662</v>
      </c>
      <c r="G351" t="s">
        <v>51</v>
      </c>
      <c r="H351" t="s">
        <v>200</v>
      </c>
      <c r="I351" t="s">
        <v>365</v>
      </c>
      <c r="J351" t="s">
        <v>366</v>
      </c>
      <c r="K351">
        <v>796984</v>
      </c>
      <c r="L351" t="s">
        <v>344</v>
      </c>
      <c r="M351" t="s">
        <v>260</v>
      </c>
      <c r="N351" t="s">
        <v>57</v>
      </c>
      <c r="O351" s="1">
        <v>45608</v>
      </c>
      <c r="Q351" s="1">
        <v>46034</v>
      </c>
      <c r="R351" s="2">
        <v>53.62</v>
      </c>
      <c r="S351">
        <v>1</v>
      </c>
      <c r="T351" t="s">
        <v>58</v>
      </c>
      <c r="U351" t="s">
        <v>59</v>
      </c>
      <c r="V351" s="4">
        <v>0.1</v>
      </c>
      <c r="W351" s="2">
        <v>0</v>
      </c>
      <c r="X351">
        <v>0</v>
      </c>
      <c r="Y351" t="s">
        <v>60</v>
      </c>
      <c r="Z351" t="s">
        <v>61</v>
      </c>
      <c r="AA351">
        <v>0</v>
      </c>
      <c r="AB351" s="2">
        <v>0</v>
      </c>
      <c r="AC351" s="2">
        <v>0</v>
      </c>
      <c r="AD351" s="4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5.36</v>
      </c>
      <c r="AN351" s="2">
        <v>5.36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45999</v>
      </c>
      <c r="B352" t="s">
        <v>48</v>
      </c>
      <c r="C352">
        <v>649163</v>
      </c>
      <c r="D352">
        <v>2026152183</v>
      </c>
      <c r="E352" t="s">
        <v>482</v>
      </c>
      <c r="F352" t="s">
        <v>483</v>
      </c>
      <c r="G352" t="s">
        <v>51</v>
      </c>
      <c r="H352" t="s">
        <v>52</v>
      </c>
      <c r="I352" t="s">
        <v>365</v>
      </c>
      <c r="J352" t="s">
        <v>366</v>
      </c>
      <c r="K352">
        <v>751867</v>
      </c>
      <c r="L352" t="s">
        <v>70</v>
      </c>
      <c r="M352" t="s">
        <v>71</v>
      </c>
      <c r="N352" t="s">
        <v>57</v>
      </c>
      <c r="O352" s="1">
        <v>45658</v>
      </c>
      <c r="Q352" s="1">
        <v>46023</v>
      </c>
      <c r="R352" s="2">
        <v>27.15</v>
      </c>
      <c r="S352">
        <v>1</v>
      </c>
      <c r="T352" t="s">
        <v>58</v>
      </c>
      <c r="U352" t="s">
        <v>59</v>
      </c>
      <c r="V352" s="4">
        <v>0.38</v>
      </c>
      <c r="W352" s="2">
        <v>0</v>
      </c>
      <c r="X352">
        <v>0</v>
      </c>
      <c r="Y352" t="s">
        <v>83</v>
      </c>
      <c r="Z352" t="s">
        <v>61</v>
      </c>
      <c r="AA352">
        <v>0</v>
      </c>
      <c r="AB352" s="2">
        <v>0</v>
      </c>
      <c r="AC352" s="2">
        <v>0</v>
      </c>
      <c r="AD352" s="4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10.32</v>
      </c>
      <c r="AN352" s="2">
        <v>10.32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45999</v>
      </c>
      <c r="B353" t="s">
        <v>48</v>
      </c>
      <c r="C353">
        <v>649163</v>
      </c>
      <c r="D353">
        <v>2026485483</v>
      </c>
      <c r="E353" t="s">
        <v>484</v>
      </c>
      <c r="F353" t="s">
        <v>485</v>
      </c>
      <c r="G353" t="s">
        <v>51</v>
      </c>
      <c r="H353" t="s">
        <v>374</v>
      </c>
      <c r="I353" t="s">
        <v>365</v>
      </c>
      <c r="J353" t="s">
        <v>366</v>
      </c>
      <c r="K353">
        <v>650218</v>
      </c>
      <c r="L353" t="s">
        <v>88</v>
      </c>
      <c r="M353" t="s">
        <v>89</v>
      </c>
      <c r="N353" t="s">
        <v>57</v>
      </c>
      <c r="O353" s="1">
        <v>45665</v>
      </c>
      <c r="Q353" s="1">
        <v>46030</v>
      </c>
      <c r="R353" s="2">
        <v>39.28</v>
      </c>
      <c r="S353">
        <v>1</v>
      </c>
      <c r="T353" t="s">
        <v>58</v>
      </c>
      <c r="U353" t="s">
        <v>59</v>
      </c>
      <c r="V353" s="4">
        <v>0.38</v>
      </c>
      <c r="W353" s="2">
        <v>0</v>
      </c>
      <c r="X353">
        <v>0</v>
      </c>
      <c r="Y353" t="s">
        <v>83</v>
      </c>
      <c r="Z353" t="s">
        <v>61</v>
      </c>
      <c r="AA353">
        <v>0</v>
      </c>
      <c r="AB353" s="2">
        <v>0</v>
      </c>
      <c r="AC353" s="2">
        <v>0</v>
      </c>
      <c r="AD353" s="4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14.93</v>
      </c>
      <c r="AN353" s="2">
        <v>14.93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45999</v>
      </c>
      <c r="B354" t="s">
        <v>48</v>
      </c>
      <c r="C354">
        <v>649163</v>
      </c>
      <c r="D354">
        <v>2026604985</v>
      </c>
      <c r="E354" t="s">
        <v>84</v>
      </c>
      <c r="F354" t="s">
        <v>85</v>
      </c>
      <c r="G354" t="s">
        <v>51</v>
      </c>
      <c r="H354" t="s">
        <v>52</v>
      </c>
      <c r="I354" t="s">
        <v>365</v>
      </c>
      <c r="J354" t="s">
        <v>366</v>
      </c>
      <c r="K354">
        <v>650218</v>
      </c>
      <c r="L354" t="s">
        <v>88</v>
      </c>
      <c r="M354" t="s">
        <v>89</v>
      </c>
      <c r="N354" t="s">
        <v>57</v>
      </c>
      <c r="O354" s="1">
        <v>45689</v>
      </c>
      <c r="Q354" s="1">
        <v>46023</v>
      </c>
      <c r="R354" s="2">
        <v>30.27</v>
      </c>
      <c r="S354">
        <v>1</v>
      </c>
      <c r="T354" t="s">
        <v>58</v>
      </c>
      <c r="U354" t="s">
        <v>59</v>
      </c>
      <c r="V354" s="4">
        <v>0.38</v>
      </c>
      <c r="W354" s="2">
        <v>0</v>
      </c>
      <c r="X354">
        <v>0</v>
      </c>
      <c r="Y354" t="s">
        <v>83</v>
      </c>
      <c r="Z354" t="s">
        <v>61</v>
      </c>
      <c r="AA354">
        <v>0</v>
      </c>
      <c r="AB354" s="2">
        <v>0</v>
      </c>
      <c r="AC354" s="2">
        <v>0</v>
      </c>
      <c r="AD354" s="4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11.5</v>
      </c>
      <c r="AN354" s="2">
        <v>11.5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45999</v>
      </c>
      <c r="B355" t="s">
        <v>48</v>
      </c>
      <c r="C355">
        <v>649163</v>
      </c>
      <c r="D355">
        <v>2026698497</v>
      </c>
      <c r="E355" t="s">
        <v>663</v>
      </c>
      <c r="F355" t="s">
        <v>664</v>
      </c>
      <c r="G355" t="s">
        <v>51</v>
      </c>
      <c r="H355" t="s">
        <v>267</v>
      </c>
      <c r="I355" t="s">
        <v>365</v>
      </c>
      <c r="J355" t="s">
        <v>370</v>
      </c>
      <c r="K355">
        <v>651818</v>
      </c>
      <c r="L355" t="s">
        <v>246</v>
      </c>
      <c r="M355" t="s">
        <v>247</v>
      </c>
      <c r="N355" t="s">
        <v>57</v>
      </c>
      <c r="O355" s="1">
        <v>45695</v>
      </c>
      <c r="Q355" s="1">
        <v>46029</v>
      </c>
      <c r="R355" s="2">
        <v>79.13</v>
      </c>
      <c r="S355">
        <v>1</v>
      </c>
      <c r="T355" t="s">
        <v>58</v>
      </c>
      <c r="U355" t="s">
        <v>59</v>
      </c>
      <c r="V355" s="4">
        <v>0.38</v>
      </c>
      <c r="W355" s="2">
        <v>0</v>
      </c>
      <c r="X355">
        <v>0</v>
      </c>
      <c r="Y355" t="s">
        <v>83</v>
      </c>
      <c r="Z355" t="s">
        <v>61</v>
      </c>
      <c r="AA355">
        <v>0</v>
      </c>
      <c r="AB355" s="2">
        <v>0</v>
      </c>
      <c r="AC355" s="2">
        <v>0</v>
      </c>
      <c r="AD355" s="4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30.07</v>
      </c>
      <c r="AN355" s="2">
        <v>30.07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45999</v>
      </c>
      <c r="B356" t="s">
        <v>48</v>
      </c>
      <c r="C356">
        <v>649163</v>
      </c>
      <c r="D356">
        <v>2027003553</v>
      </c>
      <c r="E356" t="s">
        <v>665</v>
      </c>
      <c r="F356" t="s">
        <v>517</v>
      </c>
      <c r="G356" t="s">
        <v>51</v>
      </c>
      <c r="H356" t="s">
        <v>200</v>
      </c>
      <c r="I356" t="s">
        <v>365</v>
      </c>
      <c r="J356" t="s">
        <v>366</v>
      </c>
      <c r="K356">
        <v>816021</v>
      </c>
      <c r="L356" t="s">
        <v>201</v>
      </c>
      <c r="M356" t="s">
        <v>202</v>
      </c>
      <c r="N356" t="s">
        <v>57</v>
      </c>
      <c r="O356" s="1">
        <v>45698</v>
      </c>
      <c r="Q356" s="1">
        <v>46032</v>
      </c>
      <c r="R356" s="2">
        <v>60.5</v>
      </c>
      <c r="S356">
        <v>1</v>
      </c>
      <c r="T356" t="s">
        <v>58</v>
      </c>
      <c r="U356" t="s">
        <v>59</v>
      </c>
      <c r="V356" s="4">
        <v>0.38</v>
      </c>
      <c r="W356" s="2">
        <v>0</v>
      </c>
      <c r="X356">
        <v>0</v>
      </c>
      <c r="Y356" t="s">
        <v>83</v>
      </c>
      <c r="Z356" t="s">
        <v>61</v>
      </c>
      <c r="AA356">
        <v>0</v>
      </c>
      <c r="AB356" s="2">
        <v>0</v>
      </c>
      <c r="AC356" s="2">
        <v>0</v>
      </c>
      <c r="AD356" s="4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22.99</v>
      </c>
      <c r="AN356" s="2">
        <v>22.99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45999</v>
      </c>
      <c r="B357" t="s">
        <v>48</v>
      </c>
      <c r="C357">
        <v>649163</v>
      </c>
      <c r="D357">
        <v>2027010990</v>
      </c>
      <c r="E357" t="s">
        <v>293</v>
      </c>
      <c r="F357" t="s">
        <v>305</v>
      </c>
      <c r="G357" t="s">
        <v>51</v>
      </c>
      <c r="H357" t="s">
        <v>200</v>
      </c>
      <c r="I357" t="s">
        <v>365</v>
      </c>
      <c r="J357" t="s">
        <v>366</v>
      </c>
      <c r="K357">
        <v>816021</v>
      </c>
      <c r="L357" t="s">
        <v>201</v>
      </c>
      <c r="M357" t="s">
        <v>202</v>
      </c>
      <c r="N357" t="s">
        <v>57</v>
      </c>
      <c r="O357" s="1">
        <v>45697</v>
      </c>
      <c r="Q357" s="1">
        <v>46031</v>
      </c>
      <c r="R357" s="2">
        <v>29.31</v>
      </c>
      <c r="S357">
        <v>1</v>
      </c>
      <c r="T357" t="s">
        <v>58</v>
      </c>
      <c r="U357" t="s">
        <v>59</v>
      </c>
      <c r="V357" s="4">
        <v>0.38</v>
      </c>
      <c r="W357" s="2">
        <v>0</v>
      </c>
      <c r="X357">
        <v>0</v>
      </c>
      <c r="Y357" t="s">
        <v>83</v>
      </c>
      <c r="Z357" t="s">
        <v>61</v>
      </c>
      <c r="AA357">
        <v>0</v>
      </c>
      <c r="AB357" s="2">
        <v>0</v>
      </c>
      <c r="AC357" s="2">
        <v>0</v>
      </c>
      <c r="AD357" s="4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11.14</v>
      </c>
      <c r="AN357" s="2">
        <v>11.14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45999</v>
      </c>
      <c r="B358" t="s">
        <v>48</v>
      </c>
      <c r="C358">
        <v>649163</v>
      </c>
      <c r="D358">
        <v>2027025173</v>
      </c>
      <c r="E358" t="s">
        <v>666</v>
      </c>
      <c r="F358" t="s">
        <v>667</v>
      </c>
      <c r="G358" t="s">
        <v>51</v>
      </c>
      <c r="H358" t="s">
        <v>200</v>
      </c>
      <c r="I358" t="s">
        <v>365</v>
      </c>
      <c r="J358" t="s">
        <v>366</v>
      </c>
      <c r="K358">
        <v>824082</v>
      </c>
      <c r="L358" t="s">
        <v>566</v>
      </c>
      <c r="M358" t="s">
        <v>567</v>
      </c>
      <c r="N358" t="s">
        <v>57</v>
      </c>
      <c r="O358" s="1">
        <v>45697</v>
      </c>
      <c r="Q358" s="1">
        <v>46031</v>
      </c>
      <c r="R358" s="2">
        <v>70.599999999999994</v>
      </c>
      <c r="S358">
        <v>1</v>
      </c>
      <c r="T358" t="s">
        <v>58</v>
      </c>
      <c r="U358" t="s">
        <v>59</v>
      </c>
      <c r="V358" s="4">
        <v>0.38</v>
      </c>
      <c r="W358" s="2">
        <v>0</v>
      </c>
      <c r="X358">
        <v>0</v>
      </c>
      <c r="Y358" t="s">
        <v>83</v>
      </c>
      <c r="Z358" t="s">
        <v>61</v>
      </c>
      <c r="AA358">
        <v>0</v>
      </c>
      <c r="AB358" s="2">
        <v>0</v>
      </c>
      <c r="AC358" s="2">
        <v>0</v>
      </c>
      <c r="AD358" s="4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26.83</v>
      </c>
      <c r="AN358" s="2">
        <v>26.83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45999</v>
      </c>
      <c r="B359" t="s">
        <v>48</v>
      </c>
      <c r="C359">
        <v>649163</v>
      </c>
      <c r="D359">
        <v>2027035340</v>
      </c>
      <c r="E359" t="s">
        <v>361</v>
      </c>
      <c r="F359" t="s">
        <v>668</v>
      </c>
      <c r="G359" t="s">
        <v>51</v>
      </c>
      <c r="H359" t="s">
        <v>383</v>
      </c>
      <c r="I359" t="s">
        <v>365</v>
      </c>
      <c r="J359" t="s">
        <v>366</v>
      </c>
      <c r="K359">
        <v>813184</v>
      </c>
      <c r="L359" t="s">
        <v>361</v>
      </c>
      <c r="M359" t="s">
        <v>362</v>
      </c>
      <c r="N359" t="s">
        <v>57</v>
      </c>
      <c r="O359" s="1">
        <v>45698</v>
      </c>
      <c r="Q359" s="1">
        <v>46032</v>
      </c>
      <c r="R359" s="2">
        <v>60.11</v>
      </c>
      <c r="S359">
        <v>1</v>
      </c>
      <c r="T359" t="s">
        <v>58</v>
      </c>
      <c r="U359" t="s">
        <v>59</v>
      </c>
      <c r="V359" s="4">
        <v>0.38</v>
      </c>
      <c r="W359" s="2">
        <v>0</v>
      </c>
      <c r="X359">
        <v>0</v>
      </c>
      <c r="Y359" t="s">
        <v>83</v>
      </c>
      <c r="Z359" t="s">
        <v>61</v>
      </c>
      <c r="AA359">
        <v>0</v>
      </c>
      <c r="AB359" s="2">
        <v>0</v>
      </c>
      <c r="AC359" s="2">
        <v>0</v>
      </c>
      <c r="AD359" s="4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22.84</v>
      </c>
      <c r="AN359" s="2">
        <v>22.84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45999</v>
      </c>
      <c r="B360" t="s">
        <v>48</v>
      </c>
      <c r="C360">
        <v>649163</v>
      </c>
      <c r="D360">
        <v>2027070511</v>
      </c>
      <c r="E360" t="s">
        <v>293</v>
      </c>
      <c r="F360" t="s">
        <v>508</v>
      </c>
      <c r="G360" t="s">
        <v>51</v>
      </c>
      <c r="H360" t="s">
        <v>509</v>
      </c>
      <c r="I360" t="s">
        <v>365</v>
      </c>
      <c r="J360" t="s">
        <v>366</v>
      </c>
      <c r="K360">
        <v>756418</v>
      </c>
      <c r="L360" t="s">
        <v>409</v>
      </c>
      <c r="M360" t="s">
        <v>410</v>
      </c>
      <c r="N360" t="s">
        <v>57</v>
      </c>
      <c r="O360" s="1">
        <v>45700</v>
      </c>
      <c r="Q360" s="1">
        <v>46034</v>
      </c>
      <c r="R360" s="2">
        <v>9.5500000000000007</v>
      </c>
      <c r="S360">
        <v>1</v>
      </c>
      <c r="T360" t="s">
        <v>58</v>
      </c>
      <c r="U360" t="s">
        <v>59</v>
      </c>
      <c r="V360" s="4">
        <v>0.38</v>
      </c>
      <c r="W360" s="2">
        <v>0</v>
      </c>
      <c r="X360">
        <v>0</v>
      </c>
      <c r="Y360" t="s">
        <v>83</v>
      </c>
      <c r="Z360" t="s">
        <v>61</v>
      </c>
      <c r="AA360">
        <v>0</v>
      </c>
      <c r="AB360" s="2">
        <v>0</v>
      </c>
      <c r="AC360" s="2">
        <v>0</v>
      </c>
      <c r="AD360" s="4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3.63</v>
      </c>
      <c r="AN360" s="2">
        <v>3.63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45999</v>
      </c>
      <c r="B361" t="s">
        <v>48</v>
      </c>
      <c r="C361">
        <v>649163</v>
      </c>
      <c r="D361">
        <v>2027642347</v>
      </c>
      <c r="E361" t="s">
        <v>669</v>
      </c>
      <c r="F361" t="s">
        <v>670</v>
      </c>
      <c r="G361" t="s">
        <v>51</v>
      </c>
      <c r="H361" t="s">
        <v>256</v>
      </c>
      <c r="I361" t="s">
        <v>365</v>
      </c>
      <c r="J361" t="s">
        <v>366</v>
      </c>
      <c r="K361">
        <v>651818</v>
      </c>
      <c r="L361" t="s">
        <v>246</v>
      </c>
      <c r="M361" t="s">
        <v>247</v>
      </c>
      <c r="N361" t="s">
        <v>57</v>
      </c>
      <c r="O361" s="1">
        <v>45754</v>
      </c>
      <c r="Q361" s="1">
        <v>46029</v>
      </c>
      <c r="R361" s="2">
        <v>21.53</v>
      </c>
      <c r="S361">
        <v>1</v>
      </c>
      <c r="T361" t="s">
        <v>58</v>
      </c>
      <c r="U361" t="s">
        <v>59</v>
      </c>
      <c r="V361" s="4">
        <v>0.38</v>
      </c>
      <c r="W361" s="2">
        <v>0</v>
      </c>
      <c r="X361">
        <v>0</v>
      </c>
      <c r="Y361" t="s">
        <v>83</v>
      </c>
      <c r="Z361" t="s">
        <v>61</v>
      </c>
      <c r="AA361">
        <v>0</v>
      </c>
      <c r="AB361" s="2">
        <v>0</v>
      </c>
      <c r="AC361" s="2">
        <v>0</v>
      </c>
      <c r="AD361" s="4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8.18</v>
      </c>
      <c r="AN361" s="2">
        <v>8.18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45999</v>
      </c>
      <c r="B362" t="s">
        <v>48</v>
      </c>
      <c r="C362">
        <v>649163</v>
      </c>
      <c r="D362">
        <v>2028313186</v>
      </c>
      <c r="E362" t="s">
        <v>671</v>
      </c>
      <c r="F362" t="s">
        <v>672</v>
      </c>
      <c r="G362" t="s">
        <v>51</v>
      </c>
      <c r="H362" t="s">
        <v>52</v>
      </c>
      <c r="I362" t="s">
        <v>365</v>
      </c>
      <c r="J362" t="s">
        <v>370</v>
      </c>
      <c r="K362">
        <v>677095</v>
      </c>
      <c r="L362" t="s">
        <v>673</v>
      </c>
      <c r="M362" t="s">
        <v>517</v>
      </c>
      <c r="N362" t="s">
        <v>57</v>
      </c>
      <c r="O362" s="1">
        <v>45757</v>
      </c>
      <c r="Q362" s="1">
        <v>46032</v>
      </c>
      <c r="R362" s="2">
        <v>486.09</v>
      </c>
      <c r="S362">
        <v>1</v>
      </c>
      <c r="T362" t="s">
        <v>58</v>
      </c>
      <c r="U362" t="s">
        <v>59</v>
      </c>
      <c r="V362" s="4">
        <v>0.12</v>
      </c>
      <c r="W362" s="2">
        <v>0</v>
      </c>
      <c r="X362">
        <v>0</v>
      </c>
      <c r="Y362" t="s">
        <v>83</v>
      </c>
      <c r="Z362" t="s">
        <v>61</v>
      </c>
      <c r="AA362">
        <v>0</v>
      </c>
      <c r="AB362" s="2">
        <v>0</v>
      </c>
      <c r="AC362" s="2">
        <v>0</v>
      </c>
      <c r="AD362" s="4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58.33</v>
      </c>
      <c r="AN362" s="2">
        <v>58.33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45999</v>
      </c>
      <c r="B363" t="s">
        <v>48</v>
      </c>
      <c r="C363">
        <v>649163</v>
      </c>
      <c r="D363">
        <v>2028367118</v>
      </c>
      <c r="E363" t="s">
        <v>536</v>
      </c>
      <c r="F363" t="s">
        <v>537</v>
      </c>
      <c r="G363" t="s">
        <v>51</v>
      </c>
      <c r="H363" t="s">
        <v>79</v>
      </c>
      <c r="I363" t="s">
        <v>365</v>
      </c>
      <c r="J363" t="s">
        <v>370</v>
      </c>
      <c r="K363">
        <v>673059</v>
      </c>
      <c r="L363" t="s">
        <v>81</v>
      </c>
      <c r="M363" t="s">
        <v>82</v>
      </c>
      <c r="N363" t="s">
        <v>57</v>
      </c>
      <c r="O363" s="1">
        <v>45759</v>
      </c>
      <c r="Q363" s="1">
        <v>46034</v>
      </c>
      <c r="R363" s="2">
        <v>181.4</v>
      </c>
      <c r="S363">
        <v>1</v>
      </c>
      <c r="T363" t="s">
        <v>58</v>
      </c>
      <c r="U363" t="s">
        <v>59</v>
      </c>
      <c r="V363" s="4">
        <v>0.38</v>
      </c>
      <c r="W363" s="2">
        <v>0</v>
      </c>
      <c r="X363">
        <v>0</v>
      </c>
      <c r="Y363" t="s">
        <v>83</v>
      </c>
      <c r="Z363" t="s">
        <v>61</v>
      </c>
      <c r="AA363">
        <v>0</v>
      </c>
      <c r="AB363" s="2">
        <v>0</v>
      </c>
      <c r="AC363" s="2">
        <v>0</v>
      </c>
      <c r="AD363" s="4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68.930000000000007</v>
      </c>
      <c r="AN363" s="2">
        <v>68.930000000000007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45999</v>
      </c>
      <c r="B364" t="s">
        <v>48</v>
      </c>
      <c r="C364">
        <v>649163</v>
      </c>
      <c r="D364">
        <v>2028367119</v>
      </c>
      <c r="E364" t="s">
        <v>536</v>
      </c>
      <c r="F364" t="s">
        <v>537</v>
      </c>
      <c r="G364" t="s">
        <v>51</v>
      </c>
      <c r="H364" t="s">
        <v>79</v>
      </c>
      <c r="I364" t="s">
        <v>365</v>
      </c>
      <c r="J364" t="s">
        <v>371</v>
      </c>
      <c r="K364">
        <v>673059</v>
      </c>
      <c r="L364" t="s">
        <v>81</v>
      </c>
      <c r="M364" t="s">
        <v>82</v>
      </c>
      <c r="N364" t="s">
        <v>57</v>
      </c>
      <c r="O364" s="1">
        <v>45759</v>
      </c>
      <c r="Q364" s="1">
        <v>46034</v>
      </c>
      <c r="R364" s="2">
        <v>7.09</v>
      </c>
      <c r="S364">
        <v>1</v>
      </c>
      <c r="T364" t="s">
        <v>58</v>
      </c>
      <c r="U364" t="s">
        <v>59</v>
      </c>
      <c r="V364" s="4">
        <v>0.38</v>
      </c>
      <c r="W364" s="2">
        <v>0</v>
      </c>
      <c r="X364">
        <v>0</v>
      </c>
      <c r="Y364" t="s">
        <v>83</v>
      </c>
      <c r="Z364" t="s">
        <v>61</v>
      </c>
      <c r="AA364">
        <v>0</v>
      </c>
      <c r="AB364" s="2">
        <v>0</v>
      </c>
      <c r="AC364" s="2">
        <v>0</v>
      </c>
      <c r="AD364" s="4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2.69</v>
      </c>
      <c r="AN364" s="2">
        <v>2.69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45999</v>
      </c>
      <c r="B365" t="s">
        <v>48</v>
      </c>
      <c r="C365">
        <v>649163</v>
      </c>
      <c r="D365">
        <v>2028819907</v>
      </c>
      <c r="E365" t="s">
        <v>545</v>
      </c>
      <c r="F365" t="s">
        <v>546</v>
      </c>
      <c r="G365" t="s">
        <v>51</v>
      </c>
      <c r="H365" t="s">
        <v>52</v>
      </c>
      <c r="I365" t="s">
        <v>365</v>
      </c>
      <c r="J365" t="s">
        <v>366</v>
      </c>
      <c r="K365">
        <v>650218</v>
      </c>
      <c r="L365" t="s">
        <v>88</v>
      </c>
      <c r="M365" t="s">
        <v>89</v>
      </c>
      <c r="N365" t="s">
        <v>57</v>
      </c>
      <c r="O365" s="1">
        <v>45785</v>
      </c>
      <c r="Q365" s="1">
        <v>46030</v>
      </c>
      <c r="R365" s="2">
        <v>21.97</v>
      </c>
      <c r="S365">
        <v>1</v>
      </c>
      <c r="T365" t="s">
        <v>58</v>
      </c>
      <c r="U365" t="s">
        <v>59</v>
      </c>
      <c r="V365" s="4">
        <v>0.38</v>
      </c>
      <c r="W365" s="2">
        <v>0</v>
      </c>
      <c r="X365">
        <v>0</v>
      </c>
      <c r="Y365" t="s">
        <v>83</v>
      </c>
      <c r="Z365" t="s">
        <v>61</v>
      </c>
      <c r="AA365">
        <v>0</v>
      </c>
      <c r="AB365" s="2">
        <v>0</v>
      </c>
      <c r="AC365" s="2">
        <v>0</v>
      </c>
      <c r="AD365" s="4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8.35</v>
      </c>
      <c r="AN365" s="2">
        <v>8.35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45999</v>
      </c>
      <c r="B366" t="s">
        <v>48</v>
      </c>
      <c r="C366">
        <v>649163</v>
      </c>
      <c r="D366">
        <v>2029502682</v>
      </c>
      <c r="E366" t="s">
        <v>557</v>
      </c>
      <c r="F366" t="s">
        <v>324</v>
      </c>
      <c r="G366" t="s">
        <v>51</v>
      </c>
      <c r="H366" t="s">
        <v>383</v>
      </c>
      <c r="I366" t="s">
        <v>365</v>
      </c>
      <c r="J366" t="s">
        <v>370</v>
      </c>
      <c r="K366">
        <v>823350</v>
      </c>
      <c r="L366" t="s">
        <v>257</v>
      </c>
      <c r="M366" t="s">
        <v>258</v>
      </c>
      <c r="N366" t="s">
        <v>57</v>
      </c>
      <c r="O366" s="1">
        <v>45829</v>
      </c>
      <c r="Q366" s="1">
        <v>46012</v>
      </c>
      <c r="R366" s="2">
        <v>326.14</v>
      </c>
      <c r="S366">
        <v>1</v>
      </c>
      <c r="T366" t="s">
        <v>58</v>
      </c>
      <c r="U366" t="s">
        <v>59</v>
      </c>
      <c r="V366" s="4">
        <v>0.38</v>
      </c>
      <c r="W366" s="2">
        <v>0</v>
      </c>
      <c r="X366">
        <v>0</v>
      </c>
      <c r="Y366" t="s">
        <v>83</v>
      </c>
      <c r="Z366" t="s">
        <v>61</v>
      </c>
      <c r="AA366">
        <v>0</v>
      </c>
      <c r="AB366" s="2">
        <v>0</v>
      </c>
      <c r="AC366" s="2">
        <v>0</v>
      </c>
      <c r="AD366" s="4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123.93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45999</v>
      </c>
      <c r="B367" t="s">
        <v>48</v>
      </c>
      <c r="C367">
        <v>649163</v>
      </c>
      <c r="D367">
        <v>2029502683</v>
      </c>
      <c r="E367" t="s">
        <v>557</v>
      </c>
      <c r="F367" t="s">
        <v>324</v>
      </c>
      <c r="G367" t="s">
        <v>51</v>
      </c>
      <c r="H367" t="s">
        <v>383</v>
      </c>
      <c r="I367" t="s">
        <v>365</v>
      </c>
      <c r="J367" t="s">
        <v>371</v>
      </c>
      <c r="K367">
        <v>823350</v>
      </c>
      <c r="L367" t="s">
        <v>257</v>
      </c>
      <c r="M367" t="s">
        <v>258</v>
      </c>
      <c r="N367" t="s">
        <v>57</v>
      </c>
      <c r="O367" s="1">
        <v>45829</v>
      </c>
      <c r="Q367" s="1">
        <v>46012</v>
      </c>
      <c r="R367" s="2">
        <v>7.09</v>
      </c>
      <c r="S367">
        <v>1</v>
      </c>
      <c r="T367" t="s">
        <v>58</v>
      </c>
      <c r="U367" t="s">
        <v>59</v>
      </c>
      <c r="V367" s="4">
        <v>0.38</v>
      </c>
      <c r="W367" s="2">
        <v>0</v>
      </c>
      <c r="X367">
        <v>0</v>
      </c>
      <c r="Y367" t="s">
        <v>83</v>
      </c>
      <c r="Z367" t="s">
        <v>61</v>
      </c>
      <c r="AA367">
        <v>0</v>
      </c>
      <c r="AB367" s="2">
        <v>0</v>
      </c>
      <c r="AC367" s="2">
        <v>0</v>
      </c>
      <c r="AD367" s="4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2.69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45999</v>
      </c>
      <c r="B368" t="s">
        <v>48</v>
      </c>
      <c r="C368">
        <v>649163</v>
      </c>
      <c r="D368">
        <v>2029738918</v>
      </c>
      <c r="E368" t="s">
        <v>674</v>
      </c>
      <c r="F368" t="s">
        <v>675</v>
      </c>
      <c r="G368" t="s">
        <v>51</v>
      </c>
      <c r="H368" t="s">
        <v>79</v>
      </c>
      <c r="I368" t="s">
        <v>365</v>
      </c>
      <c r="J368" t="s">
        <v>370</v>
      </c>
      <c r="K368">
        <v>673059</v>
      </c>
      <c r="L368" t="s">
        <v>81</v>
      </c>
      <c r="M368" t="s">
        <v>82</v>
      </c>
      <c r="N368" t="s">
        <v>57</v>
      </c>
      <c r="O368" s="1">
        <v>45846</v>
      </c>
      <c r="Q368" s="1">
        <v>46030</v>
      </c>
      <c r="R368" s="2">
        <v>192.49</v>
      </c>
      <c r="S368">
        <v>1</v>
      </c>
      <c r="T368" t="s">
        <v>58</v>
      </c>
      <c r="U368" t="s">
        <v>59</v>
      </c>
      <c r="V368" s="4">
        <v>0.38</v>
      </c>
      <c r="W368" s="2">
        <v>0</v>
      </c>
      <c r="X368">
        <v>0</v>
      </c>
      <c r="Y368" t="s">
        <v>83</v>
      </c>
      <c r="Z368" t="s">
        <v>61</v>
      </c>
      <c r="AA368">
        <v>0</v>
      </c>
      <c r="AB368" s="2">
        <v>0</v>
      </c>
      <c r="AC368" s="2">
        <v>0</v>
      </c>
      <c r="AD368" s="4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73.150000000000006</v>
      </c>
      <c r="AN368" s="2">
        <v>73.150000000000006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45999</v>
      </c>
      <c r="B369" t="s">
        <v>48</v>
      </c>
      <c r="C369">
        <v>649163</v>
      </c>
      <c r="D369">
        <v>2029738919</v>
      </c>
      <c r="E369" t="s">
        <v>674</v>
      </c>
      <c r="F369" t="s">
        <v>675</v>
      </c>
      <c r="G369" t="s">
        <v>51</v>
      </c>
      <c r="H369" t="s">
        <v>79</v>
      </c>
      <c r="I369" t="s">
        <v>365</v>
      </c>
      <c r="J369" t="s">
        <v>371</v>
      </c>
      <c r="K369">
        <v>673059</v>
      </c>
      <c r="L369" t="s">
        <v>81</v>
      </c>
      <c r="M369" t="s">
        <v>82</v>
      </c>
      <c r="N369" t="s">
        <v>57</v>
      </c>
      <c r="O369" s="1">
        <v>45846</v>
      </c>
      <c r="Q369" s="1">
        <v>46030</v>
      </c>
      <c r="R369" s="2">
        <v>7.09</v>
      </c>
      <c r="S369">
        <v>1</v>
      </c>
      <c r="T369" t="s">
        <v>58</v>
      </c>
      <c r="U369" t="s">
        <v>59</v>
      </c>
      <c r="V369" s="4">
        <v>0.38</v>
      </c>
      <c r="W369" s="2">
        <v>0</v>
      </c>
      <c r="X369">
        <v>0</v>
      </c>
      <c r="Y369" t="s">
        <v>83</v>
      </c>
      <c r="Z369" t="s">
        <v>61</v>
      </c>
      <c r="AA369">
        <v>0</v>
      </c>
      <c r="AB369" s="2">
        <v>0</v>
      </c>
      <c r="AC369" s="2">
        <v>0</v>
      </c>
      <c r="AD369" s="4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0.02</v>
      </c>
      <c r="AM369" s="2">
        <v>2.67</v>
      </c>
      <c r="AN369" s="2">
        <v>2.67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45999</v>
      </c>
      <c r="B370" t="s">
        <v>48</v>
      </c>
      <c r="C370">
        <v>649163</v>
      </c>
      <c r="D370">
        <v>2029838335</v>
      </c>
      <c r="E370" t="s">
        <v>676</v>
      </c>
      <c r="F370" t="s">
        <v>677</v>
      </c>
      <c r="G370" t="s">
        <v>51</v>
      </c>
      <c r="H370" t="s">
        <v>102</v>
      </c>
      <c r="I370" t="s">
        <v>365</v>
      </c>
      <c r="J370" t="s">
        <v>370</v>
      </c>
      <c r="K370">
        <v>840313</v>
      </c>
      <c r="L370" t="s">
        <v>525</v>
      </c>
      <c r="M370" t="s">
        <v>526</v>
      </c>
      <c r="N370" t="s">
        <v>57</v>
      </c>
      <c r="O370" s="1">
        <v>45846</v>
      </c>
      <c r="Q370" s="1">
        <v>46030</v>
      </c>
      <c r="R370" s="2">
        <v>181.4</v>
      </c>
      <c r="S370">
        <v>1</v>
      </c>
      <c r="T370" t="s">
        <v>58</v>
      </c>
      <c r="U370" t="s">
        <v>59</v>
      </c>
      <c r="V370" s="4">
        <v>0.38</v>
      </c>
      <c r="W370" s="2">
        <v>0</v>
      </c>
      <c r="X370">
        <v>0</v>
      </c>
      <c r="Y370" t="s">
        <v>83</v>
      </c>
      <c r="Z370" t="s">
        <v>61</v>
      </c>
      <c r="AA370">
        <v>0</v>
      </c>
      <c r="AB370" s="2">
        <v>0</v>
      </c>
      <c r="AC370" s="2">
        <v>0</v>
      </c>
      <c r="AD370" s="4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68.930000000000007</v>
      </c>
      <c r="AN370" s="2">
        <v>68.930000000000007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45999</v>
      </c>
      <c r="B371" t="s">
        <v>48</v>
      </c>
      <c r="C371">
        <v>649163</v>
      </c>
      <c r="D371">
        <v>2029844784</v>
      </c>
      <c r="E371" t="s">
        <v>678</v>
      </c>
      <c r="F371" t="s">
        <v>679</v>
      </c>
      <c r="G371" t="s">
        <v>51</v>
      </c>
      <c r="H371" t="s">
        <v>102</v>
      </c>
      <c r="I371" t="s">
        <v>365</v>
      </c>
      <c r="J371" t="s">
        <v>370</v>
      </c>
      <c r="K371">
        <v>768887</v>
      </c>
      <c r="L371" t="s">
        <v>206</v>
      </c>
      <c r="M371" t="s">
        <v>207</v>
      </c>
      <c r="N371" t="s">
        <v>57</v>
      </c>
      <c r="O371" s="1">
        <v>45849</v>
      </c>
      <c r="Q371" s="1">
        <v>46033</v>
      </c>
      <c r="R371" s="2">
        <v>455.99</v>
      </c>
      <c r="S371">
        <v>1</v>
      </c>
      <c r="T371" t="s">
        <v>58</v>
      </c>
      <c r="U371" t="s">
        <v>59</v>
      </c>
      <c r="V371" s="4">
        <v>0.38</v>
      </c>
      <c r="W371" s="2">
        <v>0</v>
      </c>
      <c r="X371">
        <v>0</v>
      </c>
      <c r="Y371" t="s">
        <v>83</v>
      </c>
      <c r="Z371" t="s">
        <v>61</v>
      </c>
      <c r="AA371">
        <v>0</v>
      </c>
      <c r="AB371" s="2">
        <v>0</v>
      </c>
      <c r="AC371" s="2">
        <v>0</v>
      </c>
      <c r="AD371" s="4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173.27</v>
      </c>
      <c r="AM371" s="2">
        <v>0.01</v>
      </c>
      <c r="AN371" s="2">
        <v>0.01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45999</v>
      </c>
      <c r="B372" t="s">
        <v>48</v>
      </c>
      <c r="C372">
        <v>649163</v>
      </c>
      <c r="D372">
        <v>2029844785</v>
      </c>
      <c r="E372" t="s">
        <v>678</v>
      </c>
      <c r="F372" t="s">
        <v>679</v>
      </c>
      <c r="G372" t="s">
        <v>51</v>
      </c>
      <c r="H372" t="s">
        <v>102</v>
      </c>
      <c r="I372" t="s">
        <v>365</v>
      </c>
      <c r="J372" t="s">
        <v>371</v>
      </c>
      <c r="K372">
        <v>768887</v>
      </c>
      <c r="L372" t="s">
        <v>206</v>
      </c>
      <c r="M372" t="s">
        <v>207</v>
      </c>
      <c r="N372" t="s">
        <v>57</v>
      </c>
      <c r="O372" s="1">
        <v>45849</v>
      </c>
      <c r="Q372" s="1">
        <v>46033</v>
      </c>
      <c r="R372" s="2">
        <v>7.09</v>
      </c>
      <c r="S372">
        <v>1</v>
      </c>
      <c r="T372" t="s">
        <v>58</v>
      </c>
      <c r="U372" t="s">
        <v>59</v>
      </c>
      <c r="V372" s="4">
        <v>0.38</v>
      </c>
      <c r="W372" s="2">
        <v>0</v>
      </c>
      <c r="X372">
        <v>0</v>
      </c>
      <c r="Y372" t="s">
        <v>83</v>
      </c>
      <c r="Z372" t="s">
        <v>61</v>
      </c>
      <c r="AA372">
        <v>0</v>
      </c>
      <c r="AB372" s="2">
        <v>0</v>
      </c>
      <c r="AC372" s="2">
        <v>0</v>
      </c>
      <c r="AD372" s="4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2.69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45999</v>
      </c>
      <c r="B373" t="s">
        <v>48</v>
      </c>
      <c r="C373">
        <v>649163</v>
      </c>
      <c r="D373">
        <v>2030247772</v>
      </c>
      <c r="E373" t="s">
        <v>680</v>
      </c>
      <c r="F373" t="s">
        <v>362</v>
      </c>
      <c r="G373" t="s">
        <v>51</v>
      </c>
      <c r="H373" t="s">
        <v>52</v>
      </c>
      <c r="I373" t="s">
        <v>365</v>
      </c>
      <c r="J373" t="s">
        <v>366</v>
      </c>
      <c r="K373">
        <v>751867</v>
      </c>
      <c r="L373" t="s">
        <v>70</v>
      </c>
      <c r="M373" t="s">
        <v>71</v>
      </c>
      <c r="N373" t="s">
        <v>57</v>
      </c>
      <c r="O373" s="1">
        <v>45870</v>
      </c>
      <c r="Q373" s="1">
        <v>46023</v>
      </c>
      <c r="R373" s="2">
        <v>-27.15</v>
      </c>
      <c r="S373">
        <v>1</v>
      </c>
      <c r="T373" t="s">
        <v>58</v>
      </c>
      <c r="U373" t="s">
        <v>59</v>
      </c>
      <c r="V373" s="4">
        <v>0.38</v>
      </c>
      <c r="W373" s="2">
        <v>0</v>
      </c>
      <c r="X373">
        <v>-1</v>
      </c>
      <c r="Y373" t="s">
        <v>83</v>
      </c>
      <c r="Z373" t="s">
        <v>61</v>
      </c>
      <c r="AA373">
        <v>0</v>
      </c>
      <c r="AB373" s="2">
        <v>0</v>
      </c>
      <c r="AC373" s="2">
        <v>0</v>
      </c>
      <c r="AD373" s="4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-10.32</v>
      </c>
      <c r="AN373" s="2">
        <v>-10.32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45999</v>
      </c>
      <c r="B374" t="s">
        <v>48</v>
      </c>
      <c r="C374">
        <v>649163</v>
      </c>
      <c r="D374">
        <v>2030277545</v>
      </c>
      <c r="E374" t="s">
        <v>681</v>
      </c>
      <c r="F374" t="s">
        <v>682</v>
      </c>
      <c r="G374" t="s">
        <v>51</v>
      </c>
      <c r="H374" t="s">
        <v>210</v>
      </c>
      <c r="I374" t="s">
        <v>365</v>
      </c>
      <c r="J374" t="s">
        <v>369</v>
      </c>
      <c r="K374">
        <v>673059</v>
      </c>
      <c r="L374" t="s">
        <v>81</v>
      </c>
      <c r="M374" t="s">
        <v>82</v>
      </c>
      <c r="N374" t="s">
        <v>57</v>
      </c>
      <c r="O374" s="1">
        <v>45878</v>
      </c>
      <c r="Q374" s="1">
        <v>46031</v>
      </c>
      <c r="R374" s="2">
        <v>118.65</v>
      </c>
      <c r="S374">
        <v>1</v>
      </c>
      <c r="T374" t="s">
        <v>58</v>
      </c>
      <c r="U374" t="s">
        <v>59</v>
      </c>
      <c r="V374" s="4">
        <v>0.19</v>
      </c>
      <c r="W374" s="2">
        <v>0</v>
      </c>
      <c r="X374">
        <v>0</v>
      </c>
      <c r="Y374" t="s">
        <v>83</v>
      </c>
      <c r="Z374" t="s">
        <v>61</v>
      </c>
      <c r="AA374">
        <v>0</v>
      </c>
      <c r="AB374" s="2">
        <v>0</v>
      </c>
      <c r="AC374" s="2">
        <v>0</v>
      </c>
      <c r="AD374" s="4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22.54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45999</v>
      </c>
      <c r="B375" t="s">
        <v>48</v>
      </c>
      <c r="C375">
        <v>649163</v>
      </c>
      <c r="D375">
        <v>2030277546</v>
      </c>
      <c r="E375" t="s">
        <v>681</v>
      </c>
      <c r="F375" t="s">
        <v>682</v>
      </c>
      <c r="G375" t="s">
        <v>51</v>
      </c>
      <c r="H375" t="s">
        <v>210</v>
      </c>
      <c r="I375" t="s">
        <v>365</v>
      </c>
      <c r="J375" t="s">
        <v>371</v>
      </c>
      <c r="K375">
        <v>673059</v>
      </c>
      <c r="L375" t="s">
        <v>81</v>
      </c>
      <c r="M375" t="s">
        <v>82</v>
      </c>
      <c r="N375" t="s">
        <v>57</v>
      </c>
      <c r="O375" s="1">
        <v>45878</v>
      </c>
      <c r="Q375" s="1">
        <v>46031</v>
      </c>
      <c r="R375" s="2">
        <v>7.09</v>
      </c>
      <c r="S375">
        <v>1</v>
      </c>
      <c r="T375" t="s">
        <v>58</v>
      </c>
      <c r="U375" t="s">
        <v>59</v>
      </c>
      <c r="V375" s="4">
        <v>0.38</v>
      </c>
      <c r="W375" s="2">
        <v>0</v>
      </c>
      <c r="X375">
        <v>0</v>
      </c>
      <c r="Y375" t="s">
        <v>83</v>
      </c>
      <c r="Z375" t="s">
        <v>61</v>
      </c>
      <c r="AA375">
        <v>0</v>
      </c>
      <c r="AB375" s="2">
        <v>0</v>
      </c>
      <c r="AC375" s="2">
        <v>0</v>
      </c>
      <c r="AD375" s="4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2.69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45999</v>
      </c>
      <c r="B376" t="s">
        <v>48</v>
      </c>
      <c r="C376">
        <v>649163</v>
      </c>
      <c r="D376">
        <v>2030380471</v>
      </c>
      <c r="E376" t="s">
        <v>586</v>
      </c>
      <c r="F376" t="s">
        <v>587</v>
      </c>
      <c r="G376" t="s">
        <v>51</v>
      </c>
      <c r="H376" t="s">
        <v>52</v>
      </c>
      <c r="I376" t="s">
        <v>365</v>
      </c>
      <c r="J376" t="s">
        <v>366</v>
      </c>
      <c r="K376">
        <v>650218</v>
      </c>
      <c r="L376" t="s">
        <v>88</v>
      </c>
      <c r="M376" t="s">
        <v>89</v>
      </c>
      <c r="N376" t="s">
        <v>57</v>
      </c>
      <c r="O376" s="1">
        <v>45877</v>
      </c>
      <c r="Q376" s="1">
        <v>46030</v>
      </c>
      <c r="R376" s="2">
        <v>47.17</v>
      </c>
      <c r="S376">
        <v>1</v>
      </c>
      <c r="T376" t="s">
        <v>58</v>
      </c>
      <c r="U376" t="s">
        <v>59</v>
      </c>
      <c r="V376" s="4">
        <v>0.38</v>
      </c>
      <c r="W376" s="2">
        <v>0</v>
      </c>
      <c r="X376">
        <v>0</v>
      </c>
      <c r="Y376" t="s">
        <v>83</v>
      </c>
      <c r="Z376" t="s">
        <v>61</v>
      </c>
      <c r="AA376">
        <v>0</v>
      </c>
      <c r="AB376" s="2">
        <v>0</v>
      </c>
      <c r="AC376" s="2">
        <v>0</v>
      </c>
      <c r="AD376" s="4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17.920000000000002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45999</v>
      </c>
      <c r="B377" t="s">
        <v>48</v>
      </c>
      <c r="C377">
        <v>649163</v>
      </c>
      <c r="D377">
        <v>2030395014</v>
      </c>
      <c r="E377" t="s">
        <v>683</v>
      </c>
      <c r="F377" t="s">
        <v>684</v>
      </c>
      <c r="G377" t="s">
        <v>51</v>
      </c>
      <c r="H377" t="s">
        <v>200</v>
      </c>
      <c r="I377" t="s">
        <v>365</v>
      </c>
      <c r="J377" t="s">
        <v>366</v>
      </c>
      <c r="K377">
        <v>796984</v>
      </c>
      <c r="L377" t="s">
        <v>344</v>
      </c>
      <c r="M377" t="s">
        <v>260</v>
      </c>
      <c r="N377" t="s">
        <v>57</v>
      </c>
      <c r="O377" s="1">
        <v>45878</v>
      </c>
      <c r="Q377" s="1">
        <v>46031</v>
      </c>
      <c r="R377" s="2">
        <v>23.69</v>
      </c>
      <c r="S377">
        <v>1</v>
      </c>
      <c r="T377" t="s">
        <v>58</v>
      </c>
      <c r="U377" t="s">
        <v>59</v>
      </c>
      <c r="V377" s="4">
        <v>0.38</v>
      </c>
      <c r="W377" s="2">
        <v>0</v>
      </c>
      <c r="X377">
        <v>0</v>
      </c>
      <c r="Y377" t="s">
        <v>83</v>
      </c>
      <c r="Z377" t="s">
        <v>61</v>
      </c>
      <c r="AA377">
        <v>0</v>
      </c>
      <c r="AB377" s="2">
        <v>0</v>
      </c>
      <c r="AC377" s="2">
        <v>0</v>
      </c>
      <c r="AD377" s="4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9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45999</v>
      </c>
      <c r="B378" t="s">
        <v>48</v>
      </c>
      <c r="C378">
        <v>649163</v>
      </c>
      <c r="D378">
        <v>2030399994</v>
      </c>
      <c r="E378" t="s">
        <v>685</v>
      </c>
      <c r="F378" t="s">
        <v>56</v>
      </c>
      <c r="G378" t="s">
        <v>51</v>
      </c>
      <c r="H378" t="s">
        <v>102</v>
      </c>
      <c r="I378" t="s">
        <v>365</v>
      </c>
      <c r="J378" t="s">
        <v>370</v>
      </c>
      <c r="K378">
        <v>824062</v>
      </c>
      <c r="L378" t="s">
        <v>261</v>
      </c>
      <c r="M378" t="s">
        <v>262</v>
      </c>
      <c r="N378" t="s">
        <v>57</v>
      </c>
      <c r="O378" s="1">
        <v>45878</v>
      </c>
      <c r="Q378" s="1">
        <v>46031</v>
      </c>
      <c r="R378" s="2">
        <v>758.34</v>
      </c>
      <c r="S378">
        <v>1</v>
      </c>
      <c r="T378" t="s">
        <v>58</v>
      </c>
      <c r="U378" t="s">
        <v>59</v>
      </c>
      <c r="V378" s="4">
        <v>0.38</v>
      </c>
      <c r="W378" s="2">
        <v>0</v>
      </c>
      <c r="X378">
        <v>0</v>
      </c>
      <c r="Y378" t="s">
        <v>83</v>
      </c>
      <c r="Z378" t="s">
        <v>61</v>
      </c>
      <c r="AA378">
        <v>0</v>
      </c>
      <c r="AB378" s="2">
        <v>0</v>
      </c>
      <c r="AC378" s="2">
        <v>0</v>
      </c>
      <c r="AD378" s="4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288.17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45999</v>
      </c>
      <c r="B379" t="s">
        <v>48</v>
      </c>
      <c r="C379">
        <v>649163</v>
      </c>
      <c r="D379">
        <v>2030399997</v>
      </c>
      <c r="E379" t="s">
        <v>685</v>
      </c>
      <c r="F379" t="s">
        <v>56</v>
      </c>
      <c r="G379" t="s">
        <v>51</v>
      </c>
      <c r="H379" t="s">
        <v>102</v>
      </c>
      <c r="I379" t="s">
        <v>365</v>
      </c>
      <c r="J379" t="s">
        <v>371</v>
      </c>
      <c r="K379">
        <v>824062</v>
      </c>
      <c r="L379" t="s">
        <v>261</v>
      </c>
      <c r="M379" t="s">
        <v>262</v>
      </c>
      <c r="N379" t="s">
        <v>57</v>
      </c>
      <c r="O379" s="1">
        <v>45878</v>
      </c>
      <c r="Q379" s="1">
        <v>46031</v>
      </c>
      <c r="R379" s="2">
        <v>7.09</v>
      </c>
      <c r="S379">
        <v>1</v>
      </c>
      <c r="T379" t="s">
        <v>58</v>
      </c>
      <c r="U379" t="s">
        <v>59</v>
      </c>
      <c r="V379" s="4">
        <v>0.38</v>
      </c>
      <c r="W379" s="2">
        <v>0</v>
      </c>
      <c r="X379">
        <v>0</v>
      </c>
      <c r="Y379" t="s">
        <v>83</v>
      </c>
      <c r="Z379" t="s">
        <v>61</v>
      </c>
      <c r="AA379">
        <v>0</v>
      </c>
      <c r="AB379" s="2">
        <v>0</v>
      </c>
      <c r="AC379" s="2">
        <v>0</v>
      </c>
      <c r="AD379" s="4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2.69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45999</v>
      </c>
      <c r="B380" t="s">
        <v>48</v>
      </c>
      <c r="C380">
        <v>649163</v>
      </c>
      <c r="D380">
        <v>2030842332</v>
      </c>
      <c r="E380" t="s">
        <v>686</v>
      </c>
      <c r="F380" t="s">
        <v>687</v>
      </c>
      <c r="G380" t="s">
        <v>51</v>
      </c>
      <c r="H380" t="s">
        <v>125</v>
      </c>
      <c r="I380" t="s">
        <v>365</v>
      </c>
      <c r="J380" t="s">
        <v>366</v>
      </c>
      <c r="K380">
        <v>650218</v>
      </c>
      <c r="L380" t="s">
        <v>88</v>
      </c>
      <c r="M380" t="s">
        <v>89</v>
      </c>
      <c r="N380" t="s">
        <v>57</v>
      </c>
      <c r="O380" s="1">
        <v>45904</v>
      </c>
      <c r="Q380" s="1">
        <v>46026</v>
      </c>
      <c r="R380" s="2">
        <v>20.76</v>
      </c>
      <c r="S380">
        <v>1</v>
      </c>
      <c r="T380" t="s">
        <v>58</v>
      </c>
      <c r="U380" t="s">
        <v>59</v>
      </c>
      <c r="V380" s="4">
        <v>0.38</v>
      </c>
      <c r="W380" s="2">
        <v>0</v>
      </c>
      <c r="X380">
        <v>0</v>
      </c>
      <c r="Y380" t="s">
        <v>83</v>
      </c>
      <c r="Z380" t="s">
        <v>61</v>
      </c>
      <c r="AA380">
        <v>0</v>
      </c>
      <c r="AB380" s="2">
        <v>0</v>
      </c>
      <c r="AC380" s="2">
        <v>0</v>
      </c>
      <c r="AD380" s="4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7.89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45999</v>
      </c>
      <c r="B381" t="s">
        <v>48</v>
      </c>
      <c r="C381">
        <v>649163</v>
      </c>
      <c r="D381">
        <v>2030896174</v>
      </c>
      <c r="E381" t="s">
        <v>688</v>
      </c>
      <c r="F381" t="s">
        <v>689</v>
      </c>
      <c r="G381" t="s">
        <v>51</v>
      </c>
      <c r="H381" t="s">
        <v>102</v>
      </c>
      <c r="I381" t="s">
        <v>365</v>
      </c>
      <c r="J381" t="s">
        <v>370</v>
      </c>
      <c r="K381">
        <v>820873</v>
      </c>
      <c r="L381" t="s">
        <v>117</v>
      </c>
      <c r="M381" t="s">
        <v>118</v>
      </c>
      <c r="N381" t="s">
        <v>57</v>
      </c>
      <c r="O381" s="1">
        <v>45906</v>
      </c>
      <c r="Q381" s="1">
        <v>46028</v>
      </c>
      <c r="R381" s="2">
        <v>139</v>
      </c>
      <c r="S381">
        <v>1</v>
      </c>
      <c r="T381" t="s">
        <v>58</v>
      </c>
      <c r="U381" t="s">
        <v>59</v>
      </c>
      <c r="V381" s="4">
        <v>0.38</v>
      </c>
      <c r="W381" s="2">
        <v>0</v>
      </c>
      <c r="X381">
        <v>0</v>
      </c>
      <c r="Y381" t="s">
        <v>83</v>
      </c>
      <c r="Z381" t="s">
        <v>61</v>
      </c>
      <c r="AA381">
        <v>0</v>
      </c>
      <c r="AB381" s="2">
        <v>0</v>
      </c>
      <c r="AC381" s="2">
        <v>0</v>
      </c>
      <c r="AD381" s="4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52.82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45999</v>
      </c>
      <c r="B382" t="s">
        <v>48</v>
      </c>
      <c r="C382">
        <v>649163</v>
      </c>
      <c r="D382">
        <v>2030896175</v>
      </c>
      <c r="E382" t="s">
        <v>688</v>
      </c>
      <c r="F382" t="s">
        <v>689</v>
      </c>
      <c r="G382" t="s">
        <v>51</v>
      </c>
      <c r="H382" t="s">
        <v>102</v>
      </c>
      <c r="I382" t="s">
        <v>365</v>
      </c>
      <c r="J382" t="s">
        <v>371</v>
      </c>
      <c r="K382">
        <v>820873</v>
      </c>
      <c r="L382" t="s">
        <v>117</v>
      </c>
      <c r="M382" t="s">
        <v>118</v>
      </c>
      <c r="N382" t="s">
        <v>57</v>
      </c>
      <c r="O382" s="1">
        <v>45906</v>
      </c>
      <c r="Q382" s="1">
        <v>46028</v>
      </c>
      <c r="R382" s="2">
        <v>7.09</v>
      </c>
      <c r="S382">
        <v>1</v>
      </c>
      <c r="T382" t="s">
        <v>58</v>
      </c>
      <c r="U382" t="s">
        <v>59</v>
      </c>
      <c r="V382" s="4">
        <v>0.38</v>
      </c>
      <c r="W382" s="2">
        <v>0</v>
      </c>
      <c r="X382">
        <v>0</v>
      </c>
      <c r="Y382" t="s">
        <v>83</v>
      </c>
      <c r="Z382" t="s">
        <v>61</v>
      </c>
      <c r="AA382">
        <v>0</v>
      </c>
      <c r="AB382" s="2">
        <v>0</v>
      </c>
      <c r="AC382" s="2">
        <v>0</v>
      </c>
      <c r="AD382" s="4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2.69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45999</v>
      </c>
      <c r="B383" t="s">
        <v>48</v>
      </c>
      <c r="C383">
        <v>649163</v>
      </c>
      <c r="D383">
        <v>2030945122</v>
      </c>
      <c r="E383" t="s">
        <v>653</v>
      </c>
      <c r="F383" t="s">
        <v>690</v>
      </c>
      <c r="G383" t="s">
        <v>51</v>
      </c>
      <c r="H383" t="s">
        <v>102</v>
      </c>
      <c r="I383" t="s">
        <v>365</v>
      </c>
      <c r="J383" t="s">
        <v>366</v>
      </c>
      <c r="K383">
        <v>820873</v>
      </c>
      <c r="L383" t="s">
        <v>117</v>
      </c>
      <c r="M383" t="s">
        <v>118</v>
      </c>
      <c r="N383" t="s">
        <v>57</v>
      </c>
      <c r="O383" s="1">
        <v>45909</v>
      </c>
      <c r="Q383" s="1">
        <v>46031</v>
      </c>
      <c r="R383" s="2">
        <v>19.48</v>
      </c>
      <c r="S383">
        <v>1</v>
      </c>
      <c r="T383" t="s">
        <v>58</v>
      </c>
      <c r="U383" t="s">
        <v>105</v>
      </c>
      <c r="V383" s="4">
        <v>0.38</v>
      </c>
      <c r="W383" s="2">
        <v>0</v>
      </c>
      <c r="X383">
        <v>0</v>
      </c>
      <c r="Y383" t="s">
        <v>83</v>
      </c>
      <c r="Z383" t="s">
        <v>61</v>
      </c>
      <c r="AA383">
        <v>0</v>
      </c>
      <c r="AB383" s="2">
        <v>0</v>
      </c>
      <c r="AC383" s="2">
        <v>0</v>
      </c>
      <c r="AD383" s="4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7.4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45999</v>
      </c>
      <c r="B384" t="s">
        <v>48</v>
      </c>
      <c r="C384">
        <v>649163</v>
      </c>
      <c r="D384">
        <v>2030954480</v>
      </c>
      <c r="E384" t="s">
        <v>691</v>
      </c>
      <c r="F384" t="s">
        <v>301</v>
      </c>
      <c r="G384" t="s">
        <v>51</v>
      </c>
      <c r="H384" t="s">
        <v>102</v>
      </c>
      <c r="I384" t="s">
        <v>365</v>
      </c>
      <c r="J384" t="s">
        <v>370</v>
      </c>
      <c r="K384">
        <v>856824</v>
      </c>
      <c r="L384" t="s">
        <v>145</v>
      </c>
      <c r="M384" t="s">
        <v>146</v>
      </c>
      <c r="N384" t="s">
        <v>57</v>
      </c>
      <c r="O384" s="1">
        <v>45910</v>
      </c>
      <c r="Q384" s="1">
        <v>46032</v>
      </c>
      <c r="R384" s="2">
        <v>122.45</v>
      </c>
      <c r="S384">
        <v>1</v>
      </c>
      <c r="T384" t="s">
        <v>58</v>
      </c>
      <c r="U384" t="s">
        <v>105</v>
      </c>
      <c r="V384" s="4">
        <v>0.38</v>
      </c>
      <c r="W384" s="2">
        <v>0</v>
      </c>
      <c r="X384">
        <v>0</v>
      </c>
      <c r="Y384" t="s">
        <v>83</v>
      </c>
      <c r="Z384" t="s">
        <v>61</v>
      </c>
      <c r="AA384">
        <v>0</v>
      </c>
      <c r="AB384" s="2">
        <v>0</v>
      </c>
      <c r="AC384" s="2">
        <v>0</v>
      </c>
      <c r="AD384" s="4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46.53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45999</v>
      </c>
      <c r="B385" t="s">
        <v>48</v>
      </c>
      <c r="C385">
        <v>649163</v>
      </c>
      <c r="D385">
        <v>2030954481</v>
      </c>
      <c r="E385" t="s">
        <v>691</v>
      </c>
      <c r="F385" t="s">
        <v>301</v>
      </c>
      <c r="G385" t="s">
        <v>51</v>
      </c>
      <c r="H385" t="s">
        <v>102</v>
      </c>
      <c r="I385" t="s">
        <v>365</v>
      </c>
      <c r="J385" t="s">
        <v>371</v>
      </c>
      <c r="K385">
        <v>856824</v>
      </c>
      <c r="L385" t="s">
        <v>145</v>
      </c>
      <c r="M385" t="s">
        <v>146</v>
      </c>
      <c r="N385" t="s">
        <v>57</v>
      </c>
      <c r="O385" s="1">
        <v>45910</v>
      </c>
      <c r="Q385" s="1">
        <v>46032</v>
      </c>
      <c r="R385" s="2">
        <v>5.03</v>
      </c>
      <c r="S385">
        <v>1</v>
      </c>
      <c r="T385" t="s">
        <v>58</v>
      </c>
      <c r="U385" t="s">
        <v>105</v>
      </c>
      <c r="V385" s="4">
        <v>0.38</v>
      </c>
      <c r="W385" s="2">
        <v>0</v>
      </c>
      <c r="X385">
        <v>0</v>
      </c>
      <c r="Y385" t="s">
        <v>83</v>
      </c>
      <c r="Z385" t="s">
        <v>61</v>
      </c>
      <c r="AA385">
        <v>0</v>
      </c>
      <c r="AB385" s="2">
        <v>0</v>
      </c>
      <c r="AC385" s="2">
        <v>0</v>
      </c>
      <c r="AD385" s="4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1.91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45999</v>
      </c>
      <c r="B386" t="s">
        <v>48</v>
      </c>
      <c r="C386">
        <v>649163</v>
      </c>
      <c r="D386">
        <v>2031523388</v>
      </c>
      <c r="E386" t="s">
        <v>692</v>
      </c>
      <c r="F386" t="s">
        <v>279</v>
      </c>
      <c r="G386" t="s">
        <v>51</v>
      </c>
      <c r="H386" t="s">
        <v>200</v>
      </c>
      <c r="I386" t="s">
        <v>365</v>
      </c>
      <c r="J386" t="s">
        <v>370</v>
      </c>
      <c r="K386">
        <v>816021</v>
      </c>
      <c r="L386" t="s">
        <v>201</v>
      </c>
      <c r="M386" t="s">
        <v>202</v>
      </c>
      <c r="N386" t="s">
        <v>57</v>
      </c>
      <c r="O386" s="1">
        <v>45939</v>
      </c>
      <c r="Q386" s="1">
        <v>46031</v>
      </c>
      <c r="R386" s="2">
        <v>432.86</v>
      </c>
      <c r="S386">
        <v>1</v>
      </c>
      <c r="T386" t="s">
        <v>58</v>
      </c>
      <c r="U386" t="s">
        <v>105</v>
      </c>
      <c r="V386" s="4">
        <v>0.38</v>
      </c>
      <c r="W386" s="2">
        <v>0</v>
      </c>
      <c r="X386">
        <v>0</v>
      </c>
      <c r="Y386" t="s">
        <v>83</v>
      </c>
      <c r="Z386" t="s">
        <v>61</v>
      </c>
      <c r="AA386">
        <v>0</v>
      </c>
      <c r="AB386" s="2">
        <v>0</v>
      </c>
      <c r="AC386" s="2">
        <v>0</v>
      </c>
      <c r="AD386" s="4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164.49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45999</v>
      </c>
      <c r="B387" t="s">
        <v>48</v>
      </c>
      <c r="C387">
        <v>649163</v>
      </c>
      <c r="D387">
        <v>2032204739</v>
      </c>
      <c r="E387" t="s">
        <v>693</v>
      </c>
      <c r="F387" t="s">
        <v>694</v>
      </c>
      <c r="G387" t="s">
        <v>51</v>
      </c>
      <c r="H387" t="s">
        <v>52</v>
      </c>
      <c r="I387" t="s">
        <v>365</v>
      </c>
      <c r="J387" t="s">
        <v>366</v>
      </c>
      <c r="K387">
        <v>650218</v>
      </c>
      <c r="L387" t="s">
        <v>88</v>
      </c>
      <c r="M387" t="s">
        <v>89</v>
      </c>
      <c r="N387" t="s">
        <v>94</v>
      </c>
      <c r="O387" s="1">
        <v>45992</v>
      </c>
      <c r="P387" s="1">
        <v>45999</v>
      </c>
      <c r="Q387" s="1">
        <v>46023</v>
      </c>
      <c r="R387" s="2">
        <v>-61.39</v>
      </c>
      <c r="S387">
        <v>1</v>
      </c>
      <c r="T387" t="s">
        <v>58</v>
      </c>
      <c r="U387" t="s">
        <v>105</v>
      </c>
      <c r="V387" s="4">
        <v>0.38</v>
      </c>
      <c r="W387" s="2">
        <v>0</v>
      </c>
      <c r="X387">
        <v>-1</v>
      </c>
      <c r="Y387" t="s">
        <v>83</v>
      </c>
      <c r="Z387" t="s">
        <v>61</v>
      </c>
      <c r="AA387">
        <v>0</v>
      </c>
      <c r="AB387" s="2">
        <v>0</v>
      </c>
      <c r="AC387" s="2">
        <v>0</v>
      </c>
      <c r="AD387" s="4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-23.33</v>
      </c>
      <c r="AN387" s="2">
        <v>-23.33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45999</v>
      </c>
      <c r="B388" t="s">
        <v>48</v>
      </c>
      <c r="C388">
        <v>649163</v>
      </c>
      <c r="D388">
        <v>2032389017</v>
      </c>
      <c r="E388" t="s">
        <v>631</v>
      </c>
      <c r="F388" t="s">
        <v>175</v>
      </c>
      <c r="G388" t="s">
        <v>51</v>
      </c>
      <c r="H388" t="s">
        <v>52</v>
      </c>
      <c r="I388" t="s">
        <v>365</v>
      </c>
      <c r="J388" t="s">
        <v>366</v>
      </c>
      <c r="K388">
        <v>650218</v>
      </c>
      <c r="L388" t="s">
        <v>88</v>
      </c>
      <c r="M388" t="s">
        <v>89</v>
      </c>
      <c r="N388" t="s">
        <v>57</v>
      </c>
      <c r="O388" s="1">
        <v>46023</v>
      </c>
      <c r="Q388" s="1">
        <v>46054</v>
      </c>
      <c r="R388" s="2">
        <v>-53.16</v>
      </c>
      <c r="S388">
        <v>1</v>
      </c>
      <c r="T388" t="s">
        <v>58</v>
      </c>
      <c r="U388" t="s">
        <v>105</v>
      </c>
      <c r="V388" s="4">
        <v>0.38</v>
      </c>
      <c r="W388" s="2">
        <v>0</v>
      </c>
      <c r="X388">
        <v>-1</v>
      </c>
      <c r="Y388" t="s">
        <v>83</v>
      </c>
      <c r="Z388" t="s">
        <v>61</v>
      </c>
      <c r="AA388">
        <v>0</v>
      </c>
      <c r="AB388" s="2">
        <v>0</v>
      </c>
      <c r="AC388" s="2">
        <v>0</v>
      </c>
      <c r="AD388" s="4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-20.2</v>
      </c>
      <c r="AN388" s="2">
        <v>-20.2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45999</v>
      </c>
      <c r="B389" t="s">
        <v>48</v>
      </c>
      <c r="C389">
        <v>649163</v>
      </c>
      <c r="D389">
        <v>2026898523</v>
      </c>
      <c r="E389" t="s">
        <v>695</v>
      </c>
      <c r="F389" t="s">
        <v>696</v>
      </c>
      <c r="G389" t="s">
        <v>51</v>
      </c>
      <c r="H389" t="s">
        <v>102</v>
      </c>
      <c r="I389" t="s">
        <v>697</v>
      </c>
      <c r="J389" t="s">
        <v>698</v>
      </c>
      <c r="K389">
        <v>789909</v>
      </c>
      <c r="L389" t="s">
        <v>699</v>
      </c>
      <c r="M389" t="s">
        <v>700</v>
      </c>
      <c r="N389" t="s">
        <v>57</v>
      </c>
      <c r="O389" s="1">
        <v>45691</v>
      </c>
      <c r="Q389" s="1">
        <v>46025</v>
      </c>
      <c r="R389" s="2">
        <v>289.33</v>
      </c>
      <c r="S389">
        <v>1</v>
      </c>
      <c r="T389" t="s">
        <v>58</v>
      </c>
      <c r="U389" t="s">
        <v>59</v>
      </c>
      <c r="V389" s="4">
        <v>0.96</v>
      </c>
      <c r="W389" s="2">
        <v>0</v>
      </c>
      <c r="X389">
        <v>0</v>
      </c>
      <c r="Y389" t="s">
        <v>83</v>
      </c>
      <c r="Z389" t="s">
        <v>61</v>
      </c>
      <c r="AA389">
        <v>0</v>
      </c>
      <c r="AB389" s="2">
        <v>0</v>
      </c>
      <c r="AC389" s="2">
        <v>0</v>
      </c>
      <c r="AD389" s="4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277.76</v>
      </c>
      <c r="AN389" s="2">
        <v>277.76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45999</v>
      </c>
      <c r="B390" t="s">
        <v>48</v>
      </c>
      <c r="C390">
        <v>649163</v>
      </c>
      <c r="D390">
        <v>2028722200</v>
      </c>
      <c r="E390" t="s">
        <v>701</v>
      </c>
      <c r="F390" t="s">
        <v>702</v>
      </c>
      <c r="G390" t="s">
        <v>51</v>
      </c>
      <c r="H390" t="s">
        <v>102</v>
      </c>
      <c r="I390" t="s">
        <v>697</v>
      </c>
      <c r="J390" t="s">
        <v>703</v>
      </c>
      <c r="K390">
        <v>651818</v>
      </c>
      <c r="L390" t="s">
        <v>246</v>
      </c>
      <c r="M390" t="s">
        <v>247</v>
      </c>
      <c r="N390" t="s">
        <v>57</v>
      </c>
      <c r="O390" s="1">
        <v>45779</v>
      </c>
      <c r="Q390" s="1">
        <v>46024</v>
      </c>
      <c r="R390" s="2">
        <v>93.29</v>
      </c>
      <c r="S390">
        <v>1</v>
      </c>
      <c r="T390" t="s">
        <v>58</v>
      </c>
      <c r="U390" t="s">
        <v>59</v>
      </c>
      <c r="V390" s="4">
        <v>1.3</v>
      </c>
      <c r="W390" s="2">
        <v>0</v>
      </c>
      <c r="X390">
        <v>0</v>
      </c>
      <c r="Y390" t="s">
        <v>83</v>
      </c>
      <c r="Z390" t="s">
        <v>61</v>
      </c>
      <c r="AA390">
        <v>0</v>
      </c>
      <c r="AB390" s="2">
        <v>0</v>
      </c>
      <c r="AC390" s="2">
        <v>0</v>
      </c>
      <c r="AD390" s="4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121.28</v>
      </c>
      <c r="AN390" s="2">
        <v>121.28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45999</v>
      </c>
      <c r="B391" t="s">
        <v>48</v>
      </c>
      <c r="C391">
        <v>649163</v>
      </c>
      <c r="D391">
        <v>2031959148</v>
      </c>
      <c r="E391" t="s">
        <v>244</v>
      </c>
      <c r="F391" t="s">
        <v>704</v>
      </c>
      <c r="G391" t="s">
        <v>51</v>
      </c>
      <c r="H391" t="s">
        <v>102</v>
      </c>
      <c r="I391" t="s">
        <v>697</v>
      </c>
      <c r="J391" t="s">
        <v>703</v>
      </c>
      <c r="K391">
        <v>651818</v>
      </c>
      <c r="L391" t="s">
        <v>246</v>
      </c>
      <c r="M391" t="s">
        <v>247</v>
      </c>
      <c r="N391" t="s">
        <v>57</v>
      </c>
      <c r="O391" s="1">
        <v>45966</v>
      </c>
      <c r="Q391" s="1">
        <v>46027</v>
      </c>
      <c r="R391" s="2">
        <v>218.93</v>
      </c>
      <c r="S391">
        <v>1</v>
      </c>
      <c r="T391" t="s">
        <v>58</v>
      </c>
      <c r="U391" t="s">
        <v>105</v>
      </c>
      <c r="V391" s="4">
        <v>1.3</v>
      </c>
      <c r="W391" s="2">
        <v>0</v>
      </c>
      <c r="X391">
        <v>0</v>
      </c>
      <c r="Y391" t="s">
        <v>83</v>
      </c>
      <c r="Z391" t="s">
        <v>61</v>
      </c>
      <c r="AA391">
        <v>0</v>
      </c>
      <c r="AB391" s="2">
        <v>0</v>
      </c>
      <c r="AC391" s="2">
        <v>0</v>
      </c>
      <c r="AD391" s="4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284.61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45999</v>
      </c>
      <c r="B392" t="s">
        <v>48</v>
      </c>
      <c r="C392">
        <v>649163</v>
      </c>
      <c r="D392">
        <v>2019173854</v>
      </c>
      <c r="E392" t="s">
        <v>671</v>
      </c>
      <c r="F392" t="s">
        <v>619</v>
      </c>
      <c r="G392" t="s">
        <v>51</v>
      </c>
      <c r="H392" t="s">
        <v>52</v>
      </c>
      <c r="I392" t="s">
        <v>108</v>
      </c>
      <c r="J392" t="s">
        <v>705</v>
      </c>
      <c r="K392">
        <v>650218</v>
      </c>
      <c r="L392" t="s">
        <v>88</v>
      </c>
      <c r="M392" t="s">
        <v>89</v>
      </c>
      <c r="N392" t="s">
        <v>57</v>
      </c>
      <c r="O392" s="1">
        <v>45139</v>
      </c>
      <c r="Q392" s="1">
        <v>46023</v>
      </c>
      <c r="R392" s="2">
        <v>175.53</v>
      </c>
      <c r="S392">
        <v>1</v>
      </c>
      <c r="T392" t="s">
        <v>58</v>
      </c>
      <c r="U392" t="s">
        <v>59</v>
      </c>
      <c r="V392" s="4">
        <v>0</v>
      </c>
      <c r="W392" s="2">
        <v>0</v>
      </c>
      <c r="X392">
        <v>0</v>
      </c>
      <c r="Y392" t="s">
        <v>60</v>
      </c>
      <c r="Z392" t="s">
        <v>61</v>
      </c>
      <c r="AA392">
        <v>0</v>
      </c>
      <c r="AB392" s="2">
        <v>0</v>
      </c>
      <c r="AC392" s="2">
        <v>0</v>
      </c>
      <c r="AD392" s="4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45999</v>
      </c>
      <c r="B393" t="s">
        <v>48</v>
      </c>
      <c r="C393">
        <v>649163</v>
      </c>
      <c r="D393">
        <v>2020542149</v>
      </c>
      <c r="E393" t="s">
        <v>706</v>
      </c>
      <c r="F393" t="s">
        <v>707</v>
      </c>
      <c r="G393" t="s">
        <v>51</v>
      </c>
      <c r="H393" t="s">
        <v>52</v>
      </c>
      <c r="I393" t="s">
        <v>108</v>
      </c>
      <c r="J393" t="s">
        <v>109</v>
      </c>
      <c r="K393">
        <v>649247</v>
      </c>
      <c r="L393" t="s">
        <v>187</v>
      </c>
      <c r="M393" t="s">
        <v>188</v>
      </c>
      <c r="N393" t="s">
        <v>57</v>
      </c>
      <c r="O393" s="1">
        <v>45261</v>
      </c>
      <c r="Q393" s="1">
        <v>46023</v>
      </c>
      <c r="R393" s="2">
        <v>116.79</v>
      </c>
      <c r="S393">
        <v>1</v>
      </c>
      <c r="T393" t="s">
        <v>58</v>
      </c>
      <c r="U393" t="s">
        <v>59</v>
      </c>
      <c r="V393" s="4">
        <v>0.26</v>
      </c>
      <c r="W393" s="2">
        <v>0</v>
      </c>
      <c r="X393">
        <v>0</v>
      </c>
      <c r="Y393" t="s">
        <v>60</v>
      </c>
      <c r="Z393" t="s">
        <v>61</v>
      </c>
      <c r="AA393">
        <v>0</v>
      </c>
      <c r="AB393" s="2">
        <v>0</v>
      </c>
      <c r="AC393" s="2">
        <v>0</v>
      </c>
      <c r="AD393" s="4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30.37</v>
      </c>
      <c r="AN393" s="2">
        <v>30.37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45999</v>
      </c>
      <c r="B394" t="s">
        <v>48</v>
      </c>
      <c r="C394">
        <v>649163</v>
      </c>
      <c r="D394">
        <v>2020622534</v>
      </c>
      <c r="E394" t="s">
        <v>708</v>
      </c>
      <c r="F394" t="s">
        <v>709</v>
      </c>
      <c r="G394" t="s">
        <v>51</v>
      </c>
      <c r="H394" t="s">
        <v>52</v>
      </c>
      <c r="I394" t="s">
        <v>108</v>
      </c>
      <c r="J394" t="s">
        <v>109</v>
      </c>
      <c r="K394">
        <v>649247</v>
      </c>
      <c r="L394" t="s">
        <v>187</v>
      </c>
      <c r="M394" t="s">
        <v>188</v>
      </c>
      <c r="N394" t="s">
        <v>57</v>
      </c>
      <c r="O394" s="1">
        <v>45231</v>
      </c>
      <c r="Q394" s="1">
        <v>46023</v>
      </c>
      <c r="R394" s="2">
        <v>125.33</v>
      </c>
      <c r="S394">
        <v>1</v>
      </c>
      <c r="T394" t="s">
        <v>58</v>
      </c>
      <c r="U394" t="s">
        <v>59</v>
      </c>
      <c r="V394" s="4">
        <v>0.26</v>
      </c>
      <c r="W394" s="2">
        <v>0</v>
      </c>
      <c r="X394">
        <v>0</v>
      </c>
      <c r="Y394" t="s">
        <v>60</v>
      </c>
      <c r="Z394" t="s">
        <v>61</v>
      </c>
      <c r="AA394">
        <v>0</v>
      </c>
      <c r="AB394" s="2">
        <v>0</v>
      </c>
      <c r="AC394" s="2">
        <v>0</v>
      </c>
      <c r="AD394" s="4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32.590000000000003</v>
      </c>
      <c r="AN394" s="2">
        <v>32.590000000000003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45999</v>
      </c>
      <c r="B395" t="s">
        <v>48</v>
      </c>
      <c r="C395">
        <v>649163</v>
      </c>
      <c r="D395">
        <v>2020851074</v>
      </c>
      <c r="E395" t="s">
        <v>710</v>
      </c>
      <c r="F395" t="s">
        <v>233</v>
      </c>
      <c r="G395" t="s">
        <v>51</v>
      </c>
      <c r="H395" t="s">
        <v>52</v>
      </c>
      <c r="I395" t="s">
        <v>108</v>
      </c>
      <c r="J395" t="s">
        <v>109</v>
      </c>
      <c r="K395">
        <v>728134</v>
      </c>
      <c r="L395" t="s">
        <v>183</v>
      </c>
      <c r="M395" t="s">
        <v>184</v>
      </c>
      <c r="N395" t="s">
        <v>57</v>
      </c>
      <c r="O395" s="1">
        <v>45292</v>
      </c>
      <c r="Q395" s="1">
        <v>46023</v>
      </c>
      <c r="R395" s="2">
        <v>124.29</v>
      </c>
      <c r="S395">
        <v>1</v>
      </c>
      <c r="T395" t="s">
        <v>58</v>
      </c>
      <c r="U395" t="s">
        <v>59</v>
      </c>
      <c r="V395" s="4">
        <v>0.26</v>
      </c>
      <c r="W395" s="2">
        <v>0</v>
      </c>
      <c r="X395">
        <v>0</v>
      </c>
      <c r="Y395" t="s">
        <v>60</v>
      </c>
      <c r="Z395" t="s">
        <v>61</v>
      </c>
      <c r="AA395">
        <v>0</v>
      </c>
      <c r="AB395" s="2">
        <v>0</v>
      </c>
      <c r="AC395" s="2">
        <v>0</v>
      </c>
      <c r="AD395" s="4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32.32</v>
      </c>
      <c r="AN395" s="2">
        <v>32.32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45999</v>
      </c>
      <c r="B396" t="s">
        <v>48</v>
      </c>
      <c r="C396">
        <v>649163</v>
      </c>
      <c r="D396">
        <v>2022484796</v>
      </c>
      <c r="E396" t="s">
        <v>711</v>
      </c>
      <c r="F396" t="s">
        <v>182</v>
      </c>
      <c r="G396" t="s">
        <v>51</v>
      </c>
      <c r="H396" t="s">
        <v>52</v>
      </c>
      <c r="I396" t="s">
        <v>108</v>
      </c>
      <c r="J396" t="s">
        <v>109</v>
      </c>
      <c r="K396">
        <v>650218</v>
      </c>
      <c r="L396" t="s">
        <v>88</v>
      </c>
      <c r="M396" t="s">
        <v>89</v>
      </c>
      <c r="N396" t="s">
        <v>57</v>
      </c>
      <c r="O396" s="1">
        <v>45383</v>
      </c>
      <c r="Q396" s="1">
        <v>46023</v>
      </c>
      <c r="R396" s="2">
        <v>131.93</v>
      </c>
      <c r="S396">
        <v>1</v>
      </c>
      <c r="T396" t="s">
        <v>58</v>
      </c>
      <c r="U396" t="s">
        <v>59</v>
      </c>
      <c r="V396" s="4">
        <v>0.26</v>
      </c>
      <c r="W396" s="2">
        <v>0</v>
      </c>
      <c r="X396">
        <v>0</v>
      </c>
      <c r="Y396" t="s">
        <v>60</v>
      </c>
      <c r="Z396" t="s">
        <v>61</v>
      </c>
      <c r="AA396">
        <v>0</v>
      </c>
      <c r="AB396" s="2">
        <v>0</v>
      </c>
      <c r="AC396" s="2">
        <v>0</v>
      </c>
      <c r="AD396" s="4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34.299999999999997</v>
      </c>
      <c r="AN396" s="2">
        <v>34.299999999999997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45999</v>
      </c>
      <c r="B397" t="s">
        <v>48</v>
      </c>
      <c r="C397">
        <v>649163</v>
      </c>
      <c r="D397">
        <v>2022779367</v>
      </c>
      <c r="E397" t="s">
        <v>712</v>
      </c>
      <c r="F397" t="s">
        <v>517</v>
      </c>
      <c r="G397" t="s">
        <v>51</v>
      </c>
      <c r="H397" t="s">
        <v>52</v>
      </c>
      <c r="I397" t="s">
        <v>108</v>
      </c>
      <c r="J397" t="s">
        <v>713</v>
      </c>
      <c r="K397">
        <v>650218</v>
      </c>
      <c r="L397" t="s">
        <v>88</v>
      </c>
      <c r="M397" t="s">
        <v>89</v>
      </c>
      <c r="N397" t="s">
        <v>57</v>
      </c>
      <c r="O397" s="1">
        <v>45474</v>
      </c>
      <c r="Q397" s="1">
        <v>46023</v>
      </c>
      <c r="R397" s="2">
        <v>131.93</v>
      </c>
      <c r="S397">
        <v>1</v>
      </c>
      <c r="T397" t="s">
        <v>58</v>
      </c>
      <c r="U397" t="s">
        <v>59</v>
      </c>
      <c r="V397" s="3">
        <v>1.4999999999999999E-2</v>
      </c>
      <c r="W397" s="2">
        <v>0</v>
      </c>
      <c r="X397">
        <v>0</v>
      </c>
      <c r="Y397" t="s">
        <v>60</v>
      </c>
      <c r="Z397" t="s">
        <v>61</v>
      </c>
      <c r="AA397">
        <v>0</v>
      </c>
      <c r="AB397" s="2">
        <v>0</v>
      </c>
      <c r="AC397" s="2">
        <v>0</v>
      </c>
      <c r="AD397" s="4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1.98</v>
      </c>
      <c r="AN397" s="2">
        <v>1.98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45999</v>
      </c>
      <c r="B398" t="s">
        <v>48</v>
      </c>
      <c r="C398">
        <v>649163</v>
      </c>
      <c r="D398">
        <v>2022892794</v>
      </c>
      <c r="E398" t="s">
        <v>106</v>
      </c>
      <c r="F398" t="s">
        <v>180</v>
      </c>
      <c r="G398" t="s">
        <v>51</v>
      </c>
      <c r="H398" t="s">
        <v>52</v>
      </c>
      <c r="I398" t="s">
        <v>108</v>
      </c>
      <c r="J398" t="s">
        <v>109</v>
      </c>
      <c r="K398">
        <v>649285</v>
      </c>
      <c r="L398" t="s">
        <v>110</v>
      </c>
      <c r="M398" t="s">
        <v>111</v>
      </c>
      <c r="N398" t="s">
        <v>57</v>
      </c>
      <c r="O398" s="1">
        <v>45413</v>
      </c>
      <c r="Q398" s="1">
        <v>46023</v>
      </c>
      <c r="R398" s="2">
        <v>113.02</v>
      </c>
      <c r="S398">
        <v>1</v>
      </c>
      <c r="T398" t="s">
        <v>58</v>
      </c>
      <c r="U398" t="s">
        <v>59</v>
      </c>
      <c r="V398" s="4">
        <v>0.04</v>
      </c>
      <c r="W398" s="2">
        <v>0</v>
      </c>
      <c r="X398">
        <v>0</v>
      </c>
      <c r="Y398" t="s">
        <v>60</v>
      </c>
      <c r="Z398" t="s">
        <v>61</v>
      </c>
      <c r="AA398">
        <v>0</v>
      </c>
      <c r="AB398" s="2">
        <v>0</v>
      </c>
      <c r="AC398" s="2">
        <v>0</v>
      </c>
      <c r="AD398" s="4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4.5199999999999996</v>
      </c>
      <c r="AN398" s="2">
        <v>4.5199999999999996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45999</v>
      </c>
      <c r="B399" t="s">
        <v>48</v>
      </c>
      <c r="C399">
        <v>649163</v>
      </c>
      <c r="D399">
        <v>2032454751</v>
      </c>
      <c r="E399" t="s">
        <v>161</v>
      </c>
      <c r="F399" t="s">
        <v>411</v>
      </c>
      <c r="G399" t="s">
        <v>51</v>
      </c>
      <c r="H399" t="s">
        <v>163</v>
      </c>
      <c r="I399" t="s">
        <v>75</v>
      </c>
      <c r="J399" t="s">
        <v>80</v>
      </c>
      <c r="K399">
        <v>823068</v>
      </c>
      <c r="L399" t="s">
        <v>165</v>
      </c>
      <c r="M399" t="s">
        <v>166</v>
      </c>
      <c r="N399" t="s">
        <v>57</v>
      </c>
      <c r="O399" s="1">
        <v>46022</v>
      </c>
      <c r="Q399" s="1">
        <v>46053</v>
      </c>
      <c r="R399" s="2">
        <v>223.83</v>
      </c>
      <c r="S399">
        <v>1</v>
      </c>
      <c r="T399" t="s">
        <v>58</v>
      </c>
      <c r="U399" t="s">
        <v>105</v>
      </c>
      <c r="V399" s="4">
        <v>0.9</v>
      </c>
      <c r="W399" s="2">
        <v>0</v>
      </c>
      <c r="X399">
        <v>0</v>
      </c>
      <c r="Y399" t="s">
        <v>83</v>
      </c>
      <c r="Z399" t="s">
        <v>221</v>
      </c>
      <c r="AA399">
        <v>6</v>
      </c>
      <c r="AB399" s="2">
        <v>1208.7</v>
      </c>
      <c r="AC399" s="2">
        <v>0</v>
      </c>
      <c r="AD399" s="4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201.45</v>
      </c>
      <c r="AM399" s="2">
        <v>0</v>
      </c>
      <c r="AN399" s="2">
        <v>1208.7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45999</v>
      </c>
      <c r="B400" t="s">
        <v>48</v>
      </c>
      <c r="C400">
        <v>649163</v>
      </c>
      <c r="D400">
        <v>2032459534</v>
      </c>
      <c r="E400" t="s">
        <v>420</v>
      </c>
      <c r="F400" t="s">
        <v>421</v>
      </c>
      <c r="G400" t="s">
        <v>51</v>
      </c>
      <c r="H400" t="s">
        <v>210</v>
      </c>
      <c r="I400" t="s">
        <v>75</v>
      </c>
      <c r="J400" t="s">
        <v>76</v>
      </c>
      <c r="K400">
        <v>673059</v>
      </c>
      <c r="L400" t="s">
        <v>81</v>
      </c>
      <c r="M400" t="s">
        <v>82</v>
      </c>
      <c r="N400" t="s">
        <v>57</v>
      </c>
      <c r="O400" s="1">
        <v>46023</v>
      </c>
      <c r="Q400" s="1">
        <v>46054</v>
      </c>
      <c r="R400" s="2">
        <v>187.23</v>
      </c>
      <c r="S400">
        <v>1</v>
      </c>
      <c r="T400" t="s">
        <v>58</v>
      </c>
      <c r="U400" t="s">
        <v>105</v>
      </c>
      <c r="V400" s="4">
        <v>0.75</v>
      </c>
      <c r="W400" s="2">
        <v>0</v>
      </c>
      <c r="X400">
        <v>0</v>
      </c>
      <c r="Y400" t="s">
        <v>83</v>
      </c>
      <c r="Z400" t="s">
        <v>221</v>
      </c>
      <c r="AA400">
        <v>6</v>
      </c>
      <c r="AB400" s="2">
        <v>842.52</v>
      </c>
      <c r="AC400" s="2">
        <v>0</v>
      </c>
      <c r="AD400" s="4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140.41999999999999</v>
      </c>
      <c r="AM400" s="2">
        <v>0</v>
      </c>
      <c r="AN400" s="2">
        <v>842.52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45999</v>
      </c>
      <c r="B401" t="s">
        <v>48</v>
      </c>
      <c r="C401">
        <v>649163</v>
      </c>
      <c r="D401">
        <v>2032469959</v>
      </c>
      <c r="E401" t="s">
        <v>432</v>
      </c>
      <c r="F401" t="s">
        <v>433</v>
      </c>
      <c r="G401" t="s">
        <v>51</v>
      </c>
      <c r="H401" t="s">
        <v>267</v>
      </c>
      <c r="I401" t="s">
        <v>75</v>
      </c>
      <c r="J401" t="s">
        <v>243</v>
      </c>
      <c r="K401">
        <v>822733</v>
      </c>
      <c r="L401" t="s">
        <v>224</v>
      </c>
      <c r="M401" t="s">
        <v>225</v>
      </c>
      <c r="N401" t="s">
        <v>57</v>
      </c>
      <c r="O401" s="1">
        <v>45994</v>
      </c>
      <c r="Q401" s="1">
        <v>46025</v>
      </c>
      <c r="R401" s="2">
        <v>12.82</v>
      </c>
      <c r="S401">
        <v>1</v>
      </c>
      <c r="T401" t="s">
        <v>58</v>
      </c>
      <c r="U401" t="s">
        <v>105</v>
      </c>
      <c r="V401" s="4">
        <v>0.75</v>
      </c>
      <c r="W401" s="2">
        <v>0</v>
      </c>
      <c r="X401">
        <v>0</v>
      </c>
      <c r="Y401" t="s">
        <v>83</v>
      </c>
      <c r="Z401" t="s">
        <v>221</v>
      </c>
      <c r="AA401">
        <v>6</v>
      </c>
      <c r="AB401" s="2">
        <v>57.72</v>
      </c>
      <c r="AC401" s="2">
        <v>0</v>
      </c>
      <c r="AD401" s="4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9.6199999999999992</v>
      </c>
      <c r="AM401" s="2">
        <v>0</v>
      </c>
      <c r="AN401" s="2">
        <v>57.72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45999</v>
      </c>
      <c r="B402" t="s">
        <v>48</v>
      </c>
      <c r="C402">
        <v>649163</v>
      </c>
      <c r="D402">
        <v>2032474626</v>
      </c>
      <c r="E402" t="s">
        <v>435</v>
      </c>
      <c r="F402" t="s">
        <v>421</v>
      </c>
      <c r="G402" t="s">
        <v>51</v>
      </c>
      <c r="H402" t="s">
        <v>102</v>
      </c>
      <c r="I402" t="s">
        <v>75</v>
      </c>
      <c r="J402" t="s">
        <v>243</v>
      </c>
      <c r="K402">
        <v>673059</v>
      </c>
      <c r="L402" t="s">
        <v>81</v>
      </c>
      <c r="M402" t="s">
        <v>82</v>
      </c>
      <c r="N402" t="s">
        <v>57</v>
      </c>
      <c r="O402" s="1">
        <v>46023</v>
      </c>
      <c r="Q402" s="1">
        <v>46054</v>
      </c>
      <c r="R402" s="2">
        <v>64.3</v>
      </c>
      <c r="S402">
        <v>1</v>
      </c>
      <c r="T402" t="s">
        <v>58</v>
      </c>
      <c r="U402" t="s">
        <v>105</v>
      </c>
      <c r="V402" s="4">
        <v>0.75</v>
      </c>
      <c r="W402" s="2">
        <v>0</v>
      </c>
      <c r="X402">
        <v>0</v>
      </c>
      <c r="Y402" t="s">
        <v>83</v>
      </c>
      <c r="Z402" t="s">
        <v>221</v>
      </c>
      <c r="AA402">
        <v>6</v>
      </c>
      <c r="AB402" s="2">
        <v>289.32</v>
      </c>
      <c r="AC402" s="2">
        <v>0</v>
      </c>
      <c r="AD402" s="4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48.22</v>
      </c>
      <c r="AM402" s="2">
        <v>0</v>
      </c>
      <c r="AN402" s="2">
        <v>289.32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45999</v>
      </c>
      <c r="B403" t="s">
        <v>48</v>
      </c>
      <c r="C403">
        <v>649163</v>
      </c>
      <c r="D403">
        <v>2032477985</v>
      </c>
      <c r="E403" t="s">
        <v>436</v>
      </c>
      <c r="F403" t="s">
        <v>437</v>
      </c>
      <c r="G403" t="s">
        <v>51</v>
      </c>
      <c r="H403" t="s">
        <v>163</v>
      </c>
      <c r="I403" t="s">
        <v>75</v>
      </c>
      <c r="J403" t="s">
        <v>80</v>
      </c>
      <c r="K403">
        <v>652037</v>
      </c>
      <c r="L403" t="s">
        <v>235</v>
      </c>
      <c r="M403" t="s">
        <v>438</v>
      </c>
      <c r="N403" t="s">
        <v>57</v>
      </c>
      <c r="O403" s="1">
        <v>45995</v>
      </c>
      <c r="Q403" s="1">
        <v>46026</v>
      </c>
      <c r="R403" s="2">
        <v>84.38</v>
      </c>
      <c r="S403">
        <v>1</v>
      </c>
      <c r="T403" t="s">
        <v>58</v>
      </c>
      <c r="U403" t="s">
        <v>105</v>
      </c>
      <c r="V403" s="4">
        <v>0.9</v>
      </c>
      <c r="W403" s="2">
        <v>0</v>
      </c>
      <c r="X403">
        <v>0</v>
      </c>
      <c r="Y403" t="s">
        <v>83</v>
      </c>
      <c r="Z403" t="s">
        <v>221</v>
      </c>
      <c r="AA403">
        <v>6</v>
      </c>
      <c r="AB403" s="2">
        <v>455.64</v>
      </c>
      <c r="AC403" s="2">
        <v>0</v>
      </c>
      <c r="AD403" s="4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75.94</v>
      </c>
      <c r="AM403" s="2">
        <v>0</v>
      </c>
      <c r="AN403" s="2">
        <v>455.64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45999</v>
      </c>
      <c r="B404" t="s">
        <v>48</v>
      </c>
      <c r="C404">
        <v>649163</v>
      </c>
      <c r="D404">
        <v>2032478164</v>
      </c>
      <c r="E404" t="s">
        <v>439</v>
      </c>
      <c r="F404" t="s">
        <v>233</v>
      </c>
      <c r="G404" t="s">
        <v>51</v>
      </c>
      <c r="H404" t="s">
        <v>125</v>
      </c>
      <c r="I404" t="s">
        <v>75</v>
      </c>
      <c r="J404" t="s">
        <v>243</v>
      </c>
      <c r="K404">
        <v>673059</v>
      </c>
      <c r="L404" t="s">
        <v>81</v>
      </c>
      <c r="M404" t="s">
        <v>82</v>
      </c>
      <c r="N404" t="s">
        <v>57</v>
      </c>
      <c r="O404" s="1">
        <v>46023</v>
      </c>
      <c r="Q404" s="1">
        <v>46054</v>
      </c>
      <c r="R404" s="2">
        <v>121.21</v>
      </c>
      <c r="S404">
        <v>1</v>
      </c>
      <c r="T404" t="s">
        <v>58</v>
      </c>
      <c r="U404" t="s">
        <v>105</v>
      </c>
      <c r="V404" s="4">
        <v>0.75</v>
      </c>
      <c r="W404" s="2">
        <v>0</v>
      </c>
      <c r="X404">
        <v>0</v>
      </c>
      <c r="Y404" t="s">
        <v>83</v>
      </c>
      <c r="Z404" t="s">
        <v>221</v>
      </c>
      <c r="AA404">
        <v>6</v>
      </c>
      <c r="AB404" s="2">
        <v>545.46</v>
      </c>
      <c r="AC404" s="2">
        <v>0</v>
      </c>
      <c r="AD404" s="4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90.91</v>
      </c>
      <c r="AM404" s="2">
        <v>0</v>
      </c>
      <c r="AN404" s="2">
        <v>545.46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45999</v>
      </c>
      <c r="B405" t="s">
        <v>48</v>
      </c>
      <c r="C405">
        <v>649163</v>
      </c>
      <c r="D405">
        <v>2032480159</v>
      </c>
      <c r="E405" t="s">
        <v>349</v>
      </c>
      <c r="F405" t="s">
        <v>350</v>
      </c>
      <c r="G405" t="s">
        <v>51</v>
      </c>
      <c r="H405" t="s">
        <v>102</v>
      </c>
      <c r="I405" t="s">
        <v>75</v>
      </c>
      <c r="J405" t="s">
        <v>76</v>
      </c>
      <c r="K405">
        <v>824062</v>
      </c>
      <c r="L405" t="s">
        <v>261</v>
      </c>
      <c r="M405" t="s">
        <v>262</v>
      </c>
      <c r="N405" t="s">
        <v>57</v>
      </c>
      <c r="O405" s="1">
        <v>46023</v>
      </c>
      <c r="Q405" s="1">
        <v>46054</v>
      </c>
      <c r="R405" s="2">
        <v>20.6</v>
      </c>
      <c r="S405">
        <v>1</v>
      </c>
      <c r="T405" t="s">
        <v>58</v>
      </c>
      <c r="U405" t="s">
        <v>105</v>
      </c>
      <c r="V405" s="4">
        <v>0.75</v>
      </c>
      <c r="W405" s="2">
        <v>0</v>
      </c>
      <c r="X405">
        <v>0</v>
      </c>
      <c r="Y405" t="s">
        <v>83</v>
      </c>
      <c r="Z405" t="s">
        <v>221</v>
      </c>
      <c r="AA405">
        <v>6</v>
      </c>
      <c r="AB405" s="2">
        <v>92.7</v>
      </c>
      <c r="AC405" s="2">
        <v>0</v>
      </c>
      <c r="AD405" s="4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15.45</v>
      </c>
      <c r="AM405" s="2">
        <v>0</v>
      </c>
      <c r="AN405" s="2">
        <v>92.7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45999</v>
      </c>
      <c r="B406" t="s">
        <v>48</v>
      </c>
      <c r="C406">
        <v>649163</v>
      </c>
      <c r="D406">
        <v>2032480160</v>
      </c>
      <c r="E406" t="s">
        <v>349</v>
      </c>
      <c r="F406" t="s">
        <v>350</v>
      </c>
      <c r="G406" t="s">
        <v>51</v>
      </c>
      <c r="H406" t="s">
        <v>102</v>
      </c>
      <c r="I406" t="s">
        <v>75</v>
      </c>
      <c r="J406" t="s">
        <v>80</v>
      </c>
      <c r="K406">
        <v>824062</v>
      </c>
      <c r="L406" t="s">
        <v>261</v>
      </c>
      <c r="M406" t="s">
        <v>262</v>
      </c>
      <c r="N406" t="s">
        <v>57</v>
      </c>
      <c r="O406" s="1">
        <v>46023</v>
      </c>
      <c r="Q406" s="1">
        <v>46054</v>
      </c>
      <c r="R406" s="2">
        <v>47.75</v>
      </c>
      <c r="S406">
        <v>1</v>
      </c>
      <c r="T406" t="s">
        <v>58</v>
      </c>
      <c r="U406" t="s">
        <v>105</v>
      </c>
      <c r="V406" s="4">
        <v>0.9</v>
      </c>
      <c r="W406" s="2">
        <v>0</v>
      </c>
      <c r="X406">
        <v>0</v>
      </c>
      <c r="Y406" t="s">
        <v>83</v>
      </c>
      <c r="Z406" t="s">
        <v>221</v>
      </c>
      <c r="AA406">
        <v>6</v>
      </c>
      <c r="AB406" s="2">
        <v>257.88</v>
      </c>
      <c r="AC406" s="2">
        <v>0</v>
      </c>
      <c r="AD406" s="4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42.98</v>
      </c>
      <c r="AM406" s="2">
        <v>0</v>
      </c>
      <c r="AN406" s="2">
        <v>257.88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45999</v>
      </c>
      <c r="B407" t="s">
        <v>48</v>
      </c>
      <c r="C407">
        <v>649163</v>
      </c>
      <c r="D407">
        <v>2032492104</v>
      </c>
      <c r="E407" t="s">
        <v>714</v>
      </c>
      <c r="F407" t="s">
        <v>249</v>
      </c>
      <c r="G407" t="s">
        <v>51</v>
      </c>
      <c r="H407" t="s">
        <v>163</v>
      </c>
      <c r="I407" t="s">
        <v>469</v>
      </c>
      <c r="J407" t="s">
        <v>471</v>
      </c>
      <c r="K407">
        <v>652037</v>
      </c>
      <c r="L407" t="s">
        <v>235</v>
      </c>
      <c r="M407" t="s">
        <v>438</v>
      </c>
      <c r="N407" t="s">
        <v>57</v>
      </c>
      <c r="O407" s="1">
        <v>45995</v>
      </c>
      <c r="Q407" s="1">
        <v>46026</v>
      </c>
      <c r="R407" s="2">
        <v>252.65</v>
      </c>
      <c r="S407">
        <v>1</v>
      </c>
      <c r="T407" t="s">
        <v>58</v>
      </c>
      <c r="U407" t="s">
        <v>292</v>
      </c>
      <c r="V407" s="4">
        <v>0.27</v>
      </c>
      <c r="W407" s="2">
        <v>0</v>
      </c>
      <c r="X407">
        <v>0</v>
      </c>
      <c r="Y407" t="s">
        <v>83</v>
      </c>
      <c r="Z407" t="s">
        <v>221</v>
      </c>
      <c r="AA407">
        <v>0</v>
      </c>
      <c r="AB407" s="2">
        <v>0</v>
      </c>
      <c r="AC407" s="2">
        <v>0</v>
      </c>
      <c r="AD407" s="4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68.22</v>
      </c>
      <c r="AN407" s="2">
        <v>68.22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45999</v>
      </c>
      <c r="B408" t="s">
        <v>48</v>
      </c>
      <c r="C408">
        <v>649163</v>
      </c>
      <c r="D408">
        <v>2032499983</v>
      </c>
      <c r="E408" t="s">
        <v>317</v>
      </c>
      <c r="F408" t="s">
        <v>318</v>
      </c>
      <c r="G408" t="s">
        <v>51</v>
      </c>
      <c r="H408" t="s">
        <v>308</v>
      </c>
      <c r="I408" t="s">
        <v>469</v>
      </c>
      <c r="J408" t="s">
        <v>715</v>
      </c>
      <c r="K408">
        <v>877790</v>
      </c>
      <c r="L408" t="s">
        <v>310</v>
      </c>
      <c r="M408" t="s">
        <v>311</v>
      </c>
      <c r="N408" t="s">
        <v>57</v>
      </c>
      <c r="O408" s="1">
        <v>45996</v>
      </c>
      <c r="Q408" s="1">
        <v>46027</v>
      </c>
      <c r="R408" s="2">
        <v>382.08</v>
      </c>
      <c r="S408">
        <v>1</v>
      </c>
      <c r="T408" t="s">
        <v>58</v>
      </c>
      <c r="U408" t="s">
        <v>299</v>
      </c>
      <c r="V408" s="4">
        <v>0.19</v>
      </c>
      <c r="W408" s="2">
        <v>0</v>
      </c>
      <c r="X408">
        <v>0</v>
      </c>
      <c r="Y408" t="s">
        <v>83</v>
      </c>
      <c r="Z408" t="s">
        <v>221</v>
      </c>
      <c r="AA408">
        <v>6</v>
      </c>
      <c r="AB408" s="2">
        <v>435.6</v>
      </c>
      <c r="AC408" s="2">
        <v>0</v>
      </c>
      <c r="AD408" s="4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72.599999999999994</v>
      </c>
      <c r="AM408" s="2">
        <v>0</v>
      </c>
      <c r="AN408" s="2">
        <v>435.6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45999</v>
      </c>
      <c r="B409" t="s">
        <v>48</v>
      </c>
      <c r="C409">
        <v>649163</v>
      </c>
      <c r="D409">
        <v>2032516836</v>
      </c>
      <c r="E409" t="s">
        <v>319</v>
      </c>
      <c r="F409" t="s">
        <v>320</v>
      </c>
      <c r="G409" t="s">
        <v>51</v>
      </c>
      <c r="H409" t="s">
        <v>308</v>
      </c>
      <c r="I409" t="s">
        <v>469</v>
      </c>
      <c r="J409" t="s">
        <v>715</v>
      </c>
      <c r="K409">
        <v>673059</v>
      </c>
      <c r="L409" t="s">
        <v>81</v>
      </c>
      <c r="M409" t="s">
        <v>82</v>
      </c>
      <c r="N409" t="s">
        <v>57</v>
      </c>
      <c r="O409" s="1">
        <v>46023</v>
      </c>
      <c r="Q409" s="1">
        <v>46054</v>
      </c>
      <c r="R409" s="2">
        <v>472.49</v>
      </c>
      <c r="S409">
        <v>1</v>
      </c>
      <c r="T409" t="s">
        <v>58</v>
      </c>
      <c r="U409" t="s">
        <v>299</v>
      </c>
      <c r="V409" s="4">
        <v>0.19</v>
      </c>
      <c r="W409" s="2">
        <v>0</v>
      </c>
      <c r="X409">
        <v>0</v>
      </c>
      <c r="Y409" t="s">
        <v>83</v>
      </c>
      <c r="Z409" t="s">
        <v>221</v>
      </c>
      <c r="AA409">
        <v>6</v>
      </c>
      <c r="AB409" s="2">
        <v>538.62</v>
      </c>
      <c r="AC409" s="2">
        <v>0</v>
      </c>
      <c r="AD409" s="4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89.77</v>
      </c>
      <c r="AM409" s="2">
        <v>0</v>
      </c>
      <c r="AN409" s="2">
        <v>538.62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45999</v>
      </c>
      <c r="B410" t="s">
        <v>48</v>
      </c>
      <c r="C410">
        <v>649163</v>
      </c>
      <c r="D410">
        <v>2032516837</v>
      </c>
      <c r="E410" t="s">
        <v>319</v>
      </c>
      <c r="F410" t="s">
        <v>320</v>
      </c>
      <c r="G410" t="s">
        <v>51</v>
      </c>
      <c r="H410" t="s">
        <v>308</v>
      </c>
      <c r="I410" t="s">
        <v>469</v>
      </c>
      <c r="J410" t="s">
        <v>716</v>
      </c>
      <c r="K410">
        <v>673059</v>
      </c>
      <c r="L410" t="s">
        <v>81</v>
      </c>
      <c r="M410" t="s">
        <v>82</v>
      </c>
      <c r="N410" t="s">
        <v>57</v>
      </c>
      <c r="O410" s="1">
        <v>46023</v>
      </c>
      <c r="Q410" s="1">
        <v>46054</v>
      </c>
      <c r="R410" s="2">
        <v>9.9499999999999993</v>
      </c>
      <c r="S410">
        <v>1</v>
      </c>
      <c r="T410" t="s">
        <v>58</v>
      </c>
      <c r="U410" t="s">
        <v>299</v>
      </c>
      <c r="V410" s="4">
        <v>0.19</v>
      </c>
      <c r="W410" s="2">
        <v>0</v>
      </c>
      <c r="X410">
        <v>0</v>
      </c>
      <c r="Y410" t="s">
        <v>83</v>
      </c>
      <c r="Z410" t="s">
        <v>221</v>
      </c>
      <c r="AA410">
        <v>6</v>
      </c>
      <c r="AB410" s="2">
        <v>11.34</v>
      </c>
      <c r="AC410" s="2">
        <v>0</v>
      </c>
      <c r="AD410" s="4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1.89</v>
      </c>
      <c r="AM410" s="2">
        <v>0</v>
      </c>
      <c r="AN410" s="2">
        <v>11.34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45999</v>
      </c>
      <c r="B411" t="s">
        <v>48</v>
      </c>
      <c r="C411">
        <v>649163</v>
      </c>
      <c r="D411">
        <v>2032549291</v>
      </c>
      <c r="E411" t="s">
        <v>323</v>
      </c>
      <c r="F411" t="s">
        <v>324</v>
      </c>
      <c r="G411" t="s">
        <v>51</v>
      </c>
      <c r="H411" t="s">
        <v>125</v>
      </c>
      <c r="I411" t="s">
        <v>469</v>
      </c>
      <c r="J411" t="s">
        <v>717</v>
      </c>
      <c r="K411">
        <v>650218</v>
      </c>
      <c r="L411" t="s">
        <v>88</v>
      </c>
      <c r="M411" t="s">
        <v>89</v>
      </c>
      <c r="N411" t="s">
        <v>57</v>
      </c>
      <c r="O411" s="1">
        <v>46023</v>
      </c>
      <c r="Q411" s="1">
        <v>46054</v>
      </c>
      <c r="R411" s="2">
        <v>9.9499999999999993</v>
      </c>
      <c r="S411">
        <v>1</v>
      </c>
      <c r="T411" t="s">
        <v>58</v>
      </c>
      <c r="U411" t="s">
        <v>312</v>
      </c>
      <c r="V411" s="4">
        <v>0.28999999999999998</v>
      </c>
      <c r="W411" s="2">
        <v>0</v>
      </c>
      <c r="X411">
        <v>0</v>
      </c>
      <c r="Y411" t="s">
        <v>83</v>
      </c>
      <c r="Z411" t="s">
        <v>221</v>
      </c>
      <c r="AA411">
        <v>6</v>
      </c>
      <c r="AB411" s="2">
        <v>17.34</v>
      </c>
      <c r="AC411" s="2">
        <v>0</v>
      </c>
      <c r="AD411" s="4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2.89</v>
      </c>
      <c r="AM411" s="2">
        <v>0</v>
      </c>
      <c r="AN411" s="2">
        <v>17.34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45999</v>
      </c>
      <c r="B412" t="s">
        <v>48</v>
      </c>
      <c r="C412">
        <v>649163</v>
      </c>
      <c r="D412">
        <v>2032549292</v>
      </c>
      <c r="E412" t="s">
        <v>323</v>
      </c>
      <c r="F412" t="s">
        <v>324</v>
      </c>
      <c r="G412" t="s">
        <v>51</v>
      </c>
      <c r="H412" t="s">
        <v>125</v>
      </c>
      <c r="I412" t="s">
        <v>469</v>
      </c>
      <c r="J412" t="s">
        <v>718</v>
      </c>
      <c r="K412">
        <v>650218</v>
      </c>
      <c r="L412" t="s">
        <v>88</v>
      </c>
      <c r="M412" t="s">
        <v>89</v>
      </c>
      <c r="N412" t="s">
        <v>57</v>
      </c>
      <c r="O412" s="1">
        <v>46023</v>
      </c>
      <c r="Q412" s="1">
        <v>46054</v>
      </c>
      <c r="R412" s="2">
        <v>312.98</v>
      </c>
      <c r="S412">
        <v>1</v>
      </c>
      <c r="T412" t="s">
        <v>58</v>
      </c>
      <c r="U412" t="s">
        <v>312</v>
      </c>
      <c r="V412" s="4">
        <v>0.28999999999999998</v>
      </c>
      <c r="W412" s="2">
        <v>0</v>
      </c>
      <c r="X412">
        <v>0</v>
      </c>
      <c r="Y412" t="s">
        <v>83</v>
      </c>
      <c r="Z412" t="s">
        <v>221</v>
      </c>
      <c r="AA412">
        <v>6</v>
      </c>
      <c r="AB412" s="2">
        <v>544.55999999999995</v>
      </c>
      <c r="AC412" s="2">
        <v>0</v>
      </c>
      <c r="AD412" s="4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90.76</v>
      </c>
      <c r="AM412" s="2">
        <v>0</v>
      </c>
      <c r="AN412" s="2">
        <v>544.55999999999995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45999</v>
      </c>
      <c r="B413" t="s">
        <v>48</v>
      </c>
      <c r="C413">
        <v>649163</v>
      </c>
      <c r="D413">
        <v>2016750308</v>
      </c>
      <c r="E413" t="s">
        <v>412</v>
      </c>
      <c r="F413" t="s">
        <v>719</v>
      </c>
      <c r="G413" t="s">
        <v>51</v>
      </c>
      <c r="H413" t="s">
        <v>125</v>
      </c>
      <c r="I413" t="s">
        <v>53</v>
      </c>
      <c r="J413" t="s">
        <v>54</v>
      </c>
      <c r="K413">
        <v>652037</v>
      </c>
      <c r="L413" t="s">
        <v>235</v>
      </c>
      <c r="M413" t="s">
        <v>438</v>
      </c>
      <c r="N413" t="s">
        <v>57</v>
      </c>
      <c r="O413" s="1">
        <v>44873</v>
      </c>
      <c r="Q413" s="1">
        <v>46030</v>
      </c>
      <c r="R413" s="2">
        <v>36.159999999999997</v>
      </c>
      <c r="S413">
        <v>1</v>
      </c>
      <c r="T413" t="s">
        <v>58</v>
      </c>
      <c r="U413" t="s">
        <v>59</v>
      </c>
      <c r="V413" s="3">
        <v>6.5000000000000002E-2</v>
      </c>
      <c r="W413" s="2">
        <v>0</v>
      </c>
      <c r="X413">
        <v>0</v>
      </c>
      <c r="Y413" t="s">
        <v>60</v>
      </c>
      <c r="Z413" t="s">
        <v>61</v>
      </c>
      <c r="AA413">
        <v>0</v>
      </c>
      <c r="AB413" s="2">
        <v>0</v>
      </c>
      <c r="AC413" s="2">
        <v>0</v>
      </c>
      <c r="AD413" s="4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2.35</v>
      </c>
      <c r="AN413" s="2">
        <v>2.35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45999</v>
      </c>
      <c r="B414" t="s">
        <v>48</v>
      </c>
      <c r="C414">
        <v>649163</v>
      </c>
      <c r="D414">
        <v>2017242801</v>
      </c>
      <c r="E414" t="s">
        <v>720</v>
      </c>
      <c r="F414" t="s">
        <v>721</v>
      </c>
      <c r="G414" t="s">
        <v>51</v>
      </c>
      <c r="H414" t="s">
        <v>125</v>
      </c>
      <c r="I414" t="s">
        <v>53</v>
      </c>
      <c r="J414" t="s">
        <v>722</v>
      </c>
      <c r="K414">
        <v>652037</v>
      </c>
      <c r="L414" t="s">
        <v>235</v>
      </c>
      <c r="M414" t="s">
        <v>438</v>
      </c>
      <c r="N414" t="s">
        <v>57</v>
      </c>
      <c r="O414" s="1">
        <v>44930</v>
      </c>
      <c r="Q414" s="1">
        <v>46026</v>
      </c>
      <c r="R414" s="2">
        <v>105.84</v>
      </c>
      <c r="S414">
        <v>1</v>
      </c>
      <c r="T414" t="s">
        <v>58</v>
      </c>
      <c r="U414" t="s">
        <v>59</v>
      </c>
      <c r="V414" s="3">
        <v>6.5000000000000002E-2</v>
      </c>
      <c r="W414" s="2">
        <v>0</v>
      </c>
      <c r="X414">
        <v>0</v>
      </c>
      <c r="Y414" t="s">
        <v>60</v>
      </c>
      <c r="Z414" t="s">
        <v>61</v>
      </c>
      <c r="AA414">
        <v>0</v>
      </c>
      <c r="AB414" s="2">
        <v>0</v>
      </c>
      <c r="AC414" s="2">
        <v>0</v>
      </c>
      <c r="AD414" s="4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6.88</v>
      </c>
      <c r="AN414" s="2">
        <v>6.88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45999</v>
      </c>
      <c r="B415" t="s">
        <v>48</v>
      </c>
      <c r="C415">
        <v>649163</v>
      </c>
      <c r="D415">
        <v>2017340029</v>
      </c>
      <c r="E415" t="s">
        <v>723</v>
      </c>
      <c r="F415" t="s">
        <v>624</v>
      </c>
      <c r="G415" t="s">
        <v>51</v>
      </c>
      <c r="H415" t="s">
        <v>52</v>
      </c>
      <c r="I415" t="s">
        <v>53</v>
      </c>
      <c r="J415" t="s">
        <v>722</v>
      </c>
      <c r="K415">
        <v>652037</v>
      </c>
      <c r="L415" t="s">
        <v>235</v>
      </c>
      <c r="M415" t="s">
        <v>438</v>
      </c>
      <c r="N415" t="s">
        <v>57</v>
      </c>
      <c r="O415" s="1">
        <v>44958</v>
      </c>
      <c r="Q415" s="1">
        <v>46023</v>
      </c>
      <c r="R415" s="2">
        <v>-71.69</v>
      </c>
      <c r="S415">
        <v>1</v>
      </c>
      <c r="T415" t="s">
        <v>58</v>
      </c>
      <c r="U415" t="s">
        <v>59</v>
      </c>
      <c r="V415" s="3">
        <v>6.5000000000000002E-2</v>
      </c>
      <c r="W415" s="2">
        <v>0</v>
      </c>
      <c r="X415">
        <v>-1</v>
      </c>
      <c r="Y415" t="s">
        <v>60</v>
      </c>
      <c r="Z415" t="s">
        <v>61</v>
      </c>
      <c r="AA415">
        <v>0</v>
      </c>
      <c r="AB415" s="2">
        <v>0</v>
      </c>
      <c r="AC415" s="2">
        <v>0</v>
      </c>
      <c r="AD415" s="4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-4.66</v>
      </c>
      <c r="AN415" s="2">
        <v>-4.66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45999</v>
      </c>
      <c r="B416" t="s">
        <v>48</v>
      </c>
      <c r="C416">
        <v>649163</v>
      </c>
      <c r="D416">
        <v>2017539417</v>
      </c>
      <c r="E416" t="s">
        <v>724</v>
      </c>
      <c r="F416" t="s">
        <v>204</v>
      </c>
      <c r="G416" t="s">
        <v>51</v>
      </c>
      <c r="H416" t="s">
        <v>176</v>
      </c>
      <c r="I416" t="s">
        <v>53</v>
      </c>
      <c r="J416" t="s">
        <v>54</v>
      </c>
      <c r="K416">
        <v>649793</v>
      </c>
      <c r="L416" t="s">
        <v>81</v>
      </c>
      <c r="M416" t="s">
        <v>128</v>
      </c>
      <c r="N416" t="s">
        <v>57</v>
      </c>
      <c r="O416" s="1">
        <v>44986</v>
      </c>
      <c r="Q416" s="1">
        <v>46023</v>
      </c>
      <c r="R416" s="2">
        <v>52.69</v>
      </c>
      <c r="S416">
        <v>1</v>
      </c>
      <c r="T416" t="s">
        <v>58</v>
      </c>
      <c r="U416" t="s">
        <v>59</v>
      </c>
      <c r="V416" s="3">
        <v>6.5000000000000002E-2</v>
      </c>
      <c r="W416" s="2">
        <v>0</v>
      </c>
      <c r="X416">
        <v>0</v>
      </c>
      <c r="Y416" t="s">
        <v>60</v>
      </c>
      <c r="Z416" t="s">
        <v>61</v>
      </c>
      <c r="AA416">
        <v>0</v>
      </c>
      <c r="AB416" s="2">
        <v>0</v>
      </c>
      <c r="AC416" s="2">
        <v>0</v>
      </c>
      <c r="AD416" s="4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3.42</v>
      </c>
      <c r="AN416" s="2">
        <v>3.42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45999</v>
      </c>
      <c r="B417" t="s">
        <v>48</v>
      </c>
      <c r="C417">
        <v>649163</v>
      </c>
      <c r="D417">
        <v>2017624587</v>
      </c>
      <c r="E417" t="s">
        <v>725</v>
      </c>
      <c r="F417" t="s">
        <v>137</v>
      </c>
      <c r="G417" t="s">
        <v>51</v>
      </c>
      <c r="H417" t="s">
        <v>52</v>
      </c>
      <c r="I417" t="s">
        <v>53</v>
      </c>
      <c r="J417" t="s">
        <v>726</v>
      </c>
      <c r="K417">
        <v>650794</v>
      </c>
      <c r="L417" t="s">
        <v>235</v>
      </c>
      <c r="M417" t="s">
        <v>236</v>
      </c>
      <c r="N417" t="s">
        <v>57</v>
      </c>
      <c r="O417" s="1">
        <v>44967</v>
      </c>
      <c r="Q417" s="1">
        <v>46032</v>
      </c>
      <c r="R417" s="2">
        <v>61.81</v>
      </c>
      <c r="S417">
        <v>1</v>
      </c>
      <c r="T417" t="s">
        <v>58</v>
      </c>
      <c r="U417" t="s">
        <v>59</v>
      </c>
      <c r="V417" s="3">
        <v>6.5000000000000002E-2</v>
      </c>
      <c r="W417" s="2">
        <v>0</v>
      </c>
      <c r="X417">
        <v>0</v>
      </c>
      <c r="Y417" t="s">
        <v>60</v>
      </c>
      <c r="Z417" t="s">
        <v>61</v>
      </c>
      <c r="AA417">
        <v>0</v>
      </c>
      <c r="AB417" s="2">
        <v>0</v>
      </c>
      <c r="AC417" s="2">
        <v>0</v>
      </c>
      <c r="AD417" s="4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4.0199999999999996</v>
      </c>
      <c r="AN417" s="2">
        <v>4.0199999999999996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45999</v>
      </c>
      <c r="B418" t="s">
        <v>48</v>
      </c>
      <c r="C418">
        <v>649163</v>
      </c>
      <c r="D418">
        <v>2018472292</v>
      </c>
      <c r="E418" t="s">
        <v>727</v>
      </c>
      <c r="F418" t="s">
        <v>393</v>
      </c>
      <c r="G418" t="s">
        <v>51</v>
      </c>
      <c r="H418" t="s">
        <v>52</v>
      </c>
      <c r="I418" t="s">
        <v>53</v>
      </c>
      <c r="J418" t="s">
        <v>726</v>
      </c>
      <c r="K418">
        <v>678320</v>
      </c>
      <c r="L418" t="s">
        <v>55</v>
      </c>
      <c r="M418" t="s">
        <v>56</v>
      </c>
      <c r="N418" t="s">
        <v>57</v>
      </c>
      <c r="O418" s="1">
        <v>45047</v>
      </c>
      <c r="Q418" s="1">
        <v>46023</v>
      </c>
      <c r="R418" s="2">
        <v>97.45</v>
      </c>
      <c r="S418">
        <v>1</v>
      </c>
      <c r="T418" t="s">
        <v>58</v>
      </c>
      <c r="U418" t="s">
        <v>59</v>
      </c>
      <c r="V418" s="3">
        <v>6.5000000000000002E-2</v>
      </c>
      <c r="W418" s="2">
        <v>0</v>
      </c>
      <c r="X418">
        <v>0</v>
      </c>
      <c r="Y418" t="s">
        <v>60</v>
      </c>
      <c r="Z418" t="s">
        <v>61</v>
      </c>
      <c r="AA418">
        <v>0</v>
      </c>
      <c r="AB418" s="2">
        <v>0</v>
      </c>
      <c r="AC418" s="2">
        <v>0</v>
      </c>
      <c r="AD418" s="4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6.33</v>
      </c>
      <c r="AN418" s="2">
        <v>6.33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45999</v>
      </c>
      <c r="B419" t="s">
        <v>48</v>
      </c>
      <c r="C419">
        <v>649163</v>
      </c>
      <c r="D419">
        <v>2020706450</v>
      </c>
      <c r="E419" t="s">
        <v>129</v>
      </c>
      <c r="F419" t="s">
        <v>130</v>
      </c>
      <c r="G419" t="s">
        <v>51</v>
      </c>
      <c r="H419" t="s">
        <v>131</v>
      </c>
      <c r="I419" t="s">
        <v>53</v>
      </c>
      <c r="J419" t="s">
        <v>54</v>
      </c>
      <c r="K419">
        <v>673059</v>
      </c>
      <c r="L419" t="s">
        <v>81</v>
      </c>
      <c r="M419" t="s">
        <v>82</v>
      </c>
      <c r="N419" t="s">
        <v>94</v>
      </c>
      <c r="O419" s="1">
        <v>45261</v>
      </c>
      <c r="P419" s="1">
        <v>45999</v>
      </c>
      <c r="Q419" s="1">
        <v>46023</v>
      </c>
      <c r="R419" s="2">
        <v>-52.69</v>
      </c>
      <c r="S419">
        <v>1</v>
      </c>
      <c r="T419" t="s">
        <v>58</v>
      </c>
      <c r="U419" t="s">
        <v>59</v>
      </c>
      <c r="V419" s="3">
        <v>6.5000000000000002E-2</v>
      </c>
      <c r="W419" s="2">
        <v>0</v>
      </c>
      <c r="X419">
        <v>-1</v>
      </c>
      <c r="Y419" t="s">
        <v>60</v>
      </c>
      <c r="Z419" t="s">
        <v>61</v>
      </c>
      <c r="AA419">
        <v>0</v>
      </c>
      <c r="AB419" s="2">
        <v>0</v>
      </c>
      <c r="AC419" s="2">
        <v>0</v>
      </c>
      <c r="AD419" s="4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-3.42</v>
      </c>
      <c r="AN419" s="2">
        <v>-3.42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45999</v>
      </c>
      <c r="B420" t="s">
        <v>48</v>
      </c>
      <c r="C420">
        <v>649163</v>
      </c>
      <c r="D420">
        <v>2020720598</v>
      </c>
      <c r="E420" t="s">
        <v>728</v>
      </c>
      <c r="F420" t="s">
        <v>678</v>
      </c>
      <c r="G420" t="s">
        <v>51</v>
      </c>
      <c r="H420" t="s">
        <v>52</v>
      </c>
      <c r="I420" t="s">
        <v>53</v>
      </c>
      <c r="J420" t="s">
        <v>54</v>
      </c>
      <c r="K420">
        <v>649164</v>
      </c>
      <c r="L420" t="s">
        <v>64</v>
      </c>
      <c r="M420" t="s">
        <v>65</v>
      </c>
      <c r="N420" t="s">
        <v>57</v>
      </c>
      <c r="O420" s="1">
        <v>45261</v>
      </c>
      <c r="Q420" s="1">
        <v>46023</v>
      </c>
      <c r="R420" s="2">
        <v>92.55</v>
      </c>
      <c r="S420">
        <v>1</v>
      </c>
      <c r="T420" t="s">
        <v>58</v>
      </c>
      <c r="U420" t="s">
        <v>59</v>
      </c>
      <c r="V420" s="3">
        <v>6.5000000000000002E-2</v>
      </c>
      <c r="W420" s="2">
        <v>0</v>
      </c>
      <c r="X420">
        <v>0</v>
      </c>
      <c r="Y420" t="s">
        <v>60</v>
      </c>
      <c r="Z420" t="s">
        <v>61</v>
      </c>
      <c r="AA420">
        <v>0</v>
      </c>
      <c r="AB420" s="2">
        <v>0</v>
      </c>
      <c r="AC420" s="2">
        <v>0</v>
      </c>
      <c r="AD420" s="4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6.02</v>
      </c>
      <c r="AN420" s="2">
        <v>6.02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45999</v>
      </c>
      <c r="B421" t="s">
        <v>48</v>
      </c>
      <c r="C421">
        <v>649163</v>
      </c>
      <c r="D421">
        <v>2020736330</v>
      </c>
      <c r="E421" t="s">
        <v>728</v>
      </c>
      <c r="F421" t="s">
        <v>385</v>
      </c>
      <c r="G421" t="s">
        <v>51</v>
      </c>
      <c r="H421" t="s">
        <v>52</v>
      </c>
      <c r="I421" t="s">
        <v>53</v>
      </c>
      <c r="J421" t="s">
        <v>722</v>
      </c>
      <c r="K421">
        <v>649164</v>
      </c>
      <c r="L421" t="s">
        <v>64</v>
      </c>
      <c r="M421" t="s">
        <v>65</v>
      </c>
      <c r="N421" t="s">
        <v>57</v>
      </c>
      <c r="O421" s="1">
        <v>45261</v>
      </c>
      <c r="Q421" s="1">
        <v>46023</v>
      </c>
      <c r="R421" s="2">
        <v>105.84</v>
      </c>
      <c r="S421">
        <v>1</v>
      </c>
      <c r="T421" t="s">
        <v>58</v>
      </c>
      <c r="U421" t="s">
        <v>59</v>
      </c>
      <c r="V421" s="3">
        <v>6.5000000000000002E-2</v>
      </c>
      <c r="W421" s="2">
        <v>0</v>
      </c>
      <c r="X421">
        <v>0</v>
      </c>
      <c r="Y421" t="s">
        <v>60</v>
      </c>
      <c r="Z421" t="s">
        <v>61</v>
      </c>
      <c r="AA421">
        <v>0</v>
      </c>
      <c r="AB421" s="2">
        <v>0</v>
      </c>
      <c r="AC421" s="2">
        <v>0</v>
      </c>
      <c r="AD421" s="4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6.88</v>
      </c>
      <c r="AN421" s="2">
        <v>6.88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45999</v>
      </c>
      <c r="B422" t="s">
        <v>48</v>
      </c>
      <c r="C422">
        <v>649163</v>
      </c>
      <c r="D422">
        <v>2020891511</v>
      </c>
      <c r="E422" t="s">
        <v>179</v>
      </c>
      <c r="F422" t="s">
        <v>180</v>
      </c>
      <c r="G422" t="s">
        <v>51</v>
      </c>
      <c r="H422" t="s">
        <v>52</v>
      </c>
      <c r="I422" t="s">
        <v>53</v>
      </c>
      <c r="J422" t="s">
        <v>54</v>
      </c>
      <c r="K422">
        <v>649164</v>
      </c>
      <c r="L422" t="s">
        <v>64</v>
      </c>
      <c r="M422" t="s">
        <v>65</v>
      </c>
      <c r="N422" t="s">
        <v>57</v>
      </c>
      <c r="O422" s="1">
        <v>45261</v>
      </c>
      <c r="Q422" s="1">
        <v>46023</v>
      </c>
      <c r="R422" s="2">
        <v>52.69</v>
      </c>
      <c r="S422">
        <v>1</v>
      </c>
      <c r="T422" t="s">
        <v>58</v>
      </c>
      <c r="U422" t="s">
        <v>59</v>
      </c>
      <c r="V422" s="3">
        <v>6.5000000000000002E-2</v>
      </c>
      <c r="W422" s="2">
        <v>0</v>
      </c>
      <c r="X422">
        <v>0</v>
      </c>
      <c r="Y422" t="s">
        <v>60</v>
      </c>
      <c r="Z422" t="s">
        <v>61</v>
      </c>
      <c r="AA422">
        <v>0</v>
      </c>
      <c r="AB422" s="2">
        <v>0</v>
      </c>
      <c r="AC422" s="2">
        <v>0</v>
      </c>
      <c r="AD422" s="4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3.42</v>
      </c>
      <c r="AN422" s="2">
        <v>3.42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45999</v>
      </c>
      <c r="B423" t="s">
        <v>48</v>
      </c>
      <c r="C423">
        <v>649163</v>
      </c>
      <c r="D423">
        <v>2021055299</v>
      </c>
      <c r="E423" t="s">
        <v>729</v>
      </c>
      <c r="F423" t="s">
        <v>730</v>
      </c>
      <c r="G423" t="s">
        <v>51</v>
      </c>
      <c r="H423" t="s">
        <v>52</v>
      </c>
      <c r="I423" t="s">
        <v>53</v>
      </c>
      <c r="J423" t="s">
        <v>54</v>
      </c>
      <c r="K423">
        <v>649164</v>
      </c>
      <c r="L423" t="s">
        <v>64</v>
      </c>
      <c r="M423" t="s">
        <v>65</v>
      </c>
      <c r="N423" t="s">
        <v>57</v>
      </c>
      <c r="O423" s="1">
        <v>45292</v>
      </c>
      <c r="Q423" s="1">
        <v>46023</v>
      </c>
      <c r="R423" s="2">
        <v>52.69</v>
      </c>
      <c r="S423">
        <v>1</v>
      </c>
      <c r="T423" t="s">
        <v>58</v>
      </c>
      <c r="U423" t="s">
        <v>59</v>
      </c>
      <c r="V423" s="3">
        <v>6.5000000000000002E-2</v>
      </c>
      <c r="W423" s="2">
        <v>0</v>
      </c>
      <c r="X423">
        <v>0</v>
      </c>
      <c r="Y423" t="s">
        <v>60</v>
      </c>
      <c r="Z423" t="s">
        <v>61</v>
      </c>
      <c r="AA423">
        <v>0</v>
      </c>
      <c r="AB423" s="2">
        <v>0</v>
      </c>
      <c r="AC423" s="2">
        <v>0</v>
      </c>
      <c r="AD423" s="4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3.42</v>
      </c>
      <c r="AN423" s="2">
        <v>3.42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45999</v>
      </c>
      <c r="B424" t="s">
        <v>48</v>
      </c>
      <c r="C424">
        <v>649163</v>
      </c>
      <c r="D424">
        <v>2021166476</v>
      </c>
      <c r="E424" t="s">
        <v>731</v>
      </c>
      <c r="F424" t="s">
        <v>732</v>
      </c>
      <c r="G424" t="s">
        <v>51</v>
      </c>
      <c r="H424" t="s">
        <v>52</v>
      </c>
      <c r="I424" t="s">
        <v>53</v>
      </c>
      <c r="J424" t="s">
        <v>54</v>
      </c>
      <c r="K424">
        <v>649164</v>
      </c>
      <c r="L424" t="s">
        <v>64</v>
      </c>
      <c r="M424" t="s">
        <v>65</v>
      </c>
      <c r="N424" t="s">
        <v>57</v>
      </c>
      <c r="O424" s="1">
        <v>45292</v>
      </c>
      <c r="Q424" s="1">
        <v>46023</v>
      </c>
      <c r="R424" s="2">
        <v>52.69</v>
      </c>
      <c r="S424">
        <v>1</v>
      </c>
      <c r="T424" t="s">
        <v>58</v>
      </c>
      <c r="U424" t="s">
        <v>59</v>
      </c>
      <c r="V424" s="3">
        <v>6.5000000000000002E-2</v>
      </c>
      <c r="W424" s="2">
        <v>0</v>
      </c>
      <c r="X424">
        <v>0</v>
      </c>
      <c r="Y424" t="s">
        <v>60</v>
      </c>
      <c r="Z424" t="s">
        <v>61</v>
      </c>
      <c r="AA424">
        <v>0</v>
      </c>
      <c r="AB424" s="2">
        <v>0</v>
      </c>
      <c r="AC424" s="2">
        <v>0</v>
      </c>
      <c r="AD424" s="4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3.42</v>
      </c>
      <c r="AN424" s="2">
        <v>3.42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45999</v>
      </c>
      <c r="B425" t="s">
        <v>48</v>
      </c>
      <c r="C425">
        <v>649163</v>
      </c>
      <c r="D425">
        <v>2022273839</v>
      </c>
      <c r="E425" t="s">
        <v>733</v>
      </c>
      <c r="F425" t="s">
        <v>734</v>
      </c>
      <c r="G425" t="s">
        <v>51</v>
      </c>
      <c r="H425" t="s">
        <v>52</v>
      </c>
      <c r="I425" t="s">
        <v>53</v>
      </c>
      <c r="J425" t="s">
        <v>54</v>
      </c>
      <c r="K425">
        <v>649164</v>
      </c>
      <c r="L425" t="s">
        <v>64</v>
      </c>
      <c r="M425" t="s">
        <v>65</v>
      </c>
      <c r="N425" t="s">
        <v>57</v>
      </c>
      <c r="O425" s="1">
        <v>45383</v>
      </c>
      <c r="Q425" s="1">
        <v>46023</v>
      </c>
      <c r="R425" s="2">
        <v>52.69</v>
      </c>
      <c r="S425">
        <v>1</v>
      </c>
      <c r="T425" t="s">
        <v>58</v>
      </c>
      <c r="U425" t="s">
        <v>59</v>
      </c>
      <c r="V425" s="3">
        <v>6.5000000000000002E-2</v>
      </c>
      <c r="W425" s="2">
        <v>0</v>
      </c>
      <c r="X425">
        <v>0</v>
      </c>
      <c r="Y425" t="s">
        <v>60</v>
      </c>
      <c r="Z425" t="s">
        <v>61</v>
      </c>
      <c r="AA425">
        <v>0</v>
      </c>
      <c r="AB425" s="2">
        <v>0</v>
      </c>
      <c r="AC425" s="2">
        <v>0</v>
      </c>
      <c r="AD425" s="4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3.42</v>
      </c>
      <c r="AN425" s="2">
        <v>3.42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45999</v>
      </c>
      <c r="B426" t="s">
        <v>48</v>
      </c>
      <c r="C426">
        <v>649163</v>
      </c>
      <c r="D426">
        <v>2024320119</v>
      </c>
      <c r="E426" t="s">
        <v>643</v>
      </c>
      <c r="F426" t="s">
        <v>137</v>
      </c>
      <c r="G426" t="s">
        <v>51</v>
      </c>
      <c r="H426" t="s">
        <v>52</v>
      </c>
      <c r="I426" t="s">
        <v>53</v>
      </c>
      <c r="J426" t="s">
        <v>54</v>
      </c>
      <c r="K426">
        <v>650218</v>
      </c>
      <c r="L426" t="s">
        <v>88</v>
      </c>
      <c r="M426" t="s">
        <v>89</v>
      </c>
      <c r="N426" t="s">
        <v>57</v>
      </c>
      <c r="O426" s="1">
        <v>45514</v>
      </c>
      <c r="Q426" s="1">
        <v>46032</v>
      </c>
      <c r="R426" s="2">
        <v>46.45</v>
      </c>
      <c r="S426">
        <v>1</v>
      </c>
      <c r="T426" t="s">
        <v>58</v>
      </c>
      <c r="U426" t="s">
        <v>59</v>
      </c>
      <c r="V426" s="3">
        <v>6.5000000000000002E-2</v>
      </c>
      <c r="W426" s="2">
        <v>0</v>
      </c>
      <c r="X426">
        <v>0</v>
      </c>
      <c r="Y426" t="s">
        <v>60</v>
      </c>
      <c r="Z426" t="s">
        <v>61</v>
      </c>
      <c r="AA426">
        <v>0</v>
      </c>
      <c r="AB426" s="2">
        <v>0</v>
      </c>
      <c r="AC426" s="2">
        <v>0</v>
      </c>
      <c r="AD426" s="4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3.02</v>
      </c>
      <c r="AN426" s="2">
        <v>3.02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45999</v>
      </c>
      <c r="B427" t="s">
        <v>48</v>
      </c>
      <c r="C427">
        <v>649163</v>
      </c>
      <c r="D427">
        <v>2024326700</v>
      </c>
      <c r="E427" t="s">
        <v>735</v>
      </c>
      <c r="F427" t="s">
        <v>285</v>
      </c>
      <c r="G427" t="s">
        <v>51</v>
      </c>
      <c r="H427" t="s">
        <v>408</v>
      </c>
      <c r="I427" t="s">
        <v>53</v>
      </c>
      <c r="J427" t="s">
        <v>54</v>
      </c>
      <c r="K427">
        <v>650218</v>
      </c>
      <c r="L427" t="s">
        <v>88</v>
      </c>
      <c r="M427" t="s">
        <v>89</v>
      </c>
      <c r="N427" t="s">
        <v>57</v>
      </c>
      <c r="O427" s="1">
        <v>45514</v>
      </c>
      <c r="Q427" s="1">
        <v>46032</v>
      </c>
      <c r="R427" s="2">
        <v>52.69</v>
      </c>
      <c r="S427">
        <v>1</v>
      </c>
      <c r="T427" t="s">
        <v>58</v>
      </c>
      <c r="U427" t="s">
        <v>59</v>
      </c>
      <c r="V427" s="3">
        <v>6.5000000000000002E-2</v>
      </c>
      <c r="W427" s="2">
        <v>0</v>
      </c>
      <c r="X427">
        <v>0</v>
      </c>
      <c r="Y427" t="s">
        <v>60</v>
      </c>
      <c r="Z427" t="s">
        <v>61</v>
      </c>
      <c r="AA427">
        <v>0</v>
      </c>
      <c r="AB427" s="2">
        <v>0</v>
      </c>
      <c r="AC427" s="2">
        <v>0</v>
      </c>
      <c r="AD427" s="4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3.42</v>
      </c>
      <c r="AN427" s="2">
        <v>3.42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45999</v>
      </c>
      <c r="B428" t="s">
        <v>48</v>
      </c>
      <c r="C428">
        <v>649163</v>
      </c>
      <c r="D428">
        <v>2024737148</v>
      </c>
      <c r="E428" t="s">
        <v>646</v>
      </c>
      <c r="F428" t="s">
        <v>647</v>
      </c>
      <c r="G428" t="s">
        <v>51</v>
      </c>
      <c r="H428" t="s">
        <v>648</v>
      </c>
      <c r="I428" t="s">
        <v>53</v>
      </c>
      <c r="J428" t="s">
        <v>54</v>
      </c>
      <c r="K428">
        <v>751867</v>
      </c>
      <c r="L428" t="s">
        <v>70</v>
      </c>
      <c r="M428" t="s">
        <v>71</v>
      </c>
      <c r="N428" t="s">
        <v>57</v>
      </c>
      <c r="O428" s="1">
        <v>45541</v>
      </c>
      <c r="Q428" s="1">
        <v>46028</v>
      </c>
      <c r="R428" s="2">
        <v>96.55</v>
      </c>
      <c r="S428">
        <v>1</v>
      </c>
      <c r="T428" t="s">
        <v>58</v>
      </c>
      <c r="U428" t="s">
        <v>59</v>
      </c>
      <c r="V428" s="3">
        <v>6.5000000000000002E-2</v>
      </c>
      <c r="W428" s="2">
        <v>0</v>
      </c>
      <c r="X428">
        <v>0</v>
      </c>
      <c r="Y428" t="s">
        <v>60</v>
      </c>
      <c r="Z428" t="s">
        <v>61</v>
      </c>
      <c r="AA428">
        <v>0</v>
      </c>
      <c r="AB428" s="2">
        <v>0</v>
      </c>
      <c r="AC428" s="2">
        <v>0</v>
      </c>
      <c r="AD428" s="4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6.28</v>
      </c>
      <c r="AN428" s="2">
        <v>6.28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45999</v>
      </c>
      <c r="B429" t="s">
        <v>48</v>
      </c>
      <c r="C429">
        <v>649163</v>
      </c>
      <c r="D429">
        <v>2024752410</v>
      </c>
      <c r="E429" t="s">
        <v>649</v>
      </c>
      <c r="F429" t="s">
        <v>650</v>
      </c>
      <c r="G429" t="s">
        <v>51</v>
      </c>
      <c r="H429" t="s">
        <v>648</v>
      </c>
      <c r="I429" t="s">
        <v>53</v>
      </c>
      <c r="J429" t="s">
        <v>54</v>
      </c>
      <c r="K429">
        <v>751867</v>
      </c>
      <c r="L429" t="s">
        <v>70</v>
      </c>
      <c r="M429" t="s">
        <v>71</v>
      </c>
      <c r="N429" t="s">
        <v>57</v>
      </c>
      <c r="O429" s="1">
        <v>45544</v>
      </c>
      <c r="Q429" s="1">
        <v>46031</v>
      </c>
      <c r="R429" s="2">
        <v>40.159999999999997</v>
      </c>
      <c r="S429">
        <v>1</v>
      </c>
      <c r="T429" t="s">
        <v>58</v>
      </c>
      <c r="U429" t="s">
        <v>59</v>
      </c>
      <c r="V429" s="3">
        <v>6.5000000000000002E-2</v>
      </c>
      <c r="W429" s="2">
        <v>0</v>
      </c>
      <c r="X429">
        <v>0</v>
      </c>
      <c r="Y429" t="s">
        <v>60</v>
      </c>
      <c r="Z429" t="s">
        <v>61</v>
      </c>
      <c r="AA429">
        <v>0</v>
      </c>
      <c r="AB429" s="2">
        <v>0</v>
      </c>
      <c r="AC429" s="2">
        <v>0</v>
      </c>
      <c r="AD429" s="4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2.61</v>
      </c>
      <c r="AN429" s="2">
        <v>2.61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45999</v>
      </c>
      <c r="B430" t="s">
        <v>48</v>
      </c>
      <c r="C430">
        <v>649163</v>
      </c>
      <c r="D430">
        <v>2025046020</v>
      </c>
      <c r="E430" t="s">
        <v>651</v>
      </c>
      <c r="F430" t="s">
        <v>652</v>
      </c>
      <c r="G430" t="s">
        <v>51</v>
      </c>
      <c r="H430" t="s">
        <v>52</v>
      </c>
      <c r="I430" t="s">
        <v>53</v>
      </c>
      <c r="J430" t="s">
        <v>722</v>
      </c>
      <c r="K430">
        <v>649247</v>
      </c>
      <c r="L430" t="s">
        <v>187</v>
      </c>
      <c r="M430" t="s">
        <v>188</v>
      </c>
      <c r="N430" t="s">
        <v>57</v>
      </c>
      <c r="O430" s="1">
        <v>45566</v>
      </c>
      <c r="Q430" s="1">
        <v>46023</v>
      </c>
      <c r="R430" s="2">
        <v>88.27</v>
      </c>
      <c r="S430">
        <v>1</v>
      </c>
      <c r="T430" t="s">
        <v>58</v>
      </c>
      <c r="U430" t="s">
        <v>59</v>
      </c>
      <c r="V430" s="3">
        <v>6.5000000000000002E-2</v>
      </c>
      <c r="W430" s="2">
        <v>0</v>
      </c>
      <c r="X430">
        <v>0</v>
      </c>
      <c r="Y430" t="s">
        <v>60</v>
      </c>
      <c r="Z430" t="s">
        <v>61</v>
      </c>
      <c r="AA430">
        <v>0</v>
      </c>
      <c r="AB430" s="2">
        <v>0</v>
      </c>
      <c r="AC430" s="2">
        <v>0</v>
      </c>
      <c r="AD430" s="4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5.74</v>
      </c>
      <c r="AN430" s="2">
        <v>5.74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45999</v>
      </c>
      <c r="B431" t="s">
        <v>48</v>
      </c>
      <c r="C431">
        <v>649163</v>
      </c>
      <c r="D431">
        <v>2026152184</v>
      </c>
      <c r="E431" t="s">
        <v>482</v>
      </c>
      <c r="F431" t="s">
        <v>483</v>
      </c>
      <c r="G431" t="s">
        <v>51</v>
      </c>
      <c r="H431" t="s">
        <v>52</v>
      </c>
      <c r="I431" t="s">
        <v>53</v>
      </c>
      <c r="J431" t="s">
        <v>54</v>
      </c>
      <c r="K431">
        <v>751867</v>
      </c>
      <c r="L431" t="s">
        <v>70</v>
      </c>
      <c r="M431" t="s">
        <v>71</v>
      </c>
      <c r="N431" t="s">
        <v>57</v>
      </c>
      <c r="O431" s="1">
        <v>45658</v>
      </c>
      <c r="Q431" s="1">
        <v>46023</v>
      </c>
      <c r="R431" s="2">
        <v>40.159999999999997</v>
      </c>
      <c r="S431">
        <v>1</v>
      </c>
      <c r="T431" t="s">
        <v>58</v>
      </c>
      <c r="U431" t="s">
        <v>59</v>
      </c>
      <c r="V431" s="4">
        <v>0.6</v>
      </c>
      <c r="W431" s="2">
        <v>0</v>
      </c>
      <c r="X431">
        <v>0</v>
      </c>
      <c r="Y431" t="s">
        <v>83</v>
      </c>
      <c r="Z431" t="s">
        <v>61</v>
      </c>
      <c r="AA431">
        <v>0</v>
      </c>
      <c r="AB431" s="2">
        <v>0</v>
      </c>
      <c r="AC431" s="2">
        <v>0</v>
      </c>
      <c r="AD431" s="4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24.1</v>
      </c>
      <c r="AN431" s="2">
        <v>24.1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45999</v>
      </c>
      <c r="B432" t="s">
        <v>48</v>
      </c>
      <c r="C432">
        <v>649163</v>
      </c>
      <c r="D432">
        <v>2026485484</v>
      </c>
      <c r="E432" t="s">
        <v>484</v>
      </c>
      <c r="F432" t="s">
        <v>485</v>
      </c>
      <c r="G432" t="s">
        <v>51</v>
      </c>
      <c r="H432" t="s">
        <v>374</v>
      </c>
      <c r="I432" t="s">
        <v>53</v>
      </c>
      <c r="J432" t="s">
        <v>54</v>
      </c>
      <c r="K432">
        <v>650218</v>
      </c>
      <c r="L432" t="s">
        <v>88</v>
      </c>
      <c r="M432" t="s">
        <v>89</v>
      </c>
      <c r="N432" t="s">
        <v>57</v>
      </c>
      <c r="O432" s="1">
        <v>45665</v>
      </c>
      <c r="Q432" s="1">
        <v>46030</v>
      </c>
      <c r="R432" s="2">
        <v>50.06</v>
      </c>
      <c r="S432">
        <v>1</v>
      </c>
      <c r="T432" t="s">
        <v>58</v>
      </c>
      <c r="U432" t="s">
        <v>59</v>
      </c>
      <c r="V432" s="4">
        <v>0.6</v>
      </c>
      <c r="W432" s="2">
        <v>0</v>
      </c>
      <c r="X432">
        <v>0</v>
      </c>
      <c r="Y432" t="s">
        <v>83</v>
      </c>
      <c r="Z432" t="s">
        <v>61</v>
      </c>
      <c r="AA432">
        <v>0</v>
      </c>
      <c r="AB432" s="2">
        <v>0</v>
      </c>
      <c r="AC432" s="2">
        <v>0</v>
      </c>
      <c r="AD432" s="4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30.04</v>
      </c>
      <c r="AN432" s="2">
        <v>30.04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45999</v>
      </c>
      <c r="B433" t="s">
        <v>48</v>
      </c>
      <c r="C433">
        <v>649163</v>
      </c>
      <c r="D433">
        <v>2027070510</v>
      </c>
      <c r="E433" t="s">
        <v>293</v>
      </c>
      <c r="F433" t="s">
        <v>508</v>
      </c>
      <c r="G433" t="s">
        <v>51</v>
      </c>
      <c r="H433" t="s">
        <v>509</v>
      </c>
      <c r="I433" t="s">
        <v>53</v>
      </c>
      <c r="J433" t="s">
        <v>726</v>
      </c>
      <c r="K433">
        <v>756418</v>
      </c>
      <c r="L433" t="s">
        <v>409</v>
      </c>
      <c r="M433" t="s">
        <v>410</v>
      </c>
      <c r="N433" t="s">
        <v>57</v>
      </c>
      <c r="O433" s="1">
        <v>45700</v>
      </c>
      <c r="Q433" s="1">
        <v>46034</v>
      </c>
      <c r="R433" s="2">
        <v>46.56</v>
      </c>
      <c r="S433">
        <v>1</v>
      </c>
      <c r="T433" t="s">
        <v>58</v>
      </c>
      <c r="U433" t="s">
        <v>59</v>
      </c>
      <c r="V433" s="4">
        <v>0.6</v>
      </c>
      <c r="W433" s="2">
        <v>0</v>
      </c>
      <c r="X433">
        <v>0</v>
      </c>
      <c r="Y433" t="s">
        <v>83</v>
      </c>
      <c r="Z433" t="s">
        <v>61</v>
      </c>
      <c r="AA433">
        <v>0</v>
      </c>
      <c r="AB433" s="2">
        <v>0</v>
      </c>
      <c r="AC433" s="2">
        <v>0</v>
      </c>
      <c r="AD433" s="4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27.94</v>
      </c>
      <c r="AN433" s="2">
        <v>27.94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45999</v>
      </c>
      <c r="B434" t="s">
        <v>48</v>
      </c>
      <c r="C434">
        <v>649163</v>
      </c>
      <c r="D434">
        <v>2028670284</v>
      </c>
      <c r="E434" t="s">
        <v>736</v>
      </c>
      <c r="F434" t="s">
        <v>63</v>
      </c>
      <c r="G434" t="s">
        <v>51</v>
      </c>
      <c r="H434" t="s">
        <v>52</v>
      </c>
      <c r="I434" t="s">
        <v>53</v>
      </c>
      <c r="J434" t="s">
        <v>54</v>
      </c>
      <c r="K434">
        <v>677095</v>
      </c>
      <c r="L434" t="s">
        <v>673</v>
      </c>
      <c r="M434" t="s">
        <v>517</v>
      </c>
      <c r="N434" t="s">
        <v>57</v>
      </c>
      <c r="O434" s="1">
        <v>45786</v>
      </c>
      <c r="Q434" s="1">
        <v>46031</v>
      </c>
      <c r="R434" s="2">
        <v>52.69</v>
      </c>
      <c r="S434">
        <v>1</v>
      </c>
      <c r="T434" t="s">
        <v>58</v>
      </c>
      <c r="U434" t="s">
        <v>59</v>
      </c>
      <c r="V434" s="4">
        <v>0.2</v>
      </c>
      <c r="W434" s="2">
        <v>0</v>
      </c>
      <c r="X434">
        <v>0</v>
      </c>
      <c r="Y434" t="s">
        <v>83</v>
      </c>
      <c r="Z434" t="s">
        <v>61</v>
      </c>
      <c r="AA434">
        <v>0</v>
      </c>
      <c r="AB434" s="2">
        <v>0</v>
      </c>
      <c r="AC434" s="2">
        <v>0</v>
      </c>
      <c r="AD434" s="4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10.54</v>
      </c>
      <c r="AN434" s="2">
        <v>10.54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45999</v>
      </c>
      <c r="B435" t="s">
        <v>48</v>
      </c>
      <c r="C435">
        <v>649163</v>
      </c>
      <c r="D435">
        <v>2029787708</v>
      </c>
      <c r="E435" t="s">
        <v>373</v>
      </c>
      <c r="F435" t="s">
        <v>560</v>
      </c>
      <c r="G435" t="s">
        <v>51</v>
      </c>
      <c r="H435" t="s">
        <v>52</v>
      </c>
      <c r="I435" t="s">
        <v>53</v>
      </c>
      <c r="J435" t="s">
        <v>54</v>
      </c>
      <c r="K435">
        <v>651818</v>
      </c>
      <c r="L435" t="s">
        <v>246</v>
      </c>
      <c r="M435" t="s">
        <v>247</v>
      </c>
      <c r="N435" t="s">
        <v>57</v>
      </c>
      <c r="O435" s="1">
        <v>45870</v>
      </c>
      <c r="Q435" s="1">
        <v>46023</v>
      </c>
      <c r="R435" s="2">
        <v>52.69</v>
      </c>
      <c r="S435">
        <v>1</v>
      </c>
      <c r="T435" t="s">
        <v>58</v>
      </c>
      <c r="U435" t="s">
        <v>59</v>
      </c>
      <c r="V435" s="4">
        <v>0.6</v>
      </c>
      <c r="W435" s="2">
        <v>0</v>
      </c>
      <c r="X435">
        <v>0</v>
      </c>
      <c r="Y435" t="s">
        <v>83</v>
      </c>
      <c r="Z435" t="s">
        <v>61</v>
      </c>
      <c r="AA435">
        <v>0</v>
      </c>
      <c r="AB435" s="2">
        <v>0</v>
      </c>
      <c r="AC435" s="2">
        <v>0</v>
      </c>
      <c r="AD435" s="4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31.61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45999</v>
      </c>
      <c r="B436" t="s">
        <v>48</v>
      </c>
      <c r="C436">
        <v>649163</v>
      </c>
      <c r="D436">
        <v>2030380472</v>
      </c>
      <c r="E436" t="s">
        <v>586</v>
      </c>
      <c r="F436" t="s">
        <v>587</v>
      </c>
      <c r="G436" t="s">
        <v>51</v>
      </c>
      <c r="H436" t="s">
        <v>52</v>
      </c>
      <c r="I436" t="s">
        <v>53</v>
      </c>
      <c r="J436" t="s">
        <v>54</v>
      </c>
      <c r="K436">
        <v>650218</v>
      </c>
      <c r="L436" t="s">
        <v>88</v>
      </c>
      <c r="M436" t="s">
        <v>89</v>
      </c>
      <c r="N436" t="s">
        <v>57</v>
      </c>
      <c r="O436" s="1">
        <v>45877</v>
      </c>
      <c r="Q436" s="1">
        <v>46030</v>
      </c>
      <c r="R436" s="2">
        <v>56.69</v>
      </c>
      <c r="S436">
        <v>1</v>
      </c>
      <c r="T436" t="s">
        <v>58</v>
      </c>
      <c r="U436" t="s">
        <v>59</v>
      </c>
      <c r="V436" s="4">
        <v>0.6</v>
      </c>
      <c r="W436" s="2">
        <v>0</v>
      </c>
      <c r="X436">
        <v>0</v>
      </c>
      <c r="Y436" t="s">
        <v>83</v>
      </c>
      <c r="Z436" t="s">
        <v>61</v>
      </c>
      <c r="AA436">
        <v>0</v>
      </c>
      <c r="AB436" s="2">
        <v>0</v>
      </c>
      <c r="AC436" s="2">
        <v>0</v>
      </c>
      <c r="AD436" s="4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34.01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45999</v>
      </c>
      <c r="B437" t="s">
        <v>48</v>
      </c>
      <c r="C437">
        <v>649163</v>
      </c>
      <c r="D437">
        <v>2030909014</v>
      </c>
      <c r="E437" t="s">
        <v>638</v>
      </c>
      <c r="F437" t="s">
        <v>324</v>
      </c>
      <c r="G437" t="s">
        <v>51</v>
      </c>
      <c r="H437" t="s">
        <v>52</v>
      </c>
      <c r="I437" t="s">
        <v>53</v>
      </c>
      <c r="J437" t="s">
        <v>54</v>
      </c>
      <c r="K437">
        <v>650794</v>
      </c>
      <c r="L437" t="s">
        <v>235</v>
      </c>
      <c r="M437" t="s">
        <v>236</v>
      </c>
      <c r="N437" t="s">
        <v>57</v>
      </c>
      <c r="O437" s="1">
        <v>45906</v>
      </c>
      <c r="Q437" s="1">
        <v>46028</v>
      </c>
      <c r="R437" s="2">
        <v>52.69</v>
      </c>
      <c r="S437">
        <v>1</v>
      </c>
      <c r="T437" t="s">
        <v>58</v>
      </c>
      <c r="U437" t="s">
        <v>59</v>
      </c>
      <c r="V437" s="4">
        <v>0.6</v>
      </c>
      <c r="W437" s="2">
        <v>0</v>
      </c>
      <c r="X437">
        <v>0</v>
      </c>
      <c r="Y437" t="s">
        <v>83</v>
      </c>
      <c r="Z437" t="s">
        <v>61</v>
      </c>
      <c r="AA437">
        <v>0</v>
      </c>
      <c r="AB437" s="2">
        <v>0</v>
      </c>
      <c r="AC437" s="2">
        <v>0</v>
      </c>
      <c r="AD437" s="4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31.61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45999</v>
      </c>
      <c r="B438" t="s">
        <v>48</v>
      </c>
      <c r="C438">
        <v>649163</v>
      </c>
      <c r="D438">
        <v>2032018945</v>
      </c>
      <c r="E438" t="s">
        <v>737</v>
      </c>
      <c r="F438" t="s">
        <v>738</v>
      </c>
      <c r="G438" t="s">
        <v>51</v>
      </c>
      <c r="H438" t="s">
        <v>52</v>
      </c>
      <c r="I438" t="s">
        <v>53</v>
      </c>
      <c r="J438" t="s">
        <v>54</v>
      </c>
      <c r="K438">
        <v>820140</v>
      </c>
      <c r="L438" t="s">
        <v>358</v>
      </c>
      <c r="M438" t="s">
        <v>231</v>
      </c>
      <c r="N438" t="s">
        <v>57</v>
      </c>
      <c r="O438" s="1">
        <v>45968</v>
      </c>
      <c r="Q438" s="1">
        <v>46029</v>
      </c>
      <c r="R438" s="2">
        <v>42.45</v>
      </c>
      <c r="S438">
        <v>1</v>
      </c>
      <c r="T438" t="s">
        <v>58</v>
      </c>
      <c r="U438" t="s">
        <v>105</v>
      </c>
      <c r="V438" s="4">
        <v>0.2</v>
      </c>
      <c r="W438" s="2">
        <v>0</v>
      </c>
      <c r="X438">
        <v>0</v>
      </c>
      <c r="Y438" t="s">
        <v>83</v>
      </c>
      <c r="Z438" t="s">
        <v>61</v>
      </c>
      <c r="AA438">
        <v>0</v>
      </c>
      <c r="AB438" s="2">
        <v>0</v>
      </c>
      <c r="AC438" s="2">
        <v>0</v>
      </c>
      <c r="AD438" s="4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8.49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45999</v>
      </c>
      <c r="B439" t="s">
        <v>48</v>
      </c>
      <c r="C439">
        <v>649163</v>
      </c>
      <c r="D439">
        <v>2032204740</v>
      </c>
      <c r="E439" t="s">
        <v>693</v>
      </c>
      <c r="F439" t="s">
        <v>694</v>
      </c>
      <c r="G439" t="s">
        <v>51</v>
      </c>
      <c r="H439" t="s">
        <v>52</v>
      </c>
      <c r="I439" t="s">
        <v>53</v>
      </c>
      <c r="J439" t="s">
        <v>54</v>
      </c>
      <c r="K439">
        <v>650218</v>
      </c>
      <c r="L439" t="s">
        <v>88</v>
      </c>
      <c r="M439" t="s">
        <v>89</v>
      </c>
      <c r="N439" t="s">
        <v>94</v>
      </c>
      <c r="O439" s="1">
        <v>45992</v>
      </c>
      <c r="P439" s="1">
        <v>45999</v>
      </c>
      <c r="Q439" s="1">
        <v>46023</v>
      </c>
      <c r="R439" s="2">
        <v>-40.159999999999997</v>
      </c>
      <c r="S439">
        <v>1</v>
      </c>
      <c r="T439" t="s">
        <v>58</v>
      </c>
      <c r="U439" t="s">
        <v>105</v>
      </c>
      <c r="V439" s="4">
        <v>0.6</v>
      </c>
      <c r="W439" s="2">
        <v>0</v>
      </c>
      <c r="X439">
        <v>-1</v>
      </c>
      <c r="Y439" t="s">
        <v>83</v>
      </c>
      <c r="Z439" t="s">
        <v>61</v>
      </c>
      <c r="AA439">
        <v>0</v>
      </c>
      <c r="AB439" s="2">
        <v>0</v>
      </c>
      <c r="AC439" s="2">
        <v>0</v>
      </c>
      <c r="AD439" s="4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-24.1</v>
      </c>
      <c r="AN439" s="2">
        <v>-24.1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45999</v>
      </c>
      <c r="B440" t="s">
        <v>48</v>
      </c>
      <c r="C440">
        <v>649163</v>
      </c>
      <c r="D440">
        <v>2017242799</v>
      </c>
      <c r="E440" t="s">
        <v>720</v>
      </c>
      <c r="F440" t="s">
        <v>721</v>
      </c>
      <c r="G440" t="s">
        <v>51</v>
      </c>
      <c r="H440" t="s">
        <v>125</v>
      </c>
      <c r="I440" t="s">
        <v>75</v>
      </c>
      <c r="J440" t="s">
        <v>739</v>
      </c>
      <c r="K440">
        <v>652037</v>
      </c>
      <c r="L440" t="s">
        <v>235</v>
      </c>
      <c r="M440" t="s">
        <v>438</v>
      </c>
      <c r="N440" t="s">
        <v>57</v>
      </c>
      <c r="O440" s="1">
        <v>44930</v>
      </c>
      <c r="Q440" s="1">
        <v>46026</v>
      </c>
      <c r="R440" s="2">
        <v>53.56</v>
      </c>
      <c r="S440">
        <v>1</v>
      </c>
      <c r="T440" t="s">
        <v>58</v>
      </c>
      <c r="U440" t="s">
        <v>59</v>
      </c>
      <c r="V440" s="4">
        <v>0.1</v>
      </c>
      <c r="W440" s="2">
        <v>0</v>
      </c>
      <c r="X440">
        <v>0</v>
      </c>
      <c r="Y440" t="s">
        <v>60</v>
      </c>
      <c r="Z440" t="s">
        <v>61</v>
      </c>
      <c r="AA440">
        <v>0</v>
      </c>
      <c r="AB440" s="2">
        <v>0</v>
      </c>
      <c r="AC440" s="2">
        <v>0</v>
      </c>
      <c r="AD440" s="4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5.36</v>
      </c>
      <c r="AN440" s="2">
        <v>5.36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45999</v>
      </c>
      <c r="B441" t="s">
        <v>48</v>
      </c>
      <c r="C441">
        <v>649163</v>
      </c>
      <c r="D441">
        <v>2018167734</v>
      </c>
      <c r="E441" t="s">
        <v>740</v>
      </c>
      <c r="F441" t="s">
        <v>96</v>
      </c>
      <c r="G441" t="s">
        <v>51</v>
      </c>
      <c r="H441" t="s">
        <v>741</v>
      </c>
      <c r="I441" t="s">
        <v>75</v>
      </c>
      <c r="J441" t="s">
        <v>76</v>
      </c>
      <c r="K441">
        <v>651818</v>
      </c>
      <c r="L441" t="s">
        <v>246</v>
      </c>
      <c r="M441" t="s">
        <v>247</v>
      </c>
      <c r="N441" t="s">
        <v>57</v>
      </c>
      <c r="O441" s="1">
        <v>45024</v>
      </c>
      <c r="Q441" s="1">
        <v>46030</v>
      </c>
      <c r="R441" s="2">
        <v>64.05</v>
      </c>
      <c r="S441">
        <v>1</v>
      </c>
      <c r="T441" t="s">
        <v>58</v>
      </c>
      <c r="U441" t="s">
        <v>59</v>
      </c>
      <c r="V441" s="4">
        <v>0.1</v>
      </c>
      <c r="W441" s="2">
        <v>0</v>
      </c>
      <c r="X441">
        <v>0</v>
      </c>
      <c r="Y441" t="s">
        <v>60</v>
      </c>
      <c r="Z441" t="s">
        <v>61</v>
      </c>
      <c r="AA441">
        <v>0</v>
      </c>
      <c r="AB441" s="2">
        <v>0</v>
      </c>
      <c r="AC441" s="2">
        <v>0</v>
      </c>
      <c r="AD441" s="4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6.4</v>
      </c>
      <c r="AN441" s="2">
        <v>6.4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45999</v>
      </c>
      <c r="B442" t="s">
        <v>48</v>
      </c>
      <c r="C442">
        <v>649163</v>
      </c>
      <c r="D442">
        <v>2018365034</v>
      </c>
      <c r="E442" t="s">
        <v>742</v>
      </c>
      <c r="F442" t="s">
        <v>481</v>
      </c>
      <c r="G442" t="s">
        <v>51</v>
      </c>
      <c r="H442" t="s">
        <v>102</v>
      </c>
      <c r="I442" t="s">
        <v>75</v>
      </c>
      <c r="J442" t="s">
        <v>76</v>
      </c>
      <c r="K442">
        <v>651818</v>
      </c>
      <c r="L442" t="s">
        <v>246</v>
      </c>
      <c r="M442" t="s">
        <v>247</v>
      </c>
      <c r="N442" t="s">
        <v>57</v>
      </c>
      <c r="O442" s="1">
        <v>45054</v>
      </c>
      <c r="Q442" s="1">
        <v>46030</v>
      </c>
      <c r="R442" s="2">
        <v>171.06</v>
      </c>
      <c r="S442">
        <v>1</v>
      </c>
      <c r="T442" t="s">
        <v>58</v>
      </c>
      <c r="U442" t="s">
        <v>59</v>
      </c>
      <c r="V442" s="4">
        <v>0.1</v>
      </c>
      <c r="W442" s="2">
        <v>0</v>
      </c>
      <c r="X442">
        <v>0</v>
      </c>
      <c r="Y442" t="s">
        <v>60</v>
      </c>
      <c r="Z442" t="s">
        <v>61</v>
      </c>
      <c r="AA442">
        <v>0</v>
      </c>
      <c r="AB442" s="2">
        <v>0</v>
      </c>
      <c r="AC442" s="2">
        <v>0</v>
      </c>
      <c r="AD442" s="4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17.11</v>
      </c>
      <c r="AN442" s="2">
        <v>17.11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45999</v>
      </c>
      <c r="B443" t="s">
        <v>48</v>
      </c>
      <c r="C443">
        <v>649163</v>
      </c>
      <c r="D443">
        <v>2018382555</v>
      </c>
      <c r="E443" t="s">
        <v>743</v>
      </c>
      <c r="F443" t="s">
        <v>635</v>
      </c>
      <c r="G443" t="s">
        <v>51</v>
      </c>
      <c r="H443" t="s">
        <v>408</v>
      </c>
      <c r="I443" t="s">
        <v>75</v>
      </c>
      <c r="J443" t="s">
        <v>80</v>
      </c>
      <c r="K443">
        <v>651818</v>
      </c>
      <c r="L443" t="s">
        <v>246</v>
      </c>
      <c r="M443" t="s">
        <v>247</v>
      </c>
      <c r="N443" t="s">
        <v>57</v>
      </c>
      <c r="O443" s="1">
        <v>45052</v>
      </c>
      <c r="Q443" s="1">
        <v>46028</v>
      </c>
      <c r="R443" s="2">
        <v>188.94</v>
      </c>
      <c r="S443">
        <v>1</v>
      </c>
      <c r="T443" t="s">
        <v>58</v>
      </c>
      <c r="U443" t="s">
        <v>59</v>
      </c>
      <c r="V443" s="4">
        <v>0.1</v>
      </c>
      <c r="W443" s="2">
        <v>0</v>
      </c>
      <c r="X443">
        <v>0</v>
      </c>
      <c r="Y443" t="s">
        <v>60</v>
      </c>
      <c r="Z443" t="s">
        <v>61</v>
      </c>
      <c r="AA443">
        <v>0</v>
      </c>
      <c r="AB443" s="2">
        <v>0</v>
      </c>
      <c r="AC443" s="2">
        <v>0</v>
      </c>
      <c r="AD443" s="4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18.89</v>
      </c>
      <c r="AN443" s="2">
        <v>18.89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45999</v>
      </c>
      <c r="B444" t="s">
        <v>48</v>
      </c>
      <c r="C444">
        <v>649163</v>
      </c>
      <c r="D444">
        <v>2018462891</v>
      </c>
      <c r="E444" t="s">
        <v>744</v>
      </c>
      <c r="F444" t="s">
        <v>745</v>
      </c>
      <c r="G444" t="s">
        <v>51</v>
      </c>
      <c r="H444" t="s">
        <v>97</v>
      </c>
      <c r="I444" t="s">
        <v>75</v>
      </c>
      <c r="J444" t="s">
        <v>80</v>
      </c>
      <c r="K444">
        <v>651818</v>
      </c>
      <c r="L444" t="s">
        <v>246</v>
      </c>
      <c r="M444" t="s">
        <v>247</v>
      </c>
      <c r="N444" t="s">
        <v>57</v>
      </c>
      <c r="O444" s="1">
        <v>45052</v>
      </c>
      <c r="Q444" s="1">
        <v>46028</v>
      </c>
      <c r="R444" s="2">
        <v>213.41</v>
      </c>
      <c r="S444">
        <v>1</v>
      </c>
      <c r="T444" t="s">
        <v>58</v>
      </c>
      <c r="U444" t="s">
        <v>59</v>
      </c>
      <c r="V444" s="4">
        <v>0.1</v>
      </c>
      <c r="W444" s="2">
        <v>0</v>
      </c>
      <c r="X444">
        <v>0</v>
      </c>
      <c r="Y444" t="s">
        <v>60</v>
      </c>
      <c r="Z444" t="s">
        <v>61</v>
      </c>
      <c r="AA444">
        <v>0</v>
      </c>
      <c r="AB444" s="2">
        <v>0</v>
      </c>
      <c r="AC444" s="2">
        <v>0</v>
      </c>
      <c r="AD444" s="4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21.34</v>
      </c>
      <c r="AN444" s="2">
        <v>21.34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45999</v>
      </c>
      <c r="B445" t="s">
        <v>48</v>
      </c>
      <c r="C445">
        <v>649163</v>
      </c>
      <c r="D445">
        <v>2018514896</v>
      </c>
      <c r="E445" t="s">
        <v>746</v>
      </c>
      <c r="F445" t="s">
        <v>747</v>
      </c>
      <c r="G445" t="s">
        <v>51</v>
      </c>
      <c r="H445" t="s">
        <v>220</v>
      </c>
      <c r="I445" t="s">
        <v>75</v>
      </c>
      <c r="J445" t="s">
        <v>739</v>
      </c>
      <c r="K445">
        <v>651818</v>
      </c>
      <c r="L445" t="s">
        <v>246</v>
      </c>
      <c r="M445" t="s">
        <v>247</v>
      </c>
      <c r="N445" t="s">
        <v>57</v>
      </c>
      <c r="O445" s="1">
        <v>45052</v>
      </c>
      <c r="Q445" s="1">
        <v>46028</v>
      </c>
      <c r="R445" s="2">
        <v>23.88</v>
      </c>
      <c r="S445">
        <v>1</v>
      </c>
      <c r="T445" t="s">
        <v>58</v>
      </c>
      <c r="U445" t="s">
        <v>59</v>
      </c>
      <c r="V445" s="4">
        <v>0.1</v>
      </c>
      <c r="W445" s="2">
        <v>0</v>
      </c>
      <c r="X445">
        <v>0</v>
      </c>
      <c r="Y445" t="s">
        <v>60</v>
      </c>
      <c r="Z445" t="s">
        <v>61</v>
      </c>
      <c r="AA445">
        <v>0</v>
      </c>
      <c r="AB445" s="2">
        <v>0</v>
      </c>
      <c r="AC445" s="2">
        <v>0</v>
      </c>
      <c r="AD445" s="4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2.39</v>
      </c>
      <c r="AN445" s="2">
        <v>2.39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45999</v>
      </c>
      <c r="B446" t="s">
        <v>48</v>
      </c>
      <c r="C446">
        <v>649163</v>
      </c>
      <c r="D446">
        <v>2018855164</v>
      </c>
      <c r="E446" t="s">
        <v>748</v>
      </c>
      <c r="F446" t="s">
        <v>749</v>
      </c>
      <c r="G446" t="s">
        <v>51</v>
      </c>
      <c r="I446" t="s">
        <v>75</v>
      </c>
      <c r="J446" t="s">
        <v>80</v>
      </c>
      <c r="K446">
        <v>673059</v>
      </c>
      <c r="L446" t="s">
        <v>81</v>
      </c>
      <c r="M446" t="s">
        <v>82</v>
      </c>
      <c r="N446" t="s">
        <v>57</v>
      </c>
      <c r="O446" s="1">
        <v>45078</v>
      </c>
      <c r="Q446" s="1">
        <v>46023</v>
      </c>
      <c r="R446" s="2">
        <v>157.61000000000001</v>
      </c>
      <c r="S446">
        <v>1</v>
      </c>
      <c r="T446" t="s">
        <v>58</v>
      </c>
      <c r="U446" t="s">
        <v>59</v>
      </c>
      <c r="V446" s="4">
        <v>0.1</v>
      </c>
      <c r="W446" s="2">
        <v>0</v>
      </c>
      <c r="X446">
        <v>0</v>
      </c>
      <c r="Y446" t="s">
        <v>60</v>
      </c>
      <c r="Z446" t="s">
        <v>61</v>
      </c>
      <c r="AA446">
        <v>0</v>
      </c>
      <c r="AB446" s="2">
        <v>0</v>
      </c>
      <c r="AC446" s="2">
        <v>0</v>
      </c>
      <c r="AD446" s="4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15.76</v>
      </c>
      <c r="AN446" s="2">
        <v>15.76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45999</v>
      </c>
      <c r="B447" t="s">
        <v>48</v>
      </c>
      <c r="C447">
        <v>649163</v>
      </c>
      <c r="D447">
        <v>2018920321</v>
      </c>
      <c r="E447" t="s">
        <v>750</v>
      </c>
      <c r="F447" t="s">
        <v>751</v>
      </c>
      <c r="G447" t="s">
        <v>51</v>
      </c>
      <c r="H447" t="s">
        <v>125</v>
      </c>
      <c r="I447" t="s">
        <v>75</v>
      </c>
      <c r="J447" t="s">
        <v>739</v>
      </c>
      <c r="K447">
        <v>651818</v>
      </c>
      <c r="L447" t="s">
        <v>246</v>
      </c>
      <c r="M447" t="s">
        <v>247</v>
      </c>
      <c r="N447" t="s">
        <v>57</v>
      </c>
      <c r="O447" s="1">
        <v>45112</v>
      </c>
      <c r="Q447" s="1">
        <v>46027</v>
      </c>
      <c r="R447" s="2">
        <v>65.41</v>
      </c>
      <c r="S447">
        <v>1</v>
      </c>
      <c r="T447" t="s">
        <v>58</v>
      </c>
      <c r="U447" t="s">
        <v>59</v>
      </c>
      <c r="V447" s="4">
        <v>0.1</v>
      </c>
      <c r="W447" s="2">
        <v>0</v>
      </c>
      <c r="X447">
        <v>0</v>
      </c>
      <c r="Y447" t="s">
        <v>60</v>
      </c>
      <c r="Z447" t="s">
        <v>61</v>
      </c>
      <c r="AA447">
        <v>0</v>
      </c>
      <c r="AB447" s="2">
        <v>0</v>
      </c>
      <c r="AC447" s="2">
        <v>0</v>
      </c>
      <c r="AD447" s="4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6.54</v>
      </c>
      <c r="AN447" s="2">
        <v>6.54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45999</v>
      </c>
      <c r="B448" t="s">
        <v>48</v>
      </c>
      <c r="C448">
        <v>649163</v>
      </c>
      <c r="D448">
        <v>2019484024</v>
      </c>
      <c r="E448" t="s">
        <v>752</v>
      </c>
      <c r="F448" t="s">
        <v>753</v>
      </c>
      <c r="G448" t="s">
        <v>51</v>
      </c>
      <c r="H448" t="s">
        <v>374</v>
      </c>
      <c r="I448" t="s">
        <v>75</v>
      </c>
      <c r="J448" t="s">
        <v>80</v>
      </c>
      <c r="K448">
        <v>651818</v>
      </c>
      <c r="L448" t="s">
        <v>246</v>
      </c>
      <c r="M448" t="s">
        <v>247</v>
      </c>
      <c r="N448" t="s">
        <v>57</v>
      </c>
      <c r="O448" s="1">
        <v>45144</v>
      </c>
      <c r="Q448" s="1">
        <v>46028</v>
      </c>
      <c r="R448" s="2">
        <v>141.33000000000001</v>
      </c>
      <c r="S448">
        <v>1</v>
      </c>
      <c r="T448" t="s">
        <v>58</v>
      </c>
      <c r="U448" t="s">
        <v>59</v>
      </c>
      <c r="V448" s="4">
        <v>0.1</v>
      </c>
      <c r="W448" s="2">
        <v>0</v>
      </c>
      <c r="X448">
        <v>0</v>
      </c>
      <c r="Y448" t="s">
        <v>60</v>
      </c>
      <c r="Z448" t="s">
        <v>61</v>
      </c>
      <c r="AA448">
        <v>0</v>
      </c>
      <c r="AB448" s="2">
        <v>0</v>
      </c>
      <c r="AC448" s="2">
        <v>0</v>
      </c>
      <c r="AD448" s="4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14.13</v>
      </c>
      <c r="AN448" s="2">
        <v>14.13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45999</v>
      </c>
      <c r="B449" t="s">
        <v>48</v>
      </c>
      <c r="C449">
        <v>649163</v>
      </c>
      <c r="D449">
        <v>2021092886</v>
      </c>
      <c r="E449" t="s">
        <v>754</v>
      </c>
      <c r="F449" t="s">
        <v>755</v>
      </c>
      <c r="G449" t="s">
        <v>51</v>
      </c>
      <c r="H449" t="s">
        <v>97</v>
      </c>
      <c r="I449" t="s">
        <v>75</v>
      </c>
      <c r="J449" t="s">
        <v>80</v>
      </c>
      <c r="K449">
        <v>651818</v>
      </c>
      <c r="L449" t="s">
        <v>246</v>
      </c>
      <c r="M449" t="s">
        <v>247</v>
      </c>
      <c r="N449" t="s">
        <v>57</v>
      </c>
      <c r="O449" s="1">
        <v>45295</v>
      </c>
      <c r="Q449" s="1">
        <v>46026</v>
      </c>
      <c r="R449" s="2">
        <v>167.21</v>
      </c>
      <c r="S449">
        <v>1</v>
      </c>
      <c r="T449" t="s">
        <v>58</v>
      </c>
      <c r="U449" t="s">
        <v>59</v>
      </c>
      <c r="V449" s="4">
        <v>0.1</v>
      </c>
      <c r="W449" s="2">
        <v>0</v>
      </c>
      <c r="X449">
        <v>0</v>
      </c>
      <c r="Y449" t="s">
        <v>60</v>
      </c>
      <c r="Z449" t="s">
        <v>61</v>
      </c>
      <c r="AA449">
        <v>0</v>
      </c>
      <c r="AB449" s="2">
        <v>0</v>
      </c>
      <c r="AC449" s="2">
        <v>0</v>
      </c>
      <c r="AD449" s="4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16.72</v>
      </c>
      <c r="AN449" s="2">
        <v>16.72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45999</v>
      </c>
      <c r="B450" t="s">
        <v>48</v>
      </c>
      <c r="C450">
        <v>649163</v>
      </c>
      <c r="D450">
        <v>2021281141</v>
      </c>
      <c r="E450" t="s">
        <v>756</v>
      </c>
      <c r="F450" t="s">
        <v>757</v>
      </c>
      <c r="G450" t="s">
        <v>51</v>
      </c>
      <c r="H450" t="s">
        <v>131</v>
      </c>
      <c r="I450" t="s">
        <v>75</v>
      </c>
      <c r="J450" t="s">
        <v>80</v>
      </c>
      <c r="K450">
        <v>651818</v>
      </c>
      <c r="L450" t="s">
        <v>246</v>
      </c>
      <c r="M450" t="s">
        <v>247</v>
      </c>
      <c r="N450" t="s">
        <v>57</v>
      </c>
      <c r="O450" s="1">
        <v>45323</v>
      </c>
      <c r="Q450" s="1">
        <v>46023</v>
      </c>
      <c r="R450" s="2">
        <v>78.27</v>
      </c>
      <c r="S450">
        <v>1</v>
      </c>
      <c r="T450" t="s">
        <v>58</v>
      </c>
      <c r="U450" t="s">
        <v>59</v>
      </c>
      <c r="V450" s="4">
        <v>0.1</v>
      </c>
      <c r="W450" s="2">
        <v>0</v>
      </c>
      <c r="X450">
        <v>0</v>
      </c>
      <c r="Y450" t="s">
        <v>60</v>
      </c>
      <c r="Z450" t="s">
        <v>61</v>
      </c>
      <c r="AA450">
        <v>0</v>
      </c>
      <c r="AB450" s="2">
        <v>0</v>
      </c>
      <c r="AC450" s="2">
        <v>0</v>
      </c>
      <c r="AD450" s="4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7.83</v>
      </c>
      <c r="AN450" s="2">
        <v>7.83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45999</v>
      </c>
      <c r="B451" t="s">
        <v>48</v>
      </c>
      <c r="C451">
        <v>649163</v>
      </c>
      <c r="D451">
        <v>2021765999</v>
      </c>
      <c r="E451" t="s">
        <v>758</v>
      </c>
      <c r="F451" t="s">
        <v>759</v>
      </c>
      <c r="G451" t="s">
        <v>51</v>
      </c>
      <c r="H451" t="s">
        <v>97</v>
      </c>
      <c r="I451" t="s">
        <v>75</v>
      </c>
      <c r="J451" t="s">
        <v>80</v>
      </c>
      <c r="K451">
        <v>651818</v>
      </c>
      <c r="L451" t="s">
        <v>246</v>
      </c>
      <c r="M451" t="s">
        <v>247</v>
      </c>
      <c r="N451" t="s">
        <v>57</v>
      </c>
      <c r="O451" s="1">
        <v>45357</v>
      </c>
      <c r="Q451" s="1">
        <v>46028</v>
      </c>
      <c r="R451" s="2">
        <v>70.959999999999994</v>
      </c>
      <c r="S451">
        <v>1</v>
      </c>
      <c r="T451" t="s">
        <v>58</v>
      </c>
      <c r="U451" t="s">
        <v>59</v>
      </c>
      <c r="V451" s="4">
        <v>0.1</v>
      </c>
      <c r="W451" s="2">
        <v>0</v>
      </c>
      <c r="X451">
        <v>0</v>
      </c>
      <c r="Y451" t="s">
        <v>60</v>
      </c>
      <c r="Z451" t="s">
        <v>61</v>
      </c>
      <c r="AA451">
        <v>0</v>
      </c>
      <c r="AB451" s="2">
        <v>0</v>
      </c>
      <c r="AC451" s="2">
        <v>0</v>
      </c>
      <c r="AD451" s="4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7.1</v>
      </c>
      <c r="AN451" s="2">
        <v>7.1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45999</v>
      </c>
      <c r="B452" t="s">
        <v>48</v>
      </c>
      <c r="C452">
        <v>649163</v>
      </c>
      <c r="D452">
        <v>2021802310</v>
      </c>
      <c r="E452" t="s">
        <v>760</v>
      </c>
      <c r="F452" t="s">
        <v>137</v>
      </c>
      <c r="G452" t="s">
        <v>51</v>
      </c>
      <c r="H452" t="s">
        <v>97</v>
      </c>
      <c r="I452" t="s">
        <v>75</v>
      </c>
      <c r="J452" t="s">
        <v>76</v>
      </c>
      <c r="K452">
        <v>651818</v>
      </c>
      <c r="L452" t="s">
        <v>246</v>
      </c>
      <c r="M452" t="s">
        <v>247</v>
      </c>
      <c r="N452" t="s">
        <v>57</v>
      </c>
      <c r="O452" s="1">
        <v>45357</v>
      </c>
      <c r="Q452" s="1">
        <v>46028</v>
      </c>
      <c r="R452" s="2">
        <v>113.5</v>
      </c>
      <c r="S452">
        <v>1</v>
      </c>
      <c r="T452" t="s">
        <v>58</v>
      </c>
      <c r="U452" t="s">
        <v>59</v>
      </c>
      <c r="V452" s="4">
        <v>0.1</v>
      </c>
      <c r="W452" s="2">
        <v>0</v>
      </c>
      <c r="X452">
        <v>0</v>
      </c>
      <c r="Y452" t="s">
        <v>60</v>
      </c>
      <c r="Z452" t="s">
        <v>61</v>
      </c>
      <c r="AA452">
        <v>0</v>
      </c>
      <c r="AB452" s="2">
        <v>0</v>
      </c>
      <c r="AC452" s="2">
        <v>0</v>
      </c>
      <c r="AD452" s="4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11.35</v>
      </c>
      <c r="AN452" s="2">
        <v>11.35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45999</v>
      </c>
      <c r="B453" t="s">
        <v>48</v>
      </c>
      <c r="C453">
        <v>649163</v>
      </c>
      <c r="D453">
        <v>2021815679</v>
      </c>
      <c r="E453" t="s">
        <v>761</v>
      </c>
      <c r="F453" t="s">
        <v>182</v>
      </c>
      <c r="G453" t="s">
        <v>51</v>
      </c>
      <c r="H453" t="s">
        <v>357</v>
      </c>
      <c r="I453" t="s">
        <v>75</v>
      </c>
      <c r="J453" t="s">
        <v>80</v>
      </c>
      <c r="K453">
        <v>651818</v>
      </c>
      <c r="L453" t="s">
        <v>246</v>
      </c>
      <c r="M453" t="s">
        <v>247</v>
      </c>
      <c r="N453" t="s">
        <v>57</v>
      </c>
      <c r="O453" s="1">
        <v>45357</v>
      </c>
      <c r="Q453" s="1">
        <v>46028</v>
      </c>
      <c r="R453" s="2">
        <v>185.36</v>
      </c>
      <c r="S453">
        <v>1</v>
      </c>
      <c r="T453" t="s">
        <v>58</v>
      </c>
      <c r="U453" t="s">
        <v>59</v>
      </c>
      <c r="V453" s="4">
        <v>0.1</v>
      </c>
      <c r="W453" s="2">
        <v>0</v>
      </c>
      <c r="X453">
        <v>0</v>
      </c>
      <c r="Y453" t="s">
        <v>60</v>
      </c>
      <c r="Z453" t="s">
        <v>61</v>
      </c>
      <c r="AA453">
        <v>0</v>
      </c>
      <c r="AB453" s="2">
        <v>0</v>
      </c>
      <c r="AC453" s="2">
        <v>0</v>
      </c>
      <c r="AD453" s="4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18.54</v>
      </c>
      <c r="AN453" s="2">
        <v>18.54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45999</v>
      </c>
      <c r="B454" t="s">
        <v>48</v>
      </c>
      <c r="C454">
        <v>649163</v>
      </c>
      <c r="D454">
        <v>2022385257</v>
      </c>
      <c r="E454" t="s">
        <v>293</v>
      </c>
      <c r="F454" t="s">
        <v>144</v>
      </c>
      <c r="G454" t="s">
        <v>51</v>
      </c>
      <c r="H454" t="s">
        <v>125</v>
      </c>
      <c r="I454" t="s">
        <v>75</v>
      </c>
      <c r="J454" t="s">
        <v>739</v>
      </c>
      <c r="K454">
        <v>651818</v>
      </c>
      <c r="L454" t="s">
        <v>246</v>
      </c>
      <c r="M454" t="s">
        <v>247</v>
      </c>
      <c r="N454" t="s">
        <v>57</v>
      </c>
      <c r="O454" s="1">
        <v>45388</v>
      </c>
      <c r="Q454" s="1">
        <v>46028</v>
      </c>
      <c r="R454" s="2">
        <v>17.86</v>
      </c>
      <c r="S454">
        <v>1</v>
      </c>
      <c r="T454" t="s">
        <v>58</v>
      </c>
      <c r="U454" t="s">
        <v>59</v>
      </c>
      <c r="V454" s="4">
        <v>0.1</v>
      </c>
      <c r="W454" s="2">
        <v>0</v>
      </c>
      <c r="X454">
        <v>0</v>
      </c>
      <c r="Y454" t="s">
        <v>60</v>
      </c>
      <c r="Z454" t="s">
        <v>61</v>
      </c>
      <c r="AA454">
        <v>0</v>
      </c>
      <c r="AB454" s="2">
        <v>0</v>
      </c>
      <c r="AC454" s="2">
        <v>0</v>
      </c>
      <c r="AD454" s="4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1.79</v>
      </c>
      <c r="AN454" s="2">
        <v>1.79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45999</v>
      </c>
      <c r="B455" t="s">
        <v>48</v>
      </c>
      <c r="C455">
        <v>649163</v>
      </c>
      <c r="D455">
        <v>2022505612</v>
      </c>
      <c r="E455" t="s">
        <v>762</v>
      </c>
      <c r="F455" t="s">
        <v>411</v>
      </c>
      <c r="G455" t="s">
        <v>51</v>
      </c>
      <c r="H455" t="s">
        <v>374</v>
      </c>
      <c r="I455" t="s">
        <v>75</v>
      </c>
      <c r="J455" t="s">
        <v>80</v>
      </c>
      <c r="K455">
        <v>651818</v>
      </c>
      <c r="L455" t="s">
        <v>246</v>
      </c>
      <c r="M455" t="s">
        <v>247</v>
      </c>
      <c r="N455" t="s">
        <v>57</v>
      </c>
      <c r="O455" s="1">
        <v>45389</v>
      </c>
      <c r="Q455" s="1">
        <v>46029</v>
      </c>
      <c r="R455" s="2">
        <v>180.88</v>
      </c>
      <c r="S455">
        <v>1</v>
      </c>
      <c r="T455" t="s">
        <v>58</v>
      </c>
      <c r="U455" t="s">
        <v>59</v>
      </c>
      <c r="V455" s="4">
        <v>0.1</v>
      </c>
      <c r="W455" s="2">
        <v>0</v>
      </c>
      <c r="X455">
        <v>0</v>
      </c>
      <c r="Y455" t="s">
        <v>60</v>
      </c>
      <c r="Z455" t="s">
        <v>61</v>
      </c>
      <c r="AA455">
        <v>0</v>
      </c>
      <c r="AB455" s="2">
        <v>0</v>
      </c>
      <c r="AC455" s="2">
        <v>0</v>
      </c>
      <c r="AD455" s="4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18.09</v>
      </c>
      <c r="AN455" s="2">
        <v>18.09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45999</v>
      </c>
      <c r="B456" t="s">
        <v>48</v>
      </c>
      <c r="C456">
        <v>649163</v>
      </c>
      <c r="D456">
        <v>2022657266</v>
      </c>
      <c r="E456" t="s">
        <v>763</v>
      </c>
      <c r="F456" t="s">
        <v>764</v>
      </c>
      <c r="G456" t="s">
        <v>51</v>
      </c>
      <c r="H456" t="s">
        <v>97</v>
      </c>
      <c r="I456" t="s">
        <v>75</v>
      </c>
      <c r="J456" t="s">
        <v>80</v>
      </c>
      <c r="K456">
        <v>651818</v>
      </c>
      <c r="L456" t="s">
        <v>246</v>
      </c>
      <c r="M456" t="s">
        <v>247</v>
      </c>
      <c r="N456" t="s">
        <v>57</v>
      </c>
      <c r="O456" s="1">
        <v>45418</v>
      </c>
      <c r="Q456" s="1">
        <v>46028</v>
      </c>
      <c r="R456" s="2">
        <v>139.25</v>
      </c>
      <c r="S456">
        <v>1</v>
      </c>
      <c r="T456" t="s">
        <v>58</v>
      </c>
      <c r="U456" t="s">
        <v>59</v>
      </c>
      <c r="V456" s="4">
        <v>0.1</v>
      </c>
      <c r="W456" s="2">
        <v>0</v>
      </c>
      <c r="X456">
        <v>0</v>
      </c>
      <c r="Y456" t="s">
        <v>60</v>
      </c>
      <c r="Z456" t="s">
        <v>61</v>
      </c>
      <c r="AA456">
        <v>0</v>
      </c>
      <c r="AB456" s="2">
        <v>0</v>
      </c>
      <c r="AC456" s="2">
        <v>0</v>
      </c>
      <c r="AD456" s="4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13.92</v>
      </c>
      <c r="AN456" s="2">
        <v>13.92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45999</v>
      </c>
      <c r="B457" t="s">
        <v>48</v>
      </c>
      <c r="C457">
        <v>649163</v>
      </c>
      <c r="D457">
        <v>2023184015</v>
      </c>
      <c r="E457" t="s">
        <v>765</v>
      </c>
      <c r="F457" t="s">
        <v>101</v>
      </c>
      <c r="G457" t="s">
        <v>51</v>
      </c>
      <c r="H457" t="s">
        <v>386</v>
      </c>
      <c r="I457" t="s">
        <v>75</v>
      </c>
      <c r="J457" t="s">
        <v>76</v>
      </c>
      <c r="K457">
        <v>651818</v>
      </c>
      <c r="L457" t="s">
        <v>246</v>
      </c>
      <c r="M457" t="s">
        <v>247</v>
      </c>
      <c r="N457" t="s">
        <v>57</v>
      </c>
      <c r="O457" s="1">
        <v>45449</v>
      </c>
      <c r="Q457" s="1">
        <v>46028</v>
      </c>
      <c r="R457" s="2">
        <v>142.85</v>
      </c>
      <c r="S457">
        <v>1</v>
      </c>
      <c r="T457" t="s">
        <v>58</v>
      </c>
      <c r="U457" t="s">
        <v>59</v>
      </c>
      <c r="V457" s="4">
        <v>0.1</v>
      </c>
      <c r="W457" s="2">
        <v>0</v>
      </c>
      <c r="X457">
        <v>0</v>
      </c>
      <c r="Y457" t="s">
        <v>60</v>
      </c>
      <c r="Z457" t="s">
        <v>61</v>
      </c>
      <c r="AA457">
        <v>0</v>
      </c>
      <c r="AB457" s="2">
        <v>0</v>
      </c>
      <c r="AC457" s="2">
        <v>0</v>
      </c>
      <c r="AD457" s="4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14.28</v>
      </c>
      <c r="AN457" s="2">
        <v>14.28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45999</v>
      </c>
      <c r="B458" t="s">
        <v>48</v>
      </c>
      <c r="C458">
        <v>649163</v>
      </c>
      <c r="D458">
        <v>2023294111</v>
      </c>
      <c r="E458" t="s">
        <v>766</v>
      </c>
      <c r="F458" t="s">
        <v>767</v>
      </c>
      <c r="G458" t="s">
        <v>51</v>
      </c>
      <c r="H458" t="s">
        <v>267</v>
      </c>
      <c r="I458" t="s">
        <v>75</v>
      </c>
      <c r="J458" t="s">
        <v>80</v>
      </c>
      <c r="K458">
        <v>651818</v>
      </c>
      <c r="L458" t="s">
        <v>246</v>
      </c>
      <c r="M458" t="s">
        <v>247</v>
      </c>
      <c r="N458" t="s">
        <v>57</v>
      </c>
      <c r="O458" s="1">
        <v>45449</v>
      </c>
      <c r="Q458" s="1">
        <v>46028</v>
      </c>
      <c r="R458" s="2">
        <v>191.17</v>
      </c>
      <c r="S458">
        <v>1</v>
      </c>
      <c r="T458" t="s">
        <v>58</v>
      </c>
      <c r="U458" t="s">
        <v>59</v>
      </c>
      <c r="V458" s="4">
        <v>0.1</v>
      </c>
      <c r="W458" s="2">
        <v>0</v>
      </c>
      <c r="X458">
        <v>0</v>
      </c>
      <c r="Y458" t="s">
        <v>60</v>
      </c>
      <c r="Z458" t="s">
        <v>61</v>
      </c>
      <c r="AA458">
        <v>0</v>
      </c>
      <c r="AB458" s="2">
        <v>0</v>
      </c>
      <c r="AC458" s="2">
        <v>0</v>
      </c>
      <c r="AD458" s="4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19.12</v>
      </c>
      <c r="AN458" s="2">
        <v>19.12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45999</v>
      </c>
      <c r="B459" t="s">
        <v>48</v>
      </c>
      <c r="C459">
        <v>649163</v>
      </c>
      <c r="D459">
        <v>2023297034</v>
      </c>
      <c r="E459" t="s">
        <v>768</v>
      </c>
      <c r="F459" t="s">
        <v>769</v>
      </c>
      <c r="G459" t="s">
        <v>51</v>
      </c>
      <c r="H459" t="s">
        <v>386</v>
      </c>
      <c r="I459" t="s">
        <v>75</v>
      </c>
      <c r="J459" t="s">
        <v>76</v>
      </c>
      <c r="K459">
        <v>651818</v>
      </c>
      <c r="L459" t="s">
        <v>246</v>
      </c>
      <c r="M459" t="s">
        <v>247</v>
      </c>
      <c r="N459" t="s">
        <v>57</v>
      </c>
      <c r="O459" s="1">
        <v>45449</v>
      </c>
      <c r="Q459" s="1">
        <v>46028</v>
      </c>
      <c r="R459" s="2">
        <v>149.5</v>
      </c>
      <c r="S459">
        <v>1</v>
      </c>
      <c r="T459" t="s">
        <v>58</v>
      </c>
      <c r="U459" t="s">
        <v>59</v>
      </c>
      <c r="V459" s="4">
        <v>0.1</v>
      </c>
      <c r="W459" s="2">
        <v>0</v>
      </c>
      <c r="X459">
        <v>0</v>
      </c>
      <c r="Y459" t="s">
        <v>60</v>
      </c>
      <c r="Z459" t="s">
        <v>61</v>
      </c>
      <c r="AA459">
        <v>0</v>
      </c>
      <c r="AB459" s="2">
        <v>0</v>
      </c>
      <c r="AC459" s="2">
        <v>0</v>
      </c>
      <c r="AD459" s="4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14.95</v>
      </c>
      <c r="AN459" s="2">
        <v>14.95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45999</v>
      </c>
      <c r="B460" t="s">
        <v>48</v>
      </c>
      <c r="C460">
        <v>649163</v>
      </c>
      <c r="D460">
        <v>2023849739</v>
      </c>
      <c r="E460" t="s">
        <v>770</v>
      </c>
      <c r="F460" t="s">
        <v>771</v>
      </c>
      <c r="G460" t="s">
        <v>51</v>
      </c>
      <c r="H460" t="s">
        <v>102</v>
      </c>
      <c r="I460" t="s">
        <v>75</v>
      </c>
      <c r="J460" t="s">
        <v>76</v>
      </c>
      <c r="K460">
        <v>761385</v>
      </c>
      <c r="L460" t="s">
        <v>770</v>
      </c>
      <c r="M460" t="s">
        <v>771</v>
      </c>
      <c r="N460" t="s">
        <v>57</v>
      </c>
      <c r="O460" s="1">
        <v>45482</v>
      </c>
      <c r="Q460" s="1">
        <v>46031</v>
      </c>
      <c r="R460" s="2">
        <v>99.45</v>
      </c>
      <c r="S460">
        <v>1</v>
      </c>
      <c r="T460" t="s">
        <v>58</v>
      </c>
      <c r="U460" t="s">
        <v>59</v>
      </c>
      <c r="V460" s="4">
        <v>0.1</v>
      </c>
      <c r="W460" s="2">
        <v>0</v>
      </c>
      <c r="X460">
        <v>0</v>
      </c>
      <c r="Y460" t="s">
        <v>60</v>
      </c>
      <c r="Z460" t="s">
        <v>61</v>
      </c>
      <c r="AA460">
        <v>0</v>
      </c>
      <c r="AB460" s="2">
        <v>0</v>
      </c>
      <c r="AC460" s="2">
        <v>0</v>
      </c>
      <c r="AD460" s="4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9.94</v>
      </c>
      <c r="AN460" s="2">
        <v>9.94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45999</v>
      </c>
      <c r="B461" t="s">
        <v>48</v>
      </c>
      <c r="C461">
        <v>649163</v>
      </c>
      <c r="D461">
        <v>2024001564</v>
      </c>
      <c r="E461" t="s">
        <v>161</v>
      </c>
      <c r="F461" t="s">
        <v>65</v>
      </c>
      <c r="G461" t="s">
        <v>51</v>
      </c>
      <c r="H461" t="s">
        <v>389</v>
      </c>
      <c r="I461" t="s">
        <v>75</v>
      </c>
      <c r="J461" t="s">
        <v>80</v>
      </c>
      <c r="K461">
        <v>651818</v>
      </c>
      <c r="L461" t="s">
        <v>246</v>
      </c>
      <c r="M461" t="s">
        <v>247</v>
      </c>
      <c r="N461" t="s">
        <v>57</v>
      </c>
      <c r="O461" s="1">
        <v>45510</v>
      </c>
      <c r="Q461" s="1">
        <v>46028</v>
      </c>
      <c r="R461" s="2">
        <v>90.33</v>
      </c>
      <c r="S461">
        <v>1</v>
      </c>
      <c r="T461" t="s">
        <v>58</v>
      </c>
      <c r="U461" t="s">
        <v>59</v>
      </c>
      <c r="V461" s="4">
        <v>0.1</v>
      </c>
      <c r="W461" s="2">
        <v>0</v>
      </c>
      <c r="X461">
        <v>0</v>
      </c>
      <c r="Y461" t="s">
        <v>60</v>
      </c>
      <c r="Z461" t="s">
        <v>61</v>
      </c>
      <c r="AA461">
        <v>0</v>
      </c>
      <c r="AB461" s="2">
        <v>0</v>
      </c>
      <c r="AC461" s="2">
        <v>0</v>
      </c>
      <c r="AD461" s="4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9.0299999999999994</v>
      </c>
      <c r="AN461" s="2">
        <v>9.0299999999999994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45999</v>
      </c>
      <c r="B462" t="s">
        <v>48</v>
      </c>
      <c r="C462">
        <v>649163</v>
      </c>
      <c r="D462">
        <v>2024153178</v>
      </c>
      <c r="E462" t="s">
        <v>772</v>
      </c>
      <c r="F462" t="s">
        <v>773</v>
      </c>
      <c r="G462" t="s">
        <v>51</v>
      </c>
      <c r="H462" t="s">
        <v>97</v>
      </c>
      <c r="I462" t="s">
        <v>75</v>
      </c>
      <c r="J462" t="s">
        <v>80</v>
      </c>
      <c r="K462">
        <v>651818</v>
      </c>
      <c r="L462" t="s">
        <v>246</v>
      </c>
      <c r="M462" t="s">
        <v>247</v>
      </c>
      <c r="N462" t="s">
        <v>57</v>
      </c>
      <c r="O462" s="1">
        <v>45510</v>
      </c>
      <c r="Q462" s="1">
        <v>46028</v>
      </c>
      <c r="R462" s="2">
        <v>61.75</v>
      </c>
      <c r="S462">
        <v>1</v>
      </c>
      <c r="T462" t="s">
        <v>58</v>
      </c>
      <c r="U462" t="s">
        <v>59</v>
      </c>
      <c r="V462" s="4">
        <v>0.1</v>
      </c>
      <c r="W462" s="2">
        <v>0</v>
      </c>
      <c r="X462">
        <v>0</v>
      </c>
      <c r="Y462" t="s">
        <v>60</v>
      </c>
      <c r="Z462" t="s">
        <v>61</v>
      </c>
      <c r="AA462">
        <v>0</v>
      </c>
      <c r="AB462" s="2">
        <v>0</v>
      </c>
      <c r="AC462" s="2">
        <v>0</v>
      </c>
      <c r="AD462" s="4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6.18</v>
      </c>
      <c r="AN462" s="2">
        <v>6.18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45999</v>
      </c>
      <c r="B463" t="s">
        <v>48</v>
      </c>
      <c r="C463">
        <v>649163</v>
      </c>
      <c r="D463">
        <v>2024314175</v>
      </c>
      <c r="E463" t="s">
        <v>774</v>
      </c>
      <c r="F463" t="s">
        <v>775</v>
      </c>
      <c r="G463" t="s">
        <v>51</v>
      </c>
      <c r="H463" t="s">
        <v>357</v>
      </c>
      <c r="I463" t="s">
        <v>75</v>
      </c>
      <c r="J463" t="s">
        <v>80</v>
      </c>
      <c r="K463">
        <v>767312</v>
      </c>
      <c r="L463" t="s">
        <v>138</v>
      </c>
      <c r="M463" t="s">
        <v>107</v>
      </c>
      <c r="N463" t="s">
        <v>57</v>
      </c>
      <c r="O463" s="1">
        <v>45514</v>
      </c>
      <c r="Q463" s="1">
        <v>46032</v>
      </c>
      <c r="R463" s="2">
        <v>15.23</v>
      </c>
      <c r="S463">
        <v>1</v>
      </c>
      <c r="T463" t="s">
        <v>58</v>
      </c>
      <c r="U463" t="s">
        <v>59</v>
      </c>
      <c r="V463" s="4">
        <v>0.1</v>
      </c>
      <c r="W463" s="2">
        <v>0</v>
      </c>
      <c r="X463">
        <v>0</v>
      </c>
      <c r="Y463" t="s">
        <v>60</v>
      </c>
      <c r="Z463" t="s">
        <v>61</v>
      </c>
      <c r="AA463">
        <v>0</v>
      </c>
      <c r="AB463" s="2">
        <v>0</v>
      </c>
      <c r="AC463" s="2">
        <v>0</v>
      </c>
      <c r="AD463" s="4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1.52</v>
      </c>
      <c r="AN463" s="2">
        <v>1.52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45999</v>
      </c>
      <c r="B464" t="s">
        <v>48</v>
      </c>
      <c r="C464">
        <v>649163</v>
      </c>
      <c r="D464">
        <v>2024598450</v>
      </c>
      <c r="E464" t="s">
        <v>776</v>
      </c>
      <c r="F464" t="s">
        <v>777</v>
      </c>
      <c r="G464" t="s">
        <v>51</v>
      </c>
      <c r="H464" t="s">
        <v>102</v>
      </c>
      <c r="I464" t="s">
        <v>75</v>
      </c>
      <c r="J464" t="s">
        <v>76</v>
      </c>
      <c r="K464">
        <v>651818</v>
      </c>
      <c r="L464" t="s">
        <v>246</v>
      </c>
      <c r="M464" t="s">
        <v>247</v>
      </c>
      <c r="N464" t="s">
        <v>57</v>
      </c>
      <c r="O464" s="1">
        <v>45542</v>
      </c>
      <c r="Q464" s="1">
        <v>46029</v>
      </c>
      <c r="R464" s="2">
        <v>90.76</v>
      </c>
      <c r="S464">
        <v>1</v>
      </c>
      <c r="T464" t="s">
        <v>58</v>
      </c>
      <c r="U464" t="s">
        <v>59</v>
      </c>
      <c r="V464" s="4">
        <v>0.1</v>
      </c>
      <c r="W464" s="2">
        <v>0</v>
      </c>
      <c r="X464">
        <v>0</v>
      </c>
      <c r="Y464" t="s">
        <v>60</v>
      </c>
      <c r="Z464" t="s">
        <v>61</v>
      </c>
      <c r="AA464">
        <v>0</v>
      </c>
      <c r="AB464" s="2">
        <v>0</v>
      </c>
      <c r="AC464" s="2">
        <v>0</v>
      </c>
      <c r="AD464" s="4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9.08</v>
      </c>
      <c r="AN464" s="2">
        <v>9.08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45999</v>
      </c>
      <c r="B465" t="s">
        <v>48</v>
      </c>
      <c r="C465">
        <v>649163</v>
      </c>
      <c r="D465">
        <v>2024789928</v>
      </c>
      <c r="E465" t="s">
        <v>778</v>
      </c>
      <c r="F465" t="s">
        <v>264</v>
      </c>
      <c r="G465" t="s">
        <v>51</v>
      </c>
      <c r="H465" t="s">
        <v>125</v>
      </c>
      <c r="I465" t="s">
        <v>75</v>
      </c>
      <c r="J465" t="s">
        <v>739</v>
      </c>
      <c r="K465">
        <v>767312</v>
      </c>
      <c r="L465" t="s">
        <v>138</v>
      </c>
      <c r="M465" t="s">
        <v>107</v>
      </c>
      <c r="N465" t="s">
        <v>57</v>
      </c>
      <c r="O465" s="1">
        <v>45545</v>
      </c>
      <c r="Q465" s="1">
        <v>46032</v>
      </c>
      <c r="R465" s="2">
        <v>27.12</v>
      </c>
      <c r="S465">
        <v>1</v>
      </c>
      <c r="T465" t="s">
        <v>58</v>
      </c>
      <c r="U465" t="s">
        <v>59</v>
      </c>
      <c r="V465" s="4">
        <v>0.1</v>
      </c>
      <c r="W465" s="2">
        <v>0</v>
      </c>
      <c r="X465">
        <v>0</v>
      </c>
      <c r="Y465" t="s">
        <v>60</v>
      </c>
      <c r="Z465" t="s">
        <v>61</v>
      </c>
      <c r="AA465">
        <v>0</v>
      </c>
      <c r="AB465" s="2">
        <v>0</v>
      </c>
      <c r="AC465" s="2">
        <v>0</v>
      </c>
      <c r="AD465" s="4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2.71</v>
      </c>
      <c r="AN465" s="2">
        <v>2.71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45999</v>
      </c>
      <c r="B466" t="s">
        <v>48</v>
      </c>
      <c r="C466">
        <v>649163</v>
      </c>
      <c r="D466">
        <v>2025254892</v>
      </c>
      <c r="E466" t="s">
        <v>779</v>
      </c>
      <c r="F466" t="s">
        <v>780</v>
      </c>
      <c r="G466" t="s">
        <v>51</v>
      </c>
      <c r="H466" t="s">
        <v>386</v>
      </c>
      <c r="I466" t="s">
        <v>75</v>
      </c>
      <c r="J466" t="s">
        <v>76</v>
      </c>
      <c r="K466">
        <v>767312</v>
      </c>
      <c r="L466" t="s">
        <v>138</v>
      </c>
      <c r="M466" t="s">
        <v>107</v>
      </c>
      <c r="N466" t="s">
        <v>57</v>
      </c>
      <c r="O466" s="1">
        <v>45576</v>
      </c>
      <c r="Q466" s="1">
        <v>46033</v>
      </c>
      <c r="R466" s="2">
        <v>48.79</v>
      </c>
      <c r="S466">
        <v>1</v>
      </c>
      <c r="T466" t="s">
        <v>58</v>
      </c>
      <c r="U466" t="s">
        <v>59</v>
      </c>
      <c r="V466" s="4">
        <v>0.1</v>
      </c>
      <c r="W466" s="2">
        <v>0</v>
      </c>
      <c r="X466">
        <v>0</v>
      </c>
      <c r="Y466" t="s">
        <v>60</v>
      </c>
      <c r="Z466" t="s">
        <v>61</v>
      </c>
      <c r="AA466">
        <v>0</v>
      </c>
      <c r="AB466" s="2">
        <v>0</v>
      </c>
      <c r="AC466" s="2">
        <v>0</v>
      </c>
      <c r="AD466" s="4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4.88</v>
      </c>
      <c r="AN466" s="2">
        <v>4.88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45999</v>
      </c>
      <c r="B467" t="s">
        <v>48</v>
      </c>
      <c r="C467">
        <v>649163</v>
      </c>
      <c r="D467">
        <v>2025260278</v>
      </c>
      <c r="E467" t="s">
        <v>781</v>
      </c>
      <c r="F467" t="s">
        <v>405</v>
      </c>
      <c r="G467" t="s">
        <v>51</v>
      </c>
      <c r="H467" t="s">
        <v>267</v>
      </c>
      <c r="I467" t="s">
        <v>75</v>
      </c>
      <c r="J467" t="s">
        <v>76</v>
      </c>
      <c r="K467">
        <v>651818</v>
      </c>
      <c r="L467" t="s">
        <v>246</v>
      </c>
      <c r="M467" t="s">
        <v>247</v>
      </c>
      <c r="N467" t="s">
        <v>57</v>
      </c>
      <c r="O467" s="1">
        <v>45603</v>
      </c>
      <c r="Q467" s="1">
        <v>46029</v>
      </c>
      <c r="R467" s="2">
        <v>267.5</v>
      </c>
      <c r="S467">
        <v>1</v>
      </c>
      <c r="T467" t="s">
        <v>58</v>
      </c>
      <c r="U467" t="s">
        <v>59</v>
      </c>
      <c r="V467" s="4">
        <v>0.1</v>
      </c>
      <c r="W467" s="2">
        <v>0</v>
      </c>
      <c r="X467">
        <v>0</v>
      </c>
      <c r="Y467" t="s">
        <v>60</v>
      </c>
      <c r="Z467" t="s">
        <v>61</v>
      </c>
      <c r="AA467">
        <v>0</v>
      </c>
      <c r="AB467" s="2">
        <v>0</v>
      </c>
      <c r="AC467" s="2">
        <v>0</v>
      </c>
      <c r="AD467" s="4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26.75</v>
      </c>
      <c r="AN467" s="2">
        <v>26.75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45999</v>
      </c>
      <c r="B468" t="s">
        <v>48</v>
      </c>
      <c r="C468">
        <v>649163</v>
      </c>
      <c r="D468">
        <v>2025262312</v>
      </c>
      <c r="E468" t="s">
        <v>533</v>
      </c>
      <c r="F468" t="s">
        <v>71</v>
      </c>
      <c r="G468" t="s">
        <v>51</v>
      </c>
      <c r="H468" t="s">
        <v>200</v>
      </c>
      <c r="I468" t="s">
        <v>75</v>
      </c>
      <c r="J468" t="s">
        <v>739</v>
      </c>
      <c r="K468">
        <v>796984</v>
      </c>
      <c r="L468" t="s">
        <v>344</v>
      </c>
      <c r="M468" t="s">
        <v>260</v>
      </c>
      <c r="N468" t="s">
        <v>57</v>
      </c>
      <c r="O468" s="1">
        <v>45576</v>
      </c>
      <c r="Q468" s="1">
        <v>46033</v>
      </c>
      <c r="R468" s="2">
        <v>22.71</v>
      </c>
      <c r="S468">
        <v>1</v>
      </c>
      <c r="T468" t="s">
        <v>58</v>
      </c>
      <c r="U468" t="s">
        <v>59</v>
      </c>
      <c r="V468" s="4">
        <v>0.1</v>
      </c>
      <c r="W468" s="2">
        <v>0</v>
      </c>
      <c r="X468">
        <v>0</v>
      </c>
      <c r="Y468" t="s">
        <v>60</v>
      </c>
      <c r="Z468" t="s">
        <v>61</v>
      </c>
      <c r="AA468">
        <v>0</v>
      </c>
      <c r="AB468" s="2">
        <v>0</v>
      </c>
      <c r="AC468" s="2">
        <v>0</v>
      </c>
      <c r="AD468" s="4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2.27</v>
      </c>
      <c r="AN468" s="2">
        <v>2.27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45999</v>
      </c>
      <c r="B469" t="s">
        <v>48</v>
      </c>
      <c r="C469">
        <v>649163</v>
      </c>
      <c r="D469">
        <v>2025287065</v>
      </c>
      <c r="E469" t="s">
        <v>782</v>
      </c>
      <c r="F469" t="s">
        <v>783</v>
      </c>
      <c r="G469" t="s">
        <v>51</v>
      </c>
      <c r="H469" t="s">
        <v>79</v>
      </c>
      <c r="I469" t="s">
        <v>75</v>
      </c>
      <c r="J469" t="s">
        <v>80</v>
      </c>
      <c r="K469">
        <v>767312</v>
      </c>
      <c r="L469" t="s">
        <v>138</v>
      </c>
      <c r="M469" t="s">
        <v>107</v>
      </c>
      <c r="N469" t="s">
        <v>57</v>
      </c>
      <c r="O469" s="1">
        <v>45577</v>
      </c>
      <c r="Q469" s="1">
        <v>46034</v>
      </c>
      <c r="R469" s="2">
        <v>13.92</v>
      </c>
      <c r="S469">
        <v>1</v>
      </c>
      <c r="T469" t="s">
        <v>58</v>
      </c>
      <c r="U469" t="s">
        <v>59</v>
      </c>
      <c r="V469" s="4">
        <v>0.1</v>
      </c>
      <c r="W469" s="2">
        <v>0</v>
      </c>
      <c r="X469">
        <v>0</v>
      </c>
      <c r="Y469" t="s">
        <v>60</v>
      </c>
      <c r="Z469" t="s">
        <v>61</v>
      </c>
      <c r="AA469">
        <v>0</v>
      </c>
      <c r="AB469" s="2">
        <v>0</v>
      </c>
      <c r="AC469" s="2">
        <v>0</v>
      </c>
      <c r="AD469" s="4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1.39</v>
      </c>
      <c r="AN469" s="2">
        <v>1.39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45999</v>
      </c>
      <c r="B470" t="s">
        <v>48</v>
      </c>
      <c r="C470">
        <v>649163</v>
      </c>
      <c r="D470">
        <v>2025639663</v>
      </c>
      <c r="E470" t="s">
        <v>784</v>
      </c>
      <c r="F470" t="s">
        <v>137</v>
      </c>
      <c r="G470" t="s">
        <v>51</v>
      </c>
      <c r="H470" t="s">
        <v>515</v>
      </c>
      <c r="I470" t="s">
        <v>75</v>
      </c>
      <c r="J470" t="s">
        <v>76</v>
      </c>
      <c r="K470">
        <v>673059</v>
      </c>
      <c r="L470" t="s">
        <v>81</v>
      </c>
      <c r="M470" t="s">
        <v>82</v>
      </c>
      <c r="N470" t="s">
        <v>57</v>
      </c>
      <c r="O470" s="1">
        <v>45602</v>
      </c>
      <c r="Q470" s="1">
        <v>46028</v>
      </c>
      <c r="R470" s="2">
        <v>94.78</v>
      </c>
      <c r="S470">
        <v>1</v>
      </c>
      <c r="T470" t="s">
        <v>58</v>
      </c>
      <c r="U470" t="s">
        <v>59</v>
      </c>
      <c r="V470" s="4">
        <v>0.1</v>
      </c>
      <c r="W470" s="2">
        <v>0</v>
      </c>
      <c r="X470">
        <v>0</v>
      </c>
      <c r="Y470" t="s">
        <v>60</v>
      </c>
      <c r="Z470" t="s">
        <v>61</v>
      </c>
      <c r="AA470">
        <v>0</v>
      </c>
      <c r="AB470" s="2">
        <v>0</v>
      </c>
      <c r="AC470" s="2">
        <v>0</v>
      </c>
      <c r="AD470" s="4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9.48</v>
      </c>
      <c r="AN470" s="2">
        <v>9.48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45999</v>
      </c>
      <c r="B471" t="s">
        <v>48</v>
      </c>
      <c r="C471">
        <v>649163</v>
      </c>
      <c r="D471">
        <v>2025655085</v>
      </c>
      <c r="E471" t="s">
        <v>785</v>
      </c>
      <c r="F471" t="s">
        <v>786</v>
      </c>
      <c r="G471" t="s">
        <v>51</v>
      </c>
      <c r="H471" t="s">
        <v>97</v>
      </c>
      <c r="I471" t="s">
        <v>75</v>
      </c>
      <c r="J471" t="s">
        <v>76</v>
      </c>
      <c r="K471">
        <v>651818</v>
      </c>
      <c r="L471" t="s">
        <v>246</v>
      </c>
      <c r="M471" t="s">
        <v>247</v>
      </c>
      <c r="N471" t="s">
        <v>57</v>
      </c>
      <c r="O471" s="1">
        <v>45604</v>
      </c>
      <c r="Q471" s="1">
        <v>46030</v>
      </c>
      <c r="R471" s="2">
        <v>68.25</v>
      </c>
      <c r="S471">
        <v>1</v>
      </c>
      <c r="T471" t="s">
        <v>58</v>
      </c>
      <c r="U471" t="s">
        <v>59</v>
      </c>
      <c r="V471" s="4">
        <v>0.1</v>
      </c>
      <c r="W471" s="2">
        <v>0</v>
      </c>
      <c r="X471">
        <v>0</v>
      </c>
      <c r="Y471" t="s">
        <v>60</v>
      </c>
      <c r="Z471" t="s">
        <v>61</v>
      </c>
      <c r="AA471">
        <v>0</v>
      </c>
      <c r="AB471" s="2">
        <v>0</v>
      </c>
      <c r="AC471" s="2">
        <v>0</v>
      </c>
      <c r="AD471" s="4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6.82</v>
      </c>
      <c r="AN471" s="2">
        <v>6.82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45999</v>
      </c>
      <c r="B472" t="s">
        <v>48</v>
      </c>
      <c r="C472">
        <v>649163</v>
      </c>
      <c r="D472">
        <v>2025690377</v>
      </c>
      <c r="E472" t="s">
        <v>787</v>
      </c>
      <c r="F472" t="s">
        <v>544</v>
      </c>
      <c r="G472" t="s">
        <v>51</v>
      </c>
      <c r="H472" t="s">
        <v>267</v>
      </c>
      <c r="I472" t="s">
        <v>75</v>
      </c>
      <c r="J472" t="s">
        <v>76</v>
      </c>
      <c r="K472">
        <v>651818</v>
      </c>
      <c r="L472" t="s">
        <v>246</v>
      </c>
      <c r="M472" t="s">
        <v>247</v>
      </c>
      <c r="N472" t="s">
        <v>57</v>
      </c>
      <c r="O472" s="1">
        <v>45664</v>
      </c>
      <c r="Q472" s="1">
        <v>46029</v>
      </c>
      <c r="R472" s="2">
        <v>19.63</v>
      </c>
      <c r="S472">
        <v>1</v>
      </c>
      <c r="T472" t="s">
        <v>58</v>
      </c>
      <c r="U472" t="s">
        <v>59</v>
      </c>
      <c r="V472" s="4">
        <v>0.75</v>
      </c>
      <c r="W472" s="2">
        <v>0</v>
      </c>
      <c r="X472">
        <v>0</v>
      </c>
      <c r="Y472" t="s">
        <v>83</v>
      </c>
      <c r="Z472" t="s">
        <v>61</v>
      </c>
      <c r="AA472">
        <v>0</v>
      </c>
      <c r="AB472" s="2">
        <v>0</v>
      </c>
      <c r="AC472" s="2">
        <v>0</v>
      </c>
      <c r="AD472" s="4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14.72</v>
      </c>
      <c r="AN472" s="2">
        <v>14.72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45999</v>
      </c>
      <c r="B473" t="s">
        <v>48</v>
      </c>
      <c r="C473">
        <v>649163</v>
      </c>
      <c r="D473">
        <v>2025721592</v>
      </c>
      <c r="E473" t="s">
        <v>788</v>
      </c>
      <c r="F473" t="s">
        <v>789</v>
      </c>
      <c r="G473" t="s">
        <v>51</v>
      </c>
      <c r="H473" t="s">
        <v>200</v>
      </c>
      <c r="I473" t="s">
        <v>75</v>
      </c>
      <c r="J473" t="s">
        <v>739</v>
      </c>
      <c r="K473">
        <v>796984</v>
      </c>
      <c r="L473" t="s">
        <v>344</v>
      </c>
      <c r="M473" t="s">
        <v>260</v>
      </c>
      <c r="N473" t="s">
        <v>57</v>
      </c>
      <c r="O473" s="1">
        <v>45608</v>
      </c>
      <c r="Q473" s="1">
        <v>46034</v>
      </c>
      <c r="R473" s="2">
        <v>56.03</v>
      </c>
      <c r="S473">
        <v>1</v>
      </c>
      <c r="T473" t="s">
        <v>58</v>
      </c>
      <c r="U473" t="s">
        <v>59</v>
      </c>
      <c r="V473" s="4">
        <v>0.1</v>
      </c>
      <c r="W473" s="2">
        <v>0</v>
      </c>
      <c r="X473">
        <v>0</v>
      </c>
      <c r="Y473" t="s">
        <v>60</v>
      </c>
      <c r="Z473" t="s">
        <v>61</v>
      </c>
      <c r="AA473">
        <v>0</v>
      </c>
      <c r="AB473" s="2">
        <v>0</v>
      </c>
      <c r="AC473" s="2">
        <v>0</v>
      </c>
      <c r="AD473" s="4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5.6</v>
      </c>
      <c r="AN473" s="2">
        <v>5.6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45999</v>
      </c>
      <c r="B474" t="s">
        <v>48</v>
      </c>
      <c r="C474">
        <v>649163</v>
      </c>
      <c r="D474">
        <v>2025727309</v>
      </c>
      <c r="E474" t="s">
        <v>661</v>
      </c>
      <c r="F474" t="s">
        <v>662</v>
      </c>
      <c r="G474" t="s">
        <v>51</v>
      </c>
      <c r="H474" t="s">
        <v>200</v>
      </c>
      <c r="I474" t="s">
        <v>75</v>
      </c>
      <c r="J474" t="s">
        <v>739</v>
      </c>
      <c r="K474">
        <v>796984</v>
      </c>
      <c r="L474" t="s">
        <v>344</v>
      </c>
      <c r="M474" t="s">
        <v>260</v>
      </c>
      <c r="N474" t="s">
        <v>57</v>
      </c>
      <c r="O474" s="1">
        <v>45608</v>
      </c>
      <c r="Q474" s="1">
        <v>46034</v>
      </c>
      <c r="R474" s="2">
        <v>42.13</v>
      </c>
      <c r="S474">
        <v>1</v>
      </c>
      <c r="T474" t="s">
        <v>58</v>
      </c>
      <c r="U474" t="s">
        <v>59</v>
      </c>
      <c r="V474" s="4">
        <v>0.1</v>
      </c>
      <c r="W474" s="2">
        <v>0</v>
      </c>
      <c r="X474">
        <v>0</v>
      </c>
      <c r="Y474" t="s">
        <v>60</v>
      </c>
      <c r="Z474" t="s">
        <v>61</v>
      </c>
      <c r="AA474">
        <v>0</v>
      </c>
      <c r="AB474" s="2">
        <v>0</v>
      </c>
      <c r="AC474" s="2">
        <v>0</v>
      </c>
      <c r="AD474" s="4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4.21</v>
      </c>
      <c r="AN474" s="2">
        <v>4.21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45999</v>
      </c>
      <c r="B475" t="s">
        <v>48</v>
      </c>
      <c r="C475">
        <v>649163</v>
      </c>
      <c r="D475">
        <v>2025732432</v>
      </c>
      <c r="E475" t="s">
        <v>404</v>
      </c>
      <c r="F475" t="s">
        <v>184</v>
      </c>
      <c r="G475" t="s">
        <v>51</v>
      </c>
      <c r="H475" t="s">
        <v>408</v>
      </c>
      <c r="I475" t="s">
        <v>75</v>
      </c>
      <c r="J475" t="s">
        <v>76</v>
      </c>
      <c r="K475">
        <v>651818</v>
      </c>
      <c r="L475" t="s">
        <v>246</v>
      </c>
      <c r="M475" t="s">
        <v>247</v>
      </c>
      <c r="N475" t="s">
        <v>57</v>
      </c>
      <c r="O475" s="1">
        <v>45664</v>
      </c>
      <c r="Q475" s="1">
        <v>46029</v>
      </c>
      <c r="R475" s="2">
        <v>93.93</v>
      </c>
      <c r="S475">
        <v>1</v>
      </c>
      <c r="T475" t="s">
        <v>58</v>
      </c>
      <c r="U475" t="s">
        <v>59</v>
      </c>
      <c r="V475" s="4">
        <v>0.75</v>
      </c>
      <c r="W475" s="2">
        <v>0</v>
      </c>
      <c r="X475">
        <v>0</v>
      </c>
      <c r="Y475" t="s">
        <v>83</v>
      </c>
      <c r="Z475" t="s">
        <v>61</v>
      </c>
      <c r="AA475">
        <v>0</v>
      </c>
      <c r="AB475" s="2">
        <v>0</v>
      </c>
      <c r="AC475" s="2">
        <v>0</v>
      </c>
      <c r="AD475" s="4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70.45</v>
      </c>
      <c r="AN475" s="2">
        <v>70.45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45999</v>
      </c>
      <c r="B476" t="s">
        <v>48</v>
      </c>
      <c r="C476">
        <v>649163</v>
      </c>
      <c r="D476">
        <v>2025772485</v>
      </c>
      <c r="E476" t="s">
        <v>114</v>
      </c>
      <c r="F476" t="s">
        <v>753</v>
      </c>
      <c r="G476" t="s">
        <v>51</v>
      </c>
      <c r="H476" t="s">
        <v>97</v>
      </c>
      <c r="I476" t="s">
        <v>75</v>
      </c>
      <c r="J476" t="s">
        <v>76</v>
      </c>
      <c r="K476">
        <v>651818</v>
      </c>
      <c r="L476" t="s">
        <v>246</v>
      </c>
      <c r="M476" t="s">
        <v>247</v>
      </c>
      <c r="N476" t="s">
        <v>57</v>
      </c>
      <c r="O476" s="1">
        <v>45633</v>
      </c>
      <c r="Q476" s="1">
        <v>46029</v>
      </c>
      <c r="R476" s="2">
        <v>157.47999999999999</v>
      </c>
      <c r="S476">
        <v>1</v>
      </c>
      <c r="T476" t="s">
        <v>58</v>
      </c>
      <c r="U476" t="s">
        <v>59</v>
      </c>
      <c r="V476" s="4">
        <v>0.1</v>
      </c>
      <c r="W476" s="2">
        <v>0</v>
      </c>
      <c r="X476">
        <v>0</v>
      </c>
      <c r="Y476" t="s">
        <v>60</v>
      </c>
      <c r="Z476" t="s">
        <v>61</v>
      </c>
      <c r="AA476">
        <v>0</v>
      </c>
      <c r="AB476" s="2">
        <v>0</v>
      </c>
      <c r="AC476" s="2">
        <v>0</v>
      </c>
      <c r="AD476" s="4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15.75</v>
      </c>
      <c r="AN476" s="2">
        <v>15.75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45999</v>
      </c>
      <c r="B477" t="s">
        <v>48</v>
      </c>
      <c r="C477">
        <v>649163</v>
      </c>
      <c r="D477">
        <v>2025815280</v>
      </c>
      <c r="E477" t="s">
        <v>790</v>
      </c>
      <c r="F477" t="s">
        <v>791</v>
      </c>
      <c r="G477" t="s">
        <v>51</v>
      </c>
      <c r="H477" t="s">
        <v>267</v>
      </c>
      <c r="I477" t="s">
        <v>75</v>
      </c>
      <c r="J477" t="s">
        <v>76</v>
      </c>
      <c r="K477">
        <v>651818</v>
      </c>
      <c r="L477" t="s">
        <v>246</v>
      </c>
      <c r="M477" t="s">
        <v>247</v>
      </c>
      <c r="N477" t="s">
        <v>57</v>
      </c>
      <c r="O477" s="1">
        <v>45633</v>
      </c>
      <c r="Q477" s="1">
        <v>46029</v>
      </c>
      <c r="R477" s="2">
        <v>12.1</v>
      </c>
      <c r="S477">
        <v>1</v>
      </c>
      <c r="T477" t="s">
        <v>58</v>
      </c>
      <c r="U477" t="s">
        <v>59</v>
      </c>
      <c r="V477" s="4">
        <v>0.1</v>
      </c>
      <c r="W477" s="2">
        <v>0</v>
      </c>
      <c r="X477">
        <v>0</v>
      </c>
      <c r="Y477" t="s">
        <v>60</v>
      </c>
      <c r="Z477" t="s">
        <v>61</v>
      </c>
      <c r="AA477">
        <v>0</v>
      </c>
      <c r="AB477" s="2">
        <v>0</v>
      </c>
      <c r="AC477" s="2">
        <v>0</v>
      </c>
      <c r="AD477" s="4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1.21</v>
      </c>
      <c r="AN477" s="2">
        <v>1.21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45999</v>
      </c>
      <c r="B478" t="s">
        <v>48</v>
      </c>
      <c r="C478">
        <v>649163</v>
      </c>
      <c r="D478">
        <v>2025839021</v>
      </c>
      <c r="E478" t="s">
        <v>792</v>
      </c>
      <c r="F478" t="s">
        <v>56</v>
      </c>
      <c r="G478" t="s">
        <v>51</v>
      </c>
      <c r="H478" t="s">
        <v>374</v>
      </c>
      <c r="I478" t="s">
        <v>75</v>
      </c>
      <c r="J478" t="s">
        <v>80</v>
      </c>
      <c r="K478">
        <v>651818</v>
      </c>
      <c r="L478" t="s">
        <v>246</v>
      </c>
      <c r="M478" t="s">
        <v>247</v>
      </c>
      <c r="N478" t="s">
        <v>57</v>
      </c>
      <c r="O478" s="1">
        <v>45633</v>
      </c>
      <c r="Q478" s="1">
        <v>46029</v>
      </c>
      <c r="R478" s="2">
        <v>104.44</v>
      </c>
      <c r="S478">
        <v>1</v>
      </c>
      <c r="T478" t="s">
        <v>58</v>
      </c>
      <c r="U478" t="s">
        <v>59</v>
      </c>
      <c r="V478" s="4">
        <v>0.1</v>
      </c>
      <c r="W478" s="2">
        <v>0</v>
      </c>
      <c r="X478">
        <v>0</v>
      </c>
      <c r="Y478" t="s">
        <v>60</v>
      </c>
      <c r="Z478" t="s">
        <v>61</v>
      </c>
      <c r="AA478">
        <v>0</v>
      </c>
      <c r="AB478" s="2">
        <v>0</v>
      </c>
      <c r="AC478" s="2">
        <v>0</v>
      </c>
      <c r="AD478" s="4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10.44</v>
      </c>
      <c r="AN478" s="2">
        <v>10.44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45999</v>
      </c>
      <c r="B479" t="s">
        <v>48</v>
      </c>
      <c r="C479">
        <v>649163</v>
      </c>
      <c r="D479">
        <v>2025863139</v>
      </c>
      <c r="E479" t="s">
        <v>492</v>
      </c>
      <c r="F479" t="s">
        <v>793</v>
      </c>
      <c r="G479" t="s">
        <v>51</v>
      </c>
      <c r="H479" t="s">
        <v>97</v>
      </c>
      <c r="I479" t="s">
        <v>75</v>
      </c>
      <c r="J479" t="s">
        <v>76</v>
      </c>
      <c r="K479">
        <v>651818</v>
      </c>
      <c r="L479" t="s">
        <v>246</v>
      </c>
      <c r="M479" t="s">
        <v>247</v>
      </c>
      <c r="N479" t="s">
        <v>57</v>
      </c>
      <c r="O479" s="1">
        <v>45633</v>
      </c>
      <c r="Q479" s="1">
        <v>46029</v>
      </c>
      <c r="R479" s="2">
        <v>107.02</v>
      </c>
      <c r="S479">
        <v>1</v>
      </c>
      <c r="T479" t="s">
        <v>58</v>
      </c>
      <c r="U479" t="s">
        <v>59</v>
      </c>
      <c r="V479" s="4">
        <v>0.1</v>
      </c>
      <c r="W479" s="2">
        <v>0</v>
      </c>
      <c r="X479">
        <v>0</v>
      </c>
      <c r="Y479" t="s">
        <v>60</v>
      </c>
      <c r="Z479" t="s">
        <v>61</v>
      </c>
      <c r="AA479">
        <v>0</v>
      </c>
      <c r="AB479" s="2">
        <v>0</v>
      </c>
      <c r="AC479" s="2">
        <v>0</v>
      </c>
      <c r="AD479" s="4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10.7</v>
      </c>
      <c r="AN479" s="2">
        <v>10.7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45999</v>
      </c>
      <c r="B480" t="s">
        <v>48</v>
      </c>
      <c r="C480">
        <v>649163</v>
      </c>
      <c r="D480">
        <v>2025884355</v>
      </c>
      <c r="E480" t="s">
        <v>161</v>
      </c>
      <c r="F480" t="s">
        <v>124</v>
      </c>
      <c r="G480" t="s">
        <v>51</v>
      </c>
      <c r="H480" t="s">
        <v>97</v>
      </c>
      <c r="I480" t="s">
        <v>75</v>
      </c>
      <c r="J480" t="s">
        <v>76</v>
      </c>
      <c r="K480">
        <v>651818</v>
      </c>
      <c r="L480" t="s">
        <v>246</v>
      </c>
      <c r="M480" t="s">
        <v>247</v>
      </c>
      <c r="N480" t="s">
        <v>57</v>
      </c>
      <c r="O480" s="1">
        <v>45633</v>
      </c>
      <c r="Q480" s="1">
        <v>46029</v>
      </c>
      <c r="R480" s="2">
        <v>113.85</v>
      </c>
      <c r="S480">
        <v>1</v>
      </c>
      <c r="T480" t="s">
        <v>58</v>
      </c>
      <c r="U480" t="s">
        <v>59</v>
      </c>
      <c r="V480" s="4">
        <v>0.1</v>
      </c>
      <c r="W480" s="2">
        <v>0</v>
      </c>
      <c r="X480">
        <v>0</v>
      </c>
      <c r="Y480" t="s">
        <v>60</v>
      </c>
      <c r="Z480" t="s">
        <v>61</v>
      </c>
      <c r="AA480">
        <v>0</v>
      </c>
      <c r="AB480" s="2">
        <v>0</v>
      </c>
      <c r="AC480" s="2">
        <v>0</v>
      </c>
      <c r="AD480" s="4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11.38</v>
      </c>
      <c r="AN480" s="2">
        <v>11.38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45999</v>
      </c>
      <c r="B481" t="s">
        <v>48</v>
      </c>
      <c r="C481">
        <v>649163</v>
      </c>
      <c r="D481">
        <v>2025887935</v>
      </c>
      <c r="E481" t="s">
        <v>268</v>
      </c>
      <c r="F481" t="s">
        <v>249</v>
      </c>
      <c r="G481" t="s">
        <v>51</v>
      </c>
      <c r="H481" t="s">
        <v>374</v>
      </c>
      <c r="I481" t="s">
        <v>75</v>
      </c>
      <c r="J481" t="s">
        <v>76</v>
      </c>
      <c r="K481">
        <v>651818</v>
      </c>
      <c r="L481" t="s">
        <v>246</v>
      </c>
      <c r="M481" t="s">
        <v>247</v>
      </c>
      <c r="N481" t="s">
        <v>57</v>
      </c>
      <c r="O481" s="1">
        <v>45633</v>
      </c>
      <c r="Q481" s="1">
        <v>46029</v>
      </c>
      <c r="R481" s="2">
        <v>95.25</v>
      </c>
      <c r="S481">
        <v>1</v>
      </c>
      <c r="T481" t="s">
        <v>58</v>
      </c>
      <c r="U481" t="s">
        <v>59</v>
      </c>
      <c r="V481" s="4">
        <v>0.1</v>
      </c>
      <c r="W481" s="2">
        <v>0</v>
      </c>
      <c r="X481">
        <v>0</v>
      </c>
      <c r="Y481" t="s">
        <v>60</v>
      </c>
      <c r="Z481" t="s">
        <v>61</v>
      </c>
      <c r="AA481">
        <v>0</v>
      </c>
      <c r="AB481" s="2">
        <v>0</v>
      </c>
      <c r="AC481" s="2">
        <v>0</v>
      </c>
      <c r="AD481" s="4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9.52</v>
      </c>
      <c r="AN481" s="2">
        <v>9.52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45999</v>
      </c>
      <c r="B482" t="s">
        <v>48</v>
      </c>
      <c r="C482">
        <v>649163</v>
      </c>
      <c r="D482">
        <v>2025896510</v>
      </c>
      <c r="E482" t="s">
        <v>794</v>
      </c>
      <c r="F482" t="s">
        <v>391</v>
      </c>
      <c r="G482" t="s">
        <v>51</v>
      </c>
      <c r="H482" t="s">
        <v>741</v>
      </c>
      <c r="I482" t="s">
        <v>75</v>
      </c>
      <c r="J482" t="s">
        <v>76</v>
      </c>
      <c r="K482">
        <v>651818</v>
      </c>
      <c r="L482" t="s">
        <v>246</v>
      </c>
      <c r="M482" t="s">
        <v>247</v>
      </c>
      <c r="N482" t="s">
        <v>57</v>
      </c>
      <c r="O482" s="1">
        <v>45633</v>
      </c>
      <c r="Q482" s="1">
        <v>46029</v>
      </c>
      <c r="R482" s="2">
        <v>131.94999999999999</v>
      </c>
      <c r="S482">
        <v>1</v>
      </c>
      <c r="T482" t="s">
        <v>58</v>
      </c>
      <c r="U482" t="s">
        <v>59</v>
      </c>
      <c r="V482" s="4">
        <v>0.1</v>
      </c>
      <c r="W482" s="2">
        <v>0</v>
      </c>
      <c r="X482">
        <v>0</v>
      </c>
      <c r="Y482" t="s">
        <v>60</v>
      </c>
      <c r="Z482" t="s">
        <v>61</v>
      </c>
      <c r="AA482">
        <v>0</v>
      </c>
      <c r="AB482" s="2">
        <v>0</v>
      </c>
      <c r="AC482" s="2">
        <v>0</v>
      </c>
      <c r="AD482" s="4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13.2</v>
      </c>
      <c r="AN482" s="2">
        <v>13.2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45999</v>
      </c>
      <c r="B483" t="s">
        <v>48</v>
      </c>
      <c r="C483">
        <v>649163</v>
      </c>
      <c r="D483">
        <v>2026036711</v>
      </c>
      <c r="E483" t="s">
        <v>450</v>
      </c>
      <c r="F483" t="s">
        <v>678</v>
      </c>
      <c r="G483" t="s">
        <v>51</v>
      </c>
      <c r="H483" t="s">
        <v>102</v>
      </c>
      <c r="I483" t="s">
        <v>75</v>
      </c>
      <c r="J483" t="s">
        <v>80</v>
      </c>
      <c r="K483">
        <v>651818</v>
      </c>
      <c r="L483" t="s">
        <v>246</v>
      </c>
      <c r="M483" t="s">
        <v>247</v>
      </c>
      <c r="N483" t="s">
        <v>57</v>
      </c>
      <c r="O483" s="1">
        <v>45664</v>
      </c>
      <c r="Q483" s="1">
        <v>46029</v>
      </c>
      <c r="R483" s="2">
        <v>152.33000000000001</v>
      </c>
      <c r="S483">
        <v>1</v>
      </c>
      <c r="T483" t="s">
        <v>58</v>
      </c>
      <c r="U483" t="s">
        <v>59</v>
      </c>
      <c r="V483" s="4">
        <v>0.9</v>
      </c>
      <c r="W483" s="2">
        <v>0</v>
      </c>
      <c r="X483">
        <v>0</v>
      </c>
      <c r="Y483" t="s">
        <v>83</v>
      </c>
      <c r="Z483" t="s">
        <v>61</v>
      </c>
      <c r="AA483">
        <v>0</v>
      </c>
      <c r="AB483" s="2">
        <v>0</v>
      </c>
      <c r="AC483" s="2">
        <v>0</v>
      </c>
      <c r="AD483" s="4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137.1</v>
      </c>
      <c r="AN483" s="2">
        <v>137.1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45999</v>
      </c>
      <c r="B484" t="s">
        <v>48</v>
      </c>
      <c r="C484">
        <v>649163</v>
      </c>
      <c r="D484">
        <v>2026050471</v>
      </c>
      <c r="E484" t="s">
        <v>795</v>
      </c>
      <c r="F484" t="s">
        <v>71</v>
      </c>
      <c r="G484" t="s">
        <v>51</v>
      </c>
      <c r="H484" t="s">
        <v>200</v>
      </c>
      <c r="I484" t="s">
        <v>75</v>
      </c>
      <c r="J484" t="s">
        <v>80</v>
      </c>
      <c r="K484">
        <v>796984</v>
      </c>
      <c r="L484" t="s">
        <v>344</v>
      </c>
      <c r="M484" t="s">
        <v>260</v>
      </c>
      <c r="N484" t="s">
        <v>57</v>
      </c>
      <c r="O484" s="1">
        <v>45632</v>
      </c>
      <c r="Q484" s="1">
        <v>46028</v>
      </c>
      <c r="R484" s="2">
        <v>66.75</v>
      </c>
      <c r="S484">
        <v>1</v>
      </c>
      <c r="T484" t="s">
        <v>58</v>
      </c>
      <c r="U484" t="s">
        <v>59</v>
      </c>
      <c r="V484" s="4">
        <v>0.1</v>
      </c>
      <c r="W484" s="2">
        <v>0</v>
      </c>
      <c r="X484">
        <v>0</v>
      </c>
      <c r="Y484" t="s">
        <v>60</v>
      </c>
      <c r="Z484" t="s">
        <v>61</v>
      </c>
      <c r="AA484">
        <v>0</v>
      </c>
      <c r="AB484" s="2">
        <v>0</v>
      </c>
      <c r="AC484" s="2">
        <v>0</v>
      </c>
      <c r="AD484" s="4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6.68</v>
      </c>
      <c r="AN484" s="2">
        <v>6.68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45999</v>
      </c>
      <c r="B485" t="s">
        <v>48</v>
      </c>
      <c r="C485">
        <v>649163</v>
      </c>
      <c r="D485">
        <v>2026053293</v>
      </c>
      <c r="E485" t="s">
        <v>796</v>
      </c>
      <c r="F485" t="s">
        <v>659</v>
      </c>
      <c r="G485" t="s">
        <v>51</v>
      </c>
      <c r="H485" t="s">
        <v>102</v>
      </c>
      <c r="I485" t="s">
        <v>75</v>
      </c>
      <c r="J485" t="s">
        <v>76</v>
      </c>
      <c r="K485">
        <v>651818</v>
      </c>
      <c r="L485" t="s">
        <v>246</v>
      </c>
      <c r="M485" t="s">
        <v>247</v>
      </c>
      <c r="N485" t="s">
        <v>57</v>
      </c>
      <c r="O485" s="1">
        <v>45664</v>
      </c>
      <c r="Q485" s="1">
        <v>46029</v>
      </c>
      <c r="R485" s="2">
        <v>78.430000000000007</v>
      </c>
      <c r="S485">
        <v>1</v>
      </c>
      <c r="T485" t="s">
        <v>58</v>
      </c>
      <c r="U485" t="s">
        <v>59</v>
      </c>
      <c r="V485" s="4">
        <v>0.75</v>
      </c>
      <c r="W485" s="2">
        <v>0</v>
      </c>
      <c r="X485">
        <v>0</v>
      </c>
      <c r="Y485" t="s">
        <v>83</v>
      </c>
      <c r="Z485" t="s">
        <v>61</v>
      </c>
      <c r="AA485">
        <v>0</v>
      </c>
      <c r="AB485" s="2">
        <v>0</v>
      </c>
      <c r="AC485" s="2">
        <v>0</v>
      </c>
      <c r="AD485" s="4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58.82</v>
      </c>
      <c r="AN485" s="2">
        <v>58.82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45999</v>
      </c>
      <c r="B486" t="s">
        <v>48</v>
      </c>
      <c r="C486">
        <v>649163</v>
      </c>
      <c r="D486">
        <v>2026082703</v>
      </c>
      <c r="E486" t="s">
        <v>797</v>
      </c>
      <c r="F486" t="s">
        <v>194</v>
      </c>
      <c r="G486" t="s">
        <v>51</v>
      </c>
      <c r="H486" t="s">
        <v>386</v>
      </c>
      <c r="I486" t="s">
        <v>75</v>
      </c>
      <c r="J486" t="s">
        <v>76</v>
      </c>
      <c r="K486">
        <v>651818</v>
      </c>
      <c r="L486" t="s">
        <v>246</v>
      </c>
      <c r="M486" t="s">
        <v>247</v>
      </c>
      <c r="N486" t="s">
        <v>57</v>
      </c>
      <c r="O486" s="1">
        <v>45664</v>
      </c>
      <c r="Q486" s="1">
        <v>46029</v>
      </c>
      <c r="R486" s="2">
        <v>148.53</v>
      </c>
      <c r="S486">
        <v>1</v>
      </c>
      <c r="T486" t="s">
        <v>58</v>
      </c>
      <c r="U486" t="s">
        <v>59</v>
      </c>
      <c r="V486" s="4">
        <v>0.75</v>
      </c>
      <c r="W486" s="2">
        <v>0</v>
      </c>
      <c r="X486">
        <v>0</v>
      </c>
      <c r="Y486" t="s">
        <v>83</v>
      </c>
      <c r="Z486" t="s">
        <v>61</v>
      </c>
      <c r="AA486">
        <v>0</v>
      </c>
      <c r="AB486" s="2">
        <v>0</v>
      </c>
      <c r="AC486" s="2">
        <v>0</v>
      </c>
      <c r="AD486" s="4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111.4</v>
      </c>
      <c r="AN486" s="2">
        <v>111.4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45999</v>
      </c>
      <c r="B487" t="s">
        <v>48</v>
      </c>
      <c r="C487">
        <v>649163</v>
      </c>
      <c r="D487">
        <v>2026099502</v>
      </c>
      <c r="E487" t="s">
        <v>798</v>
      </c>
      <c r="F487" t="s">
        <v>789</v>
      </c>
      <c r="G487" t="s">
        <v>51</v>
      </c>
      <c r="H487" t="s">
        <v>267</v>
      </c>
      <c r="I487" t="s">
        <v>75</v>
      </c>
      <c r="J487" t="s">
        <v>80</v>
      </c>
      <c r="K487">
        <v>651818</v>
      </c>
      <c r="L487" t="s">
        <v>246</v>
      </c>
      <c r="M487" t="s">
        <v>247</v>
      </c>
      <c r="N487" t="s">
        <v>57</v>
      </c>
      <c r="O487" s="1">
        <v>45664</v>
      </c>
      <c r="Q487" s="1">
        <v>46029</v>
      </c>
      <c r="R487" s="2">
        <v>234.17</v>
      </c>
      <c r="S487">
        <v>1</v>
      </c>
      <c r="T487" t="s">
        <v>58</v>
      </c>
      <c r="U487" t="s">
        <v>59</v>
      </c>
      <c r="V487" s="4">
        <v>0.9</v>
      </c>
      <c r="W487" s="2">
        <v>0</v>
      </c>
      <c r="X487">
        <v>0</v>
      </c>
      <c r="Y487" t="s">
        <v>83</v>
      </c>
      <c r="Z487" t="s">
        <v>61</v>
      </c>
      <c r="AA487">
        <v>0</v>
      </c>
      <c r="AB487" s="2">
        <v>0</v>
      </c>
      <c r="AC487" s="2">
        <v>0</v>
      </c>
      <c r="AD487" s="4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210.75</v>
      </c>
      <c r="AN487" s="2">
        <v>210.75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45999</v>
      </c>
      <c r="B488" t="s">
        <v>48</v>
      </c>
      <c r="C488">
        <v>649163</v>
      </c>
      <c r="D488">
        <v>2026102876</v>
      </c>
      <c r="E488" t="s">
        <v>799</v>
      </c>
      <c r="F488" t="s">
        <v>694</v>
      </c>
      <c r="G488" t="s">
        <v>51</v>
      </c>
      <c r="H488" t="s">
        <v>741</v>
      </c>
      <c r="I488" t="s">
        <v>75</v>
      </c>
      <c r="J488" t="s">
        <v>80</v>
      </c>
      <c r="K488">
        <v>651818</v>
      </c>
      <c r="L488" t="s">
        <v>246</v>
      </c>
      <c r="M488" t="s">
        <v>247</v>
      </c>
      <c r="N488" t="s">
        <v>57</v>
      </c>
      <c r="O488" s="1">
        <v>45664</v>
      </c>
      <c r="Q488" s="1">
        <v>46029</v>
      </c>
      <c r="R488" s="2">
        <v>180.88</v>
      </c>
      <c r="S488">
        <v>1</v>
      </c>
      <c r="T488" t="s">
        <v>58</v>
      </c>
      <c r="U488" t="s">
        <v>59</v>
      </c>
      <c r="V488" s="4">
        <v>0.9</v>
      </c>
      <c r="W488" s="2">
        <v>0</v>
      </c>
      <c r="X488">
        <v>0</v>
      </c>
      <c r="Y488" t="s">
        <v>83</v>
      </c>
      <c r="Z488" t="s">
        <v>61</v>
      </c>
      <c r="AA488">
        <v>0</v>
      </c>
      <c r="AB488" s="2">
        <v>0</v>
      </c>
      <c r="AC488" s="2">
        <v>0</v>
      </c>
      <c r="AD488" s="4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162.79</v>
      </c>
      <c r="AN488" s="2">
        <v>162.79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45999</v>
      </c>
      <c r="B489" t="s">
        <v>48</v>
      </c>
      <c r="C489">
        <v>649163</v>
      </c>
      <c r="D489">
        <v>2026103479</v>
      </c>
      <c r="E489" t="s">
        <v>800</v>
      </c>
      <c r="F489" t="s">
        <v>801</v>
      </c>
      <c r="G489" t="s">
        <v>51</v>
      </c>
      <c r="H489" t="s">
        <v>267</v>
      </c>
      <c r="I489" t="s">
        <v>75</v>
      </c>
      <c r="J489" t="s">
        <v>76</v>
      </c>
      <c r="K489">
        <v>651818</v>
      </c>
      <c r="L489" t="s">
        <v>246</v>
      </c>
      <c r="M489" t="s">
        <v>247</v>
      </c>
      <c r="N489" t="s">
        <v>57</v>
      </c>
      <c r="O489" s="1">
        <v>45664</v>
      </c>
      <c r="Q489" s="1">
        <v>46029</v>
      </c>
      <c r="R489" s="2">
        <v>45.3</v>
      </c>
      <c r="S489">
        <v>1</v>
      </c>
      <c r="T489" t="s">
        <v>58</v>
      </c>
      <c r="U489" t="s">
        <v>59</v>
      </c>
      <c r="V489" s="4">
        <v>0.75</v>
      </c>
      <c r="W489" s="2">
        <v>0</v>
      </c>
      <c r="X489">
        <v>0</v>
      </c>
      <c r="Y489" t="s">
        <v>83</v>
      </c>
      <c r="Z489" t="s">
        <v>61</v>
      </c>
      <c r="AA489">
        <v>0</v>
      </c>
      <c r="AB489" s="2">
        <v>0</v>
      </c>
      <c r="AC489" s="2">
        <v>0</v>
      </c>
      <c r="AD489" s="4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33.979999999999997</v>
      </c>
      <c r="AN489" s="2">
        <v>33.979999999999997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45999</v>
      </c>
      <c r="B490" t="s">
        <v>48</v>
      </c>
      <c r="C490">
        <v>649163</v>
      </c>
      <c r="D490">
        <v>2026113524</v>
      </c>
      <c r="E490" t="s">
        <v>802</v>
      </c>
      <c r="F490" t="s">
        <v>192</v>
      </c>
      <c r="G490" t="s">
        <v>51</v>
      </c>
      <c r="H490" t="s">
        <v>102</v>
      </c>
      <c r="I490" t="s">
        <v>75</v>
      </c>
      <c r="J490" t="s">
        <v>76</v>
      </c>
      <c r="K490">
        <v>651818</v>
      </c>
      <c r="L490" t="s">
        <v>246</v>
      </c>
      <c r="M490" t="s">
        <v>247</v>
      </c>
      <c r="N490" t="s">
        <v>57</v>
      </c>
      <c r="O490" s="1">
        <v>45664</v>
      </c>
      <c r="Q490" s="1">
        <v>46029</v>
      </c>
      <c r="R490" s="2">
        <v>144.18</v>
      </c>
      <c r="S490">
        <v>1</v>
      </c>
      <c r="T490" t="s">
        <v>58</v>
      </c>
      <c r="U490" t="s">
        <v>59</v>
      </c>
      <c r="V490" s="4">
        <v>0.75</v>
      </c>
      <c r="W490" s="2">
        <v>0</v>
      </c>
      <c r="X490">
        <v>0</v>
      </c>
      <c r="Y490" t="s">
        <v>83</v>
      </c>
      <c r="Z490" t="s">
        <v>61</v>
      </c>
      <c r="AA490">
        <v>0</v>
      </c>
      <c r="AB490" s="2">
        <v>0</v>
      </c>
      <c r="AC490" s="2">
        <v>0</v>
      </c>
      <c r="AD490" s="4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108.14</v>
      </c>
      <c r="AN490" s="2">
        <v>108.14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45999</v>
      </c>
      <c r="B491" t="s">
        <v>48</v>
      </c>
      <c r="C491">
        <v>649163</v>
      </c>
      <c r="D491">
        <v>2026126661</v>
      </c>
      <c r="E491" t="s">
        <v>790</v>
      </c>
      <c r="F491" t="s">
        <v>134</v>
      </c>
      <c r="G491" t="s">
        <v>51</v>
      </c>
      <c r="H491" t="s">
        <v>97</v>
      </c>
      <c r="I491" t="s">
        <v>75</v>
      </c>
      <c r="J491" t="s">
        <v>76</v>
      </c>
      <c r="K491">
        <v>651818</v>
      </c>
      <c r="L491" t="s">
        <v>246</v>
      </c>
      <c r="M491" t="s">
        <v>247</v>
      </c>
      <c r="N491" t="s">
        <v>57</v>
      </c>
      <c r="O491" s="1">
        <v>45664</v>
      </c>
      <c r="Q491" s="1">
        <v>46029</v>
      </c>
      <c r="R491" s="2">
        <v>107.5</v>
      </c>
      <c r="S491">
        <v>1</v>
      </c>
      <c r="T491" t="s">
        <v>58</v>
      </c>
      <c r="U491" t="s">
        <v>59</v>
      </c>
      <c r="V491" s="4">
        <v>0.75</v>
      </c>
      <c r="W491" s="2">
        <v>0</v>
      </c>
      <c r="X491">
        <v>0</v>
      </c>
      <c r="Y491" t="s">
        <v>83</v>
      </c>
      <c r="Z491" t="s">
        <v>61</v>
      </c>
      <c r="AA491">
        <v>0</v>
      </c>
      <c r="AB491" s="2">
        <v>0</v>
      </c>
      <c r="AC491" s="2">
        <v>0</v>
      </c>
      <c r="AD491" s="4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80.62</v>
      </c>
      <c r="AN491" s="2">
        <v>80.62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45999</v>
      </c>
      <c r="B492" t="s">
        <v>48</v>
      </c>
      <c r="C492">
        <v>649163</v>
      </c>
      <c r="D492">
        <v>2026133999</v>
      </c>
      <c r="E492" t="s">
        <v>344</v>
      </c>
      <c r="F492" t="s">
        <v>803</v>
      </c>
      <c r="G492" t="s">
        <v>51</v>
      </c>
      <c r="H492" t="s">
        <v>200</v>
      </c>
      <c r="I492" t="s">
        <v>75</v>
      </c>
      <c r="J492" t="s">
        <v>739</v>
      </c>
      <c r="K492">
        <v>816021</v>
      </c>
      <c r="L492" t="s">
        <v>201</v>
      </c>
      <c r="M492" t="s">
        <v>202</v>
      </c>
      <c r="N492" t="s">
        <v>57</v>
      </c>
      <c r="O492" s="1">
        <v>45638</v>
      </c>
      <c r="Q492" s="1">
        <v>46034</v>
      </c>
      <c r="R492" s="2">
        <v>100.33</v>
      </c>
      <c r="S492">
        <v>1</v>
      </c>
      <c r="T492" t="s">
        <v>58</v>
      </c>
      <c r="U492" t="s">
        <v>59</v>
      </c>
      <c r="V492" s="4">
        <v>0.1</v>
      </c>
      <c r="W492" s="2">
        <v>0</v>
      </c>
      <c r="X492">
        <v>0</v>
      </c>
      <c r="Y492" t="s">
        <v>60</v>
      </c>
      <c r="Z492" t="s">
        <v>61</v>
      </c>
      <c r="AA492">
        <v>0</v>
      </c>
      <c r="AB492" s="2">
        <v>0</v>
      </c>
      <c r="AC492" s="2">
        <v>0</v>
      </c>
      <c r="AD492" s="4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10.029999999999999</v>
      </c>
      <c r="AN492" s="2">
        <v>10.029999999999999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45999</v>
      </c>
      <c r="B493" t="s">
        <v>48</v>
      </c>
      <c r="C493">
        <v>649163</v>
      </c>
      <c r="D493">
        <v>2026145113</v>
      </c>
      <c r="E493" t="s">
        <v>804</v>
      </c>
      <c r="F493" t="s">
        <v>182</v>
      </c>
      <c r="G493" t="s">
        <v>51</v>
      </c>
      <c r="H493" t="s">
        <v>408</v>
      </c>
      <c r="I493" t="s">
        <v>75</v>
      </c>
      <c r="J493" t="s">
        <v>80</v>
      </c>
      <c r="K493">
        <v>651818</v>
      </c>
      <c r="L493" t="s">
        <v>246</v>
      </c>
      <c r="M493" t="s">
        <v>247</v>
      </c>
      <c r="N493" t="s">
        <v>57</v>
      </c>
      <c r="O493" s="1">
        <v>45664</v>
      </c>
      <c r="Q493" s="1">
        <v>46029</v>
      </c>
      <c r="R493" s="2">
        <v>128.61000000000001</v>
      </c>
      <c r="S493">
        <v>1</v>
      </c>
      <c r="T493" t="s">
        <v>58</v>
      </c>
      <c r="U493" t="s">
        <v>59</v>
      </c>
      <c r="V493" s="4">
        <v>0.9</v>
      </c>
      <c r="W493" s="2">
        <v>0</v>
      </c>
      <c r="X493">
        <v>0</v>
      </c>
      <c r="Y493" t="s">
        <v>83</v>
      </c>
      <c r="Z493" t="s">
        <v>61</v>
      </c>
      <c r="AA493">
        <v>0</v>
      </c>
      <c r="AB493" s="2">
        <v>0</v>
      </c>
      <c r="AC493" s="2">
        <v>0</v>
      </c>
      <c r="AD493" s="4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115.75</v>
      </c>
      <c r="AN493" s="2">
        <v>115.75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45999</v>
      </c>
      <c r="B494" t="s">
        <v>48</v>
      </c>
      <c r="C494">
        <v>649163</v>
      </c>
      <c r="D494">
        <v>2026150038</v>
      </c>
      <c r="E494" t="s">
        <v>805</v>
      </c>
      <c r="F494" t="s">
        <v>101</v>
      </c>
      <c r="G494" t="s">
        <v>51</v>
      </c>
      <c r="H494" t="s">
        <v>102</v>
      </c>
      <c r="I494" t="s">
        <v>75</v>
      </c>
      <c r="J494" t="s">
        <v>80</v>
      </c>
      <c r="K494">
        <v>651818</v>
      </c>
      <c r="L494" t="s">
        <v>246</v>
      </c>
      <c r="M494" t="s">
        <v>247</v>
      </c>
      <c r="N494" t="s">
        <v>57</v>
      </c>
      <c r="O494" s="1">
        <v>45664</v>
      </c>
      <c r="Q494" s="1">
        <v>46029</v>
      </c>
      <c r="R494" s="2">
        <v>59</v>
      </c>
      <c r="S494">
        <v>1</v>
      </c>
      <c r="T494" t="s">
        <v>58</v>
      </c>
      <c r="U494" t="s">
        <v>59</v>
      </c>
      <c r="V494" s="4">
        <v>0.9</v>
      </c>
      <c r="W494" s="2">
        <v>0</v>
      </c>
      <c r="X494">
        <v>0</v>
      </c>
      <c r="Y494" t="s">
        <v>83</v>
      </c>
      <c r="Z494" t="s">
        <v>61</v>
      </c>
      <c r="AA494">
        <v>0</v>
      </c>
      <c r="AB494" s="2">
        <v>0</v>
      </c>
      <c r="AC494" s="2">
        <v>0</v>
      </c>
      <c r="AD494" s="4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53.1</v>
      </c>
      <c r="AN494" s="2">
        <v>53.1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45999</v>
      </c>
      <c r="B495" t="s">
        <v>48</v>
      </c>
      <c r="C495">
        <v>649163</v>
      </c>
      <c r="D495">
        <v>2026154681</v>
      </c>
      <c r="E495" t="s">
        <v>806</v>
      </c>
      <c r="F495" t="s">
        <v>807</v>
      </c>
      <c r="G495" t="s">
        <v>51</v>
      </c>
      <c r="H495" t="s">
        <v>267</v>
      </c>
      <c r="I495" t="s">
        <v>75</v>
      </c>
      <c r="J495" t="s">
        <v>76</v>
      </c>
      <c r="K495">
        <v>651818</v>
      </c>
      <c r="L495" t="s">
        <v>246</v>
      </c>
      <c r="M495" t="s">
        <v>247</v>
      </c>
      <c r="N495" t="s">
        <v>57</v>
      </c>
      <c r="O495" s="1">
        <v>45664</v>
      </c>
      <c r="Q495" s="1">
        <v>46029</v>
      </c>
      <c r="R495" s="2">
        <v>119.95</v>
      </c>
      <c r="S495">
        <v>1</v>
      </c>
      <c r="T495" t="s">
        <v>58</v>
      </c>
      <c r="U495" t="s">
        <v>59</v>
      </c>
      <c r="V495" s="4">
        <v>0.75</v>
      </c>
      <c r="W495" s="2">
        <v>0</v>
      </c>
      <c r="X495">
        <v>0</v>
      </c>
      <c r="Y495" t="s">
        <v>83</v>
      </c>
      <c r="Z495" t="s">
        <v>61</v>
      </c>
      <c r="AA495">
        <v>0</v>
      </c>
      <c r="AB495" s="2">
        <v>0</v>
      </c>
      <c r="AC495" s="2">
        <v>0</v>
      </c>
      <c r="AD495" s="4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89.96</v>
      </c>
      <c r="AN495" s="2">
        <v>89.96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45999</v>
      </c>
      <c r="B496" t="s">
        <v>48</v>
      </c>
      <c r="C496">
        <v>649163</v>
      </c>
      <c r="D496">
        <v>2026155453</v>
      </c>
      <c r="E496" t="s">
        <v>808</v>
      </c>
      <c r="F496" t="s">
        <v>809</v>
      </c>
      <c r="G496" t="s">
        <v>51</v>
      </c>
      <c r="H496" t="s">
        <v>810</v>
      </c>
      <c r="I496" t="s">
        <v>75</v>
      </c>
      <c r="J496" t="s">
        <v>76</v>
      </c>
      <c r="K496">
        <v>651818</v>
      </c>
      <c r="L496" t="s">
        <v>246</v>
      </c>
      <c r="M496" t="s">
        <v>247</v>
      </c>
      <c r="N496" t="s">
        <v>57</v>
      </c>
      <c r="O496" s="1">
        <v>45664</v>
      </c>
      <c r="Q496" s="1">
        <v>46029</v>
      </c>
      <c r="R496" s="2">
        <v>67.3</v>
      </c>
      <c r="S496">
        <v>1</v>
      </c>
      <c r="T496" t="s">
        <v>58</v>
      </c>
      <c r="U496" t="s">
        <v>59</v>
      </c>
      <c r="V496" s="4">
        <v>0.75</v>
      </c>
      <c r="W496" s="2">
        <v>0</v>
      </c>
      <c r="X496">
        <v>0</v>
      </c>
      <c r="Y496" t="s">
        <v>83</v>
      </c>
      <c r="Z496" t="s">
        <v>61</v>
      </c>
      <c r="AA496">
        <v>0</v>
      </c>
      <c r="AB496" s="2">
        <v>0</v>
      </c>
      <c r="AC496" s="2">
        <v>0</v>
      </c>
      <c r="AD496" s="4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50.48</v>
      </c>
      <c r="AN496" s="2">
        <v>50.48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45999</v>
      </c>
      <c r="B497" t="s">
        <v>48</v>
      </c>
      <c r="C497">
        <v>649163</v>
      </c>
      <c r="D497">
        <v>2026166108</v>
      </c>
      <c r="E497" t="s">
        <v>811</v>
      </c>
      <c r="F497" t="s">
        <v>115</v>
      </c>
      <c r="G497" t="s">
        <v>51</v>
      </c>
      <c r="H497" t="s">
        <v>102</v>
      </c>
      <c r="I497" t="s">
        <v>75</v>
      </c>
      <c r="J497" t="s">
        <v>76</v>
      </c>
      <c r="K497">
        <v>651818</v>
      </c>
      <c r="L497" t="s">
        <v>246</v>
      </c>
      <c r="M497" t="s">
        <v>247</v>
      </c>
      <c r="N497" t="s">
        <v>57</v>
      </c>
      <c r="O497" s="1">
        <v>45664</v>
      </c>
      <c r="Q497" s="1">
        <v>46029</v>
      </c>
      <c r="R497" s="2">
        <v>129.13</v>
      </c>
      <c r="S497">
        <v>1</v>
      </c>
      <c r="T497" t="s">
        <v>58</v>
      </c>
      <c r="U497" t="s">
        <v>59</v>
      </c>
      <c r="V497" s="4">
        <v>0.75</v>
      </c>
      <c r="W497" s="2">
        <v>0</v>
      </c>
      <c r="X497">
        <v>0</v>
      </c>
      <c r="Y497" t="s">
        <v>83</v>
      </c>
      <c r="Z497" t="s">
        <v>61</v>
      </c>
      <c r="AA497">
        <v>0</v>
      </c>
      <c r="AB497" s="2">
        <v>0</v>
      </c>
      <c r="AC497" s="2">
        <v>0</v>
      </c>
      <c r="AD497" s="4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96.85</v>
      </c>
      <c r="AN497" s="2">
        <v>96.85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45999</v>
      </c>
      <c r="B498" t="s">
        <v>48</v>
      </c>
      <c r="C498">
        <v>649163</v>
      </c>
      <c r="D498">
        <v>2026175249</v>
      </c>
      <c r="E498" t="s">
        <v>812</v>
      </c>
      <c r="F498" t="s">
        <v>813</v>
      </c>
      <c r="G498" t="s">
        <v>51</v>
      </c>
      <c r="H498" t="s">
        <v>102</v>
      </c>
      <c r="I498" t="s">
        <v>75</v>
      </c>
      <c r="J498" t="s">
        <v>76</v>
      </c>
      <c r="K498">
        <v>651818</v>
      </c>
      <c r="L498" t="s">
        <v>246</v>
      </c>
      <c r="M498" t="s">
        <v>247</v>
      </c>
      <c r="N498" t="s">
        <v>57</v>
      </c>
      <c r="O498" s="1">
        <v>45664</v>
      </c>
      <c r="Q498" s="1">
        <v>46029</v>
      </c>
      <c r="R498" s="2">
        <v>61.27</v>
      </c>
      <c r="S498">
        <v>1</v>
      </c>
      <c r="T498" t="s">
        <v>58</v>
      </c>
      <c r="U498" t="s">
        <v>59</v>
      </c>
      <c r="V498" s="4">
        <v>0.75</v>
      </c>
      <c r="W498" s="2">
        <v>0</v>
      </c>
      <c r="X498">
        <v>0</v>
      </c>
      <c r="Y498" t="s">
        <v>83</v>
      </c>
      <c r="Z498" t="s">
        <v>61</v>
      </c>
      <c r="AA498">
        <v>0</v>
      </c>
      <c r="AB498" s="2">
        <v>0</v>
      </c>
      <c r="AC498" s="2">
        <v>0</v>
      </c>
      <c r="AD498" s="4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45.95</v>
      </c>
      <c r="AN498" s="2">
        <v>45.95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45999</v>
      </c>
      <c r="B499" t="s">
        <v>48</v>
      </c>
      <c r="C499">
        <v>649163</v>
      </c>
      <c r="D499">
        <v>2026185573</v>
      </c>
      <c r="E499" t="s">
        <v>701</v>
      </c>
      <c r="F499" t="s">
        <v>814</v>
      </c>
      <c r="G499" t="s">
        <v>51</v>
      </c>
      <c r="H499" t="s">
        <v>102</v>
      </c>
      <c r="I499" t="s">
        <v>75</v>
      </c>
      <c r="J499" t="s">
        <v>80</v>
      </c>
      <c r="K499">
        <v>651818</v>
      </c>
      <c r="L499" t="s">
        <v>246</v>
      </c>
      <c r="M499" t="s">
        <v>247</v>
      </c>
      <c r="N499" t="s">
        <v>57</v>
      </c>
      <c r="O499" s="1">
        <v>45664</v>
      </c>
      <c r="Q499" s="1">
        <v>46029</v>
      </c>
      <c r="R499" s="2">
        <v>135.59</v>
      </c>
      <c r="S499">
        <v>1</v>
      </c>
      <c r="T499" t="s">
        <v>58</v>
      </c>
      <c r="U499" t="s">
        <v>59</v>
      </c>
      <c r="V499" s="4">
        <v>0.9</v>
      </c>
      <c r="W499" s="2">
        <v>0</v>
      </c>
      <c r="X499">
        <v>0</v>
      </c>
      <c r="Y499" t="s">
        <v>83</v>
      </c>
      <c r="Z499" t="s">
        <v>61</v>
      </c>
      <c r="AA499">
        <v>0</v>
      </c>
      <c r="AB499" s="2">
        <v>0</v>
      </c>
      <c r="AC499" s="2">
        <v>0</v>
      </c>
      <c r="AD499" s="4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122.03</v>
      </c>
      <c r="AN499" s="2">
        <v>122.03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45999</v>
      </c>
      <c r="B500" t="s">
        <v>48</v>
      </c>
      <c r="C500">
        <v>649163</v>
      </c>
      <c r="D500">
        <v>2026236140</v>
      </c>
      <c r="E500" t="s">
        <v>815</v>
      </c>
      <c r="F500" t="s">
        <v>182</v>
      </c>
      <c r="G500" t="s">
        <v>51</v>
      </c>
      <c r="H500" t="s">
        <v>97</v>
      </c>
      <c r="I500" t="s">
        <v>75</v>
      </c>
      <c r="J500" t="s">
        <v>76</v>
      </c>
      <c r="K500">
        <v>651818</v>
      </c>
      <c r="L500" t="s">
        <v>246</v>
      </c>
      <c r="M500" t="s">
        <v>247</v>
      </c>
      <c r="N500" t="s">
        <v>57</v>
      </c>
      <c r="O500" s="1">
        <v>45664</v>
      </c>
      <c r="Q500" s="1">
        <v>46029</v>
      </c>
      <c r="R500" s="2">
        <v>127.21</v>
      </c>
      <c r="S500">
        <v>1</v>
      </c>
      <c r="T500" t="s">
        <v>58</v>
      </c>
      <c r="U500" t="s">
        <v>59</v>
      </c>
      <c r="V500" s="4">
        <v>0.75</v>
      </c>
      <c r="W500" s="2">
        <v>0</v>
      </c>
      <c r="X500">
        <v>0</v>
      </c>
      <c r="Y500" t="s">
        <v>83</v>
      </c>
      <c r="Z500" t="s">
        <v>61</v>
      </c>
      <c r="AA500">
        <v>0</v>
      </c>
      <c r="AB500" s="2">
        <v>0</v>
      </c>
      <c r="AC500" s="2">
        <v>0</v>
      </c>
      <c r="AD500" s="4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95.41</v>
      </c>
      <c r="AN500" s="2">
        <v>95.41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45999</v>
      </c>
      <c r="B501" t="s">
        <v>48</v>
      </c>
      <c r="C501">
        <v>649163</v>
      </c>
      <c r="D501">
        <v>2026298483</v>
      </c>
      <c r="E501" t="s">
        <v>816</v>
      </c>
      <c r="F501" t="s">
        <v>142</v>
      </c>
      <c r="G501" t="s">
        <v>51</v>
      </c>
      <c r="H501" t="s">
        <v>102</v>
      </c>
      <c r="I501" t="s">
        <v>75</v>
      </c>
      <c r="J501" t="s">
        <v>76</v>
      </c>
      <c r="K501">
        <v>651818</v>
      </c>
      <c r="L501" t="s">
        <v>246</v>
      </c>
      <c r="M501" t="s">
        <v>247</v>
      </c>
      <c r="N501" t="s">
        <v>57</v>
      </c>
      <c r="O501" s="1">
        <v>45664</v>
      </c>
      <c r="Q501" s="1">
        <v>46029</v>
      </c>
      <c r="R501" s="2">
        <v>25.6</v>
      </c>
      <c r="S501">
        <v>1</v>
      </c>
      <c r="T501" t="s">
        <v>58</v>
      </c>
      <c r="U501" t="s">
        <v>59</v>
      </c>
      <c r="V501" s="4">
        <v>0.75</v>
      </c>
      <c r="W501" s="2">
        <v>0</v>
      </c>
      <c r="X501">
        <v>0</v>
      </c>
      <c r="Y501" t="s">
        <v>83</v>
      </c>
      <c r="Z501" t="s">
        <v>61</v>
      </c>
      <c r="AA501">
        <v>0</v>
      </c>
      <c r="AB501" s="2">
        <v>0</v>
      </c>
      <c r="AC501" s="2">
        <v>0</v>
      </c>
      <c r="AD501" s="4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19.2</v>
      </c>
      <c r="AN501" s="2">
        <v>19.2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45999</v>
      </c>
      <c r="B502" t="s">
        <v>48</v>
      </c>
      <c r="C502">
        <v>649163</v>
      </c>
      <c r="D502">
        <v>2026498048</v>
      </c>
      <c r="E502" t="s">
        <v>490</v>
      </c>
      <c r="F502" t="s">
        <v>491</v>
      </c>
      <c r="G502" t="s">
        <v>51</v>
      </c>
      <c r="H502" t="s">
        <v>97</v>
      </c>
      <c r="I502" t="s">
        <v>75</v>
      </c>
      <c r="J502" t="s">
        <v>76</v>
      </c>
      <c r="K502">
        <v>651818</v>
      </c>
      <c r="L502" t="s">
        <v>246</v>
      </c>
      <c r="M502" t="s">
        <v>247</v>
      </c>
      <c r="N502" t="s">
        <v>57</v>
      </c>
      <c r="O502" s="1">
        <v>45695</v>
      </c>
      <c r="Q502" s="1">
        <v>46029</v>
      </c>
      <c r="R502" s="2">
        <v>160.30000000000001</v>
      </c>
      <c r="S502">
        <v>1</v>
      </c>
      <c r="T502" t="s">
        <v>58</v>
      </c>
      <c r="U502" t="s">
        <v>59</v>
      </c>
      <c r="V502" s="4">
        <v>0.75</v>
      </c>
      <c r="W502" s="2">
        <v>0</v>
      </c>
      <c r="X502">
        <v>0</v>
      </c>
      <c r="Y502" t="s">
        <v>83</v>
      </c>
      <c r="Z502" t="s">
        <v>61</v>
      </c>
      <c r="AA502">
        <v>0</v>
      </c>
      <c r="AB502" s="2">
        <v>0</v>
      </c>
      <c r="AC502" s="2">
        <v>0</v>
      </c>
      <c r="AD502" s="4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120.22</v>
      </c>
      <c r="AN502" s="2">
        <v>120.22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45999</v>
      </c>
      <c r="B503" t="s">
        <v>48</v>
      </c>
      <c r="C503">
        <v>649163</v>
      </c>
      <c r="D503">
        <v>2026521339</v>
      </c>
      <c r="E503" t="s">
        <v>817</v>
      </c>
      <c r="F503" t="s">
        <v>277</v>
      </c>
      <c r="G503" t="s">
        <v>51</v>
      </c>
      <c r="H503" t="s">
        <v>267</v>
      </c>
      <c r="I503" t="s">
        <v>75</v>
      </c>
      <c r="J503" t="s">
        <v>80</v>
      </c>
      <c r="K503">
        <v>651818</v>
      </c>
      <c r="L503" t="s">
        <v>246</v>
      </c>
      <c r="M503" t="s">
        <v>247</v>
      </c>
      <c r="N503" t="s">
        <v>57</v>
      </c>
      <c r="O503" s="1">
        <v>45695</v>
      </c>
      <c r="Q503" s="1">
        <v>46029</v>
      </c>
      <c r="R503" s="2">
        <v>171.34</v>
      </c>
      <c r="S503">
        <v>1</v>
      </c>
      <c r="T503" t="s">
        <v>58</v>
      </c>
      <c r="U503" t="s">
        <v>59</v>
      </c>
      <c r="V503" s="4">
        <v>0.9</v>
      </c>
      <c r="W503" s="2">
        <v>0</v>
      </c>
      <c r="X503">
        <v>0</v>
      </c>
      <c r="Y503" t="s">
        <v>83</v>
      </c>
      <c r="Z503" t="s">
        <v>61</v>
      </c>
      <c r="AA503">
        <v>0</v>
      </c>
      <c r="AB503" s="2">
        <v>0</v>
      </c>
      <c r="AC503" s="2">
        <v>0</v>
      </c>
      <c r="AD503" s="4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154.21</v>
      </c>
      <c r="AN503" s="2">
        <v>154.21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45999</v>
      </c>
      <c r="B504" t="s">
        <v>48</v>
      </c>
      <c r="C504">
        <v>649163</v>
      </c>
      <c r="D504">
        <v>2026544306</v>
      </c>
      <c r="E504" t="s">
        <v>818</v>
      </c>
      <c r="F504" t="s">
        <v>819</v>
      </c>
      <c r="G504" t="s">
        <v>51</v>
      </c>
      <c r="H504" t="s">
        <v>267</v>
      </c>
      <c r="I504" t="s">
        <v>75</v>
      </c>
      <c r="J504" t="s">
        <v>76</v>
      </c>
      <c r="K504">
        <v>651818</v>
      </c>
      <c r="L504" t="s">
        <v>246</v>
      </c>
      <c r="M504" t="s">
        <v>247</v>
      </c>
      <c r="N504" t="s">
        <v>57</v>
      </c>
      <c r="O504" s="1">
        <v>45695</v>
      </c>
      <c r="Q504" s="1">
        <v>46029</v>
      </c>
      <c r="R504" s="2">
        <v>189.31</v>
      </c>
      <c r="S504">
        <v>1</v>
      </c>
      <c r="T504" t="s">
        <v>58</v>
      </c>
      <c r="U504" t="s">
        <v>59</v>
      </c>
      <c r="V504" s="4">
        <v>0.75</v>
      </c>
      <c r="W504" s="2">
        <v>0</v>
      </c>
      <c r="X504">
        <v>0</v>
      </c>
      <c r="Y504" t="s">
        <v>83</v>
      </c>
      <c r="Z504" t="s">
        <v>61</v>
      </c>
      <c r="AA504">
        <v>0</v>
      </c>
      <c r="AB504" s="2">
        <v>0</v>
      </c>
      <c r="AC504" s="2">
        <v>0</v>
      </c>
      <c r="AD504" s="4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141.97999999999999</v>
      </c>
      <c r="AN504" s="2">
        <v>141.97999999999999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45999</v>
      </c>
      <c r="B505" t="s">
        <v>48</v>
      </c>
      <c r="C505">
        <v>649163</v>
      </c>
      <c r="D505">
        <v>2026599464</v>
      </c>
      <c r="E505" t="s">
        <v>820</v>
      </c>
      <c r="F505" t="s">
        <v>821</v>
      </c>
      <c r="G505" t="s">
        <v>51</v>
      </c>
      <c r="H505" t="s">
        <v>74</v>
      </c>
      <c r="I505" t="s">
        <v>75</v>
      </c>
      <c r="J505" t="s">
        <v>76</v>
      </c>
      <c r="K505">
        <v>651818</v>
      </c>
      <c r="L505" t="s">
        <v>246</v>
      </c>
      <c r="M505" t="s">
        <v>247</v>
      </c>
      <c r="N505" t="s">
        <v>57</v>
      </c>
      <c r="O505" s="1">
        <v>45695</v>
      </c>
      <c r="Q505" s="1">
        <v>46029</v>
      </c>
      <c r="R505" s="2">
        <v>64.23</v>
      </c>
      <c r="S505">
        <v>1</v>
      </c>
      <c r="T505" t="s">
        <v>58</v>
      </c>
      <c r="U505" t="s">
        <v>59</v>
      </c>
      <c r="V505" s="4">
        <v>0.75</v>
      </c>
      <c r="W505" s="2">
        <v>0</v>
      </c>
      <c r="X505">
        <v>0</v>
      </c>
      <c r="Y505" t="s">
        <v>83</v>
      </c>
      <c r="Z505" t="s">
        <v>61</v>
      </c>
      <c r="AA505">
        <v>0</v>
      </c>
      <c r="AB505" s="2">
        <v>0</v>
      </c>
      <c r="AC505" s="2">
        <v>0</v>
      </c>
      <c r="AD505" s="4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48.17</v>
      </c>
      <c r="AN505" s="2">
        <v>48.17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45999</v>
      </c>
      <c r="B506" t="s">
        <v>48</v>
      </c>
      <c r="C506">
        <v>649163</v>
      </c>
      <c r="D506">
        <v>2026617927</v>
      </c>
      <c r="E506" t="s">
        <v>486</v>
      </c>
      <c r="F506" t="s">
        <v>487</v>
      </c>
      <c r="G506" t="s">
        <v>51</v>
      </c>
      <c r="H506" t="s">
        <v>97</v>
      </c>
      <c r="I506" t="s">
        <v>75</v>
      </c>
      <c r="J506" t="s">
        <v>76</v>
      </c>
      <c r="K506">
        <v>651818</v>
      </c>
      <c r="L506" t="s">
        <v>246</v>
      </c>
      <c r="M506" t="s">
        <v>247</v>
      </c>
      <c r="N506" t="s">
        <v>57</v>
      </c>
      <c r="O506" s="1">
        <v>45695</v>
      </c>
      <c r="Q506" s="1">
        <v>46029</v>
      </c>
      <c r="R506" s="2">
        <v>71.63</v>
      </c>
      <c r="S506">
        <v>1</v>
      </c>
      <c r="T506" t="s">
        <v>58</v>
      </c>
      <c r="U506" t="s">
        <v>59</v>
      </c>
      <c r="V506" s="4">
        <v>0.75</v>
      </c>
      <c r="W506" s="2">
        <v>0</v>
      </c>
      <c r="X506">
        <v>0</v>
      </c>
      <c r="Y506" t="s">
        <v>83</v>
      </c>
      <c r="Z506" t="s">
        <v>61</v>
      </c>
      <c r="AA506">
        <v>0</v>
      </c>
      <c r="AB506" s="2">
        <v>0</v>
      </c>
      <c r="AC506" s="2">
        <v>0</v>
      </c>
      <c r="AD506" s="4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53.72</v>
      </c>
      <c r="AN506" s="2">
        <v>53.72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45999</v>
      </c>
      <c r="B507" t="s">
        <v>48</v>
      </c>
      <c r="C507">
        <v>649163</v>
      </c>
      <c r="D507">
        <v>2026628668</v>
      </c>
      <c r="E507" t="s">
        <v>488</v>
      </c>
      <c r="F507" t="s">
        <v>82</v>
      </c>
      <c r="G507" t="s">
        <v>51</v>
      </c>
      <c r="H507" t="s">
        <v>102</v>
      </c>
      <c r="I507" t="s">
        <v>75</v>
      </c>
      <c r="J507" t="s">
        <v>76</v>
      </c>
      <c r="K507">
        <v>651818</v>
      </c>
      <c r="L507" t="s">
        <v>246</v>
      </c>
      <c r="M507" t="s">
        <v>247</v>
      </c>
      <c r="N507" t="s">
        <v>57</v>
      </c>
      <c r="O507" s="1">
        <v>45695</v>
      </c>
      <c r="Q507" s="1">
        <v>46029</v>
      </c>
      <c r="R507" s="2">
        <v>39.4</v>
      </c>
      <c r="S507">
        <v>1</v>
      </c>
      <c r="T507" t="s">
        <v>58</v>
      </c>
      <c r="U507" t="s">
        <v>59</v>
      </c>
      <c r="V507" s="4">
        <v>0.75</v>
      </c>
      <c r="W507" s="2">
        <v>0</v>
      </c>
      <c r="X507">
        <v>0</v>
      </c>
      <c r="Y507" t="s">
        <v>83</v>
      </c>
      <c r="Z507" t="s">
        <v>61</v>
      </c>
      <c r="AA507">
        <v>0</v>
      </c>
      <c r="AB507" s="2">
        <v>0</v>
      </c>
      <c r="AC507" s="2">
        <v>0</v>
      </c>
      <c r="AD507" s="4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29.55</v>
      </c>
      <c r="AN507" s="2">
        <v>29.55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45999</v>
      </c>
      <c r="B508" t="s">
        <v>48</v>
      </c>
      <c r="C508">
        <v>649163</v>
      </c>
      <c r="D508">
        <v>2026637122</v>
      </c>
      <c r="E508" t="s">
        <v>293</v>
      </c>
      <c r="F508" t="s">
        <v>279</v>
      </c>
      <c r="G508" t="s">
        <v>51</v>
      </c>
      <c r="H508" t="s">
        <v>408</v>
      </c>
      <c r="I508" t="s">
        <v>75</v>
      </c>
      <c r="J508" t="s">
        <v>76</v>
      </c>
      <c r="K508">
        <v>651818</v>
      </c>
      <c r="L508" t="s">
        <v>246</v>
      </c>
      <c r="M508" t="s">
        <v>247</v>
      </c>
      <c r="N508" t="s">
        <v>57</v>
      </c>
      <c r="O508" s="1">
        <v>45695</v>
      </c>
      <c r="Q508" s="1">
        <v>46029</v>
      </c>
      <c r="R508" s="2">
        <v>92.48</v>
      </c>
      <c r="S508">
        <v>1</v>
      </c>
      <c r="T508" t="s">
        <v>58</v>
      </c>
      <c r="U508" t="s">
        <v>59</v>
      </c>
      <c r="V508" s="4">
        <v>0.75</v>
      </c>
      <c r="W508" s="2">
        <v>0</v>
      </c>
      <c r="X508">
        <v>0</v>
      </c>
      <c r="Y508" t="s">
        <v>83</v>
      </c>
      <c r="Z508" t="s">
        <v>61</v>
      </c>
      <c r="AA508">
        <v>0</v>
      </c>
      <c r="AB508" s="2">
        <v>0</v>
      </c>
      <c r="AC508" s="2">
        <v>0</v>
      </c>
      <c r="AD508" s="4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69.36</v>
      </c>
      <c r="AN508" s="2">
        <v>69.36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45999</v>
      </c>
      <c r="B509" t="s">
        <v>48</v>
      </c>
      <c r="C509">
        <v>649163</v>
      </c>
      <c r="D509">
        <v>2026655555</v>
      </c>
      <c r="E509" t="s">
        <v>822</v>
      </c>
      <c r="F509" t="s">
        <v>137</v>
      </c>
      <c r="G509" t="s">
        <v>51</v>
      </c>
      <c r="H509" t="s">
        <v>102</v>
      </c>
      <c r="I509" t="s">
        <v>75</v>
      </c>
      <c r="J509" t="s">
        <v>76</v>
      </c>
      <c r="K509">
        <v>651818</v>
      </c>
      <c r="L509" t="s">
        <v>246</v>
      </c>
      <c r="M509" t="s">
        <v>247</v>
      </c>
      <c r="N509" t="s">
        <v>57</v>
      </c>
      <c r="O509" s="1">
        <v>45695</v>
      </c>
      <c r="Q509" s="1">
        <v>46029</v>
      </c>
      <c r="R509" s="2">
        <v>193.9</v>
      </c>
      <c r="S509">
        <v>1</v>
      </c>
      <c r="T509" t="s">
        <v>58</v>
      </c>
      <c r="U509" t="s">
        <v>59</v>
      </c>
      <c r="V509" s="4">
        <v>0.75</v>
      </c>
      <c r="W509" s="2">
        <v>0</v>
      </c>
      <c r="X509">
        <v>0</v>
      </c>
      <c r="Y509" t="s">
        <v>83</v>
      </c>
      <c r="Z509" t="s">
        <v>61</v>
      </c>
      <c r="AA509">
        <v>0</v>
      </c>
      <c r="AB509" s="2">
        <v>0</v>
      </c>
      <c r="AC509" s="2">
        <v>0</v>
      </c>
      <c r="AD509" s="4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145.41999999999999</v>
      </c>
      <c r="AN509" s="2">
        <v>145.41999999999999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45999</v>
      </c>
      <c r="B510" t="s">
        <v>48</v>
      </c>
      <c r="C510">
        <v>649163</v>
      </c>
      <c r="D510">
        <v>2026680615</v>
      </c>
      <c r="E510" t="s">
        <v>293</v>
      </c>
      <c r="F510" t="s">
        <v>489</v>
      </c>
      <c r="G510" t="s">
        <v>51</v>
      </c>
      <c r="H510" t="s">
        <v>383</v>
      </c>
      <c r="I510" t="s">
        <v>75</v>
      </c>
      <c r="J510" t="s">
        <v>76</v>
      </c>
      <c r="K510">
        <v>651818</v>
      </c>
      <c r="L510" t="s">
        <v>246</v>
      </c>
      <c r="M510" t="s">
        <v>247</v>
      </c>
      <c r="N510" t="s">
        <v>57</v>
      </c>
      <c r="O510" s="1">
        <v>45695</v>
      </c>
      <c r="Q510" s="1">
        <v>46029</v>
      </c>
      <c r="R510" s="2">
        <v>31.75</v>
      </c>
      <c r="S510">
        <v>1</v>
      </c>
      <c r="T510" t="s">
        <v>58</v>
      </c>
      <c r="U510" t="s">
        <v>59</v>
      </c>
      <c r="V510" s="4">
        <v>0.75</v>
      </c>
      <c r="W510" s="2">
        <v>0</v>
      </c>
      <c r="X510">
        <v>0</v>
      </c>
      <c r="Y510" t="s">
        <v>83</v>
      </c>
      <c r="Z510" t="s">
        <v>61</v>
      </c>
      <c r="AA510">
        <v>0</v>
      </c>
      <c r="AB510" s="2">
        <v>0</v>
      </c>
      <c r="AC510" s="2">
        <v>0</v>
      </c>
      <c r="AD510" s="4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23.81</v>
      </c>
      <c r="AN510" s="2">
        <v>23.81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45999</v>
      </c>
      <c r="B511" t="s">
        <v>48</v>
      </c>
      <c r="C511">
        <v>649163</v>
      </c>
      <c r="D511">
        <v>2026682347</v>
      </c>
      <c r="E511" t="s">
        <v>823</v>
      </c>
      <c r="F511" t="s">
        <v>824</v>
      </c>
      <c r="G511" t="s">
        <v>51</v>
      </c>
      <c r="H511" t="s">
        <v>102</v>
      </c>
      <c r="I511" t="s">
        <v>75</v>
      </c>
      <c r="J511" t="s">
        <v>76</v>
      </c>
      <c r="K511">
        <v>651818</v>
      </c>
      <c r="L511" t="s">
        <v>246</v>
      </c>
      <c r="M511" t="s">
        <v>247</v>
      </c>
      <c r="N511" t="s">
        <v>57</v>
      </c>
      <c r="O511" s="1">
        <v>45695</v>
      </c>
      <c r="Q511" s="1">
        <v>46029</v>
      </c>
      <c r="R511" s="2">
        <v>21.78</v>
      </c>
      <c r="S511">
        <v>1</v>
      </c>
      <c r="T511" t="s">
        <v>58</v>
      </c>
      <c r="U511" t="s">
        <v>59</v>
      </c>
      <c r="V511" s="4">
        <v>0.75</v>
      </c>
      <c r="W511" s="2">
        <v>0</v>
      </c>
      <c r="X511">
        <v>0</v>
      </c>
      <c r="Y511" t="s">
        <v>83</v>
      </c>
      <c r="Z511" t="s">
        <v>61</v>
      </c>
      <c r="AA511">
        <v>0</v>
      </c>
      <c r="AB511" s="2">
        <v>0</v>
      </c>
      <c r="AC511" s="2">
        <v>0</v>
      </c>
      <c r="AD511" s="4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16.34</v>
      </c>
      <c r="AN511" s="2">
        <v>16.34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45999</v>
      </c>
      <c r="B512" t="s">
        <v>48</v>
      </c>
      <c r="C512">
        <v>649163</v>
      </c>
      <c r="D512">
        <v>2026683722</v>
      </c>
      <c r="E512" t="s">
        <v>768</v>
      </c>
      <c r="F512" t="s">
        <v>582</v>
      </c>
      <c r="G512" t="s">
        <v>51</v>
      </c>
      <c r="H512" t="s">
        <v>267</v>
      </c>
      <c r="I512" t="s">
        <v>75</v>
      </c>
      <c r="J512" t="s">
        <v>80</v>
      </c>
      <c r="K512">
        <v>651818</v>
      </c>
      <c r="L512" t="s">
        <v>246</v>
      </c>
      <c r="M512" t="s">
        <v>247</v>
      </c>
      <c r="N512" t="s">
        <v>57</v>
      </c>
      <c r="O512" s="1">
        <v>45695</v>
      </c>
      <c r="Q512" s="1">
        <v>46029</v>
      </c>
      <c r="R512" s="2">
        <v>194.91</v>
      </c>
      <c r="S512">
        <v>1</v>
      </c>
      <c r="T512" t="s">
        <v>58</v>
      </c>
      <c r="U512" t="s">
        <v>59</v>
      </c>
      <c r="V512" s="4">
        <v>0.9</v>
      </c>
      <c r="W512" s="2">
        <v>0</v>
      </c>
      <c r="X512">
        <v>0</v>
      </c>
      <c r="Y512" t="s">
        <v>83</v>
      </c>
      <c r="Z512" t="s">
        <v>61</v>
      </c>
      <c r="AA512">
        <v>0</v>
      </c>
      <c r="AB512" s="2">
        <v>0</v>
      </c>
      <c r="AC512" s="2">
        <v>0</v>
      </c>
      <c r="AD512" s="4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175.42</v>
      </c>
      <c r="AN512" s="2">
        <v>175.42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45999</v>
      </c>
      <c r="B513" t="s">
        <v>48</v>
      </c>
      <c r="C513">
        <v>649163</v>
      </c>
      <c r="D513">
        <v>2026685116</v>
      </c>
      <c r="E513" t="s">
        <v>825</v>
      </c>
      <c r="F513" t="s">
        <v>421</v>
      </c>
      <c r="G513" t="s">
        <v>51</v>
      </c>
      <c r="H513" t="s">
        <v>408</v>
      </c>
      <c r="I513" t="s">
        <v>75</v>
      </c>
      <c r="J513" t="s">
        <v>80</v>
      </c>
      <c r="K513">
        <v>651818</v>
      </c>
      <c r="L513" t="s">
        <v>246</v>
      </c>
      <c r="M513" t="s">
        <v>247</v>
      </c>
      <c r="N513" t="s">
        <v>57</v>
      </c>
      <c r="O513" s="1">
        <v>45695</v>
      </c>
      <c r="Q513" s="1">
        <v>46029</v>
      </c>
      <c r="R513" s="2">
        <v>93.13</v>
      </c>
      <c r="S513">
        <v>1</v>
      </c>
      <c r="T513" t="s">
        <v>58</v>
      </c>
      <c r="U513" t="s">
        <v>59</v>
      </c>
      <c r="V513" s="4">
        <v>0.9</v>
      </c>
      <c r="W513" s="2">
        <v>0</v>
      </c>
      <c r="X513">
        <v>0</v>
      </c>
      <c r="Y513" t="s">
        <v>83</v>
      </c>
      <c r="Z513" t="s">
        <v>61</v>
      </c>
      <c r="AA513">
        <v>0</v>
      </c>
      <c r="AB513" s="2">
        <v>0</v>
      </c>
      <c r="AC513" s="2">
        <v>0</v>
      </c>
      <c r="AD513" s="4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83.82</v>
      </c>
      <c r="AN513" s="2">
        <v>83.82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45999</v>
      </c>
      <c r="B514" t="s">
        <v>48</v>
      </c>
      <c r="C514">
        <v>649163</v>
      </c>
      <c r="D514">
        <v>2026698496</v>
      </c>
      <c r="E514" t="s">
        <v>663</v>
      </c>
      <c r="F514" t="s">
        <v>664</v>
      </c>
      <c r="G514" t="s">
        <v>51</v>
      </c>
      <c r="H514" t="s">
        <v>267</v>
      </c>
      <c r="I514" t="s">
        <v>75</v>
      </c>
      <c r="J514" t="s">
        <v>76</v>
      </c>
      <c r="K514">
        <v>651818</v>
      </c>
      <c r="L514" t="s">
        <v>246</v>
      </c>
      <c r="M514" t="s">
        <v>247</v>
      </c>
      <c r="N514" t="s">
        <v>57</v>
      </c>
      <c r="O514" s="1">
        <v>45695</v>
      </c>
      <c r="Q514" s="1">
        <v>46029</v>
      </c>
      <c r="R514" s="2">
        <v>37.979999999999997</v>
      </c>
      <c r="S514">
        <v>1</v>
      </c>
      <c r="T514" t="s">
        <v>58</v>
      </c>
      <c r="U514" t="s">
        <v>59</v>
      </c>
      <c r="V514" s="4">
        <v>0.75</v>
      </c>
      <c r="W514" s="2">
        <v>0</v>
      </c>
      <c r="X514">
        <v>0</v>
      </c>
      <c r="Y514" t="s">
        <v>83</v>
      </c>
      <c r="Z514" t="s">
        <v>61</v>
      </c>
      <c r="AA514">
        <v>0</v>
      </c>
      <c r="AB514" s="2">
        <v>0</v>
      </c>
      <c r="AC514" s="2">
        <v>0</v>
      </c>
      <c r="AD514" s="4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28.48</v>
      </c>
      <c r="AN514" s="2">
        <v>28.48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45999</v>
      </c>
      <c r="B515" t="s">
        <v>48</v>
      </c>
      <c r="C515">
        <v>649163</v>
      </c>
      <c r="D515">
        <v>2026832449</v>
      </c>
      <c r="E515" t="s">
        <v>396</v>
      </c>
      <c r="F515" t="s">
        <v>438</v>
      </c>
      <c r="G515" t="s">
        <v>51</v>
      </c>
      <c r="H515" t="s">
        <v>386</v>
      </c>
      <c r="I515" t="s">
        <v>75</v>
      </c>
      <c r="J515" t="s">
        <v>76</v>
      </c>
      <c r="K515">
        <v>651818</v>
      </c>
      <c r="L515" t="s">
        <v>246</v>
      </c>
      <c r="M515" t="s">
        <v>247</v>
      </c>
      <c r="N515" t="s">
        <v>57</v>
      </c>
      <c r="O515" s="1">
        <v>45695</v>
      </c>
      <c r="Q515" s="1">
        <v>46029</v>
      </c>
      <c r="R515" s="2">
        <v>33.159999999999997</v>
      </c>
      <c r="S515">
        <v>1</v>
      </c>
      <c r="T515" t="s">
        <v>58</v>
      </c>
      <c r="U515" t="s">
        <v>59</v>
      </c>
      <c r="V515" s="4">
        <v>0.75</v>
      </c>
      <c r="W515" s="2">
        <v>0</v>
      </c>
      <c r="X515">
        <v>0</v>
      </c>
      <c r="Y515" t="s">
        <v>83</v>
      </c>
      <c r="Z515" t="s">
        <v>61</v>
      </c>
      <c r="AA515">
        <v>0</v>
      </c>
      <c r="AB515" s="2">
        <v>0</v>
      </c>
      <c r="AC515" s="2">
        <v>0</v>
      </c>
      <c r="AD515" s="4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24.87</v>
      </c>
      <c r="AN515" s="2">
        <v>24.87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45999</v>
      </c>
      <c r="B516" t="s">
        <v>48</v>
      </c>
      <c r="C516">
        <v>649163</v>
      </c>
      <c r="D516">
        <v>2026844912</v>
      </c>
      <c r="E516" t="s">
        <v>826</v>
      </c>
      <c r="F516" t="s">
        <v>827</v>
      </c>
      <c r="G516" t="s">
        <v>51</v>
      </c>
      <c r="H516" t="s">
        <v>102</v>
      </c>
      <c r="I516" t="s">
        <v>75</v>
      </c>
      <c r="J516" t="s">
        <v>80</v>
      </c>
      <c r="K516">
        <v>651818</v>
      </c>
      <c r="L516" t="s">
        <v>246</v>
      </c>
      <c r="M516" t="s">
        <v>247</v>
      </c>
      <c r="N516" t="s">
        <v>57</v>
      </c>
      <c r="O516" s="1">
        <v>45695</v>
      </c>
      <c r="Q516" s="1">
        <v>46029</v>
      </c>
      <c r="R516" s="2">
        <v>121.92</v>
      </c>
      <c r="S516">
        <v>1</v>
      </c>
      <c r="T516" t="s">
        <v>58</v>
      </c>
      <c r="U516" t="s">
        <v>59</v>
      </c>
      <c r="V516" s="4">
        <v>0.9</v>
      </c>
      <c r="W516" s="2">
        <v>0</v>
      </c>
      <c r="X516">
        <v>0</v>
      </c>
      <c r="Y516" t="s">
        <v>83</v>
      </c>
      <c r="Z516" t="s">
        <v>61</v>
      </c>
      <c r="AA516">
        <v>0</v>
      </c>
      <c r="AB516" s="2">
        <v>0</v>
      </c>
      <c r="AC516" s="2">
        <v>0</v>
      </c>
      <c r="AD516" s="4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109.73</v>
      </c>
      <c r="AN516" s="2">
        <v>109.73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45999</v>
      </c>
      <c r="B517" t="s">
        <v>48</v>
      </c>
      <c r="C517">
        <v>649163</v>
      </c>
      <c r="D517">
        <v>2026970603</v>
      </c>
      <c r="E517" t="s">
        <v>614</v>
      </c>
      <c r="F517" t="s">
        <v>283</v>
      </c>
      <c r="G517" t="s">
        <v>51</v>
      </c>
      <c r="H517" t="s">
        <v>97</v>
      </c>
      <c r="I517" t="s">
        <v>75</v>
      </c>
      <c r="J517" t="s">
        <v>76</v>
      </c>
      <c r="K517">
        <v>651818</v>
      </c>
      <c r="L517" t="s">
        <v>246</v>
      </c>
      <c r="M517" t="s">
        <v>247</v>
      </c>
      <c r="N517" t="s">
        <v>57</v>
      </c>
      <c r="O517" s="1">
        <v>45723</v>
      </c>
      <c r="Q517" s="1">
        <v>46029</v>
      </c>
      <c r="R517" s="2">
        <v>132.5</v>
      </c>
      <c r="S517">
        <v>1</v>
      </c>
      <c r="T517" t="s">
        <v>58</v>
      </c>
      <c r="U517" t="s">
        <v>59</v>
      </c>
      <c r="V517" s="4">
        <v>0.75</v>
      </c>
      <c r="W517" s="2">
        <v>0</v>
      </c>
      <c r="X517">
        <v>0</v>
      </c>
      <c r="Y517" t="s">
        <v>83</v>
      </c>
      <c r="Z517" t="s">
        <v>61</v>
      </c>
      <c r="AA517">
        <v>0</v>
      </c>
      <c r="AB517" s="2">
        <v>0</v>
      </c>
      <c r="AC517" s="2">
        <v>0</v>
      </c>
      <c r="AD517" s="4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99.38</v>
      </c>
      <c r="AN517" s="2">
        <v>99.38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45999</v>
      </c>
      <c r="B518" t="s">
        <v>48</v>
      </c>
      <c r="C518">
        <v>649163</v>
      </c>
      <c r="D518">
        <v>2027001809</v>
      </c>
      <c r="E518" t="s">
        <v>499</v>
      </c>
      <c r="F518" t="s">
        <v>500</v>
      </c>
      <c r="G518" t="s">
        <v>51</v>
      </c>
      <c r="H518" t="s">
        <v>200</v>
      </c>
      <c r="I518" t="s">
        <v>75</v>
      </c>
      <c r="J518" t="s">
        <v>80</v>
      </c>
      <c r="K518">
        <v>816021</v>
      </c>
      <c r="L518" t="s">
        <v>201</v>
      </c>
      <c r="M518" t="s">
        <v>202</v>
      </c>
      <c r="N518" t="s">
        <v>57</v>
      </c>
      <c r="O518" s="1">
        <v>45698</v>
      </c>
      <c r="Q518" s="1">
        <v>46032</v>
      </c>
      <c r="R518" s="2">
        <v>57.08</v>
      </c>
      <c r="S518">
        <v>1</v>
      </c>
      <c r="T518" t="s">
        <v>58</v>
      </c>
      <c r="U518" t="s">
        <v>59</v>
      </c>
      <c r="V518" s="4">
        <v>0.9</v>
      </c>
      <c r="W518" s="2">
        <v>0</v>
      </c>
      <c r="X518">
        <v>0</v>
      </c>
      <c r="Y518" t="s">
        <v>83</v>
      </c>
      <c r="Z518" t="s">
        <v>61</v>
      </c>
      <c r="AA518">
        <v>0</v>
      </c>
      <c r="AB518" s="2">
        <v>0</v>
      </c>
      <c r="AC518" s="2">
        <v>0</v>
      </c>
      <c r="AD518" s="4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51.37</v>
      </c>
      <c r="AN518" s="2">
        <v>51.37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45999</v>
      </c>
      <c r="B519" t="s">
        <v>48</v>
      </c>
      <c r="C519">
        <v>649163</v>
      </c>
      <c r="D519">
        <v>2027003323</v>
      </c>
      <c r="E519" t="s">
        <v>828</v>
      </c>
      <c r="F519" t="s">
        <v>829</v>
      </c>
      <c r="G519" t="s">
        <v>51</v>
      </c>
      <c r="H519" t="s">
        <v>200</v>
      </c>
      <c r="I519" t="s">
        <v>75</v>
      </c>
      <c r="J519" t="s">
        <v>739</v>
      </c>
      <c r="K519">
        <v>816021</v>
      </c>
      <c r="L519" t="s">
        <v>201</v>
      </c>
      <c r="M519" t="s">
        <v>202</v>
      </c>
      <c r="N519" t="s">
        <v>57</v>
      </c>
      <c r="O519" s="1">
        <v>45696</v>
      </c>
      <c r="Q519" s="1">
        <v>46030</v>
      </c>
      <c r="R519" s="2">
        <v>133.63</v>
      </c>
      <c r="S519">
        <v>1</v>
      </c>
      <c r="T519" t="s">
        <v>58</v>
      </c>
      <c r="U519" t="s">
        <v>59</v>
      </c>
      <c r="V519" s="4">
        <v>0.65</v>
      </c>
      <c r="W519" s="2">
        <v>0</v>
      </c>
      <c r="X519">
        <v>0</v>
      </c>
      <c r="Y519" t="s">
        <v>83</v>
      </c>
      <c r="Z519" t="s">
        <v>61</v>
      </c>
      <c r="AA519">
        <v>0</v>
      </c>
      <c r="AB519" s="2">
        <v>0</v>
      </c>
      <c r="AC519" s="2">
        <v>0</v>
      </c>
      <c r="AD519" s="4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86.86</v>
      </c>
      <c r="AN519" s="2">
        <v>86.86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45999</v>
      </c>
      <c r="B520" t="s">
        <v>48</v>
      </c>
      <c r="C520">
        <v>649163</v>
      </c>
      <c r="D520">
        <v>2027003554</v>
      </c>
      <c r="E520" t="s">
        <v>665</v>
      </c>
      <c r="F520" t="s">
        <v>517</v>
      </c>
      <c r="G520" t="s">
        <v>51</v>
      </c>
      <c r="H520" t="s">
        <v>200</v>
      </c>
      <c r="I520" t="s">
        <v>75</v>
      </c>
      <c r="J520" t="s">
        <v>739</v>
      </c>
      <c r="K520">
        <v>816021</v>
      </c>
      <c r="L520" t="s">
        <v>201</v>
      </c>
      <c r="M520" t="s">
        <v>202</v>
      </c>
      <c r="N520" t="s">
        <v>57</v>
      </c>
      <c r="O520" s="1">
        <v>45698</v>
      </c>
      <c r="Q520" s="1">
        <v>46032</v>
      </c>
      <c r="R520" s="2">
        <v>50.23</v>
      </c>
      <c r="S520">
        <v>1</v>
      </c>
      <c r="T520" t="s">
        <v>58</v>
      </c>
      <c r="U520" t="s">
        <v>59</v>
      </c>
      <c r="V520" s="4">
        <v>0.65</v>
      </c>
      <c r="W520" s="2">
        <v>0</v>
      </c>
      <c r="X520">
        <v>0</v>
      </c>
      <c r="Y520" t="s">
        <v>83</v>
      </c>
      <c r="Z520" t="s">
        <v>61</v>
      </c>
      <c r="AA520">
        <v>0</v>
      </c>
      <c r="AB520" s="2">
        <v>0</v>
      </c>
      <c r="AC520" s="2">
        <v>0</v>
      </c>
      <c r="AD520" s="4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32.65</v>
      </c>
      <c r="AN520" s="2">
        <v>32.65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45999</v>
      </c>
      <c r="B521" t="s">
        <v>48</v>
      </c>
      <c r="C521">
        <v>649163</v>
      </c>
      <c r="D521">
        <v>2027010992</v>
      </c>
      <c r="E521" t="s">
        <v>293</v>
      </c>
      <c r="F521" t="s">
        <v>305</v>
      </c>
      <c r="G521" t="s">
        <v>51</v>
      </c>
      <c r="H521" t="s">
        <v>200</v>
      </c>
      <c r="I521" t="s">
        <v>75</v>
      </c>
      <c r="J521" t="s">
        <v>739</v>
      </c>
      <c r="K521">
        <v>816021</v>
      </c>
      <c r="L521" t="s">
        <v>201</v>
      </c>
      <c r="M521" t="s">
        <v>202</v>
      </c>
      <c r="N521" t="s">
        <v>57</v>
      </c>
      <c r="O521" s="1">
        <v>45697</v>
      </c>
      <c r="Q521" s="1">
        <v>46031</v>
      </c>
      <c r="R521" s="2">
        <v>47.01</v>
      </c>
      <c r="S521">
        <v>1</v>
      </c>
      <c r="T521" t="s">
        <v>58</v>
      </c>
      <c r="U521" t="s">
        <v>59</v>
      </c>
      <c r="V521" s="4">
        <v>0.65</v>
      </c>
      <c r="W521" s="2">
        <v>0</v>
      </c>
      <c r="X521">
        <v>0</v>
      </c>
      <c r="Y521" t="s">
        <v>83</v>
      </c>
      <c r="Z521" t="s">
        <v>61</v>
      </c>
      <c r="AA521">
        <v>0</v>
      </c>
      <c r="AB521" s="2">
        <v>0</v>
      </c>
      <c r="AC521" s="2">
        <v>0</v>
      </c>
      <c r="AD521" s="4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30.56</v>
      </c>
      <c r="AN521" s="2">
        <v>30.56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45999</v>
      </c>
      <c r="B522" t="s">
        <v>48</v>
      </c>
      <c r="C522">
        <v>649163</v>
      </c>
      <c r="D522">
        <v>2027025172</v>
      </c>
      <c r="E522" t="s">
        <v>666</v>
      </c>
      <c r="F522" t="s">
        <v>667</v>
      </c>
      <c r="G522" t="s">
        <v>51</v>
      </c>
      <c r="H522" t="s">
        <v>200</v>
      </c>
      <c r="I522" t="s">
        <v>75</v>
      </c>
      <c r="J522" t="s">
        <v>739</v>
      </c>
      <c r="K522">
        <v>824082</v>
      </c>
      <c r="L522" t="s">
        <v>566</v>
      </c>
      <c r="M522" t="s">
        <v>567</v>
      </c>
      <c r="N522" t="s">
        <v>57</v>
      </c>
      <c r="O522" s="1">
        <v>45697</v>
      </c>
      <c r="Q522" s="1">
        <v>46031</v>
      </c>
      <c r="R522" s="2">
        <v>65.08</v>
      </c>
      <c r="S522">
        <v>1</v>
      </c>
      <c r="T522" t="s">
        <v>58</v>
      </c>
      <c r="U522" t="s">
        <v>59</v>
      </c>
      <c r="V522" s="4">
        <v>0.65</v>
      </c>
      <c r="W522" s="2">
        <v>0</v>
      </c>
      <c r="X522">
        <v>0</v>
      </c>
      <c r="Y522" t="s">
        <v>83</v>
      </c>
      <c r="Z522" t="s">
        <v>61</v>
      </c>
      <c r="AA522">
        <v>0</v>
      </c>
      <c r="AB522" s="2">
        <v>0</v>
      </c>
      <c r="AC522" s="2">
        <v>0</v>
      </c>
      <c r="AD522" s="4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42.3</v>
      </c>
      <c r="AN522" s="2">
        <v>42.3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45999</v>
      </c>
      <c r="B523" t="s">
        <v>48</v>
      </c>
      <c r="C523">
        <v>649163</v>
      </c>
      <c r="D523">
        <v>2027064141</v>
      </c>
      <c r="E523" t="s">
        <v>830</v>
      </c>
      <c r="F523" t="s">
        <v>82</v>
      </c>
      <c r="G523" t="s">
        <v>51</v>
      </c>
      <c r="H523" t="s">
        <v>515</v>
      </c>
      <c r="I523" t="s">
        <v>75</v>
      </c>
      <c r="J523" t="s">
        <v>76</v>
      </c>
      <c r="K523">
        <v>673059</v>
      </c>
      <c r="L523" t="s">
        <v>81</v>
      </c>
      <c r="M523" t="s">
        <v>82</v>
      </c>
      <c r="N523" t="s">
        <v>57</v>
      </c>
      <c r="O523" s="1">
        <v>45700</v>
      </c>
      <c r="Q523" s="1">
        <v>46034</v>
      </c>
      <c r="R523" s="2">
        <v>94.38</v>
      </c>
      <c r="S523">
        <v>1</v>
      </c>
      <c r="T523" t="s">
        <v>58</v>
      </c>
      <c r="U523" t="s">
        <v>59</v>
      </c>
      <c r="V523" s="4">
        <v>0.75</v>
      </c>
      <c r="W523" s="2">
        <v>0</v>
      </c>
      <c r="X523">
        <v>0</v>
      </c>
      <c r="Y523" t="s">
        <v>83</v>
      </c>
      <c r="Z523" t="s">
        <v>61</v>
      </c>
      <c r="AA523">
        <v>0</v>
      </c>
      <c r="AB523" s="2">
        <v>0</v>
      </c>
      <c r="AC523" s="2">
        <v>0</v>
      </c>
      <c r="AD523" s="4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70.78</v>
      </c>
      <c r="AN523" s="2">
        <v>70.78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45999</v>
      </c>
      <c r="B524" t="s">
        <v>48</v>
      </c>
      <c r="C524">
        <v>649163</v>
      </c>
      <c r="D524">
        <v>2027235546</v>
      </c>
      <c r="E524" t="s">
        <v>831</v>
      </c>
      <c r="F524" t="s">
        <v>832</v>
      </c>
      <c r="G524" t="s">
        <v>51</v>
      </c>
      <c r="H524" t="s">
        <v>408</v>
      </c>
      <c r="I524" t="s">
        <v>75</v>
      </c>
      <c r="J524" t="s">
        <v>76</v>
      </c>
      <c r="K524">
        <v>651818</v>
      </c>
      <c r="L524" t="s">
        <v>246</v>
      </c>
      <c r="M524" t="s">
        <v>247</v>
      </c>
      <c r="N524" t="s">
        <v>57</v>
      </c>
      <c r="O524" s="1">
        <v>45723</v>
      </c>
      <c r="Q524" s="1">
        <v>46029</v>
      </c>
      <c r="R524" s="2">
        <v>107.07</v>
      </c>
      <c r="S524">
        <v>1</v>
      </c>
      <c r="T524" t="s">
        <v>58</v>
      </c>
      <c r="U524" t="s">
        <v>59</v>
      </c>
      <c r="V524" s="4">
        <v>0.75</v>
      </c>
      <c r="W524" s="2">
        <v>0</v>
      </c>
      <c r="X524">
        <v>0</v>
      </c>
      <c r="Y524" t="s">
        <v>83</v>
      </c>
      <c r="Z524" t="s">
        <v>61</v>
      </c>
      <c r="AA524">
        <v>0</v>
      </c>
      <c r="AB524" s="2">
        <v>0</v>
      </c>
      <c r="AC524" s="2">
        <v>0</v>
      </c>
      <c r="AD524" s="4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80.3</v>
      </c>
      <c r="AN524" s="2">
        <v>80.3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45999</v>
      </c>
      <c r="B525" t="s">
        <v>48</v>
      </c>
      <c r="C525">
        <v>649163</v>
      </c>
      <c r="D525">
        <v>2027298069</v>
      </c>
      <c r="E525" t="s">
        <v>833</v>
      </c>
      <c r="F525" t="s">
        <v>834</v>
      </c>
      <c r="G525" t="s">
        <v>51</v>
      </c>
      <c r="H525" t="s">
        <v>374</v>
      </c>
      <c r="I525" t="s">
        <v>75</v>
      </c>
      <c r="J525" t="s">
        <v>76</v>
      </c>
      <c r="K525">
        <v>651818</v>
      </c>
      <c r="L525" t="s">
        <v>246</v>
      </c>
      <c r="M525" t="s">
        <v>247</v>
      </c>
      <c r="N525" t="s">
        <v>57</v>
      </c>
      <c r="O525" s="1">
        <v>45723</v>
      </c>
      <c r="Q525" s="1">
        <v>46029</v>
      </c>
      <c r="R525" s="2">
        <v>45.28</v>
      </c>
      <c r="S525">
        <v>1</v>
      </c>
      <c r="T525" t="s">
        <v>58</v>
      </c>
      <c r="U525" t="s">
        <v>59</v>
      </c>
      <c r="V525" s="4">
        <v>0.75</v>
      </c>
      <c r="W525" s="2">
        <v>0</v>
      </c>
      <c r="X525">
        <v>0</v>
      </c>
      <c r="Y525" t="s">
        <v>83</v>
      </c>
      <c r="Z525" t="s">
        <v>61</v>
      </c>
      <c r="AA525">
        <v>0</v>
      </c>
      <c r="AB525" s="2">
        <v>0</v>
      </c>
      <c r="AC525" s="2">
        <v>0</v>
      </c>
      <c r="AD525" s="4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33.96</v>
      </c>
      <c r="AN525" s="2">
        <v>33.96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45999</v>
      </c>
      <c r="B526" t="s">
        <v>48</v>
      </c>
      <c r="C526">
        <v>649163</v>
      </c>
      <c r="D526">
        <v>2027361177</v>
      </c>
      <c r="E526" t="s">
        <v>835</v>
      </c>
      <c r="F526" t="s">
        <v>111</v>
      </c>
      <c r="G526" t="s">
        <v>51</v>
      </c>
      <c r="H526" t="s">
        <v>267</v>
      </c>
      <c r="I526" t="s">
        <v>75</v>
      </c>
      <c r="J526" t="s">
        <v>76</v>
      </c>
      <c r="K526">
        <v>651818</v>
      </c>
      <c r="L526" t="s">
        <v>246</v>
      </c>
      <c r="M526" t="s">
        <v>247</v>
      </c>
      <c r="N526" t="s">
        <v>57</v>
      </c>
      <c r="O526" s="1">
        <v>45754</v>
      </c>
      <c r="Q526" s="1">
        <v>46029</v>
      </c>
      <c r="R526" s="2">
        <v>202.87</v>
      </c>
      <c r="S526">
        <v>1</v>
      </c>
      <c r="T526" t="s">
        <v>58</v>
      </c>
      <c r="U526" t="s">
        <v>59</v>
      </c>
      <c r="V526" s="4">
        <v>0.75</v>
      </c>
      <c r="W526" s="2">
        <v>0</v>
      </c>
      <c r="X526">
        <v>0</v>
      </c>
      <c r="Y526" t="s">
        <v>83</v>
      </c>
      <c r="Z526" t="s">
        <v>61</v>
      </c>
      <c r="AA526">
        <v>0</v>
      </c>
      <c r="AB526" s="2">
        <v>0</v>
      </c>
      <c r="AC526" s="2">
        <v>0</v>
      </c>
      <c r="AD526" s="4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152.15</v>
      </c>
      <c r="AN526" s="2">
        <v>152.15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45999</v>
      </c>
      <c r="B527" t="s">
        <v>48</v>
      </c>
      <c r="C527">
        <v>649163</v>
      </c>
      <c r="D527">
        <v>2027429540</v>
      </c>
      <c r="E527" t="s">
        <v>836</v>
      </c>
      <c r="F527" t="s">
        <v>115</v>
      </c>
      <c r="G527" t="s">
        <v>51</v>
      </c>
      <c r="H527" t="s">
        <v>374</v>
      </c>
      <c r="I527" t="s">
        <v>75</v>
      </c>
      <c r="J527" t="s">
        <v>76</v>
      </c>
      <c r="K527">
        <v>651818</v>
      </c>
      <c r="L527" t="s">
        <v>246</v>
      </c>
      <c r="M527" t="s">
        <v>247</v>
      </c>
      <c r="N527" t="s">
        <v>57</v>
      </c>
      <c r="O527" s="1">
        <v>45723</v>
      </c>
      <c r="Q527" s="1">
        <v>46029</v>
      </c>
      <c r="R527" s="2">
        <v>161.83000000000001</v>
      </c>
      <c r="S527">
        <v>1</v>
      </c>
      <c r="T527" t="s">
        <v>58</v>
      </c>
      <c r="U527" t="s">
        <v>59</v>
      </c>
      <c r="V527" s="4">
        <v>0.75</v>
      </c>
      <c r="W527" s="2">
        <v>0</v>
      </c>
      <c r="X527">
        <v>0</v>
      </c>
      <c r="Y527" t="s">
        <v>83</v>
      </c>
      <c r="Z527" t="s">
        <v>61</v>
      </c>
      <c r="AA527">
        <v>0</v>
      </c>
      <c r="AB527" s="2">
        <v>0</v>
      </c>
      <c r="AC527" s="2">
        <v>0</v>
      </c>
      <c r="AD527" s="4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121.37</v>
      </c>
      <c r="AN527" s="2">
        <v>121.37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45999</v>
      </c>
      <c r="B528" t="s">
        <v>48</v>
      </c>
      <c r="C528">
        <v>649163</v>
      </c>
      <c r="D528">
        <v>2027482814</v>
      </c>
      <c r="E528" t="s">
        <v>226</v>
      </c>
      <c r="F528" t="s">
        <v>137</v>
      </c>
      <c r="G528" t="s">
        <v>51</v>
      </c>
      <c r="H528" t="s">
        <v>374</v>
      </c>
      <c r="I528" t="s">
        <v>75</v>
      </c>
      <c r="J528" t="s">
        <v>76</v>
      </c>
      <c r="K528">
        <v>651818</v>
      </c>
      <c r="L528" t="s">
        <v>246</v>
      </c>
      <c r="M528" t="s">
        <v>247</v>
      </c>
      <c r="N528" t="s">
        <v>57</v>
      </c>
      <c r="O528" s="1">
        <v>45723</v>
      </c>
      <c r="Q528" s="1">
        <v>46029</v>
      </c>
      <c r="R528" s="2">
        <v>28.75</v>
      </c>
      <c r="S528">
        <v>1</v>
      </c>
      <c r="T528" t="s">
        <v>58</v>
      </c>
      <c r="U528" t="s">
        <v>59</v>
      </c>
      <c r="V528" s="4">
        <v>0.75</v>
      </c>
      <c r="W528" s="2">
        <v>0</v>
      </c>
      <c r="X528">
        <v>0</v>
      </c>
      <c r="Y528" t="s">
        <v>83</v>
      </c>
      <c r="Z528" t="s">
        <v>61</v>
      </c>
      <c r="AA528">
        <v>0</v>
      </c>
      <c r="AB528" s="2">
        <v>0</v>
      </c>
      <c r="AC528" s="2">
        <v>0</v>
      </c>
      <c r="AD528" s="4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21.56</v>
      </c>
      <c r="AN528" s="2">
        <v>21.56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45999</v>
      </c>
      <c r="B529" t="s">
        <v>48</v>
      </c>
      <c r="C529">
        <v>649163</v>
      </c>
      <c r="D529">
        <v>2027501754</v>
      </c>
      <c r="E529" t="s">
        <v>837</v>
      </c>
      <c r="F529" t="s">
        <v>838</v>
      </c>
      <c r="G529" t="s">
        <v>51</v>
      </c>
      <c r="H529" t="s">
        <v>163</v>
      </c>
      <c r="I529" t="s">
        <v>75</v>
      </c>
      <c r="J529" t="s">
        <v>80</v>
      </c>
      <c r="K529">
        <v>652037</v>
      </c>
      <c r="L529" t="s">
        <v>235</v>
      </c>
      <c r="M529" t="s">
        <v>438</v>
      </c>
      <c r="N529" t="s">
        <v>57</v>
      </c>
      <c r="O529" s="1">
        <v>45718</v>
      </c>
      <c r="Q529" s="1">
        <v>46024</v>
      </c>
      <c r="R529" s="2">
        <v>38.07</v>
      </c>
      <c r="S529">
        <v>1</v>
      </c>
      <c r="T529" t="s">
        <v>58</v>
      </c>
      <c r="U529" t="s">
        <v>59</v>
      </c>
      <c r="V529" s="4">
        <v>0.9</v>
      </c>
      <c r="W529" s="2">
        <v>0</v>
      </c>
      <c r="X529">
        <v>0</v>
      </c>
      <c r="Y529" t="s">
        <v>83</v>
      </c>
      <c r="Z529" t="s">
        <v>61</v>
      </c>
      <c r="AA529">
        <v>0</v>
      </c>
      <c r="AB529" s="2">
        <v>0</v>
      </c>
      <c r="AC529" s="2">
        <v>0</v>
      </c>
      <c r="AD529" s="4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34.26</v>
      </c>
      <c r="AN529" s="2">
        <v>34.26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45999</v>
      </c>
      <c r="B530" t="s">
        <v>48</v>
      </c>
      <c r="C530">
        <v>649163</v>
      </c>
      <c r="D530">
        <v>2027642345</v>
      </c>
      <c r="E530" t="s">
        <v>669</v>
      </c>
      <c r="F530" t="s">
        <v>670</v>
      </c>
      <c r="G530" t="s">
        <v>51</v>
      </c>
      <c r="H530" t="s">
        <v>256</v>
      </c>
      <c r="I530" t="s">
        <v>75</v>
      </c>
      <c r="J530" t="s">
        <v>80</v>
      </c>
      <c r="K530">
        <v>651818</v>
      </c>
      <c r="L530" t="s">
        <v>246</v>
      </c>
      <c r="M530" t="s">
        <v>247</v>
      </c>
      <c r="N530" t="s">
        <v>57</v>
      </c>
      <c r="O530" s="1">
        <v>45754</v>
      </c>
      <c r="Q530" s="1">
        <v>46029</v>
      </c>
      <c r="R530" s="2">
        <v>119.92</v>
      </c>
      <c r="S530">
        <v>1</v>
      </c>
      <c r="T530" t="s">
        <v>58</v>
      </c>
      <c r="U530" t="s">
        <v>59</v>
      </c>
      <c r="V530" s="4">
        <v>0.9</v>
      </c>
      <c r="W530" s="2">
        <v>0</v>
      </c>
      <c r="X530">
        <v>0</v>
      </c>
      <c r="Y530" t="s">
        <v>83</v>
      </c>
      <c r="Z530" t="s">
        <v>61</v>
      </c>
      <c r="AA530">
        <v>0</v>
      </c>
      <c r="AB530" s="2">
        <v>0</v>
      </c>
      <c r="AC530" s="2">
        <v>0</v>
      </c>
      <c r="AD530" s="4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107.93</v>
      </c>
      <c r="AN530" s="2">
        <v>107.93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45999</v>
      </c>
      <c r="B531" t="s">
        <v>48</v>
      </c>
      <c r="C531">
        <v>649163</v>
      </c>
      <c r="D531">
        <v>2027859845</v>
      </c>
      <c r="E531" t="s">
        <v>839</v>
      </c>
      <c r="F531" t="s">
        <v>303</v>
      </c>
      <c r="G531" t="s">
        <v>51</v>
      </c>
      <c r="H531" t="s">
        <v>389</v>
      </c>
      <c r="I531" t="s">
        <v>75</v>
      </c>
      <c r="J531" t="s">
        <v>76</v>
      </c>
      <c r="K531">
        <v>651818</v>
      </c>
      <c r="L531" t="s">
        <v>246</v>
      </c>
      <c r="M531" t="s">
        <v>247</v>
      </c>
      <c r="N531" t="s">
        <v>57</v>
      </c>
      <c r="O531" s="1">
        <v>45754</v>
      </c>
      <c r="Q531" s="1">
        <v>46029</v>
      </c>
      <c r="R531" s="2">
        <v>154.30000000000001</v>
      </c>
      <c r="S531">
        <v>1</v>
      </c>
      <c r="T531" t="s">
        <v>58</v>
      </c>
      <c r="U531" t="s">
        <v>59</v>
      </c>
      <c r="V531" s="4">
        <v>0.75</v>
      </c>
      <c r="W531" s="2">
        <v>0</v>
      </c>
      <c r="X531">
        <v>0</v>
      </c>
      <c r="Y531" t="s">
        <v>83</v>
      </c>
      <c r="Z531" t="s">
        <v>61</v>
      </c>
      <c r="AA531">
        <v>0</v>
      </c>
      <c r="AB531" s="2">
        <v>0</v>
      </c>
      <c r="AC531" s="2">
        <v>0</v>
      </c>
      <c r="AD531" s="4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115.72</v>
      </c>
      <c r="AN531" s="2">
        <v>115.72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45999</v>
      </c>
      <c r="B532" t="s">
        <v>48</v>
      </c>
      <c r="C532">
        <v>649163</v>
      </c>
      <c r="D532">
        <v>2027863478</v>
      </c>
      <c r="E532" t="s">
        <v>839</v>
      </c>
      <c r="F532" t="s">
        <v>840</v>
      </c>
      <c r="G532" t="s">
        <v>51</v>
      </c>
      <c r="H532" t="s">
        <v>389</v>
      </c>
      <c r="I532" t="s">
        <v>75</v>
      </c>
      <c r="J532" t="s">
        <v>76</v>
      </c>
      <c r="K532">
        <v>651818</v>
      </c>
      <c r="L532" t="s">
        <v>246</v>
      </c>
      <c r="M532" t="s">
        <v>247</v>
      </c>
      <c r="N532" t="s">
        <v>57</v>
      </c>
      <c r="O532" s="1">
        <v>45754</v>
      </c>
      <c r="Q532" s="1">
        <v>46029</v>
      </c>
      <c r="R532" s="2">
        <v>25</v>
      </c>
      <c r="S532">
        <v>1</v>
      </c>
      <c r="T532" t="s">
        <v>58</v>
      </c>
      <c r="U532" t="s">
        <v>59</v>
      </c>
      <c r="V532" s="4">
        <v>0.75</v>
      </c>
      <c r="W532" s="2">
        <v>0</v>
      </c>
      <c r="X532">
        <v>0</v>
      </c>
      <c r="Y532" t="s">
        <v>83</v>
      </c>
      <c r="Z532" t="s">
        <v>61</v>
      </c>
      <c r="AA532">
        <v>0</v>
      </c>
      <c r="AB532" s="2">
        <v>0</v>
      </c>
      <c r="AC532" s="2">
        <v>0</v>
      </c>
      <c r="AD532" s="4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18.75</v>
      </c>
      <c r="AN532" s="2">
        <v>18.75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45999</v>
      </c>
      <c r="B533" t="s">
        <v>48</v>
      </c>
      <c r="C533">
        <v>649163</v>
      </c>
      <c r="D533">
        <v>2027887270</v>
      </c>
      <c r="E533" t="s">
        <v>841</v>
      </c>
      <c r="F533" t="s">
        <v>82</v>
      </c>
      <c r="G533" t="s">
        <v>51</v>
      </c>
      <c r="H533" t="s">
        <v>389</v>
      </c>
      <c r="I533" t="s">
        <v>75</v>
      </c>
      <c r="J533" t="s">
        <v>76</v>
      </c>
      <c r="K533">
        <v>651818</v>
      </c>
      <c r="L533" t="s">
        <v>246</v>
      </c>
      <c r="M533" t="s">
        <v>247</v>
      </c>
      <c r="N533" t="s">
        <v>57</v>
      </c>
      <c r="O533" s="1">
        <v>45754</v>
      </c>
      <c r="Q533" s="1">
        <v>46029</v>
      </c>
      <c r="R533" s="2">
        <v>88.8</v>
      </c>
      <c r="S533">
        <v>1</v>
      </c>
      <c r="T533" t="s">
        <v>58</v>
      </c>
      <c r="U533" t="s">
        <v>59</v>
      </c>
      <c r="V533" s="4">
        <v>0.75</v>
      </c>
      <c r="W533" s="2">
        <v>0</v>
      </c>
      <c r="X533">
        <v>0</v>
      </c>
      <c r="Y533" t="s">
        <v>83</v>
      </c>
      <c r="Z533" t="s">
        <v>61</v>
      </c>
      <c r="AA533">
        <v>0</v>
      </c>
      <c r="AB533" s="2">
        <v>0</v>
      </c>
      <c r="AC533" s="2">
        <v>0</v>
      </c>
      <c r="AD533" s="4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66.599999999999994</v>
      </c>
      <c r="AN533" s="2">
        <v>66.599999999999994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45999</v>
      </c>
      <c r="B534" t="s">
        <v>48</v>
      </c>
      <c r="C534">
        <v>649163</v>
      </c>
      <c r="D534">
        <v>2028052819</v>
      </c>
      <c r="E534" t="s">
        <v>520</v>
      </c>
      <c r="F534" t="s">
        <v>521</v>
      </c>
      <c r="G534" t="s">
        <v>51</v>
      </c>
      <c r="H534" t="s">
        <v>97</v>
      </c>
      <c r="I534" t="s">
        <v>75</v>
      </c>
      <c r="J534" t="s">
        <v>80</v>
      </c>
      <c r="K534">
        <v>753748</v>
      </c>
      <c r="L534" t="s">
        <v>396</v>
      </c>
      <c r="M534" t="s">
        <v>397</v>
      </c>
      <c r="N534" t="s">
        <v>57</v>
      </c>
      <c r="O534" s="1">
        <v>45748</v>
      </c>
      <c r="Q534" s="1">
        <v>46023</v>
      </c>
      <c r="R534" s="2">
        <v>-164.84</v>
      </c>
      <c r="S534">
        <v>1</v>
      </c>
      <c r="T534" t="s">
        <v>58</v>
      </c>
      <c r="U534" t="s">
        <v>59</v>
      </c>
      <c r="V534" s="4">
        <v>0.9</v>
      </c>
      <c r="W534" s="2">
        <v>0</v>
      </c>
      <c r="X534">
        <v>-1</v>
      </c>
      <c r="Y534" t="s">
        <v>83</v>
      </c>
      <c r="Z534" t="s">
        <v>61</v>
      </c>
      <c r="AA534">
        <v>0</v>
      </c>
      <c r="AB534" s="2">
        <v>0</v>
      </c>
      <c r="AC534" s="2">
        <v>0</v>
      </c>
      <c r="AD534" s="4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-148.36000000000001</v>
      </c>
      <c r="AN534" s="2">
        <v>-148.36000000000001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45999</v>
      </c>
      <c r="B535" t="s">
        <v>48</v>
      </c>
      <c r="C535">
        <v>649163</v>
      </c>
      <c r="D535">
        <v>2028108470</v>
      </c>
      <c r="E535" t="s">
        <v>842</v>
      </c>
      <c r="F535" t="s">
        <v>843</v>
      </c>
      <c r="G535" t="s">
        <v>51</v>
      </c>
      <c r="H535" t="s">
        <v>102</v>
      </c>
      <c r="I535" t="s">
        <v>75</v>
      </c>
      <c r="J535" t="s">
        <v>76</v>
      </c>
      <c r="K535">
        <v>651818</v>
      </c>
      <c r="L535" t="s">
        <v>246</v>
      </c>
      <c r="M535" t="s">
        <v>247</v>
      </c>
      <c r="N535" t="s">
        <v>57</v>
      </c>
      <c r="O535" s="1">
        <v>45754</v>
      </c>
      <c r="Q535" s="1">
        <v>46029</v>
      </c>
      <c r="R535" s="2">
        <v>104.83</v>
      </c>
      <c r="S535">
        <v>1</v>
      </c>
      <c r="T535" t="s">
        <v>58</v>
      </c>
      <c r="U535" t="s">
        <v>59</v>
      </c>
      <c r="V535" s="4">
        <v>0.75</v>
      </c>
      <c r="W535" s="2">
        <v>0</v>
      </c>
      <c r="X535">
        <v>0</v>
      </c>
      <c r="Y535" t="s">
        <v>83</v>
      </c>
      <c r="Z535" t="s">
        <v>61</v>
      </c>
      <c r="AA535">
        <v>0</v>
      </c>
      <c r="AB535" s="2">
        <v>0</v>
      </c>
      <c r="AC535" s="2">
        <v>0</v>
      </c>
      <c r="AD535" s="4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78.62</v>
      </c>
      <c r="AN535" s="2">
        <v>78.62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45999</v>
      </c>
      <c r="B536" t="s">
        <v>48</v>
      </c>
      <c r="C536">
        <v>649163</v>
      </c>
      <c r="D536">
        <v>2028248980</v>
      </c>
      <c r="E536" t="s">
        <v>844</v>
      </c>
      <c r="F536" t="s">
        <v>144</v>
      </c>
      <c r="G536" t="s">
        <v>51</v>
      </c>
      <c r="H536" t="s">
        <v>135</v>
      </c>
      <c r="I536" t="s">
        <v>75</v>
      </c>
      <c r="J536" t="s">
        <v>76</v>
      </c>
      <c r="K536">
        <v>651818</v>
      </c>
      <c r="L536" t="s">
        <v>246</v>
      </c>
      <c r="M536" t="s">
        <v>247</v>
      </c>
      <c r="N536" t="s">
        <v>57</v>
      </c>
      <c r="O536" s="1">
        <v>45784</v>
      </c>
      <c r="Q536" s="1">
        <v>46029</v>
      </c>
      <c r="R536" s="2">
        <v>316.83</v>
      </c>
      <c r="S536">
        <v>1</v>
      </c>
      <c r="T536" t="s">
        <v>58</v>
      </c>
      <c r="U536" t="s">
        <v>59</v>
      </c>
      <c r="V536" s="4">
        <v>0.75</v>
      </c>
      <c r="W536" s="2">
        <v>0</v>
      </c>
      <c r="X536">
        <v>0</v>
      </c>
      <c r="Y536" t="s">
        <v>83</v>
      </c>
      <c r="Z536" t="s">
        <v>61</v>
      </c>
      <c r="AA536">
        <v>0</v>
      </c>
      <c r="AB536" s="2">
        <v>0</v>
      </c>
      <c r="AC536" s="2">
        <v>0</v>
      </c>
      <c r="AD536" s="4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237.62</v>
      </c>
      <c r="AN536" s="2">
        <v>237.62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45999</v>
      </c>
      <c r="B537" t="s">
        <v>48</v>
      </c>
      <c r="C537">
        <v>649163</v>
      </c>
      <c r="D537">
        <v>2028367117</v>
      </c>
      <c r="E537" t="s">
        <v>536</v>
      </c>
      <c r="F537" t="s">
        <v>537</v>
      </c>
      <c r="G537" t="s">
        <v>51</v>
      </c>
      <c r="H537" t="s">
        <v>79</v>
      </c>
      <c r="I537" t="s">
        <v>75</v>
      </c>
      <c r="J537" t="s">
        <v>80</v>
      </c>
      <c r="K537">
        <v>673059</v>
      </c>
      <c r="L537" t="s">
        <v>81</v>
      </c>
      <c r="M537" t="s">
        <v>82</v>
      </c>
      <c r="N537" t="s">
        <v>57</v>
      </c>
      <c r="O537" s="1">
        <v>45759</v>
      </c>
      <c r="Q537" s="1">
        <v>46034</v>
      </c>
      <c r="R537" s="2">
        <v>27.71</v>
      </c>
      <c r="S537">
        <v>1</v>
      </c>
      <c r="T537" t="s">
        <v>58</v>
      </c>
      <c r="U537" t="s">
        <v>59</v>
      </c>
      <c r="V537" s="4">
        <v>0.9</v>
      </c>
      <c r="W537" s="2">
        <v>0</v>
      </c>
      <c r="X537">
        <v>0</v>
      </c>
      <c r="Y537" t="s">
        <v>83</v>
      </c>
      <c r="Z537" t="s">
        <v>61</v>
      </c>
      <c r="AA537">
        <v>0</v>
      </c>
      <c r="AB537" s="2">
        <v>0</v>
      </c>
      <c r="AC537" s="2">
        <v>0</v>
      </c>
      <c r="AD537" s="4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24.94</v>
      </c>
      <c r="AN537" s="2">
        <v>24.94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45999</v>
      </c>
      <c r="B538" t="s">
        <v>48</v>
      </c>
      <c r="C538">
        <v>649163</v>
      </c>
      <c r="D538">
        <v>2028412598</v>
      </c>
      <c r="E538" t="s">
        <v>845</v>
      </c>
      <c r="F538" t="s">
        <v>260</v>
      </c>
      <c r="G538" t="s">
        <v>51</v>
      </c>
      <c r="H538" t="s">
        <v>102</v>
      </c>
      <c r="I538" t="s">
        <v>75</v>
      </c>
      <c r="J538" t="s">
        <v>76</v>
      </c>
      <c r="K538">
        <v>651818</v>
      </c>
      <c r="L538" t="s">
        <v>246</v>
      </c>
      <c r="M538" t="s">
        <v>247</v>
      </c>
      <c r="N538" t="s">
        <v>57</v>
      </c>
      <c r="O538" s="1">
        <v>45784</v>
      </c>
      <c r="Q538" s="1">
        <v>46029</v>
      </c>
      <c r="R538" s="2">
        <v>125.83</v>
      </c>
      <c r="S538">
        <v>1</v>
      </c>
      <c r="T538" t="s">
        <v>58</v>
      </c>
      <c r="U538" t="s">
        <v>59</v>
      </c>
      <c r="V538" s="4">
        <v>0.75</v>
      </c>
      <c r="W538" s="2">
        <v>0</v>
      </c>
      <c r="X538">
        <v>0</v>
      </c>
      <c r="Y538" t="s">
        <v>83</v>
      </c>
      <c r="Z538" t="s">
        <v>61</v>
      </c>
      <c r="AA538">
        <v>0</v>
      </c>
      <c r="AB538" s="2">
        <v>0</v>
      </c>
      <c r="AC538" s="2">
        <v>0</v>
      </c>
      <c r="AD538" s="4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94.37</v>
      </c>
      <c r="AN538" s="2">
        <v>94.37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45999</v>
      </c>
      <c r="B539" t="s">
        <v>48</v>
      </c>
      <c r="C539">
        <v>649163</v>
      </c>
      <c r="D539">
        <v>2028549155</v>
      </c>
      <c r="E539" t="s">
        <v>841</v>
      </c>
      <c r="F539" t="s">
        <v>537</v>
      </c>
      <c r="G539" t="s">
        <v>51</v>
      </c>
      <c r="H539" t="s">
        <v>389</v>
      </c>
      <c r="I539" t="s">
        <v>75</v>
      </c>
      <c r="J539" t="s">
        <v>76</v>
      </c>
      <c r="K539">
        <v>651818</v>
      </c>
      <c r="L539" t="s">
        <v>246</v>
      </c>
      <c r="M539" t="s">
        <v>247</v>
      </c>
      <c r="N539" t="s">
        <v>57</v>
      </c>
      <c r="O539" s="1">
        <v>45784</v>
      </c>
      <c r="Q539" s="1">
        <v>46029</v>
      </c>
      <c r="R539" s="2">
        <v>31.75</v>
      </c>
      <c r="S539">
        <v>1</v>
      </c>
      <c r="T539" t="s">
        <v>58</v>
      </c>
      <c r="U539" t="s">
        <v>59</v>
      </c>
      <c r="V539" s="4">
        <v>0.75</v>
      </c>
      <c r="W539" s="2">
        <v>0</v>
      </c>
      <c r="X539">
        <v>0</v>
      </c>
      <c r="Y539" t="s">
        <v>83</v>
      </c>
      <c r="Z539" t="s">
        <v>61</v>
      </c>
      <c r="AA539">
        <v>0</v>
      </c>
      <c r="AB539" s="2">
        <v>0</v>
      </c>
      <c r="AC539" s="2">
        <v>0</v>
      </c>
      <c r="AD539" s="4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23.81</v>
      </c>
      <c r="AN539" s="2">
        <v>23.81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45999</v>
      </c>
      <c r="B540" t="s">
        <v>48</v>
      </c>
      <c r="C540">
        <v>649163</v>
      </c>
      <c r="D540">
        <v>2028692689</v>
      </c>
      <c r="E540" t="s">
        <v>846</v>
      </c>
      <c r="F540" t="s">
        <v>142</v>
      </c>
      <c r="G540" t="s">
        <v>51</v>
      </c>
      <c r="H540" t="s">
        <v>389</v>
      </c>
      <c r="I540" t="s">
        <v>75</v>
      </c>
      <c r="J540" t="s">
        <v>76</v>
      </c>
      <c r="K540">
        <v>651818</v>
      </c>
      <c r="L540" t="s">
        <v>246</v>
      </c>
      <c r="M540" t="s">
        <v>247</v>
      </c>
      <c r="N540" t="s">
        <v>57</v>
      </c>
      <c r="O540" s="1">
        <v>45784</v>
      </c>
      <c r="Q540" s="1">
        <v>46029</v>
      </c>
      <c r="R540" s="2">
        <v>72.38</v>
      </c>
      <c r="S540">
        <v>1</v>
      </c>
      <c r="T540" t="s">
        <v>58</v>
      </c>
      <c r="U540" t="s">
        <v>59</v>
      </c>
      <c r="V540" s="4">
        <v>0.75</v>
      </c>
      <c r="W540" s="2">
        <v>0</v>
      </c>
      <c r="X540">
        <v>0</v>
      </c>
      <c r="Y540" t="s">
        <v>83</v>
      </c>
      <c r="Z540" t="s">
        <v>61</v>
      </c>
      <c r="AA540">
        <v>0</v>
      </c>
      <c r="AB540" s="2">
        <v>0</v>
      </c>
      <c r="AC540" s="2">
        <v>0</v>
      </c>
      <c r="AD540" s="4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54.28</v>
      </c>
      <c r="AN540" s="2">
        <v>54.28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45999</v>
      </c>
      <c r="B541" t="s">
        <v>48</v>
      </c>
      <c r="C541">
        <v>649163</v>
      </c>
      <c r="D541">
        <v>2028773699</v>
      </c>
      <c r="E541" t="s">
        <v>847</v>
      </c>
      <c r="F541" t="s">
        <v>82</v>
      </c>
      <c r="G541" t="s">
        <v>51</v>
      </c>
      <c r="H541" t="s">
        <v>389</v>
      </c>
      <c r="I541" t="s">
        <v>75</v>
      </c>
      <c r="J541" t="s">
        <v>76</v>
      </c>
      <c r="K541">
        <v>651818</v>
      </c>
      <c r="L541" t="s">
        <v>246</v>
      </c>
      <c r="M541" t="s">
        <v>247</v>
      </c>
      <c r="N541" t="s">
        <v>57</v>
      </c>
      <c r="O541" s="1">
        <v>45815</v>
      </c>
      <c r="Q541" s="1">
        <v>46029</v>
      </c>
      <c r="R541" s="2">
        <v>123.55</v>
      </c>
      <c r="S541">
        <v>1</v>
      </c>
      <c r="T541" t="s">
        <v>58</v>
      </c>
      <c r="U541" t="s">
        <v>59</v>
      </c>
      <c r="V541" s="4">
        <v>0.75</v>
      </c>
      <c r="W541" s="2">
        <v>0</v>
      </c>
      <c r="X541">
        <v>0</v>
      </c>
      <c r="Y541" t="s">
        <v>83</v>
      </c>
      <c r="Z541" t="s">
        <v>61</v>
      </c>
      <c r="AA541">
        <v>0</v>
      </c>
      <c r="AB541" s="2">
        <v>0</v>
      </c>
      <c r="AC541" s="2">
        <v>0</v>
      </c>
      <c r="AD541" s="4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92.66</v>
      </c>
      <c r="AN541" s="2">
        <v>92.66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45999</v>
      </c>
      <c r="B542" t="s">
        <v>48</v>
      </c>
      <c r="C542">
        <v>649163</v>
      </c>
      <c r="D542">
        <v>2028777168</v>
      </c>
      <c r="E542" t="s">
        <v>848</v>
      </c>
      <c r="F542" t="s">
        <v>849</v>
      </c>
      <c r="G542" t="s">
        <v>51</v>
      </c>
      <c r="H542" t="s">
        <v>200</v>
      </c>
      <c r="I542" t="s">
        <v>75</v>
      </c>
      <c r="J542" t="s">
        <v>739</v>
      </c>
      <c r="K542">
        <v>816021</v>
      </c>
      <c r="L542" t="s">
        <v>201</v>
      </c>
      <c r="M542" t="s">
        <v>202</v>
      </c>
      <c r="N542" t="s">
        <v>57</v>
      </c>
      <c r="O542" s="1">
        <v>45783</v>
      </c>
      <c r="Q542" s="1">
        <v>46028</v>
      </c>
      <c r="R542" s="2">
        <v>142.03</v>
      </c>
      <c r="S542">
        <v>1</v>
      </c>
      <c r="T542" t="s">
        <v>58</v>
      </c>
      <c r="U542" t="s">
        <v>59</v>
      </c>
      <c r="V542" s="4">
        <v>0.65</v>
      </c>
      <c r="W542" s="2">
        <v>0</v>
      </c>
      <c r="X542">
        <v>0</v>
      </c>
      <c r="Y542" t="s">
        <v>83</v>
      </c>
      <c r="Z542" t="s">
        <v>61</v>
      </c>
      <c r="AA542">
        <v>0</v>
      </c>
      <c r="AB542" s="2">
        <v>0</v>
      </c>
      <c r="AC542" s="2">
        <v>0</v>
      </c>
      <c r="AD542" s="4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92.32</v>
      </c>
      <c r="AN542" s="2">
        <v>92.32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45999</v>
      </c>
      <c r="B543" t="s">
        <v>48</v>
      </c>
      <c r="C543">
        <v>649163</v>
      </c>
      <c r="D543">
        <v>2028792969</v>
      </c>
      <c r="E543" t="s">
        <v>504</v>
      </c>
      <c r="F543" t="s">
        <v>182</v>
      </c>
      <c r="G543" t="s">
        <v>51</v>
      </c>
      <c r="H543" t="s">
        <v>102</v>
      </c>
      <c r="I543" t="s">
        <v>75</v>
      </c>
      <c r="J543" t="s">
        <v>76</v>
      </c>
      <c r="K543">
        <v>766747</v>
      </c>
      <c r="L543" t="s">
        <v>504</v>
      </c>
      <c r="M543" t="s">
        <v>182</v>
      </c>
      <c r="N543" t="s">
        <v>57</v>
      </c>
      <c r="O543" s="1">
        <v>45784</v>
      </c>
      <c r="Q543" s="1">
        <v>46029</v>
      </c>
      <c r="R543" s="2">
        <v>18.05</v>
      </c>
      <c r="S543">
        <v>1</v>
      </c>
      <c r="T543" t="s">
        <v>58</v>
      </c>
      <c r="U543" t="s">
        <v>59</v>
      </c>
      <c r="V543" s="4">
        <v>0.75</v>
      </c>
      <c r="W543" s="2">
        <v>0</v>
      </c>
      <c r="X543">
        <v>0</v>
      </c>
      <c r="Y543" t="s">
        <v>83</v>
      </c>
      <c r="Z543" t="s">
        <v>61</v>
      </c>
      <c r="AA543">
        <v>0</v>
      </c>
      <c r="AB543" s="2">
        <v>0</v>
      </c>
      <c r="AC543" s="2">
        <v>0</v>
      </c>
      <c r="AD543" s="4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13.54</v>
      </c>
      <c r="AN543" s="2">
        <v>13.54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45999</v>
      </c>
      <c r="B544" t="s">
        <v>48</v>
      </c>
      <c r="C544">
        <v>649163</v>
      </c>
      <c r="D544">
        <v>2029738922</v>
      </c>
      <c r="E544" t="s">
        <v>674</v>
      </c>
      <c r="F544" t="s">
        <v>675</v>
      </c>
      <c r="G544" t="s">
        <v>51</v>
      </c>
      <c r="H544" t="s">
        <v>79</v>
      </c>
      <c r="I544" t="s">
        <v>290</v>
      </c>
      <c r="J544" t="s">
        <v>298</v>
      </c>
      <c r="K544">
        <v>673059</v>
      </c>
      <c r="L544" t="s">
        <v>81</v>
      </c>
      <c r="M544" t="s">
        <v>82</v>
      </c>
      <c r="N544" t="s">
        <v>57</v>
      </c>
      <c r="O544" s="1">
        <v>45846</v>
      </c>
      <c r="Q544" s="1">
        <v>46030</v>
      </c>
      <c r="R544" s="2">
        <v>15</v>
      </c>
      <c r="S544">
        <v>1</v>
      </c>
      <c r="T544" t="s">
        <v>58</v>
      </c>
      <c r="U544" t="s">
        <v>59</v>
      </c>
      <c r="V544" s="4">
        <v>0.38</v>
      </c>
      <c r="W544" s="2">
        <v>0</v>
      </c>
      <c r="X544">
        <v>0</v>
      </c>
      <c r="Y544" t="s">
        <v>83</v>
      </c>
      <c r="Z544" t="s">
        <v>61</v>
      </c>
      <c r="AA544">
        <v>0</v>
      </c>
      <c r="AB544" s="2">
        <v>0</v>
      </c>
      <c r="AC544" s="2">
        <v>0</v>
      </c>
      <c r="AD544" s="4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5.7</v>
      </c>
      <c r="AN544" s="2">
        <v>5.7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45999</v>
      </c>
      <c r="B545" t="s">
        <v>48</v>
      </c>
      <c r="C545">
        <v>649163</v>
      </c>
      <c r="D545">
        <v>2028803972</v>
      </c>
      <c r="E545" t="s">
        <v>552</v>
      </c>
      <c r="F545" t="s">
        <v>850</v>
      </c>
      <c r="G545" t="s">
        <v>51</v>
      </c>
      <c r="H545" t="s">
        <v>97</v>
      </c>
      <c r="I545" t="s">
        <v>75</v>
      </c>
      <c r="J545" t="s">
        <v>80</v>
      </c>
      <c r="K545">
        <v>767312</v>
      </c>
      <c r="L545" t="s">
        <v>138</v>
      </c>
      <c r="M545" t="s">
        <v>107</v>
      </c>
      <c r="N545" t="s">
        <v>57</v>
      </c>
      <c r="O545" s="1">
        <v>45784</v>
      </c>
      <c r="Q545" s="1">
        <v>46029</v>
      </c>
      <c r="R545" s="2">
        <v>205.42</v>
      </c>
      <c r="S545">
        <v>1</v>
      </c>
      <c r="T545" t="s">
        <v>58</v>
      </c>
      <c r="U545" t="s">
        <v>59</v>
      </c>
      <c r="V545" s="4">
        <v>0.9</v>
      </c>
      <c r="W545" s="2">
        <v>0</v>
      </c>
      <c r="X545">
        <v>0</v>
      </c>
      <c r="Y545" t="s">
        <v>83</v>
      </c>
      <c r="Z545" t="s">
        <v>61</v>
      </c>
      <c r="AA545">
        <v>0</v>
      </c>
      <c r="AB545" s="2">
        <v>0</v>
      </c>
      <c r="AC545" s="2">
        <v>0</v>
      </c>
      <c r="AD545" s="4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184.88</v>
      </c>
      <c r="AN545" s="2">
        <v>184.88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45999</v>
      </c>
      <c r="B546" t="s">
        <v>48</v>
      </c>
      <c r="C546">
        <v>649163</v>
      </c>
      <c r="D546">
        <v>2028859180</v>
      </c>
      <c r="E546" t="s">
        <v>851</v>
      </c>
      <c r="F546" t="s">
        <v>279</v>
      </c>
      <c r="G546" t="s">
        <v>51</v>
      </c>
      <c r="H546" t="s">
        <v>256</v>
      </c>
      <c r="I546" t="s">
        <v>75</v>
      </c>
      <c r="J546" t="s">
        <v>80</v>
      </c>
      <c r="K546">
        <v>651818</v>
      </c>
      <c r="L546" t="s">
        <v>246</v>
      </c>
      <c r="M546" t="s">
        <v>247</v>
      </c>
      <c r="N546" t="s">
        <v>57</v>
      </c>
      <c r="O546" s="1">
        <v>45815</v>
      </c>
      <c r="Q546" s="1">
        <v>46029</v>
      </c>
      <c r="R546" s="2">
        <v>57.67</v>
      </c>
      <c r="S546">
        <v>1</v>
      </c>
      <c r="T546" t="s">
        <v>58</v>
      </c>
      <c r="U546" t="s">
        <v>59</v>
      </c>
      <c r="V546" s="4">
        <v>0.9</v>
      </c>
      <c r="W546" s="2">
        <v>0</v>
      </c>
      <c r="X546">
        <v>0</v>
      </c>
      <c r="Y546" t="s">
        <v>83</v>
      </c>
      <c r="Z546" t="s">
        <v>61</v>
      </c>
      <c r="AA546">
        <v>0</v>
      </c>
      <c r="AB546" s="2">
        <v>0</v>
      </c>
      <c r="AC546" s="2">
        <v>0</v>
      </c>
      <c r="AD546" s="4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51.9</v>
      </c>
      <c r="AN546" s="2">
        <v>51.9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45999</v>
      </c>
      <c r="B547" t="s">
        <v>48</v>
      </c>
      <c r="C547">
        <v>649163</v>
      </c>
      <c r="D547">
        <v>2029031424</v>
      </c>
      <c r="E547" t="s">
        <v>852</v>
      </c>
      <c r="F547" t="s">
        <v>853</v>
      </c>
      <c r="G547" t="s">
        <v>51</v>
      </c>
      <c r="H547" t="s">
        <v>374</v>
      </c>
      <c r="I547" t="s">
        <v>75</v>
      </c>
      <c r="J547" t="s">
        <v>76</v>
      </c>
      <c r="K547">
        <v>651818</v>
      </c>
      <c r="L547" t="s">
        <v>246</v>
      </c>
      <c r="M547" t="s">
        <v>247</v>
      </c>
      <c r="N547" t="s">
        <v>57</v>
      </c>
      <c r="O547" s="1">
        <v>45815</v>
      </c>
      <c r="Q547" s="1">
        <v>46029</v>
      </c>
      <c r="R547" s="2">
        <v>163.80000000000001</v>
      </c>
      <c r="S547">
        <v>1</v>
      </c>
      <c r="T547" t="s">
        <v>58</v>
      </c>
      <c r="U547" t="s">
        <v>59</v>
      </c>
      <c r="V547" s="4">
        <v>0.75</v>
      </c>
      <c r="W547" s="2">
        <v>0</v>
      </c>
      <c r="X547">
        <v>0</v>
      </c>
      <c r="Y547" t="s">
        <v>83</v>
      </c>
      <c r="Z547" t="s">
        <v>61</v>
      </c>
      <c r="AA547">
        <v>0</v>
      </c>
      <c r="AB547" s="2">
        <v>0</v>
      </c>
      <c r="AC547" s="2">
        <v>0</v>
      </c>
      <c r="AD547" s="4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122.85</v>
      </c>
      <c r="AN547" s="2">
        <v>122.85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45999</v>
      </c>
      <c r="B548" t="s">
        <v>48</v>
      </c>
      <c r="C548">
        <v>649163</v>
      </c>
      <c r="D548">
        <v>2029137106</v>
      </c>
      <c r="E548" t="s">
        <v>854</v>
      </c>
      <c r="F548" t="s">
        <v>855</v>
      </c>
      <c r="G548" t="s">
        <v>51</v>
      </c>
      <c r="H548" t="s">
        <v>79</v>
      </c>
      <c r="I548" t="s">
        <v>75</v>
      </c>
      <c r="J548" t="s">
        <v>76</v>
      </c>
      <c r="K548">
        <v>673059</v>
      </c>
      <c r="L548" t="s">
        <v>81</v>
      </c>
      <c r="M548" t="s">
        <v>82</v>
      </c>
      <c r="N548" t="s">
        <v>94</v>
      </c>
      <c r="O548" s="1">
        <v>45809</v>
      </c>
      <c r="P548" s="1">
        <v>45999</v>
      </c>
      <c r="Q548" s="1">
        <v>46023</v>
      </c>
      <c r="R548" s="2">
        <v>-59.41</v>
      </c>
      <c r="S548">
        <v>1</v>
      </c>
      <c r="T548" t="s">
        <v>58</v>
      </c>
      <c r="U548" t="s">
        <v>59</v>
      </c>
      <c r="V548" s="4">
        <v>0.75</v>
      </c>
      <c r="W548" s="2">
        <v>0</v>
      </c>
      <c r="X548">
        <v>-1</v>
      </c>
      <c r="Y548" t="s">
        <v>83</v>
      </c>
      <c r="Z548" t="s">
        <v>61</v>
      </c>
      <c r="AA548">
        <v>0</v>
      </c>
      <c r="AB548" s="2">
        <v>0</v>
      </c>
      <c r="AC548" s="2">
        <v>0</v>
      </c>
      <c r="AD548" s="4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-44.56</v>
      </c>
      <c r="AN548" s="2">
        <v>-44.56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45999</v>
      </c>
      <c r="B549" t="s">
        <v>48</v>
      </c>
      <c r="C549">
        <v>649163</v>
      </c>
      <c r="D549">
        <v>2029275522</v>
      </c>
      <c r="E549" t="s">
        <v>550</v>
      </c>
      <c r="F549" t="s">
        <v>551</v>
      </c>
      <c r="G549" t="s">
        <v>51</v>
      </c>
      <c r="H549" t="s">
        <v>102</v>
      </c>
      <c r="I549" t="s">
        <v>75</v>
      </c>
      <c r="J549" t="s">
        <v>76</v>
      </c>
      <c r="K549">
        <v>821015</v>
      </c>
      <c r="L549" t="s">
        <v>92</v>
      </c>
      <c r="M549" t="s">
        <v>93</v>
      </c>
      <c r="N549" t="s">
        <v>57</v>
      </c>
      <c r="O549" s="1">
        <v>45815</v>
      </c>
      <c r="Q549" s="1">
        <v>46029</v>
      </c>
      <c r="R549" s="2">
        <v>76.8</v>
      </c>
      <c r="S549">
        <v>1</v>
      </c>
      <c r="T549" t="s">
        <v>58</v>
      </c>
      <c r="U549" t="s">
        <v>59</v>
      </c>
      <c r="V549" s="4">
        <v>0.75</v>
      </c>
      <c r="W549" s="2">
        <v>0</v>
      </c>
      <c r="X549">
        <v>0</v>
      </c>
      <c r="Y549" t="s">
        <v>83</v>
      </c>
      <c r="Z549" t="s">
        <v>61</v>
      </c>
      <c r="AA549">
        <v>0</v>
      </c>
      <c r="AB549" s="2">
        <v>0</v>
      </c>
      <c r="AC549" s="2">
        <v>0</v>
      </c>
      <c r="AD549" s="4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57.6</v>
      </c>
      <c r="AN549" s="2">
        <v>57.6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45999</v>
      </c>
      <c r="B550" t="s">
        <v>48</v>
      </c>
      <c r="C550">
        <v>649163</v>
      </c>
      <c r="D550">
        <v>2029283860</v>
      </c>
      <c r="E550" t="s">
        <v>856</v>
      </c>
      <c r="F550" t="s">
        <v>687</v>
      </c>
      <c r="G550" t="s">
        <v>51</v>
      </c>
      <c r="H550" t="s">
        <v>163</v>
      </c>
      <c r="I550" t="s">
        <v>75</v>
      </c>
      <c r="J550" t="s">
        <v>80</v>
      </c>
      <c r="K550">
        <v>823068</v>
      </c>
      <c r="L550" t="s">
        <v>165</v>
      </c>
      <c r="M550" t="s">
        <v>166</v>
      </c>
      <c r="N550" t="s">
        <v>57</v>
      </c>
      <c r="O550" s="1">
        <v>45818</v>
      </c>
      <c r="Q550" s="1">
        <v>46032</v>
      </c>
      <c r="R550" s="2">
        <v>69.75</v>
      </c>
      <c r="S550">
        <v>1</v>
      </c>
      <c r="T550" t="s">
        <v>58</v>
      </c>
      <c r="U550" t="s">
        <v>59</v>
      </c>
      <c r="V550" s="4">
        <v>0.9</v>
      </c>
      <c r="W550" s="2">
        <v>0</v>
      </c>
      <c r="X550">
        <v>0</v>
      </c>
      <c r="Y550" t="s">
        <v>83</v>
      </c>
      <c r="Z550" t="s">
        <v>61</v>
      </c>
      <c r="AA550">
        <v>0</v>
      </c>
      <c r="AB550" s="2">
        <v>0</v>
      </c>
      <c r="AC550" s="2">
        <v>0</v>
      </c>
      <c r="AD550" s="4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62.78</v>
      </c>
      <c r="AN550" s="2">
        <v>62.78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45999</v>
      </c>
      <c r="B551" t="s">
        <v>48</v>
      </c>
      <c r="C551">
        <v>649163</v>
      </c>
      <c r="D551">
        <v>2029501025</v>
      </c>
      <c r="E551" t="s">
        <v>487</v>
      </c>
      <c r="F551" t="s">
        <v>857</v>
      </c>
      <c r="G551" t="s">
        <v>51</v>
      </c>
      <c r="H551" t="s">
        <v>267</v>
      </c>
      <c r="I551" t="s">
        <v>75</v>
      </c>
      <c r="J551" t="s">
        <v>76</v>
      </c>
      <c r="K551">
        <v>651818</v>
      </c>
      <c r="L551" t="s">
        <v>246</v>
      </c>
      <c r="M551" t="s">
        <v>247</v>
      </c>
      <c r="N551" t="s">
        <v>57</v>
      </c>
      <c r="O551" s="1">
        <v>45845</v>
      </c>
      <c r="Q551" s="1">
        <v>46029</v>
      </c>
      <c r="R551" s="2">
        <v>329.4</v>
      </c>
      <c r="S551">
        <v>1</v>
      </c>
      <c r="T551" t="s">
        <v>58</v>
      </c>
      <c r="U551" t="s">
        <v>59</v>
      </c>
      <c r="V551" s="4">
        <v>0.75</v>
      </c>
      <c r="W551" s="2">
        <v>0</v>
      </c>
      <c r="X551">
        <v>0</v>
      </c>
      <c r="Y551" t="s">
        <v>83</v>
      </c>
      <c r="Z551" t="s">
        <v>61</v>
      </c>
      <c r="AA551">
        <v>0</v>
      </c>
      <c r="AB551" s="2">
        <v>0</v>
      </c>
      <c r="AC551" s="2">
        <v>0</v>
      </c>
      <c r="AD551" s="4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247.05</v>
      </c>
      <c r="AN551" s="2">
        <v>247.05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45999</v>
      </c>
      <c r="B552" t="s">
        <v>48</v>
      </c>
      <c r="C552">
        <v>649163</v>
      </c>
      <c r="D552">
        <v>2029531079</v>
      </c>
      <c r="E552" t="s">
        <v>858</v>
      </c>
      <c r="F552" t="s">
        <v>859</v>
      </c>
      <c r="G552" t="s">
        <v>51</v>
      </c>
      <c r="H552" t="s">
        <v>135</v>
      </c>
      <c r="I552" t="s">
        <v>75</v>
      </c>
      <c r="J552" t="s">
        <v>243</v>
      </c>
      <c r="K552">
        <v>673059</v>
      </c>
      <c r="L552" t="s">
        <v>81</v>
      </c>
      <c r="M552" t="s">
        <v>82</v>
      </c>
      <c r="N552" t="s">
        <v>57</v>
      </c>
      <c r="O552" s="1">
        <v>45847</v>
      </c>
      <c r="Q552" s="1">
        <v>46031</v>
      </c>
      <c r="R552" s="2">
        <v>82.36</v>
      </c>
      <c r="S552">
        <v>1</v>
      </c>
      <c r="T552" t="s">
        <v>58</v>
      </c>
      <c r="U552" t="s">
        <v>59</v>
      </c>
      <c r="V552" s="4">
        <v>0.75</v>
      </c>
      <c r="W552" s="2">
        <v>0</v>
      </c>
      <c r="X552">
        <v>0</v>
      </c>
      <c r="Y552" t="s">
        <v>83</v>
      </c>
      <c r="Z552" t="s">
        <v>61</v>
      </c>
      <c r="AA552">
        <v>0</v>
      </c>
      <c r="AB552" s="2">
        <v>0</v>
      </c>
      <c r="AC552" s="2">
        <v>0</v>
      </c>
      <c r="AD552" s="4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61.77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45999</v>
      </c>
      <c r="B553" t="s">
        <v>48</v>
      </c>
      <c r="C553">
        <v>649163</v>
      </c>
      <c r="D553">
        <v>2029609655</v>
      </c>
      <c r="E553" t="s">
        <v>71</v>
      </c>
      <c r="F553" t="s">
        <v>605</v>
      </c>
      <c r="G553" t="s">
        <v>51</v>
      </c>
      <c r="H553" t="s">
        <v>97</v>
      </c>
      <c r="I553" t="s">
        <v>75</v>
      </c>
      <c r="J553" t="s">
        <v>243</v>
      </c>
      <c r="K553">
        <v>651818</v>
      </c>
      <c r="L553" t="s">
        <v>246</v>
      </c>
      <c r="M553" t="s">
        <v>247</v>
      </c>
      <c r="N553" t="s">
        <v>57</v>
      </c>
      <c r="O553" s="1">
        <v>45845</v>
      </c>
      <c r="Q553" s="1">
        <v>46029</v>
      </c>
      <c r="R553" s="2">
        <v>120.19</v>
      </c>
      <c r="S553">
        <v>1</v>
      </c>
      <c r="T553" t="s">
        <v>58</v>
      </c>
      <c r="U553" t="s">
        <v>59</v>
      </c>
      <c r="V553" s="4">
        <v>0.75</v>
      </c>
      <c r="W553" s="2">
        <v>0</v>
      </c>
      <c r="X553">
        <v>0</v>
      </c>
      <c r="Y553" t="s">
        <v>83</v>
      </c>
      <c r="Z553" t="s">
        <v>61</v>
      </c>
      <c r="AA553">
        <v>0</v>
      </c>
      <c r="AB553" s="2">
        <v>0</v>
      </c>
      <c r="AC553" s="2">
        <v>0</v>
      </c>
      <c r="AD553" s="4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0.01</v>
      </c>
      <c r="AM553" s="2">
        <v>90.13</v>
      </c>
      <c r="AN553" s="2">
        <v>90.13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45999</v>
      </c>
      <c r="B554" t="s">
        <v>48</v>
      </c>
      <c r="C554">
        <v>649163</v>
      </c>
      <c r="D554">
        <v>2029738920</v>
      </c>
      <c r="E554" t="s">
        <v>674</v>
      </c>
      <c r="F554" t="s">
        <v>675</v>
      </c>
      <c r="G554" t="s">
        <v>51</v>
      </c>
      <c r="H554" t="s">
        <v>79</v>
      </c>
      <c r="I554" t="s">
        <v>75</v>
      </c>
      <c r="J554" t="s">
        <v>243</v>
      </c>
      <c r="K554">
        <v>673059</v>
      </c>
      <c r="L554" t="s">
        <v>81</v>
      </c>
      <c r="M554" t="s">
        <v>82</v>
      </c>
      <c r="N554" t="s">
        <v>57</v>
      </c>
      <c r="O554" s="1">
        <v>45846</v>
      </c>
      <c r="Q554" s="1">
        <v>46030</v>
      </c>
      <c r="R554" s="2">
        <v>53.6</v>
      </c>
      <c r="S554">
        <v>1</v>
      </c>
      <c r="T554" t="s">
        <v>58</v>
      </c>
      <c r="U554" t="s">
        <v>59</v>
      </c>
      <c r="V554" s="4">
        <v>0.75</v>
      </c>
      <c r="W554" s="2">
        <v>0</v>
      </c>
      <c r="X554">
        <v>0</v>
      </c>
      <c r="Y554" t="s">
        <v>83</v>
      </c>
      <c r="Z554" t="s">
        <v>61</v>
      </c>
      <c r="AA554">
        <v>0</v>
      </c>
      <c r="AB554" s="2">
        <v>0</v>
      </c>
      <c r="AC554" s="2">
        <v>0</v>
      </c>
      <c r="AD554" s="4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40.200000000000003</v>
      </c>
      <c r="AN554" s="2">
        <v>40.200000000000003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45999</v>
      </c>
      <c r="B555" t="s">
        <v>48</v>
      </c>
      <c r="C555">
        <v>649163</v>
      </c>
      <c r="D555">
        <v>2029761816</v>
      </c>
      <c r="E555" t="s">
        <v>558</v>
      </c>
      <c r="F555" t="s">
        <v>559</v>
      </c>
      <c r="G555" t="s">
        <v>51</v>
      </c>
      <c r="H555" t="s">
        <v>79</v>
      </c>
      <c r="I555" t="s">
        <v>75</v>
      </c>
      <c r="J555" t="s">
        <v>243</v>
      </c>
      <c r="K555">
        <v>812782</v>
      </c>
      <c r="L555" t="s">
        <v>159</v>
      </c>
      <c r="M555" t="s">
        <v>160</v>
      </c>
      <c r="N555" t="s">
        <v>57</v>
      </c>
      <c r="O555" s="1">
        <v>45841</v>
      </c>
      <c r="Q555" s="1">
        <v>46025</v>
      </c>
      <c r="R555" s="2">
        <v>-9.85</v>
      </c>
      <c r="S555">
        <v>1</v>
      </c>
      <c r="T555" t="s">
        <v>58</v>
      </c>
      <c r="U555" t="s">
        <v>59</v>
      </c>
      <c r="V555" s="4">
        <v>0.75</v>
      </c>
      <c r="W555" s="2">
        <v>0</v>
      </c>
      <c r="X555">
        <v>-1</v>
      </c>
      <c r="Y555" t="s">
        <v>83</v>
      </c>
      <c r="Z555" t="s">
        <v>61</v>
      </c>
      <c r="AA555">
        <v>0</v>
      </c>
      <c r="AB555" s="2">
        <v>0</v>
      </c>
      <c r="AC555" s="2">
        <v>0</v>
      </c>
      <c r="AD555" s="4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-7.39</v>
      </c>
      <c r="AN555" s="2">
        <v>-7.39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45999</v>
      </c>
      <c r="B556" t="s">
        <v>48</v>
      </c>
      <c r="C556">
        <v>649163</v>
      </c>
      <c r="D556">
        <v>2029838336</v>
      </c>
      <c r="E556" t="s">
        <v>676</v>
      </c>
      <c r="F556" t="s">
        <v>677</v>
      </c>
      <c r="G556" t="s">
        <v>51</v>
      </c>
      <c r="H556" t="s">
        <v>102</v>
      </c>
      <c r="I556" t="s">
        <v>75</v>
      </c>
      <c r="J556" t="s">
        <v>243</v>
      </c>
      <c r="K556">
        <v>840313</v>
      </c>
      <c r="L556" t="s">
        <v>525</v>
      </c>
      <c r="M556" t="s">
        <v>526</v>
      </c>
      <c r="N556" t="s">
        <v>57</v>
      </c>
      <c r="O556" s="1">
        <v>45846</v>
      </c>
      <c r="Q556" s="1">
        <v>46030</v>
      </c>
      <c r="R556" s="2">
        <v>20.6</v>
      </c>
      <c r="S556">
        <v>1</v>
      </c>
      <c r="T556" t="s">
        <v>58</v>
      </c>
      <c r="U556" t="s">
        <v>59</v>
      </c>
      <c r="V556" s="4">
        <v>0.75</v>
      </c>
      <c r="W556" s="2">
        <v>0</v>
      </c>
      <c r="X556">
        <v>0</v>
      </c>
      <c r="Y556" t="s">
        <v>83</v>
      </c>
      <c r="Z556" t="s">
        <v>61</v>
      </c>
      <c r="AA556">
        <v>0</v>
      </c>
      <c r="AB556" s="2">
        <v>0</v>
      </c>
      <c r="AC556" s="2">
        <v>0</v>
      </c>
      <c r="AD556" s="4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15.45</v>
      </c>
      <c r="AN556" s="2">
        <v>15.45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45999</v>
      </c>
      <c r="B557" t="s">
        <v>48</v>
      </c>
      <c r="C557">
        <v>649163</v>
      </c>
      <c r="D557">
        <v>2029866851</v>
      </c>
      <c r="E557" t="s">
        <v>860</v>
      </c>
      <c r="F557" t="s">
        <v>861</v>
      </c>
      <c r="G557" t="s">
        <v>51</v>
      </c>
      <c r="H557" t="s">
        <v>79</v>
      </c>
      <c r="I557" t="s">
        <v>75</v>
      </c>
      <c r="J557" t="s">
        <v>243</v>
      </c>
      <c r="K557">
        <v>673059</v>
      </c>
      <c r="L557" t="s">
        <v>81</v>
      </c>
      <c r="M557" t="s">
        <v>82</v>
      </c>
      <c r="N557" t="s">
        <v>57</v>
      </c>
      <c r="O557" s="1">
        <v>45848</v>
      </c>
      <c r="Q557" s="1">
        <v>46032</v>
      </c>
      <c r="R557" s="2">
        <v>160.22999999999999</v>
      </c>
      <c r="S557">
        <v>1</v>
      </c>
      <c r="T557" t="s">
        <v>58</v>
      </c>
      <c r="U557" t="s">
        <v>59</v>
      </c>
      <c r="V557" s="4">
        <v>0.75</v>
      </c>
      <c r="W557" s="2">
        <v>0</v>
      </c>
      <c r="X557">
        <v>0</v>
      </c>
      <c r="Y557" t="s">
        <v>83</v>
      </c>
      <c r="Z557" t="s">
        <v>61</v>
      </c>
      <c r="AA557">
        <v>0</v>
      </c>
      <c r="AB557" s="2">
        <v>0</v>
      </c>
      <c r="AC557" s="2">
        <v>0</v>
      </c>
      <c r="AD557" s="4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120.17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45999</v>
      </c>
      <c r="B558" t="s">
        <v>48</v>
      </c>
      <c r="C558">
        <v>649163</v>
      </c>
      <c r="D558">
        <v>2029919053</v>
      </c>
      <c r="E558" t="s">
        <v>730</v>
      </c>
      <c r="F558" t="s">
        <v>862</v>
      </c>
      <c r="G558" t="s">
        <v>51</v>
      </c>
      <c r="H558" t="s">
        <v>620</v>
      </c>
      <c r="I558" t="s">
        <v>75</v>
      </c>
      <c r="J558" t="s">
        <v>76</v>
      </c>
      <c r="K558">
        <v>651818</v>
      </c>
      <c r="L558" t="s">
        <v>246</v>
      </c>
      <c r="M558" t="s">
        <v>247</v>
      </c>
      <c r="N558" t="s">
        <v>57</v>
      </c>
      <c r="O558" s="1">
        <v>45876</v>
      </c>
      <c r="Q558" s="1">
        <v>46029</v>
      </c>
      <c r="R558" s="2">
        <v>219.55</v>
      </c>
      <c r="S558">
        <v>1</v>
      </c>
      <c r="T558" t="s">
        <v>58</v>
      </c>
      <c r="U558" t="s">
        <v>59</v>
      </c>
      <c r="V558" s="4">
        <v>0.75</v>
      </c>
      <c r="W558" s="2">
        <v>0</v>
      </c>
      <c r="X558">
        <v>0</v>
      </c>
      <c r="Y558" t="s">
        <v>83</v>
      </c>
      <c r="Z558" t="s">
        <v>61</v>
      </c>
      <c r="AA558">
        <v>0</v>
      </c>
      <c r="AB558" s="2">
        <v>0</v>
      </c>
      <c r="AC558" s="2">
        <v>0</v>
      </c>
      <c r="AD558" s="4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164.66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45999</v>
      </c>
      <c r="B559" t="s">
        <v>48</v>
      </c>
      <c r="C559">
        <v>649163</v>
      </c>
      <c r="D559">
        <v>2029959146</v>
      </c>
      <c r="E559" t="s">
        <v>863</v>
      </c>
      <c r="F559" t="s">
        <v>864</v>
      </c>
      <c r="G559" t="s">
        <v>51</v>
      </c>
      <c r="H559" t="s">
        <v>447</v>
      </c>
      <c r="I559" t="s">
        <v>75</v>
      </c>
      <c r="J559" t="s">
        <v>76</v>
      </c>
      <c r="K559">
        <v>651818</v>
      </c>
      <c r="L559" t="s">
        <v>246</v>
      </c>
      <c r="M559" t="s">
        <v>247</v>
      </c>
      <c r="N559" t="s">
        <v>57</v>
      </c>
      <c r="O559" s="1">
        <v>45876</v>
      </c>
      <c r="Q559" s="1">
        <v>46029</v>
      </c>
      <c r="R559" s="2">
        <v>187</v>
      </c>
      <c r="S559">
        <v>1</v>
      </c>
      <c r="T559" t="s">
        <v>58</v>
      </c>
      <c r="U559" t="s">
        <v>59</v>
      </c>
      <c r="V559" s="4">
        <v>0.75</v>
      </c>
      <c r="W559" s="2">
        <v>0</v>
      </c>
      <c r="X559">
        <v>0</v>
      </c>
      <c r="Y559" t="s">
        <v>83</v>
      </c>
      <c r="Z559" t="s">
        <v>61</v>
      </c>
      <c r="AA559">
        <v>0</v>
      </c>
      <c r="AB559" s="2">
        <v>0</v>
      </c>
      <c r="AC559" s="2">
        <v>0</v>
      </c>
      <c r="AD559" s="4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140.25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45999</v>
      </c>
      <c r="B560" t="s">
        <v>48</v>
      </c>
      <c r="C560">
        <v>649163</v>
      </c>
      <c r="D560">
        <v>2029963806</v>
      </c>
      <c r="E560" t="s">
        <v>279</v>
      </c>
      <c r="F560" t="s">
        <v>865</v>
      </c>
      <c r="G560" t="s">
        <v>51</v>
      </c>
      <c r="H560" t="s">
        <v>256</v>
      </c>
      <c r="I560" t="s">
        <v>75</v>
      </c>
      <c r="J560" t="s">
        <v>80</v>
      </c>
      <c r="K560">
        <v>651818</v>
      </c>
      <c r="L560" t="s">
        <v>246</v>
      </c>
      <c r="M560" t="s">
        <v>247</v>
      </c>
      <c r="N560" t="s">
        <v>57</v>
      </c>
      <c r="O560" s="1">
        <v>45876</v>
      </c>
      <c r="Q560" s="1">
        <v>46029</v>
      </c>
      <c r="R560" s="2">
        <v>92.65</v>
      </c>
      <c r="S560">
        <v>1</v>
      </c>
      <c r="T560" t="s">
        <v>58</v>
      </c>
      <c r="U560" t="s">
        <v>59</v>
      </c>
      <c r="V560" s="4">
        <v>0.9</v>
      </c>
      <c r="W560" s="2">
        <v>0</v>
      </c>
      <c r="X560">
        <v>0</v>
      </c>
      <c r="Y560" t="s">
        <v>83</v>
      </c>
      <c r="Z560" t="s">
        <v>61</v>
      </c>
      <c r="AA560">
        <v>0</v>
      </c>
      <c r="AB560" s="2">
        <v>0</v>
      </c>
      <c r="AC560" s="2">
        <v>0</v>
      </c>
      <c r="AD560" s="4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83.38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45999</v>
      </c>
      <c r="B561" t="s">
        <v>48</v>
      </c>
      <c r="C561">
        <v>649163</v>
      </c>
      <c r="D561">
        <v>2030002924</v>
      </c>
      <c r="E561" t="s">
        <v>107</v>
      </c>
      <c r="F561" t="s">
        <v>338</v>
      </c>
      <c r="G561" t="s">
        <v>51</v>
      </c>
      <c r="H561" t="s">
        <v>383</v>
      </c>
      <c r="I561" t="s">
        <v>75</v>
      </c>
      <c r="J561" t="s">
        <v>243</v>
      </c>
      <c r="K561">
        <v>824076</v>
      </c>
      <c r="L561" t="s">
        <v>213</v>
      </c>
      <c r="M561" t="s">
        <v>214</v>
      </c>
      <c r="N561" t="s">
        <v>57</v>
      </c>
      <c r="O561" s="1">
        <v>45870</v>
      </c>
      <c r="Q561" s="1">
        <v>46023</v>
      </c>
      <c r="R561" s="2">
        <v>74.25</v>
      </c>
      <c r="S561">
        <v>1</v>
      </c>
      <c r="T561" t="s">
        <v>58</v>
      </c>
      <c r="U561" t="s">
        <v>59</v>
      </c>
      <c r="V561" s="4">
        <v>0.75</v>
      </c>
      <c r="W561" s="2">
        <v>0</v>
      </c>
      <c r="X561">
        <v>0</v>
      </c>
      <c r="Y561" t="s">
        <v>83</v>
      </c>
      <c r="Z561" t="s">
        <v>61</v>
      </c>
      <c r="AA561">
        <v>0</v>
      </c>
      <c r="AB561" s="2">
        <v>0</v>
      </c>
      <c r="AC561" s="2">
        <v>0</v>
      </c>
      <c r="AD561" s="4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55.69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45999</v>
      </c>
      <c r="B562" t="s">
        <v>48</v>
      </c>
      <c r="C562">
        <v>649163</v>
      </c>
      <c r="D562">
        <v>2030013622</v>
      </c>
      <c r="E562" t="s">
        <v>352</v>
      </c>
      <c r="F562" t="s">
        <v>866</v>
      </c>
      <c r="G562" t="s">
        <v>51</v>
      </c>
      <c r="H562" t="s">
        <v>447</v>
      </c>
      <c r="I562" t="s">
        <v>75</v>
      </c>
      <c r="J562" t="s">
        <v>76</v>
      </c>
      <c r="K562">
        <v>651818</v>
      </c>
      <c r="L562" t="s">
        <v>246</v>
      </c>
      <c r="M562" t="s">
        <v>247</v>
      </c>
      <c r="N562" t="s">
        <v>57</v>
      </c>
      <c r="O562" s="1">
        <v>45876</v>
      </c>
      <c r="Q562" s="1">
        <v>46029</v>
      </c>
      <c r="R562" s="2">
        <v>59.5</v>
      </c>
      <c r="S562">
        <v>1</v>
      </c>
      <c r="T562" t="s">
        <v>58</v>
      </c>
      <c r="U562" t="s">
        <v>59</v>
      </c>
      <c r="V562" s="4">
        <v>0.75</v>
      </c>
      <c r="W562" s="2">
        <v>0</v>
      </c>
      <c r="X562">
        <v>0</v>
      </c>
      <c r="Y562" t="s">
        <v>83</v>
      </c>
      <c r="Z562" t="s">
        <v>61</v>
      </c>
      <c r="AA562">
        <v>0</v>
      </c>
      <c r="AB562" s="2">
        <v>0</v>
      </c>
      <c r="AC562" s="2">
        <v>0</v>
      </c>
      <c r="AD562" s="4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44.62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45999</v>
      </c>
      <c r="B563" t="s">
        <v>48</v>
      </c>
      <c r="C563">
        <v>649163</v>
      </c>
      <c r="D563">
        <v>2030047485</v>
      </c>
      <c r="E563" t="s">
        <v>801</v>
      </c>
      <c r="F563" t="s">
        <v>140</v>
      </c>
      <c r="G563" t="s">
        <v>51</v>
      </c>
      <c r="H563" t="s">
        <v>447</v>
      </c>
      <c r="I563" t="s">
        <v>75</v>
      </c>
      <c r="J563" t="s">
        <v>76</v>
      </c>
      <c r="K563">
        <v>651818</v>
      </c>
      <c r="L563" t="s">
        <v>246</v>
      </c>
      <c r="M563" t="s">
        <v>247</v>
      </c>
      <c r="N563" t="s">
        <v>57</v>
      </c>
      <c r="O563" s="1">
        <v>45876</v>
      </c>
      <c r="Q563" s="1">
        <v>46029</v>
      </c>
      <c r="R563" s="2">
        <v>152.19999999999999</v>
      </c>
      <c r="S563">
        <v>1</v>
      </c>
      <c r="T563" t="s">
        <v>58</v>
      </c>
      <c r="U563" t="s">
        <v>59</v>
      </c>
      <c r="V563" s="4">
        <v>0.75</v>
      </c>
      <c r="W563" s="2">
        <v>0</v>
      </c>
      <c r="X563">
        <v>0</v>
      </c>
      <c r="Y563" t="s">
        <v>83</v>
      </c>
      <c r="Z563" t="s">
        <v>61</v>
      </c>
      <c r="AA563">
        <v>0</v>
      </c>
      <c r="AB563" s="2">
        <v>0</v>
      </c>
      <c r="AC563" s="2">
        <v>0</v>
      </c>
      <c r="AD563" s="4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114.15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45999</v>
      </c>
      <c r="B564" t="s">
        <v>48</v>
      </c>
      <c r="C564">
        <v>649163</v>
      </c>
      <c r="D564">
        <v>2030047734</v>
      </c>
      <c r="E564" t="s">
        <v>867</v>
      </c>
      <c r="F564" t="s">
        <v>868</v>
      </c>
      <c r="G564" t="s">
        <v>51</v>
      </c>
      <c r="H564" t="s">
        <v>74</v>
      </c>
      <c r="I564" t="s">
        <v>75</v>
      </c>
      <c r="J564" t="s">
        <v>80</v>
      </c>
      <c r="K564">
        <v>651818</v>
      </c>
      <c r="L564" t="s">
        <v>246</v>
      </c>
      <c r="M564" t="s">
        <v>247</v>
      </c>
      <c r="N564" t="s">
        <v>57</v>
      </c>
      <c r="O564" s="1">
        <v>45876</v>
      </c>
      <c r="Q564" s="1">
        <v>46029</v>
      </c>
      <c r="R564" s="2">
        <v>70.959999999999994</v>
      </c>
      <c r="S564">
        <v>1</v>
      </c>
      <c r="T564" t="s">
        <v>58</v>
      </c>
      <c r="U564" t="s">
        <v>59</v>
      </c>
      <c r="V564" s="4">
        <v>0.9</v>
      </c>
      <c r="W564" s="2">
        <v>0</v>
      </c>
      <c r="X564">
        <v>0</v>
      </c>
      <c r="Y564" t="s">
        <v>83</v>
      </c>
      <c r="Z564" t="s">
        <v>61</v>
      </c>
      <c r="AA564">
        <v>0</v>
      </c>
      <c r="AB564" s="2">
        <v>0</v>
      </c>
      <c r="AC564" s="2">
        <v>0</v>
      </c>
      <c r="AD564" s="4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63.86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45999</v>
      </c>
      <c r="B565" t="s">
        <v>48</v>
      </c>
      <c r="C565">
        <v>649163</v>
      </c>
      <c r="D565">
        <v>2030090690</v>
      </c>
      <c r="E565" t="s">
        <v>233</v>
      </c>
      <c r="F565" t="s">
        <v>869</v>
      </c>
      <c r="G565" t="s">
        <v>51</v>
      </c>
      <c r="H565" t="s">
        <v>386</v>
      </c>
      <c r="I565" t="s">
        <v>75</v>
      </c>
      <c r="J565" t="s">
        <v>76</v>
      </c>
      <c r="K565">
        <v>651818</v>
      </c>
      <c r="L565" t="s">
        <v>246</v>
      </c>
      <c r="M565" t="s">
        <v>247</v>
      </c>
      <c r="N565" t="s">
        <v>57</v>
      </c>
      <c r="O565" s="1">
        <v>45876</v>
      </c>
      <c r="Q565" s="1">
        <v>46029</v>
      </c>
      <c r="R565" s="2">
        <v>52.6</v>
      </c>
      <c r="S565">
        <v>1</v>
      </c>
      <c r="T565" t="s">
        <v>58</v>
      </c>
      <c r="U565" t="s">
        <v>59</v>
      </c>
      <c r="V565" s="4">
        <v>0.75</v>
      </c>
      <c r="W565" s="2">
        <v>0</v>
      </c>
      <c r="X565">
        <v>0</v>
      </c>
      <c r="Y565" t="s">
        <v>83</v>
      </c>
      <c r="Z565" t="s">
        <v>61</v>
      </c>
      <c r="AA565">
        <v>0</v>
      </c>
      <c r="AB565" s="2">
        <v>0</v>
      </c>
      <c r="AC565" s="2">
        <v>0</v>
      </c>
      <c r="AD565" s="4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39.450000000000003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45999</v>
      </c>
      <c r="B566" t="s">
        <v>48</v>
      </c>
      <c r="C566">
        <v>649163</v>
      </c>
      <c r="D566">
        <v>2030189268</v>
      </c>
      <c r="E566" t="s">
        <v>577</v>
      </c>
      <c r="F566" t="s">
        <v>578</v>
      </c>
      <c r="G566" t="s">
        <v>51</v>
      </c>
      <c r="H566" t="s">
        <v>220</v>
      </c>
      <c r="I566" t="s">
        <v>75</v>
      </c>
      <c r="J566" t="s">
        <v>739</v>
      </c>
      <c r="K566">
        <v>651818</v>
      </c>
      <c r="L566" t="s">
        <v>246</v>
      </c>
      <c r="M566" t="s">
        <v>247</v>
      </c>
      <c r="N566" t="s">
        <v>57</v>
      </c>
      <c r="O566" s="1">
        <v>45876</v>
      </c>
      <c r="Q566" s="1">
        <v>46029</v>
      </c>
      <c r="R566" s="2">
        <v>24.4</v>
      </c>
      <c r="S566">
        <v>1</v>
      </c>
      <c r="T566" t="s">
        <v>58</v>
      </c>
      <c r="U566" t="s">
        <v>59</v>
      </c>
      <c r="V566" s="4">
        <v>0.65</v>
      </c>
      <c r="W566" s="2">
        <v>0</v>
      </c>
      <c r="X566">
        <v>0</v>
      </c>
      <c r="Y566" t="s">
        <v>83</v>
      </c>
      <c r="Z566" t="s">
        <v>61</v>
      </c>
      <c r="AA566">
        <v>0</v>
      </c>
      <c r="AB566" s="2">
        <v>0</v>
      </c>
      <c r="AC566" s="2">
        <v>0</v>
      </c>
      <c r="AD566" s="4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15.86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45999</v>
      </c>
      <c r="B567" t="s">
        <v>48</v>
      </c>
      <c r="C567">
        <v>649163</v>
      </c>
      <c r="D567">
        <v>2030192141</v>
      </c>
      <c r="E567" t="s">
        <v>870</v>
      </c>
      <c r="F567" t="s">
        <v>871</v>
      </c>
      <c r="G567" t="s">
        <v>51</v>
      </c>
      <c r="H567" t="s">
        <v>389</v>
      </c>
      <c r="I567" t="s">
        <v>75</v>
      </c>
      <c r="J567" t="s">
        <v>243</v>
      </c>
      <c r="K567">
        <v>651818</v>
      </c>
      <c r="L567" t="s">
        <v>246</v>
      </c>
      <c r="M567" t="s">
        <v>247</v>
      </c>
      <c r="N567" t="s">
        <v>57</v>
      </c>
      <c r="O567" s="1">
        <v>45876</v>
      </c>
      <c r="Q567" s="1">
        <v>46029</v>
      </c>
      <c r="R567" s="2">
        <v>76.45</v>
      </c>
      <c r="S567">
        <v>1</v>
      </c>
      <c r="T567" t="s">
        <v>58</v>
      </c>
      <c r="U567" t="s">
        <v>59</v>
      </c>
      <c r="V567" s="4">
        <v>0.75</v>
      </c>
      <c r="W567" s="2">
        <v>0</v>
      </c>
      <c r="X567">
        <v>0</v>
      </c>
      <c r="Y567" t="s">
        <v>83</v>
      </c>
      <c r="Z567" t="s">
        <v>61</v>
      </c>
      <c r="AA567">
        <v>0</v>
      </c>
      <c r="AB567" s="2">
        <v>0</v>
      </c>
      <c r="AC567" s="2">
        <v>0</v>
      </c>
      <c r="AD567" s="4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57.33</v>
      </c>
      <c r="AM567" s="2">
        <v>0.01</v>
      </c>
      <c r="AN567" s="2">
        <v>0.01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45999</v>
      </c>
      <c r="B568" t="s">
        <v>48</v>
      </c>
      <c r="C568">
        <v>649163</v>
      </c>
      <c r="D568">
        <v>2030228486</v>
      </c>
      <c r="E568" t="s">
        <v>872</v>
      </c>
      <c r="F568" t="s">
        <v>873</v>
      </c>
      <c r="G568" t="s">
        <v>51</v>
      </c>
      <c r="H568" t="s">
        <v>97</v>
      </c>
      <c r="I568" t="s">
        <v>75</v>
      </c>
      <c r="J568" t="s">
        <v>243</v>
      </c>
      <c r="K568">
        <v>673059</v>
      </c>
      <c r="L568" t="s">
        <v>81</v>
      </c>
      <c r="M568" t="s">
        <v>82</v>
      </c>
      <c r="N568" t="s">
        <v>57</v>
      </c>
      <c r="O568" s="1">
        <v>45875</v>
      </c>
      <c r="Q568" s="1">
        <v>46028</v>
      </c>
      <c r="R568" s="2">
        <v>81.099999999999994</v>
      </c>
      <c r="S568">
        <v>1</v>
      </c>
      <c r="T568" t="s">
        <v>58</v>
      </c>
      <c r="U568" t="s">
        <v>59</v>
      </c>
      <c r="V568" s="4">
        <v>0.75</v>
      </c>
      <c r="W568" s="2">
        <v>0</v>
      </c>
      <c r="X568">
        <v>0</v>
      </c>
      <c r="Y568" t="s">
        <v>83</v>
      </c>
      <c r="Z568" t="s">
        <v>61</v>
      </c>
      <c r="AA568">
        <v>0</v>
      </c>
      <c r="AB568" s="2">
        <v>0</v>
      </c>
      <c r="AC568" s="2">
        <v>0</v>
      </c>
      <c r="AD568" s="4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60.82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45999</v>
      </c>
      <c r="B569" t="s">
        <v>48</v>
      </c>
      <c r="C569">
        <v>649163</v>
      </c>
      <c r="D569">
        <v>2030277547</v>
      </c>
      <c r="E569" t="s">
        <v>681</v>
      </c>
      <c r="F569" t="s">
        <v>682</v>
      </c>
      <c r="G569" t="s">
        <v>51</v>
      </c>
      <c r="H569" t="s">
        <v>210</v>
      </c>
      <c r="I569" t="s">
        <v>75</v>
      </c>
      <c r="J569" t="s">
        <v>243</v>
      </c>
      <c r="K569">
        <v>673059</v>
      </c>
      <c r="L569" t="s">
        <v>81</v>
      </c>
      <c r="M569" t="s">
        <v>82</v>
      </c>
      <c r="N569" t="s">
        <v>57</v>
      </c>
      <c r="O569" s="1">
        <v>45878</v>
      </c>
      <c r="Q569" s="1">
        <v>46031</v>
      </c>
      <c r="R569" s="2">
        <v>37.18</v>
      </c>
      <c r="S569">
        <v>1</v>
      </c>
      <c r="T569" t="s">
        <v>58</v>
      </c>
      <c r="U569" t="s">
        <v>59</v>
      </c>
      <c r="V569" s="4">
        <v>0.75</v>
      </c>
      <c r="W569" s="2">
        <v>0</v>
      </c>
      <c r="X569">
        <v>0</v>
      </c>
      <c r="Y569" t="s">
        <v>83</v>
      </c>
      <c r="Z569" t="s">
        <v>61</v>
      </c>
      <c r="AA569">
        <v>0</v>
      </c>
      <c r="AB569" s="2">
        <v>0</v>
      </c>
      <c r="AC569" s="2">
        <v>0</v>
      </c>
      <c r="AD569" s="4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27.88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45999</v>
      </c>
      <c r="B570" t="s">
        <v>48</v>
      </c>
      <c r="C570">
        <v>649163</v>
      </c>
      <c r="D570">
        <v>2030317596</v>
      </c>
      <c r="E570" t="s">
        <v>874</v>
      </c>
      <c r="F570" t="s">
        <v>824</v>
      </c>
      <c r="G570" t="s">
        <v>51</v>
      </c>
      <c r="H570" t="s">
        <v>102</v>
      </c>
      <c r="I570" t="s">
        <v>75</v>
      </c>
      <c r="J570" t="s">
        <v>243</v>
      </c>
      <c r="K570">
        <v>651818</v>
      </c>
      <c r="L570" t="s">
        <v>246</v>
      </c>
      <c r="M570" t="s">
        <v>247</v>
      </c>
      <c r="N570" t="s">
        <v>57</v>
      </c>
      <c r="O570" s="1">
        <v>45906</v>
      </c>
      <c r="Q570" s="1">
        <v>46028</v>
      </c>
      <c r="R570" s="2">
        <v>69.3</v>
      </c>
      <c r="S570">
        <v>1</v>
      </c>
      <c r="T570" t="s">
        <v>58</v>
      </c>
      <c r="U570" t="s">
        <v>59</v>
      </c>
      <c r="V570" s="4">
        <v>0.75</v>
      </c>
      <c r="W570" s="2">
        <v>0</v>
      </c>
      <c r="X570">
        <v>0</v>
      </c>
      <c r="Y570" t="s">
        <v>83</v>
      </c>
      <c r="Z570" t="s">
        <v>61</v>
      </c>
      <c r="AA570">
        <v>0</v>
      </c>
      <c r="AB570" s="2">
        <v>0</v>
      </c>
      <c r="AC570" s="2">
        <v>0</v>
      </c>
      <c r="AD570" s="4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51.98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45999</v>
      </c>
      <c r="B571" t="s">
        <v>48</v>
      </c>
      <c r="C571">
        <v>649163</v>
      </c>
      <c r="D571">
        <v>2030329365</v>
      </c>
      <c r="E571" t="s">
        <v>481</v>
      </c>
      <c r="F571" t="s">
        <v>875</v>
      </c>
      <c r="G571" t="s">
        <v>51</v>
      </c>
      <c r="H571" t="s">
        <v>163</v>
      </c>
      <c r="I571" t="s">
        <v>75</v>
      </c>
      <c r="J571" t="s">
        <v>80</v>
      </c>
      <c r="K571">
        <v>823068</v>
      </c>
      <c r="L571" t="s">
        <v>165</v>
      </c>
      <c r="M571" t="s">
        <v>166</v>
      </c>
      <c r="N571" t="s">
        <v>57</v>
      </c>
      <c r="O571" s="1">
        <v>45878</v>
      </c>
      <c r="Q571" s="1">
        <v>46031</v>
      </c>
      <c r="R571" s="2">
        <v>84.56</v>
      </c>
      <c r="S571">
        <v>1</v>
      </c>
      <c r="T571" t="s">
        <v>58</v>
      </c>
      <c r="U571" t="s">
        <v>59</v>
      </c>
      <c r="V571" s="4">
        <v>0.9</v>
      </c>
      <c r="W571" s="2">
        <v>0</v>
      </c>
      <c r="X571">
        <v>0</v>
      </c>
      <c r="Y571" t="s">
        <v>83</v>
      </c>
      <c r="Z571" t="s">
        <v>61</v>
      </c>
      <c r="AA571">
        <v>0</v>
      </c>
      <c r="AB571" s="2">
        <v>0</v>
      </c>
      <c r="AC571" s="2">
        <v>0</v>
      </c>
      <c r="AD571" s="4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76.099999999999994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45999</v>
      </c>
      <c r="B572" t="s">
        <v>48</v>
      </c>
      <c r="C572">
        <v>649163</v>
      </c>
      <c r="D572">
        <v>2030336751</v>
      </c>
      <c r="E572" t="s">
        <v>876</v>
      </c>
      <c r="F572" t="s">
        <v>245</v>
      </c>
      <c r="G572" t="s">
        <v>51</v>
      </c>
      <c r="H572" t="s">
        <v>374</v>
      </c>
      <c r="I572" t="s">
        <v>75</v>
      </c>
      <c r="J572" t="s">
        <v>80</v>
      </c>
      <c r="K572">
        <v>651818</v>
      </c>
      <c r="L572" t="s">
        <v>246</v>
      </c>
      <c r="M572" t="s">
        <v>247</v>
      </c>
      <c r="N572" t="s">
        <v>57</v>
      </c>
      <c r="O572" s="1">
        <v>45906</v>
      </c>
      <c r="Q572" s="1">
        <v>46028</v>
      </c>
      <c r="R572" s="2">
        <v>216.41</v>
      </c>
      <c r="S572">
        <v>1</v>
      </c>
      <c r="T572" t="s">
        <v>58</v>
      </c>
      <c r="U572" t="s">
        <v>59</v>
      </c>
      <c r="V572" s="4">
        <v>0.9</v>
      </c>
      <c r="W572" s="2">
        <v>0</v>
      </c>
      <c r="X572">
        <v>0</v>
      </c>
      <c r="Y572" t="s">
        <v>83</v>
      </c>
      <c r="Z572" t="s">
        <v>61</v>
      </c>
      <c r="AA572">
        <v>0</v>
      </c>
      <c r="AB572" s="2">
        <v>0</v>
      </c>
      <c r="AC572" s="2">
        <v>0</v>
      </c>
      <c r="AD572" s="4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194.77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45999</v>
      </c>
      <c r="B573" t="s">
        <v>48</v>
      </c>
      <c r="C573">
        <v>649163</v>
      </c>
      <c r="D573">
        <v>2030345987</v>
      </c>
      <c r="E573" t="s">
        <v>279</v>
      </c>
      <c r="F573" t="s">
        <v>877</v>
      </c>
      <c r="G573" t="s">
        <v>51</v>
      </c>
      <c r="H573" t="s">
        <v>163</v>
      </c>
      <c r="I573" t="s">
        <v>75</v>
      </c>
      <c r="J573" t="s">
        <v>80</v>
      </c>
      <c r="K573">
        <v>823068</v>
      </c>
      <c r="L573" t="s">
        <v>165</v>
      </c>
      <c r="M573" t="s">
        <v>166</v>
      </c>
      <c r="N573" t="s">
        <v>57</v>
      </c>
      <c r="O573" s="1">
        <v>45876</v>
      </c>
      <c r="Q573" s="1">
        <v>46029</v>
      </c>
      <c r="R573" s="2">
        <v>51.46</v>
      </c>
      <c r="S573">
        <v>1</v>
      </c>
      <c r="T573" t="s">
        <v>58</v>
      </c>
      <c r="U573" t="s">
        <v>59</v>
      </c>
      <c r="V573" s="4">
        <v>0.9</v>
      </c>
      <c r="W573" s="2">
        <v>0</v>
      </c>
      <c r="X573">
        <v>0</v>
      </c>
      <c r="Y573" t="s">
        <v>83</v>
      </c>
      <c r="Z573" t="s">
        <v>61</v>
      </c>
      <c r="AA573">
        <v>0</v>
      </c>
      <c r="AB573" s="2">
        <v>0</v>
      </c>
      <c r="AC573" s="2">
        <v>0</v>
      </c>
      <c r="AD573" s="4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46.31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45999</v>
      </c>
      <c r="B574" t="s">
        <v>48</v>
      </c>
      <c r="C574">
        <v>649163</v>
      </c>
      <c r="D574">
        <v>2030366107</v>
      </c>
      <c r="E574" t="s">
        <v>878</v>
      </c>
      <c r="F574" t="s">
        <v>879</v>
      </c>
      <c r="G574" t="s">
        <v>51</v>
      </c>
      <c r="H574" t="s">
        <v>97</v>
      </c>
      <c r="I574" t="s">
        <v>75</v>
      </c>
      <c r="J574" t="s">
        <v>80</v>
      </c>
      <c r="K574">
        <v>651818</v>
      </c>
      <c r="L574" t="s">
        <v>246</v>
      </c>
      <c r="M574" t="s">
        <v>247</v>
      </c>
      <c r="N574" t="s">
        <v>57</v>
      </c>
      <c r="O574" s="1">
        <v>45878</v>
      </c>
      <c r="Q574" s="1">
        <v>46031</v>
      </c>
      <c r="R574" s="2">
        <v>59.42</v>
      </c>
      <c r="S574">
        <v>1</v>
      </c>
      <c r="T574" t="s">
        <v>58</v>
      </c>
      <c r="U574" t="s">
        <v>59</v>
      </c>
      <c r="V574" s="4">
        <v>0.9</v>
      </c>
      <c r="W574" s="2">
        <v>0</v>
      </c>
      <c r="X574">
        <v>0</v>
      </c>
      <c r="Y574" t="s">
        <v>83</v>
      </c>
      <c r="Z574" t="s">
        <v>61</v>
      </c>
      <c r="AA574">
        <v>0</v>
      </c>
      <c r="AB574" s="2">
        <v>0</v>
      </c>
      <c r="AC574" s="2">
        <v>0</v>
      </c>
      <c r="AD574" s="4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53.48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45999</v>
      </c>
      <c r="B575" t="s">
        <v>48</v>
      </c>
      <c r="C575">
        <v>649163</v>
      </c>
      <c r="D575">
        <v>2030386535</v>
      </c>
      <c r="E575" t="s">
        <v>880</v>
      </c>
      <c r="F575" t="s">
        <v>881</v>
      </c>
      <c r="G575" t="s">
        <v>51</v>
      </c>
      <c r="H575" t="s">
        <v>163</v>
      </c>
      <c r="I575" t="s">
        <v>75</v>
      </c>
      <c r="J575" t="s">
        <v>80</v>
      </c>
      <c r="K575">
        <v>652037</v>
      </c>
      <c r="L575" t="s">
        <v>235</v>
      </c>
      <c r="M575" t="s">
        <v>438</v>
      </c>
      <c r="N575" t="s">
        <v>57</v>
      </c>
      <c r="O575" s="1">
        <v>45878</v>
      </c>
      <c r="Q575" s="1">
        <v>46031</v>
      </c>
      <c r="R575" s="2">
        <v>124.88</v>
      </c>
      <c r="S575">
        <v>1</v>
      </c>
      <c r="T575" t="s">
        <v>58</v>
      </c>
      <c r="U575" t="s">
        <v>59</v>
      </c>
      <c r="V575" s="4">
        <v>0.9</v>
      </c>
      <c r="W575" s="2">
        <v>0</v>
      </c>
      <c r="X575">
        <v>0</v>
      </c>
      <c r="Y575" t="s">
        <v>83</v>
      </c>
      <c r="Z575" t="s">
        <v>61</v>
      </c>
      <c r="AA575">
        <v>0</v>
      </c>
      <c r="AB575" s="2">
        <v>0</v>
      </c>
      <c r="AC575" s="2">
        <v>0</v>
      </c>
      <c r="AD575" s="4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112.39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45999</v>
      </c>
      <c r="B576" t="s">
        <v>48</v>
      </c>
      <c r="C576">
        <v>649163</v>
      </c>
      <c r="D576">
        <v>2030406801</v>
      </c>
      <c r="E576" t="s">
        <v>590</v>
      </c>
      <c r="F576" t="s">
        <v>591</v>
      </c>
      <c r="G576" t="s">
        <v>51</v>
      </c>
      <c r="H576" t="s">
        <v>200</v>
      </c>
      <c r="I576" t="s">
        <v>75</v>
      </c>
      <c r="J576" t="s">
        <v>243</v>
      </c>
      <c r="K576">
        <v>796984</v>
      </c>
      <c r="L576" t="s">
        <v>344</v>
      </c>
      <c r="M576" t="s">
        <v>260</v>
      </c>
      <c r="N576" t="s">
        <v>57</v>
      </c>
      <c r="O576" s="1">
        <v>45878</v>
      </c>
      <c r="Q576" s="1">
        <v>46031</v>
      </c>
      <c r="R576" s="2">
        <v>27.28</v>
      </c>
      <c r="S576">
        <v>1</v>
      </c>
      <c r="T576" t="s">
        <v>58</v>
      </c>
      <c r="U576" t="s">
        <v>59</v>
      </c>
      <c r="V576" s="4">
        <v>0.75</v>
      </c>
      <c r="W576" s="2">
        <v>0</v>
      </c>
      <c r="X576">
        <v>0</v>
      </c>
      <c r="Y576" t="s">
        <v>83</v>
      </c>
      <c r="Z576" t="s">
        <v>61</v>
      </c>
      <c r="AA576">
        <v>0</v>
      </c>
      <c r="AB576" s="2">
        <v>0</v>
      </c>
      <c r="AC576" s="2">
        <v>0</v>
      </c>
      <c r="AD576" s="4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20.46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45999</v>
      </c>
      <c r="B577" t="s">
        <v>48</v>
      </c>
      <c r="C577">
        <v>649163</v>
      </c>
      <c r="D577">
        <v>2030431358</v>
      </c>
      <c r="E577" t="s">
        <v>687</v>
      </c>
      <c r="F577" t="s">
        <v>882</v>
      </c>
      <c r="G577" t="s">
        <v>51</v>
      </c>
      <c r="H577" t="s">
        <v>200</v>
      </c>
      <c r="I577" t="s">
        <v>75</v>
      </c>
      <c r="J577" t="s">
        <v>243</v>
      </c>
      <c r="K577">
        <v>824082</v>
      </c>
      <c r="L577" t="s">
        <v>566</v>
      </c>
      <c r="M577" t="s">
        <v>567</v>
      </c>
      <c r="N577" t="s">
        <v>57</v>
      </c>
      <c r="O577" s="1">
        <v>45881</v>
      </c>
      <c r="Q577" s="1">
        <v>46034</v>
      </c>
      <c r="R577" s="2">
        <v>30.34</v>
      </c>
      <c r="S577">
        <v>1</v>
      </c>
      <c r="T577" t="s">
        <v>58</v>
      </c>
      <c r="U577" t="s">
        <v>59</v>
      </c>
      <c r="V577" s="4">
        <v>0.75</v>
      </c>
      <c r="W577" s="2">
        <v>0</v>
      </c>
      <c r="X577">
        <v>0</v>
      </c>
      <c r="Y577" t="s">
        <v>83</v>
      </c>
      <c r="Z577" t="s">
        <v>61</v>
      </c>
      <c r="AA577">
        <v>0</v>
      </c>
      <c r="AB577" s="2">
        <v>0</v>
      </c>
      <c r="AC577" s="2">
        <v>0</v>
      </c>
      <c r="AD577" s="4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22.76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45999</v>
      </c>
      <c r="B578" t="s">
        <v>48</v>
      </c>
      <c r="C578">
        <v>649163</v>
      </c>
      <c r="D578">
        <v>2030435037</v>
      </c>
      <c r="E578" t="s">
        <v>638</v>
      </c>
      <c r="F578" t="s">
        <v>883</v>
      </c>
      <c r="G578" t="s">
        <v>51</v>
      </c>
      <c r="H578" t="s">
        <v>256</v>
      </c>
      <c r="I578" t="s">
        <v>75</v>
      </c>
      <c r="J578" t="s">
        <v>80</v>
      </c>
      <c r="K578">
        <v>651818</v>
      </c>
      <c r="L578" t="s">
        <v>246</v>
      </c>
      <c r="M578" t="s">
        <v>247</v>
      </c>
      <c r="N578" t="s">
        <v>57</v>
      </c>
      <c r="O578" s="1">
        <v>45907</v>
      </c>
      <c r="Q578" s="1">
        <v>46029</v>
      </c>
      <c r="R578" s="2">
        <v>87.13</v>
      </c>
      <c r="S578">
        <v>1</v>
      </c>
      <c r="T578" t="s">
        <v>58</v>
      </c>
      <c r="U578" t="s">
        <v>59</v>
      </c>
      <c r="V578" s="4">
        <v>0.9</v>
      </c>
      <c r="W578" s="2">
        <v>0</v>
      </c>
      <c r="X578">
        <v>0</v>
      </c>
      <c r="Y578" t="s">
        <v>83</v>
      </c>
      <c r="Z578" t="s">
        <v>61</v>
      </c>
      <c r="AA578">
        <v>0</v>
      </c>
      <c r="AB578" s="2">
        <v>0</v>
      </c>
      <c r="AC578" s="2">
        <v>0</v>
      </c>
      <c r="AD578" s="4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78.42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45999</v>
      </c>
      <c r="B579" t="s">
        <v>48</v>
      </c>
      <c r="C579">
        <v>649163</v>
      </c>
      <c r="D579">
        <v>2030441006</v>
      </c>
      <c r="E579" t="s">
        <v>884</v>
      </c>
      <c r="F579" t="s">
        <v>175</v>
      </c>
      <c r="G579" t="s">
        <v>51</v>
      </c>
      <c r="H579" t="s">
        <v>256</v>
      </c>
      <c r="I579" t="s">
        <v>75</v>
      </c>
      <c r="J579" t="s">
        <v>80</v>
      </c>
      <c r="K579">
        <v>651818</v>
      </c>
      <c r="L579" t="s">
        <v>246</v>
      </c>
      <c r="M579" t="s">
        <v>247</v>
      </c>
      <c r="N579" t="s">
        <v>57</v>
      </c>
      <c r="O579" s="1">
        <v>45907</v>
      </c>
      <c r="Q579" s="1">
        <v>46029</v>
      </c>
      <c r="R579" s="2">
        <v>101.93</v>
      </c>
      <c r="S579">
        <v>1</v>
      </c>
      <c r="T579" t="s">
        <v>58</v>
      </c>
      <c r="U579" t="s">
        <v>59</v>
      </c>
      <c r="V579" s="4">
        <v>0.9</v>
      </c>
      <c r="W579" s="2">
        <v>0</v>
      </c>
      <c r="X579">
        <v>0</v>
      </c>
      <c r="Y579" t="s">
        <v>83</v>
      </c>
      <c r="Z579" t="s">
        <v>61</v>
      </c>
      <c r="AA579">
        <v>0</v>
      </c>
      <c r="AB579" s="2">
        <v>0</v>
      </c>
      <c r="AC579" s="2">
        <v>0</v>
      </c>
      <c r="AD579" s="4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91.74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45999</v>
      </c>
      <c r="B580" t="s">
        <v>48</v>
      </c>
      <c r="C580">
        <v>649163</v>
      </c>
      <c r="D580">
        <v>2030443828</v>
      </c>
      <c r="E580" t="s">
        <v>885</v>
      </c>
      <c r="F580" t="s">
        <v>886</v>
      </c>
      <c r="G580" t="s">
        <v>51</v>
      </c>
      <c r="H580" t="s">
        <v>447</v>
      </c>
      <c r="I580" t="s">
        <v>75</v>
      </c>
      <c r="J580" t="s">
        <v>80</v>
      </c>
      <c r="K580">
        <v>651818</v>
      </c>
      <c r="L580" t="s">
        <v>246</v>
      </c>
      <c r="M580" t="s">
        <v>247</v>
      </c>
      <c r="N580" t="s">
        <v>57</v>
      </c>
      <c r="O580" s="1">
        <v>45907</v>
      </c>
      <c r="Q580" s="1">
        <v>46029</v>
      </c>
      <c r="R580" s="2">
        <v>176.63</v>
      </c>
      <c r="S580">
        <v>1</v>
      </c>
      <c r="T580" t="s">
        <v>58</v>
      </c>
      <c r="U580" t="s">
        <v>59</v>
      </c>
      <c r="V580" s="4">
        <v>0.9</v>
      </c>
      <c r="W580" s="2">
        <v>0</v>
      </c>
      <c r="X580">
        <v>0</v>
      </c>
      <c r="Y580" t="s">
        <v>83</v>
      </c>
      <c r="Z580" t="s">
        <v>61</v>
      </c>
      <c r="AA580">
        <v>0</v>
      </c>
      <c r="AB580" s="2">
        <v>0</v>
      </c>
      <c r="AC580" s="2">
        <v>0</v>
      </c>
      <c r="AD580" s="4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158.97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45999</v>
      </c>
      <c r="B581" t="s">
        <v>48</v>
      </c>
      <c r="C581">
        <v>649163</v>
      </c>
      <c r="D581">
        <v>2030477513</v>
      </c>
      <c r="E581" t="s">
        <v>887</v>
      </c>
      <c r="F581" t="s">
        <v>888</v>
      </c>
      <c r="G581" t="s">
        <v>51</v>
      </c>
      <c r="H581" t="s">
        <v>389</v>
      </c>
      <c r="I581" t="s">
        <v>75</v>
      </c>
      <c r="J581" t="s">
        <v>76</v>
      </c>
      <c r="K581">
        <v>651818</v>
      </c>
      <c r="L581" t="s">
        <v>246</v>
      </c>
      <c r="M581" t="s">
        <v>247</v>
      </c>
      <c r="N581" t="s">
        <v>57</v>
      </c>
      <c r="O581" s="1">
        <v>45906</v>
      </c>
      <c r="Q581" s="1">
        <v>46028</v>
      </c>
      <c r="R581" s="2">
        <v>24.48</v>
      </c>
      <c r="S581">
        <v>1</v>
      </c>
      <c r="T581" t="s">
        <v>58</v>
      </c>
      <c r="U581" t="s">
        <v>59</v>
      </c>
      <c r="V581" s="4">
        <v>0.75</v>
      </c>
      <c r="W581" s="2">
        <v>0</v>
      </c>
      <c r="X581">
        <v>0</v>
      </c>
      <c r="Y581" t="s">
        <v>83</v>
      </c>
      <c r="Z581" t="s">
        <v>61</v>
      </c>
      <c r="AA581">
        <v>0</v>
      </c>
      <c r="AB581" s="2">
        <v>0</v>
      </c>
      <c r="AC581" s="2">
        <v>0</v>
      </c>
      <c r="AD581" s="4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18.36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45999</v>
      </c>
      <c r="B582" t="s">
        <v>48</v>
      </c>
      <c r="C582">
        <v>649163</v>
      </c>
      <c r="D582">
        <v>2030517071</v>
      </c>
      <c r="E582" t="s">
        <v>594</v>
      </c>
      <c r="F582" t="s">
        <v>595</v>
      </c>
      <c r="G582" t="s">
        <v>51</v>
      </c>
      <c r="H582" t="s">
        <v>374</v>
      </c>
      <c r="I582" t="s">
        <v>75</v>
      </c>
      <c r="J582" t="s">
        <v>76</v>
      </c>
      <c r="K582">
        <v>651818</v>
      </c>
      <c r="L582" t="s">
        <v>246</v>
      </c>
      <c r="M582" t="s">
        <v>247</v>
      </c>
      <c r="N582" t="s">
        <v>57</v>
      </c>
      <c r="O582" s="1">
        <v>45907</v>
      </c>
      <c r="Q582" s="1">
        <v>46029</v>
      </c>
      <c r="R582" s="2">
        <v>41.58</v>
      </c>
      <c r="S582">
        <v>1</v>
      </c>
      <c r="T582" t="s">
        <v>58</v>
      </c>
      <c r="U582" t="s">
        <v>59</v>
      </c>
      <c r="V582" s="4">
        <v>0.75</v>
      </c>
      <c r="W582" s="2">
        <v>0</v>
      </c>
      <c r="X582">
        <v>0</v>
      </c>
      <c r="Y582" t="s">
        <v>83</v>
      </c>
      <c r="Z582" t="s">
        <v>61</v>
      </c>
      <c r="AA582">
        <v>0</v>
      </c>
      <c r="AB582" s="2">
        <v>0</v>
      </c>
      <c r="AC582" s="2">
        <v>0</v>
      </c>
      <c r="AD582" s="4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31.18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45999</v>
      </c>
      <c r="B583" t="s">
        <v>48</v>
      </c>
      <c r="C583">
        <v>649163</v>
      </c>
      <c r="D583">
        <v>2030518950</v>
      </c>
      <c r="E583" t="s">
        <v>596</v>
      </c>
      <c r="F583" t="s">
        <v>597</v>
      </c>
      <c r="G583" t="s">
        <v>51</v>
      </c>
      <c r="H583" t="s">
        <v>256</v>
      </c>
      <c r="I583" t="s">
        <v>75</v>
      </c>
      <c r="J583" t="s">
        <v>80</v>
      </c>
      <c r="K583">
        <v>651818</v>
      </c>
      <c r="L583" t="s">
        <v>246</v>
      </c>
      <c r="M583" t="s">
        <v>247</v>
      </c>
      <c r="N583" t="s">
        <v>57</v>
      </c>
      <c r="O583" s="1">
        <v>45907</v>
      </c>
      <c r="Q583" s="1">
        <v>46029</v>
      </c>
      <c r="R583" s="2">
        <v>68.25</v>
      </c>
      <c r="S583">
        <v>1</v>
      </c>
      <c r="T583" t="s">
        <v>58</v>
      </c>
      <c r="U583" t="s">
        <v>59</v>
      </c>
      <c r="V583" s="4">
        <v>0.9</v>
      </c>
      <c r="W583" s="2">
        <v>0</v>
      </c>
      <c r="X583">
        <v>0</v>
      </c>
      <c r="Y583" t="s">
        <v>83</v>
      </c>
      <c r="Z583" t="s">
        <v>61</v>
      </c>
      <c r="AA583">
        <v>0</v>
      </c>
      <c r="AB583" s="2">
        <v>0</v>
      </c>
      <c r="AC583" s="2">
        <v>0</v>
      </c>
      <c r="AD583" s="4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61.42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45999</v>
      </c>
      <c r="B584" t="s">
        <v>48</v>
      </c>
      <c r="C584">
        <v>649163</v>
      </c>
      <c r="D584">
        <v>2030641191</v>
      </c>
      <c r="E584" t="s">
        <v>889</v>
      </c>
      <c r="F584" t="s">
        <v>175</v>
      </c>
      <c r="G584" t="s">
        <v>51</v>
      </c>
      <c r="H584" t="s">
        <v>125</v>
      </c>
      <c r="I584" t="s">
        <v>75</v>
      </c>
      <c r="J584" t="s">
        <v>739</v>
      </c>
      <c r="K584">
        <v>651818</v>
      </c>
      <c r="L584" t="s">
        <v>246</v>
      </c>
      <c r="M584" t="s">
        <v>247</v>
      </c>
      <c r="N584" t="s">
        <v>57</v>
      </c>
      <c r="O584" s="1">
        <v>45906</v>
      </c>
      <c r="Q584" s="1">
        <v>46028</v>
      </c>
      <c r="R584" s="2">
        <v>57.54</v>
      </c>
      <c r="S584">
        <v>1</v>
      </c>
      <c r="T584" t="s">
        <v>58</v>
      </c>
      <c r="U584" t="s">
        <v>59</v>
      </c>
      <c r="V584" s="4">
        <v>0.65</v>
      </c>
      <c r="W584" s="2">
        <v>0</v>
      </c>
      <c r="X584">
        <v>0</v>
      </c>
      <c r="Y584" t="s">
        <v>83</v>
      </c>
      <c r="Z584" t="s">
        <v>61</v>
      </c>
      <c r="AA584">
        <v>0</v>
      </c>
      <c r="AB584" s="2">
        <v>0</v>
      </c>
      <c r="AC584" s="2">
        <v>0</v>
      </c>
      <c r="AD584" s="4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37.4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45999</v>
      </c>
      <c r="B585" t="s">
        <v>48</v>
      </c>
      <c r="C585">
        <v>649163</v>
      </c>
      <c r="D585">
        <v>2030678711</v>
      </c>
      <c r="E585" t="s">
        <v>890</v>
      </c>
      <c r="F585" t="s">
        <v>891</v>
      </c>
      <c r="G585" t="s">
        <v>51</v>
      </c>
      <c r="H585" t="s">
        <v>102</v>
      </c>
      <c r="I585" t="s">
        <v>75</v>
      </c>
      <c r="J585" t="s">
        <v>80</v>
      </c>
      <c r="K585">
        <v>651818</v>
      </c>
      <c r="L585" t="s">
        <v>246</v>
      </c>
      <c r="M585" t="s">
        <v>247</v>
      </c>
      <c r="N585" t="s">
        <v>57</v>
      </c>
      <c r="O585" s="1">
        <v>45906</v>
      </c>
      <c r="Q585" s="1">
        <v>46028</v>
      </c>
      <c r="R585" s="2">
        <v>87.08</v>
      </c>
      <c r="S585">
        <v>1</v>
      </c>
      <c r="T585" t="s">
        <v>58</v>
      </c>
      <c r="U585" t="s">
        <v>59</v>
      </c>
      <c r="V585" s="4">
        <v>0.9</v>
      </c>
      <c r="W585" s="2">
        <v>0</v>
      </c>
      <c r="X585">
        <v>0</v>
      </c>
      <c r="Y585" t="s">
        <v>83</v>
      </c>
      <c r="Z585" t="s">
        <v>61</v>
      </c>
      <c r="AA585">
        <v>0</v>
      </c>
      <c r="AB585" s="2">
        <v>0</v>
      </c>
      <c r="AC585" s="2">
        <v>0</v>
      </c>
      <c r="AD585" s="4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78.37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45999</v>
      </c>
      <c r="B586" t="s">
        <v>48</v>
      </c>
      <c r="C586">
        <v>649163</v>
      </c>
      <c r="D586">
        <v>2030719341</v>
      </c>
      <c r="E586" t="s">
        <v>892</v>
      </c>
      <c r="F586" t="s">
        <v>893</v>
      </c>
      <c r="G586" t="s">
        <v>51</v>
      </c>
      <c r="H586" t="s">
        <v>256</v>
      </c>
      <c r="I586" t="s">
        <v>75</v>
      </c>
      <c r="J586" t="s">
        <v>80</v>
      </c>
      <c r="K586">
        <v>651818</v>
      </c>
      <c r="L586" t="s">
        <v>246</v>
      </c>
      <c r="M586" t="s">
        <v>247</v>
      </c>
      <c r="N586" t="s">
        <v>57</v>
      </c>
      <c r="O586" s="1">
        <v>45906</v>
      </c>
      <c r="Q586" s="1">
        <v>46028</v>
      </c>
      <c r="R586" s="2">
        <v>167.21</v>
      </c>
      <c r="S586">
        <v>1</v>
      </c>
      <c r="T586" t="s">
        <v>58</v>
      </c>
      <c r="U586" t="s">
        <v>59</v>
      </c>
      <c r="V586" s="4">
        <v>0.9</v>
      </c>
      <c r="W586" s="2">
        <v>0</v>
      </c>
      <c r="X586">
        <v>0</v>
      </c>
      <c r="Y586" t="s">
        <v>83</v>
      </c>
      <c r="Z586" t="s">
        <v>61</v>
      </c>
      <c r="AA586">
        <v>0</v>
      </c>
      <c r="AB586" s="2">
        <v>0</v>
      </c>
      <c r="AC586" s="2">
        <v>0</v>
      </c>
      <c r="AD586" s="4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150.49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45999</v>
      </c>
      <c r="B587" t="s">
        <v>48</v>
      </c>
      <c r="C587">
        <v>649163</v>
      </c>
      <c r="D587">
        <v>2030735252</v>
      </c>
      <c r="E587" t="s">
        <v>894</v>
      </c>
      <c r="F587" t="s">
        <v>895</v>
      </c>
      <c r="G587" t="s">
        <v>51</v>
      </c>
      <c r="H587" t="s">
        <v>163</v>
      </c>
      <c r="I587" t="s">
        <v>75</v>
      </c>
      <c r="J587" t="s">
        <v>80</v>
      </c>
      <c r="K587">
        <v>823068</v>
      </c>
      <c r="L587" t="s">
        <v>165</v>
      </c>
      <c r="M587" t="s">
        <v>166</v>
      </c>
      <c r="N587" t="s">
        <v>57</v>
      </c>
      <c r="O587" s="1">
        <v>45906</v>
      </c>
      <c r="Q587" s="1">
        <v>46028</v>
      </c>
      <c r="R587" s="2">
        <v>41.32</v>
      </c>
      <c r="S587">
        <v>1</v>
      </c>
      <c r="T587" t="s">
        <v>58</v>
      </c>
      <c r="U587" t="s">
        <v>59</v>
      </c>
      <c r="V587" s="4">
        <v>0.9</v>
      </c>
      <c r="W587" s="2">
        <v>0</v>
      </c>
      <c r="X587">
        <v>0</v>
      </c>
      <c r="Y587" t="s">
        <v>83</v>
      </c>
      <c r="Z587" t="s">
        <v>61</v>
      </c>
      <c r="AA587">
        <v>0</v>
      </c>
      <c r="AB587" s="2">
        <v>0</v>
      </c>
      <c r="AC587" s="2">
        <v>0</v>
      </c>
      <c r="AD587" s="4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37.19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45999</v>
      </c>
      <c r="B588" t="s">
        <v>48</v>
      </c>
      <c r="C588">
        <v>649163</v>
      </c>
      <c r="D588">
        <v>2030752805</v>
      </c>
      <c r="E588" t="s">
        <v>598</v>
      </c>
      <c r="F588" t="s">
        <v>599</v>
      </c>
      <c r="G588" t="s">
        <v>51</v>
      </c>
      <c r="H588" t="s">
        <v>447</v>
      </c>
      <c r="I588" t="s">
        <v>75</v>
      </c>
      <c r="J588" t="s">
        <v>243</v>
      </c>
      <c r="K588">
        <v>651818</v>
      </c>
      <c r="L588" t="s">
        <v>246</v>
      </c>
      <c r="M588" t="s">
        <v>247</v>
      </c>
      <c r="N588" t="s">
        <v>57</v>
      </c>
      <c r="O588" s="1">
        <v>45906</v>
      </c>
      <c r="Q588" s="1">
        <v>46028</v>
      </c>
      <c r="R588" s="2">
        <v>74.11</v>
      </c>
      <c r="S588">
        <v>1</v>
      </c>
      <c r="T588" t="s">
        <v>58</v>
      </c>
      <c r="U588" t="s">
        <v>59</v>
      </c>
      <c r="V588" s="4">
        <v>0.75</v>
      </c>
      <c r="W588" s="2">
        <v>0</v>
      </c>
      <c r="X588">
        <v>0</v>
      </c>
      <c r="Y588" t="s">
        <v>83</v>
      </c>
      <c r="Z588" t="s">
        <v>61</v>
      </c>
      <c r="AA588">
        <v>0</v>
      </c>
      <c r="AB588" s="2">
        <v>0</v>
      </c>
      <c r="AC588" s="2">
        <v>0</v>
      </c>
      <c r="AD588" s="4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55.58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45999</v>
      </c>
      <c r="B589" t="s">
        <v>48</v>
      </c>
      <c r="C589">
        <v>649163</v>
      </c>
      <c r="D589">
        <v>2030806602</v>
      </c>
      <c r="E589" t="s">
        <v>147</v>
      </c>
      <c r="F589" t="s">
        <v>803</v>
      </c>
      <c r="G589" t="s">
        <v>51</v>
      </c>
      <c r="H589" t="s">
        <v>447</v>
      </c>
      <c r="I589" t="s">
        <v>75</v>
      </c>
      <c r="J589" t="s">
        <v>76</v>
      </c>
      <c r="K589">
        <v>651818</v>
      </c>
      <c r="L589" t="s">
        <v>246</v>
      </c>
      <c r="M589" t="s">
        <v>247</v>
      </c>
      <c r="N589" t="s">
        <v>57</v>
      </c>
      <c r="O589" s="1">
        <v>45936</v>
      </c>
      <c r="Q589" s="1">
        <v>46028</v>
      </c>
      <c r="R589" s="2">
        <v>26.73</v>
      </c>
      <c r="S589">
        <v>1</v>
      </c>
      <c r="T589" t="s">
        <v>58</v>
      </c>
      <c r="U589" t="s">
        <v>105</v>
      </c>
      <c r="V589" s="4">
        <v>0.75</v>
      </c>
      <c r="W589" s="2">
        <v>0</v>
      </c>
      <c r="X589">
        <v>0</v>
      </c>
      <c r="Y589" t="s">
        <v>83</v>
      </c>
      <c r="Z589" t="s">
        <v>61</v>
      </c>
      <c r="AA589">
        <v>0</v>
      </c>
      <c r="AB589" s="2">
        <v>0</v>
      </c>
      <c r="AC589" s="2">
        <v>0</v>
      </c>
      <c r="AD589" s="4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20.05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45999</v>
      </c>
      <c r="B590" t="s">
        <v>48</v>
      </c>
      <c r="C590">
        <v>649163</v>
      </c>
      <c r="D590">
        <v>2030816919</v>
      </c>
      <c r="E590" t="s">
        <v>896</v>
      </c>
      <c r="F590" t="s">
        <v>897</v>
      </c>
      <c r="G590" t="s">
        <v>51</v>
      </c>
      <c r="H590" t="s">
        <v>389</v>
      </c>
      <c r="I590" t="s">
        <v>75</v>
      </c>
      <c r="J590" t="s">
        <v>76</v>
      </c>
      <c r="K590">
        <v>651818</v>
      </c>
      <c r="L590" t="s">
        <v>246</v>
      </c>
      <c r="M590" t="s">
        <v>247</v>
      </c>
      <c r="N590" t="s">
        <v>57</v>
      </c>
      <c r="O590" s="1">
        <v>45936</v>
      </c>
      <c r="Q590" s="1">
        <v>46028</v>
      </c>
      <c r="R590" s="2">
        <v>43.75</v>
      </c>
      <c r="S590">
        <v>1</v>
      </c>
      <c r="T590" t="s">
        <v>58</v>
      </c>
      <c r="U590" t="s">
        <v>105</v>
      </c>
      <c r="V590" s="4">
        <v>0.75</v>
      </c>
      <c r="W590" s="2">
        <v>0</v>
      </c>
      <c r="X590">
        <v>0</v>
      </c>
      <c r="Y590" t="s">
        <v>83</v>
      </c>
      <c r="Z590" t="s">
        <v>61</v>
      </c>
      <c r="AA590">
        <v>0</v>
      </c>
      <c r="AB590" s="2">
        <v>0</v>
      </c>
      <c r="AC590" s="2">
        <v>0</v>
      </c>
      <c r="AD590" s="4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32.81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45999</v>
      </c>
      <c r="B591" t="s">
        <v>48</v>
      </c>
      <c r="C591">
        <v>649163</v>
      </c>
      <c r="D591">
        <v>2030820713</v>
      </c>
      <c r="E591" t="s">
        <v>898</v>
      </c>
      <c r="F591" t="s">
        <v>899</v>
      </c>
      <c r="G591" t="s">
        <v>51</v>
      </c>
      <c r="H591" t="s">
        <v>267</v>
      </c>
      <c r="I591" t="s">
        <v>75</v>
      </c>
      <c r="J591" t="s">
        <v>80</v>
      </c>
      <c r="K591">
        <v>651818</v>
      </c>
      <c r="L591" t="s">
        <v>246</v>
      </c>
      <c r="M591" t="s">
        <v>247</v>
      </c>
      <c r="N591" t="s">
        <v>57</v>
      </c>
      <c r="O591" s="1">
        <v>45936</v>
      </c>
      <c r="Q591" s="1">
        <v>46028</v>
      </c>
      <c r="R591" s="2">
        <v>61.25</v>
      </c>
      <c r="S591">
        <v>1</v>
      </c>
      <c r="T591" t="s">
        <v>58</v>
      </c>
      <c r="U591" t="s">
        <v>105</v>
      </c>
      <c r="V591" s="4">
        <v>0.9</v>
      </c>
      <c r="W591" s="2">
        <v>0</v>
      </c>
      <c r="X591">
        <v>0</v>
      </c>
      <c r="Y591" t="s">
        <v>83</v>
      </c>
      <c r="Z591" t="s">
        <v>61</v>
      </c>
      <c r="AA591">
        <v>0</v>
      </c>
      <c r="AB591" s="2">
        <v>0</v>
      </c>
      <c r="AC591" s="2">
        <v>0</v>
      </c>
      <c r="AD591" s="4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55.12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45999</v>
      </c>
      <c r="B592" t="s">
        <v>48</v>
      </c>
      <c r="C592">
        <v>649163</v>
      </c>
      <c r="D592">
        <v>2030917278</v>
      </c>
      <c r="E592" t="s">
        <v>900</v>
      </c>
      <c r="F592" t="s">
        <v>901</v>
      </c>
      <c r="G592" t="s">
        <v>51</v>
      </c>
      <c r="H592" t="s">
        <v>210</v>
      </c>
      <c r="I592" t="s">
        <v>75</v>
      </c>
      <c r="J592" t="s">
        <v>243</v>
      </c>
      <c r="K592">
        <v>874230</v>
      </c>
      <c r="L592" t="s">
        <v>902</v>
      </c>
      <c r="M592" t="s">
        <v>468</v>
      </c>
      <c r="N592" t="s">
        <v>57</v>
      </c>
      <c r="O592" s="1">
        <v>45910</v>
      </c>
      <c r="Q592" s="1">
        <v>46032</v>
      </c>
      <c r="R592" s="2">
        <v>32.380000000000003</v>
      </c>
      <c r="S592">
        <v>1</v>
      </c>
      <c r="T592" t="s">
        <v>58</v>
      </c>
      <c r="U592" t="s">
        <v>59</v>
      </c>
      <c r="V592" s="4">
        <v>0.75</v>
      </c>
      <c r="W592" s="2">
        <v>0</v>
      </c>
      <c r="X592">
        <v>0</v>
      </c>
      <c r="Y592" t="s">
        <v>83</v>
      </c>
      <c r="Z592" t="s">
        <v>61</v>
      </c>
      <c r="AA592">
        <v>0</v>
      </c>
      <c r="AB592" s="2">
        <v>0</v>
      </c>
      <c r="AC592" s="2">
        <v>0</v>
      </c>
      <c r="AD592" s="4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24.28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45999</v>
      </c>
      <c r="B593" t="s">
        <v>48</v>
      </c>
      <c r="C593">
        <v>649163</v>
      </c>
      <c r="D593">
        <v>2030933673</v>
      </c>
      <c r="E593" t="s">
        <v>903</v>
      </c>
      <c r="F593" t="s">
        <v>904</v>
      </c>
      <c r="G593" t="s">
        <v>51</v>
      </c>
      <c r="H593" t="s">
        <v>163</v>
      </c>
      <c r="I593" t="s">
        <v>75</v>
      </c>
      <c r="J593" t="s">
        <v>80</v>
      </c>
      <c r="K593">
        <v>823068</v>
      </c>
      <c r="L593" t="s">
        <v>165</v>
      </c>
      <c r="M593" t="s">
        <v>166</v>
      </c>
      <c r="N593" t="s">
        <v>57</v>
      </c>
      <c r="O593" s="1">
        <v>45909</v>
      </c>
      <c r="Q593" s="1">
        <v>46031</v>
      </c>
      <c r="R593" s="2">
        <v>76.5</v>
      </c>
      <c r="S593">
        <v>1</v>
      </c>
      <c r="T593" t="s">
        <v>58</v>
      </c>
      <c r="U593" t="s">
        <v>105</v>
      </c>
      <c r="V593" s="4">
        <v>0.9</v>
      </c>
      <c r="W593" s="2">
        <v>0</v>
      </c>
      <c r="X593">
        <v>0</v>
      </c>
      <c r="Y593" t="s">
        <v>83</v>
      </c>
      <c r="Z593" t="s">
        <v>61</v>
      </c>
      <c r="AA593">
        <v>0</v>
      </c>
      <c r="AB593" s="2">
        <v>0</v>
      </c>
      <c r="AC593" s="2">
        <v>0</v>
      </c>
      <c r="AD593" s="4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68.849999999999994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45999</v>
      </c>
      <c r="B594" t="s">
        <v>48</v>
      </c>
      <c r="C594">
        <v>649163</v>
      </c>
      <c r="D594">
        <v>2030945124</v>
      </c>
      <c r="E594" t="s">
        <v>653</v>
      </c>
      <c r="F594" t="s">
        <v>690</v>
      </c>
      <c r="G594" t="s">
        <v>51</v>
      </c>
      <c r="H594" t="s">
        <v>102</v>
      </c>
      <c r="I594" t="s">
        <v>75</v>
      </c>
      <c r="J594" t="s">
        <v>243</v>
      </c>
      <c r="K594">
        <v>820873</v>
      </c>
      <c r="L594" t="s">
        <v>117</v>
      </c>
      <c r="M594" t="s">
        <v>118</v>
      </c>
      <c r="N594" t="s">
        <v>57</v>
      </c>
      <c r="O594" s="1">
        <v>45909</v>
      </c>
      <c r="Q594" s="1">
        <v>46031</v>
      </c>
      <c r="R594" s="2">
        <v>47.13</v>
      </c>
      <c r="S594">
        <v>1</v>
      </c>
      <c r="T594" t="s">
        <v>58</v>
      </c>
      <c r="U594" t="s">
        <v>105</v>
      </c>
      <c r="V594" s="4">
        <v>0.75</v>
      </c>
      <c r="W594" s="2">
        <v>0</v>
      </c>
      <c r="X594">
        <v>0</v>
      </c>
      <c r="Y594" t="s">
        <v>83</v>
      </c>
      <c r="Z594" t="s">
        <v>61</v>
      </c>
      <c r="AA594">
        <v>0</v>
      </c>
      <c r="AB594" s="2">
        <v>0</v>
      </c>
      <c r="AC594" s="2">
        <v>0</v>
      </c>
      <c r="AD594" s="4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35.35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45999</v>
      </c>
      <c r="B595" t="s">
        <v>48</v>
      </c>
      <c r="C595">
        <v>649163</v>
      </c>
      <c r="D595">
        <v>2030948466</v>
      </c>
      <c r="E595" t="s">
        <v>905</v>
      </c>
      <c r="F595" t="s">
        <v>906</v>
      </c>
      <c r="G595" t="s">
        <v>51</v>
      </c>
      <c r="H595" t="s">
        <v>97</v>
      </c>
      <c r="I595" t="s">
        <v>75</v>
      </c>
      <c r="J595" t="s">
        <v>80</v>
      </c>
      <c r="K595">
        <v>651818</v>
      </c>
      <c r="L595" t="s">
        <v>246</v>
      </c>
      <c r="M595" t="s">
        <v>247</v>
      </c>
      <c r="N595" t="s">
        <v>57</v>
      </c>
      <c r="O595" s="1">
        <v>45936</v>
      </c>
      <c r="Q595" s="1">
        <v>46028</v>
      </c>
      <c r="R595" s="2">
        <v>180.92</v>
      </c>
      <c r="S595">
        <v>1</v>
      </c>
      <c r="T595" t="s">
        <v>58</v>
      </c>
      <c r="U595" t="s">
        <v>105</v>
      </c>
      <c r="V595" s="4">
        <v>0.9</v>
      </c>
      <c r="W595" s="2">
        <v>0</v>
      </c>
      <c r="X595">
        <v>0</v>
      </c>
      <c r="Y595" t="s">
        <v>83</v>
      </c>
      <c r="Z595" t="s">
        <v>61</v>
      </c>
      <c r="AA595">
        <v>0</v>
      </c>
      <c r="AB595" s="2">
        <v>0</v>
      </c>
      <c r="AC595" s="2">
        <v>0</v>
      </c>
      <c r="AD595" s="4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162.83000000000001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45999</v>
      </c>
      <c r="B596" t="s">
        <v>48</v>
      </c>
      <c r="C596">
        <v>649163</v>
      </c>
      <c r="D596">
        <v>2030951715</v>
      </c>
      <c r="E596" t="s">
        <v>907</v>
      </c>
      <c r="F596" t="s">
        <v>789</v>
      </c>
      <c r="G596" t="s">
        <v>51</v>
      </c>
      <c r="H596" t="s">
        <v>163</v>
      </c>
      <c r="I596" t="s">
        <v>75</v>
      </c>
      <c r="J596" t="s">
        <v>80</v>
      </c>
      <c r="K596">
        <v>652037</v>
      </c>
      <c r="L596" t="s">
        <v>235</v>
      </c>
      <c r="M596" t="s">
        <v>438</v>
      </c>
      <c r="N596" t="s">
        <v>57</v>
      </c>
      <c r="O596" s="1">
        <v>45910</v>
      </c>
      <c r="Q596" s="1">
        <v>46032</v>
      </c>
      <c r="R596" s="2">
        <v>38.67</v>
      </c>
      <c r="S596">
        <v>1</v>
      </c>
      <c r="T596" t="s">
        <v>58</v>
      </c>
      <c r="U596" t="s">
        <v>105</v>
      </c>
      <c r="V596" s="4">
        <v>0.9</v>
      </c>
      <c r="W596" s="2">
        <v>0</v>
      </c>
      <c r="X596">
        <v>0</v>
      </c>
      <c r="Y596" t="s">
        <v>83</v>
      </c>
      <c r="Z596" t="s">
        <v>61</v>
      </c>
      <c r="AA596">
        <v>0</v>
      </c>
      <c r="AB596" s="2">
        <v>0</v>
      </c>
      <c r="AC596" s="2">
        <v>0</v>
      </c>
      <c r="AD596" s="4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34.799999999999997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45999</v>
      </c>
      <c r="B597" t="s">
        <v>48</v>
      </c>
      <c r="C597">
        <v>649163</v>
      </c>
      <c r="D597">
        <v>2030963809</v>
      </c>
      <c r="E597" t="s">
        <v>908</v>
      </c>
      <c r="F597" t="s">
        <v>209</v>
      </c>
      <c r="G597" t="s">
        <v>51</v>
      </c>
      <c r="H597" t="s">
        <v>125</v>
      </c>
      <c r="I597" t="s">
        <v>75</v>
      </c>
      <c r="J597" t="s">
        <v>243</v>
      </c>
      <c r="K597">
        <v>673059</v>
      </c>
      <c r="L597" t="s">
        <v>81</v>
      </c>
      <c r="M597" t="s">
        <v>82</v>
      </c>
      <c r="N597" t="s">
        <v>57</v>
      </c>
      <c r="O597" s="1">
        <v>45910</v>
      </c>
      <c r="Q597" s="1">
        <v>46032</v>
      </c>
      <c r="R597" s="2">
        <v>74.290000000000006</v>
      </c>
      <c r="S597">
        <v>1</v>
      </c>
      <c r="T597" t="s">
        <v>58</v>
      </c>
      <c r="U597" t="s">
        <v>105</v>
      </c>
      <c r="V597" s="4">
        <v>0.75</v>
      </c>
      <c r="W597" s="2">
        <v>0</v>
      </c>
      <c r="X597">
        <v>0</v>
      </c>
      <c r="Y597" t="s">
        <v>83</v>
      </c>
      <c r="Z597" t="s">
        <v>61</v>
      </c>
      <c r="AA597">
        <v>0</v>
      </c>
      <c r="AB597" s="2">
        <v>0</v>
      </c>
      <c r="AC597" s="2">
        <v>0</v>
      </c>
      <c r="AD597" s="4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55.72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45999</v>
      </c>
      <c r="B598" t="s">
        <v>48</v>
      </c>
      <c r="C598">
        <v>649163</v>
      </c>
      <c r="D598">
        <v>2031014066</v>
      </c>
      <c r="E598" t="s">
        <v>601</v>
      </c>
      <c r="F598" t="s">
        <v>602</v>
      </c>
      <c r="G598" t="s">
        <v>51</v>
      </c>
      <c r="H598" t="s">
        <v>447</v>
      </c>
      <c r="I598" t="s">
        <v>75</v>
      </c>
      <c r="J598" t="s">
        <v>76</v>
      </c>
      <c r="K598">
        <v>651818</v>
      </c>
      <c r="L598" t="s">
        <v>246</v>
      </c>
      <c r="M598" t="s">
        <v>247</v>
      </c>
      <c r="N598" t="s">
        <v>57</v>
      </c>
      <c r="O598" s="1">
        <v>45936</v>
      </c>
      <c r="Q598" s="1">
        <v>46028</v>
      </c>
      <c r="R598" s="2">
        <v>118.83</v>
      </c>
      <c r="S598">
        <v>1</v>
      </c>
      <c r="T598" t="s">
        <v>58</v>
      </c>
      <c r="U598" t="s">
        <v>105</v>
      </c>
      <c r="V598" s="4">
        <v>0.75</v>
      </c>
      <c r="W598" s="2">
        <v>0</v>
      </c>
      <c r="X598">
        <v>0</v>
      </c>
      <c r="Y598" t="s">
        <v>83</v>
      </c>
      <c r="Z598" t="s">
        <v>61</v>
      </c>
      <c r="AA598">
        <v>0</v>
      </c>
      <c r="AB598" s="2">
        <v>0</v>
      </c>
      <c r="AC598" s="2">
        <v>0</v>
      </c>
      <c r="AD598" s="4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89.12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45999</v>
      </c>
      <c r="B599" t="s">
        <v>48</v>
      </c>
      <c r="C599">
        <v>649163</v>
      </c>
      <c r="D599">
        <v>2031192062</v>
      </c>
      <c r="E599" t="s">
        <v>909</v>
      </c>
      <c r="F599" t="s">
        <v>786</v>
      </c>
      <c r="G599" t="s">
        <v>51</v>
      </c>
      <c r="H599" t="s">
        <v>256</v>
      </c>
      <c r="I599" t="s">
        <v>75</v>
      </c>
      <c r="J599" t="s">
        <v>80</v>
      </c>
      <c r="K599">
        <v>651818</v>
      </c>
      <c r="L599" t="s">
        <v>246</v>
      </c>
      <c r="M599" t="s">
        <v>247</v>
      </c>
      <c r="N599" t="s">
        <v>57</v>
      </c>
      <c r="O599" s="1">
        <v>45936</v>
      </c>
      <c r="Q599" s="1">
        <v>46028</v>
      </c>
      <c r="R599" s="2">
        <v>240.76</v>
      </c>
      <c r="S599">
        <v>1</v>
      </c>
      <c r="T599" t="s">
        <v>58</v>
      </c>
      <c r="U599" t="s">
        <v>105</v>
      </c>
      <c r="V599" s="4">
        <v>0.9</v>
      </c>
      <c r="W599" s="2">
        <v>0</v>
      </c>
      <c r="X599">
        <v>0</v>
      </c>
      <c r="Y599" t="s">
        <v>83</v>
      </c>
      <c r="Z599" t="s">
        <v>61</v>
      </c>
      <c r="AA599">
        <v>0</v>
      </c>
      <c r="AB599" s="2">
        <v>0</v>
      </c>
      <c r="AC599" s="2">
        <v>0</v>
      </c>
      <c r="AD599" s="4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216.68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45999</v>
      </c>
      <c r="B600" t="s">
        <v>48</v>
      </c>
      <c r="C600">
        <v>649163</v>
      </c>
      <c r="D600">
        <v>2031244628</v>
      </c>
      <c r="E600" t="s">
        <v>910</v>
      </c>
      <c r="F600" t="s">
        <v>911</v>
      </c>
      <c r="G600" t="s">
        <v>51</v>
      </c>
      <c r="H600" t="s">
        <v>515</v>
      </c>
      <c r="I600" t="s">
        <v>75</v>
      </c>
      <c r="J600" t="s">
        <v>243</v>
      </c>
      <c r="K600">
        <v>673059</v>
      </c>
      <c r="L600" t="s">
        <v>81</v>
      </c>
      <c r="M600" t="s">
        <v>82</v>
      </c>
      <c r="N600" t="s">
        <v>94</v>
      </c>
      <c r="O600" s="1">
        <v>45931</v>
      </c>
      <c r="P600" s="1">
        <v>45999</v>
      </c>
      <c r="Q600" s="1">
        <v>46023</v>
      </c>
      <c r="R600" s="2">
        <v>-65.930000000000007</v>
      </c>
      <c r="S600">
        <v>1</v>
      </c>
      <c r="T600" t="s">
        <v>58</v>
      </c>
      <c r="U600" t="s">
        <v>105</v>
      </c>
      <c r="V600" s="4">
        <v>0.75</v>
      </c>
      <c r="W600" s="2">
        <v>0</v>
      </c>
      <c r="X600">
        <v>-1</v>
      </c>
      <c r="Y600" t="s">
        <v>83</v>
      </c>
      <c r="Z600" t="s">
        <v>61</v>
      </c>
      <c r="AA600">
        <v>0</v>
      </c>
      <c r="AB600" s="2">
        <v>0</v>
      </c>
      <c r="AC600" s="2">
        <v>0</v>
      </c>
      <c r="AD600" s="4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-49.45</v>
      </c>
      <c r="AN600" s="2">
        <v>-49.45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45999</v>
      </c>
      <c r="B601" t="s">
        <v>48</v>
      </c>
      <c r="C601">
        <v>649163</v>
      </c>
      <c r="D601">
        <v>2031246838</v>
      </c>
      <c r="E601" t="s">
        <v>608</v>
      </c>
      <c r="F601" t="s">
        <v>609</v>
      </c>
      <c r="G601" t="s">
        <v>51</v>
      </c>
      <c r="H601" t="s">
        <v>256</v>
      </c>
      <c r="I601" t="s">
        <v>75</v>
      </c>
      <c r="J601" t="s">
        <v>80</v>
      </c>
      <c r="K601">
        <v>651818</v>
      </c>
      <c r="L601" t="s">
        <v>246</v>
      </c>
      <c r="M601" t="s">
        <v>247</v>
      </c>
      <c r="N601" t="s">
        <v>57</v>
      </c>
      <c r="O601" s="1">
        <v>45936</v>
      </c>
      <c r="Q601" s="1">
        <v>46028</v>
      </c>
      <c r="R601" s="2">
        <v>121.41</v>
      </c>
      <c r="S601">
        <v>1</v>
      </c>
      <c r="T601" t="s">
        <v>58</v>
      </c>
      <c r="U601" t="s">
        <v>105</v>
      </c>
      <c r="V601" s="4">
        <v>0.9</v>
      </c>
      <c r="W601" s="2">
        <v>0</v>
      </c>
      <c r="X601">
        <v>0</v>
      </c>
      <c r="Y601" t="s">
        <v>83</v>
      </c>
      <c r="Z601" t="s">
        <v>61</v>
      </c>
      <c r="AA601">
        <v>0</v>
      </c>
      <c r="AB601" s="2">
        <v>0</v>
      </c>
      <c r="AC601" s="2">
        <v>0</v>
      </c>
      <c r="AD601" s="4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109.27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45999</v>
      </c>
      <c r="B602" t="s">
        <v>48</v>
      </c>
      <c r="C602">
        <v>649163</v>
      </c>
      <c r="D602">
        <v>2031247582</v>
      </c>
      <c r="E602" t="s">
        <v>610</v>
      </c>
      <c r="F602" t="s">
        <v>285</v>
      </c>
      <c r="G602" t="s">
        <v>51</v>
      </c>
      <c r="H602" t="s">
        <v>102</v>
      </c>
      <c r="I602" t="s">
        <v>75</v>
      </c>
      <c r="J602" t="s">
        <v>80</v>
      </c>
      <c r="K602">
        <v>651818</v>
      </c>
      <c r="L602" t="s">
        <v>246</v>
      </c>
      <c r="M602" t="s">
        <v>247</v>
      </c>
      <c r="N602" t="s">
        <v>57</v>
      </c>
      <c r="O602" s="1">
        <v>45936</v>
      </c>
      <c r="Q602" s="1">
        <v>46028</v>
      </c>
      <c r="R602" s="2">
        <v>135.33000000000001</v>
      </c>
      <c r="S602">
        <v>1</v>
      </c>
      <c r="T602" t="s">
        <v>58</v>
      </c>
      <c r="U602" t="s">
        <v>105</v>
      </c>
      <c r="V602" s="4">
        <v>0.9</v>
      </c>
      <c r="W602" s="2">
        <v>0</v>
      </c>
      <c r="X602">
        <v>0</v>
      </c>
      <c r="Y602" t="s">
        <v>83</v>
      </c>
      <c r="Z602" t="s">
        <v>61</v>
      </c>
      <c r="AA602">
        <v>0</v>
      </c>
      <c r="AB602" s="2">
        <v>0</v>
      </c>
      <c r="AC602" s="2">
        <v>0</v>
      </c>
      <c r="AD602" s="4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121.8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45999</v>
      </c>
      <c r="B603" t="s">
        <v>48</v>
      </c>
      <c r="C603">
        <v>649163</v>
      </c>
      <c r="D603">
        <v>2031270408</v>
      </c>
      <c r="E603" t="s">
        <v>912</v>
      </c>
      <c r="F603" t="s">
        <v>913</v>
      </c>
      <c r="G603" t="s">
        <v>51</v>
      </c>
      <c r="H603" t="s">
        <v>389</v>
      </c>
      <c r="I603" t="s">
        <v>75</v>
      </c>
      <c r="J603" t="s">
        <v>243</v>
      </c>
      <c r="K603">
        <v>651818</v>
      </c>
      <c r="L603" t="s">
        <v>246</v>
      </c>
      <c r="M603" t="s">
        <v>247</v>
      </c>
      <c r="N603" t="s">
        <v>57</v>
      </c>
      <c r="O603" s="1">
        <v>45941</v>
      </c>
      <c r="Q603" s="1">
        <v>46033</v>
      </c>
      <c r="R603" s="2">
        <v>85.15</v>
      </c>
      <c r="S603">
        <v>1</v>
      </c>
      <c r="T603" t="s">
        <v>58</v>
      </c>
      <c r="U603" t="s">
        <v>105</v>
      </c>
      <c r="V603" s="4">
        <v>0.75</v>
      </c>
      <c r="W603" s="2">
        <v>0</v>
      </c>
      <c r="X603">
        <v>0</v>
      </c>
      <c r="Y603" t="s">
        <v>83</v>
      </c>
      <c r="Z603" t="s">
        <v>61</v>
      </c>
      <c r="AA603">
        <v>0</v>
      </c>
      <c r="AB603" s="2">
        <v>0</v>
      </c>
      <c r="AC603" s="2">
        <v>0</v>
      </c>
      <c r="AD603" s="4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63.86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45999</v>
      </c>
      <c r="B604" t="s">
        <v>48</v>
      </c>
      <c r="C604">
        <v>649163</v>
      </c>
      <c r="D604">
        <v>2031290289</v>
      </c>
      <c r="E604" t="s">
        <v>244</v>
      </c>
      <c r="F604" t="s">
        <v>914</v>
      </c>
      <c r="G604" t="s">
        <v>51</v>
      </c>
      <c r="H604" t="s">
        <v>102</v>
      </c>
      <c r="I604" t="s">
        <v>75</v>
      </c>
      <c r="J604" t="s">
        <v>80</v>
      </c>
      <c r="K604">
        <v>651818</v>
      </c>
      <c r="L604" t="s">
        <v>246</v>
      </c>
      <c r="M604" t="s">
        <v>247</v>
      </c>
      <c r="N604" t="s">
        <v>57</v>
      </c>
      <c r="O604" s="1">
        <v>45936</v>
      </c>
      <c r="Q604" s="1">
        <v>46028</v>
      </c>
      <c r="R604" s="2">
        <v>260.01</v>
      </c>
      <c r="S604">
        <v>1</v>
      </c>
      <c r="T604" t="s">
        <v>58</v>
      </c>
      <c r="U604" t="s">
        <v>105</v>
      </c>
      <c r="V604" s="4">
        <v>0.9</v>
      </c>
      <c r="W604" s="2">
        <v>0</v>
      </c>
      <c r="X604">
        <v>0</v>
      </c>
      <c r="Y604" t="s">
        <v>83</v>
      </c>
      <c r="Z604" t="s">
        <v>61</v>
      </c>
      <c r="AA604">
        <v>0</v>
      </c>
      <c r="AB604" s="2">
        <v>0</v>
      </c>
      <c r="AC604" s="2">
        <v>0</v>
      </c>
      <c r="AD604" s="4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234.01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45999</v>
      </c>
      <c r="B605" t="s">
        <v>48</v>
      </c>
      <c r="C605">
        <v>649163</v>
      </c>
      <c r="D605">
        <v>2031320896</v>
      </c>
      <c r="E605" t="s">
        <v>915</v>
      </c>
      <c r="F605" t="s">
        <v>96</v>
      </c>
      <c r="G605" t="s">
        <v>51</v>
      </c>
      <c r="H605" t="s">
        <v>389</v>
      </c>
      <c r="I605" t="s">
        <v>75</v>
      </c>
      <c r="J605" t="s">
        <v>76</v>
      </c>
      <c r="K605">
        <v>651818</v>
      </c>
      <c r="L605" t="s">
        <v>246</v>
      </c>
      <c r="M605" t="s">
        <v>247</v>
      </c>
      <c r="N605" t="s">
        <v>57</v>
      </c>
      <c r="O605" s="1">
        <v>45936</v>
      </c>
      <c r="Q605" s="1">
        <v>46028</v>
      </c>
      <c r="R605" s="2">
        <v>125.45</v>
      </c>
      <c r="S605">
        <v>1</v>
      </c>
      <c r="T605" t="s">
        <v>58</v>
      </c>
      <c r="U605" t="s">
        <v>105</v>
      </c>
      <c r="V605" s="4">
        <v>0.75</v>
      </c>
      <c r="W605" s="2">
        <v>0</v>
      </c>
      <c r="X605">
        <v>0</v>
      </c>
      <c r="Y605" t="s">
        <v>83</v>
      </c>
      <c r="Z605" t="s">
        <v>61</v>
      </c>
      <c r="AA605">
        <v>0</v>
      </c>
      <c r="AB605" s="2">
        <v>0</v>
      </c>
      <c r="AC605" s="2">
        <v>0</v>
      </c>
      <c r="AD605" s="4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94.09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45999</v>
      </c>
      <c r="B606" t="s">
        <v>48</v>
      </c>
      <c r="C606">
        <v>649163</v>
      </c>
      <c r="D606">
        <v>2031383607</v>
      </c>
      <c r="E606" t="s">
        <v>916</v>
      </c>
      <c r="F606" t="s">
        <v>142</v>
      </c>
      <c r="G606" t="s">
        <v>51</v>
      </c>
      <c r="H606" t="s">
        <v>163</v>
      </c>
      <c r="I606" t="s">
        <v>75</v>
      </c>
      <c r="J606" t="s">
        <v>80</v>
      </c>
      <c r="K606">
        <v>823068</v>
      </c>
      <c r="L606" t="s">
        <v>165</v>
      </c>
      <c r="M606" t="s">
        <v>166</v>
      </c>
      <c r="N606" t="s">
        <v>57</v>
      </c>
      <c r="O606" s="1">
        <v>45942</v>
      </c>
      <c r="Q606" s="1">
        <v>46034</v>
      </c>
      <c r="R606" s="2">
        <v>68.11</v>
      </c>
      <c r="S606">
        <v>1</v>
      </c>
      <c r="T606" t="s">
        <v>58</v>
      </c>
      <c r="U606" t="s">
        <v>105</v>
      </c>
      <c r="V606" s="4">
        <v>0.9</v>
      </c>
      <c r="W606" s="2">
        <v>0</v>
      </c>
      <c r="X606">
        <v>0</v>
      </c>
      <c r="Y606" t="s">
        <v>83</v>
      </c>
      <c r="Z606" t="s">
        <v>61</v>
      </c>
      <c r="AA606">
        <v>0</v>
      </c>
      <c r="AB606" s="2">
        <v>0</v>
      </c>
      <c r="AC606" s="2">
        <v>0</v>
      </c>
      <c r="AD606" s="4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61.3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45999</v>
      </c>
      <c r="B607" t="s">
        <v>48</v>
      </c>
      <c r="C607">
        <v>649163</v>
      </c>
      <c r="D607">
        <v>2031418071</v>
      </c>
      <c r="E607" t="s">
        <v>917</v>
      </c>
      <c r="F607" t="s">
        <v>397</v>
      </c>
      <c r="G607" t="s">
        <v>51</v>
      </c>
      <c r="H607" t="s">
        <v>256</v>
      </c>
      <c r="I607" t="s">
        <v>75</v>
      </c>
      <c r="J607" t="s">
        <v>80</v>
      </c>
      <c r="K607">
        <v>651818</v>
      </c>
      <c r="L607" t="s">
        <v>246</v>
      </c>
      <c r="M607" t="s">
        <v>247</v>
      </c>
      <c r="N607" t="s">
        <v>57</v>
      </c>
      <c r="O607" s="1">
        <v>45971</v>
      </c>
      <c r="Q607" s="1">
        <v>46032</v>
      </c>
      <c r="R607" s="2">
        <v>178.58</v>
      </c>
      <c r="S607">
        <v>1</v>
      </c>
      <c r="T607" t="s">
        <v>58</v>
      </c>
      <c r="U607" t="s">
        <v>105</v>
      </c>
      <c r="V607" s="4">
        <v>0.9</v>
      </c>
      <c r="W607" s="2">
        <v>0</v>
      </c>
      <c r="X607">
        <v>0</v>
      </c>
      <c r="Y607" t="s">
        <v>83</v>
      </c>
      <c r="Z607" t="s">
        <v>61</v>
      </c>
      <c r="AA607">
        <v>0</v>
      </c>
      <c r="AB607" s="2">
        <v>0</v>
      </c>
      <c r="AC607" s="2">
        <v>0</v>
      </c>
      <c r="AD607" s="4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160.72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45999</v>
      </c>
      <c r="B608" t="s">
        <v>48</v>
      </c>
      <c r="C608">
        <v>649163</v>
      </c>
      <c r="D608">
        <v>2031479693</v>
      </c>
      <c r="E608" t="s">
        <v>161</v>
      </c>
      <c r="F608" t="s">
        <v>918</v>
      </c>
      <c r="G608" t="s">
        <v>51</v>
      </c>
      <c r="H608" t="s">
        <v>374</v>
      </c>
      <c r="I608" t="s">
        <v>75</v>
      </c>
      <c r="J608" t="s">
        <v>76</v>
      </c>
      <c r="K608">
        <v>651818</v>
      </c>
      <c r="L608" t="s">
        <v>246</v>
      </c>
      <c r="M608" t="s">
        <v>247</v>
      </c>
      <c r="N608" t="s">
        <v>57</v>
      </c>
      <c r="O608" s="1">
        <v>45967</v>
      </c>
      <c r="Q608" s="1">
        <v>46028</v>
      </c>
      <c r="R608" s="2">
        <v>36.93</v>
      </c>
      <c r="S608">
        <v>1</v>
      </c>
      <c r="T608" t="s">
        <v>58</v>
      </c>
      <c r="U608" t="s">
        <v>105</v>
      </c>
      <c r="V608" s="4">
        <v>0.75</v>
      </c>
      <c r="W608" s="2">
        <v>0</v>
      </c>
      <c r="X608">
        <v>0</v>
      </c>
      <c r="Y608" t="s">
        <v>83</v>
      </c>
      <c r="Z608" t="s">
        <v>61</v>
      </c>
      <c r="AA608">
        <v>0</v>
      </c>
      <c r="AB608" s="2">
        <v>0</v>
      </c>
      <c r="AC608" s="2">
        <v>0</v>
      </c>
      <c r="AD608" s="4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27.7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45999</v>
      </c>
      <c r="B609" t="s">
        <v>48</v>
      </c>
      <c r="C609">
        <v>649163</v>
      </c>
      <c r="D609">
        <v>2031492464</v>
      </c>
      <c r="E609" t="s">
        <v>611</v>
      </c>
      <c r="F609" t="s">
        <v>328</v>
      </c>
      <c r="G609" t="s">
        <v>51</v>
      </c>
      <c r="H609" t="s">
        <v>395</v>
      </c>
      <c r="I609" t="s">
        <v>75</v>
      </c>
      <c r="J609" t="s">
        <v>243</v>
      </c>
      <c r="K609">
        <v>823350</v>
      </c>
      <c r="L609" t="s">
        <v>257</v>
      </c>
      <c r="M609" t="s">
        <v>258</v>
      </c>
      <c r="N609" t="s">
        <v>57</v>
      </c>
      <c r="O609" s="1">
        <v>45938</v>
      </c>
      <c r="Q609" s="1">
        <v>46030</v>
      </c>
      <c r="R609" s="2">
        <v>71.63</v>
      </c>
      <c r="S609">
        <v>1</v>
      </c>
      <c r="T609" t="s">
        <v>58</v>
      </c>
      <c r="U609" t="s">
        <v>105</v>
      </c>
      <c r="V609" s="4">
        <v>0.75</v>
      </c>
      <c r="W609" s="2">
        <v>0</v>
      </c>
      <c r="X609">
        <v>0</v>
      </c>
      <c r="Y609" t="s">
        <v>83</v>
      </c>
      <c r="Z609" t="s">
        <v>61</v>
      </c>
      <c r="AA609">
        <v>0</v>
      </c>
      <c r="AB609" s="2">
        <v>0</v>
      </c>
      <c r="AC609" s="2">
        <v>0</v>
      </c>
      <c r="AD609" s="4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53.72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45999</v>
      </c>
      <c r="B610" t="s">
        <v>48</v>
      </c>
      <c r="C610">
        <v>649163</v>
      </c>
      <c r="D610">
        <v>2031523387</v>
      </c>
      <c r="E610" t="s">
        <v>692</v>
      </c>
      <c r="F610" t="s">
        <v>279</v>
      </c>
      <c r="G610" t="s">
        <v>51</v>
      </c>
      <c r="H610" t="s">
        <v>200</v>
      </c>
      <c r="I610" t="s">
        <v>75</v>
      </c>
      <c r="J610" t="s">
        <v>739</v>
      </c>
      <c r="K610">
        <v>816021</v>
      </c>
      <c r="L610" t="s">
        <v>201</v>
      </c>
      <c r="M610" t="s">
        <v>202</v>
      </c>
      <c r="N610" t="s">
        <v>57</v>
      </c>
      <c r="O610" s="1">
        <v>45939</v>
      </c>
      <c r="Q610" s="1">
        <v>46031</v>
      </c>
      <c r="R610" s="2">
        <v>63.48</v>
      </c>
      <c r="S610">
        <v>1</v>
      </c>
      <c r="T610" t="s">
        <v>58</v>
      </c>
      <c r="U610" t="s">
        <v>105</v>
      </c>
      <c r="V610" s="4">
        <v>0.65</v>
      </c>
      <c r="W610" s="2">
        <v>0</v>
      </c>
      <c r="X610">
        <v>0</v>
      </c>
      <c r="Y610" t="s">
        <v>83</v>
      </c>
      <c r="Z610" t="s">
        <v>61</v>
      </c>
      <c r="AA610">
        <v>0</v>
      </c>
      <c r="AB610" s="2">
        <v>0</v>
      </c>
      <c r="AC610" s="2">
        <v>0</v>
      </c>
      <c r="AD610" s="4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41.26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45999</v>
      </c>
      <c r="B611" t="s">
        <v>48</v>
      </c>
      <c r="C611">
        <v>649163</v>
      </c>
      <c r="D611">
        <v>2031523856</v>
      </c>
      <c r="E611" t="s">
        <v>919</v>
      </c>
      <c r="F611" t="s">
        <v>920</v>
      </c>
      <c r="G611" t="s">
        <v>51</v>
      </c>
      <c r="H611" t="s">
        <v>97</v>
      </c>
      <c r="I611" t="s">
        <v>75</v>
      </c>
      <c r="J611" t="s">
        <v>76</v>
      </c>
      <c r="K611">
        <v>651818</v>
      </c>
      <c r="L611" t="s">
        <v>246</v>
      </c>
      <c r="M611" t="s">
        <v>247</v>
      </c>
      <c r="N611" t="s">
        <v>57</v>
      </c>
      <c r="O611" s="1">
        <v>45967</v>
      </c>
      <c r="Q611" s="1">
        <v>46028</v>
      </c>
      <c r="R611" s="2">
        <v>78.78</v>
      </c>
      <c r="S611">
        <v>1</v>
      </c>
      <c r="T611" t="s">
        <v>58</v>
      </c>
      <c r="U611" t="s">
        <v>105</v>
      </c>
      <c r="V611" s="4">
        <v>0.75</v>
      </c>
      <c r="W611" s="2">
        <v>0</v>
      </c>
      <c r="X611">
        <v>0</v>
      </c>
      <c r="Y611" t="s">
        <v>83</v>
      </c>
      <c r="Z611" t="s">
        <v>61</v>
      </c>
      <c r="AA611">
        <v>0</v>
      </c>
      <c r="AB611" s="2">
        <v>0</v>
      </c>
      <c r="AC611" s="2">
        <v>0</v>
      </c>
      <c r="AD611" s="4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59.08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45999</v>
      </c>
      <c r="B612" t="s">
        <v>48</v>
      </c>
      <c r="C612">
        <v>649163</v>
      </c>
      <c r="D612">
        <v>2031525342</v>
      </c>
      <c r="E612" t="s">
        <v>921</v>
      </c>
      <c r="F612" t="s">
        <v>922</v>
      </c>
      <c r="G612" t="s">
        <v>51</v>
      </c>
      <c r="H612" t="s">
        <v>97</v>
      </c>
      <c r="I612" t="s">
        <v>75</v>
      </c>
      <c r="J612" t="s">
        <v>80</v>
      </c>
      <c r="K612">
        <v>651818</v>
      </c>
      <c r="L612" t="s">
        <v>246</v>
      </c>
      <c r="M612" t="s">
        <v>247</v>
      </c>
      <c r="N612" t="s">
        <v>57</v>
      </c>
      <c r="O612" s="1">
        <v>45967</v>
      </c>
      <c r="Q612" s="1">
        <v>46028</v>
      </c>
      <c r="R612" s="2">
        <v>48.91</v>
      </c>
      <c r="S612">
        <v>1</v>
      </c>
      <c r="T612" t="s">
        <v>58</v>
      </c>
      <c r="U612" t="s">
        <v>105</v>
      </c>
      <c r="V612" s="4">
        <v>0.9</v>
      </c>
      <c r="W612" s="2">
        <v>0</v>
      </c>
      <c r="X612">
        <v>0</v>
      </c>
      <c r="Y612" t="s">
        <v>83</v>
      </c>
      <c r="Z612" t="s">
        <v>61</v>
      </c>
      <c r="AA612">
        <v>0</v>
      </c>
      <c r="AB612" s="2">
        <v>0</v>
      </c>
      <c r="AC612" s="2">
        <v>0</v>
      </c>
      <c r="AD612" s="4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44.02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45999</v>
      </c>
      <c r="B613" t="s">
        <v>48</v>
      </c>
      <c r="C613">
        <v>649163</v>
      </c>
      <c r="D613">
        <v>2031620271</v>
      </c>
      <c r="E613" t="s">
        <v>923</v>
      </c>
      <c r="F613" t="s">
        <v>924</v>
      </c>
      <c r="G613" t="s">
        <v>51</v>
      </c>
      <c r="H613" t="s">
        <v>97</v>
      </c>
      <c r="I613" t="s">
        <v>75</v>
      </c>
      <c r="J613" t="s">
        <v>243</v>
      </c>
      <c r="K613">
        <v>651818</v>
      </c>
      <c r="L613" t="s">
        <v>246</v>
      </c>
      <c r="M613" t="s">
        <v>247</v>
      </c>
      <c r="N613" t="s">
        <v>57</v>
      </c>
      <c r="O613" s="1">
        <v>45971</v>
      </c>
      <c r="Q613" s="1">
        <v>46032</v>
      </c>
      <c r="R613" s="2">
        <v>60.28</v>
      </c>
      <c r="S613">
        <v>1</v>
      </c>
      <c r="T613" t="s">
        <v>58</v>
      </c>
      <c r="U613" t="s">
        <v>105</v>
      </c>
      <c r="V613" s="4">
        <v>0.75</v>
      </c>
      <c r="W613" s="2">
        <v>0</v>
      </c>
      <c r="X613">
        <v>0</v>
      </c>
      <c r="Y613" t="s">
        <v>83</v>
      </c>
      <c r="Z613" t="s">
        <v>61</v>
      </c>
      <c r="AA613">
        <v>0</v>
      </c>
      <c r="AB613" s="2">
        <v>0</v>
      </c>
      <c r="AC613" s="2">
        <v>0</v>
      </c>
      <c r="AD613" s="4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45.21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45999</v>
      </c>
      <c r="B614" t="s">
        <v>48</v>
      </c>
      <c r="C614">
        <v>649163</v>
      </c>
      <c r="D614">
        <v>2031658339</v>
      </c>
      <c r="E614" t="s">
        <v>161</v>
      </c>
      <c r="F614" t="s">
        <v>162</v>
      </c>
      <c r="G614" t="s">
        <v>51</v>
      </c>
      <c r="H614" t="s">
        <v>163</v>
      </c>
      <c r="I614" t="s">
        <v>75</v>
      </c>
      <c r="J614" t="s">
        <v>80</v>
      </c>
      <c r="K614">
        <v>823068</v>
      </c>
      <c r="L614" t="s">
        <v>165</v>
      </c>
      <c r="M614" t="s">
        <v>166</v>
      </c>
      <c r="N614" t="s">
        <v>57</v>
      </c>
      <c r="O614" s="1">
        <v>45962</v>
      </c>
      <c r="Q614" s="1">
        <v>46023</v>
      </c>
      <c r="R614" s="2">
        <v>-118.88</v>
      </c>
      <c r="S614">
        <v>1</v>
      </c>
      <c r="T614" t="s">
        <v>58</v>
      </c>
      <c r="U614" t="s">
        <v>105</v>
      </c>
      <c r="V614" s="4">
        <v>0.9</v>
      </c>
      <c r="W614" s="2">
        <v>0</v>
      </c>
      <c r="X614">
        <v>-1</v>
      </c>
      <c r="Y614" t="s">
        <v>83</v>
      </c>
      <c r="Z614" t="s">
        <v>61</v>
      </c>
      <c r="AA614">
        <v>0</v>
      </c>
      <c r="AB614" s="2">
        <v>0</v>
      </c>
      <c r="AC614" s="2">
        <v>0</v>
      </c>
      <c r="AD614" s="4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-106.99</v>
      </c>
      <c r="AN614" s="2">
        <v>-106.99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45999</v>
      </c>
      <c r="B615" t="s">
        <v>48</v>
      </c>
      <c r="C615">
        <v>649163</v>
      </c>
      <c r="D615">
        <v>2031690752</v>
      </c>
      <c r="E615" t="s">
        <v>614</v>
      </c>
      <c r="F615" t="s">
        <v>615</v>
      </c>
      <c r="G615" t="s">
        <v>51</v>
      </c>
      <c r="H615" t="s">
        <v>200</v>
      </c>
      <c r="I615" t="s">
        <v>75</v>
      </c>
      <c r="J615" t="s">
        <v>243</v>
      </c>
      <c r="K615">
        <v>816021</v>
      </c>
      <c r="L615" t="s">
        <v>201</v>
      </c>
      <c r="M615" t="s">
        <v>202</v>
      </c>
      <c r="N615" t="s">
        <v>57</v>
      </c>
      <c r="O615" s="1">
        <v>45948</v>
      </c>
      <c r="Q615" s="1">
        <v>46009</v>
      </c>
      <c r="R615" s="2">
        <v>55.99</v>
      </c>
      <c r="S615">
        <v>1</v>
      </c>
      <c r="T615" t="s">
        <v>58</v>
      </c>
      <c r="U615" t="s">
        <v>105</v>
      </c>
      <c r="V615" s="4">
        <v>0.75</v>
      </c>
      <c r="W615" s="2">
        <v>0</v>
      </c>
      <c r="X615">
        <v>0</v>
      </c>
      <c r="Y615" t="s">
        <v>83</v>
      </c>
      <c r="Z615" t="s">
        <v>61</v>
      </c>
      <c r="AA615">
        <v>0</v>
      </c>
      <c r="AB615" s="2">
        <v>0</v>
      </c>
      <c r="AC615" s="2">
        <v>0</v>
      </c>
      <c r="AD615" s="4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41.99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45999</v>
      </c>
      <c r="B616" t="s">
        <v>48</v>
      </c>
      <c r="C616">
        <v>649163</v>
      </c>
      <c r="D616">
        <v>2031713686</v>
      </c>
      <c r="E616" t="s">
        <v>925</v>
      </c>
      <c r="F616" t="s">
        <v>926</v>
      </c>
      <c r="G616" t="s">
        <v>51</v>
      </c>
      <c r="H616" t="s">
        <v>163</v>
      </c>
      <c r="I616" t="s">
        <v>75</v>
      </c>
      <c r="J616" t="s">
        <v>80</v>
      </c>
      <c r="K616">
        <v>823068</v>
      </c>
      <c r="L616" t="s">
        <v>165</v>
      </c>
      <c r="M616" t="s">
        <v>166</v>
      </c>
      <c r="N616" t="s">
        <v>57</v>
      </c>
      <c r="O616" s="1">
        <v>45969</v>
      </c>
      <c r="Q616" s="1">
        <v>46030</v>
      </c>
      <c r="R616" s="2">
        <v>119.44</v>
      </c>
      <c r="S616">
        <v>1</v>
      </c>
      <c r="T616" t="s">
        <v>58</v>
      </c>
      <c r="U616" t="s">
        <v>105</v>
      </c>
      <c r="V616" s="4">
        <v>0.9</v>
      </c>
      <c r="W616" s="2">
        <v>0</v>
      </c>
      <c r="X616">
        <v>0</v>
      </c>
      <c r="Y616" t="s">
        <v>83</v>
      </c>
      <c r="Z616" t="s">
        <v>61</v>
      </c>
      <c r="AA616">
        <v>0</v>
      </c>
      <c r="AB616" s="2">
        <v>0</v>
      </c>
      <c r="AC616" s="2">
        <v>0</v>
      </c>
      <c r="AD616" s="4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107.5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45999</v>
      </c>
      <c r="B617" t="s">
        <v>48</v>
      </c>
      <c r="C617">
        <v>649163</v>
      </c>
      <c r="D617">
        <v>2031755481</v>
      </c>
      <c r="E617" t="s">
        <v>616</v>
      </c>
      <c r="F617" t="s">
        <v>617</v>
      </c>
      <c r="G617" t="s">
        <v>51</v>
      </c>
      <c r="H617" t="s">
        <v>220</v>
      </c>
      <c r="I617" t="s">
        <v>75</v>
      </c>
      <c r="J617" t="s">
        <v>80</v>
      </c>
      <c r="K617">
        <v>651818</v>
      </c>
      <c r="L617" t="s">
        <v>246</v>
      </c>
      <c r="M617" t="s">
        <v>247</v>
      </c>
      <c r="N617" t="s">
        <v>57</v>
      </c>
      <c r="O617" s="1">
        <v>45967</v>
      </c>
      <c r="Q617" s="1">
        <v>46028</v>
      </c>
      <c r="R617" s="2">
        <v>25.42</v>
      </c>
      <c r="S617">
        <v>1</v>
      </c>
      <c r="T617" t="s">
        <v>58</v>
      </c>
      <c r="U617" t="s">
        <v>105</v>
      </c>
      <c r="V617" s="4">
        <v>0.9</v>
      </c>
      <c r="W617" s="2">
        <v>0</v>
      </c>
      <c r="X617">
        <v>0</v>
      </c>
      <c r="Y617" t="s">
        <v>83</v>
      </c>
      <c r="Z617" t="s">
        <v>61</v>
      </c>
      <c r="AA617">
        <v>0</v>
      </c>
      <c r="AB617" s="2">
        <v>0</v>
      </c>
      <c r="AC617" s="2">
        <v>0</v>
      </c>
      <c r="AD617" s="4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22.88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45999</v>
      </c>
      <c r="B618" t="s">
        <v>48</v>
      </c>
      <c r="C618">
        <v>649163</v>
      </c>
      <c r="D618">
        <v>2031755482</v>
      </c>
      <c r="E618" t="s">
        <v>616</v>
      </c>
      <c r="F618" t="s">
        <v>617</v>
      </c>
      <c r="G618" t="s">
        <v>51</v>
      </c>
      <c r="H618" t="s">
        <v>220</v>
      </c>
      <c r="I618" t="s">
        <v>75</v>
      </c>
      <c r="J618" t="s">
        <v>739</v>
      </c>
      <c r="K618">
        <v>651818</v>
      </c>
      <c r="L618" t="s">
        <v>246</v>
      </c>
      <c r="M618" t="s">
        <v>247</v>
      </c>
      <c r="N618" t="s">
        <v>57</v>
      </c>
      <c r="O618" s="1">
        <v>45967</v>
      </c>
      <c r="Q618" s="1">
        <v>46028</v>
      </c>
      <c r="R618" s="2">
        <v>25.23</v>
      </c>
      <c r="S618">
        <v>1</v>
      </c>
      <c r="T618" t="s">
        <v>58</v>
      </c>
      <c r="U618" t="s">
        <v>105</v>
      </c>
      <c r="V618" s="4">
        <v>0.65</v>
      </c>
      <c r="W618" s="2">
        <v>0</v>
      </c>
      <c r="X618">
        <v>0</v>
      </c>
      <c r="Y618" t="s">
        <v>83</v>
      </c>
      <c r="Z618" t="s">
        <v>61</v>
      </c>
      <c r="AA618">
        <v>0</v>
      </c>
      <c r="AB618" s="2">
        <v>0</v>
      </c>
      <c r="AC618" s="2">
        <v>0</v>
      </c>
      <c r="AD618" s="4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16.399999999999999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45999</v>
      </c>
      <c r="B619" t="s">
        <v>48</v>
      </c>
      <c r="C619">
        <v>649163</v>
      </c>
      <c r="D619">
        <v>2031778697</v>
      </c>
      <c r="E619" t="s">
        <v>927</v>
      </c>
      <c r="F619" t="s">
        <v>928</v>
      </c>
      <c r="G619" t="s">
        <v>51</v>
      </c>
      <c r="H619" t="s">
        <v>102</v>
      </c>
      <c r="I619" t="s">
        <v>75</v>
      </c>
      <c r="J619" t="s">
        <v>243</v>
      </c>
      <c r="K619">
        <v>651818</v>
      </c>
      <c r="L619" t="s">
        <v>246</v>
      </c>
      <c r="M619" t="s">
        <v>247</v>
      </c>
      <c r="N619" t="s">
        <v>57</v>
      </c>
      <c r="O619" s="1">
        <v>45967</v>
      </c>
      <c r="Q619" s="1">
        <v>46028</v>
      </c>
      <c r="R619" s="2">
        <v>72.73</v>
      </c>
      <c r="S619">
        <v>1</v>
      </c>
      <c r="T619" t="s">
        <v>58</v>
      </c>
      <c r="U619" t="s">
        <v>105</v>
      </c>
      <c r="V619" s="4">
        <v>0.75</v>
      </c>
      <c r="W619" s="2">
        <v>0</v>
      </c>
      <c r="X619">
        <v>0</v>
      </c>
      <c r="Y619" t="s">
        <v>83</v>
      </c>
      <c r="Z619" t="s">
        <v>61</v>
      </c>
      <c r="AA619">
        <v>0</v>
      </c>
      <c r="AB619" s="2">
        <v>0</v>
      </c>
      <c r="AC619" s="2">
        <v>0</v>
      </c>
      <c r="AD619" s="4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54.55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45999</v>
      </c>
      <c r="B620" t="s">
        <v>48</v>
      </c>
      <c r="C620">
        <v>649163</v>
      </c>
      <c r="D620">
        <v>2031824950</v>
      </c>
      <c r="E620" t="s">
        <v>618</v>
      </c>
      <c r="F620" t="s">
        <v>619</v>
      </c>
      <c r="G620" t="s">
        <v>51</v>
      </c>
      <c r="H620" t="s">
        <v>620</v>
      </c>
      <c r="I620" t="s">
        <v>75</v>
      </c>
      <c r="J620" t="s">
        <v>76</v>
      </c>
      <c r="K620">
        <v>651818</v>
      </c>
      <c r="L620" t="s">
        <v>246</v>
      </c>
      <c r="M620" t="s">
        <v>247</v>
      </c>
      <c r="N620" t="s">
        <v>57</v>
      </c>
      <c r="O620" s="1">
        <v>45967</v>
      </c>
      <c r="Q620" s="1">
        <v>46028</v>
      </c>
      <c r="R620" s="2">
        <v>89.6</v>
      </c>
      <c r="S620">
        <v>1</v>
      </c>
      <c r="T620" t="s">
        <v>58</v>
      </c>
      <c r="U620" t="s">
        <v>105</v>
      </c>
      <c r="V620" s="4">
        <v>0.75</v>
      </c>
      <c r="W620" s="2">
        <v>0</v>
      </c>
      <c r="X620">
        <v>0</v>
      </c>
      <c r="Y620" t="s">
        <v>83</v>
      </c>
      <c r="Z620" t="s">
        <v>61</v>
      </c>
      <c r="AA620">
        <v>0</v>
      </c>
      <c r="AB620" s="2">
        <v>0</v>
      </c>
      <c r="AC620" s="2">
        <v>0</v>
      </c>
      <c r="AD620" s="4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67.2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45999</v>
      </c>
      <c r="B621" t="s">
        <v>48</v>
      </c>
      <c r="C621">
        <v>649163</v>
      </c>
      <c r="D621">
        <v>2031825054</v>
      </c>
      <c r="E621" t="s">
        <v>929</v>
      </c>
      <c r="F621" t="s">
        <v>824</v>
      </c>
      <c r="G621" t="s">
        <v>51</v>
      </c>
      <c r="H621" t="s">
        <v>447</v>
      </c>
      <c r="I621" t="s">
        <v>75</v>
      </c>
      <c r="J621" t="s">
        <v>76</v>
      </c>
      <c r="K621">
        <v>651818</v>
      </c>
      <c r="L621" t="s">
        <v>246</v>
      </c>
      <c r="M621" t="s">
        <v>247</v>
      </c>
      <c r="N621" t="s">
        <v>57</v>
      </c>
      <c r="O621" s="1">
        <v>45967</v>
      </c>
      <c r="Q621" s="1">
        <v>46028</v>
      </c>
      <c r="R621" s="2">
        <v>108.2</v>
      </c>
      <c r="S621">
        <v>1</v>
      </c>
      <c r="T621" t="s">
        <v>58</v>
      </c>
      <c r="U621" t="s">
        <v>105</v>
      </c>
      <c r="V621" s="4">
        <v>0.75</v>
      </c>
      <c r="W621" s="2">
        <v>0</v>
      </c>
      <c r="X621">
        <v>0</v>
      </c>
      <c r="Y621" t="s">
        <v>83</v>
      </c>
      <c r="Z621" t="s">
        <v>61</v>
      </c>
      <c r="AA621">
        <v>0</v>
      </c>
      <c r="AB621" s="2">
        <v>0</v>
      </c>
      <c r="AC621" s="2">
        <v>0</v>
      </c>
      <c r="AD621" s="4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81.150000000000006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45999</v>
      </c>
      <c r="B622" t="s">
        <v>48</v>
      </c>
      <c r="C622">
        <v>649163</v>
      </c>
      <c r="D622">
        <v>2031845018</v>
      </c>
      <c r="E622" t="s">
        <v>930</v>
      </c>
      <c r="F622" t="s">
        <v>883</v>
      </c>
      <c r="G622" t="s">
        <v>51</v>
      </c>
      <c r="H622" t="s">
        <v>163</v>
      </c>
      <c r="I622" t="s">
        <v>75</v>
      </c>
      <c r="J622" t="s">
        <v>80</v>
      </c>
      <c r="K622">
        <v>884595</v>
      </c>
      <c r="L622" t="s">
        <v>606</v>
      </c>
      <c r="M622" t="s">
        <v>607</v>
      </c>
      <c r="N622" t="s">
        <v>57</v>
      </c>
      <c r="O622" s="1">
        <v>45962</v>
      </c>
      <c r="Q622" s="1">
        <v>46023</v>
      </c>
      <c r="R622" s="2">
        <v>67.63</v>
      </c>
      <c r="S622">
        <v>1</v>
      </c>
      <c r="T622" t="s">
        <v>58</v>
      </c>
      <c r="U622" t="s">
        <v>105</v>
      </c>
      <c r="V622" s="4">
        <v>0.9</v>
      </c>
      <c r="W622" s="2">
        <v>0</v>
      </c>
      <c r="X622">
        <v>0</v>
      </c>
      <c r="Y622" t="s">
        <v>83</v>
      </c>
      <c r="Z622" t="s">
        <v>61</v>
      </c>
      <c r="AA622">
        <v>0</v>
      </c>
      <c r="AB622" s="2">
        <v>0</v>
      </c>
      <c r="AC622" s="2">
        <v>0</v>
      </c>
      <c r="AD622" s="4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60.87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45999</v>
      </c>
      <c r="B623" t="s">
        <v>48</v>
      </c>
      <c r="C623">
        <v>649163</v>
      </c>
      <c r="D623">
        <v>2031961860</v>
      </c>
      <c r="E623" t="s">
        <v>931</v>
      </c>
      <c r="F623" t="s">
        <v>63</v>
      </c>
      <c r="G623" t="s">
        <v>51</v>
      </c>
      <c r="H623" t="s">
        <v>256</v>
      </c>
      <c r="I623" t="s">
        <v>75</v>
      </c>
      <c r="J623" t="s">
        <v>80</v>
      </c>
      <c r="K623">
        <v>651818</v>
      </c>
      <c r="L623" t="s">
        <v>246</v>
      </c>
      <c r="M623" t="s">
        <v>247</v>
      </c>
      <c r="N623" t="s">
        <v>57</v>
      </c>
      <c r="O623" s="1">
        <v>45967</v>
      </c>
      <c r="Q623" s="1">
        <v>46028</v>
      </c>
      <c r="R623" s="2">
        <v>152.29</v>
      </c>
      <c r="S623">
        <v>1</v>
      </c>
      <c r="T623" t="s">
        <v>58</v>
      </c>
      <c r="U623" t="s">
        <v>105</v>
      </c>
      <c r="V623" s="4">
        <v>0.9</v>
      </c>
      <c r="W623" s="2">
        <v>0</v>
      </c>
      <c r="X623">
        <v>0</v>
      </c>
      <c r="Y623" t="s">
        <v>83</v>
      </c>
      <c r="Z623" t="s">
        <v>61</v>
      </c>
      <c r="AA623">
        <v>0</v>
      </c>
      <c r="AB623" s="2">
        <v>0</v>
      </c>
      <c r="AC623" s="2">
        <v>0</v>
      </c>
      <c r="AD623" s="4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137.06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45999</v>
      </c>
      <c r="B624" t="s">
        <v>48</v>
      </c>
      <c r="C624">
        <v>649163</v>
      </c>
      <c r="D624">
        <v>2032009822</v>
      </c>
      <c r="E624" t="s">
        <v>293</v>
      </c>
      <c r="F624" t="s">
        <v>932</v>
      </c>
      <c r="G624" t="s">
        <v>51</v>
      </c>
      <c r="H624" t="s">
        <v>386</v>
      </c>
      <c r="I624" t="s">
        <v>75</v>
      </c>
      <c r="J624" t="s">
        <v>243</v>
      </c>
      <c r="K624">
        <v>875334</v>
      </c>
      <c r="L624" t="s">
        <v>340</v>
      </c>
      <c r="M624" t="s">
        <v>341</v>
      </c>
      <c r="N624" t="s">
        <v>57</v>
      </c>
      <c r="O624" s="1">
        <v>45967</v>
      </c>
      <c r="Q624" s="1">
        <v>46028</v>
      </c>
      <c r="R624" s="2">
        <v>24.1</v>
      </c>
      <c r="S624">
        <v>1</v>
      </c>
      <c r="T624" t="s">
        <v>58</v>
      </c>
      <c r="U624" t="s">
        <v>105</v>
      </c>
      <c r="V624" s="4">
        <v>0.75</v>
      </c>
      <c r="W624" s="2">
        <v>0</v>
      </c>
      <c r="X624">
        <v>0</v>
      </c>
      <c r="Y624" t="s">
        <v>83</v>
      </c>
      <c r="Z624" t="s">
        <v>61</v>
      </c>
      <c r="AA624">
        <v>0</v>
      </c>
      <c r="AB624" s="2">
        <v>0</v>
      </c>
      <c r="AC624" s="2">
        <v>0</v>
      </c>
      <c r="AD624" s="4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18.079999999999998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45999</v>
      </c>
      <c r="B625" t="s">
        <v>48</v>
      </c>
      <c r="C625">
        <v>649163</v>
      </c>
      <c r="D625">
        <v>2032010096</v>
      </c>
      <c r="E625" t="s">
        <v>933</v>
      </c>
      <c r="F625" t="s">
        <v>305</v>
      </c>
      <c r="G625" t="s">
        <v>51</v>
      </c>
      <c r="H625" t="s">
        <v>102</v>
      </c>
      <c r="I625" t="s">
        <v>75</v>
      </c>
      <c r="J625" t="s">
        <v>243</v>
      </c>
      <c r="K625">
        <v>673059</v>
      </c>
      <c r="L625" t="s">
        <v>81</v>
      </c>
      <c r="M625" t="s">
        <v>82</v>
      </c>
      <c r="N625" t="s">
        <v>57</v>
      </c>
      <c r="O625" s="1">
        <v>45967</v>
      </c>
      <c r="Q625" s="1">
        <v>46028</v>
      </c>
      <c r="R625" s="2">
        <v>108.28</v>
      </c>
      <c r="S625">
        <v>1</v>
      </c>
      <c r="T625" t="s">
        <v>58</v>
      </c>
      <c r="U625" t="s">
        <v>105</v>
      </c>
      <c r="V625" s="4">
        <v>0.75</v>
      </c>
      <c r="W625" s="2">
        <v>0</v>
      </c>
      <c r="X625">
        <v>0</v>
      </c>
      <c r="Y625" t="s">
        <v>83</v>
      </c>
      <c r="Z625" t="s">
        <v>61</v>
      </c>
      <c r="AA625">
        <v>0</v>
      </c>
      <c r="AB625" s="2">
        <v>0</v>
      </c>
      <c r="AC625" s="2">
        <v>0</v>
      </c>
      <c r="AD625" s="4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81.209999999999994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45999</v>
      </c>
      <c r="B626" t="s">
        <v>48</v>
      </c>
      <c r="C626">
        <v>649163</v>
      </c>
      <c r="D626">
        <v>2032021876</v>
      </c>
      <c r="E626" t="s">
        <v>934</v>
      </c>
      <c r="F626" t="s">
        <v>935</v>
      </c>
      <c r="G626" t="s">
        <v>51</v>
      </c>
      <c r="H626" t="s">
        <v>200</v>
      </c>
      <c r="I626" t="s">
        <v>75</v>
      </c>
      <c r="J626" t="s">
        <v>739</v>
      </c>
      <c r="K626">
        <v>816021</v>
      </c>
      <c r="L626" t="s">
        <v>201</v>
      </c>
      <c r="M626" t="s">
        <v>202</v>
      </c>
      <c r="N626" t="s">
        <v>57</v>
      </c>
      <c r="O626" s="1">
        <v>45968</v>
      </c>
      <c r="Q626" s="1">
        <v>46029</v>
      </c>
      <c r="R626" s="2">
        <v>72.03</v>
      </c>
      <c r="S626">
        <v>1</v>
      </c>
      <c r="T626" t="s">
        <v>58</v>
      </c>
      <c r="U626" t="s">
        <v>105</v>
      </c>
      <c r="V626" s="4">
        <v>0.65</v>
      </c>
      <c r="W626" s="2">
        <v>0</v>
      </c>
      <c r="X626">
        <v>0</v>
      </c>
      <c r="Y626" t="s">
        <v>83</v>
      </c>
      <c r="Z626" t="s">
        <v>61</v>
      </c>
      <c r="AA626">
        <v>0</v>
      </c>
      <c r="AB626" s="2">
        <v>0</v>
      </c>
      <c r="AC626" s="2">
        <v>0</v>
      </c>
      <c r="AD626" s="4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46.82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45999</v>
      </c>
      <c r="B627" t="s">
        <v>48</v>
      </c>
      <c r="C627">
        <v>649163</v>
      </c>
      <c r="D627">
        <v>2032043243</v>
      </c>
      <c r="E627" t="s">
        <v>936</v>
      </c>
      <c r="F627" t="s">
        <v>937</v>
      </c>
      <c r="G627" t="s">
        <v>51</v>
      </c>
      <c r="H627" t="s">
        <v>163</v>
      </c>
      <c r="I627" t="s">
        <v>75</v>
      </c>
      <c r="J627" t="s">
        <v>80</v>
      </c>
      <c r="K627">
        <v>884595</v>
      </c>
      <c r="L627" t="s">
        <v>606</v>
      </c>
      <c r="M627" t="s">
        <v>607</v>
      </c>
      <c r="N627" t="s">
        <v>57</v>
      </c>
      <c r="O627" s="1">
        <v>45969</v>
      </c>
      <c r="Q627" s="1">
        <v>46030</v>
      </c>
      <c r="R627" s="2">
        <v>26.98</v>
      </c>
      <c r="S627">
        <v>1</v>
      </c>
      <c r="T627" t="s">
        <v>58</v>
      </c>
      <c r="U627" t="s">
        <v>105</v>
      </c>
      <c r="V627" s="4">
        <v>0.9</v>
      </c>
      <c r="W627" s="2">
        <v>0</v>
      </c>
      <c r="X627">
        <v>0</v>
      </c>
      <c r="Y627" t="s">
        <v>83</v>
      </c>
      <c r="Z627" t="s">
        <v>61</v>
      </c>
      <c r="AA627">
        <v>0</v>
      </c>
      <c r="AB627" s="2">
        <v>0</v>
      </c>
      <c r="AC627" s="2">
        <v>0</v>
      </c>
      <c r="AD627" s="4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24.28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45999</v>
      </c>
      <c r="B628" t="s">
        <v>48</v>
      </c>
      <c r="C628">
        <v>649163</v>
      </c>
      <c r="D628">
        <v>2032099302</v>
      </c>
      <c r="E628" t="s">
        <v>938</v>
      </c>
      <c r="F628" t="s">
        <v>337</v>
      </c>
      <c r="G628" t="s">
        <v>51</v>
      </c>
      <c r="H628" t="s">
        <v>939</v>
      </c>
      <c r="I628" t="s">
        <v>75</v>
      </c>
      <c r="J628" t="s">
        <v>243</v>
      </c>
      <c r="K628">
        <v>856824</v>
      </c>
      <c r="L628" t="s">
        <v>145</v>
      </c>
      <c r="M628" t="s">
        <v>146</v>
      </c>
      <c r="N628" t="s">
        <v>57</v>
      </c>
      <c r="O628" s="1">
        <v>45972</v>
      </c>
      <c r="Q628" s="1">
        <v>46033</v>
      </c>
      <c r="R628" s="2">
        <v>47.86</v>
      </c>
      <c r="S628">
        <v>1</v>
      </c>
      <c r="T628" t="s">
        <v>58</v>
      </c>
      <c r="U628" t="s">
        <v>105</v>
      </c>
      <c r="V628" s="4">
        <v>0.75</v>
      </c>
      <c r="W628" s="2">
        <v>0</v>
      </c>
      <c r="X628">
        <v>0</v>
      </c>
      <c r="Y628" t="s">
        <v>83</v>
      </c>
      <c r="Z628" t="s">
        <v>61</v>
      </c>
      <c r="AA628">
        <v>0</v>
      </c>
      <c r="AB628" s="2">
        <v>0</v>
      </c>
      <c r="AC628" s="2">
        <v>0</v>
      </c>
      <c r="AD628" s="4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35.9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45999</v>
      </c>
      <c r="B629" t="s">
        <v>48</v>
      </c>
      <c r="C629">
        <v>649163</v>
      </c>
      <c r="D629">
        <v>2032159245</v>
      </c>
      <c r="E629" t="s">
        <v>940</v>
      </c>
      <c r="F629" t="s">
        <v>941</v>
      </c>
      <c r="G629" t="s">
        <v>51</v>
      </c>
      <c r="H629" t="s">
        <v>97</v>
      </c>
      <c r="I629" t="s">
        <v>75</v>
      </c>
      <c r="J629" t="s">
        <v>80</v>
      </c>
      <c r="K629">
        <v>753748</v>
      </c>
      <c r="L629" t="s">
        <v>396</v>
      </c>
      <c r="M629" t="s">
        <v>397</v>
      </c>
      <c r="N629" t="s">
        <v>94</v>
      </c>
      <c r="O629" s="1">
        <v>45992</v>
      </c>
      <c r="P629" s="1">
        <v>45999</v>
      </c>
      <c r="Q629" s="1">
        <v>46023</v>
      </c>
      <c r="R629" s="2">
        <v>-121.4</v>
      </c>
      <c r="S629">
        <v>1</v>
      </c>
      <c r="T629" t="s">
        <v>58</v>
      </c>
      <c r="U629" t="s">
        <v>105</v>
      </c>
      <c r="V629" s="4">
        <v>0.9</v>
      </c>
      <c r="W629" s="2">
        <v>0</v>
      </c>
      <c r="X629">
        <v>-1</v>
      </c>
      <c r="Y629" t="s">
        <v>83</v>
      </c>
      <c r="Z629" t="s">
        <v>61</v>
      </c>
      <c r="AA629">
        <v>0</v>
      </c>
      <c r="AB629" s="2">
        <v>0</v>
      </c>
      <c r="AC629" s="2">
        <v>0</v>
      </c>
      <c r="AD629" s="4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-109.26</v>
      </c>
      <c r="AN629" s="2">
        <v>-109.26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45999</v>
      </c>
      <c r="B630" t="s">
        <v>48</v>
      </c>
      <c r="C630">
        <v>649163</v>
      </c>
      <c r="D630">
        <v>2018775433</v>
      </c>
      <c r="E630" t="s">
        <v>942</v>
      </c>
      <c r="F630" t="s">
        <v>827</v>
      </c>
      <c r="G630" t="s">
        <v>51</v>
      </c>
      <c r="H630" t="s">
        <v>210</v>
      </c>
      <c r="I630" t="s">
        <v>290</v>
      </c>
      <c r="J630" t="s">
        <v>943</v>
      </c>
      <c r="K630">
        <v>673059</v>
      </c>
      <c r="L630" t="s">
        <v>81</v>
      </c>
      <c r="M630" t="s">
        <v>82</v>
      </c>
      <c r="N630" t="s">
        <v>57</v>
      </c>
      <c r="O630" s="1">
        <v>45078</v>
      </c>
      <c r="Q630" s="1">
        <v>46023</v>
      </c>
      <c r="R630" s="2">
        <v>15</v>
      </c>
      <c r="S630">
        <v>1</v>
      </c>
      <c r="T630" t="s">
        <v>58</v>
      </c>
      <c r="U630" t="s">
        <v>59</v>
      </c>
      <c r="V630" s="4">
        <v>0.19</v>
      </c>
      <c r="W630" s="2">
        <v>0</v>
      </c>
      <c r="X630">
        <v>0</v>
      </c>
      <c r="Y630" t="s">
        <v>60</v>
      </c>
      <c r="Z630" t="s">
        <v>61</v>
      </c>
      <c r="AA630">
        <v>0</v>
      </c>
      <c r="AB630" s="2">
        <v>0</v>
      </c>
      <c r="AC630" s="2">
        <v>0</v>
      </c>
      <c r="AD630" s="4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2.85</v>
      </c>
      <c r="AN630" s="2">
        <v>2.85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45999</v>
      </c>
      <c r="B631" t="s">
        <v>48</v>
      </c>
      <c r="C631">
        <v>649163</v>
      </c>
      <c r="D631">
        <v>2021646245</v>
      </c>
      <c r="E631" t="s">
        <v>944</v>
      </c>
      <c r="F631" t="s">
        <v>249</v>
      </c>
      <c r="G631" t="s">
        <v>51</v>
      </c>
      <c r="H631" t="s">
        <v>515</v>
      </c>
      <c r="I631" t="s">
        <v>290</v>
      </c>
      <c r="J631" t="s">
        <v>291</v>
      </c>
      <c r="K631">
        <v>673059</v>
      </c>
      <c r="L631" t="s">
        <v>81</v>
      </c>
      <c r="M631" t="s">
        <v>82</v>
      </c>
      <c r="N631" t="s">
        <v>57</v>
      </c>
      <c r="O631" s="1">
        <v>45329</v>
      </c>
      <c r="Q631" s="1">
        <v>46029</v>
      </c>
      <c r="R631" s="2">
        <v>15</v>
      </c>
      <c r="S631">
        <v>1</v>
      </c>
      <c r="T631" t="s">
        <v>58</v>
      </c>
      <c r="U631" t="s">
        <v>59</v>
      </c>
      <c r="V631" s="4">
        <v>0.28999999999999998</v>
      </c>
      <c r="W631" s="2">
        <v>0</v>
      </c>
      <c r="X631">
        <v>0</v>
      </c>
      <c r="Y631" t="s">
        <v>60</v>
      </c>
      <c r="Z631" t="s">
        <v>61</v>
      </c>
      <c r="AA631">
        <v>0</v>
      </c>
      <c r="AB631" s="2">
        <v>0</v>
      </c>
      <c r="AC631" s="2">
        <v>0</v>
      </c>
      <c r="AD631" s="4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4.3499999999999996</v>
      </c>
      <c r="AN631" s="2">
        <v>4.3499999999999996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45999</v>
      </c>
      <c r="B632" t="s">
        <v>48</v>
      </c>
      <c r="C632">
        <v>649163</v>
      </c>
      <c r="D632">
        <v>2023010065</v>
      </c>
      <c r="E632" t="s">
        <v>638</v>
      </c>
      <c r="F632" t="s">
        <v>639</v>
      </c>
      <c r="G632" t="s">
        <v>51</v>
      </c>
      <c r="H632" t="s">
        <v>131</v>
      </c>
      <c r="I632" t="s">
        <v>290</v>
      </c>
      <c r="J632" t="s">
        <v>295</v>
      </c>
      <c r="K632">
        <v>751867</v>
      </c>
      <c r="L632" t="s">
        <v>70</v>
      </c>
      <c r="M632" t="s">
        <v>71</v>
      </c>
      <c r="N632" t="s">
        <v>57</v>
      </c>
      <c r="O632" s="1">
        <v>45419</v>
      </c>
      <c r="Q632" s="1">
        <v>46029</v>
      </c>
      <c r="R632" s="2">
        <v>15</v>
      </c>
      <c r="S632">
        <v>1</v>
      </c>
      <c r="T632" t="s">
        <v>58</v>
      </c>
      <c r="U632" t="s">
        <v>59</v>
      </c>
      <c r="V632" s="4">
        <v>0.1</v>
      </c>
      <c r="W632" s="2">
        <v>0</v>
      </c>
      <c r="X632">
        <v>0</v>
      </c>
      <c r="Y632" t="s">
        <v>60</v>
      </c>
      <c r="Z632" t="s">
        <v>61</v>
      </c>
      <c r="AA632">
        <v>0</v>
      </c>
      <c r="AB632" s="2">
        <v>0</v>
      </c>
      <c r="AC632" s="2">
        <v>0</v>
      </c>
      <c r="AD632" s="4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1.5</v>
      </c>
      <c r="AN632" s="2">
        <v>1.5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45999</v>
      </c>
      <c r="B633" t="s">
        <v>48</v>
      </c>
      <c r="C633">
        <v>649163</v>
      </c>
      <c r="D633">
        <v>2023048532</v>
      </c>
      <c r="E633" t="s">
        <v>640</v>
      </c>
      <c r="F633" t="s">
        <v>322</v>
      </c>
      <c r="G633" t="s">
        <v>51</v>
      </c>
      <c r="H633" t="s">
        <v>131</v>
      </c>
      <c r="I633" t="s">
        <v>290</v>
      </c>
      <c r="J633" t="s">
        <v>295</v>
      </c>
      <c r="K633">
        <v>751867</v>
      </c>
      <c r="L633" t="s">
        <v>70</v>
      </c>
      <c r="M633" t="s">
        <v>71</v>
      </c>
      <c r="N633" t="s">
        <v>57</v>
      </c>
      <c r="O633" s="1">
        <v>45422</v>
      </c>
      <c r="Q633" s="1">
        <v>46032</v>
      </c>
      <c r="R633" s="2">
        <v>15</v>
      </c>
      <c r="S633">
        <v>1</v>
      </c>
      <c r="T633" t="s">
        <v>58</v>
      </c>
      <c r="U633" t="s">
        <v>59</v>
      </c>
      <c r="V633" s="4">
        <v>0.1</v>
      </c>
      <c r="W633" s="2">
        <v>0</v>
      </c>
      <c r="X633">
        <v>0</v>
      </c>
      <c r="Y633" t="s">
        <v>60</v>
      </c>
      <c r="Z633" t="s">
        <v>61</v>
      </c>
      <c r="AA633">
        <v>0</v>
      </c>
      <c r="AB633" s="2">
        <v>0</v>
      </c>
      <c r="AC633" s="2">
        <v>0</v>
      </c>
      <c r="AD633" s="4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1.5</v>
      </c>
      <c r="AN633" s="2">
        <v>1.5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45999</v>
      </c>
      <c r="B634" t="s">
        <v>48</v>
      </c>
      <c r="C634">
        <v>649163</v>
      </c>
      <c r="D634">
        <v>2023372600</v>
      </c>
      <c r="E634" t="s">
        <v>641</v>
      </c>
      <c r="F634" t="s">
        <v>642</v>
      </c>
      <c r="G634" t="s">
        <v>51</v>
      </c>
      <c r="H634" t="s">
        <v>408</v>
      </c>
      <c r="I634" t="s">
        <v>290</v>
      </c>
      <c r="J634" t="s">
        <v>295</v>
      </c>
      <c r="K634">
        <v>650218</v>
      </c>
      <c r="L634" t="s">
        <v>88</v>
      </c>
      <c r="M634" t="s">
        <v>89</v>
      </c>
      <c r="N634" t="s">
        <v>57</v>
      </c>
      <c r="O634" s="1">
        <v>45447</v>
      </c>
      <c r="Q634" s="1">
        <v>46026</v>
      </c>
      <c r="R634" s="2">
        <v>15</v>
      </c>
      <c r="S634">
        <v>1</v>
      </c>
      <c r="T634" t="s">
        <v>58</v>
      </c>
      <c r="U634" t="s">
        <v>59</v>
      </c>
      <c r="V634" s="4">
        <v>0.1</v>
      </c>
      <c r="W634" s="2">
        <v>0</v>
      </c>
      <c r="X634">
        <v>0</v>
      </c>
      <c r="Y634" t="s">
        <v>60</v>
      </c>
      <c r="Z634" t="s">
        <v>61</v>
      </c>
      <c r="AA634">
        <v>0</v>
      </c>
      <c r="AB634" s="2">
        <v>0</v>
      </c>
      <c r="AC634" s="2">
        <v>0</v>
      </c>
      <c r="AD634" s="4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1.5</v>
      </c>
      <c r="AN634" s="2">
        <v>1.5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45999</v>
      </c>
      <c r="B635" t="s">
        <v>48</v>
      </c>
      <c r="C635">
        <v>649163</v>
      </c>
      <c r="D635">
        <v>2023530974</v>
      </c>
      <c r="E635" t="s">
        <v>72</v>
      </c>
      <c r="F635" t="s">
        <v>73</v>
      </c>
      <c r="G635" t="s">
        <v>51</v>
      </c>
      <c r="H635" t="s">
        <v>74</v>
      </c>
      <c r="I635" t="s">
        <v>290</v>
      </c>
      <c r="J635" t="s">
        <v>295</v>
      </c>
      <c r="K635">
        <v>751867</v>
      </c>
      <c r="L635" t="s">
        <v>70</v>
      </c>
      <c r="M635" t="s">
        <v>71</v>
      </c>
      <c r="N635" t="s">
        <v>57</v>
      </c>
      <c r="O635" s="1">
        <v>45474</v>
      </c>
      <c r="Q635" s="1">
        <v>46023</v>
      </c>
      <c r="R635" s="2">
        <v>15</v>
      </c>
      <c r="S635">
        <v>1</v>
      </c>
      <c r="T635" t="s">
        <v>58</v>
      </c>
      <c r="U635" t="s">
        <v>59</v>
      </c>
      <c r="V635" s="4">
        <v>0.1</v>
      </c>
      <c r="W635" s="2">
        <v>0</v>
      </c>
      <c r="X635">
        <v>0</v>
      </c>
      <c r="Y635" t="s">
        <v>60</v>
      </c>
      <c r="Z635" t="s">
        <v>61</v>
      </c>
      <c r="AA635">
        <v>0</v>
      </c>
      <c r="AB635" s="2">
        <v>0</v>
      </c>
      <c r="AC635" s="2">
        <v>0</v>
      </c>
      <c r="AD635" s="4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1.5</v>
      </c>
      <c r="AN635" s="2">
        <v>1.5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45999</v>
      </c>
      <c r="B636" t="s">
        <v>48</v>
      </c>
      <c r="C636">
        <v>649163</v>
      </c>
      <c r="D636">
        <v>2024266937</v>
      </c>
      <c r="E636" t="s">
        <v>945</v>
      </c>
      <c r="F636" t="s">
        <v>946</v>
      </c>
      <c r="G636" t="s">
        <v>51</v>
      </c>
      <c r="H636" t="s">
        <v>125</v>
      </c>
      <c r="I636" t="s">
        <v>290</v>
      </c>
      <c r="J636" t="s">
        <v>291</v>
      </c>
      <c r="K636">
        <v>768887</v>
      </c>
      <c r="L636" t="s">
        <v>206</v>
      </c>
      <c r="M636" t="s">
        <v>207</v>
      </c>
      <c r="N636" t="s">
        <v>94</v>
      </c>
      <c r="O636" s="1">
        <v>45566</v>
      </c>
      <c r="P636" s="1">
        <v>45992</v>
      </c>
      <c r="Q636" s="1">
        <v>46023</v>
      </c>
      <c r="R636" s="2">
        <v>-30</v>
      </c>
      <c r="S636">
        <v>1</v>
      </c>
      <c r="T636" t="s">
        <v>58</v>
      </c>
      <c r="U636" t="s">
        <v>59</v>
      </c>
      <c r="V636" s="4">
        <v>0.28999999999999998</v>
      </c>
      <c r="W636" s="2">
        <v>0</v>
      </c>
      <c r="X636">
        <v>-1</v>
      </c>
      <c r="Y636" t="s">
        <v>60</v>
      </c>
      <c r="Z636" t="s">
        <v>61</v>
      </c>
      <c r="AA636">
        <v>0</v>
      </c>
      <c r="AB636" s="2">
        <v>0</v>
      </c>
      <c r="AC636" s="2">
        <v>0</v>
      </c>
      <c r="AD636" s="4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-8.6999999999999993</v>
      </c>
      <c r="AN636" s="2">
        <v>-8.6999999999999993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45999</v>
      </c>
      <c r="B637" t="s">
        <v>48</v>
      </c>
      <c r="C637">
        <v>649163</v>
      </c>
      <c r="D637">
        <v>2024324041</v>
      </c>
      <c r="E637" t="s">
        <v>644</v>
      </c>
      <c r="F637" t="s">
        <v>645</v>
      </c>
      <c r="G637" t="s">
        <v>51</v>
      </c>
      <c r="H637" t="s">
        <v>585</v>
      </c>
      <c r="I637" t="s">
        <v>290</v>
      </c>
      <c r="J637" t="s">
        <v>295</v>
      </c>
      <c r="K637">
        <v>650218</v>
      </c>
      <c r="L637" t="s">
        <v>88</v>
      </c>
      <c r="M637" t="s">
        <v>89</v>
      </c>
      <c r="N637" t="s">
        <v>57</v>
      </c>
      <c r="O637" s="1">
        <v>45514</v>
      </c>
      <c r="Q637" s="1">
        <v>46032</v>
      </c>
      <c r="R637" s="2">
        <v>15</v>
      </c>
      <c r="S637">
        <v>1</v>
      </c>
      <c r="T637" t="s">
        <v>58</v>
      </c>
      <c r="U637" t="s">
        <v>59</v>
      </c>
      <c r="V637" s="4">
        <v>0.1</v>
      </c>
      <c r="W637" s="2">
        <v>0</v>
      </c>
      <c r="X637">
        <v>0</v>
      </c>
      <c r="Y637" t="s">
        <v>60</v>
      </c>
      <c r="Z637" t="s">
        <v>61</v>
      </c>
      <c r="AA637">
        <v>0</v>
      </c>
      <c r="AB637" s="2">
        <v>0</v>
      </c>
      <c r="AC637" s="2">
        <v>0</v>
      </c>
      <c r="AD637" s="4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1.5</v>
      </c>
      <c r="AN637" s="2">
        <v>1.5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45999</v>
      </c>
      <c r="B638" t="s">
        <v>48</v>
      </c>
      <c r="C638">
        <v>649163</v>
      </c>
      <c r="D638">
        <v>2025222898</v>
      </c>
      <c r="E638" t="s">
        <v>653</v>
      </c>
      <c r="F638" t="s">
        <v>654</v>
      </c>
      <c r="G638" t="s">
        <v>51</v>
      </c>
      <c r="H638" t="s">
        <v>74</v>
      </c>
      <c r="I638" t="s">
        <v>290</v>
      </c>
      <c r="J638" t="s">
        <v>295</v>
      </c>
      <c r="K638">
        <v>751867</v>
      </c>
      <c r="L638" t="s">
        <v>70</v>
      </c>
      <c r="M638" t="s">
        <v>71</v>
      </c>
      <c r="N638" t="s">
        <v>57</v>
      </c>
      <c r="O638" s="1">
        <v>45574</v>
      </c>
      <c r="Q638" s="1">
        <v>46031</v>
      </c>
      <c r="R638" s="2">
        <v>15</v>
      </c>
      <c r="S638">
        <v>1</v>
      </c>
      <c r="T638" t="s">
        <v>58</v>
      </c>
      <c r="U638" t="s">
        <v>59</v>
      </c>
      <c r="V638" s="4">
        <v>0.1</v>
      </c>
      <c r="W638" s="2">
        <v>0</v>
      </c>
      <c r="X638">
        <v>0</v>
      </c>
      <c r="Y638" t="s">
        <v>60</v>
      </c>
      <c r="Z638" t="s">
        <v>61</v>
      </c>
      <c r="AA638">
        <v>0</v>
      </c>
      <c r="AB638" s="2">
        <v>0</v>
      </c>
      <c r="AC638" s="2">
        <v>0</v>
      </c>
      <c r="AD638" s="4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1.5</v>
      </c>
      <c r="AN638" s="2">
        <v>1.5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45999</v>
      </c>
      <c r="B639" t="s">
        <v>48</v>
      </c>
      <c r="C639">
        <v>649163</v>
      </c>
      <c r="D639">
        <v>2025698058</v>
      </c>
      <c r="E639" t="s">
        <v>56</v>
      </c>
      <c r="F639" t="s">
        <v>659</v>
      </c>
      <c r="G639" t="s">
        <v>51</v>
      </c>
      <c r="H639" t="s">
        <v>125</v>
      </c>
      <c r="I639" t="s">
        <v>290</v>
      </c>
      <c r="J639" t="s">
        <v>295</v>
      </c>
      <c r="K639">
        <v>650218</v>
      </c>
      <c r="L639" t="s">
        <v>88</v>
      </c>
      <c r="M639" t="s">
        <v>89</v>
      </c>
      <c r="N639" t="s">
        <v>57</v>
      </c>
      <c r="O639" s="1">
        <v>45605</v>
      </c>
      <c r="Q639" s="1">
        <v>46031</v>
      </c>
      <c r="R639" s="2">
        <v>15</v>
      </c>
      <c r="S639">
        <v>1</v>
      </c>
      <c r="T639" t="s">
        <v>58</v>
      </c>
      <c r="U639" t="s">
        <v>59</v>
      </c>
      <c r="V639" s="4">
        <v>0.1</v>
      </c>
      <c r="W639" s="2">
        <v>0</v>
      </c>
      <c r="X639">
        <v>0</v>
      </c>
      <c r="Y639" t="s">
        <v>60</v>
      </c>
      <c r="Z639" t="s">
        <v>61</v>
      </c>
      <c r="AA639">
        <v>0</v>
      </c>
      <c r="AB639" s="2">
        <v>0</v>
      </c>
      <c r="AC639" s="2">
        <v>0</v>
      </c>
      <c r="AD639" s="4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1.5</v>
      </c>
      <c r="AN639" s="2">
        <v>1.5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45999</v>
      </c>
      <c r="B640" t="s">
        <v>48</v>
      </c>
      <c r="C640">
        <v>649163</v>
      </c>
      <c r="D640">
        <v>2028367121</v>
      </c>
      <c r="E640" t="s">
        <v>536</v>
      </c>
      <c r="F640" t="s">
        <v>537</v>
      </c>
      <c r="G640" t="s">
        <v>51</v>
      </c>
      <c r="H640" t="s">
        <v>79</v>
      </c>
      <c r="I640" t="s">
        <v>290</v>
      </c>
      <c r="J640" t="s">
        <v>298</v>
      </c>
      <c r="K640">
        <v>673059</v>
      </c>
      <c r="L640" t="s">
        <v>81</v>
      </c>
      <c r="M640" t="s">
        <v>82</v>
      </c>
      <c r="N640" t="s">
        <v>57</v>
      </c>
      <c r="O640" s="1">
        <v>45759</v>
      </c>
      <c r="Q640" s="1">
        <v>46034</v>
      </c>
      <c r="R640" s="2">
        <v>15</v>
      </c>
      <c r="S640">
        <v>1</v>
      </c>
      <c r="T640" t="s">
        <v>58</v>
      </c>
      <c r="U640" t="s">
        <v>59</v>
      </c>
      <c r="V640" s="4">
        <v>0.38</v>
      </c>
      <c r="W640" s="2">
        <v>0</v>
      </c>
      <c r="X640">
        <v>0</v>
      </c>
      <c r="Y640" t="s">
        <v>83</v>
      </c>
      <c r="Z640" t="s">
        <v>61</v>
      </c>
      <c r="AA640">
        <v>0</v>
      </c>
      <c r="AB640" s="2">
        <v>0</v>
      </c>
      <c r="AC640" s="2">
        <v>0</v>
      </c>
      <c r="AD640" s="4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5.7</v>
      </c>
      <c r="AN640" s="2">
        <v>5.7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45999</v>
      </c>
      <c r="B641" t="s">
        <v>48</v>
      </c>
      <c r="C641">
        <v>649163</v>
      </c>
      <c r="D641">
        <v>2029838337</v>
      </c>
      <c r="E641" t="s">
        <v>676</v>
      </c>
      <c r="F641" t="s">
        <v>677</v>
      </c>
      <c r="G641" t="s">
        <v>51</v>
      </c>
      <c r="H641" t="s">
        <v>102</v>
      </c>
      <c r="I641" t="s">
        <v>290</v>
      </c>
      <c r="J641" t="s">
        <v>298</v>
      </c>
      <c r="K641">
        <v>840313</v>
      </c>
      <c r="L641" t="s">
        <v>525</v>
      </c>
      <c r="M641" t="s">
        <v>526</v>
      </c>
      <c r="N641" t="s">
        <v>57</v>
      </c>
      <c r="O641" s="1">
        <v>45846</v>
      </c>
      <c r="Q641" s="1">
        <v>46030</v>
      </c>
      <c r="R641" s="2">
        <v>15</v>
      </c>
      <c r="S641">
        <v>1</v>
      </c>
      <c r="T641" t="s">
        <v>58</v>
      </c>
      <c r="U641" t="s">
        <v>59</v>
      </c>
      <c r="V641" s="4">
        <v>0.38</v>
      </c>
      <c r="W641" s="2">
        <v>0</v>
      </c>
      <c r="X641">
        <v>0</v>
      </c>
      <c r="Y641" t="s">
        <v>83</v>
      </c>
      <c r="Z641" t="s">
        <v>61</v>
      </c>
      <c r="AA641">
        <v>0</v>
      </c>
      <c r="AB641" s="2">
        <v>0</v>
      </c>
      <c r="AC641" s="2">
        <v>0</v>
      </c>
      <c r="AD641" s="4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5.7</v>
      </c>
      <c r="AN641" s="2">
        <v>5.7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45999</v>
      </c>
      <c r="B642" t="s">
        <v>48</v>
      </c>
      <c r="C642">
        <v>649163</v>
      </c>
      <c r="D642">
        <v>2029844786</v>
      </c>
      <c r="E642" t="s">
        <v>678</v>
      </c>
      <c r="F642" t="s">
        <v>679</v>
      </c>
      <c r="G642" t="s">
        <v>51</v>
      </c>
      <c r="H642" t="s">
        <v>102</v>
      </c>
      <c r="I642" t="s">
        <v>290</v>
      </c>
      <c r="J642" t="s">
        <v>298</v>
      </c>
      <c r="K642">
        <v>768887</v>
      </c>
      <c r="L642" t="s">
        <v>206</v>
      </c>
      <c r="M642" t="s">
        <v>207</v>
      </c>
      <c r="N642" t="s">
        <v>57</v>
      </c>
      <c r="O642" s="1">
        <v>45849</v>
      </c>
      <c r="Q642" s="1">
        <v>46033</v>
      </c>
      <c r="R642" s="2">
        <v>15</v>
      </c>
      <c r="S642">
        <v>1</v>
      </c>
      <c r="T642" t="s">
        <v>58</v>
      </c>
      <c r="U642" t="s">
        <v>59</v>
      </c>
      <c r="V642" s="4">
        <v>0.38</v>
      </c>
      <c r="W642" s="2">
        <v>0</v>
      </c>
      <c r="X642">
        <v>0</v>
      </c>
      <c r="Y642" t="s">
        <v>83</v>
      </c>
      <c r="Z642" t="s">
        <v>61</v>
      </c>
      <c r="AA642">
        <v>0</v>
      </c>
      <c r="AB642" s="2">
        <v>0</v>
      </c>
      <c r="AC642" s="2">
        <v>0</v>
      </c>
      <c r="AD642" s="4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5.7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45999</v>
      </c>
      <c r="B643" t="s">
        <v>48</v>
      </c>
      <c r="C643">
        <v>649163</v>
      </c>
      <c r="D643">
        <v>2030277550</v>
      </c>
      <c r="E643" t="s">
        <v>681</v>
      </c>
      <c r="F643" t="s">
        <v>682</v>
      </c>
      <c r="G643" t="s">
        <v>51</v>
      </c>
      <c r="H643" t="s">
        <v>210</v>
      </c>
      <c r="I643" t="s">
        <v>290</v>
      </c>
      <c r="J643" t="s">
        <v>947</v>
      </c>
      <c r="K643">
        <v>673059</v>
      </c>
      <c r="L643" t="s">
        <v>81</v>
      </c>
      <c r="M643" t="s">
        <v>82</v>
      </c>
      <c r="N643" t="s">
        <v>57</v>
      </c>
      <c r="O643" s="1">
        <v>45878</v>
      </c>
      <c r="Q643" s="1">
        <v>46031</v>
      </c>
      <c r="R643" s="2">
        <v>15</v>
      </c>
      <c r="S643">
        <v>1</v>
      </c>
      <c r="T643" t="s">
        <v>58</v>
      </c>
      <c r="U643" t="s">
        <v>59</v>
      </c>
      <c r="V643" s="4">
        <v>0.19</v>
      </c>
      <c r="W643" s="2">
        <v>0</v>
      </c>
      <c r="X643">
        <v>0</v>
      </c>
      <c r="Y643" t="s">
        <v>83</v>
      </c>
      <c r="Z643" t="s">
        <v>61</v>
      </c>
      <c r="AA643">
        <v>0</v>
      </c>
      <c r="AB643" s="2">
        <v>0</v>
      </c>
      <c r="AC643" s="2">
        <v>0</v>
      </c>
      <c r="AD643" s="4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2.85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45999</v>
      </c>
      <c r="B644" t="s">
        <v>48</v>
      </c>
      <c r="C644">
        <v>649163</v>
      </c>
      <c r="D644">
        <v>2030339161</v>
      </c>
      <c r="E644" t="s">
        <v>948</v>
      </c>
      <c r="F644" t="s">
        <v>949</v>
      </c>
      <c r="G644" t="s">
        <v>51</v>
      </c>
      <c r="H644" t="s">
        <v>210</v>
      </c>
      <c r="I644" t="s">
        <v>290</v>
      </c>
      <c r="J644" t="s">
        <v>943</v>
      </c>
      <c r="K644">
        <v>874230</v>
      </c>
      <c r="L644" t="s">
        <v>902</v>
      </c>
      <c r="M644" t="s">
        <v>468</v>
      </c>
      <c r="N644" t="s">
        <v>57</v>
      </c>
      <c r="O644" s="1">
        <v>45875</v>
      </c>
      <c r="Q644" s="1">
        <v>46028</v>
      </c>
      <c r="R644" s="2">
        <v>15</v>
      </c>
      <c r="S644">
        <v>1</v>
      </c>
      <c r="T644" t="s">
        <v>58</v>
      </c>
      <c r="U644" t="s">
        <v>59</v>
      </c>
      <c r="V644" s="4">
        <v>0.19</v>
      </c>
      <c r="W644" s="2">
        <v>0</v>
      </c>
      <c r="X644">
        <v>0</v>
      </c>
      <c r="Y644" t="s">
        <v>83</v>
      </c>
      <c r="Z644" t="s">
        <v>61</v>
      </c>
      <c r="AA644">
        <v>0</v>
      </c>
      <c r="AB644" s="2">
        <v>0</v>
      </c>
      <c r="AC644" s="2">
        <v>0</v>
      </c>
      <c r="AD644" s="4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2.85</v>
      </c>
      <c r="AN644" s="2">
        <v>2.85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45999</v>
      </c>
      <c r="B645" t="s">
        <v>48</v>
      </c>
      <c r="C645">
        <v>649163</v>
      </c>
      <c r="D645">
        <v>2030375984</v>
      </c>
      <c r="E645" t="s">
        <v>279</v>
      </c>
      <c r="F645" t="s">
        <v>950</v>
      </c>
      <c r="G645" t="s">
        <v>51</v>
      </c>
      <c r="H645" t="s">
        <v>308</v>
      </c>
      <c r="I645" t="s">
        <v>290</v>
      </c>
      <c r="J645" t="s">
        <v>309</v>
      </c>
      <c r="K645">
        <v>877790</v>
      </c>
      <c r="L645" t="s">
        <v>310</v>
      </c>
      <c r="M645" t="s">
        <v>311</v>
      </c>
      <c r="N645" t="s">
        <v>57</v>
      </c>
      <c r="O645" s="1">
        <v>45877</v>
      </c>
      <c r="Q645" s="1">
        <v>46030</v>
      </c>
      <c r="R645" s="2">
        <v>15</v>
      </c>
      <c r="S645">
        <v>1</v>
      </c>
      <c r="T645" t="s">
        <v>58</v>
      </c>
      <c r="U645" t="s">
        <v>59</v>
      </c>
      <c r="V645" s="4">
        <v>0.19</v>
      </c>
      <c r="W645" s="2">
        <v>0</v>
      </c>
      <c r="X645">
        <v>0</v>
      </c>
      <c r="Y645" t="s">
        <v>83</v>
      </c>
      <c r="Z645" t="s">
        <v>61</v>
      </c>
      <c r="AA645">
        <v>0</v>
      </c>
      <c r="AB645" s="2">
        <v>0</v>
      </c>
      <c r="AC645" s="2">
        <v>0</v>
      </c>
      <c r="AD645" s="4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2.85</v>
      </c>
      <c r="AN645" s="2">
        <v>2.85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45999</v>
      </c>
      <c r="B646" t="s">
        <v>48</v>
      </c>
      <c r="C646">
        <v>649163</v>
      </c>
      <c r="D646">
        <v>2030399998</v>
      </c>
      <c r="E646" t="s">
        <v>685</v>
      </c>
      <c r="F646" t="s">
        <v>56</v>
      </c>
      <c r="G646" t="s">
        <v>51</v>
      </c>
      <c r="H646" t="s">
        <v>102</v>
      </c>
      <c r="I646" t="s">
        <v>290</v>
      </c>
      <c r="J646" t="s">
        <v>298</v>
      </c>
      <c r="K646">
        <v>824062</v>
      </c>
      <c r="L646" t="s">
        <v>261</v>
      </c>
      <c r="M646" t="s">
        <v>262</v>
      </c>
      <c r="N646" t="s">
        <v>57</v>
      </c>
      <c r="O646" s="1">
        <v>45878</v>
      </c>
      <c r="Q646" s="1">
        <v>46031</v>
      </c>
      <c r="R646" s="2">
        <v>15</v>
      </c>
      <c r="S646">
        <v>1</v>
      </c>
      <c r="T646" t="s">
        <v>58</v>
      </c>
      <c r="U646" t="s">
        <v>59</v>
      </c>
      <c r="V646" s="4">
        <v>0.38</v>
      </c>
      <c r="W646" s="2">
        <v>0</v>
      </c>
      <c r="X646">
        <v>0</v>
      </c>
      <c r="Y646" t="s">
        <v>83</v>
      </c>
      <c r="Z646" t="s">
        <v>61</v>
      </c>
      <c r="AA646">
        <v>0</v>
      </c>
      <c r="AB646" s="2">
        <v>0</v>
      </c>
      <c r="AC646" s="2">
        <v>0</v>
      </c>
      <c r="AD646" s="4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5.7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45999</v>
      </c>
      <c r="B647" t="s">
        <v>48</v>
      </c>
      <c r="C647">
        <v>649163</v>
      </c>
      <c r="D647">
        <v>2030842333</v>
      </c>
      <c r="E647" t="s">
        <v>686</v>
      </c>
      <c r="F647" t="s">
        <v>687</v>
      </c>
      <c r="G647" t="s">
        <v>51</v>
      </c>
      <c r="H647" t="s">
        <v>125</v>
      </c>
      <c r="I647" t="s">
        <v>290</v>
      </c>
      <c r="J647" t="s">
        <v>295</v>
      </c>
      <c r="K647">
        <v>650218</v>
      </c>
      <c r="L647" t="s">
        <v>88</v>
      </c>
      <c r="M647" t="s">
        <v>89</v>
      </c>
      <c r="N647" t="s">
        <v>57</v>
      </c>
      <c r="O647" s="1">
        <v>45904</v>
      </c>
      <c r="Q647" s="1">
        <v>46026</v>
      </c>
      <c r="R647" s="2">
        <v>15</v>
      </c>
      <c r="S647">
        <v>1</v>
      </c>
      <c r="T647" t="s">
        <v>58</v>
      </c>
      <c r="U647" t="s">
        <v>59</v>
      </c>
      <c r="V647" s="4">
        <v>0.38</v>
      </c>
      <c r="W647" s="2">
        <v>0</v>
      </c>
      <c r="X647">
        <v>0</v>
      </c>
      <c r="Y647" t="s">
        <v>83</v>
      </c>
      <c r="Z647" t="s">
        <v>61</v>
      </c>
      <c r="AA647">
        <v>0</v>
      </c>
      <c r="AB647" s="2">
        <v>0</v>
      </c>
      <c r="AC647" s="2">
        <v>0</v>
      </c>
      <c r="AD647" s="4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5.7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45999</v>
      </c>
      <c r="B648" t="s">
        <v>48</v>
      </c>
      <c r="C648">
        <v>649163</v>
      </c>
      <c r="D648">
        <v>2030896176</v>
      </c>
      <c r="E648" t="s">
        <v>688</v>
      </c>
      <c r="F648" t="s">
        <v>689</v>
      </c>
      <c r="G648" t="s">
        <v>51</v>
      </c>
      <c r="H648" t="s">
        <v>102</v>
      </c>
      <c r="I648" t="s">
        <v>290</v>
      </c>
      <c r="J648" t="s">
        <v>298</v>
      </c>
      <c r="K648">
        <v>820873</v>
      </c>
      <c r="L648" t="s">
        <v>117</v>
      </c>
      <c r="M648" t="s">
        <v>118</v>
      </c>
      <c r="N648" t="s">
        <v>57</v>
      </c>
      <c r="O648" s="1">
        <v>45906</v>
      </c>
      <c r="Q648" s="1">
        <v>46028</v>
      </c>
      <c r="R648" s="2">
        <v>15</v>
      </c>
      <c r="S648">
        <v>1</v>
      </c>
      <c r="T648" t="s">
        <v>58</v>
      </c>
      <c r="U648" t="s">
        <v>59</v>
      </c>
      <c r="V648" s="4">
        <v>0.38</v>
      </c>
      <c r="W648" s="2">
        <v>0</v>
      </c>
      <c r="X648">
        <v>0</v>
      </c>
      <c r="Y648" t="s">
        <v>83</v>
      </c>
      <c r="Z648" t="s">
        <v>61</v>
      </c>
      <c r="AA648">
        <v>0</v>
      </c>
      <c r="AB648" s="2">
        <v>0</v>
      </c>
      <c r="AC648" s="2">
        <v>0</v>
      </c>
      <c r="AD648" s="4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5.7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45999</v>
      </c>
      <c r="B649" t="s">
        <v>48</v>
      </c>
      <c r="C649">
        <v>649163</v>
      </c>
      <c r="D649">
        <v>2030905165</v>
      </c>
      <c r="E649" t="s">
        <v>951</v>
      </c>
      <c r="F649" t="s">
        <v>952</v>
      </c>
      <c r="G649" t="s">
        <v>51</v>
      </c>
      <c r="H649" t="s">
        <v>97</v>
      </c>
      <c r="I649" t="s">
        <v>290</v>
      </c>
      <c r="J649" t="s">
        <v>291</v>
      </c>
      <c r="K649">
        <v>753748</v>
      </c>
      <c r="L649" t="s">
        <v>396</v>
      </c>
      <c r="M649" t="s">
        <v>397</v>
      </c>
      <c r="N649" t="s">
        <v>57</v>
      </c>
      <c r="O649" s="1">
        <v>45906</v>
      </c>
      <c r="Q649" s="1">
        <v>46028</v>
      </c>
      <c r="R649" s="2">
        <v>15</v>
      </c>
      <c r="S649">
        <v>1</v>
      </c>
      <c r="T649" t="s">
        <v>58</v>
      </c>
      <c r="U649" t="s">
        <v>59</v>
      </c>
      <c r="V649" s="4">
        <v>0.28999999999999998</v>
      </c>
      <c r="W649" s="2">
        <v>0</v>
      </c>
      <c r="X649">
        <v>0</v>
      </c>
      <c r="Y649" t="s">
        <v>83</v>
      </c>
      <c r="Z649" t="s">
        <v>61</v>
      </c>
      <c r="AA649">
        <v>0</v>
      </c>
      <c r="AB649" s="2">
        <v>0</v>
      </c>
      <c r="AC649" s="2">
        <v>0</v>
      </c>
      <c r="AD649" s="4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4.3499999999999996</v>
      </c>
      <c r="AN649" s="2">
        <v>4.3499999999999996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45999</v>
      </c>
      <c r="B650" t="s">
        <v>48</v>
      </c>
      <c r="C650">
        <v>649163</v>
      </c>
      <c r="D650">
        <v>2030917279</v>
      </c>
      <c r="E650" t="s">
        <v>900</v>
      </c>
      <c r="F650" t="s">
        <v>901</v>
      </c>
      <c r="G650" t="s">
        <v>51</v>
      </c>
      <c r="H650" t="s">
        <v>210</v>
      </c>
      <c r="I650" t="s">
        <v>290</v>
      </c>
      <c r="J650" t="s">
        <v>943</v>
      </c>
      <c r="K650">
        <v>874230</v>
      </c>
      <c r="L650" t="s">
        <v>902</v>
      </c>
      <c r="M650" t="s">
        <v>468</v>
      </c>
      <c r="N650" t="s">
        <v>57</v>
      </c>
      <c r="O650" s="1">
        <v>45910</v>
      </c>
      <c r="Q650" s="1">
        <v>46032</v>
      </c>
      <c r="R650" s="2">
        <v>15</v>
      </c>
      <c r="S650">
        <v>1</v>
      </c>
      <c r="T650" t="s">
        <v>58</v>
      </c>
      <c r="U650" t="s">
        <v>59</v>
      </c>
      <c r="V650" s="4">
        <v>0.19</v>
      </c>
      <c r="W650" s="2">
        <v>0</v>
      </c>
      <c r="X650">
        <v>0</v>
      </c>
      <c r="Y650" t="s">
        <v>83</v>
      </c>
      <c r="Z650" t="s">
        <v>61</v>
      </c>
      <c r="AA650">
        <v>0</v>
      </c>
      <c r="AB650" s="2">
        <v>0</v>
      </c>
      <c r="AC650" s="2">
        <v>0</v>
      </c>
      <c r="AD650" s="4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2.85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45999</v>
      </c>
      <c r="B651" t="s">
        <v>48</v>
      </c>
      <c r="C651">
        <v>649163</v>
      </c>
      <c r="D651">
        <v>2030933674</v>
      </c>
      <c r="E651" t="s">
        <v>903</v>
      </c>
      <c r="F651" t="s">
        <v>904</v>
      </c>
      <c r="G651" t="s">
        <v>51</v>
      </c>
      <c r="H651" t="s">
        <v>163</v>
      </c>
      <c r="I651" t="s">
        <v>290</v>
      </c>
      <c r="J651" t="s">
        <v>953</v>
      </c>
      <c r="K651">
        <v>823068</v>
      </c>
      <c r="L651" t="s">
        <v>165</v>
      </c>
      <c r="M651" t="s">
        <v>166</v>
      </c>
      <c r="N651" t="s">
        <v>57</v>
      </c>
      <c r="O651" s="1">
        <v>45909</v>
      </c>
      <c r="Q651" s="1">
        <v>46031</v>
      </c>
      <c r="R651" s="2">
        <v>19.5</v>
      </c>
      <c r="S651">
        <v>1</v>
      </c>
      <c r="T651" t="s">
        <v>58</v>
      </c>
      <c r="U651" t="s">
        <v>105</v>
      </c>
      <c r="V651" s="4">
        <v>0.39</v>
      </c>
      <c r="W651" s="2">
        <v>0</v>
      </c>
      <c r="X651">
        <v>0</v>
      </c>
      <c r="Y651" t="s">
        <v>83</v>
      </c>
      <c r="Z651" t="s">
        <v>61</v>
      </c>
      <c r="AA651">
        <v>0</v>
      </c>
      <c r="AB651" s="2">
        <v>0</v>
      </c>
      <c r="AC651" s="2">
        <v>0</v>
      </c>
      <c r="AD651" s="4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7.6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45999</v>
      </c>
      <c r="B652" t="s">
        <v>48</v>
      </c>
      <c r="C652">
        <v>649163</v>
      </c>
      <c r="D652">
        <v>2030945125</v>
      </c>
      <c r="E652" t="s">
        <v>653</v>
      </c>
      <c r="F652" t="s">
        <v>690</v>
      </c>
      <c r="G652" t="s">
        <v>51</v>
      </c>
      <c r="H652" t="s">
        <v>102</v>
      </c>
      <c r="I652" t="s">
        <v>290</v>
      </c>
      <c r="J652" t="s">
        <v>295</v>
      </c>
      <c r="K652">
        <v>820873</v>
      </c>
      <c r="L652" t="s">
        <v>117</v>
      </c>
      <c r="M652" t="s">
        <v>118</v>
      </c>
      <c r="N652" t="s">
        <v>57</v>
      </c>
      <c r="O652" s="1">
        <v>45909</v>
      </c>
      <c r="Q652" s="1">
        <v>46031</v>
      </c>
      <c r="R652" s="2">
        <v>15</v>
      </c>
      <c r="S652">
        <v>1</v>
      </c>
      <c r="T652" t="s">
        <v>58</v>
      </c>
      <c r="U652" t="s">
        <v>105</v>
      </c>
      <c r="V652" s="4">
        <v>0.38</v>
      </c>
      <c r="W652" s="2">
        <v>0</v>
      </c>
      <c r="X652">
        <v>0</v>
      </c>
      <c r="Y652" t="s">
        <v>83</v>
      </c>
      <c r="Z652" t="s">
        <v>61</v>
      </c>
      <c r="AA652">
        <v>0</v>
      </c>
      <c r="AB652" s="2">
        <v>0</v>
      </c>
      <c r="AC652" s="2">
        <v>0</v>
      </c>
      <c r="AD652" s="4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5.7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45999</v>
      </c>
      <c r="B653" t="s">
        <v>48</v>
      </c>
      <c r="C653">
        <v>649163</v>
      </c>
      <c r="D653">
        <v>2030954482</v>
      </c>
      <c r="E653" t="s">
        <v>691</v>
      </c>
      <c r="F653" t="s">
        <v>301</v>
      </c>
      <c r="G653" t="s">
        <v>51</v>
      </c>
      <c r="H653" t="s">
        <v>102</v>
      </c>
      <c r="I653" t="s">
        <v>290</v>
      </c>
      <c r="J653" t="s">
        <v>954</v>
      </c>
      <c r="K653">
        <v>856824</v>
      </c>
      <c r="L653" t="s">
        <v>145</v>
      </c>
      <c r="M653" t="s">
        <v>146</v>
      </c>
      <c r="N653" t="s">
        <v>57</v>
      </c>
      <c r="O653" s="1">
        <v>45910</v>
      </c>
      <c r="Q653" s="1">
        <v>46032</v>
      </c>
      <c r="R653" s="2">
        <v>24.87</v>
      </c>
      <c r="S653">
        <v>1</v>
      </c>
      <c r="T653" t="s">
        <v>58</v>
      </c>
      <c r="U653" t="s">
        <v>105</v>
      </c>
      <c r="V653" s="4">
        <v>0.38</v>
      </c>
      <c r="W653" s="2">
        <v>0</v>
      </c>
      <c r="X653">
        <v>0</v>
      </c>
      <c r="Y653" t="s">
        <v>83</v>
      </c>
      <c r="Z653" t="s">
        <v>61</v>
      </c>
      <c r="AA653">
        <v>0</v>
      </c>
      <c r="AB653" s="2">
        <v>0</v>
      </c>
      <c r="AC653" s="2">
        <v>0</v>
      </c>
      <c r="AD653" s="4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9.4499999999999993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45999</v>
      </c>
      <c r="B654" t="s">
        <v>48</v>
      </c>
      <c r="C654">
        <v>649163</v>
      </c>
      <c r="D654">
        <v>2030954483</v>
      </c>
      <c r="E654" t="s">
        <v>691</v>
      </c>
      <c r="F654" t="s">
        <v>301</v>
      </c>
      <c r="G654" t="s">
        <v>51</v>
      </c>
      <c r="H654" t="s">
        <v>102</v>
      </c>
      <c r="I654" t="s">
        <v>290</v>
      </c>
      <c r="J654" t="s">
        <v>298</v>
      </c>
      <c r="K654">
        <v>856824</v>
      </c>
      <c r="L654" t="s">
        <v>145</v>
      </c>
      <c r="M654" t="s">
        <v>146</v>
      </c>
      <c r="N654" t="s">
        <v>57</v>
      </c>
      <c r="O654" s="1">
        <v>45910</v>
      </c>
      <c r="Q654" s="1">
        <v>46032</v>
      </c>
      <c r="R654" s="2">
        <v>10.65</v>
      </c>
      <c r="S654">
        <v>1</v>
      </c>
      <c r="T654" t="s">
        <v>58</v>
      </c>
      <c r="U654" t="s">
        <v>299</v>
      </c>
      <c r="V654" s="4">
        <v>0.38</v>
      </c>
      <c r="W654" s="2">
        <v>0</v>
      </c>
      <c r="X654">
        <v>0</v>
      </c>
      <c r="Y654" t="s">
        <v>83</v>
      </c>
      <c r="Z654" t="s">
        <v>61</v>
      </c>
      <c r="AA654">
        <v>0</v>
      </c>
      <c r="AB654" s="2">
        <v>0</v>
      </c>
      <c r="AC654" s="2">
        <v>0</v>
      </c>
      <c r="AD654" s="4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4.05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45999</v>
      </c>
      <c r="B655" t="s">
        <v>48</v>
      </c>
      <c r="C655">
        <v>649163</v>
      </c>
      <c r="D655">
        <v>2031581265</v>
      </c>
      <c r="E655" t="s">
        <v>955</v>
      </c>
      <c r="F655" t="s">
        <v>932</v>
      </c>
      <c r="G655" t="s">
        <v>51</v>
      </c>
      <c r="H655" t="s">
        <v>79</v>
      </c>
      <c r="I655" t="s">
        <v>290</v>
      </c>
      <c r="J655" t="s">
        <v>291</v>
      </c>
      <c r="K655">
        <v>897073</v>
      </c>
      <c r="L655" t="s">
        <v>956</v>
      </c>
      <c r="M655" t="s">
        <v>957</v>
      </c>
      <c r="N655" t="s">
        <v>57</v>
      </c>
      <c r="O655" s="1">
        <v>45942</v>
      </c>
      <c r="Q655" s="1">
        <v>46034</v>
      </c>
      <c r="R655" s="2">
        <v>15</v>
      </c>
      <c r="S655">
        <v>1</v>
      </c>
      <c r="T655" t="s">
        <v>58</v>
      </c>
      <c r="U655" t="s">
        <v>312</v>
      </c>
      <c r="V655" s="4">
        <v>0.28999999999999998</v>
      </c>
      <c r="W655" s="2">
        <v>0</v>
      </c>
      <c r="X655">
        <v>0</v>
      </c>
      <c r="Y655" t="s">
        <v>83</v>
      </c>
      <c r="Z655" t="s">
        <v>61</v>
      </c>
      <c r="AA655">
        <v>0</v>
      </c>
      <c r="AB655" s="2">
        <v>0</v>
      </c>
      <c r="AC655" s="2">
        <v>0</v>
      </c>
      <c r="AD655" s="4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4.3499999999999996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45999</v>
      </c>
      <c r="B656" t="s">
        <v>48</v>
      </c>
      <c r="C656">
        <v>649163</v>
      </c>
      <c r="D656">
        <v>2016750307</v>
      </c>
      <c r="E656" t="s">
        <v>412</v>
      </c>
      <c r="F656" t="s">
        <v>719</v>
      </c>
      <c r="G656" t="s">
        <v>51</v>
      </c>
      <c r="H656" t="s">
        <v>125</v>
      </c>
      <c r="I656" t="s">
        <v>86</v>
      </c>
      <c r="J656" t="s">
        <v>87</v>
      </c>
      <c r="K656">
        <v>652037</v>
      </c>
      <c r="L656" t="s">
        <v>235</v>
      </c>
      <c r="M656" t="s">
        <v>438</v>
      </c>
      <c r="N656" t="s">
        <v>57</v>
      </c>
      <c r="O656" s="1">
        <v>44873</v>
      </c>
      <c r="Q656" s="1">
        <v>46030</v>
      </c>
      <c r="R656" s="2">
        <v>58.09</v>
      </c>
      <c r="S656">
        <v>1</v>
      </c>
      <c r="T656" t="s">
        <v>58</v>
      </c>
      <c r="U656" t="s">
        <v>59</v>
      </c>
      <c r="V656" s="4">
        <v>0.06</v>
      </c>
      <c r="W656" s="2">
        <v>0</v>
      </c>
      <c r="X656">
        <v>0</v>
      </c>
      <c r="Y656" t="s">
        <v>60</v>
      </c>
      <c r="Z656" t="s">
        <v>61</v>
      </c>
      <c r="AA656">
        <v>0</v>
      </c>
      <c r="AB656" s="2">
        <v>0</v>
      </c>
      <c r="AC656" s="2">
        <v>0</v>
      </c>
      <c r="AD656" s="4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3.49</v>
      </c>
      <c r="AN656" s="2">
        <v>3.49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45999</v>
      </c>
      <c r="B657" t="s">
        <v>48</v>
      </c>
      <c r="C657">
        <v>649163</v>
      </c>
      <c r="D657">
        <v>2016770176</v>
      </c>
      <c r="E657" t="s">
        <v>958</v>
      </c>
      <c r="F657" t="s">
        <v>324</v>
      </c>
      <c r="G657" t="s">
        <v>51</v>
      </c>
      <c r="H657" t="s">
        <v>97</v>
      </c>
      <c r="I657" t="s">
        <v>86</v>
      </c>
      <c r="J657" t="s">
        <v>87</v>
      </c>
      <c r="K657">
        <v>651818</v>
      </c>
      <c r="L657" t="s">
        <v>246</v>
      </c>
      <c r="M657" t="s">
        <v>247</v>
      </c>
      <c r="N657" t="s">
        <v>57</v>
      </c>
      <c r="O657" s="1">
        <v>44875</v>
      </c>
      <c r="Q657" s="1">
        <v>46032</v>
      </c>
      <c r="R657" s="2">
        <v>38.83</v>
      </c>
      <c r="S657">
        <v>1</v>
      </c>
      <c r="T657" t="s">
        <v>58</v>
      </c>
      <c r="U657" t="s">
        <v>59</v>
      </c>
      <c r="V657" s="4">
        <v>0.06</v>
      </c>
      <c r="W657" s="2">
        <v>0</v>
      </c>
      <c r="X657">
        <v>0</v>
      </c>
      <c r="Y657" t="s">
        <v>60</v>
      </c>
      <c r="Z657" t="s">
        <v>61</v>
      </c>
      <c r="AA657">
        <v>0</v>
      </c>
      <c r="AB657" s="2">
        <v>0</v>
      </c>
      <c r="AC657" s="2">
        <v>0</v>
      </c>
      <c r="AD657" s="4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2.33</v>
      </c>
      <c r="AN657" s="2">
        <v>2.33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45999</v>
      </c>
      <c r="B658" t="s">
        <v>48</v>
      </c>
      <c r="C658">
        <v>649163</v>
      </c>
      <c r="D658">
        <v>2017003447</v>
      </c>
      <c r="E658" t="s">
        <v>959</v>
      </c>
      <c r="F658" t="s">
        <v>71</v>
      </c>
      <c r="G658" t="s">
        <v>51</v>
      </c>
      <c r="H658" t="s">
        <v>52</v>
      </c>
      <c r="I658" t="s">
        <v>86</v>
      </c>
      <c r="J658" t="s">
        <v>87</v>
      </c>
      <c r="K658">
        <v>650794</v>
      </c>
      <c r="L658" t="s">
        <v>235</v>
      </c>
      <c r="M658" t="s">
        <v>236</v>
      </c>
      <c r="N658" t="s">
        <v>57</v>
      </c>
      <c r="O658" s="1">
        <v>44902</v>
      </c>
      <c r="Q658" s="1">
        <v>46029</v>
      </c>
      <c r="R658" s="2">
        <v>39.979999999999997</v>
      </c>
      <c r="S658">
        <v>1</v>
      </c>
      <c r="T658" t="s">
        <v>58</v>
      </c>
      <c r="U658" t="s">
        <v>59</v>
      </c>
      <c r="V658" s="4">
        <v>0.06</v>
      </c>
      <c r="W658" s="2">
        <v>0</v>
      </c>
      <c r="X658">
        <v>0</v>
      </c>
      <c r="Y658" t="s">
        <v>60</v>
      </c>
      <c r="Z658" t="s">
        <v>61</v>
      </c>
      <c r="AA658">
        <v>0</v>
      </c>
      <c r="AB658" s="2">
        <v>0</v>
      </c>
      <c r="AC658" s="2">
        <v>0</v>
      </c>
      <c r="AD658" s="4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2.4</v>
      </c>
      <c r="AN658" s="2">
        <v>2.4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45999</v>
      </c>
      <c r="B659" t="s">
        <v>48</v>
      </c>
      <c r="C659">
        <v>649163</v>
      </c>
      <c r="D659">
        <v>2017340031</v>
      </c>
      <c r="E659" t="s">
        <v>723</v>
      </c>
      <c r="F659" t="s">
        <v>624</v>
      </c>
      <c r="G659" t="s">
        <v>51</v>
      </c>
      <c r="H659" t="s">
        <v>52</v>
      </c>
      <c r="I659" t="s">
        <v>86</v>
      </c>
      <c r="J659" t="s">
        <v>87</v>
      </c>
      <c r="K659">
        <v>652037</v>
      </c>
      <c r="L659" t="s">
        <v>235</v>
      </c>
      <c r="M659" t="s">
        <v>438</v>
      </c>
      <c r="N659" t="s">
        <v>57</v>
      </c>
      <c r="O659" s="1">
        <v>44958</v>
      </c>
      <c r="Q659" s="1">
        <v>46023</v>
      </c>
      <c r="R659" s="2">
        <v>-89</v>
      </c>
      <c r="S659">
        <v>1</v>
      </c>
      <c r="T659" t="s">
        <v>58</v>
      </c>
      <c r="U659" t="s">
        <v>59</v>
      </c>
      <c r="V659" s="4">
        <v>0.06</v>
      </c>
      <c r="W659" s="2">
        <v>0</v>
      </c>
      <c r="X659">
        <v>-1</v>
      </c>
      <c r="Y659" t="s">
        <v>60</v>
      </c>
      <c r="Z659" t="s">
        <v>61</v>
      </c>
      <c r="AA659">
        <v>0</v>
      </c>
      <c r="AB659" s="2">
        <v>0</v>
      </c>
      <c r="AC659" s="2">
        <v>0</v>
      </c>
      <c r="AD659" s="4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-5.34</v>
      </c>
      <c r="AN659" s="2">
        <v>-5.34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45999</v>
      </c>
      <c r="B660" t="s">
        <v>48</v>
      </c>
      <c r="C660">
        <v>649163</v>
      </c>
      <c r="D660">
        <v>2017624589</v>
      </c>
      <c r="E660" t="s">
        <v>725</v>
      </c>
      <c r="F660" t="s">
        <v>137</v>
      </c>
      <c r="G660" t="s">
        <v>51</v>
      </c>
      <c r="H660" t="s">
        <v>52</v>
      </c>
      <c r="I660" t="s">
        <v>86</v>
      </c>
      <c r="J660" t="s">
        <v>87</v>
      </c>
      <c r="K660">
        <v>650794</v>
      </c>
      <c r="L660" t="s">
        <v>235</v>
      </c>
      <c r="M660" t="s">
        <v>236</v>
      </c>
      <c r="N660" t="s">
        <v>57</v>
      </c>
      <c r="O660" s="1">
        <v>44967</v>
      </c>
      <c r="Q660" s="1">
        <v>46032</v>
      </c>
      <c r="R660" s="2">
        <v>53.08</v>
      </c>
      <c r="S660">
        <v>1</v>
      </c>
      <c r="T660" t="s">
        <v>58</v>
      </c>
      <c r="U660" t="s">
        <v>59</v>
      </c>
      <c r="V660" s="4">
        <v>0.06</v>
      </c>
      <c r="W660" s="2">
        <v>0</v>
      </c>
      <c r="X660">
        <v>0</v>
      </c>
      <c r="Y660" t="s">
        <v>60</v>
      </c>
      <c r="Z660" t="s">
        <v>61</v>
      </c>
      <c r="AA660">
        <v>0</v>
      </c>
      <c r="AB660" s="2">
        <v>0</v>
      </c>
      <c r="AC660" s="2">
        <v>0</v>
      </c>
      <c r="AD660" s="4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3.18</v>
      </c>
      <c r="AN660" s="2">
        <v>3.18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45999</v>
      </c>
      <c r="B661" t="s">
        <v>48</v>
      </c>
      <c r="C661">
        <v>649163</v>
      </c>
      <c r="D661">
        <v>2018264457</v>
      </c>
      <c r="E661" t="s">
        <v>960</v>
      </c>
      <c r="F661" t="s">
        <v>122</v>
      </c>
      <c r="G661" t="s">
        <v>51</v>
      </c>
      <c r="H661" t="s">
        <v>267</v>
      </c>
      <c r="I661" t="s">
        <v>86</v>
      </c>
      <c r="J661" t="s">
        <v>87</v>
      </c>
      <c r="K661">
        <v>651818</v>
      </c>
      <c r="L661" t="s">
        <v>246</v>
      </c>
      <c r="M661" t="s">
        <v>247</v>
      </c>
      <c r="N661" t="s">
        <v>57</v>
      </c>
      <c r="O661" s="1">
        <v>45052</v>
      </c>
      <c r="Q661" s="1">
        <v>46028</v>
      </c>
      <c r="R661" s="2">
        <v>47.79</v>
      </c>
      <c r="S661">
        <v>1</v>
      </c>
      <c r="T661" t="s">
        <v>58</v>
      </c>
      <c r="U661" t="s">
        <v>59</v>
      </c>
      <c r="V661" s="4">
        <v>0.06</v>
      </c>
      <c r="W661" s="2">
        <v>0</v>
      </c>
      <c r="X661">
        <v>0</v>
      </c>
      <c r="Y661" t="s">
        <v>60</v>
      </c>
      <c r="Z661" t="s">
        <v>61</v>
      </c>
      <c r="AA661">
        <v>0</v>
      </c>
      <c r="AB661" s="2">
        <v>0</v>
      </c>
      <c r="AC661" s="2">
        <v>0</v>
      </c>
      <c r="AD661" s="4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2.87</v>
      </c>
      <c r="AN661" s="2">
        <v>2.87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45999</v>
      </c>
      <c r="B662" t="s">
        <v>48</v>
      </c>
      <c r="C662">
        <v>649163</v>
      </c>
      <c r="D662">
        <v>2019638944</v>
      </c>
      <c r="E662" t="s">
        <v>961</v>
      </c>
      <c r="F662" t="s">
        <v>962</v>
      </c>
      <c r="G662" t="s">
        <v>51</v>
      </c>
      <c r="H662" t="s">
        <v>267</v>
      </c>
      <c r="I662" t="s">
        <v>86</v>
      </c>
      <c r="J662" t="s">
        <v>87</v>
      </c>
      <c r="K662">
        <v>651818</v>
      </c>
      <c r="L662" t="s">
        <v>246</v>
      </c>
      <c r="M662" t="s">
        <v>247</v>
      </c>
      <c r="N662" t="s">
        <v>57</v>
      </c>
      <c r="O662" s="1">
        <v>45146</v>
      </c>
      <c r="Q662" s="1">
        <v>46030</v>
      </c>
      <c r="R662" s="2">
        <v>40.07</v>
      </c>
      <c r="S662">
        <v>1</v>
      </c>
      <c r="T662" t="s">
        <v>58</v>
      </c>
      <c r="U662" t="s">
        <v>59</v>
      </c>
      <c r="V662" s="4">
        <v>0.06</v>
      </c>
      <c r="W662" s="2">
        <v>0</v>
      </c>
      <c r="X662">
        <v>0</v>
      </c>
      <c r="Y662" t="s">
        <v>60</v>
      </c>
      <c r="Z662" t="s">
        <v>61</v>
      </c>
      <c r="AA662">
        <v>0</v>
      </c>
      <c r="AB662" s="2">
        <v>0</v>
      </c>
      <c r="AC662" s="2">
        <v>0</v>
      </c>
      <c r="AD662" s="4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2.4</v>
      </c>
      <c r="AN662" s="2">
        <v>2.4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45999</v>
      </c>
      <c r="B663" t="s">
        <v>48</v>
      </c>
      <c r="C663">
        <v>649163</v>
      </c>
      <c r="D663">
        <v>2019958314</v>
      </c>
      <c r="E663" t="s">
        <v>963</v>
      </c>
      <c r="F663" t="s">
        <v>964</v>
      </c>
      <c r="G663" t="s">
        <v>51</v>
      </c>
      <c r="H663" t="s">
        <v>52</v>
      </c>
      <c r="I663" t="s">
        <v>86</v>
      </c>
      <c r="J663" t="s">
        <v>87</v>
      </c>
      <c r="K663">
        <v>678320</v>
      </c>
      <c r="L663" t="s">
        <v>55</v>
      </c>
      <c r="M663" t="s">
        <v>56</v>
      </c>
      <c r="N663" t="s">
        <v>57</v>
      </c>
      <c r="O663" s="1">
        <v>45175</v>
      </c>
      <c r="Q663" s="1">
        <v>46028</v>
      </c>
      <c r="R663" s="2">
        <v>49.12</v>
      </c>
      <c r="S663">
        <v>1</v>
      </c>
      <c r="T663" t="s">
        <v>58</v>
      </c>
      <c r="U663" t="s">
        <v>59</v>
      </c>
      <c r="V663" s="4">
        <v>0.06</v>
      </c>
      <c r="W663" s="2">
        <v>0</v>
      </c>
      <c r="X663">
        <v>0</v>
      </c>
      <c r="Y663" t="s">
        <v>60</v>
      </c>
      <c r="Z663" t="s">
        <v>61</v>
      </c>
      <c r="AA663">
        <v>0</v>
      </c>
      <c r="AB663" s="2">
        <v>0</v>
      </c>
      <c r="AC663" s="2">
        <v>0</v>
      </c>
      <c r="AD663" s="4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2.95</v>
      </c>
      <c r="AN663" s="2">
        <v>2.95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45999</v>
      </c>
      <c r="B664" t="s">
        <v>48</v>
      </c>
      <c r="C664">
        <v>649163</v>
      </c>
      <c r="D664">
        <v>2020685017</v>
      </c>
      <c r="E664" t="s">
        <v>965</v>
      </c>
      <c r="F664" t="s">
        <v>966</v>
      </c>
      <c r="G664" t="s">
        <v>51</v>
      </c>
      <c r="H664" t="s">
        <v>52</v>
      </c>
      <c r="I664" t="s">
        <v>86</v>
      </c>
      <c r="J664" t="s">
        <v>87</v>
      </c>
      <c r="K664">
        <v>702406</v>
      </c>
      <c r="L664" t="s">
        <v>581</v>
      </c>
      <c r="M664" t="s">
        <v>582</v>
      </c>
      <c r="N664" t="s">
        <v>57</v>
      </c>
      <c r="O664" s="1">
        <v>45237</v>
      </c>
      <c r="Q664" s="1">
        <v>46029</v>
      </c>
      <c r="R664" s="2">
        <v>57.29</v>
      </c>
      <c r="S664">
        <v>1</v>
      </c>
      <c r="T664" t="s">
        <v>58</v>
      </c>
      <c r="U664" t="s">
        <v>59</v>
      </c>
      <c r="V664" s="4">
        <v>0.06</v>
      </c>
      <c r="W664" s="2">
        <v>0</v>
      </c>
      <c r="X664">
        <v>0</v>
      </c>
      <c r="Y664" t="s">
        <v>60</v>
      </c>
      <c r="Z664" t="s">
        <v>61</v>
      </c>
      <c r="AA664">
        <v>0</v>
      </c>
      <c r="AB664" s="2">
        <v>0</v>
      </c>
      <c r="AC664" s="2">
        <v>0</v>
      </c>
      <c r="AD664" s="4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3.44</v>
      </c>
      <c r="AN664" s="2">
        <v>3.44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45999</v>
      </c>
      <c r="B665" t="s">
        <v>48</v>
      </c>
      <c r="C665">
        <v>649163</v>
      </c>
      <c r="D665">
        <v>2020953073</v>
      </c>
      <c r="E665" t="s">
        <v>967</v>
      </c>
      <c r="F665" t="s">
        <v>487</v>
      </c>
      <c r="G665" t="s">
        <v>51</v>
      </c>
      <c r="H665" t="s">
        <v>515</v>
      </c>
      <c r="I665" t="s">
        <v>86</v>
      </c>
      <c r="J665" t="s">
        <v>87</v>
      </c>
      <c r="K665">
        <v>673059</v>
      </c>
      <c r="L665" t="s">
        <v>81</v>
      </c>
      <c r="M665" t="s">
        <v>82</v>
      </c>
      <c r="N665" t="s">
        <v>57</v>
      </c>
      <c r="O665" s="1">
        <v>45292</v>
      </c>
      <c r="Q665" s="1">
        <v>46023</v>
      </c>
      <c r="R665" s="2">
        <v>85.6</v>
      </c>
      <c r="S665">
        <v>1</v>
      </c>
      <c r="T665" t="s">
        <v>58</v>
      </c>
      <c r="U665" t="s">
        <v>59</v>
      </c>
      <c r="V665" s="4">
        <v>0.06</v>
      </c>
      <c r="W665" s="2">
        <v>0</v>
      </c>
      <c r="X665">
        <v>0</v>
      </c>
      <c r="Y665" t="s">
        <v>60</v>
      </c>
      <c r="Z665" t="s">
        <v>61</v>
      </c>
      <c r="AA665">
        <v>0</v>
      </c>
      <c r="AB665" s="2">
        <v>0</v>
      </c>
      <c r="AC665" s="2">
        <v>0</v>
      </c>
      <c r="AD665" s="4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5.14</v>
      </c>
      <c r="AN665" s="2">
        <v>5.14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45999</v>
      </c>
      <c r="B666" t="s">
        <v>48</v>
      </c>
      <c r="C666">
        <v>649163</v>
      </c>
      <c r="D666">
        <v>2021350310</v>
      </c>
      <c r="E666" t="s">
        <v>968</v>
      </c>
      <c r="F666" t="s">
        <v>519</v>
      </c>
      <c r="G666" t="s">
        <v>51</v>
      </c>
      <c r="H666" t="s">
        <v>52</v>
      </c>
      <c r="I666" t="s">
        <v>86</v>
      </c>
      <c r="J666" t="s">
        <v>87</v>
      </c>
      <c r="K666">
        <v>678320</v>
      </c>
      <c r="L666" t="s">
        <v>55</v>
      </c>
      <c r="M666" t="s">
        <v>56</v>
      </c>
      <c r="N666" t="s">
        <v>57</v>
      </c>
      <c r="O666" s="1">
        <v>45301</v>
      </c>
      <c r="Q666" s="1">
        <v>46032</v>
      </c>
      <c r="R666" s="2">
        <v>49.98</v>
      </c>
      <c r="S666">
        <v>1</v>
      </c>
      <c r="T666" t="s">
        <v>58</v>
      </c>
      <c r="U666" t="s">
        <v>59</v>
      </c>
      <c r="V666" s="4">
        <v>0.06</v>
      </c>
      <c r="W666" s="2">
        <v>0</v>
      </c>
      <c r="X666">
        <v>0</v>
      </c>
      <c r="Y666" t="s">
        <v>60</v>
      </c>
      <c r="Z666" t="s">
        <v>61</v>
      </c>
      <c r="AA666">
        <v>0</v>
      </c>
      <c r="AB666" s="2">
        <v>0</v>
      </c>
      <c r="AC666" s="2">
        <v>0</v>
      </c>
      <c r="AD666" s="4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3</v>
      </c>
      <c r="AN666" s="2">
        <v>3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45999</v>
      </c>
      <c r="B667" t="s">
        <v>48</v>
      </c>
      <c r="C667">
        <v>649163</v>
      </c>
      <c r="D667">
        <v>2021645073</v>
      </c>
      <c r="E667" t="s">
        <v>969</v>
      </c>
      <c r="F667" t="s">
        <v>168</v>
      </c>
      <c r="G667" t="s">
        <v>51</v>
      </c>
      <c r="H667" t="s">
        <v>52</v>
      </c>
      <c r="I667" t="s">
        <v>86</v>
      </c>
      <c r="J667" t="s">
        <v>87</v>
      </c>
      <c r="K667">
        <v>650218</v>
      </c>
      <c r="L667" t="s">
        <v>88</v>
      </c>
      <c r="M667" t="s">
        <v>89</v>
      </c>
      <c r="N667" t="s">
        <v>57</v>
      </c>
      <c r="O667" s="1">
        <v>45356</v>
      </c>
      <c r="Q667" s="1">
        <v>46027</v>
      </c>
      <c r="R667" s="2">
        <v>39.979999999999997</v>
      </c>
      <c r="S667">
        <v>1</v>
      </c>
      <c r="T667" t="s">
        <v>58</v>
      </c>
      <c r="U667" t="s">
        <v>59</v>
      </c>
      <c r="V667" s="4">
        <v>0.06</v>
      </c>
      <c r="W667" s="2">
        <v>0</v>
      </c>
      <c r="X667">
        <v>0</v>
      </c>
      <c r="Y667" t="s">
        <v>60</v>
      </c>
      <c r="Z667" t="s">
        <v>61</v>
      </c>
      <c r="AA667">
        <v>0</v>
      </c>
      <c r="AB667" s="2">
        <v>0</v>
      </c>
      <c r="AC667" s="2">
        <v>0</v>
      </c>
      <c r="AD667" s="4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2.4</v>
      </c>
      <c r="AN667" s="2">
        <v>2.4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45999</v>
      </c>
      <c r="B668" t="s">
        <v>48</v>
      </c>
      <c r="C668">
        <v>649163</v>
      </c>
      <c r="D668">
        <v>2022273838</v>
      </c>
      <c r="E668" t="s">
        <v>733</v>
      </c>
      <c r="F668" t="s">
        <v>734</v>
      </c>
      <c r="G668" t="s">
        <v>51</v>
      </c>
      <c r="H668" t="s">
        <v>52</v>
      </c>
      <c r="I668" t="s">
        <v>86</v>
      </c>
      <c r="J668" t="s">
        <v>87</v>
      </c>
      <c r="K668">
        <v>649164</v>
      </c>
      <c r="L668" t="s">
        <v>64</v>
      </c>
      <c r="M668" t="s">
        <v>65</v>
      </c>
      <c r="N668" t="s">
        <v>57</v>
      </c>
      <c r="O668" s="1">
        <v>45383</v>
      </c>
      <c r="Q668" s="1">
        <v>46023</v>
      </c>
      <c r="R668" s="2">
        <v>35.979999999999997</v>
      </c>
      <c r="S668">
        <v>1</v>
      </c>
      <c r="T668" t="s">
        <v>58</v>
      </c>
      <c r="U668" t="s">
        <v>59</v>
      </c>
      <c r="V668" s="4">
        <v>0.06</v>
      </c>
      <c r="W668" s="2">
        <v>0</v>
      </c>
      <c r="X668">
        <v>0</v>
      </c>
      <c r="Y668" t="s">
        <v>60</v>
      </c>
      <c r="Z668" t="s">
        <v>61</v>
      </c>
      <c r="AA668">
        <v>0</v>
      </c>
      <c r="AB668" s="2">
        <v>0</v>
      </c>
      <c r="AC668" s="2">
        <v>0</v>
      </c>
      <c r="AD668" s="4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2.16</v>
      </c>
      <c r="AN668" s="2">
        <v>2.16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45999</v>
      </c>
      <c r="B669" t="s">
        <v>48</v>
      </c>
      <c r="C669">
        <v>649163</v>
      </c>
      <c r="D669">
        <v>2022645069</v>
      </c>
      <c r="E669" t="s">
        <v>798</v>
      </c>
      <c r="F669" t="s">
        <v>827</v>
      </c>
      <c r="G669" t="s">
        <v>51</v>
      </c>
      <c r="H669" t="s">
        <v>52</v>
      </c>
      <c r="I669" t="s">
        <v>86</v>
      </c>
      <c r="J669" t="s">
        <v>87</v>
      </c>
      <c r="K669">
        <v>649247</v>
      </c>
      <c r="L669" t="s">
        <v>187</v>
      </c>
      <c r="M669" t="s">
        <v>188</v>
      </c>
      <c r="N669" t="s">
        <v>57</v>
      </c>
      <c r="O669" s="1">
        <v>45392</v>
      </c>
      <c r="Q669" s="1">
        <v>46032</v>
      </c>
      <c r="R669" s="2">
        <v>39.979999999999997</v>
      </c>
      <c r="S669">
        <v>1</v>
      </c>
      <c r="T669" t="s">
        <v>58</v>
      </c>
      <c r="U669" t="s">
        <v>59</v>
      </c>
      <c r="V669" s="4">
        <v>0.06</v>
      </c>
      <c r="W669" s="2">
        <v>0</v>
      </c>
      <c r="X669">
        <v>0</v>
      </c>
      <c r="Y669" t="s">
        <v>60</v>
      </c>
      <c r="Z669" t="s">
        <v>61</v>
      </c>
      <c r="AA669">
        <v>0</v>
      </c>
      <c r="AB669" s="2">
        <v>0</v>
      </c>
      <c r="AC669" s="2">
        <v>0</v>
      </c>
      <c r="AD669" s="4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2.4</v>
      </c>
      <c r="AN669" s="2">
        <v>2.4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45999</v>
      </c>
      <c r="B670" t="s">
        <v>48</v>
      </c>
      <c r="C670">
        <v>649163</v>
      </c>
      <c r="D670">
        <v>2022747854</v>
      </c>
      <c r="E670" t="s">
        <v>634</v>
      </c>
      <c r="F670" t="s">
        <v>635</v>
      </c>
      <c r="G670" t="s">
        <v>51</v>
      </c>
      <c r="H670" t="s">
        <v>52</v>
      </c>
      <c r="I670" t="s">
        <v>86</v>
      </c>
      <c r="J670" t="s">
        <v>87</v>
      </c>
      <c r="K670">
        <v>751867</v>
      </c>
      <c r="L670" t="s">
        <v>70</v>
      </c>
      <c r="M670" t="s">
        <v>71</v>
      </c>
      <c r="N670" t="s">
        <v>57</v>
      </c>
      <c r="O670" s="1">
        <v>45413</v>
      </c>
      <c r="Q670" s="1">
        <v>46023</v>
      </c>
      <c r="R670" s="2">
        <v>36.11</v>
      </c>
      <c r="S670">
        <v>1</v>
      </c>
      <c r="T670" t="s">
        <v>58</v>
      </c>
      <c r="U670" t="s">
        <v>59</v>
      </c>
      <c r="V670" s="4">
        <v>0.06</v>
      </c>
      <c r="W670" s="2">
        <v>0</v>
      </c>
      <c r="X670">
        <v>0</v>
      </c>
      <c r="Y670" t="s">
        <v>60</v>
      </c>
      <c r="Z670" t="s">
        <v>61</v>
      </c>
      <c r="AA670">
        <v>0</v>
      </c>
      <c r="AB670" s="2">
        <v>0</v>
      </c>
      <c r="AC670" s="2">
        <v>0</v>
      </c>
      <c r="AD670" s="4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2.17</v>
      </c>
      <c r="AN670" s="2">
        <v>2.17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45999</v>
      </c>
      <c r="B671" t="s">
        <v>48</v>
      </c>
      <c r="C671">
        <v>649163</v>
      </c>
      <c r="D671">
        <v>2023048530</v>
      </c>
      <c r="E671" t="s">
        <v>640</v>
      </c>
      <c r="F671" t="s">
        <v>322</v>
      </c>
      <c r="G671" t="s">
        <v>51</v>
      </c>
      <c r="H671" t="s">
        <v>131</v>
      </c>
      <c r="I671" t="s">
        <v>86</v>
      </c>
      <c r="J671" t="s">
        <v>87</v>
      </c>
      <c r="K671">
        <v>751867</v>
      </c>
      <c r="L671" t="s">
        <v>70</v>
      </c>
      <c r="M671" t="s">
        <v>71</v>
      </c>
      <c r="N671" t="s">
        <v>57</v>
      </c>
      <c r="O671" s="1">
        <v>45422</v>
      </c>
      <c r="Q671" s="1">
        <v>46032</v>
      </c>
      <c r="R671" s="2">
        <v>119.64</v>
      </c>
      <c r="S671">
        <v>1</v>
      </c>
      <c r="T671" t="s">
        <v>58</v>
      </c>
      <c r="U671" t="s">
        <v>59</v>
      </c>
      <c r="V671" s="4">
        <v>0.06</v>
      </c>
      <c r="W671" s="2">
        <v>0</v>
      </c>
      <c r="X671">
        <v>0</v>
      </c>
      <c r="Y671" t="s">
        <v>60</v>
      </c>
      <c r="Z671" t="s">
        <v>61</v>
      </c>
      <c r="AA671">
        <v>0</v>
      </c>
      <c r="AB671" s="2">
        <v>0</v>
      </c>
      <c r="AC671" s="2">
        <v>0</v>
      </c>
      <c r="AD671" s="4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7.18</v>
      </c>
      <c r="AN671" s="2">
        <v>7.18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45999</v>
      </c>
      <c r="B672" t="s">
        <v>48</v>
      </c>
      <c r="C672">
        <v>649163</v>
      </c>
      <c r="D672">
        <v>2023217204</v>
      </c>
      <c r="E672" t="s">
        <v>133</v>
      </c>
      <c r="F672" t="s">
        <v>134</v>
      </c>
      <c r="G672" t="s">
        <v>51</v>
      </c>
      <c r="H672" t="s">
        <v>135</v>
      </c>
      <c r="I672" t="s">
        <v>86</v>
      </c>
      <c r="J672" t="s">
        <v>87</v>
      </c>
      <c r="K672">
        <v>673059</v>
      </c>
      <c r="L672" t="s">
        <v>81</v>
      </c>
      <c r="M672" t="s">
        <v>82</v>
      </c>
      <c r="N672" t="s">
        <v>57</v>
      </c>
      <c r="O672" s="1">
        <v>45444</v>
      </c>
      <c r="Q672" s="1">
        <v>46023</v>
      </c>
      <c r="R672" s="2">
        <v>35.39</v>
      </c>
      <c r="S672">
        <v>1</v>
      </c>
      <c r="T672" t="s">
        <v>58</v>
      </c>
      <c r="U672" t="s">
        <v>59</v>
      </c>
      <c r="V672" s="4">
        <v>0.06</v>
      </c>
      <c r="W672" s="2">
        <v>0</v>
      </c>
      <c r="X672">
        <v>0</v>
      </c>
      <c r="Y672" t="s">
        <v>60</v>
      </c>
      <c r="Z672" t="s">
        <v>61</v>
      </c>
      <c r="AA672">
        <v>0</v>
      </c>
      <c r="AB672" s="2">
        <v>0</v>
      </c>
      <c r="AC672" s="2">
        <v>0</v>
      </c>
      <c r="AD672" s="4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2.12</v>
      </c>
      <c r="AN672" s="2">
        <v>2.12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45999</v>
      </c>
      <c r="B673" t="s">
        <v>48</v>
      </c>
      <c r="C673">
        <v>649163</v>
      </c>
      <c r="D673">
        <v>2023294110</v>
      </c>
      <c r="E673" t="s">
        <v>766</v>
      </c>
      <c r="F673" t="s">
        <v>767</v>
      </c>
      <c r="G673" t="s">
        <v>51</v>
      </c>
      <c r="H673" t="s">
        <v>267</v>
      </c>
      <c r="I673" t="s">
        <v>86</v>
      </c>
      <c r="J673" t="s">
        <v>87</v>
      </c>
      <c r="K673">
        <v>651818</v>
      </c>
      <c r="L673" t="s">
        <v>246</v>
      </c>
      <c r="M673" t="s">
        <v>247</v>
      </c>
      <c r="N673" t="s">
        <v>57</v>
      </c>
      <c r="O673" s="1">
        <v>45449</v>
      </c>
      <c r="Q673" s="1">
        <v>46028</v>
      </c>
      <c r="R673" s="2">
        <v>40.07</v>
      </c>
      <c r="S673">
        <v>1</v>
      </c>
      <c r="T673" t="s">
        <v>58</v>
      </c>
      <c r="U673" t="s">
        <v>59</v>
      </c>
      <c r="V673" s="4">
        <v>0.06</v>
      </c>
      <c r="W673" s="2">
        <v>0</v>
      </c>
      <c r="X673">
        <v>0</v>
      </c>
      <c r="Y673" t="s">
        <v>60</v>
      </c>
      <c r="Z673" t="s">
        <v>61</v>
      </c>
      <c r="AA673">
        <v>0</v>
      </c>
      <c r="AB673" s="2">
        <v>0</v>
      </c>
      <c r="AC673" s="2">
        <v>0</v>
      </c>
      <c r="AD673" s="4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2.4</v>
      </c>
      <c r="AN673" s="2">
        <v>2.4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45999</v>
      </c>
      <c r="B674" t="s">
        <v>48</v>
      </c>
      <c r="C674">
        <v>649163</v>
      </c>
      <c r="D674">
        <v>2023372599</v>
      </c>
      <c r="E674" t="s">
        <v>641</v>
      </c>
      <c r="F674" t="s">
        <v>642</v>
      </c>
      <c r="G674" t="s">
        <v>51</v>
      </c>
      <c r="H674" t="s">
        <v>408</v>
      </c>
      <c r="I674" t="s">
        <v>86</v>
      </c>
      <c r="J674" t="s">
        <v>87</v>
      </c>
      <c r="K674">
        <v>650218</v>
      </c>
      <c r="L674" t="s">
        <v>88</v>
      </c>
      <c r="M674" t="s">
        <v>89</v>
      </c>
      <c r="N674" t="s">
        <v>57</v>
      </c>
      <c r="O674" s="1">
        <v>45447</v>
      </c>
      <c r="Q674" s="1">
        <v>46026</v>
      </c>
      <c r="R674" s="2">
        <v>136.15</v>
      </c>
      <c r="S674">
        <v>1</v>
      </c>
      <c r="T674" t="s">
        <v>58</v>
      </c>
      <c r="U674" t="s">
        <v>59</v>
      </c>
      <c r="V674" s="4">
        <v>0.06</v>
      </c>
      <c r="W674" s="2">
        <v>0</v>
      </c>
      <c r="X674">
        <v>0</v>
      </c>
      <c r="Y674" t="s">
        <v>60</v>
      </c>
      <c r="Z674" t="s">
        <v>61</v>
      </c>
      <c r="AA674">
        <v>0</v>
      </c>
      <c r="AB674" s="2">
        <v>0</v>
      </c>
      <c r="AC674" s="2">
        <v>0</v>
      </c>
      <c r="AD674" s="4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8.17</v>
      </c>
      <c r="AN674" s="2">
        <v>8.17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45999</v>
      </c>
      <c r="B675" t="s">
        <v>48</v>
      </c>
      <c r="C675">
        <v>649163</v>
      </c>
      <c r="D675">
        <v>2023399790</v>
      </c>
      <c r="E675" t="s">
        <v>970</v>
      </c>
      <c r="F675" t="s">
        <v>71</v>
      </c>
      <c r="G675" t="s">
        <v>51</v>
      </c>
      <c r="H675" t="s">
        <v>102</v>
      </c>
      <c r="I675" t="s">
        <v>86</v>
      </c>
      <c r="J675" t="s">
        <v>87</v>
      </c>
      <c r="K675">
        <v>651818</v>
      </c>
      <c r="L675" t="s">
        <v>246</v>
      </c>
      <c r="M675" t="s">
        <v>247</v>
      </c>
      <c r="N675" t="s">
        <v>57</v>
      </c>
      <c r="O675" s="1">
        <v>45449</v>
      </c>
      <c r="Q675" s="1">
        <v>46028</v>
      </c>
      <c r="R675" s="2">
        <v>67.84</v>
      </c>
      <c r="S675">
        <v>1</v>
      </c>
      <c r="T675" t="s">
        <v>58</v>
      </c>
      <c r="U675" t="s">
        <v>59</v>
      </c>
      <c r="V675" s="4">
        <v>0.06</v>
      </c>
      <c r="W675" s="2">
        <v>0</v>
      </c>
      <c r="X675">
        <v>0</v>
      </c>
      <c r="Y675" t="s">
        <v>60</v>
      </c>
      <c r="Z675" t="s">
        <v>61</v>
      </c>
      <c r="AA675">
        <v>0</v>
      </c>
      <c r="AB675" s="2">
        <v>0</v>
      </c>
      <c r="AC675" s="2">
        <v>0</v>
      </c>
      <c r="AD675" s="4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4.07</v>
      </c>
      <c r="AN675" s="2">
        <v>4.07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45999</v>
      </c>
      <c r="B676" t="s">
        <v>48</v>
      </c>
      <c r="C676">
        <v>649163</v>
      </c>
      <c r="D676">
        <v>2024178503</v>
      </c>
      <c r="E676" t="s">
        <v>971</v>
      </c>
      <c r="F676" t="s">
        <v>972</v>
      </c>
      <c r="G676" t="s">
        <v>51</v>
      </c>
      <c r="H676" t="s">
        <v>102</v>
      </c>
      <c r="I676" t="s">
        <v>86</v>
      </c>
      <c r="J676" t="s">
        <v>87</v>
      </c>
      <c r="K676">
        <v>766747</v>
      </c>
      <c r="L676" t="s">
        <v>504</v>
      </c>
      <c r="M676" t="s">
        <v>182</v>
      </c>
      <c r="N676" t="s">
        <v>57</v>
      </c>
      <c r="O676" s="1">
        <v>45510</v>
      </c>
      <c r="Q676" s="1">
        <v>46028</v>
      </c>
      <c r="R676" s="2">
        <v>80.16</v>
      </c>
      <c r="S676">
        <v>1</v>
      </c>
      <c r="T676" t="s">
        <v>58</v>
      </c>
      <c r="U676" t="s">
        <v>59</v>
      </c>
      <c r="V676" s="4">
        <v>0.06</v>
      </c>
      <c r="W676" s="2">
        <v>0</v>
      </c>
      <c r="X676">
        <v>0</v>
      </c>
      <c r="Y676" t="s">
        <v>60</v>
      </c>
      <c r="Z676" t="s">
        <v>61</v>
      </c>
      <c r="AA676">
        <v>0</v>
      </c>
      <c r="AB676" s="2">
        <v>0</v>
      </c>
      <c r="AC676" s="2">
        <v>0</v>
      </c>
      <c r="AD676" s="4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4.8099999999999996</v>
      </c>
      <c r="AN676" s="2">
        <v>4.8099999999999996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45999</v>
      </c>
      <c r="B677" t="s">
        <v>48</v>
      </c>
      <c r="C677">
        <v>649163</v>
      </c>
      <c r="D677">
        <v>2024197969</v>
      </c>
      <c r="E677" t="s">
        <v>973</v>
      </c>
      <c r="F677" t="s">
        <v>974</v>
      </c>
      <c r="G677" t="s">
        <v>51</v>
      </c>
      <c r="H677" t="s">
        <v>102</v>
      </c>
      <c r="I677" t="s">
        <v>86</v>
      </c>
      <c r="J677" t="s">
        <v>87</v>
      </c>
      <c r="K677">
        <v>766747</v>
      </c>
      <c r="L677" t="s">
        <v>504</v>
      </c>
      <c r="M677" t="s">
        <v>182</v>
      </c>
      <c r="N677" t="s">
        <v>57</v>
      </c>
      <c r="O677" s="1">
        <v>45541</v>
      </c>
      <c r="Q677" s="1">
        <v>46028</v>
      </c>
      <c r="R677" s="2">
        <v>18.72</v>
      </c>
      <c r="S677">
        <v>1</v>
      </c>
      <c r="T677" t="s">
        <v>58</v>
      </c>
      <c r="U677" t="s">
        <v>59</v>
      </c>
      <c r="V677" s="4">
        <v>0.06</v>
      </c>
      <c r="W677" s="2">
        <v>0</v>
      </c>
      <c r="X677">
        <v>0</v>
      </c>
      <c r="Y677" t="s">
        <v>60</v>
      </c>
      <c r="Z677" t="s">
        <v>61</v>
      </c>
      <c r="AA677">
        <v>0</v>
      </c>
      <c r="AB677" s="2">
        <v>0</v>
      </c>
      <c r="AC677" s="2">
        <v>0</v>
      </c>
      <c r="AD677" s="4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1.1200000000000001</v>
      </c>
      <c r="AN677" s="2">
        <v>1.1200000000000001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45999</v>
      </c>
      <c r="B678" t="s">
        <v>48</v>
      </c>
      <c r="C678">
        <v>649163</v>
      </c>
      <c r="D678">
        <v>2024320117</v>
      </c>
      <c r="E678" t="s">
        <v>643</v>
      </c>
      <c r="F678" t="s">
        <v>137</v>
      </c>
      <c r="G678" t="s">
        <v>51</v>
      </c>
      <c r="H678" t="s">
        <v>52</v>
      </c>
      <c r="I678" t="s">
        <v>86</v>
      </c>
      <c r="J678" t="s">
        <v>87</v>
      </c>
      <c r="K678">
        <v>650218</v>
      </c>
      <c r="L678" t="s">
        <v>88</v>
      </c>
      <c r="M678" t="s">
        <v>89</v>
      </c>
      <c r="N678" t="s">
        <v>57</v>
      </c>
      <c r="O678" s="1">
        <v>45514</v>
      </c>
      <c r="Q678" s="1">
        <v>46032</v>
      </c>
      <c r="R678" s="2">
        <v>44.21</v>
      </c>
      <c r="S678">
        <v>1</v>
      </c>
      <c r="T678" t="s">
        <v>58</v>
      </c>
      <c r="U678" t="s">
        <v>59</v>
      </c>
      <c r="V678" s="4">
        <v>0.06</v>
      </c>
      <c r="W678" s="2">
        <v>0</v>
      </c>
      <c r="X678">
        <v>0</v>
      </c>
      <c r="Y678" t="s">
        <v>60</v>
      </c>
      <c r="Z678" t="s">
        <v>61</v>
      </c>
      <c r="AA678">
        <v>0</v>
      </c>
      <c r="AB678" s="2">
        <v>0</v>
      </c>
      <c r="AC678" s="2">
        <v>0</v>
      </c>
      <c r="AD678" s="4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2.65</v>
      </c>
      <c r="AN678" s="2">
        <v>2.65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45999</v>
      </c>
      <c r="B679" t="s">
        <v>48</v>
      </c>
      <c r="C679">
        <v>649163</v>
      </c>
      <c r="D679">
        <v>2024630487</v>
      </c>
      <c r="E679" t="s">
        <v>975</v>
      </c>
      <c r="F679" t="s">
        <v>264</v>
      </c>
      <c r="G679" t="s">
        <v>51</v>
      </c>
      <c r="H679" t="s">
        <v>102</v>
      </c>
      <c r="I679" t="s">
        <v>86</v>
      </c>
      <c r="J679" t="s">
        <v>87</v>
      </c>
      <c r="K679">
        <v>766747</v>
      </c>
      <c r="L679" t="s">
        <v>504</v>
      </c>
      <c r="M679" t="s">
        <v>182</v>
      </c>
      <c r="N679" t="s">
        <v>57</v>
      </c>
      <c r="O679" s="1">
        <v>45541</v>
      </c>
      <c r="Q679" s="1">
        <v>46028</v>
      </c>
      <c r="R679" s="2">
        <v>90.98</v>
      </c>
      <c r="S679">
        <v>1</v>
      </c>
      <c r="T679" t="s">
        <v>58</v>
      </c>
      <c r="U679" t="s">
        <v>59</v>
      </c>
      <c r="V679" s="4">
        <v>0.06</v>
      </c>
      <c r="W679" s="2">
        <v>0</v>
      </c>
      <c r="X679">
        <v>0</v>
      </c>
      <c r="Y679" t="s">
        <v>60</v>
      </c>
      <c r="Z679" t="s">
        <v>61</v>
      </c>
      <c r="AA679">
        <v>0</v>
      </c>
      <c r="AB679" s="2">
        <v>0</v>
      </c>
      <c r="AC679" s="2">
        <v>0</v>
      </c>
      <c r="AD679" s="4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5.46</v>
      </c>
      <c r="AN679" s="2">
        <v>5.46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45999</v>
      </c>
      <c r="B680" t="s">
        <v>48</v>
      </c>
      <c r="C680">
        <v>649163</v>
      </c>
      <c r="D680">
        <v>2024639374</v>
      </c>
      <c r="E680" t="s">
        <v>584</v>
      </c>
      <c r="F680" t="s">
        <v>976</v>
      </c>
      <c r="G680" t="s">
        <v>51</v>
      </c>
      <c r="H680" t="s">
        <v>585</v>
      </c>
      <c r="I680" t="s">
        <v>86</v>
      </c>
      <c r="J680" t="s">
        <v>87</v>
      </c>
      <c r="K680">
        <v>650218</v>
      </c>
      <c r="L680" t="s">
        <v>88</v>
      </c>
      <c r="M680" t="s">
        <v>89</v>
      </c>
      <c r="N680" t="s">
        <v>57</v>
      </c>
      <c r="O680" s="1">
        <v>45536</v>
      </c>
      <c r="Q680" s="1">
        <v>46023</v>
      </c>
      <c r="R680" s="2">
        <v>-88.88</v>
      </c>
      <c r="S680">
        <v>1</v>
      </c>
      <c r="T680" t="s">
        <v>58</v>
      </c>
      <c r="U680" t="s">
        <v>59</v>
      </c>
      <c r="V680" s="4">
        <v>0.06</v>
      </c>
      <c r="W680" s="2">
        <v>0</v>
      </c>
      <c r="X680">
        <v>-1</v>
      </c>
      <c r="Y680" t="s">
        <v>60</v>
      </c>
      <c r="Z680" t="s">
        <v>61</v>
      </c>
      <c r="AA680">
        <v>0</v>
      </c>
      <c r="AB680" s="2">
        <v>0</v>
      </c>
      <c r="AC680" s="2">
        <v>0</v>
      </c>
      <c r="AD680" s="4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-5.33</v>
      </c>
      <c r="AN680" s="2">
        <v>-5.33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45999</v>
      </c>
      <c r="B681" t="s">
        <v>48</v>
      </c>
      <c r="C681">
        <v>649163</v>
      </c>
      <c r="D681">
        <v>2024779716</v>
      </c>
      <c r="E681" t="s">
        <v>977</v>
      </c>
      <c r="F681" t="s">
        <v>978</v>
      </c>
      <c r="G681" t="s">
        <v>51</v>
      </c>
      <c r="H681" t="s">
        <v>52</v>
      </c>
      <c r="I681" t="s">
        <v>86</v>
      </c>
      <c r="J681" t="s">
        <v>87</v>
      </c>
      <c r="K681">
        <v>728134</v>
      </c>
      <c r="L681" t="s">
        <v>183</v>
      </c>
      <c r="M681" t="s">
        <v>184</v>
      </c>
      <c r="N681" t="s">
        <v>57</v>
      </c>
      <c r="O681" s="1">
        <v>45545</v>
      </c>
      <c r="Q681" s="1">
        <v>46032</v>
      </c>
      <c r="R681" s="2">
        <v>49.98</v>
      </c>
      <c r="S681">
        <v>1</v>
      </c>
      <c r="T681" t="s">
        <v>58</v>
      </c>
      <c r="U681" t="s">
        <v>59</v>
      </c>
      <c r="V681" s="4">
        <v>0.06</v>
      </c>
      <c r="W681" s="2">
        <v>0</v>
      </c>
      <c r="X681">
        <v>0</v>
      </c>
      <c r="Y681" t="s">
        <v>60</v>
      </c>
      <c r="Z681" t="s">
        <v>61</v>
      </c>
      <c r="AA681">
        <v>0</v>
      </c>
      <c r="AB681" s="2">
        <v>0</v>
      </c>
      <c r="AC681" s="2">
        <v>0</v>
      </c>
      <c r="AD681" s="4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3</v>
      </c>
      <c r="AN681" s="2">
        <v>3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45999</v>
      </c>
      <c r="B682" t="s">
        <v>48</v>
      </c>
      <c r="C682">
        <v>649163</v>
      </c>
      <c r="D682">
        <v>2024899509</v>
      </c>
      <c r="E682" t="s">
        <v>979</v>
      </c>
      <c r="F682" t="s">
        <v>980</v>
      </c>
      <c r="G682" t="s">
        <v>51</v>
      </c>
      <c r="H682" t="s">
        <v>408</v>
      </c>
      <c r="I682" t="s">
        <v>86</v>
      </c>
      <c r="J682" t="s">
        <v>87</v>
      </c>
      <c r="K682">
        <v>651818</v>
      </c>
      <c r="L682" t="s">
        <v>246</v>
      </c>
      <c r="M682" t="s">
        <v>247</v>
      </c>
      <c r="N682" t="s">
        <v>57</v>
      </c>
      <c r="O682" s="1">
        <v>45571</v>
      </c>
      <c r="Q682" s="1">
        <v>46028</v>
      </c>
      <c r="R682" s="2">
        <v>49.55</v>
      </c>
      <c r="S682">
        <v>1</v>
      </c>
      <c r="T682" t="s">
        <v>58</v>
      </c>
      <c r="U682" t="s">
        <v>59</v>
      </c>
      <c r="V682" s="4">
        <v>0.06</v>
      </c>
      <c r="W682" s="2">
        <v>0</v>
      </c>
      <c r="X682">
        <v>0</v>
      </c>
      <c r="Y682" t="s">
        <v>60</v>
      </c>
      <c r="Z682" t="s">
        <v>61</v>
      </c>
      <c r="AA682">
        <v>0</v>
      </c>
      <c r="AB682" s="2">
        <v>0</v>
      </c>
      <c r="AC682" s="2">
        <v>0</v>
      </c>
      <c r="AD682" s="4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2.97</v>
      </c>
      <c r="AN682" s="2">
        <v>2.97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45999</v>
      </c>
      <c r="B683" t="s">
        <v>48</v>
      </c>
      <c r="C683">
        <v>649163</v>
      </c>
      <c r="D683">
        <v>2024984936</v>
      </c>
      <c r="E683" t="s">
        <v>981</v>
      </c>
      <c r="F683" t="s">
        <v>982</v>
      </c>
      <c r="G683" t="s">
        <v>51</v>
      </c>
      <c r="H683" t="s">
        <v>102</v>
      </c>
      <c r="I683" t="s">
        <v>86</v>
      </c>
      <c r="J683" t="s">
        <v>87</v>
      </c>
      <c r="K683">
        <v>673059</v>
      </c>
      <c r="L683" t="s">
        <v>81</v>
      </c>
      <c r="M683" t="s">
        <v>82</v>
      </c>
      <c r="N683" t="s">
        <v>57</v>
      </c>
      <c r="O683" s="1">
        <v>45575</v>
      </c>
      <c r="Q683" s="1">
        <v>46032</v>
      </c>
      <c r="R683" s="2">
        <v>107.98</v>
      </c>
      <c r="S683">
        <v>1</v>
      </c>
      <c r="T683" t="s">
        <v>58</v>
      </c>
      <c r="U683" t="s">
        <v>59</v>
      </c>
      <c r="V683" s="4">
        <v>0.06</v>
      </c>
      <c r="W683" s="2">
        <v>0</v>
      </c>
      <c r="X683">
        <v>0</v>
      </c>
      <c r="Y683" t="s">
        <v>60</v>
      </c>
      <c r="Z683" t="s">
        <v>61</v>
      </c>
      <c r="AA683">
        <v>0</v>
      </c>
      <c r="AB683" s="2">
        <v>0</v>
      </c>
      <c r="AC683" s="2">
        <v>0</v>
      </c>
      <c r="AD683" s="4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6.48</v>
      </c>
      <c r="AN683" s="2">
        <v>6.48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45999</v>
      </c>
      <c r="B684" t="s">
        <v>48</v>
      </c>
      <c r="C684">
        <v>649163</v>
      </c>
      <c r="D684">
        <v>2025031268</v>
      </c>
      <c r="E684" t="s">
        <v>983</v>
      </c>
      <c r="F684" t="s">
        <v>984</v>
      </c>
      <c r="G684" t="s">
        <v>51</v>
      </c>
      <c r="H684" t="s">
        <v>102</v>
      </c>
      <c r="I684" t="s">
        <v>86</v>
      </c>
      <c r="J684" t="s">
        <v>87</v>
      </c>
      <c r="K684">
        <v>766747</v>
      </c>
      <c r="L684" t="s">
        <v>504</v>
      </c>
      <c r="M684" t="s">
        <v>182</v>
      </c>
      <c r="N684" t="s">
        <v>57</v>
      </c>
      <c r="O684" s="1">
        <v>45571</v>
      </c>
      <c r="Q684" s="1">
        <v>46028</v>
      </c>
      <c r="R684" s="2">
        <v>47.56</v>
      </c>
      <c r="S684">
        <v>1</v>
      </c>
      <c r="T684" t="s">
        <v>58</v>
      </c>
      <c r="U684" t="s">
        <v>59</v>
      </c>
      <c r="V684" s="4">
        <v>0.06</v>
      </c>
      <c r="W684" s="2">
        <v>0</v>
      </c>
      <c r="X684">
        <v>0</v>
      </c>
      <c r="Y684" t="s">
        <v>60</v>
      </c>
      <c r="Z684" t="s">
        <v>61</v>
      </c>
      <c r="AA684">
        <v>0</v>
      </c>
      <c r="AB684" s="2">
        <v>0</v>
      </c>
      <c r="AC684" s="2">
        <v>0</v>
      </c>
      <c r="AD684" s="4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2.85</v>
      </c>
      <c r="AN684" s="2">
        <v>2.85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45999</v>
      </c>
      <c r="B685" t="s">
        <v>48</v>
      </c>
      <c r="C685">
        <v>649163</v>
      </c>
      <c r="D685">
        <v>2025041360</v>
      </c>
      <c r="E685" t="s">
        <v>985</v>
      </c>
      <c r="F685" t="s">
        <v>986</v>
      </c>
      <c r="G685" t="s">
        <v>51</v>
      </c>
      <c r="H685" t="s">
        <v>135</v>
      </c>
      <c r="I685" t="s">
        <v>86</v>
      </c>
      <c r="J685" t="s">
        <v>87</v>
      </c>
      <c r="K685">
        <v>673059</v>
      </c>
      <c r="L685" t="s">
        <v>81</v>
      </c>
      <c r="M685" t="s">
        <v>82</v>
      </c>
      <c r="N685" t="s">
        <v>57</v>
      </c>
      <c r="O685" s="1">
        <v>45566</v>
      </c>
      <c r="Q685" s="1">
        <v>46023</v>
      </c>
      <c r="R685" s="2">
        <v>-35.39</v>
      </c>
      <c r="S685">
        <v>1</v>
      </c>
      <c r="T685" t="s">
        <v>58</v>
      </c>
      <c r="U685" t="s">
        <v>59</v>
      </c>
      <c r="V685" s="4">
        <v>0.06</v>
      </c>
      <c r="W685" s="2">
        <v>0</v>
      </c>
      <c r="X685">
        <v>-1</v>
      </c>
      <c r="Y685" t="s">
        <v>60</v>
      </c>
      <c r="Z685" t="s">
        <v>61</v>
      </c>
      <c r="AA685">
        <v>0</v>
      </c>
      <c r="AB685" s="2">
        <v>0</v>
      </c>
      <c r="AC685" s="2">
        <v>0</v>
      </c>
      <c r="AD685" s="4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-2.12</v>
      </c>
      <c r="AN685" s="2">
        <v>-2.12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45999</v>
      </c>
      <c r="B686" t="s">
        <v>48</v>
      </c>
      <c r="C686">
        <v>649163</v>
      </c>
      <c r="D686">
        <v>2025254889</v>
      </c>
      <c r="E686" t="s">
        <v>779</v>
      </c>
      <c r="F686" t="s">
        <v>780</v>
      </c>
      <c r="G686" t="s">
        <v>51</v>
      </c>
      <c r="H686" t="s">
        <v>386</v>
      </c>
      <c r="I686" t="s">
        <v>86</v>
      </c>
      <c r="J686" t="s">
        <v>87</v>
      </c>
      <c r="K686">
        <v>767312</v>
      </c>
      <c r="L686" t="s">
        <v>138</v>
      </c>
      <c r="M686" t="s">
        <v>107</v>
      </c>
      <c r="N686" t="s">
        <v>94</v>
      </c>
      <c r="O686" s="1">
        <v>45576</v>
      </c>
      <c r="P686" s="1">
        <v>45999</v>
      </c>
      <c r="Q686" s="1">
        <v>46002</v>
      </c>
      <c r="R686" s="2">
        <v>-4.71</v>
      </c>
      <c r="S686">
        <v>1</v>
      </c>
      <c r="T686" t="s">
        <v>58</v>
      </c>
      <c r="U686" t="s">
        <v>59</v>
      </c>
      <c r="V686" s="4">
        <v>0.06</v>
      </c>
      <c r="W686" s="2">
        <v>0</v>
      </c>
      <c r="X686">
        <v>-1</v>
      </c>
      <c r="Y686" t="s">
        <v>60</v>
      </c>
      <c r="Z686" t="s">
        <v>61</v>
      </c>
      <c r="AA686">
        <v>0</v>
      </c>
      <c r="AB686" s="2">
        <v>0</v>
      </c>
      <c r="AC686" s="2">
        <v>0</v>
      </c>
      <c r="AD686" s="4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-0.28000000000000003</v>
      </c>
      <c r="AN686" s="2">
        <v>-0.28000000000000003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45999</v>
      </c>
      <c r="B687" t="s">
        <v>48</v>
      </c>
      <c r="C687">
        <v>649163</v>
      </c>
      <c r="D687">
        <v>2025287064</v>
      </c>
      <c r="E687" t="s">
        <v>782</v>
      </c>
      <c r="F687" t="s">
        <v>783</v>
      </c>
      <c r="G687" t="s">
        <v>51</v>
      </c>
      <c r="H687" t="s">
        <v>79</v>
      </c>
      <c r="I687" t="s">
        <v>86</v>
      </c>
      <c r="J687" t="s">
        <v>87</v>
      </c>
      <c r="K687">
        <v>767312</v>
      </c>
      <c r="L687" t="s">
        <v>138</v>
      </c>
      <c r="M687" t="s">
        <v>107</v>
      </c>
      <c r="N687" t="s">
        <v>57</v>
      </c>
      <c r="O687" s="1">
        <v>45577</v>
      </c>
      <c r="Q687" s="1">
        <v>46034</v>
      </c>
      <c r="R687" s="2">
        <v>18.25</v>
      </c>
      <c r="S687">
        <v>1</v>
      </c>
      <c r="T687" t="s">
        <v>58</v>
      </c>
      <c r="U687" t="s">
        <v>59</v>
      </c>
      <c r="V687" s="4">
        <v>0.06</v>
      </c>
      <c r="W687" s="2">
        <v>0</v>
      </c>
      <c r="X687">
        <v>0</v>
      </c>
      <c r="Y687" t="s">
        <v>60</v>
      </c>
      <c r="Z687" t="s">
        <v>61</v>
      </c>
      <c r="AA687">
        <v>0</v>
      </c>
      <c r="AB687" s="2">
        <v>0</v>
      </c>
      <c r="AC687" s="2">
        <v>0</v>
      </c>
      <c r="AD687" s="4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1.1000000000000001</v>
      </c>
      <c r="AN687" s="2">
        <v>1.1000000000000001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45999</v>
      </c>
      <c r="B688" t="s">
        <v>48</v>
      </c>
      <c r="C688">
        <v>649163</v>
      </c>
      <c r="D688">
        <v>2025660999</v>
      </c>
      <c r="E688" t="s">
        <v>987</v>
      </c>
      <c r="F688" t="s">
        <v>786</v>
      </c>
      <c r="G688" t="s">
        <v>51</v>
      </c>
      <c r="H688" t="s">
        <v>210</v>
      </c>
      <c r="I688" t="s">
        <v>86</v>
      </c>
      <c r="J688" t="s">
        <v>87</v>
      </c>
      <c r="K688">
        <v>673059</v>
      </c>
      <c r="L688" t="s">
        <v>81</v>
      </c>
      <c r="M688" t="s">
        <v>82</v>
      </c>
      <c r="N688" t="s">
        <v>57</v>
      </c>
      <c r="O688" s="1">
        <v>45665</v>
      </c>
      <c r="Q688" s="1">
        <v>46030</v>
      </c>
      <c r="R688" s="2">
        <v>89.53</v>
      </c>
      <c r="S688">
        <v>1</v>
      </c>
      <c r="T688" t="s">
        <v>58</v>
      </c>
      <c r="U688" t="s">
        <v>59</v>
      </c>
      <c r="V688" s="3">
        <v>0.375</v>
      </c>
      <c r="W688" s="2">
        <v>0</v>
      </c>
      <c r="X688">
        <v>0</v>
      </c>
      <c r="Y688" t="s">
        <v>83</v>
      </c>
      <c r="Z688" t="s">
        <v>61</v>
      </c>
      <c r="AA688">
        <v>0</v>
      </c>
      <c r="AB688" s="2">
        <v>0</v>
      </c>
      <c r="AC688" s="2">
        <v>0</v>
      </c>
      <c r="AD688" s="4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33.57</v>
      </c>
      <c r="AN688" s="2">
        <v>33.57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45999</v>
      </c>
      <c r="B689" t="s">
        <v>48</v>
      </c>
      <c r="C689">
        <v>649163</v>
      </c>
      <c r="D689">
        <v>2025677957</v>
      </c>
      <c r="E689" t="s">
        <v>988</v>
      </c>
      <c r="F689" t="s">
        <v>989</v>
      </c>
      <c r="G689" t="s">
        <v>51</v>
      </c>
      <c r="H689" t="s">
        <v>357</v>
      </c>
      <c r="I689" t="s">
        <v>86</v>
      </c>
      <c r="J689" t="s">
        <v>87</v>
      </c>
      <c r="K689">
        <v>767312</v>
      </c>
      <c r="L689" t="s">
        <v>138</v>
      </c>
      <c r="M689" t="s">
        <v>107</v>
      </c>
      <c r="N689" t="s">
        <v>57</v>
      </c>
      <c r="O689" s="1">
        <v>45604</v>
      </c>
      <c r="Q689" s="1">
        <v>46030</v>
      </c>
      <c r="R689" s="2">
        <v>24.36</v>
      </c>
      <c r="S689">
        <v>1</v>
      </c>
      <c r="T689" t="s">
        <v>58</v>
      </c>
      <c r="U689" t="s">
        <v>59</v>
      </c>
      <c r="V689" s="4">
        <v>0.06</v>
      </c>
      <c r="W689" s="2">
        <v>0</v>
      </c>
      <c r="X689">
        <v>0</v>
      </c>
      <c r="Y689" t="s">
        <v>60</v>
      </c>
      <c r="Z689" t="s">
        <v>61</v>
      </c>
      <c r="AA689">
        <v>0</v>
      </c>
      <c r="AB689" s="2">
        <v>0</v>
      </c>
      <c r="AC689" s="2">
        <v>0</v>
      </c>
      <c r="AD689" s="4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1.46</v>
      </c>
      <c r="AN689" s="2">
        <v>1.46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45999</v>
      </c>
      <c r="B690" t="s">
        <v>48</v>
      </c>
      <c r="C690">
        <v>649163</v>
      </c>
      <c r="D690">
        <v>2025687269</v>
      </c>
      <c r="E690" t="s">
        <v>990</v>
      </c>
      <c r="F690" t="s">
        <v>991</v>
      </c>
      <c r="G690" t="s">
        <v>51</v>
      </c>
      <c r="H690" t="s">
        <v>125</v>
      </c>
      <c r="I690" t="s">
        <v>86</v>
      </c>
      <c r="J690" t="s">
        <v>87</v>
      </c>
      <c r="K690">
        <v>767312</v>
      </c>
      <c r="L690" t="s">
        <v>138</v>
      </c>
      <c r="M690" t="s">
        <v>107</v>
      </c>
      <c r="N690" t="s">
        <v>57</v>
      </c>
      <c r="O690" s="1">
        <v>45605</v>
      </c>
      <c r="Q690" s="1">
        <v>46031</v>
      </c>
      <c r="R690" s="2">
        <v>28.87</v>
      </c>
      <c r="S690">
        <v>1</v>
      </c>
      <c r="T690" t="s">
        <v>58</v>
      </c>
      <c r="U690" t="s">
        <v>59</v>
      </c>
      <c r="V690" s="4">
        <v>0.06</v>
      </c>
      <c r="W690" s="2">
        <v>0</v>
      </c>
      <c r="X690">
        <v>0</v>
      </c>
      <c r="Y690" t="s">
        <v>60</v>
      </c>
      <c r="Z690" t="s">
        <v>61</v>
      </c>
      <c r="AA690">
        <v>0</v>
      </c>
      <c r="AB690" s="2">
        <v>0</v>
      </c>
      <c r="AC690" s="2">
        <v>0</v>
      </c>
      <c r="AD690" s="4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1.73</v>
      </c>
      <c r="AN690" s="2">
        <v>1.73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45999</v>
      </c>
      <c r="B691" t="s">
        <v>48</v>
      </c>
      <c r="C691">
        <v>649163</v>
      </c>
      <c r="D691">
        <v>2025698057</v>
      </c>
      <c r="E691" t="s">
        <v>56</v>
      </c>
      <c r="F691" t="s">
        <v>659</v>
      </c>
      <c r="G691" t="s">
        <v>51</v>
      </c>
      <c r="H691" t="s">
        <v>125</v>
      </c>
      <c r="I691" t="s">
        <v>86</v>
      </c>
      <c r="J691" t="s">
        <v>87</v>
      </c>
      <c r="K691">
        <v>650218</v>
      </c>
      <c r="L691" t="s">
        <v>88</v>
      </c>
      <c r="M691" t="s">
        <v>89</v>
      </c>
      <c r="N691" t="s">
        <v>57</v>
      </c>
      <c r="O691" s="1">
        <v>45605</v>
      </c>
      <c r="Q691" s="1">
        <v>46031</v>
      </c>
      <c r="R691" s="2">
        <v>36.119999999999997</v>
      </c>
      <c r="S691">
        <v>1</v>
      </c>
      <c r="T691" t="s">
        <v>58</v>
      </c>
      <c r="U691" t="s">
        <v>59</v>
      </c>
      <c r="V691" s="4">
        <v>0.06</v>
      </c>
      <c r="W691" s="2">
        <v>0</v>
      </c>
      <c r="X691">
        <v>0</v>
      </c>
      <c r="Y691" t="s">
        <v>60</v>
      </c>
      <c r="Z691" t="s">
        <v>61</v>
      </c>
      <c r="AA691">
        <v>0</v>
      </c>
      <c r="AB691" s="2">
        <v>0</v>
      </c>
      <c r="AC691" s="2">
        <v>0</v>
      </c>
      <c r="AD691" s="4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2.17</v>
      </c>
      <c r="AN691" s="2">
        <v>2.17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45999</v>
      </c>
      <c r="B692" t="s">
        <v>48</v>
      </c>
      <c r="C692">
        <v>649163</v>
      </c>
      <c r="D692">
        <v>2025703126</v>
      </c>
      <c r="E692" t="s">
        <v>992</v>
      </c>
      <c r="F692" t="s">
        <v>993</v>
      </c>
      <c r="G692" t="s">
        <v>51</v>
      </c>
      <c r="H692" t="s">
        <v>79</v>
      </c>
      <c r="I692" t="s">
        <v>86</v>
      </c>
      <c r="J692" t="s">
        <v>87</v>
      </c>
      <c r="K692">
        <v>767312</v>
      </c>
      <c r="L692" t="s">
        <v>138</v>
      </c>
      <c r="M692" t="s">
        <v>107</v>
      </c>
      <c r="N692" t="s">
        <v>57</v>
      </c>
      <c r="O692" s="1">
        <v>45606</v>
      </c>
      <c r="Q692" s="1">
        <v>46032</v>
      </c>
      <c r="R692" s="2">
        <v>21.47</v>
      </c>
      <c r="S692">
        <v>1</v>
      </c>
      <c r="T692" t="s">
        <v>58</v>
      </c>
      <c r="U692" t="s">
        <v>59</v>
      </c>
      <c r="V692" s="4">
        <v>0.06</v>
      </c>
      <c r="W692" s="2">
        <v>0</v>
      </c>
      <c r="X692">
        <v>0</v>
      </c>
      <c r="Y692" t="s">
        <v>60</v>
      </c>
      <c r="Z692" t="s">
        <v>61</v>
      </c>
      <c r="AA692">
        <v>0</v>
      </c>
      <c r="AB692" s="2">
        <v>0</v>
      </c>
      <c r="AC692" s="2">
        <v>0</v>
      </c>
      <c r="AD692" s="4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1.29</v>
      </c>
      <c r="AN692" s="2">
        <v>1.29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45999</v>
      </c>
      <c r="B693" t="s">
        <v>48</v>
      </c>
      <c r="C693">
        <v>649163</v>
      </c>
      <c r="D693">
        <v>2025724990</v>
      </c>
      <c r="E693" t="s">
        <v>994</v>
      </c>
      <c r="F693" t="s">
        <v>995</v>
      </c>
      <c r="G693" t="s">
        <v>51</v>
      </c>
      <c r="H693" t="s">
        <v>509</v>
      </c>
      <c r="I693" t="s">
        <v>86</v>
      </c>
      <c r="J693" t="s">
        <v>87</v>
      </c>
      <c r="K693">
        <v>756418</v>
      </c>
      <c r="L693" t="s">
        <v>409</v>
      </c>
      <c r="M693" t="s">
        <v>410</v>
      </c>
      <c r="N693" t="s">
        <v>57</v>
      </c>
      <c r="O693" s="1">
        <v>45608</v>
      </c>
      <c r="Q693" s="1">
        <v>46034</v>
      </c>
      <c r="R693" s="2">
        <v>94.25</v>
      </c>
      <c r="S693">
        <v>1</v>
      </c>
      <c r="T693" t="s">
        <v>58</v>
      </c>
      <c r="U693" t="s">
        <v>59</v>
      </c>
      <c r="V693" s="4">
        <v>0.06</v>
      </c>
      <c r="W693" s="2">
        <v>0</v>
      </c>
      <c r="X693">
        <v>0</v>
      </c>
      <c r="Y693" t="s">
        <v>60</v>
      </c>
      <c r="Z693" t="s">
        <v>61</v>
      </c>
      <c r="AA693">
        <v>0</v>
      </c>
      <c r="AB693" s="2">
        <v>0</v>
      </c>
      <c r="AC693" s="2">
        <v>0</v>
      </c>
      <c r="AD693" s="4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5.66</v>
      </c>
      <c r="AN693" s="2">
        <v>5.66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45999</v>
      </c>
      <c r="B694" t="s">
        <v>48</v>
      </c>
      <c r="C694">
        <v>649163</v>
      </c>
      <c r="D694">
        <v>2025732434</v>
      </c>
      <c r="E694" t="s">
        <v>404</v>
      </c>
      <c r="F694" t="s">
        <v>184</v>
      </c>
      <c r="G694" t="s">
        <v>51</v>
      </c>
      <c r="H694" t="s">
        <v>408</v>
      </c>
      <c r="I694" t="s">
        <v>86</v>
      </c>
      <c r="J694" t="s">
        <v>87</v>
      </c>
      <c r="K694">
        <v>651818</v>
      </c>
      <c r="L694" t="s">
        <v>246</v>
      </c>
      <c r="M694" t="s">
        <v>247</v>
      </c>
      <c r="N694" t="s">
        <v>57</v>
      </c>
      <c r="O694" s="1">
        <v>45664</v>
      </c>
      <c r="Q694" s="1">
        <v>46029</v>
      </c>
      <c r="R694" s="2">
        <v>103.36</v>
      </c>
      <c r="S694">
        <v>1</v>
      </c>
      <c r="T694" t="s">
        <v>58</v>
      </c>
      <c r="U694" t="s">
        <v>59</v>
      </c>
      <c r="V694" s="3">
        <v>0.375</v>
      </c>
      <c r="W694" s="2">
        <v>0</v>
      </c>
      <c r="X694">
        <v>0</v>
      </c>
      <c r="Y694" t="s">
        <v>83</v>
      </c>
      <c r="Z694" t="s">
        <v>61</v>
      </c>
      <c r="AA694">
        <v>0</v>
      </c>
      <c r="AB694" s="2">
        <v>0</v>
      </c>
      <c r="AC694" s="2">
        <v>0</v>
      </c>
      <c r="AD694" s="4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38.76</v>
      </c>
      <c r="AN694" s="2">
        <v>38.76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45999</v>
      </c>
      <c r="B695" t="s">
        <v>48</v>
      </c>
      <c r="C695">
        <v>649163</v>
      </c>
      <c r="D695">
        <v>2025815451</v>
      </c>
      <c r="E695" t="s">
        <v>790</v>
      </c>
      <c r="F695" t="s">
        <v>791</v>
      </c>
      <c r="G695" t="s">
        <v>51</v>
      </c>
      <c r="H695" t="s">
        <v>267</v>
      </c>
      <c r="I695" t="s">
        <v>86</v>
      </c>
      <c r="J695" t="s">
        <v>87</v>
      </c>
      <c r="K695">
        <v>651818</v>
      </c>
      <c r="L695" t="s">
        <v>246</v>
      </c>
      <c r="M695" t="s">
        <v>247</v>
      </c>
      <c r="N695" t="s">
        <v>57</v>
      </c>
      <c r="O695" s="1">
        <v>45633</v>
      </c>
      <c r="Q695" s="1">
        <v>46029</v>
      </c>
      <c r="R695" s="2">
        <v>40.07</v>
      </c>
      <c r="S695">
        <v>1</v>
      </c>
      <c r="T695" t="s">
        <v>58</v>
      </c>
      <c r="U695" t="s">
        <v>59</v>
      </c>
      <c r="V695" s="4">
        <v>0.06</v>
      </c>
      <c r="W695" s="2">
        <v>0</v>
      </c>
      <c r="X695">
        <v>0</v>
      </c>
      <c r="Y695" t="s">
        <v>60</v>
      </c>
      <c r="Z695" t="s">
        <v>61</v>
      </c>
      <c r="AA695">
        <v>0</v>
      </c>
      <c r="AB695" s="2">
        <v>0</v>
      </c>
      <c r="AC695" s="2">
        <v>0</v>
      </c>
      <c r="AD695" s="4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2.4</v>
      </c>
      <c r="AN695" s="2">
        <v>2.4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45999</v>
      </c>
      <c r="B696" t="s">
        <v>48</v>
      </c>
      <c r="C696">
        <v>649163</v>
      </c>
      <c r="D696">
        <v>2025863140</v>
      </c>
      <c r="E696" t="s">
        <v>492</v>
      </c>
      <c r="F696" t="s">
        <v>793</v>
      </c>
      <c r="G696" t="s">
        <v>51</v>
      </c>
      <c r="H696" t="s">
        <v>97</v>
      </c>
      <c r="I696" t="s">
        <v>86</v>
      </c>
      <c r="J696" t="s">
        <v>87</v>
      </c>
      <c r="K696">
        <v>651818</v>
      </c>
      <c r="L696" t="s">
        <v>246</v>
      </c>
      <c r="M696" t="s">
        <v>247</v>
      </c>
      <c r="N696" t="s">
        <v>57</v>
      </c>
      <c r="O696" s="1">
        <v>45633</v>
      </c>
      <c r="Q696" s="1">
        <v>46029</v>
      </c>
      <c r="R696" s="2">
        <v>55.66</v>
      </c>
      <c r="S696">
        <v>1</v>
      </c>
      <c r="T696" t="s">
        <v>58</v>
      </c>
      <c r="U696" t="s">
        <v>59</v>
      </c>
      <c r="V696" s="4">
        <v>0.06</v>
      </c>
      <c r="W696" s="2">
        <v>0</v>
      </c>
      <c r="X696">
        <v>0</v>
      </c>
      <c r="Y696" t="s">
        <v>60</v>
      </c>
      <c r="Z696" t="s">
        <v>61</v>
      </c>
      <c r="AA696">
        <v>0</v>
      </c>
      <c r="AB696" s="2">
        <v>0</v>
      </c>
      <c r="AC696" s="2">
        <v>0</v>
      </c>
      <c r="AD696" s="4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3.34</v>
      </c>
      <c r="AN696" s="2">
        <v>3.34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45999</v>
      </c>
      <c r="B697" t="s">
        <v>48</v>
      </c>
      <c r="C697">
        <v>649163</v>
      </c>
      <c r="D697">
        <v>2025884356</v>
      </c>
      <c r="E697" t="s">
        <v>161</v>
      </c>
      <c r="F697" t="s">
        <v>124</v>
      </c>
      <c r="G697" t="s">
        <v>51</v>
      </c>
      <c r="H697" t="s">
        <v>97</v>
      </c>
      <c r="I697" t="s">
        <v>86</v>
      </c>
      <c r="J697" t="s">
        <v>87</v>
      </c>
      <c r="K697">
        <v>651818</v>
      </c>
      <c r="L697" t="s">
        <v>246</v>
      </c>
      <c r="M697" t="s">
        <v>247</v>
      </c>
      <c r="N697" t="s">
        <v>57</v>
      </c>
      <c r="O697" s="1">
        <v>45633</v>
      </c>
      <c r="Q697" s="1">
        <v>46029</v>
      </c>
      <c r="R697" s="2">
        <v>55.66</v>
      </c>
      <c r="S697">
        <v>1</v>
      </c>
      <c r="T697" t="s">
        <v>58</v>
      </c>
      <c r="U697" t="s">
        <v>59</v>
      </c>
      <c r="V697" s="4">
        <v>0.06</v>
      </c>
      <c r="W697" s="2">
        <v>0</v>
      </c>
      <c r="X697">
        <v>0</v>
      </c>
      <c r="Y697" t="s">
        <v>60</v>
      </c>
      <c r="Z697" t="s">
        <v>61</v>
      </c>
      <c r="AA697">
        <v>0</v>
      </c>
      <c r="AB697" s="2">
        <v>0</v>
      </c>
      <c r="AC697" s="2">
        <v>0</v>
      </c>
      <c r="AD697" s="4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3.34</v>
      </c>
      <c r="AN697" s="2">
        <v>3.34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45999</v>
      </c>
      <c r="B698" t="s">
        <v>48</v>
      </c>
      <c r="C698">
        <v>649163</v>
      </c>
      <c r="D698">
        <v>2025934341</v>
      </c>
      <c r="E698" t="s">
        <v>996</v>
      </c>
      <c r="F698" t="s">
        <v>789</v>
      </c>
      <c r="G698" t="s">
        <v>51</v>
      </c>
      <c r="H698" t="s">
        <v>79</v>
      </c>
      <c r="I698" t="s">
        <v>86</v>
      </c>
      <c r="J698" t="s">
        <v>87</v>
      </c>
      <c r="K698">
        <v>649793</v>
      </c>
      <c r="L698" t="s">
        <v>81</v>
      </c>
      <c r="M698" t="s">
        <v>128</v>
      </c>
      <c r="N698" t="s">
        <v>94</v>
      </c>
      <c r="O698" s="1">
        <v>45658</v>
      </c>
      <c r="P698" s="1">
        <v>45992</v>
      </c>
      <c r="Q698" s="1">
        <v>46023</v>
      </c>
      <c r="R698" s="2">
        <v>-49.62</v>
      </c>
      <c r="S698">
        <v>1</v>
      </c>
      <c r="T698" t="s">
        <v>58</v>
      </c>
      <c r="U698" t="s">
        <v>59</v>
      </c>
      <c r="V698" s="3">
        <v>0.375</v>
      </c>
      <c r="W698" s="2">
        <v>0</v>
      </c>
      <c r="X698">
        <v>-1</v>
      </c>
      <c r="Y698" t="s">
        <v>83</v>
      </c>
      <c r="Z698" t="s">
        <v>61</v>
      </c>
      <c r="AA698">
        <v>0</v>
      </c>
      <c r="AB698" s="2">
        <v>0</v>
      </c>
      <c r="AC698" s="2">
        <v>0</v>
      </c>
      <c r="AD698" s="4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-18.61</v>
      </c>
      <c r="AN698" s="2">
        <v>-18.61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45999</v>
      </c>
      <c r="B699" t="s">
        <v>48</v>
      </c>
      <c r="C699">
        <v>649163</v>
      </c>
      <c r="D699">
        <v>2026038650</v>
      </c>
      <c r="E699" t="s">
        <v>997</v>
      </c>
      <c r="F699" t="s">
        <v>182</v>
      </c>
      <c r="G699" t="s">
        <v>51</v>
      </c>
      <c r="H699" t="s">
        <v>97</v>
      </c>
      <c r="I699" t="s">
        <v>86</v>
      </c>
      <c r="J699" t="s">
        <v>87</v>
      </c>
      <c r="K699">
        <v>651818</v>
      </c>
      <c r="L699" t="s">
        <v>246</v>
      </c>
      <c r="M699" t="s">
        <v>247</v>
      </c>
      <c r="N699" t="s">
        <v>94</v>
      </c>
      <c r="O699" s="1">
        <v>45633</v>
      </c>
      <c r="P699" s="1">
        <v>45999</v>
      </c>
      <c r="Q699" s="1">
        <v>46029</v>
      </c>
      <c r="R699" s="2">
        <v>-69.849999999999994</v>
      </c>
      <c r="S699">
        <v>1</v>
      </c>
      <c r="T699" t="s">
        <v>58</v>
      </c>
      <c r="U699" t="s">
        <v>59</v>
      </c>
      <c r="V699" s="4">
        <v>0.06</v>
      </c>
      <c r="W699" s="2">
        <v>0</v>
      </c>
      <c r="X699">
        <v>-1</v>
      </c>
      <c r="Y699" t="s">
        <v>60</v>
      </c>
      <c r="Z699" t="s">
        <v>61</v>
      </c>
      <c r="AA699">
        <v>0</v>
      </c>
      <c r="AB699" s="2">
        <v>0</v>
      </c>
      <c r="AC699" s="2">
        <v>0</v>
      </c>
      <c r="AD699" s="4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-4.1900000000000004</v>
      </c>
      <c r="AN699" s="2">
        <v>-4.1900000000000004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45999</v>
      </c>
      <c r="B700" t="s">
        <v>48</v>
      </c>
      <c r="C700">
        <v>649163</v>
      </c>
      <c r="D700">
        <v>2026038650</v>
      </c>
      <c r="E700" t="s">
        <v>997</v>
      </c>
      <c r="F700" t="s">
        <v>182</v>
      </c>
      <c r="G700" t="s">
        <v>51</v>
      </c>
      <c r="H700" t="s">
        <v>97</v>
      </c>
      <c r="I700" t="s">
        <v>86</v>
      </c>
      <c r="J700" t="s">
        <v>87</v>
      </c>
      <c r="K700">
        <v>651818</v>
      </c>
      <c r="L700" t="s">
        <v>246</v>
      </c>
      <c r="M700" t="s">
        <v>247</v>
      </c>
      <c r="N700" t="s">
        <v>94</v>
      </c>
      <c r="O700" s="1">
        <v>45633</v>
      </c>
      <c r="P700" s="1">
        <v>45999</v>
      </c>
      <c r="Q700" s="1">
        <v>46029</v>
      </c>
      <c r="R700" s="2">
        <v>65.48</v>
      </c>
      <c r="S700">
        <v>1</v>
      </c>
      <c r="T700" t="s">
        <v>58</v>
      </c>
      <c r="U700" t="s">
        <v>59</v>
      </c>
      <c r="V700" s="4">
        <v>0.06</v>
      </c>
      <c r="W700" s="2">
        <v>0</v>
      </c>
      <c r="X700">
        <v>0</v>
      </c>
      <c r="Y700" t="s">
        <v>60</v>
      </c>
      <c r="Z700" t="s">
        <v>61</v>
      </c>
      <c r="AA700">
        <v>0</v>
      </c>
      <c r="AB700" s="2">
        <v>0</v>
      </c>
      <c r="AC700" s="2">
        <v>0</v>
      </c>
      <c r="AD700" s="4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3.93</v>
      </c>
      <c r="AN700" s="2">
        <v>3.93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45999</v>
      </c>
      <c r="B701" t="s">
        <v>48</v>
      </c>
      <c r="C701">
        <v>649163</v>
      </c>
      <c r="D701">
        <v>2023921112</v>
      </c>
      <c r="E701" t="s">
        <v>998</v>
      </c>
      <c r="F701" t="s">
        <v>999</v>
      </c>
      <c r="G701" t="s">
        <v>51</v>
      </c>
      <c r="H701" t="s">
        <v>102</v>
      </c>
      <c r="I701" t="s">
        <v>108</v>
      </c>
      <c r="J701" t="s">
        <v>1000</v>
      </c>
      <c r="K701">
        <v>768887</v>
      </c>
      <c r="L701" t="s">
        <v>206</v>
      </c>
      <c r="M701" t="s">
        <v>207</v>
      </c>
      <c r="N701" t="s">
        <v>57</v>
      </c>
      <c r="O701" s="1">
        <v>45505</v>
      </c>
      <c r="Q701" s="1">
        <v>46023</v>
      </c>
      <c r="R701" s="2">
        <v>218.74</v>
      </c>
      <c r="S701">
        <v>1</v>
      </c>
      <c r="T701" t="s">
        <v>58</v>
      </c>
      <c r="U701" t="s">
        <v>59</v>
      </c>
      <c r="V701" s="4">
        <v>0.13</v>
      </c>
      <c r="W701" s="2">
        <v>0</v>
      </c>
      <c r="X701">
        <v>0</v>
      </c>
      <c r="Y701" t="s">
        <v>60</v>
      </c>
      <c r="Z701" t="s">
        <v>61</v>
      </c>
      <c r="AA701">
        <v>0</v>
      </c>
      <c r="AB701" s="2">
        <v>0</v>
      </c>
      <c r="AC701" s="2">
        <v>0</v>
      </c>
      <c r="AD701" s="4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28.44</v>
      </c>
      <c r="AN701" s="2">
        <v>28.44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45999</v>
      </c>
      <c r="B702" t="s">
        <v>48</v>
      </c>
      <c r="C702">
        <v>649163</v>
      </c>
      <c r="D702">
        <v>2023981104</v>
      </c>
      <c r="E702" t="s">
        <v>1001</v>
      </c>
      <c r="F702" t="s">
        <v>89</v>
      </c>
      <c r="G702" t="s">
        <v>51</v>
      </c>
      <c r="H702" t="s">
        <v>102</v>
      </c>
      <c r="I702" t="s">
        <v>108</v>
      </c>
      <c r="J702" t="s">
        <v>1002</v>
      </c>
      <c r="K702">
        <v>768887</v>
      </c>
      <c r="L702" t="s">
        <v>206</v>
      </c>
      <c r="M702" t="s">
        <v>207</v>
      </c>
      <c r="N702" t="s">
        <v>57</v>
      </c>
      <c r="O702" s="1">
        <v>45505</v>
      </c>
      <c r="Q702" s="1">
        <v>46023</v>
      </c>
      <c r="R702" s="2">
        <v>132.85</v>
      </c>
      <c r="S702">
        <v>1</v>
      </c>
      <c r="T702" t="s">
        <v>58</v>
      </c>
      <c r="U702" t="s">
        <v>59</v>
      </c>
      <c r="V702" s="4">
        <v>0.26</v>
      </c>
      <c r="W702" s="2">
        <v>0</v>
      </c>
      <c r="X702">
        <v>0</v>
      </c>
      <c r="Y702" t="s">
        <v>60</v>
      </c>
      <c r="Z702" t="s">
        <v>61</v>
      </c>
      <c r="AA702">
        <v>0</v>
      </c>
      <c r="AB702" s="2">
        <v>0</v>
      </c>
      <c r="AC702" s="2">
        <v>0</v>
      </c>
      <c r="AD702" s="4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34.54</v>
      </c>
      <c r="AN702" s="2">
        <v>34.54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45999</v>
      </c>
      <c r="B703" t="s">
        <v>48</v>
      </c>
      <c r="C703">
        <v>649163</v>
      </c>
      <c r="D703">
        <v>2025118592</v>
      </c>
      <c r="E703" t="s">
        <v>1003</v>
      </c>
      <c r="F703" t="s">
        <v>1004</v>
      </c>
      <c r="G703" t="s">
        <v>51</v>
      </c>
      <c r="H703" t="s">
        <v>563</v>
      </c>
      <c r="I703" t="s">
        <v>108</v>
      </c>
      <c r="J703" t="s">
        <v>109</v>
      </c>
      <c r="K703">
        <v>650218</v>
      </c>
      <c r="L703" t="s">
        <v>88</v>
      </c>
      <c r="M703" t="s">
        <v>89</v>
      </c>
      <c r="N703" t="s">
        <v>57</v>
      </c>
      <c r="O703" s="1">
        <v>45597</v>
      </c>
      <c r="Q703" s="1">
        <v>46023</v>
      </c>
      <c r="R703" s="2">
        <v>102.08</v>
      </c>
      <c r="S703">
        <v>1</v>
      </c>
      <c r="T703" t="s">
        <v>58</v>
      </c>
      <c r="U703" t="s">
        <v>59</v>
      </c>
      <c r="V703" s="4">
        <v>0.26</v>
      </c>
      <c r="W703" s="2">
        <v>0</v>
      </c>
      <c r="X703">
        <v>0</v>
      </c>
      <c r="Y703" t="s">
        <v>60</v>
      </c>
      <c r="Z703" t="s">
        <v>61</v>
      </c>
      <c r="AA703">
        <v>0</v>
      </c>
      <c r="AB703" s="2">
        <v>0</v>
      </c>
      <c r="AC703" s="2">
        <v>0</v>
      </c>
      <c r="AD703" s="4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26.54</v>
      </c>
      <c r="AN703" s="2">
        <v>26.54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45999</v>
      </c>
      <c r="B704" t="s">
        <v>48</v>
      </c>
      <c r="C704">
        <v>649163</v>
      </c>
      <c r="D704">
        <v>2025878148</v>
      </c>
      <c r="E704" t="s">
        <v>1005</v>
      </c>
      <c r="F704" t="s">
        <v>137</v>
      </c>
      <c r="G704" t="s">
        <v>51</v>
      </c>
      <c r="H704" t="s">
        <v>52</v>
      </c>
      <c r="I704" t="s">
        <v>108</v>
      </c>
      <c r="J704" t="s">
        <v>1006</v>
      </c>
      <c r="K704">
        <v>649910</v>
      </c>
      <c r="L704" t="s">
        <v>1007</v>
      </c>
      <c r="M704" t="s">
        <v>1008</v>
      </c>
      <c r="N704" t="s">
        <v>57</v>
      </c>
      <c r="O704" s="1">
        <v>45658</v>
      </c>
      <c r="Q704" s="1">
        <v>46023</v>
      </c>
      <c r="R704" s="2">
        <v>160.32</v>
      </c>
      <c r="S704">
        <v>1</v>
      </c>
      <c r="T704" t="s">
        <v>58</v>
      </c>
      <c r="U704" t="s">
        <v>59</v>
      </c>
      <c r="V704" s="4">
        <v>0.04</v>
      </c>
      <c r="W704" s="2">
        <v>0</v>
      </c>
      <c r="X704">
        <v>0</v>
      </c>
      <c r="Y704" t="s">
        <v>83</v>
      </c>
      <c r="Z704" t="s">
        <v>61</v>
      </c>
      <c r="AA704">
        <v>0</v>
      </c>
      <c r="AB704" s="2">
        <v>0</v>
      </c>
      <c r="AC704" s="2">
        <v>0</v>
      </c>
      <c r="AD704" s="4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6.41</v>
      </c>
      <c r="AN704" s="2">
        <v>6.41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45999</v>
      </c>
      <c r="B705" t="s">
        <v>48</v>
      </c>
      <c r="C705">
        <v>649163</v>
      </c>
      <c r="D705">
        <v>2025892048</v>
      </c>
      <c r="E705" t="s">
        <v>638</v>
      </c>
      <c r="F705" t="s">
        <v>1009</v>
      </c>
      <c r="G705" t="s">
        <v>51</v>
      </c>
      <c r="H705" t="s">
        <v>52</v>
      </c>
      <c r="I705" t="s">
        <v>108</v>
      </c>
      <c r="J705" t="s">
        <v>1010</v>
      </c>
      <c r="K705">
        <v>650218</v>
      </c>
      <c r="L705" t="s">
        <v>88</v>
      </c>
      <c r="M705" t="s">
        <v>89</v>
      </c>
      <c r="N705" t="s">
        <v>57</v>
      </c>
      <c r="O705" s="1">
        <v>45658</v>
      </c>
      <c r="Q705" s="1">
        <v>46023</v>
      </c>
      <c r="R705" s="2">
        <v>214.75</v>
      </c>
      <c r="S705">
        <v>1</v>
      </c>
      <c r="T705" t="s">
        <v>58</v>
      </c>
      <c r="U705" t="s">
        <v>59</v>
      </c>
      <c r="V705" s="4">
        <v>0.13</v>
      </c>
      <c r="W705" s="2">
        <v>0</v>
      </c>
      <c r="X705">
        <v>0</v>
      </c>
      <c r="Y705" t="s">
        <v>83</v>
      </c>
      <c r="Z705" t="s">
        <v>61</v>
      </c>
      <c r="AA705">
        <v>0</v>
      </c>
      <c r="AB705" s="2">
        <v>0</v>
      </c>
      <c r="AC705" s="2">
        <v>0</v>
      </c>
      <c r="AD705" s="4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27.92</v>
      </c>
      <c r="AN705" s="2">
        <v>27.92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45999</v>
      </c>
      <c r="B706" t="s">
        <v>48</v>
      </c>
      <c r="C706">
        <v>649163</v>
      </c>
      <c r="D706">
        <v>2025991920</v>
      </c>
      <c r="E706" t="s">
        <v>1011</v>
      </c>
      <c r="F706" t="s">
        <v>1012</v>
      </c>
      <c r="G706" t="s">
        <v>51</v>
      </c>
      <c r="H706" t="s">
        <v>102</v>
      </c>
      <c r="I706" t="s">
        <v>108</v>
      </c>
      <c r="J706" t="s">
        <v>1002</v>
      </c>
      <c r="K706">
        <v>813184</v>
      </c>
      <c r="L706" t="s">
        <v>361</v>
      </c>
      <c r="M706" t="s">
        <v>362</v>
      </c>
      <c r="N706" t="s">
        <v>57</v>
      </c>
      <c r="O706" s="1">
        <v>45627</v>
      </c>
      <c r="Q706" s="1">
        <v>46023</v>
      </c>
      <c r="R706" s="2">
        <v>129.44</v>
      </c>
      <c r="S706">
        <v>1</v>
      </c>
      <c r="T706" t="s">
        <v>58</v>
      </c>
      <c r="U706" t="s">
        <v>59</v>
      </c>
      <c r="V706" s="4">
        <v>0.26</v>
      </c>
      <c r="W706" s="2">
        <v>0</v>
      </c>
      <c r="X706">
        <v>0</v>
      </c>
      <c r="Y706" t="s">
        <v>60</v>
      </c>
      <c r="Z706" t="s">
        <v>61</v>
      </c>
      <c r="AA706">
        <v>0</v>
      </c>
      <c r="AB706" s="2">
        <v>0</v>
      </c>
      <c r="AC706" s="2">
        <v>0</v>
      </c>
      <c r="AD706" s="4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33.65</v>
      </c>
      <c r="AN706" s="2">
        <v>33.65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45999</v>
      </c>
      <c r="B707" t="s">
        <v>48</v>
      </c>
      <c r="C707">
        <v>649163</v>
      </c>
      <c r="D707">
        <v>2025991920</v>
      </c>
      <c r="E707" t="s">
        <v>1011</v>
      </c>
      <c r="F707" t="s">
        <v>1012</v>
      </c>
      <c r="G707" t="s">
        <v>51</v>
      </c>
      <c r="H707" t="s">
        <v>102</v>
      </c>
      <c r="I707" t="s">
        <v>108</v>
      </c>
      <c r="J707" t="s">
        <v>1002</v>
      </c>
      <c r="K707">
        <v>813184</v>
      </c>
      <c r="L707" t="s">
        <v>361</v>
      </c>
      <c r="M707" t="s">
        <v>362</v>
      </c>
      <c r="N707" t="s">
        <v>57</v>
      </c>
      <c r="O707" s="1">
        <v>45627</v>
      </c>
      <c r="Q707" s="1">
        <v>46054</v>
      </c>
      <c r="R707" s="2">
        <v>129.44</v>
      </c>
      <c r="S707">
        <v>1</v>
      </c>
      <c r="T707" t="s">
        <v>58</v>
      </c>
      <c r="U707" t="s">
        <v>59</v>
      </c>
      <c r="V707" s="4">
        <v>0.26</v>
      </c>
      <c r="W707" s="2">
        <v>0</v>
      </c>
      <c r="X707">
        <v>0</v>
      </c>
      <c r="Y707" t="s">
        <v>60</v>
      </c>
      <c r="Z707" t="s">
        <v>61</v>
      </c>
      <c r="AA707">
        <v>0</v>
      </c>
      <c r="AB707" s="2">
        <v>0</v>
      </c>
      <c r="AC707" s="2">
        <v>0</v>
      </c>
      <c r="AD707" s="4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33.65</v>
      </c>
      <c r="AN707" s="2">
        <v>33.65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45999</v>
      </c>
      <c r="B708" t="s">
        <v>48</v>
      </c>
      <c r="C708">
        <v>649163</v>
      </c>
      <c r="D708">
        <v>2025991920</v>
      </c>
      <c r="E708" t="s">
        <v>1011</v>
      </c>
      <c r="F708" t="s">
        <v>1012</v>
      </c>
      <c r="G708" t="s">
        <v>51</v>
      </c>
      <c r="H708" t="s">
        <v>102</v>
      </c>
      <c r="I708" t="s">
        <v>108</v>
      </c>
      <c r="J708" t="s">
        <v>1002</v>
      </c>
      <c r="K708">
        <v>813184</v>
      </c>
      <c r="L708" t="s">
        <v>361</v>
      </c>
      <c r="M708" t="s">
        <v>362</v>
      </c>
      <c r="N708" t="s">
        <v>57</v>
      </c>
      <c r="O708" s="1">
        <v>45627</v>
      </c>
      <c r="Q708" s="1">
        <v>46082</v>
      </c>
      <c r="R708" s="2">
        <v>129.44</v>
      </c>
      <c r="S708">
        <v>1</v>
      </c>
      <c r="T708" t="s">
        <v>58</v>
      </c>
      <c r="U708" t="s">
        <v>59</v>
      </c>
      <c r="V708" s="4">
        <v>0.26</v>
      </c>
      <c r="W708" s="2">
        <v>0</v>
      </c>
      <c r="X708">
        <v>0</v>
      </c>
      <c r="Y708" t="s">
        <v>60</v>
      </c>
      <c r="Z708" t="s">
        <v>61</v>
      </c>
      <c r="AA708">
        <v>0</v>
      </c>
      <c r="AB708" s="2">
        <v>0</v>
      </c>
      <c r="AC708" s="2">
        <v>0</v>
      </c>
      <c r="AD708" s="4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33.65</v>
      </c>
      <c r="AN708" s="2">
        <v>33.65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45999</v>
      </c>
      <c r="B709" t="s">
        <v>48</v>
      </c>
      <c r="C709">
        <v>649163</v>
      </c>
      <c r="D709">
        <v>2025991920</v>
      </c>
      <c r="E709" t="s">
        <v>1011</v>
      </c>
      <c r="F709" t="s">
        <v>1012</v>
      </c>
      <c r="G709" t="s">
        <v>51</v>
      </c>
      <c r="H709" t="s">
        <v>102</v>
      </c>
      <c r="I709" t="s">
        <v>108</v>
      </c>
      <c r="J709" t="s">
        <v>1002</v>
      </c>
      <c r="K709">
        <v>813184</v>
      </c>
      <c r="L709" t="s">
        <v>361</v>
      </c>
      <c r="M709" t="s">
        <v>362</v>
      </c>
      <c r="N709" t="s">
        <v>57</v>
      </c>
      <c r="O709" s="1">
        <v>45627</v>
      </c>
      <c r="Q709" s="1">
        <v>46113</v>
      </c>
      <c r="R709" s="2">
        <v>129.44</v>
      </c>
      <c r="S709">
        <v>1</v>
      </c>
      <c r="T709" t="s">
        <v>58</v>
      </c>
      <c r="U709" t="s">
        <v>59</v>
      </c>
      <c r="V709" s="4">
        <v>0.26</v>
      </c>
      <c r="W709" s="2">
        <v>0</v>
      </c>
      <c r="X709">
        <v>0</v>
      </c>
      <c r="Y709" t="s">
        <v>60</v>
      </c>
      <c r="Z709" t="s">
        <v>61</v>
      </c>
      <c r="AA709">
        <v>0</v>
      </c>
      <c r="AB709" s="2">
        <v>0</v>
      </c>
      <c r="AC709" s="2">
        <v>0</v>
      </c>
      <c r="AD709" s="4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33.65</v>
      </c>
      <c r="AN709" s="2">
        <v>33.65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45999</v>
      </c>
      <c r="B710" t="s">
        <v>48</v>
      </c>
      <c r="C710">
        <v>649163</v>
      </c>
      <c r="D710">
        <v>2025991920</v>
      </c>
      <c r="E710" t="s">
        <v>1011</v>
      </c>
      <c r="F710" t="s">
        <v>1012</v>
      </c>
      <c r="G710" t="s">
        <v>51</v>
      </c>
      <c r="H710" t="s">
        <v>102</v>
      </c>
      <c r="I710" t="s">
        <v>108</v>
      </c>
      <c r="J710" t="s">
        <v>1002</v>
      </c>
      <c r="K710">
        <v>813184</v>
      </c>
      <c r="L710" t="s">
        <v>361</v>
      </c>
      <c r="M710" t="s">
        <v>362</v>
      </c>
      <c r="N710" t="s">
        <v>57</v>
      </c>
      <c r="O710" s="1">
        <v>45627</v>
      </c>
      <c r="Q710" s="1">
        <v>46143</v>
      </c>
      <c r="R710" s="2">
        <v>129.44</v>
      </c>
      <c r="S710">
        <v>1</v>
      </c>
      <c r="T710" t="s">
        <v>58</v>
      </c>
      <c r="U710" t="s">
        <v>59</v>
      </c>
      <c r="V710" s="4">
        <v>0.26</v>
      </c>
      <c r="W710" s="2">
        <v>0</v>
      </c>
      <c r="X710">
        <v>0</v>
      </c>
      <c r="Y710" t="s">
        <v>60</v>
      </c>
      <c r="Z710" t="s">
        <v>61</v>
      </c>
      <c r="AA710">
        <v>0</v>
      </c>
      <c r="AB710" s="2">
        <v>0</v>
      </c>
      <c r="AC710" s="2">
        <v>0</v>
      </c>
      <c r="AD710" s="4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33.65</v>
      </c>
      <c r="AN710" s="2">
        <v>33.65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45999</v>
      </c>
      <c r="B711" t="s">
        <v>48</v>
      </c>
      <c r="C711">
        <v>649163</v>
      </c>
      <c r="D711">
        <v>2025991920</v>
      </c>
      <c r="E711" t="s">
        <v>1011</v>
      </c>
      <c r="F711" t="s">
        <v>1012</v>
      </c>
      <c r="G711" t="s">
        <v>51</v>
      </c>
      <c r="H711" t="s">
        <v>102</v>
      </c>
      <c r="I711" t="s">
        <v>108</v>
      </c>
      <c r="J711" t="s">
        <v>1002</v>
      </c>
      <c r="K711">
        <v>813184</v>
      </c>
      <c r="L711" t="s">
        <v>361</v>
      </c>
      <c r="M711" t="s">
        <v>362</v>
      </c>
      <c r="N711" t="s">
        <v>57</v>
      </c>
      <c r="O711" s="1">
        <v>45627</v>
      </c>
      <c r="Q711" s="1">
        <v>46174</v>
      </c>
      <c r="R711" s="2">
        <v>129.44</v>
      </c>
      <c r="S711">
        <v>1</v>
      </c>
      <c r="T711" t="s">
        <v>58</v>
      </c>
      <c r="U711" t="s">
        <v>59</v>
      </c>
      <c r="V711" s="4">
        <v>0.26</v>
      </c>
      <c r="W711" s="2">
        <v>0</v>
      </c>
      <c r="X711">
        <v>0</v>
      </c>
      <c r="Y711" t="s">
        <v>60</v>
      </c>
      <c r="Z711" t="s">
        <v>61</v>
      </c>
      <c r="AA711">
        <v>0</v>
      </c>
      <c r="AB711" s="2">
        <v>0</v>
      </c>
      <c r="AC711" s="2">
        <v>0</v>
      </c>
      <c r="AD711" s="4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33.65</v>
      </c>
      <c r="AN711" s="2">
        <v>33.65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45999</v>
      </c>
      <c r="B712" t="s">
        <v>48</v>
      </c>
      <c r="C712">
        <v>649163</v>
      </c>
      <c r="D712">
        <v>2025991920</v>
      </c>
      <c r="E712" t="s">
        <v>1011</v>
      </c>
      <c r="F712" t="s">
        <v>1012</v>
      </c>
      <c r="G712" t="s">
        <v>51</v>
      </c>
      <c r="H712" t="s">
        <v>102</v>
      </c>
      <c r="I712" t="s">
        <v>108</v>
      </c>
      <c r="J712" t="s">
        <v>1002</v>
      </c>
      <c r="K712">
        <v>813184</v>
      </c>
      <c r="L712" t="s">
        <v>361</v>
      </c>
      <c r="M712" t="s">
        <v>362</v>
      </c>
      <c r="N712" t="s">
        <v>57</v>
      </c>
      <c r="O712" s="1">
        <v>45627</v>
      </c>
      <c r="Q712" s="1">
        <v>46204</v>
      </c>
      <c r="R712" s="2">
        <v>129.44</v>
      </c>
      <c r="S712">
        <v>1</v>
      </c>
      <c r="T712" t="s">
        <v>58</v>
      </c>
      <c r="U712" t="s">
        <v>59</v>
      </c>
      <c r="V712" s="4">
        <v>0.26</v>
      </c>
      <c r="W712" s="2">
        <v>0</v>
      </c>
      <c r="X712">
        <v>0</v>
      </c>
      <c r="Y712" t="s">
        <v>60</v>
      </c>
      <c r="Z712" t="s">
        <v>61</v>
      </c>
      <c r="AA712">
        <v>0</v>
      </c>
      <c r="AB712" s="2">
        <v>0</v>
      </c>
      <c r="AC712" s="2">
        <v>0</v>
      </c>
      <c r="AD712" s="4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33.65</v>
      </c>
      <c r="AN712" s="2">
        <v>33.65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45999</v>
      </c>
      <c r="B713" t="s">
        <v>48</v>
      </c>
      <c r="C713">
        <v>649163</v>
      </c>
      <c r="D713">
        <v>2025991920</v>
      </c>
      <c r="E713" t="s">
        <v>1011</v>
      </c>
      <c r="F713" t="s">
        <v>1012</v>
      </c>
      <c r="G713" t="s">
        <v>51</v>
      </c>
      <c r="H713" t="s">
        <v>102</v>
      </c>
      <c r="I713" t="s">
        <v>108</v>
      </c>
      <c r="J713" t="s">
        <v>1002</v>
      </c>
      <c r="K713">
        <v>813184</v>
      </c>
      <c r="L713" t="s">
        <v>361</v>
      </c>
      <c r="M713" t="s">
        <v>362</v>
      </c>
      <c r="N713" t="s">
        <v>57</v>
      </c>
      <c r="O713" s="1">
        <v>45627</v>
      </c>
      <c r="Q713" s="1">
        <v>46235</v>
      </c>
      <c r="R713" s="2">
        <v>129.44</v>
      </c>
      <c r="S713">
        <v>1</v>
      </c>
      <c r="T713" t="s">
        <v>58</v>
      </c>
      <c r="U713" t="s">
        <v>59</v>
      </c>
      <c r="V713" s="4">
        <v>0.26</v>
      </c>
      <c r="W713" s="2">
        <v>0</v>
      </c>
      <c r="X713">
        <v>0</v>
      </c>
      <c r="Y713" t="s">
        <v>60</v>
      </c>
      <c r="Z713" t="s">
        <v>61</v>
      </c>
      <c r="AA713">
        <v>0</v>
      </c>
      <c r="AB713" s="2">
        <v>0</v>
      </c>
      <c r="AC713" s="2">
        <v>0</v>
      </c>
      <c r="AD713" s="4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33.65</v>
      </c>
      <c r="AN713" s="2">
        <v>33.65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45999</v>
      </c>
      <c r="B714" t="s">
        <v>48</v>
      </c>
      <c r="C714">
        <v>649163</v>
      </c>
      <c r="D714">
        <v>2025991920</v>
      </c>
      <c r="E714" t="s">
        <v>1011</v>
      </c>
      <c r="F714" t="s">
        <v>1012</v>
      </c>
      <c r="G714" t="s">
        <v>51</v>
      </c>
      <c r="H714" t="s">
        <v>102</v>
      </c>
      <c r="I714" t="s">
        <v>108</v>
      </c>
      <c r="J714" t="s">
        <v>1002</v>
      </c>
      <c r="K714">
        <v>813184</v>
      </c>
      <c r="L714" t="s">
        <v>361</v>
      </c>
      <c r="M714" t="s">
        <v>362</v>
      </c>
      <c r="N714" t="s">
        <v>57</v>
      </c>
      <c r="O714" s="1">
        <v>45627</v>
      </c>
      <c r="Q714" s="1">
        <v>46266</v>
      </c>
      <c r="R714" s="2">
        <v>129.44</v>
      </c>
      <c r="S714">
        <v>1</v>
      </c>
      <c r="T714" t="s">
        <v>58</v>
      </c>
      <c r="U714" t="s">
        <v>59</v>
      </c>
      <c r="V714" s="4">
        <v>0.26</v>
      </c>
      <c r="W714" s="2">
        <v>0</v>
      </c>
      <c r="X714">
        <v>0</v>
      </c>
      <c r="Y714" t="s">
        <v>60</v>
      </c>
      <c r="Z714" t="s">
        <v>61</v>
      </c>
      <c r="AA714">
        <v>0</v>
      </c>
      <c r="AB714" s="2">
        <v>0</v>
      </c>
      <c r="AC714" s="2">
        <v>0</v>
      </c>
      <c r="AD714" s="4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33.65</v>
      </c>
      <c r="AN714" s="2">
        <v>33.65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45999</v>
      </c>
      <c r="B715" t="s">
        <v>48</v>
      </c>
      <c r="C715">
        <v>649163</v>
      </c>
      <c r="D715">
        <v>2025991920</v>
      </c>
      <c r="E715" t="s">
        <v>1011</v>
      </c>
      <c r="F715" t="s">
        <v>1012</v>
      </c>
      <c r="G715" t="s">
        <v>51</v>
      </c>
      <c r="H715" t="s">
        <v>102</v>
      </c>
      <c r="I715" t="s">
        <v>108</v>
      </c>
      <c r="J715" t="s">
        <v>1002</v>
      </c>
      <c r="K715">
        <v>813184</v>
      </c>
      <c r="L715" t="s">
        <v>361</v>
      </c>
      <c r="M715" t="s">
        <v>362</v>
      </c>
      <c r="N715" t="s">
        <v>57</v>
      </c>
      <c r="O715" s="1">
        <v>45627</v>
      </c>
      <c r="Q715" s="1">
        <v>46296</v>
      </c>
      <c r="R715" s="2">
        <v>129.44</v>
      </c>
      <c r="S715">
        <v>1</v>
      </c>
      <c r="T715" t="s">
        <v>58</v>
      </c>
      <c r="U715" t="s">
        <v>59</v>
      </c>
      <c r="V715" s="4">
        <v>0.26</v>
      </c>
      <c r="W715" s="2">
        <v>0</v>
      </c>
      <c r="X715">
        <v>0</v>
      </c>
      <c r="Y715" t="s">
        <v>60</v>
      </c>
      <c r="Z715" t="s">
        <v>61</v>
      </c>
      <c r="AA715">
        <v>0</v>
      </c>
      <c r="AB715" s="2">
        <v>0</v>
      </c>
      <c r="AC715" s="2">
        <v>0</v>
      </c>
      <c r="AD715" s="4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33.65</v>
      </c>
      <c r="AN715" s="2">
        <v>33.65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45999</v>
      </c>
      <c r="B716" t="s">
        <v>48</v>
      </c>
      <c r="C716">
        <v>649163</v>
      </c>
      <c r="D716">
        <v>2025991920</v>
      </c>
      <c r="E716" t="s">
        <v>1011</v>
      </c>
      <c r="F716" t="s">
        <v>1012</v>
      </c>
      <c r="G716" t="s">
        <v>51</v>
      </c>
      <c r="H716" t="s">
        <v>102</v>
      </c>
      <c r="I716" t="s">
        <v>108</v>
      </c>
      <c r="J716" t="s">
        <v>1002</v>
      </c>
      <c r="K716">
        <v>813184</v>
      </c>
      <c r="L716" t="s">
        <v>361</v>
      </c>
      <c r="M716" t="s">
        <v>362</v>
      </c>
      <c r="N716" t="s">
        <v>57</v>
      </c>
      <c r="O716" s="1">
        <v>45627</v>
      </c>
      <c r="Q716" s="1">
        <v>46327</v>
      </c>
      <c r="R716" s="2">
        <v>129.44</v>
      </c>
      <c r="S716">
        <v>1</v>
      </c>
      <c r="T716" t="s">
        <v>58</v>
      </c>
      <c r="U716" t="s">
        <v>59</v>
      </c>
      <c r="V716" s="4">
        <v>0.26</v>
      </c>
      <c r="W716" s="2">
        <v>0</v>
      </c>
      <c r="X716">
        <v>0</v>
      </c>
      <c r="Y716" t="s">
        <v>60</v>
      </c>
      <c r="Z716" t="s">
        <v>61</v>
      </c>
      <c r="AA716">
        <v>0</v>
      </c>
      <c r="AB716" s="2">
        <v>0</v>
      </c>
      <c r="AC716" s="2">
        <v>0</v>
      </c>
      <c r="AD716" s="4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33.65</v>
      </c>
      <c r="AN716" s="2">
        <v>33.65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45999</v>
      </c>
      <c r="B717" t="s">
        <v>48</v>
      </c>
      <c r="C717">
        <v>649163</v>
      </c>
      <c r="D717">
        <v>2025991920</v>
      </c>
      <c r="E717" t="s">
        <v>1011</v>
      </c>
      <c r="F717" t="s">
        <v>1012</v>
      </c>
      <c r="G717" t="s">
        <v>51</v>
      </c>
      <c r="H717" t="s">
        <v>102</v>
      </c>
      <c r="I717" t="s">
        <v>108</v>
      </c>
      <c r="J717" t="s">
        <v>1002</v>
      </c>
      <c r="K717">
        <v>813184</v>
      </c>
      <c r="L717" t="s">
        <v>361</v>
      </c>
      <c r="M717" t="s">
        <v>362</v>
      </c>
      <c r="N717" t="s">
        <v>57</v>
      </c>
      <c r="O717" s="1">
        <v>45627</v>
      </c>
      <c r="Q717" s="1">
        <v>46357</v>
      </c>
      <c r="R717" s="2">
        <v>129.44</v>
      </c>
      <c r="S717">
        <v>1</v>
      </c>
      <c r="T717" t="s">
        <v>58</v>
      </c>
      <c r="U717" t="s">
        <v>59</v>
      </c>
      <c r="V717" s="4">
        <v>0.26</v>
      </c>
      <c r="W717" s="2">
        <v>0</v>
      </c>
      <c r="X717">
        <v>0</v>
      </c>
      <c r="Y717" t="s">
        <v>60</v>
      </c>
      <c r="Z717" t="s">
        <v>61</v>
      </c>
      <c r="AA717">
        <v>0</v>
      </c>
      <c r="AB717" s="2">
        <v>0</v>
      </c>
      <c r="AC717" s="2">
        <v>0</v>
      </c>
      <c r="AD717" s="4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33.65</v>
      </c>
      <c r="AN717" s="2">
        <v>33.65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45999</v>
      </c>
      <c r="B718" t="s">
        <v>48</v>
      </c>
      <c r="C718">
        <v>649163</v>
      </c>
      <c r="D718">
        <v>2026055288</v>
      </c>
      <c r="E718" t="s">
        <v>112</v>
      </c>
      <c r="F718" t="s">
        <v>285</v>
      </c>
      <c r="G718" t="s">
        <v>51</v>
      </c>
      <c r="H718" t="s">
        <v>52</v>
      </c>
      <c r="I718" t="s">
        <v>108</v>
      </c>
      <c r="J718" t="s">
        <v>1006</v>
      </c>
      <c r="K718">
        <v>650218</v>
      </c>
      <c r="L718" t="s">
        <v>88</v>
      </c>
      <c r="M718" t="s">
        <v>89</v>
      </c>
      <c r="N718" t="s">
        <v>57</v>
      </c>
      <c r="O718" s="1">
        <v>45658</v>
      </c>
      <c r="Q718" s="1">
        <v>46023</v>
      </c>
      <c r="R718" s="2">
        <v>110.69</v>
      </c>
      <c r="S718">
        <v>1</v>
      </c>
      <c r="T718" t="s">
        <v>58</v>
      </c>
      <c r="U718" t="s">
        <v>59</v>
      </c>
      <c r="V718" s="4">
        <v>0.28000000000000003</v>
      </c>
      <c r="W718" s="2">
        <v>0</v>
      </c>
      <c r="X718">
        <v>0</v>
      </c>
      <c r="Y718" t="s">
        <v>83</v>
      </c>
      <c r="Z718" t="s">
        <v>61</v>
      </c>
      <c r="AA718">
        <v>0</v>
      </c>
      <c r="AB718" s="2">
        <v>0</v>
      </c>
      <c r="AC718" s="2">
        <v>0</v>
      </c>
      <c r="AD718" s="4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30.99</v>
      </c>
      <c r="AN718" s="2">
        <v>30.99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45999</v>
      </c>
      <c r="B719" t="s">
        <v>48</v>
      </c>
      <c r="C719">
        <v>649163</v>
      </c>
      <c r="D719">
        <v>2026492383</v>
      </c>
      <c r="E719" t="s">
        <v>1013</v>
      </c>
      <c r="F719" t="s">
        <v>421</v>
      </c>
      <c r="G719" t="s">
        <v>51</v>
      </c>
      <c r="H719" t="s">
        <v>308</v>
      </c>
      <c r="I719" t="s">
        <v>108</v>
      </c>
      <c r="J719" t="s">
        <v>1014</v>
      </c>
      <c r="K719">
        <v>757719</v>
      </c>
      <c r="L719" t="s">
        <v>401</v>
      </c>
      <c r="M719" t="s">
        <v>272</v>
      </c>
      <c r="N719" t="s">
        <v>57</v>
      </c>
      <c r="O719" s="1">
        <v>45665</v>
      </c>
      <c r="Q719" s="1">
        <v>46030</v>
      </c>
      <c r="R719" s="2">
        <v>105.97</v>
      </c>
      <c r="S719">
        <v>1</v>
      </c>
      <c r="T719" t="s">
        <v>58</v>
      </c>
      <c r="U719" t="s">
        <v>59</v>
      </c>
      <c r="V719" s="3">
        <v>0.255</v>
      </c>
      <c r="W719" s="2">
        <v>0</v>
      </c>
      <c r="X719">
        <v>0</v>
      </c>
      <c r="Y719" t="s">
        <v>83</v>
      </c>
      <c r="Z719" t="s">
        <v>61</v>
      </c>
      <c r="AA719">
        <v>0</v>
      </c>
      <c r="AB719" s="2">
        <v>0</v>
      </c>
      <c r="AC719" s="2">
        <v>0</v>
      </c>
      <c r="AD719" s="4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27.02</v>
      </c>
      <c r="AN719" s="2">
        <v>27.02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45999</v>
      </c>
      <c r="B720" t="s">
        <v>48</v>
      </c>
      <c r="C720">
        <v>649163</v>
      </c>
      <c r="D720">
        <v>2026646040</v>
      </c>
      <c r="E720" t="s">
        <v>1015</v>
      </c>
      <c r="F720" t="s">
        <v>1016</v>
      </c>
      <c r="G720" t="s">
        <v>51</v>
      </c>
      <c r="H720" t="s">
        <v>125</v>
      </c>
      <c r="I720" t="s">
        <v>108</v>
      </c>
      <c r="J720" t="s">
        <v>1017</v>
      </c>
      <c r="K720">
        <v>649285</v>
      </c>
      <c r="L720" t="s">
        <v>110</v>
      </c>
      <c r="M720" t="s">
        <v>111</v>
      </c>
      <c r="N720" t="s">
        <v>57</v>
      </c>
      <c r="O720" s="1">
        <v>45717</v>
      </c>
      <c r="Q720" s="1">
        <v>46023</v>
      </c>
      <c r="R720" s="2">
        <v>219.87</v>
      </c>
      <c r="S720">
        <v>1</v>
      </c>
      <c r="T720" t="s">
        <v>58</v>
      </c>
      <c r="U720" t="s">
        <v>59</v>
      </c>
      <c r="V720" s="4">
        <v>0.04</v>
      </c>
      <c r="W720" s="2">
        <v>0</v>
      </c>
      <c r="X720">
        <v>0</v>
      </c>
      <c r="Y720" t="s">
        <v>83</v>
      </c>
      <c r="Z720" t="s">
        <v>61</v>
      </c>
      <c r="AA720">
        <v>0</v>
      </c>
      <c r="AB720" s="2">
        <v>0</v>
      </c>
      <c r="AC720" s="2">
        <v>0</v>
      </c>
      <c r="AD720" s="4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8.7899999999999991</v>
      </c>
      <c r="AN720" s="2">
        <v>8.7899999999999991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45999</v>
      </c>
      <c r="B721" t="s">
        <v>48</v>
      </c>
      <c r="C721">
        <v>649163</v>
      </c>
      <c r="D721">
        <v>2027097219</v>
      </c>
      <c r="E721" t="s">
        <v>1018</v>
      </c>
      <c r="F721" t="s">
        <v>305</v>
      </c>
      <c r="G721" t="s">
        <v>51</v>
      </c>
      <c r="H721" t="s">
        <v>52</v>
      </c>
      <c r="I721" t="s">
        <v>108</v>
      </c>
      <c r="J721" t="s">
        <v>109</v>
      </c>
      <c r="K721">
        <v>650218</v>
      </c>
      <c r="L721" t="s">
        <v>88</v>
      </c>
      <c r="M721" t="s">
        <v>89</v>
      </c>
      <c r="N721" t="s">
        <v>57</v>
      </c>
      <c r="O721" s="1">
        <v>45748</v>
      </c>
      <c r="Q721" s="1">
        <v>46023</v>
      </c>
      <c r="R721" s="2">
        <v>147.77000000000001</v>
      </c>
      <c r="S721">
        <v>1</v>
      </c>
      <c r="T721" t="s">
        <v>58</v>
      </c>
      <c r="U721" t="s">
        <v>59</v>
      </c>
      <c r="V721" s="4">
        <v>0.26</v>
      </c>
      <c r="W721" s="2">
        <v>0</v>
      </c>
      <c r="X721">
        <v>0</v>
      </c>
      <c r="Y721" t="s">
        <v>83</v>
      </c>
      <c r="Z721" t="s">
        <v>61</v>
      </c>
      <c r="AA721">
        <v>0</v>
      </c>
      <c r="AB721" s="2">
        <v>0</v>
      </c>
      <c r="AC721" s="2">
        <v>0</v>
      </c>
      <c r="AD721" s="4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38.42</v>
      </c>
      <c r="AN721" s="2">
        <v>38.42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45999</v>
      </c>
      <c r="B722" t="s">
        <v>48</v>
      </c>
      <c r="C722">
        <v>649163</v>
      </c>
      <c r="D722">
        <v>2027157018</v>
      </c>
      <c r="E722" t="s">
        <v>1019</v>
      </c>
      <c r="F722" t="s">
        <v>999</v>
      </c>
      <c r="G722" t="s">
        <v>51</v>
      </c>
      <c r="H722" t="s">
        <v>52</v>
      </c>
      <c r="I722" t="s">
        <v>108</v>
      </c>
      <c r="J722" t="s">
        <v>705</v>
      </c>
      <c r="K722">
        <v>775945</v>
      </c>
      <c r="L722" t="s">
        <v>1020</v>
      </c>
      <c r="M722" t="s">
        <v>96</v>
      </c>
      <c r="N722" t="s">
        <v>57</v>
      </c>
      <c r="O722" s="1">
        <v>45689</v>
      </c>
      <c r="Q722" s="1">
        <v>46023</v>
      </c>
      <c r="R722" s="2">
        <v>117.07</v>
      </c>
      <c r="S722">
        <v>1</v>
      </c>
      <c r="T722" t="s">
        <v>58</v>
      </c>
      <c r="U722" t="s">
        <v>59</v>
      </c>
      <c r="V722" s="4">
        <v>0</v>
      </c>
      <c r="W722" s="2">
        <v>0</v>
      </c>
      <c r="X722">
        <v>0</v>
      </c>
      <c r="Y722" t="s">
        <v>83</v>
      </c>
      <c r="Z722" t="s">
        <v>61</v>
      </c>
      <c r="AA722">
        <v>0</v>
      </c>
      <c r="AB722" s="2">
        <v>0</v>
      </c>
      <c r="AC722" s="2">
        <v>0</v>
      </c>
      <c r="AD722" s="4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45999</v>
      </c>
      <c r="B723" t="s">
        <v>48</v>
      </c>
      <c r="C723">
        <v>649163</v>
      </c>
      <c r="D723">
        <v>2027253361</v>
      </c>
      <c r="E723" t="s">
        <v>1021</v>
      </c>
      <c r="F723" t="s">
        <v>137</v>
      </c>
      <c r="G723" t="s">
        <v>51</v>
      </c>
      <c r="H723" t="s">
        <v>200</v>
      </c>
      <c r="I723" t="s">
        <v>108</v>
      </c>
      <c r="J723" t="s">
        <v>1022</v>
      </c>
      <c r="K723">
        <v>816021</v>
      </c>
      <c r="L723" t="s">
        <v>201</v>
      </c>
      <c r="M723" t="s">
        <v>202</v>
      </c>
      <c r="N723" t="s">
        <v>57</v>
      </c>
      <c r="O723" s="1">
        <v>45717</v>
      </c>
      <c r="Q723" s="1">
        <v>46023</v>
      </c>
      <c r="R723" s="2">
        <v>136.72</v>
      </c>
      <c r="S723">
        <v>1</v>
      </c>
      <c r="T723" t="s">
        <v>58</v>
      </c>
      <c r="U723" t="s">
        <v>59</v>
      </c>
      <c r="V723" s="4">
        <v>0.26</v>
      </c>
      <c r="W723" s="2">
        <v>0</v>
      </c>
      <c r="X723">
        <v>0</v>
      </c>
      <c r="Y723" t="s">
        <v>83</v>
      </c>
      <c r="Z723" t="s">
        <v>61</v>
      </c>
      <c r="AA723">
        <v>0</v>
      </c>
      <c r="AB723" s="2">
        <v>0</v>
      </c>
      <c r="AC723" s="2">
        <v>0</v>
      </c>
      <c r="AD723" s="4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35.549999999999997</v>
      </c>
      <c r="AN723" s="2">
        <v>35.549999999999997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45999</v>
      </c>
      <c r="B724" t="s">
        <v>48</v>
      </c>
      <c r="C724">
        <v>649163</v>
      </c>
      <c r="D724">
        <v>2027354636</v>
      </c>
      <c r="E724" t="s">
        <v>1023</v>
      </c>
      <c r="F724" t="s">
        <v>184</v>
      </c>
      <c r="G724" t="s">
        <v>51</v>
      </c>
      <c r="H724" t="s">
        <v>125</v>
      </c>
      <c r="I724" t="s">
        <v>108</v>
      </c>
      <c r="J724" t="s">
        <v>1017</v>
      </c>
      <c r="K724">
        <v>649285</v>
      </c>
      <c r="L724" t="s">
        <v>110</v>
      </c>
      <c r="M724" t="s">
        <v>111</v>
      </c>
      <c r="N724" t="s">
        <v>57</v>
      </c>
      <c r="O724" s="1">
        <v>45748</v>
      </c>
      <c r="Q724" s="1">
        <v>46023</v>
      </c>
      <c r="R724" s="2">
        <v>213.04</v>
      </c>
      <c r="S724">
        <v>1</v>
      </c>
      <c r="T724" t="s">
        <v>58</v>
      </c>
      <c r="U724" t="s">
        <v>59</v>
      </c>
      <c r="V724" s="4">
        <v>0.04</v>
      </c>
      <c r="W724" s="2">
        <v>0</v>
      </c>
      <c r="X724">
        <v>0</v>
      </c>
      <c r="Y724" t="s">
        <v>83</v>
      </c>
      <c r="Z724" t="s">
        <v>61</v>
      </c>
      <c r="AA724">
        <v>0</v>
      </c>
      <c r="AB724" s="2">
        <v>0</v>
      </c>
      <c r="AC724" s="2">
        <v>0</v>
      </c>
      <c r="AD724" s="4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8.52</v>
      </c>
      <c r="AN724" s="2">
        <v>8.52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45999</v>
      </c>
      <c r="B725" t="s">
        <v>48</v>
      </c>
      <c r="C725">
        <v>649163</v>
      </c>
      <c r="D725">
        <v>2027391406</v>
      </c>
      <c r="E725" t="s">
        <v>1024</v>
      </c>
      <c r="F725" t="s">
        <v>1025</v>
      </c>
      <c r="G725" t="s">
        <v>51</v>
      </c>
      <c r="H725" t="s">
        <v>102</v>
      </c>
      <c r="I725" t="s">
        <v>108</v>
      </c>
      <c r="J725" t="s">
        <v>1002</v>
      </c>
      <c r="K725">
        <v>766422</v>
      </c>
      <c r="L725" t="s">
        <v>1026</v>
      </c>
      <c r="M725" t="s">
        <v>247</v>
      </c>
      <c r="N725" t="s">
        <v>57</v>
      </c>
      <c r="O725" s="1">
        <v>45717</v>
      </c>
      <c r="Q725" s="1">
        <v>46023</v>
      </c>
      <c r="R725" s="2">
        <v>130.76</v>
      </c>
      <c r="S725">
        <v>1</v>
      </c>
      <c r="T725" t="s">
        <v>58</v>
      </c>
      <c r="U725" t="s">
        <v>59</v>
      </c>
      <c r="V725" s="4">
        <v>0.26</v>
      </c>
      <c r="W725" s="2">
        <v>0</v>
      </c>
      <c r="X725">
        <v>0</v>
      </c>
      <c r="Y725" t="s">
        <v>83</v>
      </c>
      <c r="Z725" t="s">
        <v>61</v>
      </c>
      <c r="AA725">
        <v>0</v>
      </c>
      <c r="AB725" s="2">
        <v>0</v>
      </c>
      <c r="AC725" s="2">
        <v>0</v>
      </c>
      <c r="AD725" s="4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34</v>
      </c>
      <c r="AN725" s="2">
        <v>34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45999</v>
      </c>
      <c r="B726" t="s">
        <v>48</v>
      </c>
      <c r="C726">
        <v>649163</v>
      </c>
      <c r="D726">
        <v>2027712447</v>
      </c>
      <c r="E726" t="s">
        <v>679</v>
      </c>
      <c r="F726" t="s">
        <v>182</v>
      </c>
      <c r="G726" t="s">
        <v>51</v>
      </c>
      <c r="H726" t="s">
        <v>102</v>
      </c>
      <c r="I726" t="s">
        <v>108</v>
      </c>
      <c r="J726" t="s">
        <v>1002</v>
      </c>
      <c r="K726">
        <v>768887</v>
      </c>
      <c r="L726" t="s">
        <v>206</v>
      </c>
      <c r="M726" t="s">
        <v>207</v>
      </c>
      <c r="N726" t="s">
        <v>57</v>
      </c>
      <c r="O726" s="1">
        <v>45748</v>
      </c>
      <c r="Q726" s="1">
        <v>46023</v>
      </c>
      <c r="R726" s="2">
        <v>132.22</v>
      </c>
      <c r="S726">
        <v>1</v>
      </c>
      <c r="T726" t="s">
        <v>58</v>
      </c>
      <c r="U726" t="s">
        <v>59</v>
      </c>
      <c r="V726" s="4">
        <v>0.26</v>
      </c>
      <c r="W726" s="2">
        <v>0</v>
      </c>
      <c r="X726">
        <v>0</v>
      </c>
      <c r="Y726" t="s">
        <v>83</v>
      </c>
      <c r="Z726" t="s">
        <v>61</v>
      </c>
      <c r="AA726">
        <v>0</v>
      </c>
      <c r="AB726" s="2">
        <v>0</v>
      </c>
      <c r="AC726" s="2">
        <v>0</v>
      </c>
      <c r="AD726" s="4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34.380000000000003</v>
      </c>
      <c r="AN726" s="2">
        <v>34.380000000000003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45999</v>
      </c>
      <c r="B727" t="s">
        <v>48</v>
      </c>
      <c r="C727">
        <v>649163</v>
      </c>
      <c r="D727">
        <v>2027889499</v>
      </c>
      <c r="E727" t="s">
        <v>1027</v>
      </c>
      <c r="F727" t="s">
        <v>1028</v>
      </c>
      <c r="G727" t="s">
        <v>51</v>
      </c>
      <c r="H727" t="s">
        <v>102</v>
      </c>
      <c r="I727" t="s">
        <v>108</v>
      </c>
      <c r="J727" t="s">
        <v>1002</v>
      </c>
      <c r="K727">
        <v>768887</v>
      </c>
      <c r="L727" t="s">
        <v>206</v>
      </c>
      <c r="M727" t="s">
        <v>207</v>
      </c>
      <c r="N727" t="s">
        <v>57</v>
      </c>
      <c r="O727" s="1">
        <v>45748</v>
      </c>
      <c r="Q727" s="1">
        <v>46023</v>
      </c>
      <c r="R727" s="2">
        <v>132.22</v>
      </c>
      <c r="S727">
        <v>1</v>
      </c>
      <c r="T727" t="s">
        <v>58</v>
      </c>
      <c r="U727" t="s">
        <v>59</v>
      </c>
      <c r="V727" s="4">
        <v>0.26</v>
      </c>
      <c r="W727" s="2">
        <v>0</v>
      </c>
      <c r="X727">
        <v>0</v>
      </c>
      <c r="Y727" t="s">
        <v>83</v>
      </c>
      <c r="Z727" t="s">
        <v>61</v>
      </c>
      <c r="AA727">
        <v>0</v>
      </c>
      <c r="AB727" s="2">
        <v>0</v>
      </c>
      <c r="AC727" s="2">
        <v>0</v>
      </c>
      <c r="AD727" s="4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34.380000000000003</v>
      </c>
      <c r="AN727" s="2">
        <v>34.380000000000003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45999</v>
      </c>
      <c r="B728" t="s">
        <v>48</v>
      </c>
      <c r="C728">
        <v>649163</v>
      </c>
      <c r="D728">
        <v>2027922845</v>
      </c>
      <c r="E728" t="s">
        <v>205</v>
      </c>
      <c r="F728" t="s">
        <v>872</v>
      </c>
      <c r="G728" t="s">
        <v>51</v>
      </c>
      <c r="H728" t="s">
        <v>102</v>
      </c>
      <c r="I728" t="s">
        <v>108</v>
      </c>
      <c r="J728" t="s">
        <v>1002</v>
      </c>
      <c r="K728">
        <v>768887</v>
      </c>
      <c r="L728" t="s">
        <v>206</v>
      </c>
      <c r="M728" t="s">
        <v>207</v>
      </c>
      <c r="N728" t="s">
        <v>57</v>
      </c>
      <c r="O728" s="1">
        <v>45748</v>
      </c>
      <c r="Q728" s="1">
        <v>46023</v>
      </c>
      <c r="R728" s="2">
        <v>123.21</v>
      </c>
      <c r="S728">
        <v>1</v>
      </c>
      <c r="T728" t="s">
        <v>58</v>
      </c>
      <c r="U728" t="s">
        <v>59</v>
      </c>
      <c r="V728" s="4">
        <v>0.26</v>
      </c>
      <c r="W728" s="2">
        <v>0</v>
      </c>
      <c r="X728">
        <v>0</v>
      </c>
      <c r="Y728" t="s">
        <v>83</v>
      </c>
      <c r="Z728" t="s">
        <v>61</v>
      </c>
      <c r="AA728">
        <v>0</v>
      </c>
      <c r="AB728" s="2">
        <v>0</v>
      </c>
      <c r="AC728" s="2">
        <v>0</v>
      </c>
      <c r="AD728" s="4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32.03</v>
      </c>
      <c r="AN728" s="2">
        <v>32.03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45999</v>
      </c>
      <c r="B729" t="s">
        <v>48</v>
      </c>
      <c r="C729">
        <v>649163</v>
      </c>
      <c r="D729">
        <v>2027922860</v>
      </c>
      <c r="E729" t="s">
        <v>205</v>
      </c>
      <c r="F729" t="s">
        <v>142</v>
      </c>
      <c r="G729" t="s">
        <v>51</v>
      </c>
      <c r="H729" t="s">
        <v>102</v>
      </c>
      <c r="I729" t="s">
        <v>108</v>
      </c>
      <c r="J729" t="s">
        <v>1002</v>
      </c>
      <c r="K729">
        <v>768887</v>
      </c>
      <c r="L729" t="s">
        <v>206</v>
      </c>
      <c r="M729" t="s">
        <v>207</v>
      </c>
      <c r="N729" t="s">
        <v>57</v>
      </c>
      <c r="O729" s="1">
        <v>45748</v>
      </c>
      <c r="Q729" s="1">
        <v>46023</v>
      </c>
      <c r="R729" s="2">
        <v>139.18</v>
      </c>
      <c r="S729">
        <v>1</v>
      </c>
      <c r="T729" t="s">
        <v>58</v>
      </c>
      <c r="U729" t="s">
        <v>59</v>
      </c>
      <c r="V729" s="4">
        <v>0.26</v>
      </c>
      <c r="W729" s="2">
        <v>0</v>
      </c>
      <c r="X729">
        <v>0</v>
      </c>
      <c r="Y729" t="s">
        <v>83</v>
      </c>
      <c r="Z729" t="s">
        <v>61</v>
      </c>
      <c r="AA729">
        <v>0</v>
      </c>
      <c r="AB729" s="2">
        <v>0</v>
      </c>
      <c r="AC729" s="2">
        <v>0</v>
      </c>
      <c r="AD729" s="4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36.19</v>
      </c>
      <c r="AN729" s="2">
        <v>36.19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45999</v>
      </c>
      <c r="B730" t="s">
        <v>48</v>
      </c>
      <c r="C730">
        <v>649163</v>
      </c>
      <c r="D730">
        <v>2027922888</v>
      </c>
      <c r="E730" t="s">
        <v>1027</v>
      </c>
      <c r="F730" t="s">
        <v>662</v>
      </c>
      <c r="G730" t="s">
        <v>51</v>
      </c>
      <c r="H730" t="s">
        <v>102</v>
      </c>
      <c r="I730" t="s">
        <v>108</v>
      </c>
      <c r="J730" t="s">
        <v>1002</v>
      </c>
      <c r="K730">
        <v>768887</v>
      </c>
      <c r="L730" t="s">
        <v>206</v>
      </c>
      <c r="M730" t="s">
        <v>207</v>
      </c>
      <c r="N730" t="s">
        <v>57</v>
      </c>
      <c r="O730" s="1">
        <v>45748</v>
      </c>
      <c r="Q730" s="1">
        <v>46023</v>
      </c>
      <c r="R730" s="2">
        <v>117.05</v>
      </c>
      <c r="S730">
        <v>1</v>
      </c>
      <c r="T730" t="s">
        <v>58</v>
      </c>
      <c r="U730" t="s">
        <v>59</v>
      </c>
      <c r="V730" s="4">
        <v>0.26</v>
      </c>
      <c r="W730" s="2">
        <v>0</v>
      </c>
      <c r="X730">
        <v>0</v>
      </c>
      <c r="Y730" t="s">
        <v>83</v>
      </c>
      <c r="Z730" t="s">
        <v>61</v>
      </c>
      <c r="AA730">
        <v>0</v>
      </c>
      <c r="AB730" s="2">
        <v>0</v>
      </c>
      <c r="AC730" s="2">
        <v>0</v>
      </c>
      <c r="AD730" s="4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30.43</v>
      </c>
      <c r="AN730" s="2">
        <v>30.43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45999</v>
      </c>
      <c r="B731" t="s">
        <v>48</v>
      </c>
      <c r="C731">
        <v>649163</v>
      </c>
      <c r="D731">
        <v>2028361729</v>
      </c>
      <c r="E731" t="s">
        <v>1029</v>
      </c>
      <c r="F731" t="s">
        <v>233</v>
      </c>
      <c r="G731" t="s">
        <v>51</v>
      </c>
      <c r="H731" t="s">
        <v>102</v>
      </c>
      <c r="I731" t="s">
        <v>108</v>
      </c>
      <c r="J731" t="s">
        <v>116</v>
      </c>
      <c r="K731">
        <v>820873</v>
      </c>
      <c r="L731" t="s">
        <v>117</v>
      </c>
      <c r="M731" t="s">
        <v>118</v>
      </c>
      <c r="N731" t="s">
        <v>57</v>
      </c>
      <c r="O731" s="1">
        <v>45778</v>
      </c>
      <c r="Q731" s="1">
        <v>46023</v>
      </c>
      <c r="R731" s="2">
        <v>112.21</v>
      </c>
      <c r="S731">
        <v>1</v>
      </c>
      <c r="T731" t="s">
        <v>58</v>
      </c>
      <c r="U731" t="s">
        <v>59</v>
      </c>
      <c r="V731" s="4">
        <v>0.28000000000000003</v>
      </c>
      <c r="W731" s="2">
        <v>0</v>
      </c>
      <c r="X731">
        <v>0</v>
      </c>
      <c r="Y731" t="s">
        <v>83</v>
      </c>
      <c r="Z731" t="s">
        <v>61</v>
      </c>
      <c r="AA731">
        <v>0</v>
      </c>
      <c r="AB731" s="2">
        <v>0</v>
      </c>
      <c r="AC731" s="2">
        <v>0</v>
      </c>
      <c r="AD731" s="4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31.42</v>
      </c>
      <c r="AN731" s="2">
        <v>31.42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45999</v>
      </c>
      <c r="B732" t="s">
        <v>48</v>
      </c>
      <c r="C732">
        <v>649163</v>
      </c>
      <c r="D732">
        <v>2028422101</v>
      </c>
      <c r="E732" t="s">
        <v>1029</v>
      </c>
      <c r="F732" t="s">
        <v>1030</v>
      </c>
      <c r="G732" t="s">
        <v>51</v>
      </c>
      <c r="H732" t="s">
        <v>102</v>
      </c>
      <c r="I732" t="s">
        <v>108</v>
      </c>
      <c r="J732" t="s">
        <v>116</v>
      </c>
      <c r="K732">
        <v>820873</v>
      </c>
      <c r="L732" t="s">
        <v>117</v>
      </c>
      <c r="M732" t="s">
        <v>118</v>
      </c>
      <c r="N732" t="s">
        <v>57</v>
      </c>
      <c r="O732" s="1">
        <v>45778</v>
      </c>
      <c r="Q732" s="1">
        <v>46023</v>
      </c>
      <c r="R732" s="2">
        <v>143.93</v>
      </c>
      <c r="S732">
        <v>1</v>
      </c>
      <c r="T732" t="s">
        <v>58</v>
      </c>
      <c r="U732" t="s">
        <v>59</v>
      </c>
      <c r="V732" s="4">
        <v>0.28000000000000003</v>
      </c>
      <c r="W732" s="2">
        <v>0</v>
      </c>
      <c r="X732">
        <v>0</v>
      </c>
      <c r="Y732" t="s">
        <v>83</v>
      </c>
      <c r="Z732" t="s">
        <v>61</v>
      </c>
      <c r="AA732">
        <v>0</v>
      </c>
      <c r="AB732" s="2">
        <v>0</v>
      </c>
      <c r="AC732" s="2">
        <v>0</v>
      </c>
      <c r="AD732" s="4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40.299999999999997</v>
      </c>
      <c r="AN732" s="2">
        <v>40.299999999999997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45999</v>
      </c>
      <c r="B733" t="s">
        <v>48</v>
      </c>
      <c r="C733">
        <v>649163</v>
      </c>
      <c r="D733">
        <v>2016794187</v>
      </c>
      <c r="E733" t="s">
        <v>1031</v>
      </c>
      <c r="F733" t="s">
        <v>1032</v>
      </c>
      <c r="G733" t="s">
        <v>51</v>
      </c>
      <c r="H733" t="s">
        <v>210</v>
      </c>
      <c r="I733" t="s">
        <v>126</v>
      </c>
      <c r="J733" t="s">
        <v>127</v>
      </c>
      <c r="K733">
        <v>649793</v>
      </c>
      <c r="L733" t="s">
        <v>81</v>
      </c>
      <c r="M733" t="s">
        <v>128</v>
      </c>
      <c r="N733" t="s">
        <v>57</v>
      </c>
      <c r="O733" s="1">
        <v>44927</v>
      </c>
      <c r="Q733" s="1">
        <v>46023</v>
      </c>
      <c r="R733" s="2">
        <v>21.44</v>
      </c>
      <c r="S733">
        <v>1</v>
      </c>
      <c r="T733" t="s">
        <v>58</v>
      </c>
      <c r="U733" t="s">
        <v>59</v>
      </c>
      <c r="V733" s="4">
        <v>0.15</v>
      </c>
      <c r="W733" s="2">
        <v>0</v>
      </c>
      <c r="X733">
        <v>0</v>
      </c>
      <c r="Y733" t="s">
        <v>60</v>
      </c>
      <c r="Z733" t="s">
        <v>61</v>
      </c>
      <c r="AA733">
        <v>0</v>
      </c>
      <c r="AB733" s="2">
        <v>0</v>
      </c>
      <c r="AC733" s="2">
        <v>0</v>
      </c>
      <c r="AD733" s="4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3.22</v>
      </c>
      <c r="AN733" s="2">
        <v>3.22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45999</v>
      </c>
      <c r="B734" t="s">
        <v>48</v>
      </c>
      <c r="C734">
        <v>649163</v>
      </c>
      <c r="D734">
        <v>2016814851</v>
      </c>
      <c r="E734" t="s">
        <v>1033</v>
      </c>
      <c r="F734" t="s">
        <v>73</v>
      </c>
      <c r="G734" t="s">
        <v>51</v>
      </c>
      <c r="H734" t="s">
        <v>125</v>
      </c>
      <c r="I734" t="s">
        <v>126</v>
      </c>
      <c r="J734" t="s">
        <v>127</v>
      </c>
      <c r="K734">
        <v>649793</v>
      </c>
      <c r="L734" t="s">
        <v>81</v>
      </c>
      <c r="M734" t="s">
        <v>128</v>
      </c>
      <c r="N734" t="s">
        <v>57</v>
      </c>
      <c r="O734" s="1">
        <v>44927</v>
      </c>
      <c r="Q734" s="1">
        <v>46023</v>
      </c>
      <c r="R734" s="2">
        <v>25.73</v>
      </c>
      <c r="S734">
        <v>1</v>
      </c>
      <c r="T734" t="s">
        <v>58</v>
      </c>
      <c r="U734" t="s">
        <v>59</v>
      </c>
      <c r="V734" s="4">
        <v>0.15</v>
      </c>
      <c r="W734" s="2">
        <v>0</v>
      </c>
      <c r="X734">
        <v>0</v>
      </c>
      <c r="Y734" t="s">
        <v>60</v>
      </c>
      <c r="Z734" t="s">
        <v>61</v>
      </c>
      <c r="AA734">
        <v>0</v>
      </c>
      <c r="AB734" s="2">
        <v>0</v>
      </c>
      <c r="AC734" s="2">
        <v>0</v>
      </c>
      <c r="AD734" s="4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3.86</v>
      </c>
      <c r="AN734" s="2">
        <v>3.86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45999</v>
      </c>
      <c r="B735" t="s">
        <v>48</v>
      </c>
      <c r="C735">
        <v>649163</v>
      </c>
      <c r="D735">
        <v>2017242800</v>
      </c>
      <c r="E735" t="s">
        <v>720</v>
      </c>
      <c r="F735" t="s">
        <v>721</v>
      </c>
      <c r="G735" t="s">
        <v>51</v>
      </c>
      <c r="H735" t="s">
        <v>125</v>
      </c>
      <c r="I735" t="s">
        <v>126</v>
      </c>
      <c r="J735" t="s">
        <v>127</v>
      </c>
      <c r="K735">
        <v>652037</v>
      </c>
      <c r="L735" t="s">
        <v>235</v>
      </c>
      <c r="M735" t="s">
        <v>438</v>
      </c>
      <c r="N735" t="s">
        <v>57</v>
      </c>
      <c r="O735" s="1">
        <v>44930</v>
      </c>
      <c r="Q735" s="1">
        <v>46026</v>
      </c>
      <c r="R735" s="2">
        <v>25.73</v>
      </c>
      <c r="S735">
        <v>1</v>
      </c>
      <c r="T735" t="s">
        <v>58</v>
      </c>
      <c r="U735" t="s">
        <v>59</v>
      </c>
      <c r="V735" s="4">
        <v>0.15</v>
      </c>
      <c r="W735" s="2">
        <v>0</v>
      </c>
      <c r="X735">
        <v>0</v>
      </c>
      <c r="Y735" t="s">
        <v>60</v>
      </c>
      <c r="Z735" t="s">
        <v>61</v>
      </c>
      <c r="AA735">
        <v>0</v>
      </c>
      <c r="AB735" s="2">
        <v>0</v>
      </c>
      <c r="AC735" s="2">
        <v>0</v>
      </c>
      <c r="AD735" s="4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3.86</v>
      </c>
      <c r="AN735" s="2">
        <v>3.86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45999</v>
      </c>
      <c r="B736" t="s">
        <v>48</v>
      </c>
      <c r="C736">
        <v>649163</v>
      </c>
      <c r="D736">
        <v>2017242803</v>
      </c>
      <c r="E736" t="s">
        <v>720</v>
      </c>
      <c r="F736" t="s">
        <v>721</v>
      </c>
      <c r="G736" t="s">
        <v>51</v>
      </c>
      <c r="H736" t="s">
        <v>125</v>
      </c>
      <c r="I736" t="s">
        <v>126</v>
      </c>
      <c r="J736" t="s">
        <v>375</v>
      </c>
      <c r="K736">
        <v>652037</v>
      </c>
      <c r="L736" t="s">
        <v>235</v>
      </c>
      <c r="M736" t="s">
        <v>438</v>
      </c>
      <c r="N736" t="s">
        <v>57</v>
      </c>
      <c r="O736" s="1">
        <v>44930</v>
      </c>
      <c r="Q736" s="1">
        <v>46026</v>
      </c>
      <c r="R736" s="2">
        <v>51.63</v>
      </c>
      <c r="S736">
        <v>1</v>
      </c>
      <c r="T736" t="s">
        <v>58</v>
      </c>
      <c r="U736" t="s">
        <v>59</v>
      </c>
      <c r="V736" s="4">
        <v>0.1</v>
      </c>
      <c r="W736" s="2">
        <v>0</v>
      </c>
      <c r="X736">
        <v>0</v>
      </c>
      <c r="Y736" t="s">
        <v>60</v>
      </c>
      <c r="Z736" t="s">
        <v>61</v>
      </c>
      <c r="AA736">
        <v>0</v>
      </c>
      <c r="AB736" s="2">
        <v>0</v>
      </c>
      <c r="AC736" s="2">
        <v>0</v>
      </c>
      <c r="AD736" s="4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5.16</v>
      </c>
      <c r="AN736" s="2">
        <v>5.16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45999</v>
      </c>
      <c r="B737" t="s">
        <v>48</v>
      </c>
      <c r="C737">
        <v>649163</v>
      </c>
      <c r="D737">
        <v>2017340028</v>
      </c>
      <c r="E737" t="s">
        <v>723</v>
      </c>
      <c r="F737" t="s">
        <v>624</v>
      </c>
      <c r="G737" t="s">
        <v>51</v>
      </c>
      <c r="H737" t="s">
        <v>52</v>
      </c>
      <c r="I737" t="s">
        <v>126</v>
      </c>
      <c r="J737" t="s">
        <v>127</v>
      </c>
      <c r="K737">
        <v>652037</v>
      </c>
      <c r="L737" t="s">
        <v>235</v>
      </c>
      <c r="M737" t="s">
        <v>438</v>
      </c>
      <c r="N737" t="s">
        <v>57</v>
      </c>
      <c r="O737" s="1">
        <v>44958</v>
      </c>
      <c r="Q737" s="1">
        <v>46023</v>
      </c>
      <c r="R737" s="2">
        <v>-51.46</v>
      </c>
      <c r="S737">
        <v>1</v>
      </c>
      <c r="T737" t="s">
        <v>58</v>
      </c>
      <c r="U737" t="s">
        <v>59</v>
      </c>
      <c r="V737" s="4">
        <v>0.15</v>
      </c>
      <c r="W737" s="2">
        <v>0</v>
      </c>
      <c r="X737">
        <v>-1</v>
      </c>
      <c r="Y737" t="s">
        <v>60</v>
      </c>
      <c r="Z737" t="s">
        <v>61</v>
      </c>
      <c r="AA737">
        <v>0</v>
      </c>
      <c r="AB737" s="2">
        <v>0</v>
      </c>
      <c r="AC737" s="2">
        <v>0</v>
      </c>
      <c r="AD737" s="4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-7.72</v>
      </c>
      <c r="AN737" s="2">
        <v>-7.72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45999</v>
      </c>
      <c r="B738" t="s">
        <v>48</v>
      </c>
      <c r="C738">
        <v>649163</v>
      </c>
      <c r="D738">
        <v>2017534892</v>
      </c>
      <c r="E738" t="s">
        <v>302</v>
      </c>
      <c r="F738" t="s">
        <v>322</v>
      </c>
      <c r="G738" t="s">
        <v>51</v>
      </c>
      <c r="H738" t="s">
        <v>210</v>
      </c>
      <c r="I738" t="s">
        <v>126</v>
      </c>
      <c r="J738" t="s">
        <v>127</v>
      </c>
      <c r="K738">
        <v>649793</v>
      </c>
      <c r="L738" t="s">
        <v>81</v>
      </c>
      <c r="M738" t="s">
        <v>128</v>
      </c>
      <c r="N738" t="s">
        <v>57</v>
      </c>
      <c r="O738" s="1">
        <v>44986</v>
      </c>
      <c r="Q738" s="1">
        <v>46023</v>
      </c>
      <c r="R738" s="2">
        <v>42.88</v>
      </c>
      <c r="S738">
        <v>1</v>
      </c>
      <c r="T738" t="s">
        <v>58</v>
      </c>
      <c r="U738" t="s">
        <v>59</v>
      </c>
      <c r="V738" s="4">
        <v>0.15</v>
      </c>
      <c r="W738" s="2">
        <v>0</v>
      </c>
      <c r="X738">
        <v>0</v>
      </c>
      <c r="Y738" t="s">
        <v>60</v>
      </c>
      <c r="Z738" t="s">
        <v>61</v>
      </c>
      <c r="AA738">
        <v>0</v>
      </c>
      <c r="AB738" s="2">
        <v>0</v>
      </c>
      <c r="AC738" s="2">
        <v>0</v>
      </c>
      <c r="AD738" s="4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6.43</v>
      </c>
      <c r="AN738" s="2">
        <v>6.43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45999</v>
      </c>
      <c r="B739" t="s">
        <v>48</v>
      </c>
      <c r="C739">
        <v>649163</v>
      </c>
      <c r="D739">
        <v>2017585588</v>
      </c>
      <c r="E739" t="s">
        <v>1034</v>
      </c>
      <c r="F739" t="s">
        <v>1035</v>
      </c>
      <c r="G739" t="s">
        <v>51</v>
      </c>
      <c r="H739" t="s">
        <v>220</v>
      </c>
      <c r="I739" t="s">
        <v>126</v>
      </c>
      <c r="J739" t="s">
        <v>132</v>
      </c>
      <c r="K739">
        <v>649793</v>
      </c>
      <c r="L739" t="s">
        <v>81</v>
      </c>
      <c r="M739" t="s">
        <v>128</v>
      </c>
      <c r="N739" t="s">
        <v>57</v>
      </c>
      <c r="O739" s="1">
        <v>44986</v>
      </c>
      <c r="Q739" s="1">
        <v>46023</v>
      </c>
      <c r="R739" s="2">
        <v>26.82</v>
      </c>
      <c r="S739">
        <v>1</v>
      </c>
      <c r="T739" t="s">
        <v>58</v>
      </c>
      <c r="U739" t="s">
        <v>59</v>
      </c>
      <c r="V739" s="4">
        <v>0.15</v>
      </c>
      <c r="W739" s="2">
        <v>0</v>
      </c>
      <c r="X739">
        <v>0</v>
      </c>
      <c r="Y739" t="s">
        <v>60</v>
      </c>
      <c r="Z739" t="s">
        <v>61</v>
      </c>
      <c r="AA739">
        <v>0</v>
      </c>
      <c r="AB739" s="2">
        <v>0</v>
      </c>
      <c r="AC739" s="2">
        <v>0</v>
      </c>
      <c r="AD739" s="4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4.0199999999999996</v>
      </c>
      <c r="AN739" s="2">
        <v>4.0199999999999996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45999</v>
      </c>
      <c r="B740" t="s">
        <v>48</v>
      </c>
      <c r="C740">
        <v>649163</v>
      </c>
      <c r="D740">
        <v>2017585589</v>
      </c>
      <c r="E740" t="s">
        <v>1034</v>
      </c>
      <c r="F740" t="s">
        <v>1035</v>
      </c>
      <c r="G740" t="s">
        <v>51</v>
      </c>
      <c r="H740" t="s">
        <v>220</v>
      </c>
      <c r="I740" t="s">
        <v>126</v>
      </c>
      <c r="J740" t="s">
        <v>127</v>
      </c>
      <c r="K740">
        <v>649793</v>
      </c>
      <c r="L740" t="s">
        <v>81</v>
      </c>
      <c r="M740" t="s">
        <v>128</v>
      </c>
      <c r="N740" t="s">
        <v>57</v>
      </c>
      <c r="O740" s="1">
        <v>44986</v>
      </c>
      <c r="Q740" s="1">
        <v>46023</v>
      </c>
      <c r="R740" s="2">
        <v>25.73</v>
      </c>
      <c r="S740">
        <v>1</v>
      </c>
      <c r="T740" t="s">
        <v>58</v>
      </c>
      <c r="U740" t="s">
        <v>59</v>
      </c>
      <c r="V740" s="4">
        <v>0.15</v>
      </c>
      <c r="W740" s="2">
        <v>0</v>
      </c>
      <c r="X740">
        <v>0</v>
      </c>
      <c r="Y740" t="s">
        <v>60</v>
      </c>
      <c r="Z740" t="s">
        <v>61</v>
      </c>
      <c r="AA740">
        <v>0</v>
      </c>
      <c r="AB740" s="2">
        <v>0</v>
      </c>
      <c r="AC740" s="2">
        <v>0</v>
      </c>
      <c r="AD740" s="4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3.86</v>
      </c>
      <c r="AN740" s="2">
        <v>3.86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45999</v>
      </c>
      <c r="B741" t="s">
        <v>48</v>
      </c>
      <c r="C741">
        <v>649163</v>
      </c>
      <c r="D741">
        <v>2017629364</v>
      </c>
      <c r="E741" t="s">
        <v>1036</v>
      </c>
      <c r="F741" t="s">
        <v>1037</v>
      </c>
      <c r="G741" t="s">
        <v>51</v>
      </c>
      <c r="H741" t="s">
        <v>308</v>
      </c>
      <c r="I741" t="s">
        <v>126</v>
      </c>
      <c r="J741" t="s">
        <v>132</v>
      </c>
      <c r="K741">
        <v>649793</v>
      </c>
      <c r="L741" t="s">
        <v>81</v>
      </c>
      <c r="M741" t="s">
        <v>128</v>
      </c>
      <c r="N741" t="s">
        <v>57</v>
      </c>
      <c r="O741" s="1">
        <v>44994</v>
      </c>
      <c r="Q741" s="1">
        <v>46031</v>
      </c>
      <c r="R741" s="2">
        <v>58.95</v>
      </c>
      <c r="S741">
        <v>1</v>
      </c>
      <c r="T741" t="s">
        <v>58</v>
      </c>
      <c r="U741" t="s">
        <v>59</v>
      </c>
      <c r="V741" s="4">
        <v>0.15</v>
      </c>
      <c r="W741" s="2">
        <v>0</v>
      </c>
      <c r="X741">
        <v>0</v>
      </c>
      <c r="Y741" t="s">
        <v>60</v>
      </c>
      <c r="Z741" t="s">
        <v>61</v>
      </c>
      <c r="AA741">
        <v>0</v>
      </c>
      <c r="AB741" s="2">
        <v>0</v>
      </c>
      <c r="AC741" s="2">
        <v>0</v>
      </c>
      <c r="AD741" s="4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8.84</v>
      </c>
      <c r="AN741" s="2">
        <v>8.84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45999</v>
      </c>
      <c r="B742" t="s">
        <v>48</v>
      </c>
      <c r="C742">
        <v>649163</v>
      </c>
      <c r="D742">
        <v>2017629365</v>
      </c>
      <c r="E742" t="s">
        <v>1036</v>
      </c>
      <c r="F742" t="s">
        <v>1037</v>
      </c>
      <c r="G742" t="s">
        <v>51</v>
      </c>
      <c r="H742" t="s">
        <v>308</v>
      </c>
      <c r="I742" t="s">
        <v>126</v>
      </c>
      <c r="J742" t="s">
        <v>127</v>
      </c>
      <c r="K742">
        <v>649793</v>
      </c>
      <c r="L742" t="s">
        <v>81</v>
      </c>
      <c r="M742" t="s">
        <v>128</v>
      </c>
      <c r="N742" t="s">
        <v>57</v>
      </c>
      <c r="O742" s="1">
        <v>44994</v>
      </c>
      <c r="Q742" s="1">
        <v>46031</v>
      </c>
      <c r="R742" s="2">
        <v>8.3699999999999992</v>
      </c>
      <c r="S742">
        <v>1</v>
      </c>
      <c r="T742" t="s">
        <v>58</v>
      </c>
      <c r="U742" t="s">
        <v>59</v>
      </c>
      <c r="V742" s="4">
        <v>0.15</v>
      </c>
      <c r="W742" s="2">
        <v>0</v>
      </c>
      <c r="X742">
        <v>0</v>
      </c>
      <c r="Y742" t="s">
        <v>60</v>
      </c>
      <c r="Z742" t="s">
        <v>61</v>
      </c>
      <c r="AA742">
        <v>0</v>
      </c>
      <c r="AB742" s="2">
        <v>0</v>
      </c>
      <c r="AC742" s="2">
        <v>0</v>
      </c>
      <c r="AD742" s="4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1.26</v>
      </c>
      <c r="AN742" s="2">
        <v>1.26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45999</v>
      </c>
      <c r="B743" t="s">
        <v>48</v>
      </c>
      <c r="C743">
        <v>649163</v>
      </c>
      <c r="D743">
        <v>2018091396</v>
      </c>
      <c r="E743" t="s">
        <v>1038</v>
      </c>
      <c r="F743" t="s">
        <v>1039</v>
      </c>
      <c r="G743" t="s">
        <v>51</v>
      </c>
      <c r="H743" t="s">
        <v>374</v>
      </c>
      <c r="I743" t="s">
        <v>126</v>
      </c>
      <c r="J743" t="s">
        <v>375</v>
      </c>
      <c r="K743">
        <v>651818</v>
      </c>
      <c r="L743" t="s">
        <v>246</v>
      </c>
      <c r="M743" t="s">
        <v>247</v>
      </c>
      <c r="N743" t="s">
        <v>57</v>
      </c>
      <c r="O743" s="1">
        <v>45022</v>
      </c>
      <c r="Q743" s="1">
        <v>46028</v>
      </c>
      <c r="R743" s="2">
        <v>164.06</v>
      </c>
      <c r="S743">
        <v>1</v>
      </c>
      <c r="T743" t="s">
        <v>58</v>
      </c>
      <c r="U743" t="s">
        <v>59</v>
      </c>
      <c r="V743" s="4">
        <v>0.1</v>
      </c>
      <c r="W743" s="2">
        <v>0</v>
      </c>
      <c r="X743">
        <v>0</v>
      </c>
      <c r="Y743" t="s">
        <v>60</v>
      </c>
      <c r="Z743" t="s">
        <v>61</v>
      </c>
      <c r="AA743">
        <v>0</v>
      </c>
      <c r="AB743" s="2">
        <v>0</v>
      </c>
      <c r="AC743" s="2">
        <v>0</v>
      </c>
      <c r="AD743" s="4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16.41</v>
      </c>
      <c r="AN743" s="2">
        <v>16.41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45999</v>
      </c>
      <c r="B744" t="s">
        <v>48</v>
      </c>
      <c r="C744">
        <v>649163</v>
      </c>
      <c r="D744">
        <v>2018167735</v>
      </c>
      <c r="E744" t="s">
        <v>740</v>
      </c>
      <c r="F744" t="s">
        <v>96</v>
      </c>
      <c r="G744" t="s">
        <v>51</v>
      </c>
      <c r="H744" t="s">
        <v>741</v>
      </c>
      <c r="I744" t="s">
        <v>126</v>
      </c>
      <c r="J744" t="s">
        <v>375</v>
      </c>
      <c r="K744">
        <v>651818</v>
      </c>
      <c r="L744" t="s">
        <v>246</v>
      </c>
      <c r="M744" t="s">
        <v>247</v>
      </c>
      <c r="N744" t="s">
        <v>57</v>
      </c>
      <c r="O744" s="1">
        <v>45024</v>
      </c>
      <c r="Q744" s="1">
        <v>46030</v>
      </c>
      <c r="R744" s="2">
        <v>75.44</v>
      </c>
      <c r="S744">
        <v>1</v>
      </c>
      <c r="T744" t="s">
        <v>58</v>
      </c>
      <c r="U744" t="s">
        <v>59</v>
      </c>
      <c r="V744" s="4">
        <v>0.1</v>
      </c>
      <c r="W744" s="2">
        <v>0</v>
      </c>
      <c r="X744">
        <v>0</v>
      </c>
      <c r="Y744" t="s">
        <v>60</v>
      </c>
      <c r="Z744" t="s">
        <v>61</v>
      </c>
      <c r="AA744">
        <v>0</v>
      </c>
      <c r="AB744" s="2">
        <v>0</v>
      </c>
      <c r="AC744" s="2">
        <v>0</v>
      </c>
      <c r="AD744" s="4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7.54</v>
      </c>
      <c r="AN744" s="2">
        <v>7.54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45999</v>
      </c>
      <c r="B745" t="s">
        <v>48</v>
      </c>
      <c r="C745">
        <v>649163</v>
      </c>
      <c r="D745">
        <v>2018434794</v>
      </c>
      <c r="E745" t="s">
        <v>171</v>
      </c>
      <c r="F745" t="s">
        <v>172</v>
      </c>
      <c r="G745" t="s">
        <v>51</v>
      </c>
      <c r="H745" t="s">
        <v>125</v>
      </c>
      <c r="I745" t="s">
        <v>126</v>
      </c>
      <c r="J745" t="s">
        <v>127</v>
      </c>
      <c r="K745">
        <v>673059</v>
      </c>
      <c r="L745" t="s">
        <v>81</v>
      </c>
      <c r="M745" t="s">
        <v>82</v>
      </c>
      <c r="N745" t="s">
        <v>57</v>
      </c>
      <c r="O745" s="1">
        <v>45047</v>
      </c>
      <c r="Q745" s="1">
        <v>46023</v>
      </c>
      <c r="R745" s="2">
        <v>25.73</v>
      </c>
      <c r="S745">
        <v>1</v>
      </c>
      <c r="T745" t="s">
        <v>58</v>
      </c>
      <c r="U745" t="s">
        <v>59</v>
      </c>
      <c r="V745" s="4">
        <v>0.15</v>
      </c>
      <c r="W745" s="2">
        <v>0</v>
      </c>
      <c r="X745">
        <v>0</v>
      </c>
      <c r="Y745" t="s">
        <v>60</v>
      </c>
      <c r="Z745" t="s">
        <v>61</v>
      </c>
      <c r="AA745">
        <v>0</v>
      </c>
      <c r="AB745" s="2">
        <v>0</v>
      </c>
      <c r="AC745" s="2">
        <v>0</v>
      </c>
      <c r="AD745" s="4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3.86</v>
      </c>
      <c r="AN745" s="2">
        <v>3.86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45999</v>
      </c>
      <c r="B746" t="s">
        <v>48</v>
      </c>
      <c r="C746">
        <v>649163</v>
      </c>
      <c r="D746">
        <v>2018462892</v>
      </c>
      <c r="E746" t="s">
        <v>744</v>
      </c>
      <c r="F746" t="s">
        <v>745</v>
      </c>
      <c r="G746" t="s">
        <v>51</v>
      </c>
      <c r="H746" t="s">
        <v>97</v>
      </c>
      <c r="I746" t="s">
        <v>126</v>
      </c>
      <c r="J746" t="s">
        <v>127</v>
      </c>
      <c r="K746">
        <v>651818</v>
      </c>
      <c r="L746" t="s">
        <v>246</v>
      </c>
      <c r="M746" t="s">
        <v>247</v>
      </c>
      <c r="N746" t="s">
        <v>57</v>
      </c>
      <c r="O746" s="1">
        <v>45052</v>
      </c>
      <c r="Q746" s="1">
        <v>46028</v>
      </c>
      <c r="R746" s="2">
        <v>51.46</v>
      </c>
      <c r="S746">
        <v>1</v>
      </c>
      <c r="T746" t="s">
        <v>58</v>
      </c>
      <c r="U746" t="s">
        <v>59</v>
      </c>
      <c r="V746" s="4">
        <v>0.15</v>
      </c>
      <c r="W746" s="2">
        <v>0</v>
      </c>
      <c r="X746">
        <v>0</v>
      </c>
      <c r="Y746" t="s">
        <v>60</v>
      </c>
      <c r="Z746" t="s">
        <v>61</v>
      </c>
      <c r="AA746">
        <v>0</v>
      </c>
      <c r="AB746" s="2">
        <v>0</v>
      </c>
      <c r="AC746" s="2">
        <v>0</v>
      </c>
      <c r="AD746" s="4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7.72</v>
      </c>
      <c r="AN746" s="2">
        <v>7.72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45999</v>
      </c>
      <c r="B747" t="s">
        <v>48</v>
      </c>
      <c r="C747">
        <v>649163</v>
      </c>
      <c r="D747">
        <v>2018514897</v>
      </c>
      <c r="E747" t="s">
        <v>746</v>
      </c>
      <c r="F747" t="s">
        <v>747</v>
      </c>
      <c r="G747" t="s">
        <v>51</v>
      </c>
      <c r="H747" t="s">
        <v>220</v>
      </c>
      <c r="I747" t="s">
        <v>126</v>
      </c>
      <c r="J747" t="s">
        <v>127</v>
      </c>
      <c r="K747">
        <v>651818</v>
      </c>
      <c r="L747" t="s">
        <v>246</v>
      </c>
      <c r="M747" t="s">
        <v>247</v>
      </c>
      <c r="N747" t="s">
        <v>57</v>
      </c>
      <c r="O747" s="1">
        <v>45052</v>
      </c>
      <c r="Q747" s="1">
        <v>46028</v>
      </c>
      <c r="R747" s="2">
        <v>25.73</v>
      </c>
      <c r="S747">
        <v>1</v>
      </c>
      <c r="T747" t="s">
        <v>58</v>
      </c>
      <c r="U747" t="s">
        <v>59</v>
      </c>
      <c r="V747" s="4">
        <v>0.15</v>
      </c>
      <c r="W747" s="2">
        <v>0</v>
      </c>
      <c r="X747">
        <v>0</v>
      </c>
      <c r="Y747" t="s">
        <v>60</v>
      </c>
      <c r="Z747" t="s">
        <v>61</v>
      </c>
      <c r="AA747">
        <v>0</v>
      </c>
      <c r="AB747" s="2">
        <v>0</v>
      </c>
      <c r="AC747" s="2">
        <v>0</v>
      </c>
      <c r="AD747" s="4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3.86</v>
      </c>
      <c r="AN747" s="2">
        <v>3.86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45999</v>
      </c>
      <c r="B748" t="s">
        <v>48</v>
      </c>
      <c r="C748">
        <v>649163</v>
      </c>
      <c r="D748">
        <v>2018775436</v>
      </c>
      <c r="E748" t="s">
        <v>942</v>
      </c>
      <c r="F748" t="s">
        <v>827</v>
      </c>
      <c r="G748" t="s">
        <v>51</v>
      </c>
      <c r="H748" t="s">
        <v>210</v>
      </c>
      <c r="I748" t="s">
        <v>126</v>
      </c>
      <c r="J748" t="s">
        <v>132</v>
      </c>
      <c r="K748">
        <v>673059</v>
      </c>
      <c r="L748" t="s">
        <v>81</v>
      </c>
      <c r="M748" t="s">
        <v>82</v>
      </c>
      <c r="N748" t="s">
        <v>57</v>
      </c>
      <c r="O748" s="1">
        <v>45078</v>
      </c>
      <c r="Q748" s="1">
        <v>46023</v>
      </c>
      <c r="R748" s="2">
        <v>75.56</v>
      </c>
      <c r="S748">
        <v>1</v>
      </c>
      <c r="T748" t="s">
        <v>58</v>
      </c>
      <c r="U748" t="s">
        <v>59</v>
      </c>
      <c r="V748" s="4">
        <v>0.15</v>
      </c>
      <c r="W748" s="2">
        <v>0</v>
      </c>
      <c r="X748">
        <v>0</v>
      </c>
      <c r="Y748" t="s">
        <v>60</v>
      </c>
      <c r="Z748" t="s">
        <v>61</v>
      </c>
      <c r="AA748">
        <v>0</v>
      </c>
      <c r="AB748" s="2">
        <v>0</v>
      </c>
      <c r="AC748" s="2">
        <v>0</v>
      </c>
      <c r="AD748" s="4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11.33</v>
      </c>
      <c r="AN748" s="2">
        <v>11.33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45999</v>
      </c>
      <c r="B749" t="s">
        <v>48</v>
      </c>
      <c r="C749">
        <v>649163</v>
      </c>
      <c r="D749">
        <v>2018854837</v>
      </c>
      <c r="E749" t="s">
        <v>748</v>
      </c>
      <c r="F749" t="s">
        <v>1040</v>
      </c>
      <c r="G749" t="s">
        <v>51</v>
      </c>
      <c r="I749" t="s">
        <v>126</v>
      </c>
      <c r="J749" t="s">
        <v>132</v>
      </c>
      <c r="K749">
        <v>673059</v>
      </c>
      <c r="L749" t="s">
        <v>81</v>
      </c>
      <c r="M749" t="s">
        <v>82</v>
      </c>
      <c r="N749" t="s">
        <v>57</v>
      </c>
      <c r="O749" s="1">
        <v>45078</v>
      </c>
      <c r="Q749" s="1">
        <v>46023</v>
      </c>
      <c r="R749" s="2">
        <v>35.369999999999997</v>
      </c>
      <c r="S749">
        <v>1</v>
      </c>
      <c r="T749" t="s">
        <v>58</v>
      </c>
      <c r="U749" t="s">
        <v>59</v>
      </c>
      <c r="V749" s="4">
        <v>0.15</v>
      </c>
      <c r="W749" s="2">
        <v>0</v>
      </c>
      <c r="X749">
        <v>0</v>
      </c>
      <c r="Y749" t="s">
        <v>60</v>
      </c>
      <c r="Z749" t="s">
        <v>61</v>
      </c>
      <c r="AA749">
        <v>0</v>
      </c>
      <c r="AB749" s="2">
        <v>0</v>
      </c>
      <c r="AC749" s="2">
        <v>0</v>
      </c>
      <c r="AD749" s="4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5.31</v>
      </c>
      <c r="AN749" s="2">
        <v>5.31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45999</v>
      </c>
      <c r="B750" t="s">
        <v>48</v>
      </c>
      <c r="C750">
        <v>649163</v>
      </c>
      <c r="D750">
        <v>2018855163</v>
      </c>
      <c r="E750" t="s">
        <v>748</v>
      </c>
      <c r="F750" t="s">
        <v>749</v>
      </c>
      <c r="G750" t="s">
        <v>51</v>
      </c>
      <c r="I750" t="s">
        <v>126</v>
      </c>
      <c r="J750" t="s">
        <v>132</v>
      </c>
      <c r="K750">
        <v>673059</v>
      </c>
      <c r="L750" t="s">
        <v>81</v>
      </c>
      <c r="M750" t="s">
        <v>82</v>
      </c>
      <c r="N750" t="s">
        <v>57</v>
      </c>
      <c r="O750" s="1">
        <v>45078</v>
      </c>
      <c r="Q750" s="1">
        <v>46023</v>
      </c>
      <c r="R750" s="2">
        <v>97.89</v>
      </c>
      <c r="S750">
        <v>1</v>
      </c>
      <c r="T750" t="s">
        <v>58</v>
      </c>
      <c r="U750" t="s">
        <v>59</v>
      </c>
      <c r="V750" s="4">
        <v>0.15</v>
      </c>
      <c r="W750" s="2">
        <v>0</v>
      </c>
      <c r="X750">
        <v>0</v>
      </c>
      <c r="Y750" t="s">
        <v>60</v>
      </c>
      <c r="Z750" t="s">
        <v>61</v>
      </c>
      <c r="AA750">
        <v>0</v>
      </c>
      <c r="AB750" s="2">
        <v>0</v>
      </c>
      <c r="AC750" s="2">
        <v>0</v>
      </c>
      <c r="AD750" s="4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14.68</v>
      </c>
      <c r="AN750" s="2">
        <v>14.68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45999</v>
      </c>
      <c r="B751" t="s">
        <v>48</v>
      </c>
      <c r="C751">
        <v>649163</v>
      </c>
      <c r="D751">
        <v>2018924838</v>
      </c>
      <c r="E751" t="s">
        <v>1041</v>
      </c>
      <c r="F751" t="s">
        <v>260</v>
      </c>
      <c r="G751" t="s">
        <v>51</v>
      </c>
      <c r="H751" t="s">
        <v>163</v>
      </c>
      <c r="I751" t="s">
        <v>126</v>
      </c>
      <c r="J751" t="s">
        <v>127</v>
      </c>
      <c r="K751">
        <v>652037</v>
      </c>
      <c r="L751" t="s">
        <v>235</v>
      </c>
      <c r="M751" t="s">
        <v>438</v>
      </c>
      <c r="N751" t="s">
        <v>57</v>
      </c>
      <c r="O751" s="1">
        <v>45084</v>
      </c>
      <c r="Q751" s="1">
        <v>46029</v>
      </c>
      <c r="R751" s="2">
        <v>24.61</v>
      </c>
      <c r="S751">
        <v>1</v>
      </c>
      <c r="T751" t="s">
        <v>58</v>
      </c>
      <c r="U751" t="s">
        <v>59</v>
      </c>
      <c r="V751" s="4">
        <v>0.15</v>
      </c>
      <c r="W751" s="2">
        <v>0</v>
      </c>
      <c r="X751">
        <v>0</v>
      </c>
      <c r="Y751" t="s">
        <v>60</v>
      </c>
      <c r="Z751" t="s">
        <v>61</v>
      </c>
      <c r="AA751">
        <v>0</v>
      </c>
      <c r="AB751" s="2">
        <v>0</v>
      </c>
      <c r="AC751" s="2">
        <v>0</v>
      </c>
      <c r="AD751" s="4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3.69</v>
      </c>
      <c r="AN751" s="2">
        <v>3.69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45999</v>
      </c>
      <c r="B752" t="s">
        <v>48</v>
      </c>
      <c r="C752">
        <v>649163</v>
      </c>
      <c r="D752">
        <v>2018966124</v>
      </c>
      <c r="E752" t="s">
        <v>1042</v>
      </c>
      <c r="F752" t="s">
        <v>1043</v>
      </c>
      <c r="G752" t="s">
        <v>51</v>
      </c>
      <c r="H752" t="s">
        <v>163</v>
      </c>
      <c r="I752" t="s">
        <v>126</v>
      </c>
      <c r="J752" t="s">
        <v>127</v>
      </c>
      <c r="K752">
        <v>652037</v>
      </c>
      <c r="L752" t="s">
        <v>235</v>
      </c>
      <c r="M752" t="s">
        <v>438</v>
      </c>
      <c r="N752" t="s">
        <v>57</v>
      </c>
      <c r="O752" s="1">
        <v>45087</v>
      </c>
      <c r="Q752" s="1">
        <v>46032</v>
      </c>
      <c r="R752" s="2">
        <v>24.61</v>
      </c>
      <c r="S752">
        <v>1</v>
      </c>
      <c r="T752" t="s">
        <v>58</v>
      </c>
      <c r="U752" t="s">
        <v>59</v>
      </c>
      <c r="V752" s="4">
        <v>0.15</v>
      </c>
      <c r="W752" s="2">
        <v>0</v>
      </c>
      <c r="X752">
        <v>0</v>
      </c>
      <c r="Y752" t="s">
        <v>60</v>
      </c>
      <c r="Z752" t="s">
        <v>61</v>
      </c>
      <c r="AA752">
        <v>0</v>
      </c>
      <c r="AB752" s="2">
        <v>0</v>
      </c>
      <c r="AC752" s="2">
        <v>0</v>
      </c>
      <c r="AD752" s="4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3.69</v>
      </c>
      <c r="AN752" s="2">
        <v>3.69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45999</v>
      </c>
      <c r="B753" t="s">
        <v>48</v>
      </c>
      <c r="C753">
        <v>649163</v>
      </c>
      <c r="D753">
        <v>2019319907</v>
      </c>
      <c r="E753" t="s">
        <v>1044</v>
      </c>
      <c r="F753" t="s">
        <v>1045</v>
      </c>
      <c r="G753" t="s">
        <v>51</v>
      </c>
      <c r="H753" t="s">
        <v>386</v>
      </c>
      <c r="I753" t="s">
        <v>126</v>
      </c>
      <c r="J753" t="s">
        <v>375</v>
      </c>
      <c r="K753">
        <v>651818</v>
      </c>
      <c r="L753" t="s">
        <v>246</v>
      </c>
      <c r="M753" t="s">
        <v>247</v>
      </c>
      <c r="N753" t="s">
        <v>57</v>
      </c>
      <c r="O753" s="1">
        <v>45118</v>
      </c>
      <c r="Q753" s="1">
        <v>46033</v>
      </c>
      <c r="R753" s="2">
        <v>32.58</v>
      </c>
      <c r="S753">
        <v>1</v>
      </c>
      <c r="T753" t="s">
        <v>58</v>
      </c>
      <c r="U753" t="s">
        <v>59</v>
      </c>
      <c r="V753" s="4">
        <v>0.1</v>
      </c>
      <c r="W753" s="2">
        <v>0</v>
      </c>
      <c r="X753">
        <v>0</v>
      </c>
      <c r="Y753" t="s">
        <v>60</v>
      </c>
      <c r="Z753" t="s">
        <v>61</v>
      </c>
      <c r="AA753">
        <v>0</v>
      </c>
      <c r="AB753" s="2">
        <v>0</v>
      </c>
      <c r="AC753" s="2">
        <v>0</v>
      </c>
      <c r="AD753" s="4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3.26</v>
      </c>
      <c r="AN753" s="2">
        <v>3.26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45999</v>
      </c>
      <c r="B754" t="s">
        <v>48</v>
      </c>
      <c r="C754">
        <v>649163</v>
      </c>
      <c r="D754">
        <v>2020736331</v>
      </c>
      <c r="E754" t="s">
        <v>728</v>
      </c>
      <c r="F754" t="s">
        <v>385</v>
      </c>
      <c r="G754" t="s">
        <v>51</v>
      </c>
      <c r="H754" t="s">
        <v>52</v>
      </c>
      <c r="I754" t="s">
        <v>126</v>
      </c>
      <c r="J754" t="s">
        <v>127</v>
      </c>
      <c r="K754">
        <v>649164</v>
      </c>
      <c r="L754" t="s">
        <v>64</v>
      </c>
      <c r="M754" t="s">
        <v>65</v>
      </c>
      <c r="N754" t="s">
        <v>57</v>
      </c>
      <c r="O754" s="1">
        <v>45261</v>
      </c>
      <c r="Q754" s="1">
        <v>46023</v>
      </c>
      <c r="R754" s="2">
        <v>25.73</v>
      </c>
      <c r="S754">
        <v>1</v>
      </c>
      <c r="T754" t="s">
        <v>58</v>
      </c>
      <c r="U754" t="s">
        <v>59</v>
      </c>
      <c r="V754" s="4">
        <v>0.15</v>
      </c>
      <c r="W754" s="2">
        <v>0</v>
      </c>
      <c r="X754">
        <v>0</v>
      </c>
      <c r="Y754" t="s">
        <v>60</v>
      </c>
      <c r="Z754" t="s">
        <v>61</v>
      </c>
      <c r="AA754">
        <v>0</v>
      </c>
      <c r="AB754" s="2">
        <v>0</v>
      </c>
      <c r="AC754" s="2">
        <v>0</v>
      </c>
      <c r="AD754" s="4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3.86</v>
      </c>
      <c r="AN754" s="2">
        <v>3.86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45999</v>
      </c>
      <c r="B755" t="s">
        <v>48</v>
      </c>
      <c r="C755">
        <v>649163</v>
      </c>
      <c r="D755">
        <v>2020737470</v>
      </c>
      <c r="E755" t="s">
        <v>1046</v>
      </c>
      <c r="F755" t="s">
        <v>63</v>
      </c>
      <c r="G755" t="s">
        <v>51</v>
      </c>
      <c r="H755" t="s">
        <v>52</v>
      </c>
      <c r="I755" t="s">
        <v>126</v>
      </c>
      <c r="J755" t="s">
        <v>375</v>
      </c>
      <c r="K755">
        <v>702406</v>
      </c>
      <c r="L755" t="s">
        <v>581</v>
      </c>
      <c r="M755" t="s">
        <v>582</v>
      </c>
      <c r="N755" t="s">
        <v>57</v>
      </c>
      <c r="O755" s="1">
        <v>45240</v>
      </c>
      <c r="Q755" s="1">
        <v>46032</v>
      </c>
      <c r="R755" s="2">
        <v>123.44</v>
      </c>
      <c r="S755">
        <v>1</v>
      </c>
      <c r="T755" t="s">
        <v>58</v>
      </c>
      <c r="U755" t="s">
        <v>59</v>
      </c>
      <c r="V755" s="4">
        <v>0.1</v>
      </c>
      <c r="W755" s="2">
        <v>0</v>
      </c>
      <c r="X755">
        <v>0</v>
      </c>
      <c r="Y755" t="s">
        <v>60</v>
      </c>
      <c r="Z755" t="s">
        <v>61</v>
      </c>
      <c r="AA755">
        <v>0</v>
      </c>
      <c r="AB755" s="2">
        <v>0</v>
      </c>
      <c r="AC755" s="2">
        <v>0</v>
      </c>
      <c r="AD755" s="4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12.34</v>
      </c>
      <c r="AN755" s="2">
        <v>12.34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45999</v>
      </c>
      <c r="B756" t="s">
        <v>48</v>
      </c>
      <c r="C756">
        <v>649163</v>
      </c>
      <c r="D756">
        <v>2021055300</v>
      </c>
      <c r="E756" t="s">
        <v>729</v>
      </c>
      <c r="F756" t="s">
        <v>730</v>
      </c>
      <c r="G756" t="s">
        <v>51</v>
      </c>
      <c r="H756" t="s">
        <v>52</v>
      </c>
      <c r="I756" t="s">
        <v>126</v>
      </c>
      <c r="J756" t="s">
        <v>127</v>
      </c>
      <c r="K756">
        <v>649164</v>
      </c>
      <c r="L756" t="s">
        <v>64</v>
      </c>
      <c r="M756" t="s">
        <v>65</v>
      </c>
      <c r="N756" t="s">
        <v>57</v>
      </c>
      <c r="O756" s="1">
        <v>45292</v>
      </c>
      <c r="Q756" s="1">
        <v>46023</v>
      </c>
      <c r="R756" s="2">
        <v>25.73</v>
      </c>
      <c r="S756">
        <v>1</v>
      </c>
      <c r="T756" t="s">
        <v>58</v>
      </c>
      <c r="U756" t="s">
        <v>59</v>
      </c>
      <c r="V756" s="4">
        <v>0.15</v>
      </c>
      <c r="W756" s="2">
        <v>0</v>
      </c>
      <c r="X756">
        <v>0</v>
      </c>
      <c r="Y756" t="s">
        <v>60</v>
      </c>
      <c r="Z756" t="s">
        <v>61</v>
      </c>
      <c r="AA756">
        <v>0</v>
      </c>
      <c r="AB756" s="2">
        <v>0</v>
      </c>
      <c r="AC756" s="2">
        <v>0</v>
      </c>
      <c r="AD756" s="4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3.86</v>
      </c>
      <c r="AN756" s="2">
        <v>3.86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45999</v>
      </c>
      <c r="B757" t="s">
        <v>48</v>
      </c>
      <c r="C757">
        <v>649163</v>
      </c>
      <c r="D757">
        <v>2021092887</v>
      </c>
      <c r="E757" t="s">
        <v>754</v>
      </c>
      <c r="F757" t="s">
        <v>755</v>
      </c>
      <c r="G757" t="s">
        <v>51</v>
      </c>
      <c r="H757" t="s">
        <v>97</v>
      </c>
      <c r="I757" t="s">
        <v>126</v>
      </c>
      <c r="J757" t="s">
        <v>375</v>
      </c>
      <c r="K757">
        <v>651818</v>
      </c>
      <c r="L757" t="s">
        <v>246</v>
      </c>
      <c r="M757" t="s">
        <v>247</v>
      </c>
      <c r="N757" t="s">
        <v>57</v>
      </c>
      <c r="O757" s="1">
        <v>45295</v>
      </c>
      <c r="Q757" s="1">
        <v>46026</v>
      </c>
      <c r="R757" s="2">
        <v>32.58</v>
      </c>
      <c r="S757">
        <v>1</v>
      </c>
      <c r="T757" t="s">
        <v>58</v>
      </c>
      <c r="U757" t="s">
        <v>59</v>
      </c>
      <c r="V757" s="4">
        <v>0.1</v>
      </c>
      <c r="W757" s="2">
        <v>0</v>
      </c>
      <c r="X757">
        <v>0</v>
      </c>
      <c r="Y757" t="s">
        <v>60</v>
      </c>
      <c r="Z757" t="s">
        <v>61</v>
      </c>
      <c r="AA757">
        <v>0</v>
      </c>
      <c r="AB757" s="2">
        <v>0</v>
      </c>
      <c r="AC757" s="2">
        <v>0</v>
      </c>
      <c r="AD757" s="4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3.26</v>
      </c>
      <c r="AN757" s="2">
        <v>3.26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45999</v>
      </c>
      <c r="B758" t="s">
        <v>48</v>
      </c>
      <c r="C758">
        <v>649163</v>
      </c>
      <c r="D758">
        <v>2021166477</v>
      </c>
      <c r="E758" t="s">
        <v>731</v>
      </c>
      <c r="F758" t="s">
        <v>732</v>
      </c>
      <c r="G758" t="s">
        <v>51</v>
      </c>
      <c r="H758" t="s">
        <v>52</v>
      </c>
      <c r="I758" t="s">
        <v>126</v>
      </c>
      <c r="J758" t="s">
        <v>127</v>
      </c>
      <c r="K758">
        <v>649164</v>
      </c>
      <c r="L758" t="s">
        <v>64</v>
      </c>
      <c r="M758" t="s">
        <v>65</v>
      </c>
      <c r="N758" t="s">
        <v>57</v>
      </c>
      <c r="O758" s="1">
        <v>45292</v>
      </c>
      <c r="Q758" s="1">
        <v>46023</v>
      </c>
      <c r="R758" s="2">
        <v>25.73</v>
      </c>
      <c r="S758">
        <v>1</v>
      </c>
      <c r="T758" t="s">
        <v>58</v>
      </c>
      <c r="U758" t="s">
        <v>59</v>
      </c>
      <c r="V758" s="4">
        <v>0.15</v>
      </c>
      <c r="W758" s="2">
        <v>0</v>
      </c>
      <c r="X758">
        <v>0</v>
      </c>
      <c r="Y758" t="s">
        <v>60</v>
      </c>
      <c r="Z758" t="s">
        <v>61</v>
      </c>
      <c r="AA758">
        <v>0</v>
      </c>
      <c r="AB758" s="2">
        <v>0</v>
      </c>
      <c r="AC758" s="2">
        <v>0</v>
      </c>
      <c r="AD758" s="4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3.86</v>
      </c>
      <c r="AN758" s="2">
        <v>3.86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45999</v>
      </c>
      <c r="B759" t="s">
        <v>48</v>
      </c>
      <c r="C759">
        <v>649163</v>
      </c>
      <c r="D759">
        <v>2021785654</v>
      </c>
      <c r="E759" t="s">
        <v>244</v>
      </c>
      <c r="F759" t="s">
        <v>168</v>
      </c>
      <c r="G759" t="s">
        <v>51</v>
      </c>
      <c r="H759" t="s">
        <v>97</v>
      </c>
      <c r="I759" t="s">
        <v>126</v>
      </c>
      <c r="J759" t="s">
        <v>132</v>
      </c>
      <c r="K759">
        <v>651818</v>
      </c>
      <c r="L759" t="s">
        <v>246</v>
      </c>
      <c r="M759" t="s">
        <v>247</v>
      </c>
      <c r="N759" t="s">
        <v>57</v>
      </c>
      <c r="O759" s="1">
        <v>45357</v>
      </c>
      <c r="Q759" s="1">
        <v>46028</v>
      </c>
      <c r="R759" s="2">
        <v>67</v>
      </c>
      <c r="S759">
        <v>1</v>
      </c>
      <c r="T759" t="s">
        <v>58</v>
      </c>
      <c r="U759" t="s">
        <v>59</v>
      </c>
      <c r="V759" s="4">
        <v>0.15</v>
      </c>
      <c r="W759" s="2">
        <v>0</v>
      </c>
      <c r="X759">
        <v>0</v>
      </c>
      <c r="Y759" t="s">
        <v>60</v>
      </c>
      <c r="Z759" t="s">
        <v>61</v>
      </c>
      <c r="AA759">
        <v>0</v>
      </c>
      <c r="AB759" s="2">
        <v>0</v>
      </c>
      <c r="AC759" s="2">
        <v>0</v>
      </c>
      <c r="AD759" s="4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10.050000000000001</v>
      </c>
      <c r="AN759" s="2">
        <v>10.050000000000001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45999</v>
      </c>
      <c r="B760" t="s">
        <v>48</v>
      </c>
      <c r="C760">
        <v>649163</v>
      </c>
      <c r="D760">
        <v>2021802311</v>
      </c>
      <c r="E760" t="s">
        <v>760</v>
      </c>
      <c r="F760" t="s">
        <v>137</v>
      </c>
      <c r="G760" t="s">
        <v>51</v>
      </c>
      <c r="H760" t="s">
        <v>97</v>
      </c>
      <c r="I760" t="s">
        <v>126</v>
      </c>
      <c r="J760" t="s">
        <v>375</v>
      </c>
      <c r="K760">
        <v>651818</v>
      </c>
      <c r="L760" t="s">
        <v>246</v>
      </c>
      <c r="M760" t="s">
        <v>247</v>
      </c>
      <c r="N760" t="s">
        <v>57</v>
      </c>
      <c r="O760" s="1">
        <v>45357</v>
      </c>
      <c r="Q760" s="1">
        <v>46028</v>
      </c>
      <c r="R760" s="2">
        <v>83.63</v>
      </c>
      <c r="S760">
        <v>1</v>
      </c>
      <c r="T760" t="s">
        <v>58</v>
      </c>
      <c r="U760" t="s">
        <v>59</v>
      </c>
      <c r="V760" s="4">
        <v>0.1</v>
      </c>
      <c r="W760" s="2">
        <v>0</v>
      </c>
      <c r="X760">
        <v>0</v>
      </c>
      <c r="Y760" t="s">
        <v>60</v>
      </c>
      <c r="Z760" t="s">
        <v>61</v>
      </c>
      <c r="AA760">
        <v>0</v>
      </c>
      <c r="AB760" s="2">
        <v>0</v>
      </c>
      <c r="AC760" s="2">
        <v>0</v>
      </c>
      <c r="AD760" s="4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8.36</v>
      </c>
      <c r="AN760" s="2">
        <v>8.36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45999</v>
      </c>
      <c r="B761" t="s">
        <v>48</v>
      </c>
      <c r="C761">
        <v>649163</v>
      </c>
      <c r="D761">
        <v>2021875118</v>
      </c>
      <c r="E761" t="s">
        <v>1047</v>
      </c>
      <c r="F761" t="s">
        <v>553</v>
      </c>
      <c r="G761" t="s">
        <v>51</v>
      </c>
      <c r="H761" t="s">
        <v>374</v>
      </c>
      <c r="I761" t="s">
        <v>126</v>
      </c>
      <c r="J761" t="s">
        <v>375</v>
      </c>
      <c r="K761">
        <v>651818</v>
      </c>
      <c r="L761" t="s">
        <v>246</v>
      </c>
      <c r="M761" t="s">
        <v>247</v>
      </c>
      <c r="N761" t="s">
        <v>57</v>
      </c>
      <c r="O761" s="1">
        <v>45357</v>
      </c>
      <c r="Q761" s="1">
        <v>46028</v>
      </c>
      <c r="R761" s="2">
        <v>107.33</v>
      </c>
      <c r="S761">
        <v>1</v>
      </c>
      <c r="T761" t="s">
        <v>58</v>
      </c>
      <c r="U761" t="s">
        <v>59</v>
      </c>
      <c r="V761" s="4">
        <v>0.1</v>
      </c>
      <c r="W761" s="2">
        <v>0</v>
      </c>
      <c r="X761">
        <v>0</v>
      </c>
      <c r="Y761" t="s">
        <v>60</v>
      </c>
      <c r="Z761" t="s">
        <v>61</v>
      </c>
      <c r="AA761">
        <v>0</v>
      </c>
      <c r="AB761" s="2">
        <v>0</v>
      </c>
      <c r="AC761" s="2">
        <v>0</v>
      </c>
      <c r="AD761" s="4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10.73</v>
      </c>
      <c r="AN761" s="2">
        <v>10.73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45999</v>
      </c>
      <c r="B762" t="s">
        <v>48</v>
      </c>
      <c r="C762">
        <v>649163</v>
      </c>
      <c r="D762">
        <v>2022025992</v>
      </c>
      <c r="E762" t="s">
        <v>1048</v>
      </c>
      <c r="F762" t="s">
        <v>678</v>
      </c>
      <c r="G762" t="s">
        <v>51</v>
      </c>
      <c r="H762" t="s">
        <v>102</v>
      </c>
      <c r="I762" t="s">
        <v>126</v>
      </c>
      <c r="J762" t="s">
        <v>132</v>
      </c>
      <c r="K762">
        <v>651818</v>
      </c>
      <c r="L762" t="s">
        <v>246</v>
      </c>
      <c r="M762" t="s">
        <v>247</v>
      </c>
      <c r="N762" t="s">
        <v>57</v>
      </c>
      <c r="O762" s="1">
        <v>45357</v>
      </c>
      <c r="Q762" s="1">
        <v>46028</v>
      </c>
      <c r="R762" s="2">
        <v>28</v>
      </c>
      <c r="S762">
        <v>1</v>
      </c>
      <c r="T762" t="s">
        <v>58</v>
      </c>
      <c r="U762" t="s">
        <v>59</v>
      </c>
      <c r="V762" s="4">
        <v>0.15</v>
      </c>
      <c r="W762" s="2">
        <v>0</v>
      </c>
      <c r="X762">
        <v>0</v>
      </c>
      <c r="Y762" t="s">
        <v>60</v>
      </c>
      <c r="Z762" t="s">
        <v>61</v>
      </c>
      <c r="AA762">
        <v>0</v>
      </c>
      <c r="AB762" s="2">
        <v>0</v>
      </c>
      <c r="AC762" s="2">
        <v>0</v>
      </c>
      <c r="AD762" s="4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4.2</v>
      </c>
      <c r="AN762" s="2">
        <v>4.2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45999</v>
      </c>
      <c r="B763" t="s">
        <v>48</v>
      </c>
      <c r="C763">
        <v>649163</v>
      </c>
      <c r="D763">
        <v>2022385258</v>
      </c>
      <c r="E763" t="s">
        <v>293</v>
      </c>
      <c r="F763" t="s">
        <v>144</v>
      </c>
      <c r="G763" t="s">
        <v>51</v>
      </c>
      <c r="H763" t="s">
        <v>125</v>
      </c>
      <c r="I763" t="s">
        <v>126</v>
      </c>
      <c r="J763" t="s">
        <v>132</v>
      </c>
      <c r="K763">
        <v>651818</v>
      </c>
      <c r="L763" t="s">
        <v>246</v>
      </c>
      <c r="M763" t="s">
        <v>247</v>
      </c>
      <c r="N763" t="s">
        <v>57</v>
      </c>
      <c r="O763" s="1">
        <v>45388</v>
      </c>
      <c r="Q763" s="1">
        <v>46028</v>
      </c>
      <c r="R763" s="2">
        <v>2.8</v>
      </c>
      <c r="S763">
        <v>1</v>
      </c>
      <c r="T763" t="s">
        <v>58</v>
      </c>
      <c r="U763" t="s">
        <v>59</v>
      </c>
      <c r="V763" s="4">
        <v>0.15</v>
      </c>
      <c r="W763" s="2">
        <v>0</v>
      </c>
      <c r="X763">
        <v>0</v>
      </c>
      <c r="Y763" t="s">
        <v>60</v>
      </c>
      <c r="Z763" t="s">
        <v>61</v>
      </c>
      <c r="AA763">
        <v>0</v>
      </c>
      <c r="AB763" s="2">
        <v>0</v>
      </c>
      <c r="AC763" s="2">
        <v>0</v>
      </c>
      <c r="AD763" s="4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0.42</v>
      </c>
      <c r="AN763" s="2">
        <v>0.42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45999</v>
      </c>
      <c r="B764" t="s">
        <v>48</v>
      </c>
      <c r="C764">
        <v>649163</v>
      </c>
      <c r="D764">
        <v>2022623337</v>
      </c>
      <c r="E764" t="s">
        <v>1049</v>
      </c>
      <c r="F764" t="s">
        <v>582</v>
      </c>
      <c r="G764" t="s">
        <v>51</v>
      </c>
      <c r="H764" t="s">
        <v>102</v>
      </c>
      <c r="I764" t="s">
        <v>126</v>
      </c>
      <c r="J764" t="s">
        <v>132</v>
      </c>
      <c r="K764">
        <v>651818</v>
      </c>
      <c r="L764" t="s">
        <v>246</v>
      </c>
      <c r="M764" t="s">
        <v>247</v>
      </c>
      <c r="N764" t="s">
        <v>57</v>
      </c>
      <c r="O764" s="1">
        <v>45392</v>
      </c>
      <c r="Q764" s="1">
        <v>46032</v>
      </c>
      <c r="R764" s="2">
        <v>388.92</v>
      </c>
      <c r="S764">
        <v>1</v>
      </c>
      <c r="T764" t="s">
        <v>58</v>
      </c>
      <c r="U764" t="s">
        <v>59</v>
      </c>
      <c r="V764" s="4">
        <v>0.15</v>
      </c>
      <c r="W764" s="2">
        <v>0</v>
      </c>
      <c r="X764">
        <v>0</v>
      </c>
      <c r="Y764" t="s">
        <v>60</v>
      </c>
      <c r="Z764" t="s">
        <v>61</v>
      </c>
      <c r="AA764">
        <v>0</v>
      </c>
      <c r="AB764" s="2">
        <v>0</v>
      </c>
      <c r="AC764" s="2">
        <v>0</v>
      </c>
      <c r="AD764" s="4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58.34</v>
      </c>
      <c r="AN764" s="2">
        <v>58.34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45999</v>
      </c>
      <c r="B765" t="s">
        <v>48</v>
      </c>
      <c r="C765">
        <v>649163</v>
      </c>
      <c r="D765">
        <v>2022807452</v>
      </c>
      <c r="E765" t="s">
        <v>1050</v>
      </c>
      <c r="F765" t="s">
        <v>71</v>
      </c>
      <c r="G765" t="s">
        <v>51</v>
      </c>
      <c r="H765" t="s">
        <v>102</v>
      </c>
      <c r="I765" t="s">
        <v>126</v>
      </c>
      <c r="J765" t="s">
        <v>132</v>
      </c>
      <c r="K765">
        <v>651818</v>
      </c>
      <c r="L765" t="s">
        <v>246</v>
      </c>
      <c r="M765" t="s">
        <v>247</v>
      </c>
      <c r="N765" t="s">
        <v>57</v>
      </c>
      <c r="O765" s="1">
        <v>45418</v>
      </c>
      <c r="Q765" s="1">
        <v>46028</v>
      </c>
      <c r="R765" s="2">
        <v>148.27000000000001</v>
      </c>
      <c r="S765">
        <v>1</v>
      </c>
      <c r="T765" t="s">
        <v>58</v>
      </c>
      <c r="U765" t="s">
        <v>59</v>
      </c>
      <c r="V765" s="4">
        <v>0.15</v>
      </c>
      <c r="W765" s="2">
        <v>0</v>
      </c>
      <c r="X765">
        <v>0</v>
      </c>
      <c r="Y765" t="s">
        <v>60</v>
      </c>
      <c r="Z765" t="s">
        <v>61</v>
      </c>
      <c r="AA765">
        <v>0</v>
      </c>
      <c r="AB765" s="2">
        <v>0</v>
      </c>
      <c r="AC765" s="2">
        <v>0</v>
      </c>
      <c r="AD765" s="4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22.24</v>
      </c>
      <c r="AN765" s="2">
        <v>22.24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45999</v>
      </c>
      <c r="B766" t="s">
        <v>48</v>
      </c>
      <c r="C766">
        <v>649163</v>
      </c>
      <c r="D766">
        <v>2023217203</v>
      </c>
      <c r="E766" t="s">
        <v>133</v>
      </c>
      <c r="F766" t="s">
        <v>134</v>
      </c>
      <c r="G766" t="s">
        <v>51</v>
      </c>
      <c r="H766" t="s">
        <v>135</v>
      </c>
      <c r="I766" t="s">
        <v>126</v>
      </c>
      <c r="J766" t="s">
        <v>127</v>
      </c>
      <c r="K766">
        <v>673059</v>
      </c>
      <c r="L766" t="s">
        <v>81</v>
      </c>
      <c r="M766" t="s">
        <v>82</v>
      </c>
      <c r="N766" t="s">
        <v>57</v>
      </c>
      <c r="O766" s="1">
        <v>45444</v>
      </c>
      <c r="Q766" s="1">
        <v>46023</v>
      </c>
      <c r="R766" s="2">
        <v>25.73</v>
      </c>
      <c r="S766">
        <v>1</v>
      </c>
      <c r="T766" t="s">
        <v>58</v>
      </c>
      <c r="U766" t="s">
        <v>59</v>
      </c>
      <c r="V766" s="4">
        <v>0.15</v>
      </c>
      <c r="W766" s="2">
        <v>0</v>
      </c>
      <c r="X766">
        <v>0</v>
      </c>
      <c r="Y766" t="s">
        <v>60</v>
      </c>
      <c r="Z766" t="s">
        <v>61</v>
      </c>
      <c r="AA766">
        <v>0</v>
      </c>
      <c r="AB766" s="2">
        <v>0</v>
      </c>
      <c r="AC766" s="2">
        <v>0</v>
      </c>
      <c r="AD766" s="4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3.86</v>
      </c>
      <c r="AN766" s="2">
        <v>3.86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45999</v>
      </c>
      <c r="B767" t="s">
        <v>48</v>
      </c>
      <c r="C767">
        <v>649163</v>
      </c>
      <c r="D767">
        <v>2023217694</v>
      </c>
      <c r="E767" t="s">
        <v>1051</v>
      </c>
      <c r="F767" t="s">
        <v>807</v>
      </c>
      <c r="G767" t="s">
        <v>51</v>
      </c>
      <c r="H767" t="s">
        <v>256</v>
      </c>
      <c r="I767" t="s">
        <v>126</v>
      </c>
      <c r="J767" t="s">
        <v>375</v>
      </c>
      <c r="K767">
        <v>651818</v>
      </c>
      <c r="L767" t="s">
        <v>246</v>
      </c>
      <c r="M767" t="s">
        <v>247</v>
      </c>
      <c r="N767" t="s">
        <v>57</v>
      </c>
      <c r="O767" s="1">
        <v>45449</v>
      </c>
      <c r="Q767" s="1">
        <v>46028</v>
      </c>
      <c r="R767" s="2">
        <v>29.42</v>
      </c>
      <c r="S767">
        <v>1</v>
      </c>
      <c r="T767" t="s">
        <v>58</v>
      </c>
      <c r="U767" t="s">
        <v>59</v>
      </c>
      <c r="V767" s="4">
        <v>0.1</v>
      </c>
      <c r="W767" s="2">
        <v>0</v>
      </c>
      <c r="X767">
        <v>0</v>
      </c>
      <c r="Y767" t="s">
        <v>60</v>
      </c>
      <c r="Z767" t="s">
        <v>61</v>
      </c>
      <c r="AA767">
        <v>0</v>
      </c>
      <c r="AB767" s="2">
        <v>0</v>
      </c>
      <c r="AC767" s="2">
        <v>0</v>
      </c>
      <c r="AD767" s="4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2.94</v>
      </c>
      <c r="AN767" s="2">
        <v>2.94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45999</v>
      </c>
      <c r="B768" t="s">
        <v>48</v>
      </c>
      <c r="C768">
        <v>649163</v>
      </c>
      <c r="D768">
        <v>2023297035</v>
      </c>
      <c r="E768" t="s">
        <v>768</v>
      </c>
      <c r="F768" t="s">
        <v>769</v>
      </c>
      <c r="G768" t="s">
        <v>51</v>
      </c>
      <c r="H768" t="s">
        <v>386</v>
      </c>
      <c r="I768" t="s">
        <v>126</v>
      </c>
      <c r="J768" t="s">
        <v>132</v>
      </c>
      <c r="K768">
        <v>651818</v>
      </c>
      <c r="L768" t="s">
        <v>246</v>
      </c>
      <c r="M768" t="s">
        <v>247</v>
      </c>
      <c r="N768" t="s">
        <v>57</v>
      </c>
      <c r="O768" s="1">
        <v>45449</v>
      </c>
      <c r="Q768" s="1">
        <v>46028</v>
      </c>
      <c r="R768" s="2">
        <v>86.91</v>
      </c>
      <c r="S768">
        <v>1</v>
      </c>
      <c r="T768" t="s">
        <v>58</v>
      </c>
      <c r="U768" t="s">
        <v>59</v>
      </c>
      <c r="V768" s="4">
        <v>0.15</v>
      </c>
      <c r="W768" s="2">
        <v>0</v>
      </c>
      <c r="X768">
        <v>0</v>
      </c>
      <c r="Y768" t="s">
        <v>60</v>
      </c>
      <c r="Z768" t="s">
        <v>61</v>
      </c>
      <c r="AA768">
        <v>0</v>
      </c>
      <c r="AB768" s="2">
        <v>0</v>
      </c>
      <c r="AC768" s="2">
        <v>0</v>
      </c>
      <c r="AD768" s="4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13.04</v>
      </c>
      <c r="AN768" s="2">
        <v>13.04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45999</v>
      </c>
      <c r="B769" t="s">
        <v>48</v>
      </c>
      <c r="C769">
        <v>649163</v>
      </c>
      <c r="D769">
        <v>2023710953</v>
      </c>
      <c r="E769" t="s">
        <v>1052</v>
      </c>
      <c r="F769" t="s">
        <v>1053</v>
      </c>
      <c r="G769" t="s">
        <v>51</v>
      </c>
      <c r="H769" t="s">
        <v>810</v>
      </c>
      <c r="I769" t="s">
        <v>126</v>
      </c>
      <c r="J769" t="s">
        <v>132</v>
      </c>
      <c r="K769">
        <v>651818</v>
      </c>
      <c r="L769" t="s">
        <v>246</v>
      </c>
      <c r="M769" t="s">
        <v>247</v>
      </c>
      <c r="N769" t="s">
        <v>57</v>
      </c>
      <c r="O769" s="1">
        <v>45479</v>
      </c>
      <c r="Q769" s="1">
        <v>46028</v>
      </c>
      <c r="R769" s="2">
        <v>132.86000000000001</v>
      </c>
      <c r="S769">
        <v>1</v>
      </c>
      <c r="T769" t="s">
        <v>58</v>
      </c>
      <c r="U769" t="s">
        <v>59</v>
      </c>
      <c r="V769" s="4">
        <v>0.15</v>
      </c>
      <c r="W769" s="2">
        <v>0</v>
      </c>
      <c r="X769">
        <v>0</v>
      </c>
      <c r="Y769" t="s">
        <v>60</v>
      </c>
      <c r="Z769" t="s">
        <v>61</v>
      </c>
      <c r="AA769">
        <v>0</v>
      </c>
      <c r="AB769" s="2">
        <v>0</v>
      </c>
      <c r="AC769" s="2">
        <v>0</v>
      </c>
      <c r="AD769" s="4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19.93</v>
      </c>
      <c r="AN769" s="2">
        <v>19.93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45999</v>
      </c>
      <c r="B770" t="s">
        <v>48</v>
      </c>
      <c r="C770">
        <v>649163</v>
      </c>
      <c r="D770">
        <v>2024000491</v>
      </c>
      <c r="E770" t="s">
        <v>1054</v>
      </c>
      <c r="F770" t="s">
        <v>1055</v>
      </c>
      <c r="G770" t="s">
        <v>51</v>
      </c>
      <c r="H770" t="s">
        <v>102</v>
      </c>
      <c r="I770" t="s">
        <v>126</v>
      </c>
      <c r="J770" t="s">
        <v>132</v>
      </c>
      <c r="K770">
        <v>766747</v>
      </c>
      <c r="L770" t="s">
        <v>504</v>
      </c>
      <c r="M770" t="s">
        <v>182</v>
      </c>
      <c r="N770" t="s">
        <v>57</v>
      </c>
      <c r="O770" s="1">
        <v>45510</v>
      </c>
      <c r="Q770" s="1">
        <v>46028</v>
      </c>
      <c r="R770" s="2">
        <v>49.92</v>
      </c>
      <c r="S770">
        <v>1</v>
      </c>
      <c r="T770" t="s">
        <v>58</v>
      </c>
      <c r="U770" t="s">
        <v>59</v>
      </c>
      <c r="V770" s="4">
        <v>0.15</v>
      </c>
      <c r="W770" s="2">
        <v>0</v>
      </c>
      <c r="X770">
        <v>0</v>
      </c>
      <c r="Y770" t="s">
        <v>60</v>
      </c>
      <c r="Z770" t="s">
        <v>61</v>
      </c>
      <c r="AA770">
        <v>0</v>
      </c>
      <c r="AB770" s="2">
        <v>0</v>
      </c>
      <c r="AC770" s="2">
        <v>0</v>
      </c>
      <c r="AD770" s="4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7.49</v>
      </c>
      <c r="AN770" s="2">
        <v>7.49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45999</v>
      </c>
      <c r="B771" t="s">
        <v>48</v>
      </c>
      <c r="C771">
        <v>649163</v>
      </c>
      <c r="D771">
        <v>2024001565</v>
      </c>
      <c r="E771" t="s">
        <v>161</v>
      </c>
      <c r="F771" t="s">
        <v>65</v>
      </c>
      <c r="G771" t="s">
        <v>51</v>
      </c>
      <c r="H771" t="s">
        <v>389</v>
      </c>
      <c r="I771" t="s">
        <v>126</v>
      </c>
      <c r="J771" t="s">
        <v>132</v>
      </c>
      <c r="K771">
        <v>651818</v>
      </c>
      <c r="L771" t="s">
        <v>246</v>
      </c>
      <c r="M771" t="s">
        <v>247</v>
      </c>
      <c r="N771" t="s">
        <v>57</v>
      </c>
      <c r="O771" s="1">
        <v>45510</v>
      </c>
      <c r="Q771" s="1">
        <v>46028</v>
      </c>
      <c r="R771" s="2">
        <v>40.65</v>
      </c>
      <c r="S771">
        <v>1</v>
      </c>
      <c r="T771" t="s">
        <v>58</v>
      </c>
      <c r="U771" t="s">
        <v>59</v>
      </c>
      <c r="V771" s="4">
        <v>0.15</v>
      </c>
      <c r="W771" s="2">
        <v>0</v>
      </c>
      <c r="X771">
        <v>0</v>
      </c>
      <c r="Y771" t="s">
        <v>60</v>
      </c>
      <c r="Z771" t="s">
        <v>61</v>
      </c>
      <c r="AA771">
        <v>0</v>
      </c>
      <c r="AB771" s="2">
        <v>0</v>
      </c>
      <c r="AC771" s="2">
        <v>0</v>
      </c>
      <c r="AD771" s="4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6.1</v>
      </c>
      <c r="AN771" s="2">
        <v>6.1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45999</v>
      </c>
      <c r="B772" t="s">
        <v>48</v>
      </c>
      <c r="C772">
        <v>649163</v>
      </c>
      <c r="D772">
        <v>2024027343</v>
      </c>
      <c r="E772" t="s">
        <v>1056</v>
      </c>
      <c r="F772" t="s">
        <v>421</v>
      </c>
      <c r="G772" t="s">
        <v>51</v>
      </c>
      <c r="H772" t="s">
        <v>102</v>
      </c>
      <c r="I772" t="s">
        <v>126</v>
      </c>
      <c r="J772" t="s">
        <v>132</v>
      </c>
      <c r="K772">
        <v>766747</v>
      </c>
      <c r="L772" t="s">
        <v>504</v>
      </c>
      <c r="M772" t="s">
        <v>182</v>
      </c>
      <c r="N772" t="s">
        <v>57</v>
      </c>
      <c r="O772" s="1">
        <v>45510</v>
      </c>
      <c r="Q772" s="1">
        <v>46028</v>
      </c>
      <c r="R772" s="2">
        <v>110.16</v>
      </c>
      <c r="S772">
        <v>1</v>
      </c>
      <c r="T772" t="s">
        <v>58</v>
      </c>
      <c r="U772" t="s">
        <v>59</v>
      </c>
      <c r="V772" s="4">
        <v>0.15</v>
      </c>
      <c r="W772" s="2">
        <v>0</v>
      </c>
      <c r="X772">
        <v>0</v>
      </c>
      <c r="Y772" t="s">
        <v>60</v>
      </c>
      <c r="Z772" t="s">
        <v>61</v>
      </c>
      <c r="AA772">
        <v>0</v>
      </c>
      <c r="AB772" s="2">
        <v>0</v>
      </c>
      <c r="AC772" s="2">
        <v>0</v>
      </c>
      <c r="AD772" s="4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16.52</v>
      </c>
      <c r="AN772" s="2">
        <v>16.52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45999</v>
      </c>
      <c r="B773" t="s">
        <v>48</v>
      </c>
      <c r="C773">
        <v>649163</v>
      </c>
      <c r="D773">
        <v>2024054708</v>
      </c>
      <c r="E773" t="s">
        <v>1057</v>
      </c>
      <c r="F773" t="s">
        <v>1053</v>
      </c>
      <c r="G773" t="s">
        <v>51</v>
      </c>
      <c r="H773" t="s">
        <v>102</v>
      </c>
      <c r="I773" t="s">
        <v>126</v>
      </c>
      <c r="J773" t="s">
        <v>132</v>
      </c>
      <c r="K773">
        <v>651818</v>
      </c>
      <c r="L773" t="s">
        <v>246</v>
      </c>
      <c r="M773" t="s">
        <v>247</v>
      </c>
      <c r="N773" t="s">
        <v>57</v>
      </c>
      <c r="O773" s="1">
        <v>45510</v>
      </c>
      <c r="Q773" s="1">
        <v>46028</v>
      </c>
      <c r="R773" s="2">
        <v>118.88</v>
      </c>
      <c r="S773">
        <v>1</v>
      </c>
      <c r="T773" t="s">
        <v>58</v>
      </c>
      <c r="U773" t="s">
        <v>59</v>
      </c>
      <c r="V773" s="4">
        <v>0.15</v>
      </c>
      <c r="W773" s="2">
        <v>0</v>
      </c>
      <c r="X773">
        <v>0</v>
      </c>
      <c r="Y773" t="s">
        <v>60</v>
      </c>
      <c r="Z773" t="s">
        <v>61</v>
      </c>
      <c r="AA773">
        <v>0</v>
      </c>
      <c r="AB773" s="2">
        <v>0</v>
      </c>
      <c r="AC773" s="2">
        <v>0</v>
      </c>
      <c r="AD773" s="4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17.829999999999998</v>
      </c>
      <c r="AN773" s="2">
        <v>17.829999999999998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45999</v>
      </c>
      <c r="B774" t="s">
        <v>48</v>
      </c>
      <c r="C774">
        <v>649163</v>
      </c>
      <c r="D774">
        <v>2024117993</v>
      </c>
      <c r="E774" t="s">
        <v>1058</v>
      </c>
      <c r="F774" t="s">
        <v>175</v>
      </c>
      <c r="G774" t="s">
        <v>51</v>
      </c>
      <c r="H774" t="s">
        <v>386</v>
      </c>
      <c r="I774" t="s">
        <v>126</v>
      </c>
      <c r="J774" t="s">
        <v>375</v>
      </c>
      <c r="K774">
        <v>651818</v>
      </c>
      <c r="L774" t="s">
        <v>246</v>
      </c>
      <c r="M774" t="s">
        <v>247</v>
      </c>
      <c r="N774" t="s">
        <v>57</v>
      </c>
      <c r="O774" s="1">
        <v>45510</v>
      </c>
      <c r="Q774" s="1">
        <v>46028</v>
      </c>
      <c r="R774" s="2">
        <v>19.38</v>
      </c>
      <c r="S774">
        <v>1</v>
      </c>
      <c r="T774" t="s">
        <v>58</v>
      </c>
      <c r="U774" t="s">
        <v>59</v>
      </c>
      <c r="V774" s="4">
        <v>0.1</v>
      </c>
      <c r="W774" s="2">
        <v>0</v>
      </c>
      <c r="X774">
        <v>0</v>
      </c>
      <c r="Y774" t="s">
        <v>60</v>
      </c>
      <c r="Z774" t="s">
        <v>61</v>
      </c>
      <c r="AA774">
        <v>0</v>
      </c>
      <c r="AB774" s="2">
        <v>0</v>
      </c>
      <c r="AC774" s="2">
        <v>0</v>
      </c>
      <c r="AD774" s="4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1.94</v>
      </c>
      <c r="AN774" s="2">
        <v>1.94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45999</v>
      </c>
      <c r="B775" t="s">
        <v>48</v>
      </c>
      <c r="C775">
        <v>649163</v>
      </c>
      <c r="D775">
        <v>2024153179</v>
      </c>
      <c r="E775" t="s">
        <v>772</v>
      </c>
      <c r="F775" t="s">
        <v>773</v>
      </c>
      <c r="G775" t="s">
        <v>51</v>
      </c>
      <c r="H775" t="s">
        <v>97</v>
      </c>
      <c r="I775" t="s">
        <v>126</v>
      </c>
      <c r="J775" t="s">
        <v>132</v>
      </c>
      <c r="K775">
        <v>651818</v>
      </c>
      <c r="L775" t="s">
        <v>246</v>
      </c>
      <c r="M775" t="s">
        <v>247</v>
      </c>
      <c r="N775" t="s">
        <v>57</v>
      </c>
      <c r="O775" s="1">
        <v>45510</v>
      </c>
      <c r="Q775" s="1">
        <v>46028</v>
      </c>
      <c r="R775" s="2">
        <v>89.52</v>
      </c>
      <c r="S775">
        <v>1</v>
      </c>
      <c r="T775" t="s">
        <v>58</v>
      </c>
      <c r="U775" t="s">
        <v>59</v>
      </c>
      <c r="V775" s="4">
        <v>0.15</v>
      </c>
      <c r="W775" s="2">
        <v>0</v>
      </c>
      <c r="X775">
        <v>0</v>
      </c>
      <c r="Y775" t="s">
        <v>60</v>
      </c>
      <c r="Z775" t="s">
        <v>61</v>
      </c>
      <c r="AA775">
        <v>0</v>
      </c>
      <c r="AB775" s="2">
        <v>0</v>
      </c>
      <c r="AC775" s="2">
        <v>0</v>
      </c>
      <c r="AD775" s="4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13.43</v>
      </c>
      <c r="AN775" s="2">
        <v>13.43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45999</v>
      </c>
      <c r="B776" t="s">
        <v>48</v>
      </c>
      <c r="C776">
        <v>649163</v>
      </c>
      <c r="D776">
        <v>2024197970</v>
      </c>
      <c r="E776" t="s">
        <v>973</v>
      </c>
      <c r="F776" t="s">
        <v>974</v>
      </c>
      <c r="G776" t="s">
        <v>51</v>
      </c>
      <c r="H776" t="s">
        <v>102</v>
      </c>
      <c r="I776" t="s">
        <v>126</v>
      </c>
      <c r="J776" t="s">
        <v>132</v>
      </c>
      <c r="K776">
        <v>766747</v>
      </c>
      <c r="L776" t="s">
        <v>504</v>
      </c>
      <c r="M776" t="s">
        <v>182</v>
      </c>
      <c r="N776" t="s">
        <v>57</v>
      </c>
      <c r="O776" s="1">
        <v>45541</v>
      </c>
      <c r="Q776" s="1">
        <v>46028</v>
      </c>
      <c r="R776" s="2">
        <v>11.5</v>
      </c>
      <c r="S776">
        <v>1</v>
      </c>
      <c r="T776" t="s">
        <v>58</v>
      </c>
      <c r="U776" t="s">
        <v>59</v>
      </c>
      <c r="V776" s="4">
        <v>0.15</v>
      </c>
      <c r="W776" s="2">
        <v>0</v>
      </c>
      <c r="X776">
        <v>0</v>
      </c>
      <c r="Y776" t="s">
        <v>60</v>
      </c>
      <c r="Z776" t="s">
        <v>61</v>
      </c>
      <c r="AA776">
        <v>0</v>
      </c>
      <c r="AB776" s="2">
        <v>0</v>
      </c>
      <c r="AC776" s="2">
        <v>0</v>
      </c>
      <c r="AD776" s="4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1.72</v>
      </c>
      <c r="AN776" s="2">
        <v>1.72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45999</v>
      </c>
      <c r="B777" t="s">
        <v>48</v>
      </c>
      <c r="C777">
        <v>649163</v>
      </c>
      <c r="D777">
        <v>2024202345</v>
      </c>
      <c r="E777" t="s">
        <v>1059</v>
      </c>
      <c r="F777" t="s">
        <v>405</v>
      </c>
      <c r="G777" t="s">
        <v>51</v>
      </c>
      <c r="H777" t="s">
        <v>102</v>
      </c>
      <c r="I777" t="s">
        <v>126</v>
      </c>
      <c r="J777" t="s">
        <v>132</v>
      </c>
      <c r="K777">
        <v>766747</v>
      </c>
      <c r="L777" t="s">
        <v>504</v>
      </c>
      <c r="M777" t="s">
        <v>182</v>
      </c>
      <c r="N777" t="s">
        <v>57</v>
      </c>
      <c r="O777" s="1">
        <v>45541</v>
      </c>
      <c r="Q777" s="1">
        <v>46028</v>
      </c>
      <c r="R777" s="2">
        <v>130.72</v>
      </c>
      <c r="S777">
        <v>1</v>
      </c>
      <c r="T777" t="s">
        <v>58</v>
      </c>
      <c r="U777" t="s">
        <v>59</v>
      </c>
      <c r="V777" s="4">
        <v>0.15</v>
      </c>
      <c r="W777" s="2">
        <v>0</v>
      </c>
      <c r="X777">
        <v>0</v>
      </c>
      <c r="Y777" t="s">
        <v>60</v>
      </c>
      <c r="Z777" t="s">
        <v>61</v>
      </c>
      <c r="AA777">
        <v>0</v>
      </c>
      <c r="AB777" s="2">
        <v>0</v>
      </c>
      <c r="AC777" s="2">
        <v>0</v>
      </c>
      <c r="AD777" s="4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19.61</v>
      </c>
      <c r="AN777" s="2">
        <v>19.61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45999</v>
      </c>
      <c r="B778" t="s">
        <v>48</v>
      </c>
      <c r="C778">
        <v>649163</v>
      </c>
      <c r="D778">
        <v>2024314176</v>
      </c>
      <c r="E778" t="s">
        <v>774</v>
      </c>
      <c r="F778" t="s">
        <v>775</v>
      </c>
      <c r="G778" t="s">
        <v>51</v>
      </c>
      <c r="H778" t="s">
        <v>357</v>
      </c>
      <c r="I778" t="s">
        <v>126</v>
      </c>
      <c r="J778" t="s">
        <v>132</v>
      </c>
      <c r="K778">
        <v>767312</v>
      </c>
      <c r="L778" t="s">
        <v>138</v>
      </c>
      <c r="M778" t="s">
        <v>107</v>
      </c>
      <c r="N778" t="s">
        <v>57</v>
      </c>
      <c r="O778" s="1">
        <v>45514</v>
      </c>
      <c r="Q778" s="1">
        <v>46032</v>
      </c>
      <c r="R778" s="2">
        <v>15.75</v>
      </c>
      <c r="S778">
        <v>1</v>
      </c>
      <c r="T778" t="s">
        <v>58</v>
      </c>
      <c r="U778" t="s">
        <v>59</v>
      </c>
      <c r="V778" s="4">
        <v>0.15</v>
      </c>
      <c r="W778" s="2">
        <v>0</v>
      </c>
      <c r="X778">
        <v>0</v>
      </c>
      <c r="Y778" t="s">
        <v>60</v>
      </c>
      <c r="Z778" t="s">
        <v>61</v>
      </c>
      <c r="AA778">
        <v>0</v>
      </c>
      <c r="AB778" s="2">
        <v>0</v>
      </c>
      <c r="AC778" s="2">
        <v>0</v>
      </c>
      <c r="AD778" s="4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2.36</v>
      </c>
      <c r="AN778" s="2">
        <v>2.36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45999</v>
      </c>
      <c r="B779" t="s">
        <v>48</v>
      </c>
      <c r="C779">
        <v>649163</v>
      </c>
      <c r="D779">
        <v>2024324040</v>
      </c>
      <c r="E779" t="s">
        <v>644</v>
      </c>
      <c r="F779" t="s">
        <v>645</v>
      </c>
      <c r="G779" t="s">
        <v>51</v>
      </c>
      <c r="H779" t="s">
        <v>585</v>
      </c>
      <c r="I779" t="s">
        <v>126</v>
      </c>
      <c r="J779" t="s">
        <v>132</v>
      </c>
      <c r="K779">
        <v>650218</v>
      </c>
      <c r="L779" t="s">
        <v>88</v>
      </c>
      <c r="M779" t="s">
        <v>89</v>
      </c>
      <c r="N779" t="s">
        <v>57</v>
      </c>
      <c r="O779" s="1">
        <v>45514</v>
      </c>
      <c r="Q779" s="1">
        <v>46032</v>
      </c>
      <c r="R779" s="2">
        <v>25.55</v>
      </c>
      <c r="S779">
        <v>1</v>
      </c>
      <c r="T779" t="s">
        <v>58</v>
      </c>
      <c r="U779" t="s">
        <v>59</v>
      </c>
      <c r="V779" s="4">
        <v>0.15</v>
      </c>
      <c r="W779" s="2">
        <v>0</v>
      </c>
      <c r="X779">
        <v>0</v>
      </c>
      <c r="Y779" t="s">
        <v>60</v>
      </c>
      <c r="Z779" t="s">
        <v>61</v>
      </c>
      <c r="AA779">
        <v>0</v>
      </c>
      <c r="AB779" s="2">
        <v>0</v>
      </c>
      <c r="AC779" s="2">
        <v>0</v>
      </c>
      <c r="AD779" s="4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3.83</v>
      </c>
      <c r="AN779" s="2">
        <v>3.83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45999</v>
      </c>
      <c r="B780" t="s">
        <v>48</v>
      </c>
      <c r="C780">
        <v>649163</v>
      </c>
      <c r="D780">
        <v>2024526717</v>
      </c>
      <c r="E780" t="s">
        <v>1060</v>
      </c>
      <c r="F780" t="s">
        <v>747</v>
      </c>
      <c r="G780" t="s">
        <v>51</v>
      </c>
      <c r="H780" t="s">
        <v>102</v>
      </c>
      <c r="I780" t="s">
        <v>126</v>
      </c>
      <c r="J780" t="s">
        <v>132</v>
      </c>
      <c r="K780">
        <v>766747</v>
      </c>
      <c r="L780" t="s">
        <v>504</v>
      </c>
      <c r="M780" t="s">
        <v>182</v>
      </c>
      <c r="N780" t="s">
        <v>57</v>
      </c>
      <c r="O780" s="1">
        <v>45541</v>
      </c>
      <c r="Q780" s="1">
        <v>46028</v>
      </c>
      <c r="R780" s="2">
        <v>57.03</v>
      </c>
      <c r="S780">
        <v>1</v>
      </c>
      <c r="T780" t="s">
        <v>58</v>
      </c>
      <c r="U780" t="s">
        <v>59</v>
      </c>
      <c r="V780" s="4">
        <v>0.15</v>
      </c>
      <c r="W780" s="2">
        <v>0</v>
      </c>
      <c r="X780">
        <v>0</v>
      </c>
      <c r="Y780" t="s">
        <v>60</v>
      </c>
      <c r="Z780" t="s">
        <v>61</v>
      </c>
      <c r="AA780">
        <v>0</v>
      </c>
      <c r="AB780" s="2">
        <v>0</v>
      </c>
      <c r="AC780" s="2">
        <v>0</v>
      </c>
      <c r="AD780" s="4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8.5500000000000007</v>
      </c>
      <c r="AN780" s="2">
        <v>8.5500000000000007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45999</v>
      </c>
      <c r="B781" t="s">
        <v>48</v>
      </c>
      <c r="C781">
        <v>649163</v>
      </c>
      <c r="D781">
        <v>2024598451</v>
      </c>
      <c r="E781" t="s">
        <v>776</v>
      </c>
      <c r="F781" t="s">
        <v>777</v>
      </c>
      <c r="G781" t="s">
        <v>51</v>
      </c>
      <c r="H781" t="s">
        <v>102</v>
      </c>
      <c r="I781" t="s">
        <v>126</v>
      </c>
      <c r="J781" t="s">
        <v>375</v>
      </c>
      <c r="K781">
        <v>651818</v>
      </c>
      <c r="L781" t="s">
        <v>246</v>
      </c>
      <c r="M781" t="s">
        <v>247</v>
      </c>
      <c r="N781" t="s">
        <v>57</v>
      </c>
      <c r="O781" s="1">
        <v>45542</v>
      </c>
      <c r="Q781" s="1">
        <v>46029</v>
      </c>
      <c r="R781" s="2">
        <v>51.63</v>
      </c>
      <c r="S781">
        <v>1</v>
      </c>
      <c r="T781" t="s">
        <v>58</v>
      </c>
      <c r="U781" t="s">
        <v>59</v>
      </c>
      <c r="V781" s="4">
        <v>0.1</v>
      </c>
      <c r="W781" s="2">
        <v>0</v>
      </c>
      <c r="X781">
        <v>0</v>
      </c>
      <c r="Y781" t="s">
        <v>60</v>
      </c>
      <c r="Z781" t="s">
        <v>61</v>
      </c>
      <c r="AA781">
        <v>0</v>
      </c>
      <c r="AB781" s="2">
        <v>0</v>
      </c>
      <c r="AC781" s="2">
        <v>0</v>
      </c>
      <c r="AD781" s="4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5.16</v>
      </c>
      <c r="AN781" s="2">
        <v>5.16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45999</v>
      </c>
      <c r="B782" t="s">
        <v>48</v>
      </c>
      <c r="C782">
        <v>649163</v>
      </c>
      <c r="D782">
        <v>2024630488</v>
      </c>
      <c r="E782" t="s">
        <v>975</v>
      </c>
      <c r="F782" t="s">
        <v>264</v>
      </c>
      <c r="G782" t="s">
        <v>51</v>
      </c>
      <c r="H782" t="s">
        <v>102</v>
      </c>
      <c r="I782" t="s">
        <v>126</v>
      </c>
      <c r="J782" t="s">
        <v>132</v>
      </c>
      <c r="K782">
        <v>766747</v>
      </c>
      <c r="L782" t="s">
        <v>504</v>
      </c>
      <c r="M782" t="s">
        <v>182</v>
      </c>
      <c r="N782" t="s">
        <v>57</v>
      </c>
      <c r="O782" s="1">
        <v>45541</v>
      </c>
      <c r="Q782" s="1">
        <v>46028</v>
      </c>
      <c r="R782" s="2">
        <v>15.75</v>
      </c>
      <c r="S782">
        <v>1</v>
      </c>
      <c r="T782" t="s">
        <v>58</v>
      </c>
      <c r="U782" t="s">
        <v>59</v>
      </c>
      <c r="V782" s="4">
        <v>0.15</v>
      </c>
      <c r="W782" s="2">
        <v>0</v>
      </c>
      <c r="X782">
        <v>0</v>
      </c>
      <c r="Y782" t="s">
        <v>60</v>
      </c>
      <c r="Z782" t="s">
        <v>61</v>
      </c>
      <c r="AA782">
        <v>0</v>
      </c>
      <c r="AB782" s="2">
        <v>0</v>
      </c>
      <c r="AC782" s="2">
        <v>0</v>
      </c>
      <c r="AD782" s="4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2.36</v>
      </c>
      <c r="AN782" s="2">
        <v>2.36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45999</v>
      </c>
      <c r="B783" t="s">
        <v>48</v>
      </c>
      <c r="C783">
        <v>649163</v>
      </c>
      <c r="D783">
        <v>2024754200</v>
      </c>
      <c r="E783" t="s">
        <v>139</v>
      </c>
      <c r="F783" t="s">
        <v>1061</v>
      </c>
      <c r="G783" t="s">
        <v>51</v>
      </c>
      <c r="H783" t="s">
        <v>97</v>
      </c>
      <c r="I783" t="s">
        <v>126</v>
      </c>
      <c r="J783" t="s">
        <v>375</v>
      </c>
      <c r="K783">
        <v>767312</v>
      </c>
      <c r="L783" t="s">
        <v>138</v>
      </c>
      <c r="M783" t="s">
        <v>107</v>
      </c>
      <c r="N783" t="s">
        <v>57</v>
      </c>
      <c r="O783" s="1">
        <v>45542</v>
      </c>
      <c r="Q783" s="1">
        <v>46029</v>
      </c>
      <c r="R783" s="2">
        <v>29.25</v>
      </c>
      <c r="S783">
        <v>1</v>
      </c>
      <c r="T783" t="s">
        <v>58</v>
      </c>
      <c r="U783" t="s">
        <v>59</v>
      </c>
      <c r="V783" s="4">
        <v>0.1</v>
      </c>
      <c r="W783" s="2">
        <v>0</v>
      </c>
      <c r="X783">
        <v>0</v>
      </c>
      <c r="Y783" t="s">
        <v>60</v>
      </c>
      <c r="Z783" t="s">
        <v>61</v>
      </c>
      <c r="AA783">
        <v>0</v>
      </c>
      <c r="AB783" s="2">
        <v>0</v>
      </c>
      <c r="AC783" s="2">
        <v>0</v>
      </c>
      <c r="AD783" s="4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2.92</v>
      </c>
      <c r="AN783" s="2">
        <v>2.92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45999</v>
      </c>
      <c r="B784" t="s">
        <v>48</v>
      </c>
      <c r="C784">
        <v>649163</v>
      </c>
      <c r="D784">
        <v>2024789926</v>
      </c>
      <c r="E784" t="s">
        <v>778</v>
      </c>
      <c r="F784" t="s">
        <v>264</v>
      </c>
      <c r="G784" t="s">
        <v>51</v>
      </c>
      <c r="H784" t="s">
        <v>125</v>
      </c>
      <c r="I784" t="s">
        <v>126</v>
      </c>
      <c r="J784" t="s">
        <v>132</v>
      </c>
      <c r="K784">
        <v>767312</v>
      </c>
      <c r="L784" t="s">
        <v>138</v>
      </c>
      <c r="M784" t="s">
        <v>107</v>
      </c>
      <c r="N784" t="s">
        <v>57</v>
      </c>
      <c r="O784" s="1">
        <v>45545</v>
      </c>
      <c r="Q784" s="1">
        <v>46032</v>
      </c>
      <c r="R784" s="2">
        <v>18.920000000000002</v>
      </c>
      <c r="S784">
        <v>1</v>
      </c>
      <c r="T784" t="s">
        <v>58</v>
      </c>
      <c r="U784" t="s">
        <v>59</v>
      </c>
      <c r="V784" s="4">
        <v>0.15</v>
      </c>
      <c r="W784" s="2">
        <v>0</v>
      </c>
      <c r="X784">
        <v>0</v>
      </c>
      <c r="Y784" t="s">
        <v>60</v>
      </c>
      <c r="Z784" t="s">
        <v>61</v>
      </c>
      <c r="AA784">
        <v>0</v>
      </c>
      <c r="AB784" s="2">
        <v>0</v>
      </c>
      <c r="AC784" s="2">
        <v>0</v>
      </c>
      <c r="AD784" s="4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2.84</v>
      </c>
      <c r="AN784" s="2">
        <v>2.84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45999</v>
      </c>
      <c r="B785" t="s">
        <v>48</v>
      </c>
      <c r="C785">
        <v>649163</v>
      </c>
      <c r="D785">
        <v>2024789927</v>
      </c>
      <c r="E785" t="s">
        <v>778</v>
      </c>
      <c r="F785" t="s">
        <v>264</v>
      </c>
      <c r="G785" t="s">
        <v>51</v>
      </c>
      <c r="H785" t="s">
        <v>125</v>
      </c>
      <c r="I785" t="s">
        <v>126</v>
      </c>
      <c r="J785" t="s">
        <v>375</v>
      </c>
      <c r="K785">
        <v>767312</v>
      </c>
      <c r="L785" t="s">
        <v>138</v>
      </c>
      <c r="M785" t="s">
        <v>107</v>
      </c>
      <c r="N785" t="s">
        <v>57</v>
      </c>
      <c r="O785" s="1">
        <v>45545</v>
      </c>
      <c r="Q785" s="1">
        <v>46032</v>
      </c>
      <c r="R785" s="2">
        <v>18.23</v>
      </c>
      <c r="S785">
        <v>1</v>
      </c>
      <c r="T785" t="s">
        <v>58</v>
      </c>
      <c r="U785" t="s">
        <v>59</v>
      </c>
      <c r="V785" s="4">
        <v>0.1</v>
      </c>
      <c r="W785" s="2">
        <v>0</v>
      </c>
      <c r="X785">
        <v>0</v>
      </c>
      <c r="Y785" t="s">
        <v>60</v>
      </c>
      <c r="Z785" t="s">
        <v>61</v>
      </c>
      <c r="AA785">
        <v>0</v>
      </c>
      <c r="AB785" s="2">
        <v>0</v>
      </c>
      <c r="AC785" s="2">
        <v>0</v>
      </c>
      <c r="AD785" s="4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1.82</v>
      </c>
      <c r="AN785" s="2">
        <v>1.82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45999</v>
      </c>
      <c r="B786" t="s">
        <v>48</v>
      </c>
      <c r="C786">
        <v>649163</v>
      </c>
      <c r="D786">
        <v>2024815771</v>
      </c>
      <c r="E786" t="s">
        <v>1062</v>
      </c>
      <c r="F786" t="s">
        <v>1063</v>
      </c>
      <c r="G786" t="s">
        <v>51</v>
      </c>
      <c r="H786" t="s">
        <v>102</v>
      </c>
      <c r="I786" t="s">
        <v>126</v>
      </c>
      <c r="J786" t="s">
        <v>132</v>
      </c>
      <c r="K786">
        <v>673059</v>
      </c>
      <c r="L786" t="s">
        <v>81</v>
      </c>
      <c r="M786" t="s">
        <v>82</v>
      </c>
      <c r="N786" t="s">
        <v>57</v>
      </c>
      <c r="O786" s="1">
        <v>45547</v>
      </c>
      <c r="Q786" s="1">
        <v>46034</v>
      </c>
      <c r="R786" s="2">
        <v>51</v>
      </c>
      <c r="S786">
        <v>1</v>
      </c>
      <c r="T786" t="s">
        <v>58</v>
      </c>
      <c r="U786" t="s">
        <v>59</v>
      </c>
      <c r="V786" s="4">
        <v>0.15</v>
      </c>
      <c r="W786" s="2">
        <v>0</v>
      </c>
      <c r="X786">
        <v>0</v>
      </c>
      <c r="Y786" t="s">
        <v>60</v>
      </c>
      <c r="Z786" t="s">
        <v>61</v>
      </c>
      <c r="AA786">
        <v>0</v>
      </c>
      <c r="AB786" s="2">
        <v>0</v>
      </c>
      <c r="AC786" s="2">
        <v>0</v>
      </c>
      <c r="AD786" s="4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7.65</v>
      </c>
      <c r="AN786" s="2">
        <v>7.65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45999</v>
      </c>
      <c r="B787" t="s">
        <v>48</v>
      </c>
      <c r="C787">
        <v>649163</v>
      </c>
      <c r="D787">
        <v>2024899507</v>
      </c>
      <c r="E787" t="s">
        <v>979</v>
      </c>
      <c r="F787" t="s">
        <v>980</v>
      </c>
      <c r="G787" t="s">
        <v>51</v>
      </c>
      <c r="H787" t="s">
        <v>408</v>
      </c>
      <c r="I787" t="s">
        <v>126</v>
      </c>
      <c r="J787" t="s">
        <v>132</v>
      </c>
      <c r="K787">
        <v>651818</v>
      </c>
      <c r="L787" t="s">
        <v>246</v>
      </c>
      <c r="M787" t="s">
        <v>247</v>
      </c>
      <c r="N787" t="s">
        <v>57</v>
      </c>
      <c r="O787" s="1">
        <v>45571</v>
      </c>
      <c r="Q787" s="1">
        <v>46028</v>
      </c>
      <c r="R787" s="2">
        <v>34.340000000000003</v>
      </c>
      <c r="S787">
        <v>1</v>
      </c>
      <c r="T787" t="s">
        <v>58</v>
      </c>
      <c r="U787" t="s">
        <v>59</v>
      </c>
      <c r="V787" s="4">
        <v>0.15</v>
      </c>
      <c r="W787" s="2">
        <v>0</v>
      </c>
      <c r="X787">
        <v>0</v>
      </c>
      <c r="Y787" t="s">
        <v>60</v>
      </c>
      <c r="Z787" t="s">
        <v>61</v>
      </c>
      <c r="AA787">
        <v>0</v>
      </c>
      <c r="AB787" s="2">
        <v>0</v>
      </c>
      <c r="AC787" s="2">
        <v>0</v>
      </c>
      <c r="AD787" s="4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5.15</v>
      </c>
      <c r="AN787" s="2">
        <v>5.15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45999</v>
      </c>
      <c r="B788" t="s">
        <v>48</v>
      </c>
      <c r="C788">
        <v>649163</v>
      </c>
      <c r="D788">
        <v>2024899508</v>
      </c>
      <c r="E788" t="s">
        <v>979</v>
      </c>
      <c r="F788" t="s">
        <v>980</v>
      </c>
      <c r="G788" t="s">
        <v>51</v>
      </c>
      <c r="H788" t="s">
        <v>408</v>
      </c>
      <c r="I788" t="s">
        <v>126</v>
      </c>
      <c r="J788" t="s">
        <v>375</v>
      </c>
      <c r="K788">
        <v>651818</v>
      </c>
      <c r="L788" t="s">
        <v>246</v>
      </c>
      <c r="M788" t="s">
        <v>247</v>
      </c>
      <c r="N788" t="s">
        <v>57</v>
      </c>
      <c r="O788" s="1">
        <v>45571</v>
      </c>
      <c r="Q788" s="1">
        <v>46028</v>
      </c>
      <c r="R788" s="2">
        <v>29.25</v>
      </c>
      <c r="S788">
        <v>1</v>
      </c>
      <c r="T788" t="s">
        <v>58</v>
      </c>
      <c r="U788" t="s">
        <v>59</v>
      </c>
      <c r="V788" s="4">
        <v>0.1</v>
      </c>
      <c r="W788" s="2">
        <v>0</v>
      </c>
      <c r="X788">
        <v>0</v>
      </c>
      <c r="Y788" t="s">
        <v>60</v>
      </c>
      <c r="Z788" t="s">
        <v>61</v>
      </c>
      <c r="AA788">
        <v>0</v>
      </c>
      <c r="AB788" s="2">
        <v>0</v>
      </c>
      <c r="AC788" s="2">
        <v>0</v>
      </c>
      <c r="AD788" s="4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2.92</v>
      </c>
      <c r="AN788" s="2">
        <v>2.92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45999</v>
      </c>
      <c r="B789" t="s">
        <v>48</v>
      </c>
      <c r="C789">
        <v>649163</v>
      </c>
      <c r="D789">
        <v>2024961805</v>
      </c>
      <c r="E789" t="s">
        <v>1064</v>
      </c>
      <c r="F789" t="s">
        <v>1065</v>
      </c>
      <c r="G789" t="s">
        <v>51</v>
      </c>
      <c r="H789" t="s">
        <v>102</v>
      </c>
      <c r="I789" t="s">
        <v>126</v>
      </c>
      <c r="J789" t="s">
        <v>132</v>
      </c>
      <c r="K789">
        <v>766747</v>
      </c>
      <c r="L789" t="s">
        <v>504</v>
      </c>
      <c r="M789" t="s">
        <v>182</v>
      </c>
      <c r="N789" t="s">
        <v>57</v>
      </c>
      <c r="O789" s="1">
        <v>45571</v>
      </c>
      <c r="Q789" s="1">
        <v>46028</v>
      </c>
      <c r="R789" s="2">
        <v>34.68</v>
      </c>
      <c r="S789">
        <v>1</v>
      </c>
      <c r="T789" t="s">
        <v>58</v>
      </c>
      <c r="U789" t="s">
        <v>59</v>
      </c>
      <c r="V789" s="4">
        <v>0.15</v>
      </c>
      <c r="W789" s="2">
        <v>0</v>
      </c>
      <c r="X789">
        <v>0</v>
      </c>
      <c r="Y789" t="s">
        <v>60</v>
      </c>
      <c r="Z789" t="s">
        <v>61</v>
      </c>
      <c r="AA789">
        <v>0</v>
      </c>
      <c r="AB789" s="2">
        <v>0</v>
      </c>
      <c r="AC789" s="2">
        <v>0</v>
      </c>
      <c r="AD789" s="4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5.2</v>
      </c>
      <c r="AN789" s="2">
        <v>5.2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45999</v>
      </c>
      <c r="B790" t="s">
        <v>48</v>
      </c>
      <c r="C790">
        <v>649163</v>
      </c>
      <c r="D790">
        <v>2025031269</v>
      </c>
      <c r="E790" t="s">
        <v>983</v>
      </c>
      <c r="F790" t="s">
        <v>984</v>
      </c>
      <c r="G790" t="s">
        <v>51</v>
      </c>
      <c r="H790" t="s">
        <v>102</v>
      </c>
      <c r="I790" t="s">
        <v>126</v>
      </c>
      <c r="J790" t="s">
        <v>132</v>
      </c>
      <c r="K790">
        <v>766747</v>
      </c>
      <c r="L790" t="s">
        <v>504</v>
      </c>
      <c r="M790" t="s">
        <v>182</v>
      </c>
      <c r="N790" t="s">
        <v>57</v>
      </c>
      <c r="O790" s="1">
        <v>45571</v>
      </c>
      <c r="Q790" s="1">
        <v>46028</v>
      </c>
      <c r="R790" s="2">
        <v>11.5</v>
      </c>
      <c r="S790">
        <v>1</v>
      </c>
      <c r="T790" t="s">
        <v>58</v>
      </c>
      <c r="U790" t="s">
        <v>59</v>
      </c>
      <c r="V790" s="4">
        <v>0.15</v>
      </c>
      <c r="W790" s="2">
        <v>0</v>
      </c>
      <c r="X790">
        <v>0</v>
      </c>
      <c r="Y790" t="s">
        <v>60</v>
      </c>
      <c r="Z790" t="s">
        <v>61</v>
      </c>
      <c r="AA790">
        <v>0</v>
      </c>
      <c r="AB790" s="2">
        <v>0</v>
      </c>
      <c r="AC790" s="2">
        <v>0</v>
      </c>
      <c r="AD790" s="4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1.72</v>
      </c>
      <c r="AN790" s="2">
        <v>1.72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45999</v>
      </c>
      <c r="B791" t="s">
        <v>48</v>
      </c>
      <c r="C791">
        <v>649163</v>
      </c>
      <c r="D791">
        <v>2025041358</v>
      </c>
      <c r="E791" t="s">
        <v>985</v>
      </c>
      <c r="F791" t="s">
        <v>986</v>
      </c>
      <c r="G791" t="s">
        <v>51</v>
      </c>
      <c r="H791" t="s">
        <v>135</v>
      </c>
      <c r="I791" t="s">
        <v>126</v>
      </c>
      <c r="J791" t="s">
        <v>132</v>
      </c>
      <c r="K791">
        <v>673059</v>
      </c>
      <c r="L791" t="s">
        <v>81</v>
      </c>
      <c r="M791" t="s">
        <v>82</v>
      </c>
      <c r="N791" t="s">
        <v>57</v>
      </c>
      <c r="O791" s="1">
        <v>45566</v>
      </c>
      <c r="Q791" s="1">
        <v>46023</v>
      </c>
      <c r="R791" s="2">
        <v>-204.88</v>
      </c>
      <c r="S791">
        <v>1</v>
      </c>
      <c r="T791" t="s">
        <v>58</v>
      </c>
      <c r="U791" t="s">
        <v>59</v>
      </c>
      <c r="V791" s="4">
        <v>0.15</v>
      </c>
      <c r="W791" s="2">
        <v>0</v>
      </c>
      <c r="X791">
        <v>-1</v>
      </c>
      <c r="Y791" t="s">
        <v>60</v>
      </c>
      <c r="Z791" t="s">
        <v>61</v>
      </c>
      <c r="AA791">
        <v>0</v>
      </c>
      <c r="AB791" s="2">
        <v>0</v>
      </c>
      <c r="AC791" s="2">
        <v>0</v>
      </c>
      <c r="AD791" s="4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-30.73</v>
      </c>
      <c r="AN791" s="2">
        <v>-30.73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45999</v>
      </c>
      <c r="B792" t="s">
        <v>48</v>
      </c>
      <c r="C792">
        <v>649163</v>
      </c>
      <c r="D792">
        <v>2025041359</v>
      </c>
      <c r="E792" t="s">
        <v>985</v>
      </c>
      <c r="F792" t="s">
        <v>986</v>
      </c>
      <c r="G792" t="s">
        <v>51</v>
      </c>
      <c r="H792" t="s">
        <v>135</v>
      </c>
      <c r="I792" t="s">
        <v>126</v>
      </c>
      <c r="J792" t="s">
        <v>127</v>
      </c>
      <c r="K792">
        <v>673059</v>
      </c>
      <c r="L792" t="s">
        <v>81</v>
      </c>
      <c r="M792" t="s">
        <v>82</v>
      </c>
      <c r="N792" t="s">
        <v>57</v>
      </c>
      <c r="O792" s="1">
        <v>45566</v>
      </c>
      <c r="Q792" s="1">
        <v>46023</v>
      </c>
      <c r="R792" s="2">
        <v>-25.73</v>
      </c>
      <c r="S792">
        <v>1</v>
      </c>
      <c r="T792" t="s">
        <v>58</v>
      </c>
      <c r="U792" t="s">
        <v>59</v>
      </c>
      <c r="V792" s="4">
        <v>0.15</v>
      </c>
      <c r="W792" s="2">
        <v>0</v>
      </c>
      <c r="X792">
        <v>-1</v>
      </c>
      <c r="Y792" t="s">
        <v>60</v>
      </c>
      <c r="Z792" t="s">
        <v>61</v>
      </c>
      <c r="AA792">
        <v>0</v>
      </c>
      <c r="AB792" s="2">
        <v>0</v>
      </c>
      <c r="AC792" s="2">
        <v>0</v>
      </c>
      <c r="AD792" s="4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-3.86</v>
      </c>
      <c r="AN792" s="2">
        <v>-3.86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45999</v>
      </c>
      <c r="B793" t="s">
        <v>48</v>
      </c>
      <c r="C793">
        <v>649163</v>
      </c>
      <c r="D793">
        <v>2025049457</v>
      </c>
      <c r="E793" t="s">
        <v>1066</v>
      </c>
      <c r="F793" t="s">
        <v>1067</v>
      </c>
      <c r="G793" t="s">
        <v>51</v>
      </c>
      <c r="H793" t="s">
        <v>102</v>
      </c>
      <c r="I793" t="s">
        <v>126</v>
      </c>
      <c r="J793" t="s">
        <v>132</v>
      </c>
      <c r="K793">
        <v>651818</v>
      </c>
      <c r="L793" t="s">
        <v>246</v>
      </c>
      <c r="M793" t="s">
        <v>247</v>
      </c>
      <c r="N793" t="s">
        <v>57</v>
      </c>
      <c r="O793" s="1">
        <v>45572</v>
      </c>
      <c r="Q793" s="1">
        <v>46029</v>
      </c>
      <c r="R793" s="2">
        <v>59.4</v>
      </c>
      <c r="S793">
        <v>1</v>
      </c>
      <c r="T793" t="s">
        <v>58</v>
      </c>
      <c r="U793" t="s">
        <v>59</v>
      </c>
      <c r="V793" s="4">
        <v>0.15</v>
      </c>
      <c r="W793" s="2">
        <v>0</v>
      </c>
      <c r="X793">
        <v>0</v>
      </c>
      <c r="Y793" t="s">
        <v>60</v>
      </c>
      <c r="Z793" t="s">
        <v>61</v>
      </c>
      <c r="AA793">
        <v>0</v>
      </c>
      <c r="AB793" s="2">
        <v>0</v>
      </c>
      <c r="AC793" s="2">
        <v>0</v>
      </c>
      <c r="AD793" s="4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8.91</v>
      </c>
      <c r="AN793" s="2">
        <v>8.91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45999</v>
      </c>
      <c r="B794" t="s">
        <v>48</v>
      </c>
      <c r="C794">
        <v>649163</v>
      </c>
      <c r="D794">
        <v>2025222897</v>
      </c>
      <c r="E794" t="s">
        <v>653</v>
      </c>
      <c r="F794" t="s">
        <v>654</v>
      </c>
      <c r="G794" t="s">
        <v>51</v>
      </c>
      <c r="H794" t="s">
        <v>74</v>
      </c>
      <c r="I794" t="s">
        <v>126</v>
      </c>
      <c r="J794" t="s">
        <v>132</v>
      </c>
      <c r="K794">
        <v>751867</v>
      </c>
      <c r="L794" t="s">
        <v>70</v>
      </c>
      <c r="M794" t="s">
        <v>71</v>
      </c>
      <c r="N794" t="s">
        <v>57</v>
      </c>
      <c r="O794" s="1">
        <v>45574</v>
      </c>
      <c r="Q794" s="1">
        <v>46031</v>
      </c>
      <c r="R794" s="2">
        <v>22</v>
      </c>
      <c r="S794">
        <v>1</v>
      </c>
      <c r="T794" t="s">
        <v>58</v>
      </c>
      <c r="U794" t="s">
        <v>59</v>
      </c>
      <c r="V794" s="4">
        <v>0.15</v>
      </c>
      <c r="W794" s="2">
        <v>0</v>
      </c>
      <c r="X794">
        <v>0</v>
      </c>
      <c r="Y794" t="s">
        <v>60</v>
      </c>
      <c r="Z794" t="s">
        <v>61</v>
      </c>
      <c r="AA794">
        <v>0</v>
      </c>
      <c r="AB794" s="2">
        <v>0</v>
      </c>
      <c r="AC794" s="2">
        <v>0</v>
      </c>
      <c r="AD794" s="4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3.3</v>
      </c>
      <c r="AN794" s="2">
        <v>3.3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45999</v>
      </c>
      <c r="B795" t="s">
        <v>48</v>
      </c>
      <c r="C795">
        <v>649163</v>
      </c>
      <c r="D795">
        <v>2025254890</v>
      </c>
      <c r="E795" t="s">
        <v>779</v>
      </c>
      <c r="F795" t="s">
        <v>780</v>
      </c>
      <c r="G795" t="s">
        <v>51</v>
      </c>
      <c r="H795" t="s">
        <v>386</v>
      </c>
      <c r="I795" t="s">
        <v>126</v>
      </c>
      <c r="J795" t="s">
        <v>132</v>
      </c>
      <c r="K795">
        <v>767312</v>
      </c>
      <c r="L795" t="s">
        <v>138</v>
      </c>
      <c r="M795" t="s">
        <v>107</v>
      </c>
      <c r="N795" t="s">
        <v>57</v>
      </c>
      <c r="O795" s="1">
        <v>45576</v>
      </c>
      <c r="Q795" s="1">
        <v>46033</v>
      </c>
      <c r="R795" s="2">
        <v>35.04</v>
      </c>
      <c r="S795">
        <v>1</v>
      </c>
      <c r="T795" t="s">
        <v>58</v>
      </c>
      <c r="U795" t="s">
        <v>59</v>
      </c>
      <c r="V795" s="4">
        <v>0.15</v>
      </c>
      <c r="W795" s="2">
        <v>0</v>
      </c>
      <c r="X795">
        <v>0</v>
      </c>
      <c r="Y795" t="s">
        <v>60</v>
      </c>
      <c r="Z795" t="s">
        <v>61</v>
      </c>
      <c r="AA795">
        <v>0</v>
      </c>
      <c r="AB795" s="2">
        <v>0</v>
      </c>
      <c r="AC795" s="2">
        <v>0</v>
      </c>
      <c r="AD795" s="4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5.26</v>
      </c>
      <c r="AN795" s="2">
        <v>5.26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45999</v>
      </c>
      <c r="B796" t="s">
        <v>48</v>
      </c>
      <c r="C796">
        <v>649163</v>
      </c>
      <c r="D796">
        <v>2025254891</v>
      </c>
      <c r="E796" t="s">
        <v>779</v>
      </c>
      <c r="F796" t="s">
        <v>780</v>
      </c>
      <c r="G796" t="s">
        <v>51</v>
      </c>
      <c r="H796" t="s">
        <v>386</v>
      </c>
      <c r="I796" t="s">
        <v>126</v>
      </c>
      <c r="J796" t="s">
        <v>375</v>
      </c>
      <c r="K796">
        <v>767312</v>
      </c>
      <c r="L796" t="s">
        <v>138</v>
      </c>
      <c r="M796" t="s">
        <v>107</v>
      </c>
      <c r="N796" t="s">
        <v>57</v>
      </c>
      <c r="O796" s="1">
        <v>45576</v>
      </c>
      <c r="Q796" s="1">
        <v>46033</v>
      </c>
      <c r="R796" s="2">
        <v>19.28</v>
      </c>
      <c r="S796">
        <v>1</v>
      </c>
      <c r="T796" t="s">
        <v>58</v>
      </c>
      <c r="U796" t="s">
        <v>59</v>
      </c>
      <c r="V796" s="4">
        <v>0.1</v>
      </c>
      <c r="W796" s="2">
        <v>0</v>
      </c>
      <c r="X796">
        <v>0</v>
      </c>
      <c r="Y796" t="s">
        <v>60</v>
      </c>
      <c r="Z796" t="s">
        <v>61</v>
      </c>
      <c r="AA796">
        <v>0</v>
      </c>
      <c r="AB796" s="2">
        <v>0</v>
      </c>
      <c r="AC796" s="2">
        <v>0</v>
      </c>
      <c r="AD796" s="4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1.93</v>
      </c>
      <c r="AN796" s="2">
        <v>1.93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45999</v>
      </c>
      <c r="B797" t="s">
        <v>48</v>
      </c>
      <c r="C797">
        <v>649163</v>
      </c>
      <c r="D797">
        <v>2025262310</v>
      </c>
      <c r="E797" t="s">
        <v>533</v>
      </c>
      <c r="F797" t="s">
        <v>71</v>
      </c>
      <c r="G797" t="s">
        <v>51</v>
      </c>
      <c r="H797" t="s">
        <v>200</v>
      </c>
      <c r="I797" t="s">
        <v>126</v>
      </c>
      <c r="J797" t="s">
        <v>132</v>
      </c>
      <c r="K797">
        <v>796984</v>
      </c>
      <c r="L797" t="s">
        <v>344</v>
      </c>
      <c r="M797" t="s">
        <v>260</v>
      </c>
      <c r="N797" t="s">
        <v>57</v>
      </c>
      <c r="O797" s="1">
        <v>45576</v>
      </c>
      <c r="Q797" s="1">
        <v>46033</v>
      </c>
      <c r="R797" s="2">
        <v>9.6999999999999993</v>
      </c>
      <c r="S797">
        <v>1</v>
      </c>
      <c r="T797" t="s">
        <v>58</v>
      </c>
      <c r="U797" t="s">
        <v>59</v>
      </c>
      <c r="V797" s="4">
        <v>0.15</v>
      </c>
      <c r="W797" s="2">
        <v>0</v>
      </c>
      <c r="X797">
        <v>0</v>
      </c>
      <c r="Y797" t="s">
        <v>60</v>
      </c>
      <c r="Z797" t="s">
        <v>61</v>
      </c>
      <c r="AA797">
        <v>0</v>
      </c>
      <c r="AB797" s="2">
        <v>0</v>
      </c>
      <c r="AC797" s="2">
        <v>0</v>
      </c>
      <c r="AD797" s="4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1.46</v>
      </c>
      <c r="AN797" s="2">
        <v>1.46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45999</v>
      </c>
      <c r="B798" t="s">
        <v>48</v>
      </c>
      <c r="C798">
        <v>649163</v>
      </c>
      <c r="D798">
        <v>2025262311</v>
      </c>
      <c r="E798" t="s">
        <v>533</v>
      </c>
      <c r="F798" t="s">
        <v>71</v>
      </c>
      <c r="G798" t="s">
        <v>51</v>
      </c>
      <c r="H798" t="s">
        <v>200</v>
      </c>
      <c r="I798" t="s">
        <v>126</v>
      </c>
      <c r="J798" t="s">
        <v>127</v>
      </c>
      <c r="K798">
        <v>796984</v>
      </c>
      <c r="L798" t="s">
        <v>344</v>
      </c>
      <c r="M798" t="s">
        <v>260</v>
      </c>
      <c r="N798" t="s">
        <v>57</v>
      </c>
      <c r="O798" s="1">
        <v>45576</v>
      </c>
      <c r="Q798" s="1">
        <v>46033</v>
      </c>
      <c r="R798" s="2">
        <v>6.3</v>
      </c>
      <c r="S798">
        <v>1</v>
      </c>
      <c r="T798" t="s">
        <v>58</v>
      </c>
      <c r="U798" t="s">
        <v>59</v>
      </c>
      <c r="V798" s="4">
        <v>0.15</v>
      </c>
      <c r="W798" s="2">
        <v>0</v>
      </c>
      <c r="X798">
        <v>0</v>
      </c>
      <c r="Y798" t="s">
        <v>60</v>
      </c>
      <c r="Z798" t="s">
        <v>61</v>
      </c>
      <c r="AA798">
        <v>0</v>
      </c>
      <c r="AB798" s="2">
        <v>0</v>
      </c>
      <c r="AC798" s="2">
        <v>0</v>
      </c>
      <c r="AD798" s="4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0.94</v>
      </c>
      <c r="AN798" s="2">
        <v>0.94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45999</v>
      </c>
      <c r="B799" t="s">
        <v>48</v>
      </c>
      <c r="C799">
        <v>649163</v>
      </c>
      <c r="D799">
        <v>2025265220</v>
      </c>
      <c r="E799" t="s">
        <v>293</v>
      </c>
      <c r="F799" t="s">
        <v>1068</v>
      </c>
      <c r="G799" t="s">
        <v>51</v>
      </c>
      <c r="H799" t="s">
        <v>97</v>
      </c>
      <c r="I799" t="s">
        <v>126</v>
      </c>
      <c r="J799" t="s">
        <v>375</v>
      </c>
      <c r="K799">
        <v>767312</v>
      </c>
      <c r="L799" t="s">
        <v>138</v>
      </c>
      <c r="M799" t="s">
        <v>107</v>
      </c>
      <c r="N799" t="s">
        <v>57</v>
      </c>
      <c r="O799" s="1">
        <v>45576</v>
      </c>
      <c r="Q799" s="1">
        <v>46033</v>
      </c>
      <c r="R799" s="2">
        <v>27.81</v>
      </c>
      <c r="S799">
        <v>1</v>
      </c>
      <c r="T799" t="s">
        <v>58</v>
      </c>
      <c r="U799" t="s">
        <v>59</v>
      </c>
      <c r="V799" s="4">
        <v>0.1</v>
      </c>
      <c r="W799" s="2">
        <v>0</v>
      </c>
      <c r="X799">
        <v>0</v>
      </c>
      <c r="Y799" t="s">
        <v>60</v>
      </c>
      <c r="Z799" t="s">
        <v>61</v>
      </c>
      <c r="AA799">
        <v>0</v>
      </c>
      <c r="AB799" s="2">
        <v>0</v>
      </c>
      <c r="AC799" s="2">
        <v>0</v>
      </c>
      <c r="AD799" s="4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2.78</v>
      </c>
      <c r="AN799" s="2">
        <v>2.78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45999</v>
      </c>
      <c r="B800" t="s">
        <v>48</v>
      </c>
      <c r="C800">
        <v>649163</v>
      </c>
      <c r="D800">
        <v>2025265267</v>
      </c>
      <c r="E800" t="s">
        <v>735</v>
      </c>
      <c r="F800" t="s">
        <v>510</v>
      </c>
      <c r="G800" t="s">
        <v>51</v>
      </c>
      <c r="H800" t="s">
        <v>97</v>
      </c>
      <c r="I800" t="s">
        <v>126</v>
      </c>
      <c r="J800" t="s">
        <v>375</v>
      </c>
      <c r="K800">
        <v>767312</v>
      </c>
      <c r="L800" t="s">
        <v>138</v>
      </c>
      <c r="M800" t="s">
        <v>107</v>
      </c>
      <c r="N800" t="s">
        <v>57</v>
      </c>
      <c r="O800" s="1">
        <v>45576</v>
      </c>
      <c r="Q800" s="1">
        <v>46033</v>
      </c>
      <c r="R800" s="2">
        <v>10.31</v>
      </c>
      <c r="S800">
        <v>1</v>
      </c>
      <c r="T800" t="s">
        <v>58</v>
      </c>
      <c r="U800" t="s">
        <v>59</v>
      </c>
      <c r="V800" s="4">
        <v>0.1</v>
      </c>
      <c r="W800" s="2">
        <v>0</v>
      </c>
      <c r="X800">
        <v>0</v>
      </c>
      <c r="Y800" t="s">
        <v>60</v>
      </c>
      <c r="Z800" t="s">
        <v>61</v>
      </c>
      <c r="AA800">
        <v>0</v>
      </c>
      <c r="AB800" s="2">
        <v>0</v>
      </c>
      <c r="AC800" s="2">
        <v>0</v>
      </c>
      <c r="AD800" s="4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1.03</v>
      </c>
      <c r="AN800" s="2">
        <v>1.03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45999</v>
      </c>
      <c r="B801" t="s">
        <v>48</v>
      </c>
      <c r="C801">
        <v>649163</v>
      </c>
      <c r="D801">
        <v>2025286363</v>
      </c>
      <c r="E801" t="s">
        <v>1069</v>
      </c>
      <c r="F801" t="s">
        <v>500</v>
      </c>
      <c r="G801" t="s">
        <v>51</v>
      </c>
      <c r="H801" t="s">
        <v>383</v>
      </c>
      <c r="I801" t="s">
        <v>126</v>
      </c>
      <c r="J801" t="s">
        <v>132</v>
      </c>
      <c r="K801">
        <v>767312</v>
      </c>
      <c r="L801" t="s">
        <v>138</v>
      </c>
      <c r="M801" t="s">
        <v>107</v>
      </c>
      <c r="N801" t="s">
        <v>57</v>
      </c>
      <c r="O801" s="1">
        <v>45577</v>
      </c>
      <c r="Q801" s="1">
        <v>46034</v>
      </c>
      <c r="R801" s="2">
        <v>31.88</v>
      </c>
      <c r="S801">
        <v>1</v>
      </c>
      <c r="T801" t="s">
        <v>58</v>
      </c>
      <c r="U801" t="s">
        <v>59</v>
      </c>
      <c r="V801" s="4">
        <v>0.15</v>
      </c>
      <c r="W801" s="2">
        <v>0</v>
      </c>
      <c r="X801">
        <v>0</v>
      </c>
      <c r="Y801" t="s">
        <v>60</v>
      </c>
      <c r="Z801" t="s">
        <v>61</v>
      </c>
      <c r="AA801">
        <v>0</v>
      </c>
      <c r="AB801" s="2">
        <v>0</v>
      </c>
      <c r="AC801" s="2">
        <v>0</v>
      </c>
      <c r="AD801" s="4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4.78</v>
      </c>
      <c r="AN801" s="2">
        <v>4.78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45999</v>
      </c>
      <c r="B802" t="s">
        <v>48</v>
      </c>
      <c r="C802">
        <v>649163</v>
      </c>
      <c r="D802">
        <v>2025287066</v>
      </c>
      <c r="E802" t="s">
        <v>782</v>
      </c>
      <c r="F802" t="s">
        <v>783</v>
      </c>
      <c r="G802" t="s">
        <v>51</v>
      </c>
      <c r="H802" t="s">
        <v>79</v>
      </c>
      <c r="I802" t="s">
        <v>126</v>
      </c>
      <c r="J802" t="s">
        <v>132</v>
      </c>
      <c r="K802">
        <v>767312</v>
      </c>
      <c r="L802" t="s">
        <v>138</v>
      </c>
      <c r="M802" t="s">
        <v>107</v>
      </c>
      <c r="N802" t="s">
        <v>57</v>
      </c>
      <c r="O802" s="1">
        <v>45577</v>
      </c>
      <c r="Q802" s="1">
        <v>46034</v>
      </c>
      <c r="R802" s="2">
        <v>26.73</v>
      </c>
      <c r="S802">
        <v>1</v>
      </c>
      <c r="T802" t="s">
        <v>58</v>
      </c>
      <c r="U802" t="s">
        <v>59</v>
      </c>
      <c r="V802" s="4">
        <v>0.15</v>
      </c>
      <c r="W802" s="2">
        <v>0</v>
      </c>
      <c r="X802">
        <v>0</v>
      </c>
      <c r="Y802" t="s">
        <v>60</v>
      </c>
      <c r="Z802" t="s">
        <v>61</v>
      </c>
      <c r="AA802">
        <v>0</v>
      </c>
      <c r="AB802" s="2">
        <v>0</v>
      </c>
      <c r="AC802" s="2">
        <v>0</v>
      </c>
      <c r="AD802" s="4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4.01</v>
      </c>
      <c r="AN802" s="2">
        <v>4.01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45999</v>
      </c>
      <c r="B803" t="s">
        <v>48</v>
      </c>
      <c r="C803">
        <v>649163</v>
      </c>
      <c r="D803">
        <v>2025627646</v>
      </c>
      <c r="E803" t="s">
        <v>1070</v>
      </c>
      <c r="F803" t="s">
        <v>769</v>
      </c>
      <c r="G803" t="s">
        <v>51</v>
      </c>
      <c r="H803" t="s">
        <v>102</v>
      </c>
      <c r="I803" t="s">
        <v>126</v>
      </c>
      <c r="J803" t="s">
        <v>132</v>
      </c>
      <c r="K803">
        <v>766422</v>
      </c>
      <c r="L803" t="s">
        <v>1026</v>
      </c>
      <c r="M803" t="s">
        <v>247</v>
      </c>
      <c r="N803" t="s">
        <v>57</v>
      </c>
      <c r="O803" s="1">
        <v>45602</v>
      </c>
      <c r="Q803" s="1">
        <v>46028</v>
      </c>
      <c r="R803" s="2">
        <v>46.46</v>
      </c>
      <c r="S803">
        <v>1</v>
      </c>
      <c r="T803" t="s">
        <v>58</v>
      </c>
      <c r="U803" t="s">
        <v>59</v>
      </c>
      <c r="V803" s="4">
        <v>0.15</v>
      </c>
      <c r="W803" s="2">
        <v>0</v>
      </c>
      <c r="X803">
        <v>0</v>
      </c>
      <c r="Y803" t="s">
        <v>60</v>
      </c>
      <c r="Z803" t="s">
        <v>61</v>
      </c>
      <c r="AA803">
        <v>0</v>
      </c>
      <c r="AB803" s="2">
        <v>0</v>
      </c>
      <c r="AC803" s="2">
        <v>0</v>
      </c>
      <c r="AD803" s="4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6.97</v>
      </c>
      <c r="AN803" s="2">
        <v>6.97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45999</v>
      </c>
      <c r="B804" t="s">
        <v>48</v>
      </c>
      <c r="C804">
        <v>649163</v>
      </c>
      <c r="D804">
        <v>2025639664</v>
      </c>
      <c r="E804" t="s">
        <v>784</v>
      </c>
      <c r="F804" t="s">
        <v>137</v>
      </c>
      <c r="G804" t="s">
        <v>51</v>
      </c>
      <c r="H804" t="s">
        <v>515</v>
      </c>
      <c r="I804" t="s">
        <v>126</v>
      </c>
      <c r="J804" t="s">
        <v>127</v>
      </c>
      <c r="K804">
        <v>673059</v>
      </c>
      <c r="L804" t="s">
        <v>81</v>
      </c>
      <c r="M804" t="s">
        <v>82</v>
      </c>
      <c r="N804" t="s">
        <v>57</v>
      </c>
      <c r="O804" s="1">
        <v>45602</v>
      </c>
      <c r="Q804" s="1">
        <v>46028</v>
      </c>
      <c r="R804" s="2">
        <v>23.39</v>
      </c>
      <c r="S804">
        <v>1</v>
      </c>
      <c r="T804" t="s">
        <v>58</v>
      </c>
      <c r="U804" t="s">
        <v>59</v>
      </c>
      <c r="V804" s="4">
        <v>0.15</v>
      </c>
      <c r="W804" s="2">
        <v>0</v>
      </c>
      <c r="X804">
        <v>0</v>
      </c>
      <c r="Y804" t="s">
        <v>60</v>
      </c>
      <c r="Z804" t="s">
        <v>61</v>
      </c>
      <c r="AA804">
        <v>0</v>
      </c>
      <c r="AB804" s="2">
        <v>0</v>
      </c>
      <c r="AC804" s="2">
        <v>0</v>
      </c>
      <c r="AD804" s="4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3.51</v>
      </c>
      <c r="AN804" s="2">
        <v>3.51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45999</v>
      </c>
      <c r="B805" t="s">
        <v>48</v>
      </c>
      <c r="C805">
        <v>649163</v>
      </c>
      <c r="D805">
        <v>2025639665</v>
      </c>
      <c r="E805" t="s">
        <v>784</v>
      </c>
      <c r="F805" t="s">
        <v>137</v>
      </c>
      <c r="G805" t="s">
        <v>51</v>
      </c>
      <c r="H805" t="s">
        <v>515</v>
      </c>
      <c r="I805" t="s">
        <v>126</v>
      </c>
      <c r="J805" t="s">
        <v>132</v>
      </c>
      <c r="K805">
        <v>673059</v>
      </c>
      <c r="L805" t="s">
        <v>81</v>
      </c>
      <c r="M805" t="s">
        <v>82</v>
      </c>
      <c r="N805" t="s">
        <v>57</v>
      </c>
      <c r="O805" s="1">
        <v>45602</v>
      </c>
      <c r="Q805" s="1">
        <v>46028</v>
      </c>
      <c r="R805" s="2">
        <v>29.1</v>
      </c>
      <c r="S805">
        <v>1</v>
      </c>
      <c r="T805" t="s">
        <v>58</v>
      </c>
      <c r="U805" t="s">
        <v>59</v>
      </c>
      <c r="V805" s="4">
        <v>0.15</v>
      </c>
      <c r="W805" s="2">
        <v>0</v>
      </c>
      <c r="X805">
        <v>0</v>
      </c>
      <c r="Y805" t="s">
        <v>60</v>
      </c>
      <c r="Z805" t="s">
        <v>61</v>
      </c>
      <c r="AA805">
        <v>0</v>
      </c>
      <c r="AB805" s="2">
        <v>0</v>
      </c>
      <c r="AC805" s="2">
        <v>0</v>
      </c>
      <c r="AD805" s="4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4.3600000000000003</v>
      </c>
      <c r="AN805" s="2">
        <v>4.3600000000000003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45999</v>
      </c>
      <c r="B806" t="s">
        <v>48</v>
      </c>
      <c r="C806">
        <v>649163</v>
      </c>
      <c r="D806">
        <v>2025655084</v>
      </c>
      <c r="E806" t="s">
        <v>785</v>
      </c>
      <c r="F806" t="s">
        <v>786</v>
      </c>
      <c r="G806" t="s">
        <v>51</v>
      </c>
      <c r="H806" t="s">
        <v>97</v>
      </c>
      <c r="I806" t="s">
        <v>126</v>
      </c>
      <c r="J806" t="s">
        <v>375</v>
      </c>
      <c r="K806">
        <v>651818</v>
      </c>
      <c r="L806" t="s">
        <v>246</v>
      </c>
      <c r="M806" t="s">
        <v>247</v>
      </c>
      <c r="N806" t="s">
        <v>57</v>
      </c>
      <c r="O806" s="1">
        <v>45604</v>
      </c>
      <c r="Q806" s="1">
        <v>46030</v>
      </c>
      <c r="R806" s="2">
        <v>99.25</v>
      </c>
      <c r="S806">
        <v>1</v>
      </c>
      <c r="T806" t="s">
        <v>58</v>
      </c>
      <c r="U806" t="s">
        <v>59</v>
      </c>
      <c r="V806" s="4">
        <v>0.1</v>
      </c>
      <c r="W806" s="2">
        <v>0</v>
      </c>
      <c r="X806">
        <v>0</v>
      </c>
      <c r="Y806" t="s">
        <v>60</v>
      </c>
      <c r="Z806" t="s">
        <v>61</v>
      </c>
      <c r="AA806">
        <v>0</v>
      </c>
      <c r="AB806" s="2">
        <v>0</v>
      </c>
      <c r="AC806" s="2">
        <v>0</v>
      </c>
      <c r="AD806" s="4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9.92</v>
      </c>
      <c r="AN806" s="2">
        <v>9.92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45999</v>
      </c>
      <c r="B807" t="s">
        <v>48</v>
      </c>
      <c r="C807">
        <v>649163</v>
      </c>
      <c r="D807">
        <v>2025660998</v>
      </c>
      <c r="E807" t="s">
        <v>987</v>
      </c>
      <c r="F807" t="s">
        <v>786</v>
      </c>
      <c r="G807" t="s">
        <v>51</v>
      </c>
      <c r="H807" t="s">
        <v>210</v>
      </c>
      <c r="I807" t="s">
        <v>126</v>
      </c>
      <c r="J807" t="s">
        <v>127</v>
      </c>
      <c r="K807">
        <v>673059</v>
      </c>
      <c r="L807" t="s">
        <v>81</v>
      </c>
      <c r="M807" t="s">
        <v>82</v>
      </c>
      <c r="N807" t="s">
        <v>57</v>
      </c>
      <c r="O807" s="1">
        <v>45665</v>
      </c>
      <c r="Q807" s="1">
        <v>46030</v>
      </c>
      <c r="R807" s="2">
        <v>42.88</v>
      </c>
      <c r="S807">
        <v>1</v>
      </c>
      <c r="T807" t="s">
        <v>58</v>
      </c>
      <c r="U807" t="s">
        <v>59</v>
      </c>
      <c r="V807" s="4">
        <v>0.7</v>
      </c>
      <c r="W807" s="2">
        <v>0</v>
      </c>
      <c r="X807">
        <v>0</v>
      </c>
      <c r="Y807" t="s">
        <v>83</v>
      </c>
      <c r="Z807" t="s">
        <v>61</v>
      </c>
      <c r="AA807">
        <v>0</v>
      </c>
      <c r="AB807" s="2">
        <v>0</v>
      </c>
      <c r="AC807" s="2">
        <v>0</v>
      </c>
      <c r="AD807" s="4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30.02</v>
      </c>
      <c r="AN807" s="2">
        <v>30.02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45999</v>
      </c>
      <c r="B808" t="s">
        <v>48</v>
      </c>
      <c r="C808">
        <v>649163</v>
      </c>
      <c r="D808">
        <v>2025661000</v>
      </c>
      <c r="E808" t="s">
        <v>987</v>
      </c>
      <c r="F808" t="s">
        <v>786</v>
      </c>
      <c r="G808" t="s">
        <v>51</v>
      </c>
      <c r="H808" t="s">
        <v>210</v>
      </c>
      <c r="I808" t="s">
        <v>126</v>
      </c>
      <c r="J808" t="s">
        <v>132</v>
      </c>
      <c r="K808">
        <v>673059</v>
      </c>
      <c r="L808" t="s">
        <v>81</v>
      </c>
      <c r="M808" t="s">
        <v>82</v>
      </c>
      <c r="N808" t="s">
        <v>57</v>
      </c>
      <c r="O808" s="1">
        <v>45665</v>
      </c>
      <c r="Q808" s="1">
        <v>46030</v>
      </c>
      <c r="R808" s="2">
        <v>128.65</v>
      </c>
      <c r="S808">
        <v>1</v>
      </c>
      <c r="T808" t="s">
        <v>58</v>
      </c>
      <c r="U808" t="s">
        <v>59</v>
      </c>
      <c r="V808" s="4">
        <v>0.7</v>
      </c>
      <c r="W808" s="2">
        <v>0</v>
      </c>
      <c r="X808">
        <v>0</v>
      </c>
      <c r="Y808" t="s">
        <v>83</v>
      </c>
      <c r="Z808" t="s">
        <v>61</v>
      </c>
      <c r="AA808">
        <v>0</v>
      </c>
      <c r="AB808" s="2">
        <v>0</v>
      </c>
      <c r="AC808" s="2">
        <v>0</v>
      </c>
      <c r="AD808" s="4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90.06</v>
      </c>
      <c r="AN808" s="2">
        <v>90.06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45999</v>
      </c>
      <c r="B809" t="s">
        <v>48</v>
      </c>
      <c r="C809">
        <v>649163</v>
      </c>
      <c r="D809">
        <v>2025677958</v>
      </c>
      <c r="E809" t="s">
        <v>988</v>
      </c>
      <c r="F809" t="s">
        <v>989</v>
      </c>
      <c r="G809" t="s">
        <v>51</v>
      </c>
      <c r="H809" t="s">
        <v>357</v>
      </c>
      <c r="I809" t="s">
        <v>126</v>
      </c>
      <c r="J809" t="s">
        <v>375</v>
      </c>
      <c r="K809">
        <v>767312</v>
      </c>
      <c r="L809" t="s">
        <v>138</v>
      </c>
      <c r="M809" t="s">
        <v>107</v>
      </c>
      <c r="N809" t="s">
        <v>57</v>
      </c>
      <c r="O809" s="1">
        <v>45604</v>
      </c>
      <c r="Q809" s="1">
        <v>46030</v>
      </c>
      <c r="R809" s="2">
        <v>31.08</v>
      </c>
      <c r="S809">
        <v>1</v>
      </c>
      <c r="T809" t="s">
        <v>58</v>
      </c>
      <c r="U809" t="s">
        <v>59</v>
      </c>
      <c r="V809" s="4">
        <v>0.1</v>
      </c>
      <c r="W809" s="2">
        <v>0</v>
      </c>
      <c r="X809">
        <v>0</v>
      </c>
      <c r="Y809" t="s">
        <v>60</v>
      </c>
      <c r="Z809" t="s">
        <v>61</v>
      </c>
      <c r="AA809">
        <v>0</v>
      </c>
      <c r="AB809" s="2">
        <v>0</v>
      </c>
      <c r="AC809" s="2">
        <v>0</v>
      </c>
      <c r="AD809" s="4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3.11</v>
      </c>
      <c r="AN809" s="2">
        <v>3.11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45999</v>
      </c>
      <c r="B810" t="s">
        <v>48</v>
      </c>
      <c r="C810">
        <v>649163</v>
      </c>
      <c r="D810">
        <v>2025684074</v>
      </c>
      <c r="E810" t="s">
        <v>155</v>
      </c>
      <c r="F810" t="s">
        <v>1071</v>
      </c>
      <c r="G810" t="s">
        <v>51</v>
      </c>
      <c r="H810" t="s">
        <v>102</v>
      </c>
      <c r="I810" t="s">
        <v>126</v>
      </c>
      <c r="J810" t="s">
        <v>132</v>
      </c>
      <c r="K810">
        <v>792847</v>
      </c>
      <c r="L810" t="s">
        <v>155</v>
      </c>
      <c r="M810" t="s">
        <v>156</v>
      </c>
      <c r="N810" t="s">
        <v>57</v>
      </c>
      <c r="O810" s="1">
        <v>45604</v>
      </c>
      <c r="Q810" s="1">
        <v>46030</v>
      </c>
      <c r="R810" s="2">
        <v>86.25</v>
      </c>
      <c r="S810">
        <v>1</v>
      </c>
      <c r="T810" t="s">
        <v>58</v>
      </c>
      <c r="U810" t="s">
        <v>59</v>
      </c>
      <c r="V810" s="4">
        <v>0.15</v>
      </c>
      <c r="W810" s="2">
        <v>0</v>
      </c>
      <c r="X810">
        <v>0</v>
      </c>
      <c r="Y810" t="s">
        <v>60</v>
      </c>
      <c r="Z810" t="s">
        <v>61</v>
      </c>
      <c r="AA810">
        <v>0</v>
      </c>
      <c r="AB810" s="2">
        <v>0</v>
      </c>
      <c r="AC810" s="2">
        <v>0</v>
      </c>
      <c r="AD810" s="4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12.94</v>
      </c>
      <c r="AN810" s="2">
        <v>12.94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45999</v>
      </c>
      <c r="B811" t="s">
        <v>48</v>
      </c>
      <c r="C811">
        <v>649163</v>
      </c>
      <c r="D811">
        <v>2025690376</v>
      </c>
      <c r="E811" t="s">
        <v>787</v>
      </c>
      <c r="F811" t="s">
        <v>544</v>
      </c>
      <c r="G811" t="s">
        <v>51</v>
      </c>
      <c r="H811" t="s">
        <v>267</v>
      </c>
      <c r="I811" t="s">
        <v>126</v>
      </c>
      <c r="J811" t="s">
        <v>132</v>
      </c>
      <c r="K811">
        <v>651818</v>
      </c>
      <c r="L811" t="s">
        <v>246</v>
      </c>
      <c r="M811" t="s">
        <v>247</v>
      </c>
      <c r="N811" t="s">
        <v>57</v>
      </c>
      <c r="O811" s="1">
        <v>45664</v>
      </c>
      <c r="Q811" s="1">
        <v>46029</v>
      </c>
      <c r="R811" s="2">
        <v>31.28</v>
      </c>
      <c r="S811">
        <v>1</v>
      </c>
      <c r="T811" t="s">
        <v>58</v>
      </c>
      <c r="U811" t="s">
        <v>59</v>
      </c>
      <c r="V811" s="4">
        <v>0.7</v>
      </c>
      <c r="W811" s="2">
        <v>0</v>
      </c>
      <c r="X811">
        <v>0</v>
      </c>
      <c r="Y811" t="s">
        <v>83</v>
      </c>
      <c r="Z811" t="s">
        <v>61</v>
      </c>
      <c r="AA811">
        <v>0</v>
      </c>
      <c r="AB811" s="2">
        <v>0</v>
      </c>
      <c r="AC811" s="2">
        <v>0</v>
      </c>
      <c r="AD811" s="4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21.9</v>
      </c>
      <c r="AN811" s="2">
        <v>21.9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45999</v>
      </c>
      <c r="B812" t="s">
        <v>48</v>
      </c>
      <c r="C812">
        <v>649163</v>
      </c>
      <c r="D812">
        <v>2025707626</v>
      </c>
      <c r="E812" t="s">
        <v>1072</v>
      </c>
      <c r="F812" t="s">
        <v>1073</v>
      </c>
      <c r="G812" t="s">
        <v>51</v>
      </c>
      <c r="H812" t="s">
        <v>374</v>
      </c>
      <c r="I812" t="s">
        <v>126</v>
      </c>
      <c r="J812" t="s">
        <v>132</v>
      </c>
      <c r="K812">
        <v>651818</v>
      </c>
      <c r="L812" t="s">
        <v>246</v>
      </c>
      <c r="M812" t="s">
        <v>247</v>
      </c>
      <c r="N812" t="s">
        <v>57</v>
      </c>
      <c r="O812" s="1">
        <v>45633</v>
      </c>
      <c r="Q812" s="1">
        <v>46029</v>
      </c>
      <c r="R812" s="2">
        <v>51</v>
      </c>
      <c r="S812">
        <v>1</v>
      </c>
      <c r="T812" t="s">
        <v>58</v>
      </c>
      <c r="U812" t="s">
        <v>59</v>
      </c>
      <c r="V812" s="4">
        <v>0.15</v>
      </c>
      <c r="W812" s="2">
        <v>0</v>
      </c>
      <c r="X812">
        <v>0</v>
      </c>
      <c r="Y812" t="s">
        <v>60</v>
      </c>
      <c r="Z812" t="s">
        <v>61</v>
      </c>
      <c r="AA812">
        <v>0</v>
      </c>
      <c r="AB812" s="2">
        <v>0</v>
      </c>
      <c r="AC812" s="2">
        <v>0</v>
      </c>
      <c r="AD812" s="4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7.65</v>
      </c>
      <c r="AN812" s="2">
        <v>7.65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45999</v>
      </c>
      <c r="B813" t="s">
        <v>48</v>
      </c>
      <c r="C813">
        <v>649163</v>
      </c>
      <c r="D813">
        <v>2025721593</v>
      </c>
      <c r="E813" t="s">
        <v>788</v>
      </c>
      <c r="F813" t="s">
        <v>789</v>
      </c>
      <c r="G813" t="s">
        <v>51</v>
      </c>
      <c r="H813" t="s">
        <v>200</v>
      </c>
      <c r="I813" t="s">
        <v>126</v>
      </c>
      <c r="J813" t="s">
        <v>132</v>
      </c>
      <c r="K813">
        <v>796984</v>
      </c>
      <c r="L813" t="s">
        <v>344</v>
      </c>
      <c r="M813" t="s">
        <v>260</v>
      </c>
      <c r="N813" t="s">
        <v>57</v>
      </c>
      <c r="O813" s="1">
        <v>45608</v>
      </c>
      <c r="Q813" s="1">
        <v>46034</v>
      </c>
      <c r="R813" s="2">
        <v>27.38</v>
      </c>
      <c r="S813">
        <v>1</v>
      </c>
      <c r="T813" t="s">
        <v>58</v>
      </c>
      <c r="U813" t="s">
        <v>59</v>
      </c>
      <c r="V813" s="4">
        <v>0.15</v>
      </c>
      <c r="W813" s="2">
        <v>0</v>
      </c>
      <c r="X813">
        <v>0</v>
      </c>
      <c r="Y813" t="s">
        <v>60</v>
      </c>
      <c r="Z813" t="s">
        <v>61</v>
      </c>
      <c r="AA813">
        <v>0</v>
      </c>
      <c r="AB813" s="2">
        <v>0</v>
      </c>
      <c r="AC813" s="2">
        <v>0</v>
      </c>
      <c r="AD813" s="4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4.1100000000000003</v>
      </c>
      <c r="AN813" s="2">
        <v>4.1100000000000003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45999</v>
      </c>
      <c r="B814" t="s">
        <v>48</v>
      </c>
      <c r="C814">
        <v>649163</v>
      </c>
      <c r="D814">
        <v>2025721594</v>
      </c>
      <c r="E814" t="s">
        <v>788</v>
      </c>
      <c r="F814" t="s">
        <v>789</v>
      </c>
      <c r="G814" t="s">
        <v>51</v>
      </c>
      <c r="H814" t="s">
        <v>200</v>
      </c>
      <c r="I814" t="s">
        <v>126</v>
      </c>
      <c r="J814" t="s">
        <v>127</v>
      </c>
      <c r="K814">
        <v>796984</v>
      </c>
      <c r="L814" t="s">
        <v>344</v>
      </c>
      <c r="M814" t="s">
        <v>260</v>
      </c>
      <c r="N814" t="s">
        <v>57</v>
      </c>
      <c r="O814" s="1">
        <v>45608</v>
      </c>
      <c r="Q814" s="1">
        <v>46034</v>
      </c>
      <c r="R814" s="2">
        <v>20.95</v>
      </c>
      <c r="S814">
        <v>1</v>
      </c>
      <c r="T814" t="s">
        <v>58</v>
      </c>
      <c r="U814" t="s">
        <v>59</v>
      </c>
      <c r="V814" s="4">
        <v>0.15</v>
      </c>
      <c r="W814" s="2">
        <v>0</v>
      </c>
      <c r="X814">
        <v>0</v>
      </c>
      <c r="Y814" t="s">
        <v>60</v>
      </c>
      <c r="Z814" t="s">
        <v>61</v>
      </c>
      <c r="AA814">
        <v>0</v>
      </c>
      <c r="AB814" s="2">
        <v>0</v>
      </c>
      <c r="AC814" s="2">
        <v>0</v>
      </c>
      <c r="AD814" s="4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3.14</v>
      </c>
      <c r="AN814" s="2">
        <v>3.14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45999</v>
      </c>
      <c r="B815" t="s">
        <v>48</v>
      </c>
      <c r="C815">
        <v>649163</v>
      </c>
      <c r="D815">
        <v>2025724991</v>
      </c>
      <c r="E815" t="s">
        <v>994</v>
      </c>
      <c r="F815" t="s">
        <v>995</v>
      </c>
      <c r="G815" t="s">
        <v>51</v>
      </c>
      <c r="H815" t="s">
        <v>509</v>
      </c>
      <c r="I815" t="s">
        <v>126</v>
      </c>
      <c r="J815" t="s">
        <v>132</v>
      </c>
      <c r="K815">
        <v>756418</v>
      </c>
      <c r="L815" t="s">
        <v>409</v>
      </c>
      <c r="M815" t="s">
        <v>410</v>
      </c>
      <c r="N815" t="s">
        <v>57</v>
      </c>
      <c r="O815" s="1">
        <v>45608</v>
      </c>
      <c r="Q815" s="1">
        <v>46034</v>
      </c>
      <c r="R815" s="2">
        <v>46.17</v>
      </c>
      <c r="S815">
        <v>1</v>
      </c>
      <c r="T815" t="s">
        <v>58</v>
      </c>
      <c r="U815" t="s">
        <v>59</v>
      </c>
      <c r="V815" s="4">
        <v>0.15</v>
      </c>
      <c r="W815" s="2">
        <v>0</v>
      </c>
      <c r="X815">
        <v>0</v>
      </c>
      <c r="Y815" t="s">
        <v>60</v>
      </c>
      <c r="Z815" t="s">
        <v>61</v>
      </c>
      <c r="AA815">
        <v>0</v>
      </c>
      <c r="AB815" s="2">
        <v>0</v>
      </c>
      <c r="AC815" s="2">
        <v>0</v>
      </c>
      <c r="AD815" s="4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6.93</v>
      </c>
      <c r="AN815" s="2">
        <v>6.93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45999</v>
      </c>
      <c r="B816" t="s">
        <v>48</v>
      </c>
      <c r="C816">
        <v>649163</v>
      </c>
      <c r="D816">
        <v>2025727308</v>
      </c>
      <c r="E816" t="s">
        <v>661</v>
      </c>
      <c r="F816" t="s">
        <v>662</v>
      </c>
      <c r="G816" t="s">
        <v>51</v>
      </c>
      <c r="H816" t="s">
        <v>200</v>
      </c>
      <c r="I816" t="s">
        <v>126</v>
      </c>
      <c r="J816" t="s">
        <v>132</v>
      </c>
      <c r="K816">
        <v>796984</v>
      </c>
      <c r="L816" t="s">
        <v>344</v>
      </c>
      <c r="M816" t="s">
        <v>260</v>
      </c>
      <c r="N816" t="s">
        <v>57</v>
      </c>
      <c r="O816" s="1">
        <v>45608</v>
      </c>
      <c r="Q816" s="1">
        <v>46034</v>
      </c>
      <c r="R816" s="2">
        <v>9.1</v>
      </c>
      <c r="S816">
        <v>1</v>
      </c>
      <c r="T816" t="s">
        <v>58</v>
      </c>
      <c r="U816" t="s">
        <v>59</v>
      </c>
      <c r="V816" s="4">
        <v>0.15</v>
      </c>
      <c r="W816" s="2">
        <v>0</v>
      </c>
      <c r="X816">
        <v>0</v>
      </c>
      <c r="Y816" t="s">
        <v>60</v>
      </c>
      <c r="Z816" t="s">
        <v>61</v>
      </c>
      <c r="AA816">
        <v>0</v>
      </c>
      <c r="AB816" s="2">
        <v>0</v>
      </c>
      <c r="AC816" s="2">
        <v>0</v>
      </c>
      <c r="AD816" s="4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1.36</v>
      </c>
      <c r="AN816" s="2">
        <v>1.36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45999</v>
      </c>
      <c r="B817" t="s">
        <v>48</v>
      </c>
      <c r="C817">
        <v>649163</v>
      </c>
      <c r="D817">
        <v>2025732433</v>
      </c>
      <c r="E817" t="s">
        <v>404</v>
      </c>
      <c r="F817" t="s">
        <v>184</v>
      </c>
      <c r="G817" t="s">
        <v>51</v>
      </c>
      <c r="H817" t="s">
        <v>408</v>
      </c>
      <c r="I817" t="s">
        <v>126</v>
      </c>
      <c r="J817" t="s">
        <v>132</v>
      </c>
      <c r="K817">
        <v>651818</v>
      </c>
      <c r="L817" t="s">
        <v>246</v>
      </c>
      <c r="M817" t="s">
        <v>247</v>
      </c>
      <c r="N817" t="s">
        <v>57</v>
      </c>
      <c r="O817" s="1">
        <v>45664</v>
      </c>
      <c r="Q817" s="1">
        <v>46029</v>
      </c>
      <c r="R817" s="2">
        <v>98.64</v>
      </c>
      <c r="S817">
        <v>1</v>
      </c>
      <c r="T817" t="s">
        <v>58</v>
      </c>
      <c r="U817" t="s">
        <v>59</v>
      </c>
      <c r="V817" s="4">
        <v>0.7</v>
      </c>
      <c r="W817" s="2">
        <v>0</v>
      </c>
      <c r="X817">
        <v>0</v>
      </c>
      <c r="Y817" t="s">
        <v>83</v>
      </c>
      <c r="Z817" t="s">
        <v>61</v>
      </c>
      <c r="AA817">
        <v>0</v>
      </c>
      <c r="AB817" s="2">
        <v>0</v>
      </c>
      <c r="AC817" s="2">
        <v>0</v>
      </c>
      <c r="AD817" s="4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69.05</v>
      </c>
      <c r="AN817" s="2">
        <v>69.05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45999</v>
      </c>
      <c r="B818" t="s">
        <v>48</v>
      </c>
      <c r="C818">
        <v>649163</v>
      </c>
      <c r="D818">
        <v>2025772484</v>
      </c>
      <c r="E818" t="s">
        <v>114</v>
      </c>
      <c r="F818" t="s">
        <v>753</v>
      </c>
      <c r="G818" t="s">
        <v>51</v>
      </c>
      <c r="H818" t="s">
        <v>97</v>
      </c>
      <c r="I818" t="s">
        <v>126</v>
      </c>
      <c r="J818" t="s">
        <v>132</v>
      </c>
      <c r="K818">
        <v>651818</v>
      </c>
      <c r="L818" t="s">
        <v>246</v>
      </c>
      <c r="M818" t="s">
        <v>247</v>
      </c>
      <c r="N818" t="s">
        <v>57</v>
      </c>
      <c r="O818" s="1">
        <v>45633</v>
      </c>
      <c r="Q818" s="1">
        <v>46029</v>
      </c>
      <c r="R818" s="2">
        <v>261</v>
      </c>
      <c r="S818">
        <v>1</v>
      </c>
      <c r="T818" t="s">
        <v>58</v>
      </c>
      <c r="U818" t="s">
        <v>59</v>
      </c>
      <c r="V818" s="4">
        <v>0.15</v>
      </c>
      <c r="W818" s="2">
        <v>0</v>
      </c>
      <c r="X818">
        <v>0</v>
      </c>
      <c r="Y818" t="s">
        <v>60</v>
      </c>
      <c r="Z818" t="s">
        <v>61</v>
      </c>
      <c r="AA818">
        <v>0</v>
      </c>
      <c r="AB818" s="2">
        <v>0</v>
      </c>
      <c r="AC818" s="2">
        <v>0</v>
      </c>
      <c r="AD818" s="4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39.15</v>
      </c>
      <c r="AN818" s="2">
        <v>39.15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45999</v>
      </c>
      <c r="B819" t="s">
        <v>48</v>
      </c>
      <c r="C819">
        <v>649163</v>
      </c>
      <c r="D819">
        <v>2025803166</v>
      </c>
      <c r="E819" t="s">
        <v>1074</v>
      </c>
      <c r="F819" t="s">
        <v>1075</v>
      </c>
      <c r="G819" t="s">
        <v>51</v>
      </c>
      <c r="H819" t="s">
        <v>97</v>
      </c>
      <c r="I819" t="s">
        <v>126</v>
      </c>
      <c r="J819" t="s">
        <v>132</v>
      </c>
      <c r="K819">
        <v>651818</v>
      </c>
      <c r="L819" t="s">
        <v>246</v>
      </c>
      <c r="M819" t="s">
        <v>247</v>
      </c>
      <c r="N819" t="s">
        <v>57</v>
      </c>
      <c r="O819" s="1">
        <v>45633</v>
      </c>
      <c r="Q819" s="1">
        <v>46029</v>
      </c>
      <c r="R819" s="2">
        <v>140.6</v>
      </c>
      <c r="S819">
        <v>1</v>
      </c>
      <c r="T819" t="s">
        <v>58</v>
      </c>
      <c r="U819" t="s">
        <v>59</v>
      </c>
      <c r="V819" s="4">
        <v>0.15</v>
      </c>
      <c r="W819" s="2">
        <v>0</v>
      </c>
      <c r="X819">
        <v>0</v>
      </c>
      <c r="Y819" t="s">
        <v>60</v>
      </c>
      <c r="Z819" t="s">
        <v>61</v>
      </c>
      <c r="AA819">
        <v>0</v>
      </c>
      <c r="AB819" s="2">
        <v>0</v>
      </c>
      <c r="AC819" s="2">
        <v>0</v>
      </c>
      <c r="AD819" s="4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21.09</v>
      </c>
      <c r="AN819" s="2">
        <v>21.09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45999</v>
      </c>
      <c r="B820" t="s">
        <v>48</v>
      </c>
      <c r="C820">
        <v>649163</v>
      </c>
      <c r="D820">
        <v>2025805895</v>
      </c>
      <c r="E820" t="s">
        <v>1076</v>
      </c>
      <c r="F820" t="s">
        <v>194</v>
      </c>
      <c r="G820" t="s">
        <v>51</v>
      </c>
      <c r="H820" t="s">
        <v>97</v>
      </c>
      <c r="I820" t="s">
        <v>126</v>
      </c>
      <c r="J820" t="s">
        <v>375</v>
      </c>
      <c r="K820">
        <v>651818</v>
      </c>
      <c r="L820" t="s">
        <v>246</v>
      </c>
      <c r="M820" t="s">
        <v>247</v>
      </c>
      <c r="N820" t="s">
        <v>57</v>
      </c>
      <c r="O820" s="1">
        <v>45633</v>
      </c>
      <c r="Q820" s="1">
        <v>46029</v>
      </c>
      <c r="R820" s="2">
        <v>80.349999999999994</v>
      </c>
      <c r="S820">
        <v>1</v>
      </c>
      <c r="T820" t="s">
        <v>58</v>
      </c>
      <c r="U820" t="s">
        <v>59</v>
      </c>
      <c r="V820" s="4">
        <v>0.1</v>
      </c>
      <c r="W820" s="2">
        <v>0</v>
      </c>
      <c r="X820">
        <v>0</v>
      </c>
      <c r="Y820" t="s">
        <v>60</v>
      </c>
      <c r="Z820" t="s">
        <v>61</v>
      </c>
      <c r="AA820">
        <v>0</v>
      </c>
      <c r="AB820" s="2">
        <v>0</v>
      </c>
      <c r="AC820" s="2">
        <v>0</v>
      </c>
      <c r="AD820" s="4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8.0399999999999991</v>
      </c>
      <c r="AN820" s="2">
        <v>8.0399999999999991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45999</v>
      </c>
      <c r="B821" t="s">
        <v>48</v>
      </c>
      <c r="C821">
        <v>649163</v>
      </c>
      <c r="D821">
        <v>2025805896</v>
      </c>
      <c r="E821" t="s">
        <v>1076</v>
      </c>
      <c r="F821" t="s">
        <v>194</v>
      </c>
      <c r="G821" t="s">
        <v>51</v>
      </c>
      <c r="H821" t="s">
        <v>97</v>
      </c>
      <c r="I821" t="s">
        <v>126</v>
      </c>
      <c r="J821" t="s">
        <v>132</v>
      </c>
      <c r="K821">
        <v>651818</v>
      </c>
      <c r="L821" t="s">
        <v>246</v>
      </c>
      <c r="M821" t="s">
        <v>247</v>
      </c>
      <c r="N821" t="s">
        <v>57</v>
      </c>
      <c r="O821" s="1">
        <v>45633</v>
      </c>
      <c r="Q821" s="1">
        <v>46029</v>
      </c>
      <c r="R821" s="2">
        <v>111.68</v>
      </c>
      <c r="S821">
        <v>1</v>
      </c>
      <c r="T821" t="s">
        <v>58</v>
      </c>
      <c r="U821" t="s">
        <v>59</v>
      </c>
      <c r="V821" s="4">
        <v>0.15</v>
      </c>
      <c r="W821" s="2">
        <v>0</v>
      </c>
      <c r="X821">
        <v>0</v>
      </c>
      <c r="Y821" t="s">
        <v>60</v>
      </c>
      <c r="Z821" t="s">
        <v>61</v>
      </c>
      <c r="AA821">
        <v>0</v>
      </c>
      <c r="AB821" s="2">
        <v>0</v>
      </c>
      <c r="AC821" s="2">
        <v>0</v>
      </c>
      <c r="AD821" s="4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16.75</v>
      </c>
      <c r="AN821" s="2">
        <v>16.75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45999</v>
      </c>
      <c r="B822" t="s">
        <v>48</v>
      </c>
      <c r="C822">
        <v>649163</v>
      </c>
      <c r="D822">
        <v>2025815281</v>
      </c>
      <c r="E822" t="s">
        <v>790</v>
      </c>
      <c r="F822" t="s">
        <v>791</v>
      </c>
      <c r="G822" t="s">
        <v>51</v>
      </c>
      <c r="H822" t="s">
        <v>267</v>
      </c>
      <c r="I822" t="s">
        <v>126</v>
      </c>
      <c r="J822" t="s">
        <v>375</v>
      </c>
      <c r="K822">
        <v>651818</v>
      </c>
      <c r="L822" t="s">
        <v>246</v>
      </c>
      <c r="M822" t="s">
        <v>247</v>
      </c>
      <c r="N822" t="s">
        <v>57</v>
      </c>
      <c r="O822" s="1">
        <v>45633</v>
      </c>
      <c r="Q822" s="1">
        <v>46029</v>
      </c>
      <c r="R822" s="2">
        <v>21.83</v>
      </c>
      <c r="S822">
        <v>1</v>
      </c>
      <c r="T822" t="s">
        <v>58</v>
      </c>
      <c r="U822" t="s">
        <v>59</v>
      </c>
      <c r="V822" s="4">
        <v>0.1</v>
      </c>
      <c r="W822" s="2">
        <v>0</v>
      </c>
      <c r="X822">
        <v>0</v>
      </c>
      <c r="Y822" t="s">
        <v>60</v>
      </c>
      <c r="Z822" t="s">
        <v>61</v>
      </c>
      <c r="AA822">
        <v>0</v>
      </c>
      <c r="AB822" s="2">
        <v>0</v>
      </c>
      <c r="AC822" s="2">
        <v>0</v>
      </c>
      <c r="AD822" s="4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2.1800000000000002</v>
      </c>
      <c r="AN822" s="2">
        <v>2.1800000000000002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45999</v>
      </c>
      <c r="B823" t="s">
        <v>48</v>
      </c>
      <c r="C823">
        <v>649163</v>
      </c>
      <c r="D823">
        <v>2025815282</v>
      </c>
      <c r="E823" t="s">
        <v>790</v>
      </c>
      <c r="F823" t="s">
        <v>791</v>
      </c>
      <c r="G823" t="s">
        <v>51</v>
      </c>
      <c r="H823" t="s">
        <v>267</v>
      </c>
      <c r="I823" t="s">
        <v>126</v>
      </c>
      <c r="J823" t="s">
        <v>132</v>
      </c>
      <c r="K823">
        <v>651818</v>
      </c>
      <c r="L823" t="s">
        <v>246</v>
      </c>
      <c r="M823" t="s">
        <v>247</v>
      </c>
      <c r="N823" t="s">
        <v>57</v>
      </c>
      <c r="O823" s="1">
        <v>45633</v>
      </c>
      <c r="Q823" s="1">
        <v>46029</v>
      </c>
      <c r="R823" s="2">
        <v>31.28</v>
      </c>
      <c r="S823">
        <v>1</v>
      </c>
      <c r="T823" t="s">
        <v>58</v>
      </c>
      <c r="U823" t="s">
        <v>59</v>
      </c>
      <c r="V823" s="4">
        <v>0.15</v>
      </c>
      <c r="W823" s="2">
        <v>0</v>
      </c>
      <c r="X823">
        <v>0</v>
      </c>
      <c r="Y823" t="s">
        <v>60</v>
      </c>
      <c r="Z823" t="s">
        <v>61</v>
      </c>
      <c r="AA823">
        <v>0</v>
      </c>
      <c r="AB823" s="2">
        <v>0</v>
      </c>
      <c r="AC823" s="2">
        <v>0</v>
      </c>
      <c r="AD823" s="4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4.6900000000000004</v>
      </c>
      <c r="AN823" s="2">
        <v>4.6900000000000004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45999</v>
      </c>
      <c r="B824" t="s">
        <v>48</v>
      </c>
      <c r="C824">
        <v>649163</v>
      </c>
      <c r="D824">
        <v>2025863138</v>
      </c>
      <c r="E824" t="s">
        <v>492</v>
      </c>
      <c r="F824" t="s">
        <v>793</v>
      </c>
      <c r="G824" t="s">
        <v>51</v>
      </c>
      <c r="H824" t="s">
        <v>97</v>
      </c>
      <c r="I824" t="s">
        <v>126</v>
      </c>
      <c r="J824" t="s">
        <v>132</v>
      </c>
      <c r="K824">
        <v>651818</v>
      </c>
      <c r="L824" t="s">
        <v>246</v>
      </c>
      <c r="M824" t="s">
        <v>247</v>
      </c>
      <c r="N824" t="s">
        <v>57</v>
      </c>
      <c r="O824" s="1">
        <v>45633</v>
      </c>
      <c r="Q824" s="1">
        <v>46029</v>
      </c>
      <c r="R824" s="2">
        <v>129.22</v>
      </c>
      <c r="S824">
        <v>1</v>
      </c>
      <c r="T824" t="s">
        <v>58</v>
      </c>
      <c r="U824" t="s">
        <v>59</v>
      </c>
      <c r="V824" s="4">
        <v>0.15</v>
      </c>
      <c r="W824" s="2">
        <v>0</v>
      </c>
      <c r="X824">
        <v>0</v>
      </c>
      <c r="Y824" t="s">
        <v>60</v>
      </c>
      <c r="Z824" t="s">
        <v>61</v>
      </c>
      <c r="AA824">
        <v>0</v>
      </c>
      <c r="AB824" s="2">
        <v>0</v>
      </c>
      <c r="AC824" s="2">
        <v>0</v>
      </c>
      <c r="AD824" s="4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19.38</v>
      </c>
      <c r="AN824" s="2">
        <v>19.38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45999</v>
      </c>
      <c r="B825" t="s">
        <v>48</v>
      </c>
      <c r="C825">
        <v>649163</v>
      </c>
      <c r="D825">
        <v>2025884354</v>
      </c>
      <c r="E825" t="s">
        <v>161</v>
      </c>
      <c r="F825" t="s">
        <v>124</v>
      </c>
      <c r="G825" t="s">
        <v>51</v>
      </c>
      <c r="H825" t="s">
        <v>97</v>
      </c>
      <c r="I825" t="s">
        <v>126</v>
      </c>
      <c r="J825" t="s">
        <v>132</v>
      </c>
      <c r="K825">
        <v>651818</v>
      </c>
      <c r="L825" t="s">
        <v>246</v>
      </c>
      <c r="M825" t="s">
        <v>247</v>
      </c>
      <c r="N825" t="s">
        <v>57</v>
      </c>
      <c r="O825" s="1">
        <v>45633</v>
      </c>
      <c r="Q825" s="1">
        <v>46029</v>
      </c>
      <c r="R825" s="2">
        <v>83</v>
      </c>
      <c r="S825">
        <v>1</v>
      </c>
      <c r="T825" t="s">
        <v>58</v>
      </c>
      <c r="U825" t="s">
        <v>59</v>
      </c>
      <c r="V825" s="4">
        <v>0.15</v>
      </c>
      <c r="W825" s="2">
        <v>0</v>
      </c>
      <c r="X825">
        <v>0</v>
      </c>
      <c r="Y825" t="s">
        <v>60</v>
      </c>
      <c r="Z825" t="s">
        <v>61</v>
      </c>
      <c r="AA825">
        <v>0</v>
      </c>
      <c r="AB825" s="2">
        <v>0</v>
      </c>
      <c r="AC825" s="2">
        <v>0</v>
      </c>
      <c r="AD825" s="4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12.45</v>
      </c>
      <c r="AN825" s="2">
        <v>12.45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45999</v>
      </c>
      <c r="B826" t="s">
        <v>48</v>
      </c>
      <c r="C826">
        <v>649163</v>
      </c>
      <c r="D826">
        <v>2025885800</v>
      </c>
      <c r="E826" t="s">
        <v>1077</v>
      </c>
      <c r="F826" t="s">
        <v>1078</v>
      </c>
      <c r="G826" t="s">
        <v>51</v>
      </c>
      <c r="H826" t="s">
        <v>383</v>
      </c>
      <c r="I826" t="s">
        <v>126</v>
      </c>
      <c r="J826" t="s">
        <v>132</v>
      </c>
      <c r="K826">
        <v>651818</v>
      </c>
      <c r="L826" t="s">
        <v>246</v>
      </c>
      <c r="M826" t="s">
        <v>247</v>
      </c>
      <c r="N826" t="s">
        <v>57</v>
      </c>
      <c r="O826" s="1">
        <v>45633</v>
      </c>
      <c r="Q826" s="1">
        <v>46029</v>
      </c>
      <c r="R826" s="2">
        <v>187.04</v>
      </c>
      <c r="S826">
        <v>1</v>
      </c>
      <c r="T826" t="s">
        <v>58</v>
      </c>
      <c r="U826" t="s">
        <v>59</v>
      </c>
      <c r="V826" s="4">
        <v>0.15</v>
      </c>
      <c r="W826" s="2">
        <v>0</v>
      </c>
      <c r="X826">
        <v>0</v>
      </c>
      <c r="Y826" t="s">
        <v>60</v>
      </c>
      <c r="Z826" t="s">
        <v>61</v>
      </c>
      <c r="AA826">
        <v>0</v>
      </c>
      <c r="AB826" s="2">
        <v>0</v>
      </c>
      <c r="AC826" s="2">
        <v>0</v>
      </c>
      <c r="AD826" s="4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28.06</v>
      </c>
      <c r="AN826" s="2">
        <v>28.06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45999</v>
      </c>
      <c r="B827" t="s">
        <v>48</v>
      </c>
      <c r="C827">
        <v>649163</v>
      </c>
      <c r="D827">
        <v>2025887934</v>
      </c>
      <c r="E827" t="s">
        <v>268</v>
      </c>
      <c r="F827" t="s">
        <v>249</v>
      </c>
      <c r="G827" t="s">
        <v>51</v>
      </c>
      <c r="H827" t="s">
        <v>374</v>
      </c>
      <c r="I827" t="s">
        <v>126</v>
      </c>
      <c r="J827" t="s">
        <v>132</v>
      </c>
      <c r="K827">
        <v>651818</v>
      </c>
      <c r="L827" t="s">
        <v>246</v>
      </c>
      <c r="M827" t="s">
        <v>247</v>
      </c>
      <c r="N827" t="s">
        <v>57</v>
      </c>
      <c r="O827" s="1">
        <v>45633</v>
      </c>
      <c r="Q827" s="1">
        <v>46029</v>
      </c>
      <c r="R827" s="2">
        <v>122.32</v>
      </c>
      <c r="S827">
        <v>1</v>
      </c>
      <c r="T827" t="s">
        <v>58</v>
      </c>
      <c r="U827" t="s">
        <v>59</v>
      </c>
      <c r="V827" s="4">
        <v>0.15</v>
      </c>
      <c r="W827" s="2">
        <v>0</v>
      </c>
      <c r="X827">
        <v>0</v>
      </c>
      <c r="Y827" t="s">
        <v>60</v>
      </c>
      <c r="Z827" t="s">
        <v>61</v>
      </c>
      <c r="AA827">
        <v>0</v>
      </c>
      <c r="AB827" s="2">
        <v>0</v>
      </c>
      <c r="AC827" s="2">
        <v>0</v>
      </c>
      <c r="AD827" s="4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18.350000000000001</v>
      </c>
      <c r="AN827" s="2">
        <v>18.350000000000001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45999</v>
      </c>
      <c r="B828" t="s">
        <v>48</v>
      </c>
      <c r="C828">
        <v>649163</v>
      </c>
      <c r="D828">
        <v>2025896511</v>
      </c>
      <c r="E828" t="s">
        <v>794</v>
      </c>
      <c r="F828" t="s">
        <v>391</v>
      </c>
      <c r="G828" t="s">
        <v>51</v>
      </c>
      <c r="H828" t="s">
        <v>741</v>
      </c>
      <c r="I828" t="s">
        <v>126</v>
      </c>
      <c r="J828" t="s">
        <v>132</v>
      </c>
      <c r="K828">
        <v>651818</v>
      </c>
      <c r="L828" t="s">
        <v>246</v>
      </c>
      <c r="M828" t="s">
        <v>247</v>
      </c>
      <c r="N828" t="s">
        <v>57</v>
      </c>
      <c r="O828" s="1">
        <v>45633</v>
      </c>
      <c r="Q828" s="1">
        <v>46029</v>
      </c>
      <c r="R828" s="2">
        <v>40</v>
      </c>
      <c r="S828">
        <v>1</v>
      </c>
      <c r="T828" t="s">
        <v>58</v>
      </c>
      <c r="U828" t="s">
        <v>59</v>
      </c>
      <c r="V828" s="4">
        <v>0.15</v>
      </c>
      <c r="W828" s="2">
        <v>0</v>
      </c>
      <c r="X828">
        <v>0</v>
      </c>
      <c r="Y828" t="s">
        <v>60</v>
      </c>
      <c r="Z828" t="s">
        <v>61</v>
      </c>
      <c r="AA828">
        <v>0</v>
      </c>
      <c r="AB828" s="2">
        <v>0</v>
      </c>
      <c r="AC828" s="2">
        <v>0</v>
      </c>
      <c r="AD828" s="4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6</v>
      </c>
      <c r="AN828" s="2">
        <v>6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45999</v>
      </c>
      <c r="B829" t="s">
        <v>48</v>
      </c>
      <c r="C829">
        <v>649163</v>
      </c>
      <c r="D829">
        <v>2025973879</v>
      </c>
      <c r="E829" t="s">
        <v>1079</v>
      </c>
      <c r="F829" t="s">
        <v>1080</v>
      </c>
      <c r="G829" t="s">
        <v>51</v>
      </c>
      <c r="H829" t="s">
        <v>374</v>
      </c>
      <c r="I829" t="s">
        <v>126</v>
      </c>
      <c r="J829" t="s">
        <v>375</v>
      </c>
      <c r="K829">
        <v>753748</v>
      </c>
      <c r="L829" t="s">
        <v>396</v>
      </c>
      <c r="M829" t="s">
        <v>397</v>
      </c>
      <c r="N829" t="s">
        <v>57</v>
      </c>
      <c r="O829" s="1">
        <v>45658</v>
      </c>
      <c r="Q829" s="1">
        <v>46023</v>
      </c>
      <c r="R829" s="2">
        <v>83.63</v>
      </c>
      <c r="S829">
        <v>1</v>
      </c>
      <c r="T829" t="s">
        <v>58</v>
      </c>
      <c r="U829" t="s">
        <v>59</v>
      </c>
      <c r="V829" s="4">
        <v>0.9</v>
      </c>
      <c r="W829" s="2">
        <v>0</v>
      </c>
      <c r="X829">
        <v>0</v>
      </c>
      <c r="Y829" t="s">
        <v>83</v>
      </c>
      <c r="Z829" t="s">
        <v>61</v>
      </c>
      <c r="AA829">
        <v>0</v>
      </c>
      <c r="AB829" s="2">
        <v>0</v>
      </c>
      <c r="AC829" s="2">
        <v>0</v>
      </c>
      <c r="AD829" s="4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75.27</v>
      </c>
      <c r="AN829" s="2">
        <v>75.27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45999</v>
      </c>
      <c r="B830" t="s">
        <v>48</v>
      </c>
      <c r="C830">
        <v>649163</v>
      </c>
      <c r="D830">
        <v>2026028784</v>
      </c>
      <c r="E830" t="s">
        <v>543</v>
      </c>
      <c r="F830" t="s">
        <v>1081</v>
      </c>
      <c r="G830" t="s">
        <v>51</v>
      </c>
      <c r="H830" t="s">
        <v>102</v>
      </c>
      <c r="I830" t="s">
        <v>126</v>
      </c>
      <c r="J830" t="s">
        <v>132</v>
      </c>
      <c r="K830">
        <v>651818</v>
      </c>
      <c r="L830" t="s">
        <v>246</v>
      </c>
      <c r="M830" t="s">
        <v>247</v>
      </c>
      <c r="N830" t="s">
        <v>57</v>
      </c>
      <c r="O830" s="1">
        <v>45664</v>
      </c>
      <c r="Q830" s="1">
        <v>46029</v>
      </c>
      <c r="R830" s="2">
        <v>96</v>
      </c>
      <c r="S830">
        <v>1</v>
      </c>
      <c r="T830" t="s">
        <v>58</v>
      </c>
      <c r="U830" t="s">
        <v>59</v>
      </c>
      <c r="V830" s="4">
        <v>0.7</v>
      </c>
      <c r="W830" s="2">
        <v>0</v>
      </c>
      <c r="X830">
        <v>0</v>
      </c>
      <c r="Y830" t="s">
        <v>83</v>
      </c>
      <c r="Z830" t="s">
        <v>61</v>
      </c>
      <c r="AA830">
        <v>0</v>
      </c>
      <c r="AB830" s="2">
        <v>0</v>
      </c>
      <c r="AC830" s="2">
        <v>0</v>
      </c>
      <c r="AD830" s="4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67.2</v>
      </c>
      <c r="AN830" s="2">
        <v>67.2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45999</v>
      </c>
      <c r="B831" t="s">
        <v>48</v>
      </c>
      <c r="C831">
        <v>649163</v>
      </c>
      <c r="D831">
        <v>2026036712</v>
      </c>
      <c r="E831" t="s">
        <v>450</v>
      </c>
      <c r="F831" t="s">
        <v>678</v>
      </c>
      <c r="G831" t="s">
        <v>51</v>
      </c>
      <c r="H831" t="s">
        <v>102</v>
      </c>
      <c r="I831" t="s">
        <v>126</v>
      </c>
      <c r="J831" t="s">
        <v>132</v>
      </c>
      <c r="K831">
        <v>651818</v>
      </c>
      <c r="L831" t="s">
        <v>246</v>
      </c>
      <c r="M831" t="s">
        <v>247</v>
      </c>
      <c r="N831" t="s">
        <v>57</v>
      </c>
      <c r="O831" s="1">
        <v>45664</v>
      </c>
      <c r="Q831" s="1">
        <v>46029</v>
      </c>
      <c r="R831" s="2">
        <v>74.58</v>
      </c>
      <c r="S831">
        <v>1</v>
      </c>
      <c r="T831" t="s">
        <v>58</v>
      </c>
      <c r="U831" t="s">
        <v>59</v>
      </c>
      <c r="V831" s="4">
        <v>0.7</v>
      </c>
      <c r="W831" s="2">
        <v>0</v>
      </c>
      <c r="X831">
        <v>0</v>
      </c>
      <c r="Y831" t="s">
        <v>83</v>
      </c>
      <c r="Z831" t="s">
        <v>61</v>
      </c>
      <c r="AA831">
        <v>0</v>
      </c>
      <c r="AB831" s="2">
        <v>0</v>
      </c>
      <c r="AC831" s="2">
        <v>0</v>
      </c>
      <c r="AD831" s="4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52.21</v>
      </c>
      <c r="AN831" s="2">
        <v>52.21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45999</v>
      </c>
      <c r="B832" t="s">
        <v>48</v>
      </c>
      <c r="C832">
        <v>649163</v>
      </c>
      <c r="D832">
        <v>2026043419</v>
      </c>
      <c r="E832" t="s">
        <v>198</v>
      </c>
      <c r="F832" t="s">
        <v>1082</v>
      </c>
      <c r="G832" t="s">
        <v>51</v>
      </c>
      <c r="H832" t="s">
        <v>389</v>
      </c>
      <c r="I832" t="s">
        <v>126</v>
      </c>
      <c r="J832" t="s">
        <v>132</v>
      </c>
      <c r="K832">
        <v>651818</v>
      </c>
      <c r="L832" t="s">
        <v>246</v>
      </c>
      <c r="M832" t="s">
        <v>247</v>
      </c>
      <c r="N832" t="s">
        <v>57</v>
      </c>
      <c r="O832" s="1">
        <v>45664</v>
      </c>
      <c r="Q832" s="1">
        <v>46029</v>
      </c>
      <c r="R832" s="2">
        <v>79.33</v>
      </c>
      <c r="S832">
        <v>1</v>
      </c>
      <c r="T832" t="s">
        <v>58</v>
      </c>
      <c r="U832" t="s">
        <v>59</v>
      </c>
      <c r="V832" s="4">
        <v>0.7</v>
      </c>
      <c r="W832" s="2">
        <v>0</v>
      </c>
      <c r="X832">
        <v>0</v>
      </c>
      <c r="Y832" t="s">
        <v>83</v>
      </c>
      <c r="Z832" t="s">
        <v>61</v>
      </c>
      <c r="AA832">
        <v>0</v>
      </c>
      <c r="AB832" s="2">
        <v>0</v>
      </c>
      <c r="AC832" s="2">
        <v>0</v>
      </c>
      <c r="AD832" s="4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55.53</v>
      </c>
      <c r="AN832" s="2">
        <v>55.53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45999</v>
      </c>
      <c r="B833" t="s">
        <v>48</v>
      </c>
      <c r="C833">
        <v>649163</v>
      </c>
      <c r="D833">
        <v>2026047071</v>
      </c>
      <c r="E833" t="s">
        <v>1083</v>
      </c>
      <c r="F833" t="s">
        <v>913</v>
      </c>
      <c r="G833" t="s">
        <v>51</v>
      </c>
      <c r="H833" t="s">
        <v>97</v>
      </c>
      <c r="I833" t="s">
        <v>126</v>
      </c>
      <c r="J833" t="s">
        <v>132</v>
      </c>
      <c r="K833">
        <v>651818</v>
      </c>
      <c r="L833" t="s">
        <v>246</v>
      </c>
      <c r="M833" t="s">
        <v>247</v>
      </c>
      <c r="N833" t="s">
        <v>57</v>
      </c>
      <c r="O833" s="1">
        <v>45664</v>
      </c>
      <c r="Q833" s="1">
        <v>46029</v>
      </c>
      <c r="R833" s="2">
        <v>323.26</v>
      </c>
      <c r="S833">
        <v>1</v>
      </c>
      <c r="T833" t="s">
        <v>58</v>
      </c>
      <c r="U833" t="s">
        <v>59</v>
      </c>
      <c r="V833" s="4">
        <v>0.7</v>
      </c>
      <c r="W833" s="2">
        <v>0</v>
      </c>
      <c r="X833">
        <v>0</v>
      </c>
      <c r="Y833" t="s">
        <v>83</v>
      </c>
      <c r="Z833" t="s">
        <v>61</v>
      </c>
      <c r="AA833">
        <v>0</v>
      </c>
      <c r="AB833" s="2">
        <v>0</v>
      </c>
      <c r="AC833" s="2">
        <v>0</v>
      </c>
      <c r="AD833" s="4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226.28</v>
      </c>
      <c r="AN833" s="2">
        <v>226.28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45999</v>
      </c>
      <c r="B834" t="s">
        <v>48</v>
      </c>
      <c r="C834">
        <v>649163</v>
      </c>
      <c r="D834">
        <v>2026050470</v>
      </c>
      <c r="E834" t="s">
        <v>795</v>
      </c>
      <c r="F834" t="s">
        <v>71</v>
      </c>
      <c r="G834" t="s">
        <v>51</v>
      </c>
      <c r="H834" t="s">
        <v>200</v>
      </c>
      <c r="I834" t="s">
        <v>126</v>
      </c>
      <c r="J834" t="s">
        <v>132</v>
      </c>
      <c r="K834">
        <v>796984</v>
      </c>
      <c r="L834" t="s">
        <v>344</v>
      </c>
      <c r="M834" t="s">
        <v>260</v>
      </c>
      <c r="N834" t="s">
        <v>57</v>
      </c>
      <c r="O834" s="1">
        <v>45632</v>
      </c>
      <c r="Q834" s="1">
        <v>46028</v>
      </c>
      <c r="R834" s="2">
        <v>9.6999999999999993</v>
      </c>
      <c r="S834">
        <v>1</v>
      </c>
      <c r="T834" t="s">
        <v>58</v>
      </c>
      <c r="U834" t="s">
        <v>59</v>
      </c>
      <c r="V834" s="4">
        <v>0.15</v>
      </c>
      <c r="W834" s="2">
        <v>0</v>
      </c>
      <c r="X834">
        <v>0</v>
      </c>
      <c r="Y834" t="s">
        <v>60</v>
      </c>
      <c r="Z834" t="s">
        <v>61</v>
      </c>
      <c r="AA834">
        <v>0</v>
      </c>
      <c r="AB834" s="2">
        <v>0</v>
      </c>
      <c r="AC834" s="2">
        <v>0</v>
      </c>
      <c r="AD834" s="4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1.46</v>
      </c>
      <c r="AN834" s="2">
        <v>1.46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45999</v>
      </c>
      <c r="B835" t="s">
        <v>48</v>
      </c>
      <c r="C835">
        <v>649163</v>
      </c>
      <c r="D835">
        <v>2026053294</v>
      </c>
      <c r="E835" t="s">
        <v>796</v>
      </c>
      <c r="F835" t="s">
        <v>659</v>
      </c>
      <c r="G835" t="s">
        <v>51</v>
      </c>
      <c r="H835" t="s">
        <v>102</v>
      </c>
      <c r="I835" t="s">
        <v>126</v>
      </c>
      <c r="J835" t="s">
        <v>132</v>
      </c>
      <c r="K835">
        <v>651818</v>
      </c>
      <c r="L835" t="s">
        <v>246</v>
      </c>
      <c r="M835" t="s">
        <v>247</v>
      </c>
      <c r="N835" t="s">
        <v>57</v>
      </c>
      <c r="O835" s="1">
        <v>45664</v>
      </c>
      <c r="Q835" s="1">
        <v>46029</v>
      </c>
      <c r="R835" s="2">
        <v>124.72</v>
      </c>
      <c r="S835">
        <v>1</v>
      </c>
      <c r="T835" t="s">
        <v>58</v>
      </c>
      <c r="U835" t="s">
        <v>59</v>
      </c>
      <c r="V835" s="4">
        <v>0.7</v>
      </c>
      <c r="W835" s="2">
        <v>0</v>
      </c>
      <c r="X835">
        <v>0</v>
      </c>
      <c r="Y835" t="s">
        <v>83</v>
      </c>
      <c r="Z835" t="s">
        <v>61</v>
      </c>
      <c r="AA835">
        <v>0</v>
      </c>
      <c r="AB835" s="2">
        <v>0</v>
      </c>
      <c r="AC835" s="2">
        <v>0</v>
      </c>
      <c r="AD835" s="4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87.3</v>
      </c>
      <c r="AN835" s="2">
        <v>87.3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45999</v>
      </c>
      <c r="B836" t="s">
        <v>48</v>
      </c>
      <c r="C836">
        <v>649163</v>
      </c>
      <c r="D836">
        <v>2026056484</v>
      </c>
      <c r="E836" t="s">
        <v>1084</v>
      </c>
      <c r="F836" t="s">
        <v>283</v>
      </c>
      <c r="G836" t="s">
        <v>51</v>
      </c>
      <c r="H836" t="s">
        <v>267</v>
      </c>
      <c r="I836" t="s">
        <v>126</v>
      </c>
      <c r="J836" t="s">
        <v>132</v>
      </c>
      <c r="K836">
        <v>651818</v>
      </c>
      <c r="L836" t="s">
        <v>246</v>
      </c>
      <c r="M836" t="s">
        <v>247</v>
      </c>
      <c r="N836" t="s">
        <v>57</v>
      </c>
      <c r="O836" s="1">
        <v>45664</v>
      </c>
      <c r="Q836" s="1">
        <v>46029</v>
      </c>
      <c r="R836" s="2">
        <v>46.72</v>
      </c>
      <c r="S836">
        <v>1</v>
      </c>
      <c r="T836" t="s">
        <v>58</v>
      </c>
      <c r="U836" t="s">
        <v>59</v>
      </c>
      <c r="V836" s="4">
        <v>0.7</v>
      </c>
      <c r="W836" s="2">
        <v>0</v>
      </c>
      <c r="X836">
        <v>0</v>
      </c>
      <c r="Y836" t="s">
        <v>83</v>
      </c>
      <c r="Z836" t="s">
        <v>61</v>
      </c>
      <c r="AA836">
        <v>0</v>
      </c>
      <c r="AB836" s="2">
        <v>0</v>
      </c>
      <c r="AC836" s="2">
        <v>0</v>
      </c>
      <c r="AD836" s="4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32.700000000000003</v>
      </c>
      <c r="AN836" s="2">
        <v>32.700000000000003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45999</v>
      </c>
      <c r="B837" t="s">
        <v>48</v>
      </c>
      <c r="C837">
        <v>649163</v>
      </c>
      <c r="D837">
        <v>2026077464</v>
      </c>
      <c r="E837" t="s">
        <v>1085</v>
      </c>
      <c r="F837" t="s">
        <v>487</v>
      </c>
      <c r="G837" t="s">
        <v>51</v>
      </c>
      <c r="H837" t="s">
        <v>102</v>
      </c>
      <c r="I837" t="s">
        <v>126</v>
      </c>
      <c r="J837" t="s">
        <v>132</v>
      </c>
      <c r="K837">
        <v>651818</v>
      </c>
      <c r="L837" t="s">
        <v>246</v>
      </c>
      <c r="M837" t="s">
        <v>247</v>
      </c>
      <c r="N837" t="s">
        <v>57</v>
      </c>
      <c r="O837" s="1">
        <v>45664</v>
      </c>
      <c r="Q837" s="1">
        <v>46029</v>
      </c>
      <c r="R837" s="2">
        <v>198.36</v>
      </c>
      <c r="S837">
        <v>1</v>
      </c>
      <c r="T837" t="s">
        <v>58</v>
      </c>
      <c r="U837" t="s">
        <v>59</v>
      </c>
      <c r="V837" s="4">
        <v>0.7</v>
      </c>
      <c r="W837" s="2">
        <v>0</v>
      </c>
      <c r="X837">
        <v>0</v>
      </c>
      <c r="Y837" t="s">
        <v>83</v>
      </c>
      <c r="Z837" t="s">
        <v>61</v>
      </c>
      <c r="AA837">
        <v>0</v>
      </c>
      <c r="AB837" s="2">
        <v>0</v>
      </c>
      <c r="AC837" s="2">
        <v>0</v>
      </c>
      <c r="AD837" s="4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138.85</v>
      </c>
      <c r="AN837" s="2">
        <v>138.85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45999</v>
      </c>
      <c r="B838" t="s">
        <v>48</v>
      </c>
      <c r="C838">
        <v>649163</v>
      </c>
      <c r="D838">
        <v>2026082701</v>
      </c>
      <c r="E838" t="s">
        <v>797</v>
      </c>
      <c r="F838" t="s">
        <v>194</v>
      </c>
      <c r="G838" t="s">
        <v>51</v>
      </c>
      <c r="H838" t="s">
        <v>386</v>
      </c>
      <c r="I838" t="s">
        <v>126</v>
      </c>
      <c r="J838" t="s">
        <v>375</v>
      </c>
      <c r="K838">
        <v>651818</v>
      </c>
      <c r="L838" t="s">
        <v>246</v>
      </c>
      <c r="M838" t="s">
        <v>247</v>
      </c>
      <c r="N838" t="s">
        <v>57</v>
      </c>
      <c r="O838" s="1">
        <v>45664</v>
      </c>
      <c r="Q838" s="1">
        <v>46029</v>
      </c>
      <c r="R838" s="2">
        <v>74</v>
      </c>
      <c r="S838">
        <v>1</v>
      </c>
      <c r="T838" t="s">
        <v>58</v>
      </c>
      <c r="U838" t="s">
        <v>59</v>
      </c>
      <c r="V838" s="4">
        <v>0.9</v>
      </c>
      <c r="W838" s="2">
        <v>0</v>
      </c>
      <c r="X838">
        <v>0</v>
      </c>
      <c r="Y838" t="s">
        <v>83</v>
      </c>
      <c r="Z838" t="s">
        <v>61</v>
      </c>
      <c r="AA838">
        <v>0</v>
      </c>
      <c r="AB838" s="2">
        <v>0</v>
      </c>
      <c r="AC838" s="2">
        <v>0</v>
      </c>
      <c r="AD838" s="4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66.599999999999994</v>
      </c>
      <c r="AN838" s="2">
        <v>66.599999999999994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45999</v>
      </c>
      <c r="B839" t="s">
        <v>48</v>
      </c>
      <c r="C839">
        <v>649163</v>
      </c>
      <c r="D839">
        <v>2026082702</v>
      </c>
      <c r="E839" t="s">
        <v>797</v>
      </c>
      <c r="F839" t="s">
        <v>194</v>
      </c>
      <c r="G839" t="s">
        <v>51</v>
      </c>
      <c r="H839" t="s">
        <v>386</v>
      </c>
      <c r="I839" t="s">
        <v>126</v>
      </c>
      <c r="J839" t="s">
        <v>132</v>
      </c>
      <c r="K839">
        <v>651818</v>
      </c>
      <c r="L839" t="s">
        <v>246</v>
      </c>
      <c r="M839" t="s">
        <v>247</v>
      </c>
      <c r="N839" t="s">
        <v>57</v>
      </c>
      <c r="O839" s="1">
        <v>45664</v>
      </c>
      <c r="Q839" s="1">
        <v>46029</v>
      </c>
      <c r="R839" s="2">
        <v>32.979999999999997</v>
      </c>
      <c r="S839">
        <v>1</v>
      </c>
      <c r="T839" t="s">
        <v>58</v>
      </c>
      <c r="U839" t="s">
        <v>59</v>
      </c>
      <c r="V839" s="4">
        <v>0.7</v>
      </c>
      <c r="W839" s="2">
        <v>0</v>
      </c>
      <c r="X839">
        <v>0</v>
      </c>
      <c r="Y839" t="s">
        <v>83</v>
      </c>
      <c r="Z839" t="s">
        <v>61</v>
      </c>
      <c r="AA839">
        <v>0</v>
      </c>
      <c r="AB839" s="2">
        <v>0</v>
      </c>
      <c r="AC839" s="2">
        <v>0</v>
      </c>
      <c r="AD839" s="4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23.09</v>
      </c>
      <c r="AN839" s="2">
        <v>23.09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45999</v>
      </c>
      <c r="B840" t="s">
        <v>48</v>
      </c>
      <c r="C840">
        <v>649163</v>
      </c>
      <c r="D840">
        <v>2026083912</v>
      </c>
      <c r="E840" t="s">
        <v>1086</v>
      </c>
      <c r="F840" t="s">
        <v>1087</v>
      </c>
      <c r="G840" t="s">
        <v>51</v>
      </c>
      <c r="H840" t="s">
        <v>97</v>
      </c>
      <c r="I840" t="s">
        <v>126</v>
      </c>
      <c r="J840" t="s">
        <v>132</v>
      </c>
      <c r="K840">
        <v>651818</v>
      </c>
      <c r="L840" t="s">
        <v>246</v>
      </c>
      <c r="M840" t="s">
        <v>247</v>
      </c>
      <c r="N840" t="s">
        <v>94</v>
      </c>
      <c r="O840" s="1">
        <v>45664</v>
      </c>
      <c r="P840" s="1">
        <v>45999</v>
      </c>
      <c r="Q840" s="1">
        <v>46029</v>
      </c>
      <c r="R840" s="2">
        <v>210.64</v>
      </c>
      <c r="S840">
        <v>1</v>
      </c>
      <c r="T840" t="s">
        <v>58</v>
      </c>
      <c r="U840" t="s">
        <v>59</v>
      </c>
      <c r="V840" s="4">
        <v>0.7</v>
      </c>
      <c r="W840" s="2">
        <v>0</v>
      </c>
      <c r="X840">
        <v>0</v>
      </c>
      <c r="Y840" t="s">
        <v>83</v>
      </c>
      <c r="Z840" t="s">
        <v>61</v>
      </c>
      <c r="AA840">
        <v>0</v>
      </c>
      <c r="AB840" s="2">
        <v>0</v>
      </c>
      <c r="AC840" s="2">
        <v>0</v>
      </c>
      <c r="AD840" s="4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147.44999999999999</v>
      </c>
      <c r="AN840" s="2">
        <v>147.44999999999999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45999</v>
      </c>
      <c r="B841" t="s">
        <v>48</v>
      </c>
      <c r="C841">
        <v>649163</v>
      </c>
      <c r="D841">
        <v>2026084802</v>
      </c>
      <c r="E841" t="s">
        <v>1088</v>
      </c>
      <c r="F841" t="s">
        <v>789</v>
      </c>
      <c r="G841" t="s">
        <v>51</v>
      </c>
      <c r="H841" t="s">
        <v>102</v>
      </c>
      <c r="I841" t="s">
        <v>126</v>
      </c>
      <c r="J841" t="s">
        <v>132</v>
      </c>
      <c r="K841">
        <v>651818</v>
      </c>
      <c r="L841" t="s">
        <v>246</v>
      </c>
      <c r="M841" t="s">
        <v>247</v>
      </c>
      <c r="N841" t="s">
        <v>57</v>
      </c>
      <c r="O841" s="1">
        <v>45664</v>
      </c>
      <c r="Q841" s="1">
        <v>46029</v>
      </c>
      <c r="R841" s="2">
        <v>105.02</v>
      </c>
      <c r="S841">
        <v>1</v>
      </c>
      <c r="T841" t="s">
        <v>58</v>
      </c>
      <c r="U841" t="s">
        <v>59</v>
      </c>
      <c r="V841" s="4">
        <v>0.7</v>
      </c>
      <c r="W841" s="2">
        <v>0</v>
      </c>
      <c r="X841">
        <v>0</v>
      </c>
      <c r="Y841" t="s">
        <v>83</v>
      </c>
      <c r="Z841" t="s">
        <v>61</v>
      </c>
      <c r="AA841">
        <v>0</v>
      </c>
      <c r="AB841" s="2">
        <v>0</v>
      </c>
      <c r="AC841" s="2">
        <v>0</v>
      </c>
      <c r="AD841" s="4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73.510000000000005</v>
      </c>
      <c r="AN841" s="2">
        <v>73.510000000000005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45999</v>
      </c>
      <c r="B842" t="s">
        <v>48</v>
      </c>
      <c r="C842">
        <v>649163</v>
      </c>
      <c r="D842">
        <v>2026099501</v>
      </c>
      <c r="E842" t="s">
        <v>798</v>
      </c>
      <c r="F842" t="s">
        <v>789</v>
      </c>
      <c r="G842" t="s">
        <v>51</v>
      </c>
      <c r="H842" t="s">
        <v>267</v>
      </c>
      <c r="I842" t="s">
        <v>126</v>
      </c>
      <c r="J842" t="s">
        <v>132</v>
      </c>
      <c r="K842">
        <v>651818</v>
      </c>
      <c r="L842" t="s">
        <v>246</v>
      </c>
      <c r="M842" t="s">
        <v>247</v>
      </c>
      <c r="N842" t="s">
        <v>57</v>
      </c>
      <c r="O842" s="1">
        <v>45664</v>
      </c>
      <c r="Q842" s="1">
        <v>46029</v>
      </c>
      <c r="R842" s="2">
        <v>31.28</v>
      </c>
      <c r="S842">
        <v>1</v>
      </c>
      <c r="T842" t="s">
        <v>58</v>
      </c>
      <c r="U842" t="s">
        <v>59</v>
      </c>
      <c r="V842" s="4">
        <v>0.7</v>
      </c>
      <c r="W842" s="2">
        <v>0</v>
      </c>
      <c r="X842">
        <v>0</v>
      </c>
      <c r="Y842" t="s">
        <v>83</v>
      </c>
      <c r="Z842" t="s">
        <v>61</v>
      </c>
      <c r="AA842">
        <v>0</v>
      </c>
      <c r="AB842" s="2">
        <v>0</v>
      </c>
      <c r="AC842" s="2">
        <v>0</v>
      </c>
      <c r="AD842" s="4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21.9</v>
      </c>
      <c r="AN842" s="2">
        <v>21.9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45999</v>
      </c>
      <c r="B843" t="s">
        <v>48</v>
      </c>
      <c r="C843">
        <v>649163</v>
      </c>
      <c r="D843">
        <v>2026103478</v>
      </c>
      <c r="E843" t="s">
        <v>800</v>
      </c>
      <c r="F843" t="s">
        <v>801</v>
      </c>
      <c r="G843" t="s">
        <v>51</v>
      </c>
      <c r="H843" t="s">
        <v>267</v>
      </c>
      <c r="I843" t="s">
        <v>126</v>
      </c>
      <c r="J843" t="s">
        <v>132</v>
      </c>
      <c r="K843">
        <v>651818</v>
      </c>
      <c r="L843" t="s">
        <v>246</v>
      </c>
      <c r="M843" t="s">
        <v>247</v>
      </c>
      <c r="N843" t="s">
        <v>57</v>
      </c>
      <c r="O843" s="1">
        <v>45664</v>
      </c>
      <c r="Q843" s="1">
        <v>46029</v>
      </c>
      <c r="R843" s="2">
        <v>46.72</v>
      </c>
      <c r="S843">
        <v>1</v>
      </c>
      <c r="T843" t="s">
        <v>58</v>
      </c>
      <c r="U843" t="s">
        <v>59</v>
      </c>
      <c r="V843" s="4">
        <v>0.7</v>
      </c>
      <c r="W843" s="2">
        <v>0</v>
      </c>
      <c r="X843">
        <v>0</v>
      </c>
      <c r="Y843" t="s">
        <v>83</v>
      </c>
      <c r="Z843" t="s">
        <v>61</v>
      </c>
      <c r="AA843">
        <v>0</v>
      </c>
      <c r="AB843" s="2">
        <v>0</v>
      </c>
      <c r="AC843" s="2">
        <v>0</v>
      </c>
      <c r="AD843" s="4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32.700000000000003</v>
      </c>
      <c r="AN843" s="2">
        <v>32.700000000000003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45999</v>
      </c>
      <c r="B844" t="s">
        <v>48</v>
      </c>
      <c r="C844">
        <v>649163</v>
      </c>
      <c r="D844">
        <v>2026103480</v>
      </c>
      <c r="E844" t="s">
        <v>800</v>
      </c>
      <c r="F844" t="s">
        <v>801</v>
      </c>
      <c r="G844" t="s">
        <v>51</v>
      </c>
      <c r="H844" t="s">
        <v>267</v>
      </c>
      <c r="I844" t="s">
        <v>126</v>
      </c>
      <c r="J844" t="s">
        <v>375</v>
      </c>
      <c r="K844">
        <v>651818</v>
      </c>
      <c r="L844" t="s">
        <v>246</v>
      </c>
      <c r="M844" t="s">
        <v>247</v>
      </c>
      <c r="N844" t="s">
        <v>57</v>
      </c>
      <c r="O844" s="1">
        <v>45664</v>
      </c>
      <c r="Q844" s="1">
        <v>46029</v>
      </c>
      <c r="R844" s="2">
        <v>30.75</v>
      </c>
      <c r="S844">
        <v>1</v>
      </c>
      <c r="T844" t="s">
        <v>58</v>
      </c>
      <c r="U844" t="s">
        <v>59</v>
      </c>
      <c r="V844" s="4">
        <v>0.9</v>
      </c>
      <c r="W844" s="2">
        <v>0</v>
      </c>
      <c r="X844">
        <v>0</v>
      </c>
      <c r="Y844" t="s">
        <v>83</v>
      </c>
      <c r="Z844" t="s">
        <v>61</v>
      </c>
      <c r="AA844">
        <v>0</v>
      </c>
      <c r="AB844" s="2">
        <v>0</v>
      </c>
      <c r="AC844" s="2">
        <v>0</v>
      </c>
      <c r="AD844" s="4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27.68</v>
      </c>
      <c r="AN844" s="2">
        <v>27.68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45999</v>
      </c>
      <c r="B845" t="s">
        <v>48</v>
      </c>
      <c r="C845">
        <v>649163</v>
      </c>
      <c r="D845">
        <v>2026113523</v>
      </c>
      <c r="E845" t="s">
        <v>802</v>
      </c>
      <c r="F845" t="s">
        <v>192</v>
      </c>
      <c r="G845" t="s">
        <v>51</v>
      </c>
      <c r="H845" t="s">
        <v>102</v>
      </c>
      <c r="I845" t="s">
        <v>126</v>
      </c>
      <c r="J845" t="s">
        <v>132</v>
      </c>
      <c r="K845">
        <v>651818</v>
      </c>
      <c r="L845" t="s">
        <v>246</v>
      </c>
      <c r="M845" t="s">
        <v>247</v>
      </c>
      <c r="N845" t="s">
        <v>57</v>
      </c>
      <c r="O845" s="1">
        <v>45664</v>
      </c>
      <c r="Q845" s="1">
        <v>46029</v>
      </c>
      <c r="R845" s="2">
        <v>284.54000000000002</v>
      </c>
      <c r="S845">
        <v>1</v>
      </c>
      <c r="T845" t="s">
        <v>58</v>
      </c>
      <c r="U845" t="s">
        <v>59</v>
      </c>
      <c r="V845" s="4">
        <v>0.7</v>
      </c>
      <c r="W845" s="2">
        <v>0</v>
      </c>
      <c r="X845">
        <v>0</v>
      </c>
      <c r="Y845" t="s">
        <v>83</v>
      </c>
      <c r="Z845" t="s">
        <v>61</v>
      </c>
      <c r="AA845">
        <v>0</v>
      </c>
      <c r="AB845" s="2">
        <v>0</v>
      </c>
      <c r="AC845" s="2">
        <v>0</v>
      </c>
      <c r="AD845" s="4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199.18</v>
      </c>
      <c r="AN845" s="2">
        <v>199.18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45999</v>
      </c>
      <c r="B846" t="s">
        <v>48</v>
      </c>
      <c r="C846">
        <v>649163</v>
      </c>
      <c r="D846">
        <v>2026119932</v>
      </c>
      <c r="E846" t="s">
        <v>480</v>
      </c>
      <c r="F846" t="s">
        <v>481</v>
      </c>
      <c r="G846" t="s">
        <v>51</v>
      </c>
      <c r="H846" t="s">
        <v>79</v>
      </c>
      <c r="I846" t="s">
        <v>126</v>
      </c>
      <c r="J846" t="s">
        <v>132</v>
      </c>
      <c r="K846">
        <v>651818</v>
      </c>
      <c r="L846" t="s">
        <v>246</v>
      </c>
      <c r="M846" t="s">
        <v>247</v>
      </c>
      <c r="N846" t="s">
        <v>57</v>
      </c>
      <c r="O846" s="1">
        <v>45664</v>
      </c>
      <c r="Q846" s="1">
        <v>46029</v>
      </c>
      <c r="R846" s="2">
        <v>110.16</v>
      </c>
      <c r="S846">
        <v>1</v>
      </c>
      <c r="T846" t="s">
        <v>58</v>
      </c>
      <c r="U846" t="s">
        <v>59</v>
      </c>
      <c r="V846" s="4">
        <v>0.7</v>
      </c>
      <c r="W846" s="2">
        <v>0</v>
      </c>
      <c r="X846">
        <v>0</v>
      </c>
      <c r="Y846" t="s">
        <v>83</v>
      </c>
      <c r="Z846" t="s">
        <v>61</v>
      </c>
      <c r="AA846">
        <v>0</v>
      </c>
      <c r="AB846" s="2">
        <v>0</v>
      </c>
      <c r="AC846" s="2">
        <v>0</v>
      </c>
      <c r="AD846" s="4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77.11</v>
      </c>
      <c r="AN846" s="2">
        <v>77.11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45999</v>
      </c>
      <c r="B847" t="s">
        <v>48</v>
      </c>
      <c r="C847">
        <v>649163</v>
      </c>
      <c r="D847">
        <v>2026126660</v>
      </c>
      <c r="E847" t="s">
        <v>790</v>
      </c>
      <c r="F847" t="s">
        <v>134</v>
      </c>
      <c r="G847" t="s">
        <v>51</v>
      </c>
      <c r="H847" t="s">
        <v>97</v>
      </c>
      <c r="I847" t="s">
        <v>126</v>
      </c>
      <c r="J847" t="s">
        <v>132</v>
      </c>
      <c r="K847">
        <v>651818</v>
      </c>
      <c r="L847" t="s">
        <v>246</v>
      </c>
      <c r="M847" t="s">
        <v>247</v>
      </c>
      <c r="N847" t="s">
        <v>57</v>
      </c>
      <c r="O847" s="1">
        <v>45664</v>
      </c>
      <c r="Q847" s="1">
        <v>46029</v>
      </c>
      <c r="R847" s="2">
        <v>140.6</v>
      </c>
      <c r="S847">
        <v>1</v>
      </c>
      <c r="T847" t="s">
        <v>58</v>
      </c>
      <c r="U847" t="s">
        <v>59</v>
      </c>
      <c r="V847" s="4">
        <v>0.7</v>
      </c>
      <c r="W847" s="2">
        <v>0</v>
      </c>
      <c r="X847">
        <v>0</v>
      </c>
      <c r="Y847" t="s">
        <v>83</v>
      </c>
      <c r="Z847" t="s">
        <v>61</v>
      </c>
      <c r="AA847">
        <v>0</v>
      </c>
      <c r="AB847" s="2">
        <v>0</v>
      </c>
      <c r="AC847" s="2">
        <v>0</v>
      </c>
      <c r="AD847" s="4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98.42</v>
      </c>
      <c r="AN847" s="2">
        <v>98.42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45999</v>
      </c>
      <c r="B848" t="s">
        <v>48</v>
      </c>
      <c r="C848">
        <v>649163</v>
      </c>
      <c r="D848">
        <v>2026131288</v>
      </c>
      <c r="E848" t="s">
        <v>1089</v>
      </c>
      <c r="F848" t="s">
        <v>1090</v>
      </c>
      <c r="G848" t="s">
        <v>51</v>
      </c>
      <c r="H848" t="s">
        <v>97</v>
      </c>
      <c r="I848" t="s">
        <v>126</v>
      </c>
      <c r="J848" t="s">
        <v>132</v>
      </c>
      <c r="K848">
        <v>651818</v>
      </c>
      <c r="L848" t="s">
        <v>246</v>
      </c>
      <c r="M848" t="s">
        <v>247</v>
      </c>
      <c r="N848" t="s">
        <v>57</v>
      </c>
      <c r="O848" s="1">
        <v>45664</v>
      </c>
      <c r="Q848" s="1">
        <v>46029</v>
      </c>
      <c r="R848" s="2">
        <v>176.94</v>
      </c>
      <c r="S848">
        <v>1</v>
      </c>
      <c r="T848" t="s">
        <v>58</v>
      </c>
      <c r="U848" t="s">
        <v>59</v>
      </c>
      <c r="V848" s="4">
        <v>0.7</v>
      </c>
      <c r="W848" s="2">
        <v>0</v>
      </c>
      <c r="X848">
        <v>0</v>
      </c>
      <c r="Y848" t="s">
        <v>83</v>
      </c>
      <c r="Z848" t="s">
        <v>61</v>
      </c>
      <c r="AA848">
        <v>0</v>
      </c>
      <c r="AB848" s="2">
        <v>0</v>
      </c>
      <c r="AC848" s="2">
        <v>0</v>
      </c>
      <c r="AD848" s="4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123.86</v>
      </c>
      <c r="AN848" s="2">
        <v>123.86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45999</v>
      </c>
      <c r="B849" t="s">
        <v>48</v>
      </c>
      <c r="C849">
        <v>649163</v>
      </c>
      <c r="D849">
        <v>2026133998</v>
      </c>
      <c r="E849" t="s">
        <v>344</v>
      </c>
      <c r="F849" t="s">
        <v>803</v>
      </c>
      <c r="G849" t="s">
        <v>51</v>
      </c>
      <c r="H849" t="s">
        <v>200</v>
      </c>
      <c r="I849" t="s">
        <v>126</v>
      </c>
      <c r="J849" t="s">
        <v>132</v>
      </c>
      <c r="K849">
        <v>816021</v>
      </c>
      <c r="L849" t="s">
        <v>201</v>
      </c>
      <c r="M849" t="s">
        <v>202</v>
      </c>
      <c r="N849" t="s">
        <v>57</v>
      </c>
      <c r="O849" s="1">
        <v>45638</v>
      </c>
      <c r="Q849" s="1">
        <v>46034</v>
      </c>
      <c r="R849" s="2">
        <v>18.2</v>
      </c>
      <c r="S849">
        <v>1</v>
      </c>
      <c r="T849" t="s">
        <v>58</v>
      </c>
      <c r="U849" t="s">
        <v>59</v>
      </c>
      <c r="V849" s="4">
        <v>0.15</v>
      </c>
      <c r="W849" s="2">
        <v>0</v>
      </c>
      <c r="X849">
        <v>0</v>
      </c>
      <c r="Y849" t="s">
        <v>60</v>
      </c>
      <c r="Z849" t="s">
        <v>61</v>
      </c>
      <c r="AA849">
        <v>0</v>
      </c>
      <c r="AB849" s="2">
        <v>0</v>
      </c>
      <c r="AC849" s="2">
        <v>0</v>
      </c>
      <c r="AD849" s="4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2.73</v>
      </c>
      <c r="AN849" s="2">
        <v>2.73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45999</v>
      </c>
      <c r="B850" t="s">
        <v>48</v>
      </c>
      <c r="C850">
        <v>649163</v>
      </c>
      <c r="D850">
        <v>2026145112</v>
      </c>
      <c r="E850" t="s">
        <v>804</v>
      </c>
      <c r="F850" t="s">
        <v>182</v>
      </c>
      <c r="G850" t="s">
        <v>51</v>
      </c>
      <c r="H850" t="s">
        <v>408</v>
      </c>
      <c r="I850" t="s">
        <v>126</v>
      </c>
      <c r="J850" t="s">
        <v>132</v>
      </c>
      <c r="K850">
        <v>651818</v>
      </c>
      <c r="L850" t="s">
        <v>246</v>
      </c>
      <c r="M850" t="s">
        <v>247</v>
      </c>
      <c r="N850" t="s">
        <v>57</v>
      </c>
      <c r="O850" s="1">
        <v>45664</v>
      </c>
      <c r="Q850" s="1">
        <v>46029</v>
      </c>
      <c r="R850" s="2">
        <v>50.48</v>
      </c>
      <c r="S850">
        <v>1</v>
      </c>
      <c r="T850" t="s">
        <v>58</v>
      </c>
      <c r="U850" t="s">
        <v>59</v>
      </c>
      <c r="V850" s="4">
        <v>0.7</v>
      </c>
      <c r="W850" s="2">
        <v>0</v>
      </c>
      <c r="X850">
        <v>0</v>
      </c>
      <c r="Y850" t="s">
        <v>83</v>
      </c>
      <c r="Z850" t="s">
        <v>61</v>
      </c>
      <c r="AA850">
        <v>0</v>
      </c>
      <c r="AB850" s="2">
        <v>0</v>
      </c>
      <c r="AC850" s="2">
        <v>0</v>
      </c>
      <c r="AD850" s="4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35.340000000000003</v>
      </c>
      <c r="AN850" s="2">
        <v>35.340000000000003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45999</v>
      </c>
      <c r="B851" t="s">
        <v>48</v>
      </c>
      <c r="C851">
        <v>649163</v>
      </c>
      <c r="D851">
        <v>2026150039</v>
      </c>
      <c r="E851" t="s">
        <v>805</v>
      </c>
      <c r="F851" t="s">
        <v>101</v>
      </c>
      <c r="G851" t="s">
        <v>51</v>
      </c>
      <c r="H851" t="s">
        <v>102</v>
      </c>
      <c r="I851" t="s">
        <v>126</v>
      </c>
      <c r="J851" t="s">
        <v>132</v>
      </c>
      <c r="K851">
        <v>651818</v>
      </c>
      <c r="L851" t="s">
        <v>246</v>
      </c>
      <c r="M851" t="s">
        <v>247</v>
      </c>
      <c r="N851" t="s">
        <v>57</v>
      </c>
      <c r="O851" s="1">
        <v>45664</v>
      </c>
      <c r="Q851" s="1">
        <v>46029</v>
      </c>
      <c r="R851" s="2">
        <v>72.760000000000005</v>
      </c>
      <c r="S851">
        <v>1</v>
      </c>
      <c r="T851" t="s">
        <v>58</v>
      </c>
      <c r="U851" t="s">
        <v>59</v>
      </c>
      <c r="V851" s="4">
        <v>0.7</v>
      </c>
      <c r="W851" s="2">
        <v>0</v>
      </c>
      <c r="X851">
        <v>0</v>
      </c>
      <c r="Y851" t="s">
        <v>83</v>
      </c>
      <c r="Z851" t="s">
        <v>61</v>
      </c>
      <c r="AA851">
        <v>0</v>
      </c>
      <c r="AB851" s="2">
        <v>0</v>
      </c>
      <c r="AC851" s="2">
        <v>0</v>
      </c>
      <c r="AD851" s="4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50.93</v>
      </c>
      <c r="AN851" s="2">
        <v>50.93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45999</v>
      </c>
      <c r="B852" t="s">
        <v>48</v>
      </c>
      <c r="C852">
        <v>649163</v>
      </c>
      <c r="D852">
        <v>2026153413</v>
      </c>
      <c r="E852" t="s">
        <v>1091</v>
      </c>
      <c r="F852" t="s">
        <v>487</v>
      </c>
      <c r="G852" t="s">
        <v>51</v>
      </c>
      <c r="H852" t="s">
        <v>620</v>
      </c>
      <c r="I852" t="s">
        <v>126</v>
      </c>
      <c r="J852" t="s">
        <v>132</v>
      </c>
      <c r="K852">
        <v>651818</v>
      </c>
      <c r="L852" t="s">
        <v>246</v>
      </c>
      <c r="M852" t="s">
        <v>247</v>
      </c>
      <c r="N852" t="s">
        <v>57</v>
      </c>
      <c r="O852" s="1">
        <v>45664</v>
      </c>
      <c r="Q852" s="1">
        <v>46029</v>
      </c>
      <c r="R852" s="2">
        <v>223.92</v>
      </c>
      <c r="S852">
        <v>1</v>
      </c>
      <c r="T852" t="s">
        <v>58</v>
      </c>
      <c r="U852" t="s">
        <v>59</v>
      </c>
      <c r="V852" s="4">
        <v>0.7</v>
      </c>
      <c r="W852" s="2">
        <v>0</v>
      </c>
      <c r="X852">
        <v>0</v>
      </c>
      <c r="Y852" t="s">
        <v>83</v>
      </c>
      <c r="Z852" t="s">
        <v>61</v>
      </c>
      <c r="AA852">
        <v>0</v>
      </c>
      <c r="AB852" s="2">
        <v>0</v>
      </c>
      <c r="AC852" s="2">
        <v>0</v>
      </c>
      <c r="AD852" s="4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156.74</v>
      </c>
      <c r="AN852" s="2">
        <v>156.74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45999</v>
      </c>
      <c r="B853" t="s">
        <v>48</v>
      </c>
      <c r="C853">
        <v>649163</v>
      </c>
      <c r="D853">
        <v>2026153889</v>
      </c>
      <c r="E853" t="s">
        <v>1091</v>
      </c>
      <c r="F853" t="s">
        <v>1092</v>
      </c>
      <c r="G853" t="s">
        <v>51</v>
      </c>
      <c r="H853" t="s">
        <v>620</v>
      </c>
      <c r="I853" t="s">
        <v>126</v>
      </c>
      <c r="J853" t="s">
        <v>132</v>
      </c>
      <c r="K853">
        <v>651818</v>
      </c>
      <c r="L853" t="s">
        <v>246</v>
      </c>
      <c r="M853" t="s">
        <v>247</v>
      </c>
      <c r="N853" t="s">
        <v>57</v>
      </c>
      <c r="O853" s="1">
        <v>45664</v>
      </c>
      <c r="Q853" s="1">
        <v>46029</v>
      </c>
      <c r="R853" s="2">
        <v>60.76</v>
      </c>
      <c r="S853">
        <v>1</v>
      </c>
      <c r="T853" t="s">
        <v>58</v>
      </c>
      <c r="U853" t="s">
        <v>59</v>
      </c>
      <c r="V853" s="4">
        <v>0.7</v>
      </c>
      <c r="W853" s="2">
        <v>0</v>
      </c>
      <c r="X853">
        <v>0</v>
      </c>
      <c r="Y853" t="s">
        <v>83</v>
      </c>
      <c r="Z853" t="s">
        <v>61</v>
      </c>
      <c r="AA853">
        <v>0</v>
      </c>
      <c r="AB853" s="2">
        <v>0</v>
      </c>
      <c r="AC853" s="2">
        <v>0</v>
      </c>
      <c r="AD853" s="4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42.53</v>
      </c>
      <c r="AN853" s="2">
        <v>42.53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45999</v>
      </c>
      <c r="B854" t="s">
        <v>48</v>
      </c>
      <c r="C854">
        <v>649163</v>
      </c>
      <c r="D854">
        <v>2026154680</v>
      </c>
      <c r="E854" t="s">
        <v>806</v>
      </c>
      <c r="F854" t="s">
        <v>807</v>
      </c>
      <c r="G854" t="s">
        <v>51</v>
      </c>
      <c r="H854" t="s">
        <v>267</v>
      </c>
      <c r="I854" t="s">
        <v>126</v>
      </c>
      <c r="J854" t="s">
        <v>132</v>
      </c>
      <c r="K854">
        <v>651818</v>
      </c>
      <c r="L854" t="s">
        <v>246</v>
      </c>
      <c r="M854" t="s">
        <v>247</v>
      </c>
      <c r="N854" t="s">
        <v>57</v>
      </c>
      <c r="O854" s="1">
        <v>45664</v>
      </c>
      <c r="Q854" s="1">
        <v>46029</v>
      </c>
      <c r="R854" s="2">
        <v>46.72</v>
      </c>
      <c r="S854">
        <v>1</v>
      </c>
      <c r="T854" t="s">
        <v>58</v>
      </c>
      <c r="U854" t="s">
        <v>59</v>
      </c>
      <c r="V854" s="4">
        <v>0.7</v>
      </c>
      <c r="W854" s="2">
        <v>0</v>
      </c>
      <c r="X854">
        <v>0</v>
      </c>
      <c r="Y854" t="s">
        <v>83</v>
      </c>
      <c r="Z854" t="s">
        <v>61</v>
      </c>
      <c r="AA854">
        <v>0</v>
      </c>
      <c r="AB854" s="2">
        <v>0</v>
      </c>
      <c r="AC854" s="2">
        <v>0</v>
      </c>
      <c r="AD854" s="4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32.700000000000003</v>
      </c>
      <c r="AN854" s="2">
        <v>32.700000000000003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45999</v>
      </c>
      <c r="B855" t="s">
        <v>48</v>
      </c>
      <c r="C855">
        <v>649163</v>
      </c>
      <c r="D855">
        <v>2026155452</v>
      </c>
      <c r="E855" t="s">
        <v>808</v>
      </c>
      <c r="F855" t="s">
        <v>809</v>
      </c>
      <c r="G855" t="s">
        <v>51</v>
      </c>
      <c r="H855" t="s">
        <v>810</v>
      </c>
      <c r="I855" t="s">
        <v>126</v>
      </c>
      <c r="J855" t="s">
        <v>132</v>
      </c>
      <c r="K855">
        <v>651818</v>
      </c>
      <c r="L855" t="s">
        <v>246</v>
      </c>
      <c r="M855" t="s">
        <v>247</v>
      </c>
      <c r="N855" t="s">
        <v>57</v>
      </c>
      <c r="O855" s="1">
        <v>45664</v>
      </c>
      <c r="Q855" s="1">
        <v>46029</v>
      </c>
      <c r="R855" s="2">
        <v>135.84</v>
      </c>
      <c r="S855">
        <v>1</v>
      </c>
      <c r="T855" t="s">
        <v>58</v>
      </c>
      <c r="U855" t="s">
        <v>59</v>
      </c>
      <c r="V855" s="4">
        <v>0.7</v>
      </c>
      <c r="W855" s="2">
        <v>0</v>
      </c>
      <c r="X855">
        <v>0</v>
      </c>
      <c r="Y855" t="s">
        <v>83</v>
      </c>
      <c r="Z855" t="s">
        <v>61</v>
      </c>
      <c r="AA855">
        <v>0</v>
      </c>
      <c r="AB855" s="2">
        <v>0</v>
      </c>
      <c r="AC855" s="2">
        <v>0</v>
      </c>
      <c r="AD855" s="4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95.09</v>
      </c>
      <c r="AN855" s="2">
        <v>95.09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45999</v>
      </c>
      <c r="B856" t="s">
        <v>48</v>
      </c>
      <c r="C856">
        <v>649163</v>
      </c>
      <c r="D856">
        <v>2026175248</v>
      </c>
      <c r="E856" t="s">
        <v>812</v>
      </c>
      <c r="F856" t="s">
        <v>813</v>
      </c>
      <c r="G856" t="s">
        <v>51</v>
      </c>
      <c r="H856" t="s">
        <v>102</v>
      </c>
      <c r="I856" t="s">
        <v>126</v>
      </c>
      <c r="J856" t="s">
        <v>132</v>
      </c>
      <c r="K856">
        <v>651818</v>
      </c>
      <c r="L856" t="s">
        <v>246</v>
      </c>
      <c r="M856" t="s">
        <v>247</v>
      </c>
      <c r="N856" t="s">
        <v>57</v>
      </c>
      <c r="O856" s="1">
        <v>45664</v>
      </c>
      <c r="Q856" s="1">
        <v>46029</v>
      </c>
      <c r="R856" s="2">
        <v>52</v>
      </c>
      <c r="S856">
        <v>1</v>
      </c>
      <c r="T856" t="s">
        <v>58</v>
      </c>
      <c r="U856" t="s">
        <v>59</v>
      </c>
      <c r="V856" s="4">
        <v>0.7</v>
      </c>
      <c r="W856" s="2">
        <v>0</v>
      </c>
      <c r="X856">
        <v>0</v>
      </c>
      <c r="Y856" t="s">
        <v>83</v>
      </c>
      <c r="Z856" t="s">
        <v>61</v>
      </c>
      <c r="AA856">
        <v>0</v>
      </c>
      <c r="AB856" s="2">
        <v>0</v>
      </c>
      <c r="AC856" s="2">
        <v>0</v>
      </c>
      <c r="AD856" s="4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36.4</v>
      </c>
      <c r="AN856" s="2">
        <v>36.4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45999</v>
      </c>
      <c r="B857" t="s">
        <v>48</v>
      </c>
      <c r="C857">
        <v>649163</v>
      </c>
      <c r="D857">
        <v>2026185826</v>
      </c>
      <c r="E857" t="s">
        <v>701</v>
      </c>
      <c r="F857" t="s">
        <v>1093</v>
      </c>
      <c r="G857" t="s">
        <v>51</v>
      </c>
      <c r="H857" t="s">
        <v>102</v>
      </c>
      <c r="I857" t="s">
        <v>126</v>
      </c>
      <c r="J857" t="s">
        <v>375</v>
      </c>
      <c r="K857">
        <v>651818</v>
      </c>
      <c r="L857" t="s">
        <v>246</v>
      </c>
      <c r="M857" t="s">
        <v>247</v>
      </c>
      <c r="N857" t="s">
        <v>57</v>
      </c>
      <c r="O857" s="1">
        <v>45664</v>
      </c>
      <c r="Q857" s="1">
        <v>46029</v>
      </c>
      <c r="R857" s="2">
        <v>99.25</v>
      </c>
      <c r="S857">
        <v>1</v>
      </c>
      <c r="T857" t="s">
        <v>58</v>
      </c>
      <c r="U857" t="s">
        <v>59</v>
      </c>
      <c r="V857" s="4">
        <v>0.9</v>
      </c>
      <c r="W857" s="2">
        <v>0</v>
      </c>
      <c r="X857">
        <v>0</v>
      </c>
      <c r="Y857" t="s">
        <v>83</v>
      </c>
      <c r="Z857" t="s">
        <v>61</v>
      </c>
      <c r="AA857">
        <v>0</v>
      </c>
      <c r="AB857" s="2">
        <v>0</v>
      </c>
      <c r="AC857" s="2">
        <v>0</v>
      </c>
      <c r="AD857" s="4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89.32</v>
      </c>
      <c r="AN857" s="2">
        <v>89.32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45999</v>
      </c>
      <c r="B858" t="s">
        <v>48</v>
      </c>
      <c r="C858">
        <v>649163</v>
      </c>
      <c r="D858">
        <v>2026221487</v>
      </c>
      <c r="E858" t="s">
        <v>1094</v>
      </c>
      <c r="F858" t="s">
        <v>1095</v>
      </c>
      <c r="G858" t="s">
        <v>51</v>
      </c>
      <c r="H858" t="s">
        <v>102</v>
      </c>
      <c r="I858" t="s">
        <v>126</v>
      </c>
      <c r="J858" t="s">
        <v>375</v>
      </c>
      <c r="K858">
        <v>651818</v>
      </c>
      <c r="L858" t="s">
        <v>246</v>
      </c>
      <c r="M858" t="s">
        <v>247</v>
      </c>
      <c r="N858" t="s">
        <v>57</v>
      </c>
      <c r="O858" s="1">
        <v>45663</v>
      </c>
      <c r="Q858" s="1">
        <v>46028</v>
      </c>
      <c r="R858" s="2">
        <v>51.78</v>
      </c>
      <c r="S858">
        <v>1</v>
      </c>
      <c r="T858" t="s">
        <v>58</v>
      </c>
      <c r="U858" t="s">
        <v>59</v>
      </c>
      <c r="V858" s="4">
        <v>0.9</v>
      </c>
      <c r="W858" s="2">
        <v>0</v>
      </c>
      <c r="X858">
        <v>0</v>
      </c>
      <c r="Y858" t="s">
        <v>83</v>
      </c>
      <c r="Z858" t="s">
        <v>61</v>
      </c>
      <c r="AA858">
        <v>0</v>
      </c>
      <c r="AB858" s="2">
        <v>0</v>
      </c>
      <c r="AC858" s="2">
        <v>0</v>
      </c>
      <c r="AD858" s="4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46.6</v>
      </c>
      <c r="AN858" s="2">
        <v>46.6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45999</v>
      </c>
      <c r="B859" t="s">
        <v>48</v>
      </c>
      <c r="C859">
        <v>649163</v>
      </c>
      <c r="D859">
        <v>2026298484</v>
      </c>
      <c r="E859" t="s">
        <v>816</v>
      </c>
      <c r="F859" t="s">
        <v>142</v>
      </c>
      <c r="G859" t="s">
        <v>51</v>
      </c>
      <c r="H859" t="s">
        <v>102</v>
      </c>
      <c r="I859" t="s">
        <v>126</v>
      </c>
      <c r="J859" t="s">
        <v>132</v>
      </c>
      <c r="K859">
        <v>651818</v>
      </c>
      <c r="L859" t="s">
        <v>246</v>
      </c>
      <c r="M859" t="s">
        <v>247</v>
      </c>
      <c r="N859" t="s">
        <v>57</v>
      </c>
      <c r="O859" s="1">
        <v>45664</v>
      </c>
      <c r="Q859" s="1">
        <v>46029</v>
      </c>
      <c r="R859" s="2">
        <v>58.24</v>
      </c>
      <c r="S859">
        <v>1</v>
      </c>
      <c r="T859" t="s">
        <v>58</v>
      </c>
      <c r="U859" t="s">
        <v>59</v>
      </c>
      <c r="V859" s="4">
        <v>0.7</v>
      </c>
      <c r="W859" s="2">
        <v>0</v>
      </c>
      <c r="X859">
        <v>0</v>
      </c>
      <c r="Y859" t="s">
        <v>83</v>
      </c>
      <c r="Z859" t="s">
        <v>61</v>
      </c>
      <c r="AA859">
        <v>0</v>
      </c>
      <c r="AB859" s="2">
        <v>0</v>
      </c>
      <c r="AC859" s="2">
        <v>0</v>
      </c>
      <c r="AD859" s="4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40.770000000000003</v>
      </c>
      <c r="AN859" s="2">
        <v>40.770000000000003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45999</v>
      </c>
      <c r="B860" t="s">
        <v>48</v>
      </c>
      <c r="C860">
        <v>649163</v>
      </c>
      <c r="D860">
        <v>2026515689</v>
      </c>
      <c r="E860" t="s">
        <v>1058</v>
      </c>
      <c r="F860" t="s">
        <v>1096</v>
      </c>
      <c r="G860" t="s">
        <v>51</v>
      </c>
      <c r="H860" t="s">
        <v>52</v>
      </c>
      <c r="I860" t="s">
        <v>126</v>
      </c>
      <c r="J860" t="s">
        <v>375</v>
      </c>
      <c r="K860">
        <v>702406</v>
      </c>
      <c r="L860" t="s">
        <v>581</v>
      </c>
      <c r="M860" t="s">
        <v>582</v>
      </c>
      <c r="N860" t="s">
        <v>57</v>
      </c>
      <c r="O860" s="1">
        <v>45666</v>
      </c>
      <c r="Q860" s="1">
        <v>46031</v>
      </c>
      <c r="R860" s="2">
        <v>99.25</v>
      </c>
      <c r="S860">
        <v>1</v>
      </c>
      <c r="T860" t="s">
        <v>58</v>
      </c>
      <c r="U860" t="s">
        <v>59</v>
      </c>
      <c r="V860" s="4">
        <v>0.9</v>
      </c>
      <c r="W860" s="2">
        <v>0</v>
      </c>
      <c r="X860">
        <v>0</v>
      </c>
      <c r="Y860" t="s">
        <v>83</v>
      </c>
      <c r="Z860" t="s">
        <v>61</v>
      </c>
      <c r="AA860">
        <v>0</v>
      </c>
      <c r="AB860" s="2">
        <v>0</v>
      </c>
      <c r="AC860" s="2">
        <v>0</v>
      </c>
      <c r="AD860" s="4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89.32</v>
      </c>
      <c r="AN860" s="2">
        <v>89.32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45999</v>
      </c>
      <c r="B861" t="s">
        <v>48</v>
      </c>
      <c r="C861">
        <v>649163</v>
      </c>
      <c r="D861">
        <v>2026521340</v>
      </c>
      <c r="E861" t="s">
        <v>817</v>
      </c>
      <c r="F861" t="s">
        <v>277</v>
      </c>
      <c r="G861" t="s">
        <v>51</v>
      </c>
      <c r="H861" t="s">
        <v>267</v>
      </c>
      <c r="I861" t="s">
        <v>126</v>
      </c>
      <c r="J861" t="s">
        <v>132</v>
      </c>
      <c r="K861">
        <v>651818</v>
      </c>
      <c r="L861" t="s">
        <v>246</v>
      </c>
      <c r="M861" t="s">
        <v>247</v>
      </c>
      <c r="N861" t="s">
        <v>57</v>
      </c>
      <c r="O861" s="1">
        <v>45695</v>
      </c>
      <c r="Q861" s="1">
        <v>46029</v>
      </c>
      <c r="R861" s="2">
        <v>31.28</v>
      </c>
      <c r="S861">
        <v>1</v>
      </c>
      <c r="T861" t="s">
        <v>58</v>
      </c>
      <c r="U861" t="s">
        <v>59</v>
      </c>
      <c r="V861" s="4">
        <v>0.7</v>
      </c>
      <c r="W861" s="2">
        <v>0</v>
      </c>
      <c r="X861">
        <v>0</v>
      </c>
      <c r="Y861" t="s">
        <v>83</v>
      </c>
      <c r="Z861" t="s">
        <v>61</v>
      </c>
      <c r="AA861">
        <v>0</v>
      </c>
      <c r="AB861" s="2">
        <v>0</v>
      </c>
      <c r="AC861" s="2">
        <v>0</v>
      </c>
      <c r="AD861" s="4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21.9</v>
      </c>
      <c r="AN861" s="2">
        <v>21.9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45999</v>
      </c>
      <c r="B862" t="s">
        <v>48</v>
      </c>
      <c r="C862">
        <v>649163</v>
      </c>
      <c r="D862">
        <v>2026539798</v>
      </c>
      <c r="E862" t="s">
        <v>1097</v>
      </c>
      <c r="F862" t="s">
        <v>1098</v>
      </c>
      <c r="G862" t="s">
        <v>51</v>
      </c>
      <c r="H862" t="s">
        <v>125</v>
      </c>
      <c r="I862" t="s">
        <v>126</v>
      </c>
      <c r="J862" t="s">
        <v>132</v>
      </c>
      <c r="K862">
        <v>757039</v>
      </c>
      <c r="L862" t="s">
        <v>1099</v>
      </c>
      <c r="M862" t="s">
        <v>144</v>
      </c>
      <c r="N862" t="s">
        <v>57</v>
      </c>
      <c r="O862" s="1">
        <v>45668</v>
      </c>
      <c r="Q862" s="1">
        <v>46033</v>
      </c>
      <c r="R862" s="2">
        <v>25.97</v>
      </c>
      <c r="S862">
        <v>1</v>
      </c>
      <c r="T862" t="s">
        <v>58</v>
      </c>
      <c r="U862" t="s">
        <v>59</v>
      </c>
      <c r="V862" s="4">
        <v>0.7</v>
      </c>
      <c r="W862" s="2">
        <v>0</v>
      </c>
      <c r="X862">
        <v>0</v>
      </c>
      <c r="Y862" t="s">
        <v>83</v>
      </c>
      <c r="Z862" t="s">
        <v>61</v>
      </c>
      <c r="AA862">
        <v>0</v>
      </c>
      <c r="AB862" s="2">
        <v>0</v>
      </c>
      <c r="AC862" s="2">
        <v>0</v>
      </c>
      <c r="AD862" s="4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18.18</v>
      </c>
      <c r="AN862" s="2">
        <v>18.18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45999</v>
      </c>
      <c r="B863" t="s">
        <v>48</v>
      </c>
      <c r="C863">
        <v>649163</v>
      </c>
      <c r="D863">
        <v>2026589574</v>
      </c>
      <c r="E863" t="s">
        <v>1100</v>
      </c>
      <c r="F863" t="s">
        <v>182</v>
      </c>
      <c r="G863" t="s">
        <v>51</v>
      </c>
      <c r="H863" t="s">
        <v>620</v>
      </c>
      <c r="I863" t="s">
        <v>126</v>
      </c>
      <c r="J863" t="s">
        <v>375</v>
      </c>
      <c r="K863">
        <v>651818</v>
      </c>
      <c r="L863" t="s">
        <v>246</v>
      </c>
      <c r="M863" t="s">
        <v>247</v>
      </c>
      <c r="N863" t="s">
        <v>57</v>
      </c>
      <c r="O863" s="1">
        <v>45695</v>
      </c>
      <c r="Q863" s="1">
        <v>46029</v>
      </c>
      <c r="R863" s="2">
        <v>83.63</v>
      </c>
      <c r="S863">
        <v>1</v>
      </c>
      <c r="T863" t="s">
        <v>58</v>
      </c>
      <c r="U863" t="s">
        <v>59</v>
      </c>
      <c r="V863" s="4">
        <v>0.9</v>
      </c>
      <c r="W863" s="2">
        <v>0</v>
      </c>
      <c r="X863">
        <v>0</v>
      </c>
      <c r="Y863" t="s">
        <v>83</v>
      </c>
      <c r="Z863" t="s">
        <v>61</v>
      </c>
      <c r="AA863">
        <v>0</v>
      </c>
      <c r="AB863" s="2">
        <v>0</v>
      </c>
      <c r="AC863" s="2">
        <v>0</v>
      </c>
      <c r="AD863" s="4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75.27</v>
      </c>
      <c r="AN863" s="2">
        <v>75.27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45999</v>
      </c>
      <c r="B864" t="s">
        <v>48</v>
      </c>
      <c r="C864">
        <v>649163</v>
      </c>
      <c r="D864">
        <v>2026599463</v>
      </c>
      <c r="E864" t="s">
        <v>820</v>
      </c>
      <c r="F864" t="s">
        <v>821</v>
      </c>
      <c r="G864" t="s">
        <v>51</v>
      </c>
      <c r="H864" t="s">
        <v>74</v>
      </c>
      <c r="I864" t="s">
        <v>126</v>
      </c>
      <c r="J864" t="s">
        <v>375</v>
      </c>
      <c r="K864">
        <v>651818</v>
      </c>
      <c r="L864" t="s">
        <v>246</v>
      </c>
      <c r="M864" t="s">
        <v>247</v>
      </c>
      <c r="N864" t="s">
        <v>57</v>
      </c>
      <c r="O864" s="1">
        <v>45695</v>
      </c>
      <c r="Q864" s="1">
        <v>46029</v>
      </c>
      <c r="R864" s="2">
        <v>48.08</v>
      </c>
      <c r="S864">
        <v>1</v>
      </c>
      <c r="T864" t="s">
        <v>58</v>
      </c>
      <c r="U864" t="s">
        <v>59</v>
      </c>
      <c r="V864" s="4">
        <v>0.9</v>
      </c>
      <c r="W864" s="2">
        <v>0</v>
      </c>
      <c r="X864">
        <v>0</v>
      </c>
      <c r="Y864" t="s">
        <v>83</v>
      </c>
      <c r="Z864" t="s">
        <v>61</v>
      </c>
      <c r="AA864">
        <v>0</v>
      </c>
      <c r="AB864" s="2">
        <v>0</v>
      </c>
      <c r="AC864" s="2">
        <v>0</v>
      </c>
      <c r="AD864" s="4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43.27</v>
      </c>
      <c r="AN864" s="2">
        <v>43.27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45999</v>
      </c>
      <c r="B865" t="s">
        <v>48</v>
      </c>
      <c r="C865">
        <v>649163</v>
      </c>
      <c r="D865">
        <v>2026599465</v>
      </c>
      <c r="E865" t="s">
        <v>820</v>
      </c>
      <c r="F865" t="s">
        <v>821</v>
      </c>
      <c r="G865" t="s">
        <v>51</v>
      </c>
      <c r="H865" t="s">
        <v>74</v>
      </c>
      <c r="I865" t="s">
        <v>126</v>
      </c>
      <c r="J865" t="s">
        <v>132</v>
      </c>
      <c r="K865">
        <v>651818</v>
      </c>
      <c r="L865" t="s">
        <v>246</v>
      </c>
      <c r="M865" t="s">
        <v>247</v>
      </c>
      <c r="N865" t="s">
        <v>57</v>
      </c>
      <c r="O865" s="1">
        <v>45695</v>
      </c>
      <c r="Q865" s="1">
        <v>46029</v>
      </c>
      <c r="R865" s="2">
        <v>103.64</v>
      </c>
      <c r="S865">
        <v>1</v>
      </c>
      <c r="T865" t="s">
        <v>58</v>
      </c>
      <c r="U865" t="s">
        <v>59</v>
      </c>
      <c r="V865" s="4">
        <v>0.7</v>
      </c>
      <c r="W865" s="2">
        <v>0</v>
      </c>
      <c r="X865">
        <v>0</v>
      </c>
      <c r="Y865" t="s">
        <v>83</v>
      </c>
      <c r="Z865" t="s">
        <v>61</v>
      </c>
      <c r="AA865">
        <v>0</v>
      </c>
      <c r="AB865" s="2">
        <v>0</v>
      </c>
      <c r="AC865" s="2">
        <v>0</v>
      </c>
      <c r="AD865" s="4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72.55</v>
      </c>
      <c r="AN865" s="2">
        <v>72.55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45999</v>
      </c>
      <c r="B866" t="s">
        <v>48</v>
      </c>
      <c r="C866">
        <v>649163</v>
      </c>
      <c r="D866">
        <v>2026617926</v>
      </c>
      <c r="E866" t="s">
        <v>486</v>
      </c>
      <c r="F866" t="s">
        <v>487</v>
      </c>
      <c r="G866" t="s">
        <v>51</v>
      </c>
      <c r="H866" t="s">
        <v>97</v>
      </c>
      <c r="I866" t="s">
        <v>126</v>
      </c>
      <c r="J866" t="s">
        <v>132</v>
      </c>
      <c r="K866">
        <v>651818</v>
      </c>
      <c r="L866" t="s">
        <v>246</v>
      </c>
      <c r="M866" t="s">
        <v>247</v>
      </c>
      <c r="N866" t="s">
        <v>57</v>
      </c>
      <c r="O866" s="1">
        <v>45695</v>
      </c>
      <c r="Q866" s="1">
        <v>46029</v>
      </c>
      <c r="R866" s="2">
        <v>129.22</v>
      </c>
      <c r="S866">
        <v>1</v>
      </c>
      <c r="T866" t="s">
        <v>58</v>
      </c>
      <c r="U866" t="s">
        <v>59</v>
      </c>
      <c r="V866" s="4">
        <v>0.7</v>
      </c>
      <c r="W866" s="2">
        <v>0</v>
      </c>
      <c r="X866">
        <v>0</v>
      </c>
      <c r="Y866" t="s">
        <v>83</v>
      </c>
      <c r="Z866" t="s">
        <v>61</v>
      </c>
      <c r="AA866">
        <v>0</v>
      </c>
      <c r="AB866" s="2">
        <v>0</v>
      </c>
      <c r="AC866" s="2">
        <v>0</v>
      </c>
      <c r="AD866" s="4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90.45</v>
      </c>
      <c r="AN866" s="2">
        <v>90.45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45999</v>
      </c>
      <c r="B867" t="s">
        <v>48</v>
      </c>
      <c r="C867">
        <v>649163</v>
      </c>
      <c r="D867">
        <v>2026628666</v>
      </c>
      <c r="E867" t="s">
        <v>488</v>
      </c>
      <c r="F867" t="s">
        <v>82</v>
      </c>
      <c r="G867" t="s">
        <v>51</v>
      </c>
      <c r="H867" t="s">
        <v>102</v>
      </c>
      <c r="I867" t="s">
        <v>126</v>
      </c>
      <c r="J867" t="s">
        <v>132</v>
      </c>
      <c r="K867">
        <v>651818</v>
      </c>
      <c r="L867" t="s">
        <v>246</v>
      </c>
      <c r="M867" t="s">
        <v>247</v>
      </c>
      <c r="N867" t="s">
        <v>57</v>
      </c>
      <c r="O867" s="1">
        <v>45695</v>
      </c>
      <c r="Q867" s="1">
        <v>46029</v>
      </c>
      <c r="R867" s="2">
        <v>58.24</v>
      </c>
      <c r="S867">
        <v>1</v>
      </c>
      <c r="T867" t="s">
        <v>58</v>
      </c>
      <c r="U867" t="s">
        <v>59</v>
      </c>
      <c r="V867" s="4">
        <v>0.7</v>
      </c>
      <c r="W867" s="2">
        <v>0</v>
      </c>
      <c r="X867">
        <v>0</v>
      </c>
      <c r="Y867" t="s">
        <v>83</v>
      </c>
      <c r="Z867" t="s">
        <v>61</v>
      </c>
      <c r="AA867">
        <v>0</v>
      </c>
      <c r="AB867" s="2">
        <v>0</v>
      </c>
      <c r="AC867" s="2">
        <v>0</v>
      </c>
      <c r="AD867" s="4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40.770000000000003</v>
      </c>
      <c r="AN867" s="2">
        <v>40.770000000000003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45999</v>
      </c>
      <c r="B868" t="s">
        <v>48</v>
      </c>
      <c r="C868">
        <v>649163</v>
      </c>
      <c r="D868">
        <v>2026637123</v>
      </c>
      <c r="E868" t="s">
        <v>293</v>
      </c>
      <c r="F868" t="s">
        <v>279</v>
      </c>
      <c r="G868" t="s">
        <v>51</v>
      </c>
      <c r="H868" t="s">
        <v>408</v>
      </c>
      <c r="I868" t="s">
        <v>126</v>
      </c>
      <c r="J868" t="s">
        <v>375</v>
      </c>
      <c r="K868">
        <v>651818</v>
      </c>
      <c r="L868" t="s">
        <v>246</v>
      </c>
      <c r="M868" t="s">
        <v>247</v>
      </c>
      <c r="N868" t="s">
        <v>57</v>
      </c>
      <c r="O868" s="1">
        <v>45695</v>
      </c>
      <c r="Q868" s="1">
        <v>46029</v>
      </c>
      <c r="R868" s="2">
        <v>145.08000000000001</v>
      </c>
      <c r="S868">
        <v>1</v>
      </c>
      <c r="T868" t="s">
        <v>58</v>
      </c>
      <c r="U868" t="s">
        <v>59</v>
      </c>
      <c r="V868" s="4">
        <v>0.9</v>
      </c>
      <c r="W868" s="2">
        <v>0</v>
      </c>
      <c r="X868">
        <v>0</v>
      </c>
      <c r="Y868" t="s">
        <v>83</v>
      </c>
      <c r="Z868" t="s">
        <v>61</v>
      </c>
      <c r="AA868">
        <v>0</v>
      </c>
      <c r="AB868" s="2">
        <v>0</v>
      </c>
      <c r="AC868" s="2">
        <v>0</v>
      </c>
      <c r="AD868" s="4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130.57</v>
      </c>
      <c r="AN868" s="2">
        <v>130.57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45999</v>
      </c>
      <c r="B869" t="s">
        <v>48</v>
      </c>
      <c r="C869">
        <v>649163</v>
      </c>
      <c r="D869">
        <v>2026655556</v>
      </c>
      <c r="E869" t="s">
        <v>822</v>
      </c>
      <c r="F869" t="s">
        <v>137</v>
      </c>
      <c r="G869" t="s">
        <v>51</v>
      </c>
      <c r="H869" t="s">
        <v>102</v>
      </c>
      <c r="I869" t="s">
        <v>126</v>
      </c>
      <c r="J869" t="s">
        <v>132</v>
      </c>
      <c r="K869">
        <v>651818</v>
      </c>
      <c r="L869" t="s">
        <v>246</v>
      </c>
      <c r="M869" t="s">
        <v>247</v>
      </c>
      <c r="N869" t="s">
        <v>57</v>
      </c>
      <c r="O869" s="1">
        <v>45695</v>
      </c>
      <c r="Q869" s="1">
        <v>46029</v>
      </c>
      <c r="R869" s="2">
        <v>52</v>
      </c>
      <c r="S869">
        <v>1</v>
      </c>
      <c r="T869" t="s">
        <v>58</v>
      </c>
      <c r="U869" t="s">
        <v>59</v>
      </c>
      <c r="V869" s="4">
        <v>0.7</v>
      </c>
      <c r="W869" s="2">
        <v>0</v>
      </c>
      <c r="X869">
        <v>0</v>
      </c>
      <c r="Y869" t="s">
        <v>83</v>
      </c>
      <c r="Z869" t="s">
        <v>61</v>
      </c>
      <c r="AA869">
        <v>0</v>
      </c>
      <c r="AB869" s="2">
        <v>0</v>
      </c>
      <c r="AC869" s="2">
        <v>0</v>
      </c>
      <c r="AD869" s="4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36.4</v>
      </c>
      <c r="AN869" s="2">
        <v>36.4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45999</v>
      </c>
      <c r="B870" t="s">
        <v>48</v>
      </c>
      <c r="C870">
        <v>649163</v>
      </c>
      <c r="D870">
        <v>2026680616</v>
      </c>
      <c r="E870" t="s">
        <v>293</v>
      </c>
      <c r="F870" t="s">
        <v>489</v>
      </c>
      <c r="G870" t="s">
        <v>51</v>
      </c>
      <c r="H870" t="s">
        <v>383</v>
      </c>
      <c r="I870" t="s">
        <v>126</v>
      </c>
      <c r="J870" t="s">
        <v>132</v>
      </c>
      <c r="K870">
        <v>651818</v>
      </c>
      <c r="L870" t="s">
        <v>246</v>
      </c>
      <c r="M870" t="s">
        <v>247</v>
      </c>
      <c r="N870" t="s">
        <v>57</v>
      </c>
      <c r="O870" s="1">
        <v>45695</v>
      </c>
      <c r="Q870" s="1">
        <v>46029</v>
      </c>
      <c r="R870" s="2">
        <v>40.78</v>
      </c>
      <c r="S870">
        <v>1</v>
      </c>
      <c r="T870" t="s">
        <v>58</v>
      </c>
      <c r="U870" t="s">
        <v>59</v>
      </c>
      <c r="V870" s="4">
        <v>0.7</v>
      </c>
      <c r="W870" s="2">
        <v>0</v>
      </c>
      <c r="X870">
        <v>0</v>
      </c>
      <c r="Y870" t="s">
        <v>83</v>
      </c>
      <c r="Z870" t="s">
        <v>61</v>
      </c>
      <c r="AA870">
        <v>0</v>
      </c>
      <c r="AB870" s="2">
        <v>0</v>
      </c>
      <c r="AC870" s="2">
        <v>0</v>
      </c>
      <c r="AD870" s="4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28.55</v>
      </c>
      <c r="AN870" s="2">
        <v>28.55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45999</v>
      </c>
      <c r="B871" t="s">
        <v>48</v>
      </c>
      <c r="C871">
        <v>649163</v>
      </c>
      <c r="D871">
        <v>2026682346</v>
      </c>
      <c r="E871" t="s">
        <v>823</v>
      </c>
      <c r="F871" t="s">
        <v>824</v>
      </c>
      <c r="G871" t="s">
        <v>51</v>
      </c>
      <c r="H871" t="s">
        <v>102</v>
      </c>
      <c r="I871" t="s">
        <v>126</v>
      </c>
      <c r="J871" t="s">
        <v>132</v>
      </c>
      <c r="K871">
        <v>651818</v>
      </c>
      <c r="L871" t="s">
        <v>246</v>
      </c>
      <c r="M871" t="s">
        <v>247</v>
      </c>
      <c r="N871" t="s">
        <v>57</v>
      </c>
      <c r="O871" s="1">
        <v>45695</v>
      </c>
      <c r="Q871" s="1">
        <v>46029</v>
      </c>
      <c r="R871" s="2">
        <v>58.24</v>
      </c>
      <c r="S871">
        <v>1</v>
      </c>
      <c r="T871" t="s">
        <v>58</v>
      </c>
      <c r="U871" t="s">
        <v>59</v>
      </c>
      <c r="V871" s="4">
        <v>0.7</v>
      </c>
      <c r="W871" s="2">
        <v>0</v>
      </c>
      <c r="X871">
        <v>0</v>
      </c>
      <c r="Y871" t="s">
        <v>83</v>
      </c>
      <c r="Z871" t="s">
        <v>61</v>
      </c>
      <c r="AA871">
        <v>0</v>
      </c>
      <c r="AB871" s="2">
        <v>0</v>
      </c>
      <c r="AC871" s="2">
        <v>0</v>
      </c>
      <c r="AD871" s="4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40.770000000000003</v>
      </c>
      <c r="AN871" s="2">
        <v>40.770000000000003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45999</v>
      </c>
      <c r="B872" t="s">
        <v>48</v>
      </c>
      <c r="C872">
        <v>649163</v>
      </c>
      <c r="D872">
        <v>2026683721</v>
      </c>
      <c r="E872" t="s">
        <v>768</v>
      </c>
      <c r="F872" t="s">
        <v>582</v>
      </c>
      <c r="G872" t="s">
        <v>51</v>
      </c>
      <c r="H872" t="s">
        <v>267</v>
      </c>
      <c r="I872" t="s">
        <v>126</v>
      </c>
      <c r="J872" t="s">
        <v>132</v>
      </c>
      <c r="K872">
        <v>651818</v>
      </c>
      <c r="L872" t="s">
        <v>246</v>
      </c>
      <c r="M872" t="s">
        <v>247</v>
      </c>
      <c r="N872" t="s">
        <v>57</v>
      </c>
      <c r="O872" s="1">
        <v>45695</v>
      </c>
      <c r="Q872" s="1">
        <v>46029</v>
      </c>
      <c r="R872" s="2">
        <v>46.72</v>
      </c>
      <c r="S872">
        <v>1</v>
      </c>
      <c r="T872" t="s">
        <v>58</v>
      </c>
      <c r="U872" t="s">
        <v>59</v>
      </c>
      <c r="V872" s="4">
        <v>0.7</v>
      </c>
      <c r="W872" s="2">
        <v>0</v>
      </c>
      <c r="X872">
        <v>0</v>
      </c>
      <c r="Y872" t="s">
        <v>83</v>
      </c>
      <c r="Z872" t="s">
        <v>61</v>
      </c>
      <c r="AA872">
        <v>0</v>
      </c>
      <c r="AB872" s="2">
        <v>0</v>
      </c>
      <c r="AC872" s="2">
        <v>0</v>
      </c>
      <c r="AD872" s="4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32.700000000000003</v>
      </c>
      <c r="AN872" s="2">
        <v>32.700000000000003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45999</v>
      </c>
      <c r="B873" t="s">
        <v>48</v>
      </c>
      <c r="C873">
        <v>649163</v>
      </c>
      <c r="D873">
        <v>2026698495</v>
      </c>
      <c r="E873" t="s">
        <v>663</v>
      </c>
      <c r="F873" t="s">
        <v>664</v>
      </c>
      <c r="G873" t="s">
        <v>51</v>
      </c>
      <c r="H873" t="s">
        <v>267</v>
      </c>
      <c r="I873" t="s">
        <v>126</v>
      </c>
      <c r="J873" t="s">
        <v>132</v>
      </c>
      <c r="K873">
        <v>651818</v>
      </c>
      <c r="L873" t="s">
        <v>246</v>
      </c>
      <c r="M873" t="s">
        <v>247</v>
      </c>
      <c r="N873" t="s">
        <v>57</v>
      </c>
      <c r="O873" s="1">
        <v>45695</v>
      </c>
      <c r="Q873" s="1">
        <v>46029</v>
      </c>
      <c r="R873" s="2">
        <v>17.64</v>
      </c>
      <c r="S873">
        <v>1</v>
      </c>
      <c r="T873" t="s">
        <v>58</v>
      </c>
      <c r="U873" t="s">
        <v>59</v>
      </c>
      <c r="V873" s="4">
        <v>0.7</v>
      </c>
      <c r="W873" s="2">
        <v>0</v>
      </c>
      <c r="X873">
        <v>0</v>
      </c>
      <c r="Y873" t="s">
        <v>83</v>
      </c>
      <c r="Z873" t="s">
        <v>61</v>
      </c>
      <c r="AA873">
        <v>0</v>
      </c>
      <c r="AB873" s="2">
        <v>0</v>
      </c>
      <c r="AC873" s="2">
        <v>0</v>
      </c>
      <c r="AD873" s="4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12.35</v>
      </c>
      <c r="AN873" s="2">
        <v>12.35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45999</v>
      </c>
      <c r="B874" t="s">
        <v>48</v>
      </c>
      <c r="C874">
        <v>649163</v>
      </c>
      <c r="D874">
        <v>2026721808</v>
      </c>
      <c r="E874" t="s">
        <v>1101</v>
      </c>
      <c r="F874" t="s">
        <v>637</v>
      </c>
      <c r="G874" t="s">
        <v>51</v>
      </c>
      <c r="H874" t="s">
        <v>97</v>
      </c>
      <c r="I874" t="s">
        <v>126</v>
      </c>
      <c r="J874" t="s">
        <v>375</v>
      </c>
      <c r="K874">
        <v>651818</v>
      </c>
      <c r="L874" t="s">
        <v>246</v>
      </c>
      <c r="M874" t="s">
        <v>247</v>
      </c>
      <c r="N874" t="s">
        <v>57</v>
      </c>
      <c r="O874" s="1">
        <v>45695</v>
      </c>
      <c r="Q874" s="1">
        <v>46029</v>
      </c>
      <c r="R874" s="2">
        <v>23.05</v>
      </c>
      <c r="S874">
        <v>1</v>
      </c>
      <c r="T874" t="s">
        <v>58</v>
      </c>
      <c r="U874" t="s">
        <v>59</v>
      </c>
      <c r="V874" s="4">
        <v>0.9</v>
      </c>
      <c r="W874" s="2">
        <v>0</v>
      </c>
      <c r="X874">
        <v>0</v>
      </c>
      <c r="Y874" t="s">
        <v>83</v>
      </c>
      <c r="Z874" t="s">
        <v>61</v>
      </c>
      <c r="AA874">
        <v>0</v>
      </c>
      <c r="AB874" s="2">
        <v>0</v>
      </c>
      <c r="AC874" s="2">
        <v>0</v>
      </c>
      <c r="AD874" s="4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20.74</v>
      </c>
      <c r="AN874" s="2">
        <v>20.74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45999</v>
      </c>
      <c r="B875" t="s">
        <v>48</v>
      </c>
      <c r="C875">
        <v>649163</v>
      </c>
      <c r="D875">
        <v>2026733978</v>
      </c>
      <c r="E875" t="s">
        <v>1102</v>
      </c>
      <c r="F875" t="s">
        <v>1103</v>
      </c>
      <c r="G875" t="s">
        <v>51</v>
      </c>
      <c r="H875" t="s">
        <v>102</v>
      </c>
      <c r="I875" t="s">
        <v>126</v>
      </c>
      <c r="J875" t="s">
        <v>132</v>
      </c>
      <c r="K875">
        <v>651818</v>
      </c>
      <c r="L875" t="s">
        <v>246</v>
      </c>
      <c r="M875" t="s">
        <v>247</v>
      </c>
      <c r="N875" t="s">
        <v>57</v>
      </c>
      <c r="O875" s="1">
        <v>45695</v>
      </c>
      <c r="Q875" s="1">
        <v>46029</v>
      </c>
      <c r="R875" s="2">
        <v>122.22</v>
      </c>
      <c r="S875">
        <v>1</v>
      </c>
      <c r="T875" t="s">
        <v>58</v>
      </c>
      <c r="U875" t="s">
        <v>59</v>
      </c>
      <c r="V875" s="4">
        <v>0.7</v>
      </c>
      <c r="W875" s="2">
        <v>0</v>
      </c>
      <c r="X875">
        <v>0</v>
      </c>
      <c r="Y875" t="s">
        <v>83</v>
      </c>
      <c r="Z875" t="s">
        <v>61</v>
      </c>
      <c r="AA875">
        <v>0</v>
      </c>
      <c r="AB875" s="2">
        <v>0</v>
      </c>
      <c r="AC875" s="2">
        <v>0</v>
      </c>
      <c r="AD875" s="4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85.55</v>
      </c>
      <c r="AN875" s="2">
        <v>85.55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45999</v>
      </c>
      <c r="B876" t="s">
        <v>48</v>
      </c>
      <c r="C876">
        <v>649163</v>
      </c>
      <c r="D876">
        <v>2026737140</v>
      </c>
      <c r="E876" t="s">
        <v>1104</v>
      </c>
      <c r="F876" t="s">
        <v>1105</v>
      </c>
      <c r="G876" t="s">
        <v>51</v>
      </c>
      <c r="H876" t="s">
        <v>102</v>
      </c>
      <c r="I876" t="s">
        <v>126</v>
      </c>
      <c r="J876" t="s">
        <v>132</v>
      </c>
      <c r="K876">
        <v>651818</v>
      </c>
      <c r="L876" t="s">
        <v>246</v>
      </c>
      <c r="M876" t="s">
        <v>247</v>
      </c>
      <c r="N876" t="s">
        <v>57</v>
      </c>
      <c r="O876" s="1">
        <v>45695</v>
      </c>
      <c r="Q876" s="1">
        <v>46029</v>
      </c>
      <c r="R876" s="2">
        <v>124.72</v>
      </c>
      <c r="S876">
        <v>1</v>
      </c>
      <c r="T876" t="s">
        <v>58</v>
      </c>
      <c r="U876" t="s">
        <v>59</v>
      </c>
      <c r="V876" s="4">
        <v>0.7</v>
      </c>
      <c r="W876" s="2">
        <v>0</v>
      </c>
      <c r="X876">
        <v>0</v>
      </c>
      <c r="Y876" t="s">
        <v>83</v>
      </c>
      <c r="Z876" t="s">
        <v>61</v>
      </c>
      <c r="AA876">
        <v>0</v>
      </c>
      <c r="AB876" s="2">
        <v>0</v>
      </c>
      <c r="AC876" s="2">
        <v>0</v>
      </c>
      <c r="AD876" s="4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87.3</v>
      </c>
      <c r="AN876" s="2">
        <v>87.3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45999</v>
      </c>
      <c r="B877" t="s">
        <v>48</v>
      </c>
      <c r="C877">
        <v>649163</v>
      </c>
      <c r="D877">
        <v>2026807823</v>
      </c>
      <c r="E877" t="s">
        <v>1106</v>
      </c>
      <c r="F877" t="s">
        <v>421</v>
      </c>
      <c r="G877" t="s">
        <v>51</v>
      </c>
      <c r="H877" t="s">
        <v>97</v>
      </c>
      <c r="I877" t="s">
        <v>126</v>
      </c>
      <c r="J877" t="s">
        <v>132</v>
      </c>
      <c r="K877">
        <v>651818</v>
      </c>
      <c r="L877" t="s">
        <v>246</v>
      </c>
      <c r="M877" t="s">
        <v>247</v>
      </c>
      <c r="N877" t="s">
        <v>57</v>
      </c>
      <c r="O877" s="1">
        <v>45695</v>
      </c>
      <c r="Q877" s="1">
        <v>46029</v>
      </c>
      <c r="R877" s="2">
        <v>129.22</v>
      </c>
      <c r="S877">
        <v>1</v>
      </c>
      <c r="T877" t="s">
        <v>58</v>
      </c>
      <c r="U877" t="s">
        <v>59</v>
      </c>
      <c r="V877" s="4">
        <v>0.7</v>
      </c>
      <c r="W877" s="2">
        <v>0</v>
      </c>
      <c r="X877">
        <v>0</v>
      </c>
      <c r="Y877" t="s">
        <v>83</v>
      </c>
      <c r="Z877" t="s">
        <v>61</v>
      </c>
      <c r="AA877">
        <v>0</v>
      </c>
      <c r="AB877" s="2">
        <v>0</v>
      </c>
      <c r="AC877" s="2">
        <v>0</v>
      </c>
      <c r="AD877" s="4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90.45</v>
      </c>
      <c r="AN877" s="2">
        <v>90.45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45999</v>
      </c>
      <c r="B878" t="s">
        <v>48</v>
      </c>
      <c r="C878">
        <v>649163</v>
      </c>
      <c r="D878">
        <v>2026827011</v>
      </c>
      <c r="E878" t="s">
        <v>1107</v>
      </c>
      <c r="F878" t="s">
        <v>413</v>
      </c>
      <c r="G878" t="s">
        <v>51</v>
      </c>
      <c r="H878" t="s">
        <v>374</v>
      </c>
      <c r="I878" t="s">
        <v>126</v>
      </c>
      <c r="J878" t="s">
        <v>132</v>
      </c>
      <c r="K878">
        <v>651818</v>
      </c>
      <c r="L878" t="s">
        <v>246</v>
      </c>
      <c r="M878" t="s">
        <v>247</v>
      </c>
      <c r="N878" t="s">
        <v>57</v>
      </c>
      <c r="O878" s="1">
        <v>45695</v>
      </c>
      <c r="Q878" s="1">
        <v>46029</v>
      </c>
      <c r="R878" s="2">
        <v>122.32</v>
      </c>
      <c r="S878">
        <v>1</v>
      </c>
      <c r="T878" t="s">
        <v>58</v>
      </c>
      <c r="U878" t="s">
        <v>59</v>
      </c>
      <c r="V878" s="4">
        <v>0.7</v>
      </c>
      <c r="W878" s="2">
        <v>0</v>
      </c>
      <c r="X878">
        <v>0</v>
      </c>
      <c r="Y878" t="s">
        <v>83</v>
      </c>
      <c r="Z878" t="s">
        <v>61</v>
      </c>
      <c r="AA878">
        <v>0</v>
      </c>
      <c r="AB878" s="2">
        <v>0</v>
      </c>
      <c r="AC878" s="2">
        <v>0</v>
      </c>
      <c r="AD878" s="4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85.62</v>
      </c>
      <c r="AN878" s="2">
        <v>85.62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45999</v>
      </c>
      <c r="B879" t="s">
        <v>48</v>
      </c>
      <c r="C879">
        <v>649163</v>
      </c>
      <c r="D879">
        <v>2026832448</v>
      </c>
      <c r="E879" t="s">
        <v>396</v>
      </c>
      <c r="F879" t="s">
        <v>438</v>
      </c>
      <c r="G879" t="s">
        <v>51</v>
      </c>
      <c r="H879" t="s">
        <v>386</v>
      </c>
      <c r="I879" t="s">
        <v>126</v>
      </c>
      <c r="J879" t="s">
        <v>132</v>
      </c>
      <c r="K879">
        <v>651818</v>
      </c>
      <c r="L879" t="s">
        <v>246</v>
      </c>
      <c r="M879" t="s">
        <v>247</v>
      </c>
      <c r="N879" t="s">
        <v>57</v>
      </c>
      <c r="O879" s="1">
        <v>45695</v>
      </c>
      <c r="Q879" s="1">
        <v>46029</v>
      </c>
      <c r="R879" s="2">
        <v>32.979999999999997</v>
      </c>
      <c r="S879">
        <v>1</v>
      </c>
      <c r="T879" t="s">
        <v>58</v>
      </c>
      <c r="U879" t="s">
        <v>59</v>
      </c>
      <c r="V879" s="4">
        <v>0.7</v>
      </c>
      <c r="W879" s="2">
        <v>0</v>
      </c>
      <c r="X879">
        <v>0</v>
      </c>
      <c r="Y879" t="s">
        <v>83</v>
      </c>
      <c r="Z879" t="s">
        <v>61</v>
      </c>
      <c r="AA879">
        <v>0</v>
      </c>
      <c r="AB879" s="2">
        <v>0</v>
      </c>
      <c r="AC879" s="2">
        <v>0</v>
      </c>
      <c r="AD879" s="4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23.09</v>
      </c>
      <c r="AN879" s="2">
        <v>23.09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45999</v>
      </c>
      <c r="B880" t="s">
        <v>48</v>
      </c>
      <c r="C880">
        <v>649163</v>
      </c>
      <c r="D880">
        <v>2026832450</v>
      </c>
      <c r="E880" t="s">
        <v>396</v>
      </c>
      <c r="F880" t="s">
        <v>438</v>
      </c>
      <c r="G880" t="s">
        <v>51</v>
      </c>
      <c r="H880" t="s">
        <v>386</v>
      </c>
      <c r="I880" t="s">
        <v>126</v>
      </c>
      <c r="J880" t="s">
        <v>375</v>
      </c>
      <c r="K880">
        <v>651818</v>
      </c>
      <c r="L880" t="s">
        <v>246</v>
      </c>
      <c r="M880" t="s">
        <v>247</v>
      </c>
      <c r="N880" t="s">
        <v>57</v>
      </c>
      <c r="O880" s="1">
        <v>45695</v>
      </c>
      <c r="Q880" s="1">
        <v>46029</v>
      </c>
      <c r="R880" s="2">
        <v>41.25</v>
      </c>
      <c r="S880">
        <v>1</v>
      </c>
      <c r="T880" t="s">
        <v>58</v>
      </c>
      <c r="U880" t="s">
        <v>59</v>
      </c>
      <c r="V880" s="4">
        <v>0.9</v>
      </c>
      <c r="W880" s="2">
        <v>0</v>
      </c>
      <c r="X880">
        <v>0</v>
      </c>
      <c r="Y880" t="s">
        <v>83</v>
      </c>
      <c r="Z880" t="s">
        <v>61</v>
      </c>
      <c r="AA880">
        <v>0</v>
      </c>
      <c r="AB880" s="2">
        <v>0</v>
      </c>
      <c r="AC880" s="2">
        <v>0</v>
      </c>
      <c r="AD880" s="4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37.119999999999997</v>
      </c>
      <c r="AN880" s="2">
        <v>37.119999999999997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45999</v>
      </c>
      <c r="B881" t="s">
        <v>48</v>
      </c>
      <c r="C881">
        <v>649163</v>
      </c>
      <c r="D881">
        <v>2026844913</v>
      </c>
      <c r="E881" t="s">
        <v>826</v>
      </c>
      <c r="F881" t="s">
        <v>827</v>
      </c>
      <c r="G881" t="s">
        <v>51</v>
      </c>
      <c r="H881" t="s">
        <v>102</v>
      </c>
      <c r="I881" t="s">
        <v>126</v>
      </c>
      <c r="J881" t="s">
        <v>132</v>
      </c>
      <c r="K881">
        <v>651818</v>
      </c>
      <c r="L881" t="s">
        <v>246</v>
      </c>
      <c r="M881" t="s">
        <v>247</v>
      </c>
      <c r="N881" t="s">
        <v>57</v>
      </c>
      <c r="O881" s="1">
        <v>45695</v>
      </c>
      <c r="Q881" s="1">
        <v>46029</v>
      </c>
      <c r="R881" s="2">
        <v>78.400000000000006</v>
      </c>
      <c r="S881">
        <v>1</v>
      </c>
      <c r="T881" t="s">
        <v>58</v>
      </c>
      <c r="U881" t="s">
        <v>59</v>
      </c>
      <c r="V881" s="4">
        <v>0.7</v>
      </c>
      <c r="W881" s="2">
        <v>0</v>
      </c>
      <c r="X881">
        <v>0</v>
      </c>
      <c r="Y881" t="s">
        <v>83</v>
      </c>
      <c r="Z881" t="s">
        <v>61</v>
      </c>
      <c r="AA881">
        <v>0</v>
      </c>
      <c r="AB881" s="2">
        <v>0</v>
      </c>
      <c r="AC881" s="2">
        <v>0</v>
      </c>
      <c r="AD881" s="4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54.88</v>
      </c>
      <c r="AN881" s="2">
        <v>54.88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45999</v>
      </c>
      <c r="B882" t="s">
        <v>48</v>
      </c>
      <c r="C882">
        <v>649163</v>
      </c>
      <c r="D882">
        <v>2026860056</v>
      </c>
      <c r="E882" t="s">
        <v>490</v>
      </c>
      <c r="F882" t="s">
        <v>491</v>
      </c>
      <c r="G882" t="s">
        <v>51</v>
      </c>
      <c r="H882" t="s">
        <v>97</v>
      </c>
      <c r="I882" t="s">
        <v>126</v>
      </c>
      <c r="J882" t="s">
        <v>132</v>
      </c>
      <c r="K882">
        <v>651818</v>
      </c>
      <c r="L882" t="s">
        <v>246</v>
      </c>
      <c r="M882" t="s">
        <v>247</v>
      </c>
      <c r="N882" t="s">
        <v>57</v>
      </c>
      <c r="O882" s="1">
        <v>45695</v>
      </c>
      <c r="Q882" s="1">
        <v>46029</v>
      </c>
      <c r="R882" s="2">
        <v>13</v>
      </c>
      <c r="S882">
        <v>1</v>
      </c>
      <c r="T882" t="s">
        <v>58</v>
      </c>
      <c r="U882" t="s">
        <v>59</v>
      </c>
      <c r="V882" s="4">
        <v>0.7</v>
      </c>
      <c r="W882" s="2">
        <v>0</v>
      </c>
      <c r="X882">
        <v>0</v>
      </c>
      <c r="Y882" t="s">
        <v>83</v>
      </c>
      <c r="Z882" t="s">
        <v>61</v>
      </c>
      <c r="AA882">
        <v>0</v>
      </c>
      <c r="AB882" s="2">
        <v>0</v>
      </c>
      <c r="AC882" s="2">
        <v>0</v>
      </c>
      <c r="AD882" s="4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9.1</v>
      </c>
      <c r="AN882" s="2">
        <v>9.1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45999</v>
      </c>
      <c r="B883" t="s">
        <v>48</v>
      </c>
      <c r="C883">
        <v>649163</v>
      </c>
      <c r="D883">
        <v>2026862484</v>
      </c>
      <c r="E883" t="s">
        <v>492</v>
      </c>
      <c r="F883" t="s">
        <v>493</v>
      </c>
      <c r="G883" t="s">
        <v>51</v>
      </c>
      <c r="H883" t="s">
        <v>102</v>
      </c>
      <c r="I883" t="s">
        <v>126</v>
      </c>
      <c r="J883" t="s">
        <v>132</v>
      </c>
      <c r="K883">
        <v>764123</v>
      </c>
      <c r="L883" t="s">
        <v>494</v>
      </c>
      <c r="M883" t="s">
        <v>475</v>
      </c>
      <c r="N883" t="s">
        <v>57</v>
      </c>
      <c r="O883" s="1">
        <v>45694</v>
      </c>
      <c r="Q883" s="1">
        <v>46028</v>
      </c>
      <c r="R883" s="2">
        <v>11.5</v>
      </c>
      <c r="S883">
        <v>1</v>
      </c>
      <c r="T883" t="s">
        <v>58</v>
      </c>
      <c r="U883" t="s">
        <v>59</v>
      </c>
      <c r="V883" s="4">
        <v>0.7</v>
      </c>
      <c r="W883" s="2">
        <v>0</v>
      </c>
      <c r="X883">
        <v>0</v>
      </c>
      <c r="Y883" t="s">
        <v>83</v>
      </c>
      <c r="Z883" t="s">
        <v>61</v>
      </c>
      <c r="AA883">
        <v>0</v>
      </c>
      <c r="AB883" s="2">
        <v>0</v>
      </c>
      <c r="AC883" s="2">
        <v>0</v>
      </c>
      <c r="AD883" s="4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8.0500000000000007</v>
      </c>
      <c r="AN883" s="2">
        <v>8.0500000000000007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45999</v>
      </c>
      <c r="B884" t="s">
        <v>48</v>
      </c>
      <c r="C884">
        <v>649163</v>
      </c>
      <c r="D884">
        <v>2026958511</v>
      </c>
      <c r="E884" t="s">
        <v>1108</v>
      </c>
      <c r="F884" t="s">
        <v>753</v>
      </c>
      <c r="G884" t="s">
        <v>51</v>
      </c>
      <c r="H884" t="s">
        <v>383</v>
      </c>
      <c r="I884" t="s">
        <v>126</v>
      </c>
      <c r="J884" t="s">
        <v>132</v>
      </c>
      <c r="K884">
        <v>813184</v>
      </c>
      <c r="L884" t="s">
        <v>361</v>
      </c>
      <c r="M884" t="s">
        <v>362</v>
      </c>
      <c r="N884" t="s">
        <v>57</v>
      </c>
      <c r="O884" s="1">
        <v>45694</v>
      </c>
      <c r="Q884" s="1">
        <v>46028</v>
      </c>
      <c r="R884" s="2">
        <v>89.95</v>
      </c>
      <c r="S884">
        <v>1</v>
      </c>
      <c r="T884" t="s">
        <v>58</v>
      </c>
      <c r="U884" t="s">
        <v>59</v>
      </c>
      <c r="V884" s="4">
        <v>0.7</v>
      </c>
      <c r="W884" s="2">
        <v>0</v>
      </c>
      <c r="X884">
        <v>0</v>
      </c>
      <c r="Y884" t="s">
        <v>83</v>
      </c>
      <c r="Z884" t="s">
        <v>61</v>
      </c>
      <c r="AA884">
        <v>0</v>
      </c>
      <c r="AB884" s="2">
        <v>0</v>
      </c>
      <c r="AC884" s="2">
        <v>0</v>
      </c>
      <c r="AD884" s="4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62.96</v>
      </c>
      <c r="AN884" s="2">
        <v>62.96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45999</v>
      </c>
      <c r="B885" t="s">
        <v>48</v>
      </c>
      <c r="C885">
        <v>649163</v>
      </c>
      <c r="D885">
        <v>2026970604</v>
      </c>
      <c r="E885" t="s">
        <v>614</v>
      </c>
      <c r="F885" t="s">
        <v>283</v>
      </c>
      <c r="G885" t="s">
        <v>51</v>
      </c>
      <c r="H885" t="s">
        <v>97</v>
      </c>
      <c r="I885" t="s">
        <v>126</v>
      </c>
      <c r="J885" t="s">
        <v>375</v>
      </c>
      <c r="K885">
        <v>651818</v>
      </c>
      <c r="L885" t="s">
        <v>246</v>
      </c>
      <c r="M885" t="s">
        <v>247</v>
      </c>
      <c r="N885" t="s">
        <v>57</v>
      </c>
      <c r="O885" s="1">
        <v>45723</v>
      </c>
      <c r="Q885" s="1">
        <v>46029</v>
      </c>
      <c r="R885" s="2">
        <v>99.25</v>
      </c>
      <c r="S885">
        <v>1</v>
      </c>
      <c r="T885" t="s">
        <v>58</v>
      </c>
      <c r="U885" t="s">
        <v>59</v>
      </c>
      <c r="V885" s="4">
        <v>0.9</v>
      </c>
      <c r="W885" s="2">
        <v>0</v>
      </c>
      <c r="X885">
        <v>0</v>
      </c>
      <c r="Y885" t="s">
        <v>83</v>
      </c>
      <c r="Z885" t="s">
        <v>61</v>
      </c>
      <c r="AA885">
        <v>0</v>
      </c>
      <c r="AB885" s="2">
        <v>0</v>
      </c>
      <c r="AC885" s="2">
        <v>0</v>
      </c>
      <c r="AD885" s="4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89.32</v>
      </c>
      <c r="AN885" s="2">
        <v>89.32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45999</v>
      </c>
      <c r="B886" t="s">
        <v>48</v>
      </c>
      <c r="C886">
        <v>649163</v>
      </c>
      <c r="D886">
        <v>2026978414</v>
      </c>
      <c r="E886" t="s">
        <v>1109</v>
      </c>
      <c r="F886" t="s">
        <v>162</v>
      </c>
      <c r="G886" t="s">
        <v>51</v>
      </c>
      <c r="H886" t="s">
        <v>102</v>
      </c>
      <c r="I886" t="s">
        <v>126</v>
      </c>
      <c r="J886" t="s">
        <v>132</v>
      </c>
      <c r="K886">
        <v>813181</v>
      </c>
      <c r="L886" t="s">
        <v>1110</v>
      </c>
      <c r="M886" t="s">
        <v>659</v>
      </c>
      <c r="N886" t="s">
        <v>57</v>
      </c>
      <c r="O886" s="1">
        <v>45695</v>
      </c>
      <c r="Q886" s="1">
        <v>46029</v>
      </c>
      <c r="R886" s="2">
        <v>56.5</v>
      </c>
      <c r="S886">
        <v>1</v>
      </c>
      <c r="T886" t="s">
        <v>58</v>
      </c>
      <c r="U886" t="s">
        <v>59</v>
      </c>
      <c r="V886" s="4">
        <v>0.7</v>
      </c>
      <c r="W886" s="2">
        <v>0</v>
      </c>
      <c r="X886">
        <v>0</v>
      </c>
      <c r="Y886" t="s">
        <v>83</v>
      </c>
      <c r="Z886" t="s">
        <v>61</v>
      </c>
      <c r="AA886">
        <v>0</v>
      </c>
      <c r="AB886" s="2">
        <v>0</v>
      </c>
      <c r="AC886" s="2">
        <v>0</v>
      </c>
      <c r="AD886" s="4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39.549999999999997</v>
      </c>
      <c r="AN886" s="2">
        <v>39.549999999999997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45999</v>
      </c>
      <c r="B887" t="s">
        <v>48</v>
      </c>
      <c r="C887">
        <v>649163</v>
      </c>
      <c r="D887">
        <v>2026978805</v>
      </c>
      <c r="E887" t="s">
        <v>495</v>
      </c>
      <c r="F887" t="s">
        <v>496</v>
      </c>
      <c r="G887" t="s">
        <v>51</v>
      </c>
      <c r="H887" t="s">
        <v>102</v>
      </c>
      <c r="I887" t="s">
        <v>126</v>
      </c>
      <c r="J887" t="s">
        <v>132</v>
      </c>
      <c r="K887">
        <v>824062</v>
      </c>
      <c r="L887" t="s">
        <v>261</v>
      </c>
      <c r="M887" t="s">
        <v>262</v>
      </c>
      <c r="N887" t="s">
        <v>57</v>
      </c>
      <c r="O887" s="1">
        <v>45695</v>
      </c>
      <c r="Q887" s="1">
        <v>46029</v>
      </c>
      <c r="R887" s="2">
        <v>15.75</v>
      </c>
      <c r="S887">
        <v>1</v>
      </c>
      <c r="T887" t="s">
        <v>58</v>
      </c>
      <c r="U887" t="s">
        <v>59</v>
      </c>
      <c r="V887" s="4">
        <v>0.7</v>
      </c>
      <c r="W887" s="2">
        <v>0</v>
      </c>
      <c r="X887">
        <v>0</v>
      </c>
      <c r="Y887" t="s">
        <v>83</v>
      </c>
      <c r="Z887" t="s">
        <v>61</v>
      </c>
      <c r="AA887">
        <v>0</v>
      </c>
      <c r="AB887" s="2">
        <v>0</v>
      </c>
      <c r="AC887" s="2">
        <v>0</v>
      </c>
      <c r="AD887" s="4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11.02</v>
      </c>
      <c r="AN887" s="2">
        <v>11.02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45999</v>
      </c>
      <c r="B888" t="s">
        <v>48</v>
      </c>
      <c r="C888">
        <v>649163</v>
      </c>
      <c r="D888">
        <v>2027001808</v>
      </c>
      <c r="E888" t="s">
        <v>499</v>
      </c>
      <c r="F888" t="s">
        <v>500</v>
      </c>
      <c r="G888" t="s">
        <v>51</v>
      </c>
      <c r="H888" t="s">
        <v>200</v>
      </c>
      <c r="I888" t="s">
        <v>126</v>
      </c>
      <c r="J888" t="s">
        <v>132</v>
      </c>
      <c r="K888">
        <v>816021</v>
      </c>
      <c r="L888" t="s">
        <v>201</v>
      </c>
      <c r="M888" t="s">
        <v>202</v>
      </c>
      <c r="N888" t="s">
        <v>57</v>
      </c>
      <c r="O888" s="1">
        <v>45698</v>
      </c>
      <c r="Q888" s="1">
        <v>46032</v>
      </c>
      <c r="R888" s="2">
        <v>7.11</v>
      </c>
      <c r="S888">
        <v>1</v>
      </c>
      <c r="T888" t="s">
        <v>58</v>
      </c>
      <c r="U888" t="s">
        <v>59</v>
      </c>
      <c r="V888" s="4">
        <v>0.7</v>
      </c>
      <c r="W888" s="2">
        <v>0</v>
      </c>
      <c r="X888">
        <v>0</v>
      </c>
      <c r="Y888" t="s">
        <v>83</v>
      </c>
      <c r="Z888" t="s">
        <v>61</v>
      </c>
      <c r="AA888">
        <v>0</v>
      </c>
      <c r="AB888" s="2">
        <v>0</v>
      </c>
      <c r="AC888" s="2">
        <v>0</v>
      </c>
      <c r="AD888" s="4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4.9800000000000004</v>
      </c>
      <c r="AN888" s="2">
        <v>4.9800000000000004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45999</v>
      </c>
      <c r="B889" t="s">
        <v>48</v>
      </c>
      <c r="C889">
        <v>649163</v>
      </c>
      <c r="D889">
        <v>2027003321</v>
      </c>
      <c r="E889" t="s">
        <v>828</v>
      </c>
      <c r="F889" t="s">
        <v>829</v>
      </c>
      <c r="G889" t="s">
        <v>51</v>
      </c>
      <c r="H889" t="s">
        <v>200</v>
      </c>
      <c r="I889" t="s">
        <v>126</v>
      </c>
      <c r="J889" t="s">
        <v>132</v>
      </c>
      <c r="K889">
        <v>816021</v>
      </c>
      <c r="L889" t="s">
        <v>201</v>
      </c>
      <c r="M889" t="s">
        <v>202</v>
      </c>
      <c r="N889" t="s">
        <v>57</v>
      </c>
      <c r="O889" s="1">
        <v>45696</v>
      </c>
      <c r="Q889" s="1">
        <v>46030</v>
      </c>
      <c r="R889" s="2">
        <v>29.2</v>
      </c>
      <c r="S889">
        <v>1</v>
      </c>
      <c r="T889" t="s">
        <v>58</v>
      </c>
      <c r="U889" t="s">
        <v>59</v>
      </c>
      <c r="V889" s="4">
        <v>0.7</v>
      </c>
      <c r="W889" s="2">
        <v>0</v>
      </c>
      <c r="X889">
        <v>0</v>
      </c>
      <c r="Y889" t="s">
        <v>83</v>
      </c>
      <c r="Z889" t="s">
        <v>61</v>
      </c>
      <c r="AA889">
        <v>0</v>
      </c>
      <c r="AB889" s="2">
        <v>0</v>
      </c>
      <c r="AC889" s="2">
        <v>0</v>
      </c>
      <c r="AD889" s="4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20.440000000000001</v>
      </c>
      <c r="AN889" s="2">
        <v>20.440000000000001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45999</v>
      </c>
      <c r="B890" t="s">
        <v>48</v>
      </c>
      <c r="C890">
        <v>649163</v>
      </c>
      <c r="D890">
        <v>2027003322</v>
      </c>
      <c r="E890" t="s">
        <v>828</v>
      </c>
      <c r="F890" t="s">
        <v>829</v>
      </c>
      <c r="G890" t="s">
        <v>51</v>
      </c>
      <c r="H890" t="s">
        <v>200</v>
      </c>
      <c r="I890" t="s">
        <v>126</v>
      </c>
      <c r="J890" t="s">
        <v>127</v>
      </c>
      <c r="K890">
        <v>816021</v>
      </c>
      <c r="L890" t="s">
        <v>201</v>
      </c>
      <c r="M890" t="s">
        <v>202</v>
      </c>
      <c r="N890" t="s">
        <v>57</v>
      </c>
      <c r="O890" s="1">
        <v>45696</v>
      </c>
      <c r="Q890" s="1">
        <v>46030</v>
      </c>
      <c r="R890" s="2">
        <v>20.95</v>
      </c>
      <c r="S890">
        <v>1</v>
      </c>
      <c r="T890" t="s">
        <v>58</v>
      </c>
      <c r="U890" t="s">
        <v>59</v>
      </c>
      <c r="V890" s="4">
        <v>0.7</v>
      </c>
      <c r="W890" s="2">
        <v>0</v>
      </c>
      <c r="X890">
        <v>0</v>
      </c>
      <c r="Y890" t="s">
        <v>83</v>
      </c>
      <c r="Z890" t="s">
        <v>61</v>
      </c>
      <c r="AA890">
        <v>0</v>
      </c>
      <c r="AB890" s="2">
        <v>0</v>
      </c>
      <c r="AC890" s="2">
        <v>0</v>
      </c>
      <c r="AD890" s="4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14.66</v>
      </c>
      <c r="AN890" s="2">
        <v>14.66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45999</v>
      </c>
      <c r="B891" t="s">
        <v>48</v>
      </c>
      <c r="C891">
        <v>649163</v>
      </c>
      <c r="D891">
        <v>2027003552</v>
      </c>
      <c r="E891" t="s">
        <v>665</v>
      </c>
      <c r="F891" t="s">
        <v>517</v>
      </c>
      <c r="G891" t="s">
        <v>51</v>
      </c>
      <c r="H891" t="s">
        <v>200</v>
      </c>
      <c r="I891" t="s">
        <v>126</v>
      </c>
      <c r="J891" t="s">
        <v>132</v>
      </c>
      <c r="K891">
        <v>816021</v>
      </c>
      <c r="L891" t="s">
        <v>201</v>
      </c>
      <c r="M891" t="s">
        <v>202</v>
      </c>
      <c r="N891" t="s">
        <v>57</v>
      </c>
      <c r="O891" s="1">
        <v>45698</v>
      </c>
      <c r="Q891" s="1">
        <v>46032</v>
      </c>
      <c r="R891" s="2">
        <v>27.38</v>
      </c>
      <c r="S891">
        <v>1</v>
      </c>
      <c r="T891" t="s">
        <v>58</v>
      </c>
      <c r="U891" t="s">
        <v>59</v>
      </c>
      <c r="V891" s="4">
        <v>0.7</v>
      </c>
      <c r="W891" s="2">
        <v>0</v>
      </c>
      <c r="X891">
        <v>0</v>
      </c>
      <c r="Y891" t="s">
        <v>83</v>
      </c>
      <c r="Z891" t="s">
        <v>61</v>
      </c>
      <c r="AA891">
        <v>0</v>
      </c>
      <c r="AB891" s="2">
        <v>0</v>
      </c>
      <c r="AC891" s="2">
        <v>0</v>
      </c>
      <c r="AD891" s="4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19.170000000000002</v>
      </c>
      <c r="AN891" s="2">
        <v>19.170000000000002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45999</v>
      </c>
      <c r="B892" t="s">
        <v>48</v>
      </c>
      <c r="C892">
        <v>649163</v>
      </c>
      <c r="D892">
        <v>2027010991</v>
      </c>
      <c r="E892" t="s">
        <v>293</v>
      </c>
      <c r="F892" t="s">
        <v>305</v>
      </c>
      <c r="G892" t="s">
        <v>51</v>
      </c>
      <c r="H892" t="s">
        <v>200</v>
      </c>
      <c r="I892" t="s">
        <v>126</v>
      </c>
      <c r="J892" t="s">
        <v>132</v>
      </c>
      <c r="K892">
        <v>816021</v>
      </c>
      <c r="L892" t="s">
        <v>201</v>
      </c>
      <c r="M892" t="s">
        <v>202</v>
      </c>
      <c r="N892" t="s">
        <v>57</v>
      </c>
      <c r="O892" s="1">
        <v>45697</v>
      </c>
      <c r="Q892" s="1">
        <v>46031</v>
      </c>
      <c r="R892" s="2">
        <v>9.6999999999999993</v>
      </c>
      <c r="S892">
        <v>1</v>
      </c>
      <c r="T892" t="s">
        <v>58</v>
      </c>
      <c r="U892" t="s">
        <v>59</v>
      </c>
      <c r="V892" s="4">
        <v>0.7</v>
      </c>
      <c r="W892" s="2">
        <v>0</v>
      </c>
      <c r="X892">
        <v>0</v>
      </c>
      <c r="Y892" t="s">
        <v>83</v>
      </c>
      <c r="Z892" t="s">
        <v>61</v>
      </c>
      <c r="AA892">
        <v>0</v>
      </c>
      <c r="AB892" s="2">
        <v>0</v>
      </c>
      <c r="AC892" s="2">
        <v>0</v>
      </c>
      <c r="AD892" s="4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6.79</v>
      </c>
      <c r="AN892" s="2">
        <v>6.79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45999</v>
      </c>
      <c r="B893" t="s">
        <v>48</v>
      </c>
      <c r="C893">
        <v>649163</v>
      </c>
      <c r="D893">
        <v>2027010993</v>
      </c>
      <c r="E893" t="s">
        <v>293</v>
      </c>
      <c r="F893" t="s">
        <v>305</v>
      </c>
      <c r="G893" t="s">
        <v>51</v>
      </c>
      <c r="H893" t="s">
        <v>200</v>
      </c>
      <c r="I893" t="s">
        <v>126</v>
      </c>
      <c r="J893" t="s">
        <v>127</v>
      </c>
      <c r="K893">
        <v>816021</v>
      </c>
      <c r="L893" t="s">
        <v>201</v>
      </c>
      <c r="M893" t="s">
        <v>202</v>
      </c>
      <c r="N893" t="s">
        <v>57</v>
      </c>
      <c r="O893" s="1">
        <v>45697</v>
      </c>
      <c r="Q893" s="1">
        <v>46031</v>
      </c>
      <c r="R893" s="2">
        <v>6.3</v>
      </c>
      <c r="S893">
        <v>1</v>
      </c>
      <c r="T893" t="s">
        <v>58</v>
      </c>
      <c r="U893" t="s">
        <v>59</v>
      </c>
      <c r="V893" s="4">
        <v>0.7</v>
      </c>
      <c r="W893" s="2">
        <v>0</v>
      </c>
      <c r="X893">
        <v>0</v>
      </c>
      <c r="Y893" t="s">
        <v>83</v>
      </c>
      <c r="Z893" t="s">
        <v>61</v>
      </c>
      <c r="AA893">
        <v>0</v>
      </c>
      <c r="AB893" s="2">
        <v>0</v>
      </c>
      <c r="AC893" s="2">
        <v>0</v>
      </c>
      <c r="AD893" s="4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4.41</v>
      </c>
      <c r="AN893" s="2">
        <v>4.41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45999</v>
      </c>
      <c r="B894" t="s">
        <v>48</v>
      </c>
      <c r="C894">
        <v>649163</v>
      </c>
      <c r="D894">
        <v>2027014990</v>
      </c>
      <c r="E894" t="s">
        <v>501</v>
      </c>
      <c r="F894" t="s">
        <v>326</v>
      </c>
      <c r="G894" t="s">
        <v>51</v>
      </c>
      <c r="H894" t="s">
        <v>79</v>
      </c>
      <c r="I894" t="s">
        <v>126</v>
      </c>
      <c r="J894" t="s">
        <v>132</v>
      </c>
      <c r="K894">
        <v>673059</v>
      </c>
      <c r="L894" t="s">
        <v>81</v>
      </c>
      <c r="M894" t="s">
        <v>82</v>
      </c>
      <c r="N894" t="s">
        <v>57</v>
      </c>
      <c r="O894" s="1">
        <v>45696</v>
      </c>
      <c r="Q894" s="1">
        <v>46030</v>
      </c>
      <c r="R894" s="2">
        <v>10.82</v>
      </c>
      <c r="S894">
        <v>1</v>
      </c>
      <c r="T894" t="s">
        <v>58</v>
      </c>
      <c r="U894" t="s">
        <v>59</v>
      </c>
      <c r="V894" s="4">
        <v>0.7</v>
      </c>
      <c r="W894" s="2">
        <v>0</v>
      </c>
      <c r="X894">
        <v>0</v>
      </c>
      <c r="Y894" t="s">
        <v>83</v>
      </c>
      <c r="Z894" t="s">
        <v>61</v>
      </c>
      <c r="AA894">
        <v>0</v>
      </c>
      <c r="AB894" s="2">
        <v>0</v>
      </c>
      <c r="AC894" s="2">
        <v>0</v>
      </c>
      <c r="AD894" s="4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7.57</v>
      </c>
      <c r="AN894" s="2">
        <v>7.57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45999</v>
      </c>
      <c r="B895" t="s">
        <v>48</v>
      </c>
      <c r="C895">
        <v>649163</v>
      </c>
      <c r="D895">
        <v>2027025171</v>
      </c>
      <c r="E895" t="s">
        <v>666</v>
      </c>
      <c r="F895" t="s">
        <v>667</v>
      </c>
      <c r="G895" t="s">
        <v>51</v>
      </c>
      <c r="H895" t="s">
        <v>200</v>
      </c>
      <c r="I895" t="s">
        <v>126</v>
      </c>
      <c r="J895" t="s">
        <v>132</v>
      </c>
      <c r="K895">
        <v>824082</v>
      </c>
      <c r="L895" t="s">
        <v>566</v>
      </c>
      <c r="M895" t="s">
        <v>567</v>
      </c>
      <c r="N895" t="s">
        <v>57</v>
      </c>
      <c r="O895" s="1">
        <v>45697</v>
      </c>
      <c r="Q895" s="1">
        <v>46031</v>
      </c>
      <c r="R895" s="2">
        <v>29.2</v>
      </c>
      <c r="S895">
        <v>1</v>
      </c>
      <c r="T895" t="s">
        <v>58</v>
      </c>
      <c r="U895" t="s">
        <v>59</v>
      </c>
      <c r="V895" s="4">
        <v>0.7</v>
      </c>
      <c r="W895" s="2">
        <v>0</v>
      </c>
      <c r="X895">
        <v>0</v>
      </c>
      <c r="Y895" t="s">
        <v>83</v>
      </c>
      <c r="Z895" t="s">
        <v>61</v>
      </c>
      <c r="AA895">
        <v>0</v>
      </c>
      <c r="AB895" s="2">
        <v>0</v>
      </c>
      <c r="AC895" s="2">
        <v>0</v>
      </c>
      <c r="AD895" s="4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20.440000000000001</v>
      </c>
      <c r="AN895" s="2">
        <v>20.440000000000001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45999</v>
      </c>
      <c r="B896" t="s">
        <v>48</v>
      </c>
      <c r="C896">
        <v>649163</v>
      </c>
      <c r="D896">
        <v>2027035339</v>
      </c>
      <c r="E896" t="s">
        <v>361</v>
      </c>
      <c r="F896" t="s">
        <v>668</v>
      </c>
      <c r="G896" t="s">
        <v>51</v>
      </c>
      <c r="H896" t="s">
        <v>383</v>
      </c>
      <c r="I896" t="s">
        <v>126</v>
      </c>
      <c r="J896" t="s">
        <v>132</v>
      </c>
      <c r="K896">
        <v>813184</v>
      </c>
      <c r="L896" t="s">
        <v>361</v>
      </c>
      <c r="M896" t="s">
        <v>362</v>
      </c>
      <c r="N896" t="s">
        <v>57</v>
      </c>
      <c r="O896" s="1">
        <v>45698</v>
      </c>
      <c r="Q896" s="1">
        <v>46032</v>
      </c>
      <c r="R896" s="2">
        <v>39.25</v>
      </c>
      <c r="S896">
        <v>1</v>
      </c>
      <c r="T896" t="s">
        <v>58</v>
      </c>
      <c r="U896" t="s">
        <v>59</v>
      </c>
      <c r="V896" s="4">
        <v>0.7</v>
      </c>
      <c r="W896" s="2">
        <v>0</v>
      </c>
      <c r="X896">
        <v>0</v>
      </c>
      <c r="Y896" t="s">
        <v>83</v>
      </c>
      <c r="Z896" t="s">
        <v>61</v>
      </c>
      <c r="AA896">
        <v>0</v>
      </c>
      <c r="AB896" s="2">
        <v>0</v>
      </c>
      <c r="AC896" s="2">
        <v>0</v>
      </c>
      <c r="AD896" s="4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27.48</v>
      </c>
      <c r="AN896" s="2">
        <v>27.48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45999</v>
      </c>
      <c r="B897" t="s">
        <v>48</v>
      </c>
      <c r="C897">
        <v>649163</v>
      </c>
      <c r="D897">
        <v>2027052528</v>
      </c>
      <c r="E897" t="s">
        <v>502</v>
      </c>
      <c r="F897" t="s">
        <v>503</v>
      </c>
      <c r="G897" t="s">
        <v>51</v>
      </c>
      <c r="H897" t="s">
        <v>102</v>
      </c>
      <c r="I897" t="s">
        <v>126</v>
      </c>
      <c r="J897" t="s">
        <v>132</v>
      </c>
      <c r="K897">
        <v>766747</v>
      </c>
      <c r="L897" t="s">
        <v>504</v>
      </c>
      <c r="M897" t="s">
        <v>182</v>
      </c>
      <c r="N897" t="s">
        <v>57</v>
      </c>
      <c r="O897" s="1">
        <v>45699</v>
      </c>
      <c r="Q897" s="1">
        <v>46033</v>
      </c>
      <c r="R897" s="2">
        <v>11.5</v>
      </c>
      <c r="S897">
        <v>1</v>
      </c>
      <c r="T897" t="s">
        <v>58</v>
      </c>
      <c r="U897" t="s">
        <v>59</v>
      </c>
      <c r="V897" s="4">
        <v>0.7</v>
      </c>
      <c r="W897" s="2">
        <v>0</v>
      </c>
      <c r="X897">
        <v>0</v>
      </c>
      <c r="Y897" t="s">
        <v>83</v>
      </c>
      <c r="Z897" t="s">
        <v>61</v>
      </c>
      <c r="AA897">
        <v>0</v>
      </c>
      <c r="AB897" s="2">
        <v>0</v>
      </c>
      <c r="AC897" s="2">
        <v>0</v>
      </c>
      <c r="AD897" s="4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8.0500000000000007</v>
      </c>
      <c r="AN897" s="2">
        <v>8.0500000000000007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45999</v>
      </c>
      <c r="B898" t="s">
        <v>48</v>
      </c>
      <c r="C898">
        <v>649163</v>
      </c>
      <c r="D898">
        <v>2027055700</v>
      </c>
      <c r="E898" t="s">
        <v>505</v>
      </c>
      <c r="F898" t="s">
        <v>229</v>
      </c>
      <c r="G898" t="s">
        <v>51</v>
      </c>
      <c r="H898" t="s">
        <v>200</v>
      </c>
      <c r="I898" t="s">
        <v>126</v>
      </c>
      <c r="J898" t="s">
        <v>132</v>
      </c>
      <c r="K898">
        <v>816021</v>
      </c>
      <c r="L898" t="s">
        <v>201</v>
      </c>
      <c r="M898" t="s">
        <v>202</v>
      </c>
      <c r="N898" t="s">
        <v>57</v>
      </c>
      <c r="O898" s="1">
        <v>45699</v>
      </c>
      <c r="Q898" s="1">
        <v>46033</v>
      </c>
      <c r="R898" s="2">
        <v>9.1</v>
      </c>
      <c r="S898">
        <v>1</v>
      </c>
      <c r="T898" t="s">
        <v>58</v>
      </c>
      <c r="U898" t="s">
        <v>59</v>
      </c>
      <c r="V898" s="4">
        <v>0.7</v>
      </c>
      <c r="W898" s="2">
        <v>0</v>
      </c>
      <c r="X898">
        <v>0</v>
      </c>
      <c r="Y898" t="s">
        <v>83</v>
      </c>
      <c r="Z898" t="s">
        <v>61</v>
      </c>
      <c r="AA898">
        <v>0</v>
      </c>
      <c r="AB898" s="2">
        <v>0</v>
      </c>
      <c r="AC898" s="2">
        <v>0</v>
      </c>
      <c r="AD898" s="4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6.37</v>
      </c>
      <c r="AN898" s="2">
        <v>6.37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45999</v>
      </c>
      <c r="B899" t="s">
        <v>48</v>
      </c>
      <c r="C899">
        <v>649163</v>
      </c>
      <c r="D899">
        <v>2027059396</v>
      </c>
      <c r="E899" t="s">
        <v>506</v>
      </c>
      <c r="F899" t="s">
        <v>507</v>
      </c>
      <c r="G899" t="s">
        <v>51</v>
      </c>
      <c r="H899" t="s">
        <v>102</v>
      </c>
      <c r="I899" t="s">
        <v>126</v>
      </c>
      <c r="J899" t="s">
        <v>132</v>
      </c>
      <c r="K899">
        <v>824062</v>
      </c>
      <c r="L899" t="s">
        <v>261</v>
      </c>
      <c r="M899" t="s">
        <v>262</v>
      </c>
      <c r="N899" t="s">
        <v>57</v>
      </c>
      <c r="O899" s="1">
        <v>45700</v>
      </c>
      <c r="Q899" s="1">
        <v>46034</v>
      </c>
      <c r="R899" s="2">
        <v>41.5</v>
      </c>
      <c r="S899">
        <v>1</v>
      </c>
      <c r="T899" t="s">
        <v>58</v>
      </c>
      <c r="U899" t="s">
        <v>59</v>
      </c>
      <c r="V899" s="4">
        <v>0.7</v>
      </c>
      <c r="W899" s="2">
        <v>0</v>
      </c>
      <c r="X899">
        <v>0</v>
      </c>
      <c r="Y899" t="s">
        <v>83</v>
      </c>
      <c r="Z899" t="s">
        <v>61</v>
      </c>
      <c r="AA899">
        <v>0</v>
      </c>
      <c r="AB899" s="2">
        <v>0</v>
      </c>
      <c r="AC899" s="2">
        <v>0</v>
      </c>
      <c r="AD899" s="4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29.05</v>
      </c>
      <c r="AN899" s="2">
        <v>29.05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45999</v>
      </c>
      <c r="B900" t="s">
        <v>48</v>
      </c>
      <c r="C900">
        <v>649163</v>
      </c>
      <c r="D900">
        <v>2027064140</v>
      </c>
      <c r="E900" t="s">
        <v>830</v>
      </c>
      <c r="F900" t="s">
        <v>82</v>
      </c>
      <c r="G900" t="s">
        <v>51</v>
      </c>
      <c r="H900" t="s">
        <v>515</v>
      </c>
      <c r="I900" t="s">
        <v>126</v>
      </c>
      <c r="J900" t="s">
        <v>127</v>
      </c>
      <c r="K900">
        <v>673059</v>
      </c>
      <c r="L900" t="s">
        <v>81</v>
      </c>
      <c r="M900" t="s">
        <v>82</v>
      </c>
      <c r="N900" t="s">
        <v>57</v>
      </c>
      <c r="O900" s="1">
        <v>45700</v>
      </c>
      <c r="Q900" s="1">
        <v>46034</v>
      </c>
      <c r="R900" s="2">
        <v>23.39</v>
      </c>
      <c r="S900">
        <v>1</v>
      </c>
      <c r="T900" t="s">
        <v>58</v>
      </c>
      <c r="U900" t="s">
        <v>59</v>
      </c>
      <c r="V900" s="4">
        <v>0.7</v>
      </c>
      <c r="W900" s="2">
        <v>0</v>
      </c>
      <c r="X900">
        <v>0</v>
      </c>
      <c r="Y900" t="s">
        <v>83</v>
      </c>
      <c r="Z900" t="s">
        <v>61</v>
      </c>
      <c r="AA900">
        <v>0</v>
      </c>
      <c r="AB900" s="2">
        <v>0</v>
      </c>
      <c r="AC900" s="2">
        <v>0</v>
      </c>
      <c r="AD900" s="4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16.37</v>
      </c>
      <c r="AN900" s="2">
        <v>16.37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45999</v>
      </c>
      <c r="B901" t="s">
        <v>48</v>
      </c>
      <c r="C901">
        <v>649163</v>
      </c>
      <c r="D901">
        <v>2027064142</v>
      </c>
      <c r="E901" t="s">
        <v>830</v>
      </c>
      <c r="F901" t="s">
        <v>82</v>
      </c>
      <c r="G901" t="s">
        <v>51</v>
      </c>
      <c r="H901" t="s">
        <v>515</v>
      </c>
      <c r="I901" t="s">
        <v>126</v>
      </c>
      <c r="J901" t="s">
        <v>132</v>
      </c>
      <c r="K901">
        <v>673059</v>
      </c>
      <c r="L901" t="s">
        <v>81</v>
      </c>
      <c r="M901" t="s">
        <v>82</v>
      </c>
      <c r="N901" t="s">
        <v>57</v>
      </c>
      <c r="O901" s="1">
        <v>45700</v>
      </c>
      <c r="Q901" s="1">
        <v>46034</v>
      </c>
      <c r="R901" s="2">
        <v>115.91</v>
      </c>
      <c r="S901">
        <v>1</v>
      </c>
      <c r="T901" t="s">
        <v>58</v>
      </c>
      <c r="U901" t="s">
        <v>59</v>
      </c>
      <c r="V901" s="4">
        <v>0.7</v>
      </c>
      <c r="W901" s="2">
        <v>0</v>
      </c>
      <c r="X901">
        <v>0</v>
      </c>
      <c r="Y901" t="s">
        <v>83</v>
      </c>
      <c r="Z901" t="s">
        <v>61</v>
      </c>
      <c r="AA901">
        <v>0</v>
      </c>
      <c r="AB901" s="2">
        <v>0</v>
      </c>
      <c r="AC901" s="2">
        <v>0</v>
      </c>
      <c r="AD901" s="4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81.14</v>
      </c>
      <c r="AN901" s="2">
        <v>81.14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45999</v>
      </c>
      <c r="B902" t="s">
        <v>48</v>
      </c>
      <c r="C902">
        <v>649163</v>
      </c>
      <c r="D902">
        <v>2027235545</v>
      </c>
      <c r="E902" t="s">
        <v>831</v>
      </c>
      <c r="F902" t="s">
        <v>832</v>
      </c>
      <c r="G902" t="s">
        <v>51</v>
      </c>
      <c r="H902" t="s">
        <v>408</v>
      </c>
      <c r="I902" t="s">
        <v>126</v>
      </c>
      <c r="J902" t="s">
        <v>132</v>
      </c>
      <c r="K902">
        <v>651818</v>
      </c>
      <c r="L902" t="s">
        <v>246</v>
      </c>
      <c r="M902" t="s">
        <v>247</v>
      </c>
      <c r="N902" t="s">
        <v>57</v>
      </c>
      <c r="O902" s="1">
        <v>45723</v>
      </c>
      <c r="Q902" s="1">
        <v>46029</v>
      </c>
      <c r="R902" s="2">
        <v>122.53</v>
      </c>
      <c r="S902">
        <v>1</v>
      </c>
      <c r="T902" t="s">
        <v>58</v>
      </c>
      <c r="U902" t="s">
        <v>59</v>
      </c>
      <c r="V902" s="4">
        <v>0.7</v>
      </c>
      <c r="W902" s="2">
        <v>0</v>
      </c>
      <c r="X902">
        <v>0</v>
      </c>
      <c r="Y902" t="s">
        <v>83</v>
      </c>
      <c r="Z902" t="s">
        <v>61</v>
      </c>
      <c r="AA902">
        <v>0</v>
      </c>
      <c r="AB902" s="2">
        <v>0</v>
      </c>
      <c r="AC902" s="2">
        <v>0</v>
      </c>
      <c r="AD902" s="4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85.77</v>
      </c>
      <c r="AN902" s="2">
        <v>85.77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45999</v>
      </c>
      <c r="B903" t="s">
        <v>48</v>
      </c>
      <c r="C903">
        <v>649163</v>
      </c>
      <c r="D903">
        <v>2027298067</v>
      </c>
      <c r="E903" t="s">
        <v>833</v>
      </c>
      <c r="F903" t="s">
        <v>834</v>
      </c>
      <c r="G903" t="s">
        <v>51</v>
      </c>
      <c r="H903" t="s">
        <v>374</v>
      </c>
      <c r="I903" t="s">
        <v>126</v>
      </c>
      <c r="J903" t="s">
        <v>132</v>
      </c>
      <c r="K903">
        <v>651818</v>
      </c>
      <c r="L903" t="s">
        <v>246</v>
      </c>
      <c r="M903" t="s">
        <v>247</v>
      </c>
      <c r="N903" t="s">
        <v>57</v>
      </c>
      <c r="O903" s="1">
        <v>45723</v>
      </c>
      <c r="Q903" s="1">
        <v>46029</v>
      </c>
      <c r="R903" s="2">
        <v>73.56</v>
      </c>
      <c r="S903">
        <v>1</v>
      </c>
      <c r="T903" t="s">
        <v>58</v>
      </c>
      <c r="U903" t="s">
        <v>59</v>
      </c>
      <c r="V903" s="4">
        <v>0.7</v>
      </c>
      <c r="W903" s="2">
        <v>0</v>
      </c>
      <c r="X903">
        <v>0</v>
      </c>
      <c r="Y903" t="s">
        <v>83</v>
      </c>
      <c r="Z903" t="s">
        <v>61</v>
      </c>
      <c r="AA903">
        <v>0</v>
      </c>
      <c r="AB903" s="2">
        <v>0</v>
      </c>
      <c r="AC903" s="2">
        <v>0</v>
      </c>
      <c r="AD903" s="4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51.49</v>
      </c>
      <c r="AN903" s="2">
        <v>51.49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45999</v>
      </c>
      <c r="B904" t="s">
        <v>48</v>
      </c>
      <c r="C904">
        <v>649163</v>
      </c>
      <c r="D904">
        <v>2027298068</v>
      </c>
      <c r="E904" t="s">
        <v>833</v>
      </c>
      <c r="F904" t="s">
        <v>834</v>
      </c>
      <c r="G904" t="s">
        <v>51</v>
      </c>
      <c r="H904" t="s">
        <v>374</v>
      </c>
      <c r="I904" t="s">
        <v>126</v>
      </c>
      <c r="J904" t="s">
        <v>375</v>
      </c>
      <c r="K904">
        <v>651818</v>
      </c>
      <c r="L904" t="s">
        <v>246</v>
      </c>
      <c r="M904" t="s">
        <v>247</v>
      </c>
      <c r="N904" t="s">
        <v>57</v>
      </c>
      <c r="O904" s="1">
        <v>45723</v>
      </c>
      <c r="Q904" s="1">
        <v>46029</v>
      </c>
      <c r="R904" s="2">
        <v>64.92</v>
      </c>
      <c r="S904">
        <v>1</v>
      </c>
      <c r="T904" t="s">
        <v>58</v>
      </c>
      <c r="U904" t="s">
        <v>59</v>
      </c>
      <c r="V904" s="4">
        <v>0.9</v>
      </c>
      <c r="W904" s="2">
        <v>0</v>
      </c>
      <c r="X904">
        <v>0</v>
      </c>
      <c r="Y904" t="s">
        <v>83</v>
      </c>
      <c r="Z904" t="s">
        <v>61</v>
      </c>
      <c r="AA904">
        <v>0</v>
      </c>
      <c r="AB904" s="2">
        <v>0</v>
      </c>
      <c r="AC904" s="2">
        <v>0</v>
      </c>
      <c r="AD904" s="4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58.43</v>
      </c>
      <c r="AN904" s="2">
        <v>58.43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45999</v>
      </c>
      <c r="B905" t="s">
        <v>48</v>
      </c>
      <c r="C905">
        <v>649163</v>
      </c>
      <c r="D905">
        <v>2027380471</v>
      </c>
      <c r="E905" t="s">
        <v>510</v>
      </c>
      <c r="F905" t="s">
        <v>511</v>
      </c>
      <c r="G905" t="s">
        <v>51</v>
      </c>
      <c r="H905" t="s">
        <v>102</v>
      </c>
      <c r="I905" t="s">
        <v>126</v>
      </c>
      <c r="J905" t="s">
        <v>132</v>
      </c>
      <c r="K905">
        <v>822733</v>
      </c>
      <c r="L905" t="s">
        <v>224</v>
      </c>
      <c r="M905" t="s">
        <v>225</v>
      </c>
      <c r="N905" t="s">
        <v>57</v>
      </c>
      <c r="O905" s="1">
        <v>45723</v>
      </c>
      <c r="Q905" s="1">
        <v>46029</v>
      </c>
      <c r="R905" s="2">
        <v>11.5</v>
      </c>
      <c r="S905">
        <v>1</v>
      </c>
      <c r="T905" t="s">
        <v>58</v>
      </c>
      <c r="U905" t="s">
        <v>59</v>
      </c>
      <c r="V905" s="4">
        <v>0.7</v>
      </c>
      <c r="W905" s="2">
        <v>0</v>
      </c>
      <c r="X905">
        <v>0</v>
      </c>
      <c r="Y905" t="s">
        <v>83</v>
      </c>
      <c r="Z905" t="s">
        <v>61</v>
      </c>
      <c r="AA905">
        <v>0</v>
      </c>
      <c r="AB905" s="2">
        <v>0</v>
      </c>
      <c r="AC905" s="2">
        <v>0</v>
      </c>
      <c r="AD905" s="4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8.0500000000000007</v>
      </c>
      <c r="AN905" s="2">
        <v>8.0500000000000007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45999</v>
      </c>
      <c r="B906" t="s">
        <v>48</v>
      </c>
      <c r="C906">
        <v>649163</v>
      </c>
      <c r="D906">
        <v>2027429539</v>
      </c>
      <c r="E906" t="s">
        <v>836</v>
      </c>
      <c r="F906" t="s">
        <v>115</v>
      </c>
      <c r="G906" t="s">
        <v>51</v>
      </c>
      <c r="H906" t="s">
        <v>374</v>
      </c>
      <c r="I906" t="s">
        <v>126</v>
      </c>
      <c r="J906" t="s">
        <v>132</v>
      </c>
      <c r="K906">
        <v>651818</v>
      </c>
      <c r="L906" t="s">
        <v>246</v>
      </c>
      <c r="M906" t="s">
        <v>247</v>
      </c>
      <c r="N906" t="s">
        <v>57</v>
      </c>
      <c r="O906" s="1">
        <v>45723</v>
      </c>
      <c r="Q906" s="1">
        <v>46029</v>
      </c>
      <c r="R906" s="2">
        <v>161.30000000000001</v>
      </c>
      <c r="S906">
        <v>1</v>
      </c>
      <c r="T906" t="s">
        <v>58</v>
      </c>
      <c r="U906" t="s">
        <v>59</v>
      </c>
      <c r="V906" s="4">
        <v>0.7</v>
      </c>
      <c r="W906" s="2">
        <v>0</v>
      </c>
      <c r="X906">
        <v>0</v>
      </c>
      <c r="Y906" t="s">
        <v>83</v>
      </c>
      <c r="Z906" t="s">
        <v>61</v>
      </c>
      <c r="AA906">
        <v>0</v>
      </c>
      <c r="AB906" s="2">
        <v>0</v>
      </c>
      <c r="AC906" s="2">
        <v>0</v>
      </c>
      <c r="AD906" s="4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112.91</v>
      </c>
      <c r="AN906" s="2">
        <v>112.91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45999</v>
      </c>
      <c r="B907" t="s">
        <v>48</v>
      </c>
      <c r="C907">
        <v>649163</v>
      </c>
      <c r="D907">
        <v>2027482812</v>
      </c>
      <c r="E907" t="s">
        <v>226</v>
      </c>
      <c r="F907" t="s">
        <v>137</v>
      </c>
      <c r="G907" t="s">
        <v>51</v>
      </c>
      <c r="H907" t="s">
        <v>374</v>
      </c>
      <c r="I907" t="s">
        <v>126</v>
      </c>
      <c r="J907" t="s">
        <v>132</v>
      </c>
      <c r="K907">
        <v>651818</v>
      </c>
      <c r="L907" t="s">
        <v>246</v>
      </c>
      <c r="M907" t="s">
        <v>247</v>
      </c>
      <c r="N907" t="s">
        <v>57</v>
      </c>
      <c r="O907" s="1">
        <v>45723</v>
      </c>
      <c r="Q907" s="1">
        <v>46029</v>
      </c>
      <c r="R907" s="2">
        <v>28.73</v>
      </c>
      <c r="S907">
        <v>1</v>
      </c>
      <c r="T907" t="s">
        <v>58</v>
      </c>
      <c r="U907" t="s">
        <v>59</v>
      </c>
      <c r="V907" s="4">
        <v>0.7</v>
      </c>
      <c r="W907" s="2">
        <v>0</v>
      </c>
      <c r="X907">
        <v>0</v>
      </c>
      <c r="Y907" t="s">
        <v>83</v>
      </c>
      <c r="Z907" t="s">
        <v>61</v>
      </c>
      <c r="AA907">
        <v>0</v>
      </c>
      <c r="AB907" s="2">
        <v>0</v>
      </c>
      <c r="AC907" s="2">
        <v>0</v>
      </c>
      <c r="AD907" s="4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20.11</v>
      </c>
      <c r="AN907" s="2">
        <v>20.11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45999</v>
      </c>
      <c r="B908" t="s">
        <v>48</v>
      </c>
      <c r="C908">
        <v>649163</v>
      </c>
      <c r="D908">
        <v>2027482813</v>
      </c>
      <c r="E908" t="s">
        <v>226</v>
      </c>
      <c r="F908" t="s">
        <v>137</v>
      </c>
      <c r="G908" t="s">
        <v>51</v>
      </c>
      <c r="H908" t="s">
        <v>374</v>
      </c>
      <c r="I908" t="s">
        <v>126</v>
      </c>
      <c r="J908" t="s">
        <v>375</v>
      </c>
      <c r="K908">
        <v>651818</v>
      </c>
      <c r="L908" t="s">
        <v>246</v>
      </c>
      <c r="M908" t="s">
        <v>247</v>
      </c>
      <c r="N908" t="s">
        <v>57</v>
      </c>
      <c r="O908" s="1">
        <v>45723</v>
      </c>
      <c r="Q908" s="1">
        <v>46029</v>
      </c>
      <c r="R908" s="2">
        <v>29.25</v>
      </c>
      <c r="S908">
        <v>1</v>
      </c>
      <c r="T908" t="s">
        <v>58</v>
      </c>
      <c r="U908" t="s">
        <v>59</v>
      </c>
      <c r="V908" s="4">
        <v>0.9</v>
      </c>
      <c r="W908" s="2">
        <v>0</v>
      </c>
      <c r="X908">
        <v>0</v>
      </c>
      <c r="Y908" t="s">
        <v>83</v>
      </c>
      <c r="Z908" t="s">
        <v>61</v>
      </c>
      <c r="AA908">
        <v>0</v>
      </c>
      <c r="AB908" s="2">
        <v>0</v>
      </c>
      <c r="AC908" s="2">
        <v>0</v>
      </c>
      <c r="AD908" s="4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26.32</v>
      </c>
      <c r="AN908" s="2">
        <v>26.32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45999</v>
      </c>
      <c r="B909" t="s">
        <v>48</v>
      </c>
      <c r="C909">
        <v>649163</v>
      </c>
      <c r="D909">
        <v>2027501753</v>
      </c>
      <c r="E909" t="s">
        <v>837</v>
      </c>
      <c r="F909" t="s">
        <v>838</v>
      </c>
      <c r="G909" t="s">
        <v>51</v>
      </c>
      <c r="H909" t="s">
        <v>163</v>
      </c>
      <c r="I909" t="s">
        <v>126</v>
      </c>
      <c r="J909" t="s">
        <v>127</v>
      </c>
      <c r="K909">
        <v>652037</v>
      </c>
      <c r="L909" t="s">
        <v>235</v>
      </c>
      <c r="M909" t="s">
        <v>438</v>
      </c>
      <c r="N909" t="s">
        <v>57</v>
      </c>
      <c r="O909" s="1">
        <v>45718</v>
      </c>
      <c r="Q909" s="1">
        <v>46024</v>
      </c>
      <c r="R909" s="2">
        <v>24.61</v>
      </c>
      <c r="S909">
        <v>1</v>
      </c>
      <c r="T909" t="s">
        <v>58</v>
      </c>
      <c r="U909" t="s">
        <v>59</v>
      </c>
      <c r="V909" s="4">
        <v>0.7</v>
      </c>
      <c r="W909" s="2">
        <v>0</v>
      </c>
      <c r="X909">
        <v>0</v>
      </c>
      <c r="Y909" t="s">
        <v>83</v>
      </c>
      <c r="Z909" t="s">
        <v>61</v>
      </c>
      <c r="AA909">
        <v>0</v>
      </c>
      <c r="AB909" s="2">
        <v>0</v>
      </c>
      <c r="AC909" s="2">
        <v>0</v>
      </c>
      <c r="AD909" s="4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17.23</v>
      </c>
      <c r="AN909" s="2">
        <v>17.23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45999</v>
      </c>
      <c r="B910" t="s">
        <v>48</v>
      </c>
      <c r="C910">
        <v>649163</v>
      </c>
      <c r="D910">
        <v>2027501755</v>
      </c>
      <c r="E910" t="s">
        <v>837</v>
      </c>
      <c r="F910" t="s">
        <v>838</v>
      </c>
      <c r="G910" t="s">
        <v>51</v>
      </c>
      <c r="H910" t="s">
        <v>163</v>
      </c>
      <c r="I910" t="s">
        <v>126</v>
      </c>
      <c r="J910" t="s">
        <v>402</v>
      </c>
      <c r="K910">
        <v>652037</v>
      </c>
      <c r="L910" t="s">
        <v>235</v>
      </c>
      <c r="M910" t="s">
        <v>438</v>
      </c>
      <c r="N910" t="s">
        <v>57</v>
      </c>
      <c r="O910" s="1">
        <v>45718</v>
      </c>
      <c r="Q910" s="1">
        <v>46024</v>
      </c>
      <c r="R910" s="2">
        <v>36.299999999999997</v>
      </c>
      <c r="S910">
        <v>1</v>
      </c>
      <c r="T910" t="s">
        <v>58</v>
      </c>
      <c r="U910" t="s">
        <v>59</v>
      </c>
      <c r="V910" s="4">
        <v>0.42</v>
      </c>
      <c r="W910" s="2">
        <v>0</v>
      </c>
      <c r="X910">
        <v>0</v>
      </c>
      <c r="Y910" t="s">
        <v>83</v>
      </c>
      <c r="Z910" t="s">
        <v>61</v>
      </c>
      <c r="AA910">
        <v>0</v>
      </c>
      <c r="AB910" s="2">
        <v>0</v>
      </c>
      <c r="AC910" s="2">
        <v>0</v>
      </c>
      <c r="AD910" s="4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15.25</v>
      </c>
      <c r="AN910" s="2">
        <v>15.25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45999</v>
      </c>
      <c r="B911" t="s">
        <v>48</v>
      </c>
      <c r="C911">
        <v>649163</v>
      </c>
      <c r="D911">
        <v>2027545459</v>
      </c>
      <c r="E911" t="s">
        <v>512</v>
      </c>
      <c r="F911" t="s">
        <v>513</v>
      </c>
      <c r="G911" t="s">
        <v>51</v>
      </c>
      <c r="H911" t="s">
        <v>102</v>
      </c>
      <c r="I911" t="s">
        <v>126</v>
      </c>
      <c r="J911" t="s">
        <v>375</v>
      </c>
      <c r="K911">
        <v>651818</v>
      </c>
      <c r="L911" t="s">
        <v>246</v>
      </c>
      <c r="M911" t="s">
        <v>247</v>
      </c>
      <c r="N911" t="s">
        <v>57</v>
      </c>
      <c r="O911" s="1">
        <v>45723</v>
      </c>
      <c r="Q911" s="1">
        <v>46029</v>
      </c>
      <c r="R911" s="2">
        <v>25</v>
      </c>
      <c r="S911">
        <v>1</v>
      </c>
      <c r="T911" t="s">
        <v>58</v>
      </c>
      <c r="U911" t="s">
        <v>59</v>
      </c>
      <c r="V911" s="4">
        <v>0.9</v>
      </c>
      <c r="W911" s="2">
        <v>0</v>
      </c>
      <c r="X911">
        <v>0</v>
      </c>
      <c r="Y911" t="s">
        <v>83</v>
      </c>
      <c r="Z911" t="s">
        <v>61</v>
      </c>
      <c r="AA911">
        <v>0</v>
      </c>
      <c r="AB911" s="2">
        <v>0</v>
      </c>
      <c r="AC911" s="2">
        <v>0</v>
      </c>
      <c r="AD911" s="4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22.5</v>
      </c>
      <c r="AN911" s="2">
        <v>22.5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45999</v>
      </c>
      <c r="B912" t="s">
        <v>48</v>
      </c>
      <c r="C912">
        <v>649163</v>
      </c>
      <c r="D912">
        <v>2027573958</v>
      </c>
      <c r="E912" t="s">
        <v>514</v>
      </c>
      <c r="F912" t="s">
        <v>411</v>
      </c>
      <c r="G912" t="s">
        <v>51</v>
      </c>
      <c r="H912" t="s">
        <v>515</v>
      </c>
      <c r="I912" t="s">
        <v>126</v>
      </c>
      <c r="J912" t="s">
        <v>132</v>
      </c>
      <c r="K912">
        <v>673059</v>
      </c>
      <c r="L912" t="s">
        <v>81</v>
      </c>
      <c r="M912" t="s">
        <v>82</v>
      </c>
      <c r="N912" t="s">
        <v>57</v>
      </c>
      <c r="O912" s="1">
        <v>45757</v>
      </c>
      <c r="Q912" s="1">
        <v>46032</v>
      </c>
      <c r="R912" s="2">
        <v>130.27000000000001</v>
      </c>
      <c r="S912">
        <v>1</v>
      </c>
      <c r="T912" t="s">
        <v>58</v>
      </c>
      <c r="U912" t="s">
        <v>59</v>
      </c>
      <c r="V912" s="4">
        <v>0.7</v>
      </c>
      <c r="W912" s="2">
        <v>0</v>
      </c>
      <c r="X912">
        <v>0</v>
      </c>
      <c r="Y912" t="s">
        <v>83</v>
      </c>
      <c r="Z912" t="s">
        <v>61</v>
      </c>
      <c r="AA912">
        <v>0</v>
      </c>
      <c r="AB912" s="2">
        <v>0</v>
      </c>
      <c r="AC912" s="2">
        <v>0</v>
      </c>
      <c r="AD912" s="4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91.19</v>
      </c>
      <c r="AN912" s="2">
        <v>91.19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45999</v>
      </c>
      <c r="B913" t="s">
        <v>48</v>
      </c>
      <c r="C913">
        <v>649163</v>
      </c>
      <c r="D913">
        <v>2027606915</v>
      </c>
      <c r="E913" t="s">
        <v>284</v>
      </c>
      <c r="F913" t="s">
        <v>285</v>
      </c>
      <c r="G913" t="s">
        <v>51</v>
      </c>
      <c r="H913" t="s">
        <v>102</v>
      </c>
      <c r="I913" t="s">
        <v>126</v>
      </c>
      <c r="J913" t="s">
        <v>132</v>
      </c>
      <c r="K913">
        <v>814033</v>
      </c>
      <c r="L913" t="s">
        <v>284</v>
      </c>
      <c r="M913" t="s">
        <v>285</v>
      </c>
      <c r="N913" t="s">
        <v>57</v>
      </c>
      <c r="O913" s="1">
        <v>45722</v>
      </c>
      <c r="Q913" s="1">
        <v>46028</v>
      </c>
      <c r="R913" s="2">
        <v>11.5</v>
      </c>
      <c r="S913">
        <v>1</v>
      </c>
      <c r="T913" t="s">
        <v>58</v>
      </c>
      <c r="U913" t="s">
        <v>59</v>
      </c>
      <c r="V913" s="4">
        <v>0.7</v>
      </c>
      <c r="W913" s="2">
        <v>0</v>
      </c>
      <c r="X913">
        <v>0</v>
      </c>
      <c r="Y913" t="s">
        <v>83</v>
      </c>
      <c r="Z913" t="s">
        <v>61</v>
      </c>
      <c r="AA913">
        <v>0</v>
      </c>
      <c r="AB913" s="2">
        <v>0</v>
      </c>
      <c r="AC913" s="2">
        <v>0</v>
      </c>
      <c r="AD913" s="4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8.0500000000000007</v>
      </c>
      <c r="AN913" s="2">
        <v>8.0500000000000007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45999</v>
      </c>
      <c r="B914" t="s">
        <v>48</v>
      </c>
      <c r="C914">
        <v>649163</v>
      </c>
      <c r="D914">
        <v>2027625564</v>
      </c>
      <c r="E914" t="s">
        <v>1111</v>
      </c>
      <c r="F914" t="s">
        <v>1112</v>
      </c>
      <c r="G914" t="s">
        <v>51</v>
      </c>
      <c r="H914" t="s">
        <v>102</v>
      </c>
      <c r="I914" t="s">
        <v>126</v>
      </c>
      <c r="J914" t="s">
        <v>132</v>
      </c>
      <c r="K914">
        <v>760902</v>
      </c>
      <c r="L914" t="s">
        <v>1113</v>
      </c>
      <c r="M914" t="s">
        <v>1114</v>
      </c>
      <c r="N914" t="s">
        <v>57</v>
      </c>
      <c r="O914" s="1">
        <v>45725</v>
      </c>
      <c r="Q914" s="1">
        <v>46031</v>
      </c>
      <c r="R914" s="2">
        <v>19</v>
      </c>
      <c r="S914">
        <v>1</v>
      </c>
      <c r="T914" t="s">
        <v>58</v>
      </c>
      <c r="U914" t="s">
        <v>59</v>
      </c>
      <c r="V914" s="4">
        <v>0.7</v>
      </c>
      <c r="W914" s="2">
        <v>0</v>
      </c>
      <c r="X914">
        <v>0</v>
      </c>
      <c r="Y914" t="s">
        <v>83</v>
      </c>
      <c r="Z914" t="s">
        <v>61</v>
      </c>
      <c r="AA914">
        <v>0</v>
      </c>
      <c r="AB914" s="2">
        <v>0</v>
      </c>
      <c r="AC914" s="2">
        <v>0</v>
      </c>
      <c r="AD914" s="4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13.3</v>
      </c>
      <c r="AN914" s="2">
        <v>13.3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45999</v>
      </c>
      <c r="B915" t="s">
        <v>48</v>
      </c>
      <c r="C915">
        <v>649163</v>
      </c>
      <c r="D915">
        <v>2027642346</v>
      </c>
      <c r="E915" t="s">
        <v>669</v>
      </c>
      <c r="F915" t="s">
        <v>670</v>
      </c>
      <c r="G915" t="s">
        <v>51</v>
      </c>
      <c r="H915" t="s">
        <v>256</v>
      </c>
      <c r="I915" t="s">
        <v>126</v>
      </c>
      <c r="J915" t="s">
        <v>127</v>
      </c>
      <c r="K915">
        <v>651818</v>
      </c>
      <c r="L915" t="s">
        <v>246</v>
      </c>
      <c r="M915" t="s">
        <v>247</v>
      </c>
      <c r="N915" t="s">
        <v>57</v>
      </c>
      <c r="O915" s="1">
        <v>45754</v>
      </c>
      <c r="Q915" s="1">
        <v>46029</v>
      </c>
      <c r="R915" s="2">
        <v>21.44</v>
      </c>
      <c r="S915">
        <v>1</v>
      </c>
      <c r="T915" t="s">
        <v>58</v>
      </c>
      <c r="U915" t="s">
        <v>59</v>
      </c>
      <c r="V915" s="4">
        <v>0.7</v>
      </c>
      <c r="W915" s="2">
        <v>0</v>
      </c>
      <c r="X915">
        <v>0</v>
      </c>
      <c r="Y915" t="s">
        <v>83</v>
      </c>
      <c r="Z915" t="s">
        <v>61</v>
      </c>
      <c r="AA915">
        <v>0</v>
      </c>
      <c r="AB915" s="2">
        <v>0</v>
      </c>
      <c r="AC915" s="2">
        <v>0</v>
      </c>
      <c r="AD915" s="4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15.01</v>
      </c>
      <c r="AN915" s="2">
        <v>15.01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45999</v>
      </c>
      <c r="B916" t="s">
        <v>48</v>
      </c>
      <c r="C916">
        <v>649163</v>
      </c>
      <c r="D916">
        <v>2027706490</v>
      </c>
      <c r="E916" t="s">
        <v>516</v>
      </c>
      <c r="F916" t="s">
        <v>517</v>
      </c>
      <c r="G916" t="s">
        <v>51</v>
      </c>
      <c r="H916" t="s">
        <v>102</v>
      </c>
      <c r="I916" t="s">
        <v>126</v>
      </c>
      <c r="J916" t="s">
        <v>132</v>
      </c>
      <c r="K916">
        <v>768887</v>
      </c>
      <c r="L916" t="s">
        <v>206</v>
      </c>
      <c r="M916" t="s">
        <v>207</v>
      </c>
      <c r="N916" t="s">
        <v>57</v>
      </c>
      <c r="O916" s="1">
        <v>45727</v>
      </c>
      <c r="Q916" s="1">
        <v>46033</v>
      </c>
      <c r="R916" s="2">
        <v>145.41999999999999</v>
      </c>
      <c r="S916">
        <v>1</v>
      </c>
      <c r="T916" t="s">
        <v>58</v>
      </c>
      <c r="U916" t="s">
        <v>59</v>
      </c>
      <c r="V916" s="4">
        <v>0.7</v>
      </c>
      <c r="W916" s="2">
        <v>0</v>
      </c>
      <c r="X916">
        <v>0</v>
      </c>
      <c r="Y916" t="s">
        <v>83</v>
      </c>
      <c r="Z916" t="s">
        <v>61</v>
      </c>
      <c r="AA916">
        <v>0</v>
      </c>
      <c r="AB916" s="2">
        <v>0</v>
      </c>
      <c r="AC916" s="2">
        <v>0</v>
      </c>
      <c r="AD916" s="4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101.79</v>
      </c>
      <c r="AN916" s="2">
        <v>101.79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45999</v>
      </c>
      <c r="B917" t="s">
        <v>48</v>
      </c>
      <c r="C917">
        <v>649163</v>
      </c>
      <c r="D917">
        <v>2027721564</v>
      </c>
      <c r="E917" t="s">
        <v>1115</v>
      </c>
      <c r="F917" t="s">
        <v>1116</v>
      </c>
      <c r="G917" t="s">
        <v>51</v>
      </c>
      <c r="H917" t="s">
        <v>102</v>
      </c>
      <c r="I917" t="s">
        <v>126</v>
      </c>
      <c r="J917" t="s">
        <v>132</v>
      </c>
      <c r="K917">
        <v>768887</v>
      </c>
      <c r="L917" t="s">
        <v>206</v>
      </c>
      <c r="M917" t="s">
        <v>207</v>
      </c>
      <c r="N917" t="s">
        <v>57</v>
      </c>
      <c r="O917" s="1">
        <v>45727</v>
      </c>
      <c r="Q917" s="1">
        <v>46033</v>
      </c>
      <c r="R917" s="2">
        <v>145.41999999999999</v>
      </c>
      <c r="S917">
        <v>1</v>
      </c>
      <c r="T917" t="s">
        <v>58</v>
      </c>
      <c r="U917" t="s">
        <v>59</v>
      </c>
      <c r="V917" s="4">
        <v>0.7</v>
      </c>
      <c r="W917" s="2">
        <v>0</v>
      </c>
      <c r="X917">
        <v>0</v>
      </c>
      <c r="Y917" t="s">
        <v>83</v>
      </c>
      <c r="Z917" t="s">
        <v>61</v>
      </c>
      <c r="AA917">
        <v>0</v>
      </c>
      <c r="AB917" s="2">
        <v>0</v>
      </c>
      <c r="AC917" s="2">
        <v>0</v>
      </c>
      <c r="AD917" s="4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101.79</v>
      </c>
      <c r="AN917" s="2">
        <v>101.79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45999</v>
      </c>
      <c r="B918" t="s">
        <v>48</v>
      </c>
      <c r="C918">
        <v>649163</v>
      </c>
      <c r="D918">
        <v>2027729457</v>
      </c>
      <c r="E918" t="s">
        <v>518</v>
      </c>
      <c r="F918" t="s">
        <v>519</v>
      </c>
      <c r="G918" t="s">
        <v>51</v>
      </c>
      <c r="H918" t="s">
        <v>102</v>
      </c>
      <c r="I918" t="s">
        <v>126</v>
      </c>
      <c r="J918" t="s">
        <v>132</v>
      </c>
      <c r="K918">
        <v>812782</v>
      </c>
      <c r="L918" t="s">
        <v>159</v>
      </c>
      <c r="M918" t="s">
        <v>160</v>
      </c>
      <c r="N918" t="s">
        <v>57</v>
      </c>
      <c r="O918" s="1">
        <v>45728</v>
      </c>
      <c r="Q918" s="1">
        <v>46034</v>
      </c>
      <c r="R918" s="2">
        <v>15.75</v>
      </c>
      <c r="S918">
        <v>1</v>
      </c>
      <c r="T918" t="s">
        <v>58</v>
      </c>
      <c r="U918" t="s">
        <v>59</v>
      </c>
      <c r="V918" s="4">
        <v>0.7</v>
      </c>
      <c r="W918" s="2">
        <v>0</v>
      </c>
      <c r="X918">
        <v>0</v>
      </c>
      <c r="Y918" t="s">
        <v>83</v>
      </c>
      <c r="Z918" t="s">
        <v>61</v>
      </c>
      <c r="AA918">
        <v>0</v>
      </c>
      <c r="AB918" s="2">
        <v>0</v>
      </c>
      <c r="AC918" s="2">
        <v>0</v>
      </c>
      <c r="AD918" s="4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11.02</v>
      </c>
      <c r="AN918" s="2">
        <v>11.02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45999</v>
      </c>
      <c r="B919" t="s">
        <v>48</v>
      </c>
      <c r="C919">
        <v>649163</v>
      </c>
      <c r="D919">
        <v>2027738389</v>
      </c>
      <c r="E919" t="s">
        <v>1117</v>
      </c>
      <c r="F919" t="s">
        <v>1118</v>
      </c>
      <c r="G919" t="s">
        <v>51</v>
      </c>
      <c r="H919" t="s">
        <v>357</v>
      </c>
      <c r="I919" t="s">
        <v>126</v>
      </c>
      <c r="J919" t="s">
        <v>132</v>
      </c>
      <c r="K919">
        <v>767312</v>
      </c>
      <c r="L919" t="s">
        <v>138</v>
      </c>
      <c r="M919" t="s">
        <v>107</v>
      </c>
      <c r="N919" t="s">
        <v>57</v>
      </c>
      <c r="O919" s="1">
        <v>45728</v>
      </c>
      <c r="Q919" s="1">
        <v>46034</v>
      </c>
      <c r="R919" s="2">
        <v>77.48</v>
      </c>
      <c r="S919">
        <v>1</v>
      </c>
      <c r="T919" t="s">
        <v>58</v>
      </c>
      <c r="U919" t="s">
        <v>59</v>
      </c>
      <c r="V919" s="4">
        <v>0.7</v>
      </c>
      <c r="W919" s="2">
        <v>0</v>
      </c>
      <c r="X919">
        <v>0</v>
      </c>
      <c r="Y919" t="s">
        <v>83</v>
      </c>
      <c r="Z919" t="s">
        <v>61</v>
      </c>
      <c r="AA919">
        <v>0</v>
      </c>
      <c r="AB919" s="2">
        <v>0</v>
      </c>
      <c r="AC919" s="2">
        <v>0</v>
      </c>
      <c r="AD919" s="4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54.24</v>
      </c>
      <c r="AN919" s="2">
        <v>54.24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45999</v>
      </c>
      <c r="B920" t="s">
        <v>48</v>
      </c>
      <c r="C920">
        <v>649163</v>
      </c>
      <c r="D920">
        <v>2027738390</v>
      </c>
      <c r="E920" t="s">
        <v>1117</v>
      </c>
      <c r="F920" t="s">
        <v>1118</v>
      </c>
      <c r="G920" t="s">
        <v>51</v>
      </c>
      <c r="H920" t="s">
        <v>357</v>
      </c>
      <c r="I920" t="s">
        <v>126</v>
      </c>
      <c r="J920" t="s">
        <v>375</v>
      </c>
      <c r="K920">
        <v>767312</v>
      </c>
      <c r="L920" t="s">
        <v>138</v>
      </c>
      <c r="M920" t="s">
        <v>107</v>
      </c>
      <c r="N920" t="s">
        <v>57</v>
      </c>
      <c r="O920" s="1">
        <v>45728</v>
      </c>
      <c r="Q920" s="1">
        <v>46034</v>
      </c>
      <c r="R920" s="2">
        <v>30.83</v>
      </c>
      <c r="S920">
        <v>1</v>
      </c>
      <c r="T920" t="s">
        <v>58</v>
      </c>
      <c r="U920" t="s">
        <v>59</v>
      </c>
      <c r="V920" s="4">
        <v>0.9</v>
      </c>
      <c r="W920" s="2">
        <v>0</v>
      </c>
      <c r="X920">
        <v>0</v>
      </c>
      <c r="Y920" t="s">
        <v>83</v>
      </c>
      <c r="Z920" t="s">
        <v>61</v>
      </c>
      <c r="AA920">
        <v>0</v>
      </c>
      <c r="AB920" s="2">
        <v>0</v>
      </c>
      <c r="AC920" s="2">
        <v>0</v>
      </c>
      <c r="AD920" s="4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27.75</v>
      </c>
      <c r="AN920" s="2">
        <v>27.75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45999</v>
      </c>
      <c r="B921" t="s">
        <v>48</v>
      </c>
      <c r="C921">
        <v>649163</v>
      </c>
      <c r="D921">
        <v>2027859846</v>
      </c>
      <c r="E921" t="s">
        <v>839</v>
      </c>
      <c r="F921" t="s">
        <v>303</v>
      </c>
      <c r="G921" t="s">
        <v>51</v>
      </c>
      <c r="H921" t="s">
        <v>389</v>
      </c>
      <c r="I921" t="s">
        <v>126</v>
      </c>
      <c r="J921" t="s">
        <v>375</v>
      </c>
      <c r="K921">
        <v>651818</v>
      </c>
      <c r="L921" t="s">
        <v>246</v>
      </c>
      <c r="M921" t="s">
        <v>247</v>
      </c>
      <c r="N921" t="s">
        <v>57</v>
      </c>
      <c r="O921" s="1">
        <v>45754</v>
      </c>
      <c r="Q921" s="1">
        <v>46029</v>
      </c>
      <c r="R921" s="2">
        <v>248.92</v>
      </c>
      <c r="S921">
        <v>1</v>
      </c>
      <c r="T921" t="s">
        <v>58</v>
      </c>
      <c r="U921" t="s">
        <v>59</v>
      </c>
      <c r="V921" s="4">
        <v>0.9</v>
      </c>
      <c r="W921" s="2">
        <v>0</v>
      </c>
      <c r="X921">
        <v>0</v>
      </c>
      <c r="Y921" t="s">
        <v>83</v>
      </c>
      <c r="Z921" t="s">
        <v>61</v>
      </c>
      <c r="AA921">
        <v>0</v>
      </c>
      <c r="AB921" s="2">
        <v>0</v>
      </c>
      <c r="AC921" s="2">
        <v>0</v>
      </c>
      <c r="AD921" s="4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224.03</v>
      </c>
      <c r="AN921" s="2">
        <v>224.03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45999</v>
      </c>
      <c r="B922" t="s">
        <v>48</v>
      </c>
      <c r="C922">
        <v>649163</v>
      </c>
      <c r="D922">
        <v>2027859847</v>
      </c>
      <c r="E922" t="s">
        <v>839</v>
      </c>
      <c r="F922" t="s">
        <v>303</v>
      </c>
      <c r="G922" t="s">
        <v>51</v>
      </c>
      <c r="H922" t="s">
        <v>389</v>
      </c>
      <c r="I922" t="s">
        <v>126</v>
      </c>
      <c r="J922" t="s">
        <v>132</v>
      </c>
      <c r="K922">
        <v>651818</v>
      </c>
      <c r="L922" t="s">
        <v>246</v>
      </c>
      <c r="M922" t="s">
        <v>247</v>
      </c>
      <c r="N922" t="s">
        <v>57</v>
      </c>
      <c r="O922" s="1">
        <v>45754</v>
      </c>
      <c r="Q922" s="1">
        <v>46029</v>
      </c>
      <c r="R922" s="2">
        <v>51</v>
      </c>
      <c r="S922">
        <v>1</v>
      </c>
      <c r="T922" t="s">
        <v>58</v>
      </c>
      <c r="U922" t="s">
        <v>59</v>
      </c>
      <c r="V922" s="4">
        <v>0.7</v>
      </c>
      <c r="W922" s="2">
        <v>0</v>
      </c>
      <c r="X922">
        <v>0</v>
      </c>
      <c r="Y922" t="s">
        <v>83</v>
      </c>
      <c r="Z922" t="s">
        <v>61</v>
      </c>
      <c r="AA922">
        <v>0</v>
      </c>
      <c r="AB922" s="2">
        <v>0</v>
      </c>
      <c r="AC922" s="2">
        <v>0</v>
      </c>
      <c r="AD922" s="4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35.700000000000003</v>
      </c>
      <c r="AN922" s="2">
        <v>35.700000000000003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45999</v>
      </c>
      <c r="B923" t="s">
        <v>48</v>
      </c>
      <c r="C923">
        <v>649163</v>
      </c>
      <c r="D923">
        <v>2027863479</v>
      </c>
      <c r="E923" t="s">
        <v>839</v>
      </c>
      <c r="F923" t="s">
        <v>840</v>
      </c>
      <c r="G923" t="s">
        <v>51</v>
      </c>
      <c r="H923" t="s">
        <v>389</v>
      </c>
      <c r="I923" t="s">
        <v>126</v>
      </c>
      <c r="J923" t="s">
        <v>375</v>
      </c>
      <c r="K923">
        <v>651818</v>
      </c>
      <c r="L923" t="s">
        <v>246</v>
      </c>
      <c r="M923" t="s">
        <v>247</v>
      </c>
      <c r="N923" t="s">
        <v>57</v>
      </c>
      <c r="O923" s="1">
        <v>45754</v>
      </c>
      <c r="Q923" s="1">
        <v>46029</v>
      </c>
      <c r="R923" s="2">
        <v>26.25</v>
      </c>
      <c r="S923">
        <v>1</v>
      </c>
      <c r="T923" t="s">
        <v>58</v>
      </c>
      <c r="U923" t="s">
        <v>59</v>
      </c>
      <c r="V923" s="4">
        <v>0.9</v>
      </c>
      <c r="W923" s="2">
        <v>0</v>
      </c>
      <c r="X923">
        <v>0</v>
      </c>
      <c r="Y923" t="s">
        <v>83</v>
      </c>
      <c r="Z923" t="s">
        <v>61</v>
      </c>
      <c r="AA923">
        <v>0</v>
      </c>
      <c r="AB923" s="2">
        <v>0</v>
      </c>
      <c r="AC923" s="2">
        <v>0</v>
      </c>
      <c r="AD923" s="4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23.62</v>
      </c>
      <c r="AN923" s="2">
        <v>23.62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45999</v>
      </c>
      <c r="B924" t="s">
        <v>48</v>
      </c>
      <c r="C924">
        <v>649163</v>
      </c>
      <c r="D924">
        <v>2027863480</v>
      </c>
      <c r="E924" t="s">
        <v>839</v>
      </c>
      <c r="F924" t="s">
        <v>840</v>
      </c>
      <c r="G924" t="s">
        <v>51</v>
      </c>
      <c r="H924" t="s">
        <v>389</v>
      </c>
      <c r="I924" t="s">
        <v>126</v>
      </c>
      <c r="J924" t="s">
        <v>132</v>
      </c>
      <c r="K924">
        <v>651818</v>
      </c>
      <c r="L924" t="s">
        <v>246</v>
      </c>
      <c r="M924" t="s">
        <v>247</v>
      </c>
      <c r="N924" t="s">
        <v>57</v>
      </c>
      <c r="O924" s="1">
        <v>45754</v>
      </c>
      <c r="Q924" s="1">
        <v>46029</v>
      </c>
      <c r="R924" s="2">
        <v>34</v>
      </c>
      <c r="S924">
        <v>1</v>
      </c>
      <c r="T924" t="s">
        <v>58</v>
      </c>
      <c r="U924" t="s">
        <v>59</v>
      </c>
      <c r="V924" s="4">
        <v>0.7</v>
      </c>
      <c r="W924" s="2">
        <v>0</v>
      </c>
      <c r="X924">
        <v>0</v>
      </c>
      <c r="Y924" t="s">
        <v>83</v>
      </c>
      <c r="Z924" t="s">
        <v>61</v>
      </c>
      <c r="AA924">
        <v>0</v>
      </c>
      <c r="AB924" s="2">
        <v>0</v>
      </c>
      <c r="AC924" s="2">
        <v>0</v>
      </c>
      <c r="AD924" s="4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23.8</v>
      </c>
      <c r="AN924" s="2">
        <v>23.8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45999</v>
      </c>
      <c r="B925" t="s">
        <v>48</v>
      </c>
      <c r="C925">
        <v>649163</v>
      </c>
      <c r="D925">
        <v>2027887271</v>
      </c>
      <c r="E925" t="s">
        <v>841</v>
      </c>
      <c r="F925" t="s">
        <v>82</v>
      </c>
      <c r="G925" t="s">
        <v>51</v>
      </c>
      <c r="H925" t="s">
        <v>389</v>
      </c>
      <c r="I925" t="s">
        <v>126</v>
      </c>
      <c r="J925" t="s">
        <v>375</v>
      </c>
      <c r="K925">
        <v>651818</v>
      </c>
      <c r="L925" t="s">
        <v>246</v>
      </c>
      <c r="M925" t="s">
        <v>247</v>
      </c>
      <c r="N925" t="s">
        <v>57</v>
      </c>
      <c r="O925" s="1">
        <v>45754</v>
      </c>
      <c r="Q925" s="1">
        <v>46029</v>
      </c>
      <c r="R925" s="2">
        <v>35.46</v>
      </c>
      <c r="S925">
        <v>1</v>
      </c>
      <c r="T925" t="s">
        <v>58</v>
      </c>
      <c r="U925" t="s">
        <v>59</v>
      </c>
      <c r="V925" s="4">
        <v>0.9</v>
      </c>
      <c r="W925" s="2">
        <v>0</v>
      </c>
      <c r="X925">
        <v>0</v>
      </c>
      <c r="Y925" t="s">
        <v>83</v>
      </c>
      <c r="Z925" t="s">
        <v>61</v>
      </c>
      <c r="AA925">
        <v>0</v>
      </c>
      <c r="AB925" s="2">
        <v>0</v>
      </c>
      <c r="AC925" s="2">
        <v>0</v>
      </c>
      <c r="AD925" s="4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31.91</v>
      </c>
      <c r="AN925" s="2">
        <v>31.91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45999</v>
      </c>
      <c r="B926" t="s">
        <v>48</v>
      </c>
      <c r="C926">
        <v>649163</v>
      </c>
      <c r="D926">
        <v>2027887272</v>
      </c>
      <c r="E926" t="s">
        <v>841</v>
      </c>
      <c r="F926" t="s">
        <v>82</v>
      </c>
      <c r="G926" t="s">
        <v>51</v>
      </c>
      <c r="H926" t="s">
        <v>389</v>
      </c>
      <c r="I926" t="s">
        <v>126</v>
      </c>
      <c r="J926" t="s">
        <v>132</v>
      </c>
      <c r="K926">
        <v>651818</v>
      </c>
      <c r="L926" t="s">
        <v>246</v>
      </c>
      <c r="M926" t="s">
        <v>247</v>
      </c>
      <c r="N926" t="s">
        <v>57</v>
      </c>
      <c r="O926" s="1">
        <v>45754</v>
      </c>
      <c r="Q926" s="1">
        <v>46029</v>
      </c>
      <c r="R926" s="2">
        <v>34</v>
      </c>
      <c r="S926">
        <v>1</v>
      </c>
      <c r="T926" t="s">
        <v>58</v>
      </c>
      <c r="U926" t="s">
        <v>59</v>
      </c>
      <c r="V926" s="4">
        <v>0.7</v>
      </c>
      <c r="W926" s="2">
        <v>0</v>
      </c>
      <c r="X926">
        <v>0</v>
      </c>
      <c r="Y926" t="s">
        <v>83</v>
      </c>
      <c r="Z926" t="s">
        <v>61</v>
      </c>
      <c r="AA926">
        <v>0</v>
      </c>
      <c r="AB926" s="2">
        <v>0</v>
      </c>
      <c r="AC926" s="2">
        <v>0</v>
      </c>
      <c r="AD926" s="4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23.8</v>
      </c>
      <c r="AN926" s="2">
        <v>23.8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45999</v>
      </c>
      <c r="B927" t="s">
        <v>48</v>
      </c>
      <c r="C927">
        <v>649163</v>
      </c>
      <c r="D927">
        <v>2027887273</v>
      </c>
      <c r="E927" t="s">
        <v>841</v>
      </c>
      <c r="F927" t="s">
        <v>82</v>
      </c>
      <c r="G927" t="s">
        <v>51</v>
      </c>
      <c r="H927" t="s">
        <v>389</v>
      </c>
      <c r="I927" t="s">
        <v>126</v>
      </c>
      <c r="J927" t="s">
        <v>402</v>
      </c>
      <c r="K927">
        <v>651818</v>
      </c>
      <c r="L927" t="s">
        <v>246</v>
      </c>
      <c r="M927" t="s">
        <v>247</v>
      </c>
      <c r="N927" t="s">
        <v>57</v>
      </c>
      <c r="O927" s="1">
        <v>45754</v>
      </c>
      <c r="Q927" s="1">
        <v>46029</v>
      </c>
      <c r="R927" s="2">
        <v>22.53</v>
      </c>
      <c r="S927">
        <v>1</v>
      </c>
      <c r="T927" t="s">
        <v>58</v>
      </c>
      <c r="U927" t="s">
        <v>59</v>
      </c>
      <c r="V927" s="4">
        <v>0.42</v>
      </c>
      <c r="W927" s="2">
        <v>0</v>
      </c>
      <c r="X927">
        <v>0</v>
      </c>
      <c r="Y927" t="s">
        <v>83</v>
      </c>
      <c r="Z927" t="s">
        <v>61</v>
      </c>
      <c r="AA927">
        <v>0</v>
      </c>
      <c r="AB927" s="2">
        <v>0</v>
      </c>
      <c r="AC927" s="2">
        <v>0</v>
      </c>
      <c r="AD927" s="4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9.4600000000000009</v>
      </c>
      <c r="AN927" s="2">
        <v>9.4600000000000009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45999</v>
      </c>
      <c r="B928" t="s">
        <v>48</v>
      </c>
      <c r="C928">
        <v>649163</v>
      </c>
      <c r="D928">
        <v>2028052818</v>
      </c>
      <c r="E928" t="s">
        <v>520</v>
      </c>
      <c r="F928" t="s">
        <v>521</v>
      </c>
      <c r="G928" t="s">
        <v>51</v>
      </c>
      <c r="H928" t="s">
        <v>97</v>
      </c>
      <c r="I928" t="s">
        <v>126</v>
      </c>
      <c r="J928" t="s">
        <v>132</v>
      </c>
      <c r="K928">
        <v>753748</v>
      </c>
      <c r="L928" t="s">
        <v>396</v>
      </c>
      <c r="M928" t="s">
        <v>397</v>
      </c>
      <c r="N928" t="s">
        <v>57</v>
      </c>
      <c r="O928" s="1">
        <v>45748</v>
      </c>
      <c r="Q928" s="1">
        <v>46023</v>
      </c>
      <c r="R928" s="2">
        <v>-163.43</v>
      </c>
      <c r="S928">
        <v>1</v>
      </c>
      <c r="T928" t="s">
        <v>58</v>
      </c>
      <c r="U928" t="s">
        <v>59</v>
      </c>
      <c r="V928" s="4">
        <v>0.7</v>
      </c>
      <c r="W928" s="2">
        <v>0</v>
      </c>
      <c r="X928">
        <v>-1</v>
      </c>
      <c r="Y928" t="s">
        <v>83</v>
      </c>
      <c r="Z928" t="s">
        <v>61</v>
      </c>
      <c r="AA928">
        <v>0</v>
      </c>
      <c r="AB928" s="2">
        <v>0</v>
      </c>
      <c r="AC928" s="2">
        <v>0</v>
      </c>
      <c r="AD928" s="4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-114.4</v>
      </c>
      <c r="AN928" s="2">
        <v>-114.4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45999</v>
      </c>
      <c r="B929" t="s">
        <v>48</v>
      </c>
      <c r="C929">
        <v>649163</v>
      </c>
      <c r="D929">
        <v>2028073917</v>
      </c>
      <c r="E929" t="s">
        <v>1119</v>
      </c>
      <c r="F929" t="s">
        <v>240</v>
      </c>
      <c r="G929" t="s">
        <v>51</v>
      </c>
      <c r="H929" t="s">
        <v>97</v>
      </c>
      <c r="I929" t="s">
        <v>126</v>
      </c>
      <c r="J929" t="s">
        <v>132</v>
      </c>
      <c r="K929">
        <v>822733</v>
      </c>
      <c r="L929" t="s">
        <v>224</v>
      </c>
      <c r="M929" t="s">
        <v>225</v>
      </c>
      <c r="N929" t="s">
        <v>57</v>
      </c>
      <c r="O929" s="1">
        <v>45754</v>
      </c>
      <c r="Q929" s="1">
        <v>46029</v>
      </c>
      <c r="R929" s="2">
        <v>129.22</v>
      </c>
      <c r="S929">
        <v>1</v>
      </c>
      <c r="T929" t="s">
        <v>58</v>
      </c>
      <c r="U929" t="s">
        <v>59</v>
      </c>
      <c r="V929" s="4">
        <v>0.7</v>
      </c>
      <c r="W929" s="2">
        <v>0</v>
      </c>
      <c r="X929">
        <v>0</v>
      </c>
      <c r="Y929" t="s">
        <v>83</v>
      </c>
      <c r="Z929" t="s">
        <v>61</v>
      </c>
      <c r="AA929">
        <v>0</v>
      </c>
      <c r="AB929" s="2">
        <v>0</v>
      </c>
      <c r="AC929" s="2">
        <v>0</v>
      </c>
      <c r="AD929" s="4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90.45</v>
      </c>
      <c r="AN929" s="2">
        <v>90.45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45999</v>
      </c>
      <c r="B930" t="s">
        <v>48</v>
      </c>
      <c r="C930">
        <v>649163</v>
      </c>
      <c r="D930">
        <v>2028076164</v>
      </c>
      <c r="E930" t="s">
        <v>90</v>
      </c>
      <c r="F930" t="s">
        <v>91</v>
      </c>
      <c r="G930" t="s">
        <v>51</v>
      </c>
      <c r="H930" t="s">
        <v>79</v>
      </c>
      <c r="I930" t="s">
        <v>126</v>
      </c>
      <c r="J930" t="s">
        <v>132</v>
      </c>
      <c r="K930">
        <v>821015</v>
      </c>
      <c r="L930" t="s">
        <v>92</v>
      </c>
      <c r="M930" t="s">
        <v>93</v>
      </c>
      <c r="N930" t="s">
        <v>94</v>
      </c>
      <c r="O930" s="1">
        <v>45748</v>
      </c>
      <c r="P930" s="1">
        <v>45992</v>
      </c>
      <c r="Q930" s="1">
        <v>46023</v>
      </c>
      <c r="R930" s="2">
        <v>-101.99</v>
      </c>
      <c r="S930">
        <v>1</v>
      </c>
      <c r="T930" t="s">
        <v>58</v>
      </c>
      <c r="U930" t="s">
        <v>59</v>
      </c>
      <c r="V930" s="4">
        <v>0.7</v>
      </c>
      <c r="W930" s="2">
        <v>0</v>
      </c>
      <c r="X930">
        <v>-1</v>
      </c>
      <c r="Y930" t="s">
        <v>83</v>
      </c>
      <c r="Z930" t="s">
        <v>61</v>
      </c>
      <c r="AA930">
        <v>0</v>
      </c>
      <c r="AB930" s="2">
        <v>0</v>
      </c>
      <c r="AC930" s="2">
        <v>0</v>
      </c>
      <c r="AD930" s="4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-71.39</v>
      </c>
      <c r="AN930" s="2">
        <v>-71.39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45999</v>
      </c>
      <c r="B931" t="s">
        <v>48</v>
      </c>
      <c r="C931">
        <v>649163</v>
      </c>
      <c r="D931">
        <v>2028108469</v>
      </c>
      <c r="E931" t="s">
        <v>842</v>
      </c>
      <c r="F931" t="s">
        <v>843</v>
      </c>
      <c r="G931" t="s">
        <v>51</v>
      </c>
      <c r="H931" t="s">
        <v>102</v>
      </c>
      <c r="I931" t="s">
        <v>126</v>
      </c>
      <c r="J931" t="s">
        <v>132</v>
      </c>
      <c r="K931">
        <v>651818</v>
      </c>
      <c r="L931" t="s">
        <v>246</v>
      </c>
      <c r="M931" t="s">
        <v>247</v>
      </c>
      <c r="N931" t="s">
        <v>57</v>
      </c>
      <c r="O931" s="1">
        <v>45754</v>
      </c>
      <c r="Q931" s="1">
        <v>46029</v>
      </c>
      <c r="R931" s="2">
        <v>198.36</v>
      </c>
      <c r="S931">
        <v>1</v>
      </c>
      <c r="T931" t="s">
        <v>58</v>
      </c>
      <c r="U931" t="s">
        <v>59</v>
      </c>
      <c r="V931" s="4">
        <v>0.7</v>
      </c>
      <c r="W931" s="2">
        <v>0</v>
      </c>
      <c r="X931">
        <v>0</v>
      </c>
      <c r="Y931" t="s">
        <v>83</v>
      </c>
      <c r="Z931" t="s">
        <v>61</v>
      </c>
      <c r="AA931">
        <v>0</v>
      </c>
      <c r="AB931" s="2">
        <v>0</v>
      </c>
      <c r="AC931" s="2">
        <v>0</v>
      </c>
      <c r="AD931" s="4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138.85</v>
      </c>
      <c r="AN931" s="2">
        <v>138.85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45999</v>
      </c>
      <c r="B932" t="s">
        <v>48</v>
      </c>
      <c r="C932">
        <v>649163</v>
      </c>
      <c r="D932">
        <v>2028143929</v>
      </c>
      <c r="E932" t="s">
        <v>1120</v>
      </c>
      <c r="F932" t="s">
        <v>1121</v>
      </c>
      <c r="G932" t="s">
        <v>51</v>
      </c>
      <c r="H932" t="s">
        <v>97</v>
      </c>
      <c r="I932" t="s">
        <v>126</v>
      </c>
      <c r="J932" t="s">
        <v>132</v>
      </c>
      <c r="K932">
        <v>822733</v>
      </c>
      <c r="L932" t="s">
        <v>224</v>
      </c>
      <c r="M932" t="s">
        <v>225</v>
      </c>
      <c r="N932" t="s">
        <v>57</v>
      </c>
      <c r="O932" s="1">
        <v>45754</v>
      </c>
      <c r="Q932" s="1">
        <v>46029</v>
      </c>
      <c r="R932" s="2">
        <v>48.76</v>
      </c>
      <c r="S932">
        <v>1</v>
      </c>
      <c r="T932" t="s">
        <v>58</v>
      </c>
      <c r="U932" t="s">
        <v>59</v>
      </c>
      <c r="V932" s="4">
        <v>0.7</v>
      </c>
      <c r="W932" s="2">
        <v>0</v>
      </c>
      <c r="X932">
        <v>0</v>
      </c>
      <c r="Y932" t="s">
        <v>83</v>
      </c>
      <c r="Z932" t="s">
        <v>61</v>
      </c>
      <c r="AA932">
        <v>0</v>
      </c>
      <c r="AB932" s="2">
        <v>0</v>
      </c>
      <c r="AC932" s="2">
        <v>0</v>
      </c>
      <c r="AD932" s="4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34.130000000000003</v>
      </c>
      <c r="AN932" s="2">
        <v>34.130000000000003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45999</v>
      </c>
      <c r="B933" t="s">
        <v>48</v>
      </c>
      <c r="C933">
        <v>649163</v>
      </c>
      <c r="D933">
        <v>2028174266</v>
      </c>
      <c r="E933" t="s">
        <v>266</v>
      </c>
      <c r="F933" t="s">
        <v>522</v>
      </c>
      <c r="G933" t="s">
        <v>51</v>
      </c>
      <c r="H933" t="s">
        <v>102</v>
      </c>
      <c r="I933" t="s">
        <v>126</v>
      </c>
      <c r="J933" t="s">
        <v>132</v>
      </c>
      <c r="K933">
        <v>843573</v>
      </c>
      <c r="L933" t="s">
        <v>253</v>
      </c>
      <c r="M933" t="s">
        <v>254</v>
      </c>
      <c r="N933" t="s">
        <v>57</v>
      </c>
      <c r="O933" s="1">
        <v>45758</v>
      </c>
      <c r="Q933" s="1">
        <v>46033</v>
      </c>
      <c r="R933" s="2">
        <v>19</v>
      </c>
      <c r="S933">
        <v>1</v>
      </c>
      <c r="T933" t="s">
        <v>58</v>
      </c>
      <c r="U933" t="s">
        <v>59</v>
      </c>
      <c r="V933" s="4">
        <v>0.7</v>
      </c>
      <c r="W933" s="2">
        <v>0</v>
      </c>
      <c r="X933">
        <v>0</v>
      </c>
      <c r="Y933" t="s">
        <v>83</v>
      </c>
      <c r="Z933" t="s">
        <v>61</v>
      </c>
      <c r="AA933">
        <v>0</v>
      </c>
      <c r="AB933" s="2">
        <v>0</v>
      </c>
      <c r="AC933" s="2">
        <v>0</v>
      </c>
      <c r="AD933" s="4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13.3</v>
      </c>
      <c r="AN933" s="2">
        <v>13.3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45999</v>
      </c>
      <c r="B934" t="s">
        <v>48</v>
      </c>
      <c r="C934">
        <v>649163</v>
      </c>
      <c r="D934">
        <v>2028192005</v>
      </c>
      <c r="E934" t="s">
        <v>523</v>
      </c>
      <c r="F934" t="s">
        <v>524</v>
      </c>
      <c r="G934" t="s">
        <v>51</v>
      </c>
      <c r="H934" t="s">
        <v>102</v>
      </c>
      <c r="I934" t="s">
        <v>126</v>
      </c>
      <c r="J934" t="s">
        <v>132</v>
      </c>
      <c r="K934">
        <v>840313</v>
      </c>
      <c r="L934" t="s">
        <v>525</v>
      </c>
      <c r="M934" t="s">
        <v>526</v>
      </c>
      <c r="N934" t="s">
        <v>57</v>
      </c>
      <c r="O934" s="1">
        <v>45755</v>
      </c>
      <c r="Q934" s="1">
        <v>46030</v>
      </c>
      <c r="R934" s="2">
        <v>15.75</v>
      </c>
      <c r="S934">
        <v>1</v>
      </c>
      <c r="T934" t="s">
        <v>58</v>
      </c>
      <c r="U934" t="s">
        <v>59</v>
      </c>
      <c r="V934" s="4">
        <v>0.7</v>
      </c>
      <c r="W934" s="2">
        <v>0</v>
      </c>
      <c r="X934">
        <v>0</v>
      </c>
      <c r="Y934" t="s">
        <v>83</v>
      </c>
      <c r="Z934" t="s">
        <v>61</v>
      </c>
      <c r="AA934">
        <v>0</v>
      </c>
      <c r="AB934" s="2">
        <v>0</v>
      </c>
      <c r="AC934" s="2">
        <v>0</v>
      </c>
      <c r="AD934" s="4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11.02</v>
      </c>
      <c r="AN934" s="2">
        <v>11.02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45999</v>
      </c>
      <c r="B935" t="s">
        <v>48</v>
      </c>
      <c r="C935">
        <v>649163</v>
      </c>
      <c r="D935">
        <v>2028248959</v>
      </c>
      <c r="E935" t="s">
        <v>1122</v>
      </c>
      <c r="F935" t="s">
        <v>63</v>
      </c>
      <c r="G935" t="s">
        <v>51</v>
      </c>
      <c r="H935" t="s">
        <v>97</v>
      </c>
      <c r="I935" t="s">
        <v>126</v>
      </c>
      <c r="J935" t="s">
        <v>375</v>
      </c>
      <c r="K935">
        <v>767312</v>
      </c>
      <c r="L935" t="s">
        <v>138</v>
      </c>
      <c r="M935" t="s">
        <v>107</v>
      </c>
      <c r="N935" t="s">
        <v>57</v>
      </c>
      <c r="O935" s="1">
        <v>45753</v>
      </c>
      <c r="Q935" s="1">
        <v>46028</v>
      </c>
      <c r="R935" s="2">
        <v>20.399999999999999</v>
      </c>
      <c r="S935">
        <v>1</v>
      </c>
      <c r="T935" t="s">
        <v>58</v>
      </c>
      <c r="U935" t="s">
        <v>59</v>
      </c>
      <c r="V935" s="4">
        <v>0.9</v>
      </c>
      <c r="W935" s="2">
        <v>0</v>
      </c>
      <c r="X935">
        <v>0</v>
      </c>
      <c r="Y935" t="s">
        <v>83</v>
      </c>
      <c r="Z935" t="s">
        <v>61</v>
      </c>
      <c r="AA935">
        <v>0</v>
      </c>
      <c r="AB935" s="2">
        <v>0</v>
      </c>
      <c r="AC935" s="2">
        <v>0</v>
      </c>
      <c r="AD935" s="4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18.36</v>
      </c>
      <c r="AN935" s="2">
        <v>18.36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45999</v>
      </c>
      <c r="B936" t="s">
        <v>48</v>
      </c>
      <c r="C936">
        <v>649163</v>
      </c>
      <c r="D936">
        <v>2028248979</v>
      </c>
      <c r="E936" t="s">
        <v>844</v>
      </c>
      <c r="F936" t="s">
        <v>144</v>
      </c>
      <c r="G936" t="s">
        <v>51</v>
      </c>
      <c r="H936" t="s">
        <v>135</v>
      </c>
      <c r="I936" t="s">
        <v>126</v>
      </c>
      <c r="J936" t="s">
        <v>132</v>
      </c>
      <c r="K936">
        <v>651818</v>
      </c>
      <c r="L936" t="s">
        <v>246</v>
      </c>
      <c r="M936" t="s">
        <v>247</v>
      </c>
      <c r="N936" t="s">
        <v>57</v>
      </c>
      <c r="O936" s="1">
        <v>45784</v>
      </c>
      <c r="Q936" s="1">
        <v>46029</v>
      </c>
      <c r="R936" s="2">
        <v>120.5</v>
      </c>
      <c r="S936">
        <v>1</v>
      </c>
      <c r="T936" t="s">
        <v>58</v>
      </c>
      <c r="U936" t="s">
        <v>59</v>
      </c>
      <c r="V936" s="4">
        <v>0.7</v>
      </c>
      <c r="W936" s="2">
        <v>0</v>
      </c>
      <c r="X936">
        <v>0</v>
      </c>
      <c r="Y936" t="s">
        <v>83</v>
      </c>
      <c r="Z936" t="s">
        <v>61</v>
      </c>
      <c r="AA936">
        <v>0</v>
      </c>
      <c r="AB936" s="2">
        <v>0</v>
      </c>
      <c r="AC936" s="2">
        <v>0</v>
      </c>
      <c r="AD936" s="4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84.35</v>
      </c>
      <c r="AN936" s="2">
        <v>84.35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45999</v>
      </c>
      <c r="B937" t="s">
        <v>48</v>
      </c>
      <c r="C937">
        <v>649163</v>
      </c>
      <c r="D937">
        <v>2028281048</v>
      </c>
      <c r="E937" t="s">
        <v>529</v>
      </c>
      <c r="F937" t="s">
        <v>530</v>
      </c>
      <c r="G937" t="s">
        <v>51</v>
      </c>
      <c r="H937" t="s">
        <v>102</v>
      </c>
      <c r="I937" t="s">
        <v>126</v>
      </c>
      <c r="J937" t="s">
        <v>132</v>
      </c>
      <c r="K937">
        <v>806645</v>
      </c>
      <c r="L937" t="s">
        <v>98</v>
      </c>
      <c r="M937" t="s">
        <v>99</v>
      </c>
      <c r="N937" t="s">
        <v>57</v>
      </c>
      <c r="O937" s="1">
        <v>45755</v>
      </c>
      <c r="Q937" s="1">
        <v>46030</v>
      </c>
      <c r="R937" s="2">
        <v>24.65</v>
      </c>
      <c r="S937">
        <v>1</v>
      </c>
      <c r="T937" t="s">
        <v>58</v>
      </c>
      <c r="U937" t="s">
        <v>59</v>
      </c>
      <c r="V937" s="4">
        <v>0.7</v>
      </c>
      <c r="W937" s="2">
        <v>0</v>
      </c>
      <c r="X937">
        <v>0</v>
      </c>
      <c r="Y937" t="s">
        <v>83</v>
      </c>
      <c r="Z937" t="s">
        <v>61</v>
      </c>
      <c r="AA937">
        <v>0</v>
      </c>
      <c r="AB937" s="2">
        <v>0</v>
      </c>
      <c r="AC937" s="2">
        <v>0</v>
      </c>
      <c r="AD937" s="4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17.260000000000002</v>
      </c>
      <c r="AN937" s="2">
        <v>17.260000000000002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45999</v>
      </c>
      <c r="B938" t="s">
        <v>48</v>
      </c>
      <c r="C938">
        <v>649163</v>
      </c>
      <c r="D938">
        <v>2028281147</v>
      </c>
      <c r="E938" t="s">
        <v>531</v>
      </c>
      <c r="F938" t="s">
        <v>65</v>
      </c>
      <c r="G938" t="s">
        <v>51</v>
      </c>
      <c r="H938" t="s">
        <v>200</v>
      </c>
      <c r="I938" t="s">
        <v>126</v>
      </c>
      <c r="J938" t="s">
        <v>132</v>
      </c>
      <c r="K938">
        <v>816021</v>
      </c>
      <c r="L938" t="s">
        <v>201</v>
      </c>
      <c r="M938" t="s">
        <v>202</v>
      </c>
      <c r="N938" t="s">
        <v>57</v>
      </c>
      <c r="O938" s="1">
        <v>45755</v>
      </c>
      <c r="Q938" s="1">
        <v>46030</v>
      </c>
      <c r="R938" s="2">
        <v>18.2</v>
      </c>
      <c r="S938">
        <v>1</v>
      </c>
      <c r="T938" t="s">
        <v>58</v>
      </c>
      <c r="U938" t="s">
        <v>59</v>
      </c>
      <c r="V938" s="4">
        <v>0.7</v>
      </c>
      <c r="W938" s="2">
        <v>0</v>
      </c>
      <c r="X938">
        <v>0</v>
      </c>
      <c r="Y938" t="s">
        <v>83</v>
      </c>
      <c r="Z938" t="s">
        <v>61</v>
      </c>
      <c r="AA938">
        <v>0</v>
      </c>
      <c r="AB938" s="2">
        <v>0</v>
      </c>
      <c r="AC938" s="2">
        <v>0</v>
      </c>
      <c r="AD938" s="4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12.74</v>
      </c>
      <c r="AN938" s="2">
        <v>12.74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45999</v>
      </c>
      <c r="B939" t="s">
        <v>48</v>
      </c>
      <c r="C939">
        <v>649163</v>
      </c>
      <c r="D939">
        <v>2028286563</v>
      </c>
      <c r="E939" t="s">
        <v>1123</v>
      </c>
      <c r="F939" t="s">
        <v>1124</v>
      </c>
      <c r="G939" t="s">
        <v>51</v>
      </c>
      <c r="H939" t="s">
        <v>102</v>
      </c>
      <c r="I939" t="s">
        <v>126</v>
      </c>
      <c r="J939" t="s">
        <v>132</v>
      </c>
      <c r="K939">
        <v>807212</v>
      </c>
      <c r="L939" t="s">
        <v>418</v>
      </c>
      <c r="M939" t="s">
        <v>419</v>
      </c>
      <c r="N939" t="s">
        <v>57</v>
      </c>
      <c r="O939" s="1">
        <v>45755</v>
      </c>
      <c r="Q939" s="1">
        <v>46030</v>
      </c>
      <c r="R939" s="2">
        <v>56.5</v>
      </c>
      <c r="S939">
        <v>1</v>
      </c>
      <c r="T939" t="s">
        <v>58</v>
      </c>
      <c r="U939" t="s">
        <v>59</v>
      </c>
      <c r="V939" s="4">
        <v>0.7</v>
      </c>
      <c r="W939" s="2">
        <v>0</v>
      </c>
      <c r="X939">
        <v>0</v>
      </c>
      <c r="Y939" t="s">
        <v>83</v>
      </c>
      <c r="Z939" t="s">
        <v>61</v>
      </c>
      <c r="AA939">
        <v>0</v>
      </c>
      <c r="AB939" s="2">
        <v>0</v>
      </c>
      <c r="AC939" s="2">
        <v>0</v>
      </c>
      <c r="AD939" s="4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39.549999999999997</v>
      </c>
      <c r="AN939" s="2">
        <v>39.549999999999997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45999</v>
      </c>
      <c r="B940" t="s">
        <v>48</v>
      </c>
      <c r="C940">
        <v>649163</v>
      </c>
      <c r="D940">
        <v>2028297704</v>
      </c>
      <c r="E940" t="s">
        <v>532</v>
      </c>
      <c r="F940" t="s">
        <v>533</v>
      </c>
      <c r="G940" t="s">
        <v>51</v>
      </c>
      <c r="H940" t="s">
        <v>79</v>
      </c>
      <c r="I940" t="s">
        <v>126</v>
      </c>
      <c r="J940" t="s">
        <v>132</v>
      </c>
      <c r="K940">
        <v>822865</v>
      </c>
      <c r="L940" t="s">
        <v>534</v>
      </c>
      <c r="M940" t="s">
        <v>535</v>
      </c>
      <c r="N940" t="s">
        <v>57</v>
      </c>
      <c r="O940" s="1">
        <v>45756</v>
      </c>
      <c r="Q940" s="1">
        <v>46031</v>
      </c>
      <c r="R940" s="2">
        <v>33.54</v>
      </c>
      <c r="S940">
        <v>1</v>
      </c>
      <c r="T940" t="s">
        <v>58</v>
      </c>
      <c r="U940" t="s">
        <v>59</v>
      </c>
      <c r="V940" s="4">
        <v>0.7</v>
      </c>
      <c r="W940" s="2">
        <v>0</v>
      </c>
      <c r="X940">
        <v>0</v>
      </c>
      <c r="Y940" t="s">
        <v>83</v>
      </c>
      <c r="Z940" t="s">
        <v>61</v>
      </c>
      <c r="AA940">
        <v>0</v>
      </c>
      <c r="AB940" s="2">
        <v>0</v>
      </c>
      <c r="AC940" s="2">
        <v>0</v>
      </c>
      <c r="AD940" s="4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23.48</v>
      </c>
      <c r="AN940" s="2">
        <v>23.48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45999</v>
      </c>
      <c r="B941" t="s">
        <v>48</v>
      </c>
      <c r="C941">
        <v>649163</v>
      </c>
      <c r="D941">
        <v>2028367116</v>
      </c>
      <c r="E941" t="s">
        <v>536</v>
      </c>
      <c r="F941" t="s">
        <v>537</v>
      </c>
      <c r="G941" t="s">
        <v>51</v>
      </c>
      <c r="H941" t="s">
        <v>79</v>
      </c>
      <c r="I941" t="s">
        <v>126</v>
      </c>
      <c r="J941" t="s">
        <v>132</v>
      </c>
      <c r="K941">
        <v>673059</v>
      </c>
      <c r="L941" t="s">
        <v>81</v>
      </c>
      <c r="M941" t="s">
        <v>82</v>
      </c>
      <c r="N941" t="s">
        <v>57</v>
      </c>
      <c r="O941" s="1">
        <v>45759</v>
      </c>
      <c r="Q941" s="1">
        <v>46034</v>
      </c>
      <c r="R941" s="2">
        <v>63.95</v>
      </c>
      <c r="S941">
        <v>1</v>
      </c>
      <c r="T941" t="s">
        <v>58</v>
      </c>
      <c r="U941" t="s">
        <v>59</v>
      </c>
      <c r="V941" s="4">
        <v>0.7</v>
      </c>
      <c r="W941" s="2">
        <v>0</v>
      </c>
      <c r="X941">
        <v>0</v>
      </c>
      <c r="Y941" t="s">
        <v>83</v>
      </c>
      <c r="Z941" t="s">
        <v>61</v>
      </c>
      <c r="AA941">
        <v>0</v>
      </c>
      <c r="AB941" s="2">
        <v>0</v>
      </c>
      <c r="AC941" s="2">
        <v>0</v>
      </c>
      <c r="AD941" s="4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44.76</v>
      </c>
      <c r="AN941" s="2">
        <v>44.76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45999</v>
      </c>
      <c r="B942" t="s">
        <v>48</v>
      </c>
      <c r="C942">
        <v>649163</v>
      </c>
      <c r="D942">
        <v>2028368523</v>
      </c>
      <c r="E942" t="s">
        <v>1125</v>
      </c>
      <c r="F942" t="s">
        <v>487</v>
      </c>
      <c r="G942" t="s">
        <v>51</v>
      </c>
      <c r="H942" t="s">
        <v>97</v>
      </c>
      <c r="I942" t="s">
        <v>126</v>
      </c>
      <c r="J942" t="s">
        <v>132</v>
      </c>
      <c r="K942">
        <v>822733</v>
      </c>
      <c r="L942" t="s">
        <v>224</v>
      </c>
      <c r="M942" t="s">
        <v>225</v>
      </c>
      <c r="N942" t="s">
        <v>57</v>
      </c>
      <c r="O942" s="1">
        <v>45784</v>
      </c>
      <c r="Q942" s="1">
        <v>46029</v>
      </c>
      <c r="R942" s="2">
        <v>48.76</v>
      </c>
      <c r="S942">
        <v>1</v>
      </c>
      <c r="T942" t="s">
        <v>58</v>
      </c>
      <c r="U942" t="s">
        <v>59</v>
      </c>
      <c r="V942" s="4">
        <v>0.7</v>
      </c>
      <c r="W942" s="2">
        <v>0</v>
      </c>
      <c r="X942">
        <v>0</v>
      </c>
      <c r="Y942" t="s">
        <v>83</v>
      </c>
      <c r="Z942" t="s">
        <v>61</v>
      </c>
      <c r="AA942">
        <v>0</v>
      </c>
      <c r="AB942" s="2">
        <v>0</v>
      </c>
      <c r="AC942" s="2">
        <v>0</v>
      </c>
      <c r="AD942" s="4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34.130000000000003</v>
      </c>
      <c r="AN942" s="2">
        <v>34.130000000000003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45999</v>
      </c>
      <c r="B943" t="s">
        <v>48</v>
      </c>
      <c r="C943">
        <v>649163</v>
      </c>
      <c r="D943">
        <v>2028412597</v>
      </c>
      <c r="E943" t="s">
        <v>845</v>
      </c>
      <c r="F943" t="s">
        <v>260</v>
      </c>
      <c r="G943" t="s">
        <v>51</v>
      </c>
      <c r="H943" t="s">
        <v>102</v>
      </c>
      <c r="I943" t="s">
        <v>126</v>
      </c>
      <c r="J943" t="s">
        <v>132</v>
      </c>
      <c r="K943">
        <v>651818</v>
      </c>
      <c r="L943" t="s">
        <v>246</v>
      </c>
      <c r="M943" t="s">
        <v>247</v>
      </c>
      <c r="N943" t="s">
        <v>57</v>
      </c>
      <c r="O943" s="1">
        <v>45784</v>
      </c>
      <c r="Q943" s="1">
        <v>46029</v>
      </c>
      <c r="R943" s="2">
        <v>80.14</v>
      </c>
      <c r="S943">
        <v>1</v>
      </c>
      <c r="T943" t="s">
        <v>58</v>
      </c>
      <c r="U943" t="s">
        <v>59</v>
      </c>
      <c r="V943" s="4">
        <v>0.7</v>
      </c>
      <c r="W943" s="2">
        <v>0</v>
      </c>
      <c r="X943">
        <v>0</v>
      </c>
      <c r="Y943" t="s">
        <v>83</v>
      </c>
      <c r="Z943" t="s">
        <v>61</v>
      </c>
      <c r="AA943">
        <v>0</v>
      </c>
      <c r="AB943" s="2">
        <v>0</v>
      </c>
      <c r="AC943" s="2">
        <v>0</v>
      </c>
      <c r="AD943" s="4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56.1</v>
      </c>
      <c r="AN943" s="2">
        <v>56.1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45999</v>
      </c>
      <c r="B944" t="s">
        <v>48</v>
      </c>
      <c r="C944">
        <v>649163</v>
      </c>
      <c r="D944">
        <v>2028436941</v>
      </c>
      <c r="E944" t="s">
        <v>670</v>
      </c>
      <c r="F944" t="s">
        <v>1126</v>
      </c>
      <c r="G944" t="s">
        <v>51</v>
      </c>
      <c r="H944" t="s">
        <v>620</v>
      </c>
      <c r="I944" t="s">
        <v>126</v>
      </c>
      <c r="J944" t="s">
        <v>132</v>
      </c>
      <c r="K944">
        <v>651818</v>
      </c>
      <c r="L944" t="s">
        <v>246</v>
      </c>
      <c r="M944" t="s">
        <v>247</v>
      </c>
      <c r="N944" t="s">
        <v>57</v>
      </c>
      <c r="O944" s="1">
        <v>45784</v>
      </c>
      <c r="Q944" s="1">
        <v>46029</v>
      </c>
      <c r="R944" s="2">
        <v>77.12</v>
      </c>
      <c r="S944">
        <v>1</v>
      </c>
      <c r="T944" t="s">
        <v>58</v>
      </c>
      <c r="U944" t="s">
        <v>59</v>
      </c>
      <c r="V944" s="4">
        <v>0.7</v>
      </c>
      <c r="W944" s="2">
        <v>0</v>
      </c>
      <c r="X944">
        <v>0</v>
      </c>
      <c r="Y944" t="s">
        <v>83</v>
      </c>
      <c r="Z944" t="s">
        <v>61</v>
      </c>
      <c r="AA944">
        <v>0</v>
      </c>
      <c r="AB944" s="2">
        <v>0</v>
      </c>
      <c r="AC944" s="2">
        <v>0</v>
      </c>
      <c r="AD944" s="4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53.98</v>
      </c>
      <c r="AN944" s="2">
        <v>53.98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45999</v>
      </c>
      <c r="B945" t="s">
        <v>48</v>
      </c>
      <c r="C945">
        <v>649163</v>
      </c>
      <c r="D945">
        <v>2028549154</v>
      </c>
      <c r="E945" t="s">
        <v>841</v>
      </c>
      <c r="F945" t="s">
        <v>537</v>
      </c>
      <c r="G945" t="s">
        <v>51</v>
      </c>
      <c r="H945" t="s">
        <v>389</v>
      </c>
      <c r="I945" t="s">
        <v>126</v>
      </c>
      <c r="J945" t="s">
        <v>375</v>
      </c>
      <c r="K945">
        <v>651818</v>
      </c>
      <c r="L945" t="s">
        <v>246</v>
      </c>
      <c r="M945" t="s">
        <v>247</v>
      </c>
      <c r="N945" t="s">
        <v>57</v>
      </c>
      <c r="O945" s="1">
        <v>45784</v>
      </c>
      <c r="Q945" s="1">
        <v>46029</v>
      </c>
      <c r="R945" s="2">
        <v>26.25</v>
      </c>
      <c r="S945">
        <v>1</v>
      </c>
      <c r="T945" t="s">
        <v>58</v>
      </c>
      <c r="U945" t="s">
        <v>59</v>
      </c>
      <c r="V945" s="4">
        <v>0.9</v>
      </c>
      <c r="W945" s="2">
        <v>0</v>
      </c>
      <c r="X945">
        <v>0</v>
      </c>
      <c r="Y945" t="s">
        <v>83</v>
      </c>
      <c r="Z945" t="s">
        <v>61</v>
      </c>
      <c r="AA945">
        <v>0</v>
      </c>
      <c r="AB945" s="2">
        <v>0</v>
      </c>
      <c r="AC945" s="2">
        <v>0</v>
      </c>
      <c r="AD945" s="4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23.62</v>
      </c>
      <c r="AN945" s="2">
        <v>23.62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45999</v>
      </c>
      <c r="B946" t="s">
        <v>48</v>
      </c>
      <c r="C946">
        <v>649163</v>
      </c>
      <c r="D946">
        <v>2028572869</v>
      </c>
      <c r="E946" t="s">
        <v>390</v>
      </c>
      <c r="F946" t="s">
        <v>229</v>
      </c>
      <c r="G946" t="s">
        <v>51</v>
      </c>
      <c r="H946" t="s">
        <v>509</v>
      </c>
      <c r="I946" t="s">
        <v>126</v>
      </c>
      <c r="J946" t="s">
        <v>132</v>
      </c>
      <c r="K946">
        <v>753748</v>
      </c>
      <c r="L946" t="s">
        <v>396</v>
      </c>
      <c r="M946" t="s">
        <v>397</v>
      </c>
      <c r="N946" t="s">
        <v>57</v>
      </c>
      <c r="O946" s="1">
        <v>45778</v>
      </c>
      <c r="Q946" s="1">
        <v>46023</v>
      </c>
      <c r="R946" s="2">
        <v>-46.17</v>
      </c>
      <c r="S946">
        <v>1</v>
      </c>
      <c r="T946" t="s">
        <v>58</v>
      </c>
      <c r="U946" t="s">
        <v>59</v>
      </c>
      <c r="V946" s="4">
        <v>0.7</v>
      </c>
      <c r="W946" s="2">
        <v>0</v>
      </c>
      <c r="X946">
        <v>-1</v>
      </c>
      <c r="Y946" t="s">
        <v>83</v>
      </c>
      <c r="Z946" t="s">
        <v>61</v>
      </c>
      <c r="AA946">
        <v>0</v>
      </c>
      <c r="AB946" s="2">
        <v>0</v>
      </c>
      <c r="AC946" s="2">
        <v>0</v>
      </c>
      <c r="AD946" s="4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-32.32</v>
      </c>
      <c r="AN946" s="2">
        <v>-32.32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45999</v>
      </c>
      <c r="B947" t="s">
        <v>48</v>
      </c>
      <c r="C947">
        <v>649163</v>
      </c>
      <c r="D947">
        <v>2028582349</v>
      </c>
      <c r="E947" t="s">
        <v>484</v>
      </c>
      <c r="F947" t="s">
        <v>1127</v>
      </c>
      <c r="G947" t="s">
        <v>51</v>
      </c>
      <c r="H947" t="s">
        <v>102</v>
      </c>
      <c r="I947" t="s">
        <v>126</v>
      </c>
      <c r="J947" t="s">
        <v>132</v>
      </c>
      <c r="K947">
        <v>821015</v>
      </c>
      <c r="L947" t="s">
        <v>92</v>
      </c>
      <c r="M947" t="s">
        <v>93</v>
      </c>
      <c r="N947" t="s">
        <v>57</v>
      </c>
      <c r="O947" s="1">
        <v>45784</v>
      </c>
      <c r="Q947" s="1">
        <v>46029</v>
      </c>
      <c r="R947" s="2">
        <v>77.52</v>
      </c>
      <c r="S947">
        <v>1</v>
      </c>
      <c r="T947" t="s">
        <v>58</v>
      </c>
      <c r="U947" t="s">
        <v>59</v>
      </c>
      <c r="V947" s="4">
        <v>0.7</v>
      </c>
      <c r="W947" s="2">
        <v>0</v>
      </c>
      <c r="X947">
        <v>0</v>
      </c>
      <c r="Y947" t="s">
        <v>83</v>
      </c>
      <c r="Z947" t="s">
        <v>61</v>
      </c>
      <c r="AA947">
        <v>0</v>
      </c>
      <c r="AB947" s="2">
        <v>0</v>
      </c>
      <c r="AC947" s="2">
        <v>0</v>
      </c>
      <c r="AD947" s="4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54.26</v>
      </c>
      <c r="AN947" s="2">
        <v>54.26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45999</v>
      </c>
      <c r="B948" t="s">
        <v>48</v>
      </c>
      <c r="C948">
        <v>649163</v>
      </c>
      <c r="D948">
        <v>2028683415</v>
      </c>
      <c r="E948" t="s">
        <v>538</v>
      </c>
      <c r="F948" t="s">
        <v>538</v>
      </c>
      <c r="G948" t="s">
        <v>51</v>
      </c>
      <c r="H948" t="s">
        <v>102</v>
      </c>
      <c r="I948" t="s">
        <v>126</v>
      </c>
      <c r="J948" t="s">
        <v>132</v>
      </c>
      <c r="K948">
        <v>824076</v>
      </c>
      <c r="L948" t="s">
        <v>213</v>
      </c>
      <c r="M948" t="s">
        <v>214</v>
      </c>
      <c r="N948" t="s">
        <v>57</v>
      </c>
      <c r="O948" s="1">
        <v>45778</v>
      </c>
      <c r="Q948" s="1">
        <v>46023</v>
      </c>
      <c r="R948" s="2">
        <v>56.62</v>
      </c>
      <c r="S948">
        <v>1</v>
      </c>
      <c r="T948" t="s">
        <v>58</v>
      </c>
      <c r="U948" t="s">
        <v>59</v>
      </c>
      <c r="V948" s="4">
        <v>0.7</v>
      </c>
      <c r="W948" s="2">
        <v>0</v>
      </c>
      <c r="X948">
        <v>0</v>
      </c>
      <c r="Y948" t="s">
        <v>83</v>
      </c>
      <c r="Z948" t="s">
        <v>61</v>
      </c>
      <c r="AA948">
        <v>0</v>
      </c>
      <c r="AB948" s="2">
        <v>0</v>
      </c>
      <c r="AC948" s="2">
        <v>0</v>
      </c>
      <c r="AD948" s="4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39.630000000000003</v>
      </c>
      <c r="AN948" s="2">
        <v>39.630000000000003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45999</v>
      </c>
      <c r="B949" t="s">
        <v>48</v>
      </c>
      <c r="C949">
        <v>649163</v>
      </c>
      <c r="D949">
        <v>2028773700</v>
      </c>
      <c r="E949" t="s">
        <v>847</v>
      </c>
      <c r="F949" t="s">
        <v>82</v>
      </c>
      <c r="G949" t="s">
        <v>51</v>
      </c>
      <c r="H949" t="s">
        <v>389</v>
      </c>
      <c r="I949" t="s">
        <v>126</v>
      </c>
      <c r="J949" t="s">
        <v>375</v>
      </c>
      <c r="K949">
        <v>651818</v>
      </c>
      <c r="L949" t="s">
        <v>246</v>
      </c>
      <c r="M949" t="s">
        <v>247</v>
      </c>
      <c r="N949" t="s">
        <v>57</v>
      </c>
      <c r="O949" s="1">
        <v>45815</v>
      </c>
      <c r="Q949" s="1">
        <v>46029</v>
      </c>
      <c r="R949" s="2">
        <v>33.25</v>
      </c>
      <c r="S949">
        <v>1</v>
      </c>
      <c r="T949" t="s">
        <v>58</v>
      </c>
      <c r="U949" t="s">
        <v>59</v>
      </c>
      <c r="V949" s="4">
        <v>0.9</v>
      </c>
      <c r="W949" s="2">
        <v>0</v>
      </c>
      <c r="X949">
        <v>0</v>
      </c>
      <c r="Y949" t="s">
        <v>83</v>
      </c>
      <c r="Z949" t="s">
        <v>61</v>
      </c>
      <c r="AA949">
        <v>0</v>
      </c>
      <c r="AB949" s="2">
        <v>0</v>
      </c>
      <c r="AC949" s="2">
        <v>0</v>
      </c>
      <c r="AD949" s="4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29.92</v>
      </c>
      <c r="AN949" s="2">
        <v>29.92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45999</v>
      </c>
      <c r="B950" t="s">
        <v>48</v>
      </c>
      <c r="C950">
        <v>649163</v>
      </c>
      <c r="D950">
        <v>2028777167</v>
      </c>
      <c r="E950" t="s">
        <v>848</v>
      </c>
      <c r="F950" t="s">
        <v>849</v>
      </c>
      <c r="G950" t="s">
        <v>51</v>
      </c>
      <c r="H950" t="s">
        <v>200</v>
      </c>
      <c r="I950" t="s">
        <v>126</v>
      </c>
      <c r="J950" t="s">
        <v>132</v>
      </c>
      <c r="K950">
        <v>816021</v>
      </c>
      <c r="L950" t="s">
        <v>201</v>
      </c>
      <c r="M950" t="s">
        <v>202</v>
      </c>
      <c r="N950" t="s">
        <v>57</v>
      </c>
      <c r="O950" s="1">
        <v>45783</v>
      </c>
      <c r="Q950" s="1">
        <v>46028</v>
      </c>
      <c r="R950" s="2">
        <v>18.2</v>
      </c>
      <c r="S950">
        <v>1</v>
      </c>
      <c r="T950" t="s">
        <v>58</v>
      </c>
      <c r="U950" t="s">
        <v>59</v>
      </c>
      <c r="V950" s="4">
        <v>0.7</v>
      </c>
      <c r="W950" s="2">
        <v>0</v>
      </c>
      <c r="X950">
        <v>0</v>
      </c>
      <c r="Y950" t="s">
        <v>83</v>
      </c>
      <c r="Z950" t="s">
        <v>61</v>
      </c>
      <c r="AA950">
        <v>0</v>
      </c>
      <c r="AB950" s="2">
        <v>0</v>
      </c>
      <c r="AC950" s="2">
        <v>0</v>
      </c>
      <c r="AD950" s="4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12.74</v>
      </c>
      <c r="AN950" s="2">
        <v>12.74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45999</v>
      </c>
      <c r="B951" t="s">
        <v>48</v>
      </c>
      <c r="C951">
        <v>649163</v>
      </c>
      <c r="D951">
        <v>2028781143</v>
      </c>
      <c r="E951" t="s">
        <v>1128</v>
      </c>
      <c r="F951" t="s">
        <v>1129</v>
      </c>
      <c r="G951" t="s">
        <v>51</v>
      </c>
      <c r="H951" t="s">
        <v>102</v>
      </c>
      <c r="I951" t="s">
        <v>126</v>
      </c>
      <c r="J951" t="s">
        <v>375</v>
      </c>
      <c r="K951">
        <v>807212</v>
      </c>
      <c r="L951" t="s">
        <v>418</v>
      </c>
      <c r="M951" t="s">
        <v>419</v>
      </c>
      <c r="N951" t="s">
        <v>57</v>
      </c>
      <c r="O951" s="1">
        <v>45783</v>
      </c>
      <c r="Q951" s="1">
        <v>46028</v>
      </c>
      <c r="R951" s="2">
        <v>25.29</v>
      </c>
      <c r="S951">
        <v>1</v>
      </c>
      <c r="T951" t="s">
        <v>58</v>
      </c>
      <c r="U951" t="s">
        <v>59</v>
      </c>
      <c r="V951" s="4">
        <v>0.9</v>
      </c>
      <c r="W951" s="2">
        <v>0</v>
      </c>
      <c r="X951">
        <v>0</v>
      </c>
      <c r="Y951" t="s">
        <v>83</v>
      </c>
      <c r="Z951" t="s">
        <v>61</v>
      </c>
      <c r="AA951">
        <v>0</v>
      </c>
      <c r="AB951" s="2">
        <v>0</v>
      </c>
      <c r="AC951" s="2">
        <v>0</v>
      </c>
      <c r="AD951" s="4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22.76</v>
      </c>
      <c r="AN951" s="2">
        <v>22.76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45999</v>
      </c>
      <c r="B952" t="s">
        <v>48</v>
      </c>
      <c r="C952">
        <v>649163</v>
      </c>
      <c r="D952">
        <v>2028792968</v>
      </c>
      <c r="E952" t="s">
        <v>504</v>
      </c>
      <c r="F952" t="s">
        <v>182</v>
      </c>
      <c r="G952" t="s">
        <v>51</v>
      </c>
      <c r="H952" t="s">
        <v>102</v>
      </c>
      <c r="I952" t="s">
        <v>126</v>
      </c>
      <c r="J952" t="s">
        <v>132</v>
      </c>
      <c r="K952">
        <v>766747</v>
      </c>
      <c r="L952" t="s">
        <v>504</v>
      </c>
      <c r="M952" t="s">
        <v>182</v>
      </c>
      <c r="N952" t="s">
        <v>57</v>
      </c>
      <c r="O952" s="1">
        <v>45784</v>
      </c>
      <c r="Q952" s="1">
        <v>46029</v>
      </c>
      <c r="R952" s="2">
        <v>33.119999999999997</v>
      </c>
      <c r="S952">
        <v>1</v>
      </c>
      <c r="T952" t="s">
        <v>58</v>
      </c>
      <c r="U952" t="s">
        <v>59</v>
      </c>
      <c r="V952" s="4">
        <v>0.7</v>
      </c>
      <c r="W952" s="2">
        <v>0</v>
      </c>
      <c r="X952">
        <v>0</v>
      </c>
      <c r="Y952" t="s">
        <v>83</v>
      </c>
      <c r="Z952" t="s">
        <v>61</v>
      </c>
      <c r="AA952">
        <v>0</v>
      </c>
      <c r="AB952" s="2">
        <v>0</v>
      </c>
      <c r="AC952" s="2">
        <v>0</v>
      </c>
      <c r="AD952" s="4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23.18</v>
      </c>
      <c r="AN952" s="2">
        <v>23.18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45999</v>
      </c>
      <c r="B953" t="s">
        <v>48</v>
      </c>
      <c r="C953">
        <v>649163</v>
      </c>
      <c r="D953">
        <v>2028818487</v>
      </c>
      <c r="E953" t="s">
        <v>1130</v>
      </c>
      <c r="F953" t="s">
        <v>1030</v>
      </c>
      <c r="G953" t="s">
        <v>51</v>
      </c>
      <c r="H953" t="s">
        <v>102</v>
      </c>
      <c r="I953" t="s">
        <v>126</v>
      </c>
      <c r="J953" t="s">
        <v>132</v>
      </c>
      <c r="K953">
        <v>856163</v>
      </c>
      <c r="L953" t="s">
        <v>257</v>
      </c>
      <c r="M953" t="s">
        <v>426</v>
      </c>
      <c r="N953" t="s">
        <v>57</v>
      </c>
      <c r="O953" s="1">
        <v>45785</v>
      </c>
      <c r="Q953" s="1">
        <v>46030</v>
      </c>
      <c r="R953" s="2">
        <v>24.65</v>
      </c>
      <c r="S953">
        <v>1</v>
      </c>
      <c r="T953" t="s">
        <v>58</v>
      </c>
      <c r="U953" t="s">
        <v>59</v>
      </c>
      <c r="V953" s="4">
        <v>0.7</v>
      </c>
      <c r="W953" s="2">
        <v>0</v>
      </c>
      <c r="X953">
        <v>0</v>
      </c>
      <c r="Y953" t="s">
        <v>83</v>
      </c>
      <c r="Z953" t="s">
        <v>61</v>
      </c>
      <c r="AA953">
        <v>0</v>
      </c>
      <c r="AB953" s="2">
        <v>0</v>
      </c>
      <c r="AC953" s="2">
        <v>0</v>
      </c>
      <c r="AD953" s="4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17.260000000000002</v>
      </c>
      <c r="AN953" s="2">
        <v>17.260000000000002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45999</v>
      </c>
      <c r="B954" t="s">
        <v>48</v>
      </c>
      <c r="C954">
        <v>649163</v>
      </c>
      <c r="D954">
        <v>2028819908</v>
      </c>
      <c r="E954" t="s">
        <v>545</v>
      </c>
      <c r="F954" t="s">
        <v>546</v>
      </c>
      <c r="G954" t="s">
        <v>51</v>
      </c>
      <c r="H954" t="s">
        <v>52</v>
      </c>
      <c r="I954" t="s">
        <v>126</v>
      </c>
      <c r="J954" t="s">
        <v>127</v>
      </c>
      <c r="K954">
        <v>650218</v>
      </c>
      <c r="L954" t="s">
        <v>88</v>
      </c>
      <c r="M954" t="s">
        <v>89</v>
      </c>
      <c r="N954" t="s">
        <v>57</v>
      </c>
      <c r="O954" s="1">
        <v>45785</v>
      </c>
      <c r="Q954" s="1">
        <v>46030</v>
      </c>
      <c r="R954" s="2">
        <v>25.73</v>
      </c>
      <c r="S954">
        <v>1</v>
      </c>
      <c r="T954" t="s">
        <v>58</v>
      </c>
      <c r="U954" t="s">
        <v>59</v>
      </c>
      <c r="V954" s="4">
        <v>0.7</v>
      </c>
      <c r="W954" s="2">
        <v>0</v>
      </c>
      <c r="X954">
        <v>0</v>
      </c>
      <c r="Y954" t="s">
        <v>83</v>
      </c>
      <c r="Z954" t="s">
        <v>61</v>
      </c>
      <c r="AA954">
        <v>0</v>
      </c>
      <c r="AB954" s="2">
        <v>0</v>
      </c>
      <c r="AC954" s="2">
        <v>0</v>
      </c>
      <c r="AD954" s="4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18.010000000000002</v>
      </c>
      <c r="AN954" s="2">
        <v>18.010000000000002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45999</v>
      </c>
      <c r="B955" t="s">
        <v>48</v>
      </c>
      <c r="C955">
        <v>649163</v>
      </c>
      <c r="D955">
        <v>2028982416</v>
      </c>
      <c r="E955" t="s">
        <v>1131</v>
      </c>
      <c r="F955" t="s">
        <v>1030</v>
      </c>
      <c r="G955" t="s">
        <v>51</v>
      </c>
      <c r="H955" t="s">
        <v>102</v>
      </c>
      <c r="I955" t="s">
        <v>126</v>
      </c>
      <c r="J955" t="s">
        <v>132</v>
      </c>
      <c r="K955">
        <v>651818</v>
      </c>
      <c r="L955" t="s">
        <v>246</v>
      </c>
      <c r="M955" t="s">
        <v>247</v>
      </c>
      <c r="N955" t="s">
        <v>57</v>
      </c>
      <c r="O955" s="1">
        <v>45815</v>
      </c>
      <c r="Q955" s="1">
        <v>46029</v>
      </c>
      <c r="R955" s="2">
        <v>101.38</v>
      </c>
      <c r="S955">
        <v>1</v>
      </c>
      <c r="T955" t="s">
        <v>58</v>
      </c>
      <c r="U955" t="s">
        <v>59</v>
      </c>
      <c r="V955" s="4">
        <v>0.7</v>
      </c>
      <c r="W955" s="2">
        <v>0</v>
      </c>
      <c r="X955">
        <v>0</v>
      </c>
      <c r="Y955" t="s">
        <v>83</v>
      </c>
      <c r="Z955" t="s">
        <v>61</v>
      </c>
      <c r="AA955">
        <v>0</v>
      </c>
      <c r="AB955" s="2">
        <v>0</v>
      </c>
      <c r="AC955" s="2">
        <v>0</v>
      </c>
      <c r="AD955" s="4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70.97</v>
      </c>
      <c r="AN955" s="2">
        <v>70.97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45999</v>
      </c>
      <c r="B956" t="s">
        <v>48</v>
      </c>
      <c r="C956">
        <v>649163</v>
      </c>
      <c r="D956">
        <v>2028982417</v>
      </c>
      <c r="E956" t="s">
        <v>1131</v>
      </c>
      <c r="F956" t="s">
        <v>1030</v>
      </c>
      <c r="G956" t="s">
        <v>51</v>
      </c>
      <c r="H956" t="s">
        <v>102</v>
      </c>
      <c r="I956" t="s">
        <v>126</v>
      </c>
      <c r="J956" t="s">
        <v>375</v>
      </c>
      <c r="K956">
        <v>651818</v>
      </c>
      <c r="L956" t="s">
        <v>246</v>
      </c>
      <c r="M956" t="s">
        <v>247</v>
      </c>
      <c r="N956" t="s">
        <v>57</v>
      </c>
      <c r="O956" s="1">
        <v>45815</v>
      </c>
      <c r="Q956" s="1">
        <v>46029</v>
      </c>
      <c r="R956" s="2">
        <v>146.88</v>
      </c>
      <c r="S956">
        <v>1</v>
      </c>
      <c r="T956" t="s">
        <v>58</v>
      </c>
      <c r="U956" t="s">
        <v>59</v>
      </c>
      <c r="V956" s="4">
        <v>0.9</v>
      </c>
      <c r="W956" s="2">
        <v>0</v>
      </c>
      <c r="X956">
        <v>0</v>
      </c>
      <c r="Y956" t="s">
        <v>83</v>
      </c>
      <c r="Z956" t="s">
        <v>61</v>
      </c>
      <c r="AA956">
        <v>0</v>
      </c>
      <c r="AB956" s="2">
        <v>0</v>
      </c>
      <c r="AC956" s="2">
        <v>0</v>
      </c>
      <c r="AD956" s="4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132.19</v>
      </c>
      <c r="AN956" s="2">
        <v>132.19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45999</v>
      </c>
      <c r="B957" t="s">
        <v>48</v>
      </c>
      <c r="C957">
        <v>649163</v>
      </c>
      <c r="D957">
        <v>2029031423</v>
      </c>
      <c r="E957" t="s">
        <v>852</v>
      </c>
      <c r="F957" t="s">
        <v>853</v>
      </c>
      <c r="G957" t="s">
        <v>51</v>
      </c>
      <c r="H957" t="s">
        <v>374</v>
      </c>
      <c r="I957" t="s">
        <v>126</v>
      </c>
      <c r="J957" t="s">
        <v>132</v>
      </c>
      <c r="K957">
        <v>651818</v>
      </c>
      <c r="L957" t="s">
        <v>246</v>
      </c>
      <c r="M957" t="s">
        <v>247</v>
      </c>
      <c r="N957" t="s">
        <v>57</v>
      </c>
      <c r="O957" s="1">
        <v>45815</v>
      </c>
      <c r="Q957" s="1">
        <v>46029</v>
      </c>
      <c r="R957" s="2">
        <v>103.5</v>
      </c>
      <c r="S957">
        <v>1</v>
      </c>
      <c r="T957" t="s">
        <v>58</v>
      </c>
      <c r="U957" t="s">
        <v>59</v>
      </c>
      <c r="V957" s="4">
        <v>0.7</v>
      </c>
      <c r="W957" s="2">
        <v>0</v>
      </c>
      <c r="X957">
        <v>0</v>
      </c>
      <c r="Y957" t="s">
        <v>83</v>
      </c>
      <c r="Z957" t="s">
        <v>61</v>
      </c>
      <c r="AA957">
        <v>0</v>
      </c>
      <c r="AB957" s="2">
        <v>0</v>
      </c>
      <c r="AC957" s="2">
        <v>0</v>
      </c>
      <c r="AD957" s="4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72.45</v>
      </c>
      <c r="AN957" s="2">
        <v>72.45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45999</v>
      </c>
      <c r="B958" t="s">
        <v>48</v>
      </c>
      <c r="C958">
        <v>649163</v>
      </c>
      <c r="D958">
        <v>2029031425</v>
      </c>
      <c r="E958" t="s">
        <v>852</v>
      </c>
      <c r="F958" t="s">
        <v>853</v>
      </c>
      <c r="G958" t="s">
        <v>51</v>
      </c>
      <c r="H958" t="s">
        <v>374</v>
      </c>
      <c r="I958" t="s">
        <v>126</v>
      </c>
      <c r="J958" t="s">
        <v>375</v>
      </c>
      <c r="K958">
        <v>651818</v>
      </c>
      <c r="L958" t="s">
        <v>246</v>
      </c>
      <c r="M958" t="s">
        <v>247</v>
      </c>
      <c r="N958" t="s">
        <v>57</v>
      </c>
      <c r="O958" s="1">
        <v>45815</v>
      </c>
      <c r="Q958" s="1">
        <v>46029</v>
      </c>
      <c r="R958" s="2">
        <v>134.16999999999999</v>
      </c>
      <c r="S958">
        <v>1</v>
      </c>
      <c r="T958" t="s">
        <v>58</v>
      </c>
      <c r="U958" t="s">
        <v>59</v>
      </c>
      <c r="V958" s="4">
        <v>0.9</v>
      </c>
      <c r="W958" s="2">
        <v>0</v>
      </c>
      <c r="X958">
        <v>0</v>
      </c>
      <c r="Y958" t="s">
        <v>83</v>
      </c>
      <c r="Z958" t="s">
        <v>61</v>
      </c>
      <c r="AA958">
        <v>0</v>
      </c>
      <c r="AB958" s="2">
        <v>0</v>
      </c>
      <c r="AC958" s="2">
        <v>0</v>
      </c>
      <c r="AD958" s="4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120.75</v>
      </c>
      <c r="AN958" s="2">
        <v>120.75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45999</v>
      </c>
      <c r="B959" t="s">
        <v>48</v>
      </c>
      <c r="C959">
        <v>649163</v>
      </c>
      <c r="D959">
        <v>2029137105</v>
      </c>
      <c r="E959" t="s">
        <v>854</v>
      </c>
      <c r="F959" t="s">
        <v>855</v>
      </c>
      <c r="G959" t="s">
        <v>51</v>
      </c>
      <c r="H959" t="s">
        <v>79</v>
      </c>
      <c r="I959" t="s">
        <v>126</v>
      </c>
      <c r="J959" t="s">
        <v>132</v>
      </c>
      <c r="K959">
        <v>673059</v>
      </c>
      <c r="L959" t="s">
        <v>81</v>
      </c>
      <c r="M959" t="s">
        <v>82</v>
      </c>
      <c r="N959" t="s">
        <v>94</v>
      </c>
      <c r="O959" s="1">
        <v>45809</v>
      </c>
      <c r="P959" s="1">
        <v>45999</v>
      </c>
      <c r="Q959" s="1">
        <v>46023</v>
      </c>
      <c r="R959" s="2">
        <v>-56.08</v>
      </c>
      <c r="S959">
        <v>1</v>
      </c>
      <c r="T959" t="s">
        <v>58</v>
      </c>
      <c r="U959" t="s">
        <v>59</v>
      </c>
      <c r="V959" s="4">
        <v>0.7</v>
      </c>
      <c r="W959" s="2">
        <v>0</v>
      </c>
      <c r="X959">
        <v>-1</v>
      </c>
      <c r="Y959" t="s">
        <v>83</v>
      </c>
      <c r="Z959" t="s">
        <v>61</v>
      </c>
      <c r="AA959">
        <v>0</v>
      </c>
      <c r="AB959" s="2">
        <v>0</v>
      </c>
      <c r="AC959" s="2">
        <v>0</v>
      </c>
      <c r="AD959" s="4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-39.26</v>
      </c>
      <c r="AN959" s="2">
        <v>-39.26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45999</v>
      </c>
      <c r="B960" t="s">
        <v>48</v>
      </c>
      <c r="C960">
        <v>649163</v>
      </c>
      <c r="D960">
        <v>2029192286</v>
      </c>
      <c r="E960" t="s">
        <v>1132</v>
      </c>
      <c r="F960" t="s">
        <v>1045</v>
      </c>
      <c r="G960" t="s">
        <v>51</v>
      </c>
      <c r="H960" t="s">
        <v>97</v>
      </c>
      <c r="I960" t="s">
        <v>126</v>
      </c>
      <c r="J960" t="s">
        <v>132</v>
      </c>
      <c r="K960">
        <v>792847</v>
      </c>
      <c r="L960" t="s">
        <v>155</v>
      </c>
      <c r="M960" t="s">
        <v>156</v>
      </c>
      <c r="N960" t="s">
        <v>57</v>
      </c>
      <c r="O960" s="1">
        <v>45815</v>
      </c>
      <c r="Q960" s="1">
        <v>46029</v>
      </c>
      <c r="R960" s="2">
        <v>68.61</v>
      </c>
      <c r="S960">
        <v>1</v>
      </c>
      <c r="T960" t="s">
        <v>58</v>
      </c>
      <c r="U960" t="s">
        <v>59</v>
      </c>
      <c r="V960" s="4">
        <v>0.7</v>
      </c>
      <c r="W960" s="2">
        <v>0</v>
      </c>
      <c r="X960">
        <v>0</v>
      </c>
      <c r="Y960" t="s">
        <v>83</v>
      </c>
      <c r="Z960" t="s">
        <v>61</v>
      </c>
      <c r="AA960">
        <v>0</v>
      </c>
      <c r="AB960" s="2">
        <v>0</v>
      </c>
      <c r="AC960" s="2">
        <v>0</v>
      </c>
      <c r="AD960" s="4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48.03</v>
      </c>
      <c r="AN960" s="2">
        <v>48.03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45999</v>
      </c>
      <c r="B961" t="s">
        <v>48</v>
      </c>
      <c r="C961">
        <v>649163</v>
      </c>
      <c r="D961">
        <v>2029275520</v>
      </c>
      <c r="E961" t="s">
        <v>550</v>
      </c>
      <c r="F961" t="s">
        <v>551</v>
      </c>
      <c r="G961" t="s">
        <v>51</v>
      </c>
      <c r="H961" t="s">
        <v>102</v>
      </c>
      <c r="I961" t="s">
        <v>126</v>
      </c>
      <c r="J961" t="s">
        <v>375</v>
      </c>
      <c r="K961">
        <v>821015</v>
      </c>
      <c r="L961" t="s">
        <v>92</v>
      </c>
      <c r="M961" t="s">
        <v>93</v>
      </c>
      <c r="N961" t="s">
        <v>57</v>
      </c>
      <c r="O961" s="1">
        <v>45815</v>
      </c>
      <c r="Q961" s="1">
        <v>46029</v>
      </c>
      <c r="R961" s="2">
        <v>75.75</v>
      </c>
      <c r="S961">
        <v>1</v>
      </c>
      <c r="T961" t="s">
        <v>58</v>
      </c>
      <c r="U961" t="s">
        <v>59</v>
      </c>
      <c r="V961" s="4">
        <v>0.9</v>
      </c>
      <c r="W961" s="2">
        <v>0</v>
      </c>
      <c r="X961">
        <v>0</v>
      </c>
      <c r="Y961" t="s">
        <v>83</v>
      </c>
      <c r="Z961" t="s">
        <v>61</v>
      </c>
      <c r="AA961">
        <v>0</v>
      </c>
      <c r="AB961" s="2">
        <v>0</v>
      </c>
      <c r="AC961" s="2">
        <v>0</v>
      </c>
      <c r="AD961" s="4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68.180000000000007</v>
      </c>
      <c r="AN961" s="2">
        <v>68.180000000000007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45999</v>
      </c>
      <c r="B962" t="s">
        <v>48</v>
      </c>
      <c r="C962">
        <v>649163</v>
      </c>
      <c r="D962">
        <v>2029275521</v>
      </c>
      <c r="E962" t="s">
        <v>550</v>
      </c>
      <c r="F962" t="s">
        <v>551</v>
      </c>
      <c r="G962" t="s">
        <v>51</v>
      </c>
      <c r="H962" t="s">
        <v>102</v>
      </c>
      <c r="I962" t="s">
        <v>126</v>
      </c>
      <c r="J962" t="s">
        <v>132</v>
      </c>
      <c r="K962">
        <v>821015</v>
      </c>
      <c r="L962" t="s">
        <v>92</v>
      </c>
      <c r="M962" t="s">
        <v>93</v>
      </c>
      <c r="N962" t="s">
        <v>57</v>
      </c>
      <c r="O962" s="1">
        <v>45815</v>
      </c>
      <c r="Q962" s="1">
        <v>46029</v>
      </c>
      <c r="R962" s="2">
        <v>341.13</v>
      </c>
      <c r="S962">
        <v>1</v>
      </c>
      <c r="T962" t="s">
        <v>58</v>
      </c>
      <c r="U962" t="s">
        <v>59</v>
      </c>
      <c r="V962" s="4">
        <v>0.7</v>
      </c>
      <c r="W962" s="2">
        <v>0</v>
      </c>
      <c r="X962">
        <v>0</v>
      </c>
      <c r="Y962" t="s">
        <v>83</v>
      </c>
      <c r="Z962" t="s">
        <v>61</v>
      </c>
      <c r="AA962">
        <v>0</v>
      </c>
      <c r="AB962" s="2">
        <v>0</v>
      </c>
      <c r="AC962" s="2">
        <v>0</v>
      </c>
      <c r="AD962" s="4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238.79</v>
      </c>
      <c r="AN962" s="2">
        <v>238.79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45999</v>
      </c>
      <c r="B963" t="s">
        <v>48</v>
      </c>
      <c r="C963">
        <v>649163</v>
      </c>
      <c r="D963">
        <v>2029283859</v>
      </c>
      <c r="E963" t="s">
        <v>856</v>
      </c>
      <c r="F963" t="s">
        <v>687</v>
      </c>
      <c r="G963" t="s">
        <v>51</v>
      </c>
      <c r="H963" t="s">
        <v>163</v>
      </c>
      <c r="I963" t="s">
        <v>126</v>
      </c>
      <c r="J963" t="s">
        <v>164</v>
      </c>
      <c r="K963">
        <v>823068</v>
      </c>
      <c r="L963" t="s">
        <v>165</v>
      </c>
      <c r="M963" t="s">
        <v>166</v>
      </c>
      <c r="N963" t="s">
        <v>57</v>
      </c>
      <c r="O963" s="1">
        <v>45818</v>
      </c>
      <c r="Q963" s="1">
        <v>46032</v>
      </c>
      <c r="R963" s="2">
        <v>24.61</v>
      </c>
      <c r="S963">
        <v>1</v>
      </c>
      <c r="T963" t="s">
        <v>58</v>
      </c>
      <c r="U963" t="s">
        <v>59</v>
      </c>
      <c r="V963" s="4">
        <v>0.7</v>
      </c>
      <c r="W963" s="2">
        <v>0</v>
      </c>
      <c r="X963">
        <v>0</v>
      </c>
      <c r="Y963" t="s">
        <v>83</v>
      </c>
      <c r="Z963" t="s">
        <v>61</v>
      </c>
      <c r="AA963">
        <v>0</v>
      </c>
      <c r="AB963" s="2">
        <v>0</v>
      </c>
      <c r="AC963" s="2">
        <v>0</v>
      </c>
      <c r="AD963" s="4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17.23</v>
      </c>
      <c r="AN963" s="2">
        <v>17.23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45999</v>
      </c>
      <c r="B964" t="s">
        <v>48</v>
      </c>
      <c r="C964">
        <v>649163</v>
      </c>
      <c r="D964">
        <v>2029313140</v>
      </c>
      <c r="E964" t="s">
        <v>1133</v>
      </c>
      <c r="F964" t="s">
        <v>635</v>
      </c>
      <c r="G964" t="s">
        <v>51</v>
      </c>
      <c r="H964" t="s">
        <v>102</v>
      </c>
      <c r="I964" t="s">
        <v>126</v>
      </c>
      <c r="J964" t="s">
        <v>132</v>
      </c>
      <c r="K964">
        <v>813184</v>
      </c>
      <c r="L964" t="s">
        <v>361</v>
      </c>
      <c r="M964" t="s">
        <v>362</v>
      </c>
      <c r="N964" t="s">
        <v>57</v>
      </c>
      <c r="O964" s="1">
        <v>45814</v>
      </c>
      <c r="Q964" s="1">
        <v>46028</v>
      </c>
      <c r="R964" s="2">
        <v>80.16</v>
      </c>
      <c r="S964">
        <v>1</v>
      </c>
      <c r="T964" t="s">
        <v>58</v>
      </c>
      <c r="U964" t="s">
        <v>59</v>
      </c>
      <c r="V964" s="4">
        <v>0.7</v>
      </c>
      <c r="W964" s="2">
        <v>0</v>
      </c>
      <c r="X964">
        <v>0</v>
      </c>
      <c r="Y964" t="s">
        <v>83</v>
      </c>
      <c r="Z964" t="s">
        <v>61</v>
      </c>
      <c r="AA964">
        <v>0</v>
      </c>
      <c r="AB964" s="2">
        <v>0</v>
      </c>
      <c r="AC964" s="2">
        <v>0</v>
      </c>
      <c r="AD964" s="4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56.11</v>
      </c>
      <c r="AN964" s="2">
        <v>56.11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45999</v>
      </c>
      <c r="B965" t="s">
        <v>48</v>
      </c>
      <c r="C965">
        <v>649163</v>
      </c>
      <c r="D965">
        <v>2029319950</v>
      </c>
      <c r="E965" t="s">
        <v>1134</v>
      </c>
      <c r="F965" t="s">
        <v>1135</v>
      </c>
      <c r="G965" t="s">
        <v>51</v>
      </c>
      <c r="H965" t="s">
        <v>102</v>
      </c>
      <c r="I965" t="s">
        <v>126</v>
      </c>
      <c r="J965" t="s">
        <v>132</v>
      </c>
      <c r="K965">
        <v>807212</v>
      </c>
      <c r="L965" t="s">
        <v>418</v>
      </c>
      <c r="M965" t="s">
        <v>419</v>
      </c>
      <c r="N965" t="s">
        <v>57</v>
      </c>
      <c r="O965" s="1">
        <v>45814</v>
      </c>
      <c r="Q965" s="1">
        <v>46028</v>
      </c>
      <c r="R965" s="2">
        <v>37.18</v>
      </c>
      <c r="S965">
        <v>1</v>
      </c>
      <c r="T965" t="s">
        <v>58</v>
      </c>
      <c r="U965" t="s">
        <v>59</v>
      </c>
      <c r="V965" s="4">
        <v>0.7</v>
      </c>
      <c r="W965" s="2">
        <v>0</v>
      </c>
      <c r="X965">
        <v>0</v>
      </c>
      <c r="Y965" t="s">
        <v>83</v>
      </c>
      <c r="Z965" t="s">
        <v>61</v>
      </c>
      <c r="AA965">
        <v>0</v>
      </c>
      <c r="AB965" s="2">
        <v>0</v>
      </c>
      <c r="AC965" s="2">
        <v>0</v>
      </c>
      <c r="AD965" s="4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26.03</v>
      </c>
      <c r="AN965" s="2">
        <v>26.03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45999</v>
      </c>
      <c r="B966" t="s">
        <v>48</v>
      </c>
      <c r="C966">
        <v>649163</v>
      </c>
      <c r="D966">
        <v>2029331330</v>
      </c>
      <c r="E966" t="s">
        <v>1136</v>
      </c>
      <c r="F966" t="s">
        <v>1137</v>
      </c>
      <c r="G966" t="s">
        <v>51</v>
      </c>
      <c r="H966" t="s">
        <v>102</v>
      </c>
      <c r="I966" t="s">
        <v>126</v>
      </c>
      <c r="J966" t="s">
        <v>132</v>
      </c>
      <c r="K966">
        <v>812656</v>
      </c>
      <c r="L966" t="s">
        <v>401</v>
      </c>
      <c r="M966" t="s">
        <v>233</v>
      </c>
      <c r="N966" t="s">
        <v>57</v>
      </c>
      <c r="O966" s="1">
        <v>45815</v>
      </c>
      <c r="Q966" s="1">
        <v>46029</v>
      </c>
      <c r="R966" s="2">
        <v>100.21</v>
      </c>
      <c r="S966">
        <v>1</v>
      </c>
      <c r="T966" t="s">
        <v>58</v>
      </c>
      <c r="U966" t="s">
        <v>59</v>
      </c>
      <c r="V966" s="4">
        <v>0.7</v>
      </c>
      <c r="W966" s="2">
        <v>0</v>
      </c>
      <c r="X966">
        <v>0</v>
      </c>
      <c r="Y966" t="s">
        <v>83</v>
      </c>
      <c r="Z966" t="s">
        <v>61</v>
      </c>
      <c r="AA966">
        <v>0</v>
      </c>
      <c r="AB966" s="2">
        <v>0</v>
      </c>
      <c r="AC966" s="2">
        <v>0</v>
      </c>
      <c r="AD966" s="4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70.150000000000006</v>
      </c>
      <c r="AN966" s="2">
        <v>70.150000000000006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45999</v>
      </c>
      <c r="B967" t="s">
        <v>48</v>
      </c>
      <c r="C967">
        <v>649163</v>
      </c>
      <c r="D967">
        <v>2029378057</v>
      </c>
      <c r="E967" t="s">
        <v>552</v>
      </c>
      <c r="F967" t="s">
        <v>553</v>
      </c>
      <c r="G967" t="s">
        <v>51</v>
      </c>
      <c r="H967" t="s">
        <v>97</v>
      </c>
      <c r="I967" t="s">
        <v>126</v>
      </c>
      <c r="J967" t="s">
        <v>132</v>
      </c>
      <c r="K967">
        <v>823350</v>
      </c>
      <c r="L967" t="s">
        <v>257</v>
      </c>
      <c r="M967" t="s">
        <v>258</v>
      </c>
      <c r="N967" t="s">
        <v>57</v>
      </c>
      <c r="O967" s="1">
        <v>45820</v>
      </c>
      <c r="Q967" s="1">
        <v>46034</v>
      </c>
      <c r="R967" s="2">
        <v>261</v>
      </c>
      <c r="S967">
        <v>1</v>
      </c>
      <c r="T967" t="s">
        <v>58</v>
      </c>
      <c r="U967" t="s">
        <v>59</v>
      </c>
      <c r="V967" s="4">
        <v>0.7</v>
      </c>
      <c r="W967" s="2">
        <v>0</v>
      </c>
      <c r="X967">
        <v>0</v>
      </c>
      <c r="Y967" t="s">
        <v>83</v>
      </c>
      <c r="Z967" t="s">
        <v>61</v>
      </c>
      <c r="AA967">
        <v>0</v>
      </c>
      <c r="AB967" s="2">
        <v>0</v>
      </c>
      <c r="AC967" s="2">
        <v>0</v>
      </c>
      <c r="AD967" s="4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182.7</v>
      </c>
      <c r="AN967" s="2">
        <v>182.7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45999</v>
      </c>
      <c r="B968" t="s">
        <v>48</v>
      </c>
      <c r="C968">
        <v>649163</v>
      </c>
      <c r="D968">
        <v>2029378058</v>
      </c>
      <c r="E968" t="s">
        <v>552</v>
      </c>
      <c r="F968" t="s">
        <v>553</v>
      </c>
      <c r="G968" t="s">
        <v>51</v>
      </c>
      <c r="H968" t="s">
        <v>97</v>
      </c>
      <c r="I968" t="s">
        <v>126</v>
      </c>
      <c r="J968" t="s">
        <v>375</v>
      </c>
      <c r="K968">
        <v>823350</v>
      </c>
      <c r="L968" t="s">
        <v>257</v>
      </c>
      <c r="M968" t="s">
        <v>258</v>
      </c>
      <c r="N968" t="s">
        <v>57</v>
      </c>
      <c r="O968" s="1">
        <v>45820</v>
      </c>
      <c r="Q968" s="1">
        <v>46034</v>
      </c>
      <c r="R968" s="2">
        <v>103.75</v>
      </c>
      <c r="S968">
        <v>1</v>
      </c>
      <c r="T968" t="s">
        <v>58</v>
      </c>
      <c r="U968" t="s">
        <v>59</v>
      </c>
      <c r="V968" s="4">
        <v>0.9</v>
      </c>
      <c r="W968" s="2">
        <v>0</v>
      </c>
      <c r="X968">
        <v>0</v>
      </c>
      <c r="Y968" t="s">
        <v>83</v>
      </c>
      <c r="Z968" t="s">
        <v>61</v>
      </c>
      <c r="AA968">
        <v>0</v>
      </c>
      <c r="AB968" s="2">
        <v>0</v>
      </c>
      <c r="AC968" s="2">
        <v>0</v>
      </c>
      <c r="AD968" s="4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93.38</v>
      </c>
      <c r="AN968" s="2">
        <v>93.38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45999</v>
      </c>
      <c r="B969" t="s">
        <v>48</v>
      </c>
      <c r="C969">
        <v>649163</v>
      </c>
      <c r="D969">
        <v>2029378241</v>
      </c>
      <c r="E969" t="s">
        <v>554</v>
      </c>
      <c r="F969" t="s">
        <v>555</v>
      </c>
      <c r="G969" t="s">
        <v>51</v>
      </c>
      <c r="H969" t="s">
        <v>220</v>
      </c>
      <c r="I969" t="s">
        <v>126</v>
      </c>
      <c r="J969" t="s">
        <v>132</v>
      </c>
      <c r="K969">
        <v>812656</v>
      </c>
      <c r="L969" t="s">
        <v>401</v>
      </c>
      <c r="M969" t="s">
        <v>233</v>
      </c>
      <c r="N969" t="s">
        <v>57</v>
      </c>
      <c r="O969" s="1">
        <v>45818</v>
      </c>
      <c r="Q969" s="1">
        <v>46032</v>
      </c>
      <c r="R969" s="2">
        <v>42.15</v>
      </c>
      <c r="S969">
        <v>1</v>
      </c>
      <c r="T969" t="s">
        <v>58</v>
      </c>
      <c r="U969" t="s">
        <v>59</v>
      </c>
      <c r="V969" s="4">
        <v>0.7</v>
      </c>
      <c r="W969" s="2">
        <v>0</v>
      </c>
      <c r="X969">
        <v>0</v>
      </c>
      <c r="Y969" t="s">
        <v>83</v>
      </c>
      <c r="Z969" t="s">
        <v>61</v>
      </c>
      <c r="AA969">
        <v>0</v>
      </c>
      <c r="AB969" s="2">
        <v>0</v>
      </c>
      <c r="AC969" s="2">
        <v>0</v>
      </c>
      <c r="AD969" s="4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0.01</v>
      </c>
      <c r="AM969" s="2">
        <v>29.49</v>
      </c>
      <c r="AN969" s="2">
        <v>29.49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45999</v>
      </c>
      <c r="B970" t="s">
        <v>48</v>
      </c>
      <c r="C970">
        <v>649163</v>
      </c>
      <c r="D970">
        <v>2029398822</v>
      </c>
      <c r="E970" t="s">
        <v>1138</v>
      </c>
      <c r="F970" t="s">
        <v>175</v>
      </c>
      <c r="G970" t="s">
        <v>51</v>
      </c>
      <c r="H970" t="s">
        <v>939</v>
      </c>
      <c r="I970" t="s">
        <v>126</v>
      </c>
      <c r="J970" t="s">
        <v>402</v>
      </c>
      <c r="K970">
        <v>856824</v>
      </c>
      <c r="L970" t="s">
        <v>145</v>
      </c>
      <c r="M970" t="s">
        <v>146</v>
      </c>
      <c r="N970" t="s">
        <v>57</v>
      </c>
      <c r="O970" s="1">
        <v>45819</v>
      </c>
      <c r="Q970" s="1">
        <v>46033</v>
      </c>
      <c r="R970" s="2">
        <v>12.83</v>
      </c>
      <c r="S970">
        <v>1</v>
      </c>
      <c r="T970" t="s">
        <v>58</v>
      </c>
      <c r="U970" t="s">
        <v>59</v>
      </c>
      <c r="V970" s="4">
        <v>0.42</v>
      </c>
      <c r="W970" s="2">
        <v>0</v>
      </c>
      <c r="X970">
        <v>0</v>
      </c>
      <c r="Y970" t="s">
        <v>83</v>
      </c>
      <c r="Z970" t="s">
        <v>61</v>
      </c>
      <c r="AA970">
        <v>0</v>
      </c>
      <c r="AB970" s="2">
        <v>0</v>
      </c>
      <c r="AC970" s="2">
        <v>0</v>
      </c>
      <c r="AD970" s="4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5.39</v>
      </c>
      <c r="AN970" s="2">
        <v>5.39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45999</v>
      </c>
      <c r="B971" t="s">
        <v>48</v>
      </c>
      <c r="C971">
        <v>649163</v>
      </c>
      <c r="D971">
        <v>2029407291</v>
      </c>
      <c r="E971" t="s">
        <v>73</v>
      </c>
      <c r="F971" t="s">
        <v>293</v>
      </c>
      <c r="G971" t="s">
        <v>51</v>
      </c>
      <c r="H971" t="s">
        <v>131</v>
      </c>
      <c r="I971" t="s">
        <v>126</v>
      </c>
      <c r="J971" t="s">
        <v>375</v>
      </c>
      <c r="K971">
        <v>651818</v>
      </c>
      <c r="L971" t="s">
        <v>246</v>
      </c>
      <c r="M971" t="s">
        <v>247</v>
      </c>
      <c r="N971" t="s">
        <v>57</v>
      </c>
      <c r="O971" s="1">
        <v>45845</v>
      </c>
      <c r="Q971" s="1">
        <v>46029</v>
      </c>
      <c r="R971" s="2">
        <v>41.88</v>
      </c>
      <c r="S971">
        <v>1</v>
      </c>
      <c r="T971" t="s">
        <v>58</v>
      </c>
      <c r="U971" t="s">
        <v>59</v>
      </c>
      <c r="V971" s="4">
        <v>0.9</v>
      </c>
      <c r="W971" s="2">
        <v>0</v>
      </c>
      <c r="X971">
        <v>0</v>
      </c>
      <c r="Y971" t="s">
        <v>83</v>
      </c>
      <c r="Z971" t="s">
        <v>61</v>
      </c>
      <c r="AA971">
        <v>0</v>
      </c>
      <c r="AB971" s="2">
        <v>0</v>
      </c>
      <c r="AC971" s="2">
        <v>0</v>
      </c>
      <c r="AD971" s="4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37.69</v>
      </c>
      <c r="AN971" s="2">
        <v>37.69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45999</v>
      </c>
      <c r="B972" t="s">
        <v>48</v>
      </c>
      <c r="C972">
        <v>649163</v>
      </c>
      <c r="D972">
        <v>2029413864</v>
      </c>
      <c r="E972" t="s">
        <v>280</v>
      </c>
      <c r="F972" t="s">
        <v>556</v>
      </c>
      <c r="G972" t="s">
        <v>51</v>
      </c>
      <c r="H972" t="s">
        <v>97</v>
      </c>
      <c r="I972" t="s">
        <v>126</v>
      </c>
      <c r="J972" t="s">
        <v>132</v>
      </c>
      <c r="K972">
        <v>823350</v>
      </c>
      <c r="L972" t="s">
        <v>257</v>
      </c>
      <c r="M972" t="s">
        <v>258</v>
      </c>
      <c r="N972" t="s">
        <v>57</v>
      </c>
      <c r="O972" s="1">
        <v>45820</v>
      </c>
      <c r="Q972" s="1">
        <v>46034</v>
      </c>
      <c r="R972" s="2">
        <v>13</v>
      </c>
      <c r="S972">
        <v>1</v>
      </c>
      <c r="T972" t="s">
        <v>58</v>
      </c>
      <c r="U972" t="s">
        <v>59</v>
      </c>
      <c r="V972" s="4">
        <v>0.7</v>
      </c>
      <c r="W972" s="2">
        <v>0</v>
      </c>
      <c r="X972">
        <v>0</v>
      </c>
      <c r="Y972" t="s">
        <v>83</v>
      </c>
      <c r="Z972" t="s">
        <v>61</v>
      </c>
      <c r="AA972">
        <v>0</v>
      </c>
      <c r="AB972" s="2">
        <v>0</v>
      </c>
      <c r="AC972" s="2">
        <v>0</v>
      </c>
      <c r="AD972" s="4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9.1</v>
      </c>
      <c r="AN972" s="2">
        <v>9.1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45999</v>
      </c>
      <c r="B973" t="s">
        <v>48</v>
      </c>
      <c r="C973">
        <v>649163</v>
      </c>
      <c r="D973">
        <v>2029531080</v>
      </c>
      <c r="E973" t="s">
        <v>858</v>
      </c>
      <c r="F973" t="s">
        <v>859</v>
      </c>
      <c r="G973" t="s">
        <v>51</v>
      </c>
      <c r="H973" t="s">
        <v>135</v>
      </c>
      <c r="I973" t="s">
        <v>126</v>
      </c>
      <c r="J973" t="s">
        <v>132</v>
      </c>
      <c r="K973">
        <v>673059</v>
      </c>
      <c r="L973" t="s">
        <v>81</v>
      </c>
      <c r="M973" t="s">
        <v>82</v>
      </c>
      <c r="N973" t="s">
        <v>57</v>
      </c>
      <c r="O973" s="1">
        <v>45847</v>
      </c>
      <c r="Q973" s="1">
        <v>46031</v>
      </c>
      <c r="R973" s="2">
        <v>120.5</v>
      </c>
      <c r="S973">
        <v>1</v>
      </c>
      <c r="T973" t="s">
        <v>58</v>
      </c>
      <c r="U973" t="s">
        <v>59</v>
      </c>
      <c r="V973" s="4">
        <v>0.7</v>
      </c>
      <c r="W973" s="2">
        <v>0</v>
      </c>
      <c r="X973">
        <v>0</v>
      </c>
      <c r="Y973" t="s">
        <v>83</v>
      </c>
      <c r="Z973" t="s">
        <v>61</v>
      </c>
      <c r="AA973">
        <v>0</v>
      </c>
      <c r="AB973" s="2">
        <v>0</v>
      </c>
      <c r="AC973" s="2">
        <v>0</v>
      </c>
      <c r="AD973" s="4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84.35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45999</v>
      </c>
      <c r="B974" t="s">
        <v>48</v>
      </c>
      <c r="C974">
        <v>649163</v>
      </c>
      <c r="D974">
        <v>2029609656</v>
      </c>
      <c r="E974" t="s">
        <v>71</v>
      </c>
      <c r="F974" t="s">
        <v>605</v>
      </c>
      <c r="G974" t="s">
        <v>51</v>
      </c>
      <c r="H974" t="s">
        <v>97</v>
      </c>
      <c r="I974" t="s">
        <v>126</v>
      </c>
      <c r="J974" t="s">
        <v>375</v>
      </c>
      <c r="K974">
        <v>651818</v>
      </c>
      <c r="L974" t="s">
        <v>246</v>
      </c>
      <c r="M974" t="s">
        <v>247</v>
      </c>
      <c r="N974" t="s">
        <v>57</v>
      </c>
      <c r="O974" s="1">
        <v>45845</v>
      </c>
      <c r="Q974" s="1">
        <v>46029</v>
      </c>
      <c r="R974" s="2">
        <v>35.85</v>
      </c>
      <c r="S974">
        <v>1</v>
      </c>
      <c r="T974" t="s">
        <v>58</v>
      </c>
      <c r="U974" t="s">
        <v>59</v>
      </c>
      <c r="V974" s="4">
        <v>0.9</v>
      </c>
      <c r="W974" s="2">
        <v>0</v>
      </c>
      <c r="X974">
        <v>0</v>
      </c>
      <c r="Y974" t="s">
        <v>83</v>
      </c>
      <c r="Z974" t="s">
        <v>61</v>
      </c>
      <c r="AA974">
        <v>0</v>
      </c>
      <c r="AB974" s="2">
        <v>0</v>
      </c>
      <c r="AC974" s="2">
        <v>0</v>
      </c>
      <c r="AD974" s="4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0.01</v>
      </c>
      <c r="AM974" s="2">
        <v>32.25</v>
      </c>
      <c r="AN974" s="2">
        <v>32.25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45999</v>
      </c>
      <c r="B975" t="s">
        <v>48</v>
      </c>
      <c r="C975">
        <v>649163</v>
      </c>
      <c r="D975">
        <v>2029658015</v>
      </c>
      <c r="E975" t="s">
        <v>142</v>
      </c>
      <c r="F975" t="s">
        <v>139</v>
      </c>
      <c r="G975" t="s">
        <v>51</v>
      </c>
      <c r="H975" t="s">
        <v>125</v>
      </c>
      <c r="I975" t="s">
        <v>126</v>
      </c>
      <c r="J975" t="s">
        <v>132</v>
      </c>
      <c r="K975">
        <v>812782</v>
      </c>
      <c r="L975" t="s">
        <v>159</v>
      </c>
      <c r="M975" t="s">
        <v>160</v>
      </c>
      <c r="N975" t="s">
        <v>57</v>
      </c>
      <c r="O975" s="1">
        <v>45845</v>
      </c>
      <c r="Q975" s="1">
        <v>46029</v>
      </c>
      <c r="R975" s="2">
        <v>22.72</v>
      </c>
      <c r="S975">
        <v>1</v>
      </c>
      <c r="T975" t="s">
        <v>58</v>
      </c>
      <c r="U975" t="s">
        <v>59</v>
      </c>
      <c r="V975" s="4">
        <v>0.7</v>
      </c>
      <c r="W975" s="2">
        <v>0</v>
      </c>
      <c r="X975">
        <v>0</v>
      </c>
      <c r="Y975" t="s">
        <v>83</v>
      </c>
      <c r="Z975" t="s">
        <v>61</v>
      </c>
      <c r="AA975">
        <v>0</v>
      </c>
      <c r="AB975" s="2">
        <v>0</v>
      </c>
      <c r="AC975" s="2">
        <v>0</v>
      </c>
      <c r="AD975" s="4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0.01</v>
      </c>
      <c r="AM975" s="2">
        <v>15.89</v>
      </c>
      <c r="AN975" s="2">
        <v>15.89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45999</v>
      </c>
      <c r="B976" t="s">
        <v>48</v>
      </c>
      <c r="C976">
        <v>649163</v>
      </c>
      <c r="D976">
        <v>2029738921</v>
      </c>
      <c r="E976" t="s">
        <v>674</v>
      </c>
      <c r="F976" t="s">
        <v>675</v>
      </c>
      <c r="G976" t="s">
        <v>51</v>
      </c>
      <c r="H976" t="s">
        <v>79</v>
      </c>
      <c r="I976" t="s">
        <v>126</v>
      </c>
      <c r="J976" t="s">
        <v>132</v>
      </c>
      <c r="K976">
        <v>673059</v>
      </c>
      <c r="L976" t="s">
        <v>81</v>
      </c>
      <c r="M976" t="s">
        <v>82</v>
      </c>
      <c r="N976" t="s">
        <v>57</v>
      </c>
      <c r="O976" s="1">
        <v>45846</v>
      </c>
      <c r="Q976" s="1">
        <v>46030</v>
      </c>
      <c r="R976" s="2">
        <v>69.88</v>
      </c>
      <c r="S976">
        <v>1</v>
      </c>
      <c r="T976" t="s">
        <v>58</v>
      </c>
      <c r="U976" t="s">
        <v>59</v>
      </c>
      <c r="V976" s="4">
        <v>0.7</v>
      </c>
      <c r="W976" s="2">
        <v>0</v>
      </c>
      <c r="X976">
        <v>0</v>
      </c>
      <c r="Y976" t="s">
        <v>83</v>
      </c>
      <c r="Z976" t="s">
        <v>61</v>
      </c>
      <c r="AA976">
        <v>0</v>
      </c>
      <c r="AB976" s="2">
        <v>0</v>
      </c>
      <c r="AC976" s="2">
        <v>0</v>
      </c>
      <c r="AD976" s="4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48.92</v>
      </c>
      <c r="AN976" s="2">
        <v>48.92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45999</v>
      </c>
      <c r="B977" t="s">
        <v>48</v>
      </c>
      <c r="C977">
        <v>649163</v>
      </c>
      <c r="D977">
        <v>2029761815</v>
      </c>
      <c r="E977" t="s">
        <v>558</v>
      </c>
      <c r="F977" t="s">
        <v>559</v>
      </c>
      <c r="G977" t="s">
        <v>51</v>
      </c>
      <c r="H977" t="s">
        <v>79</v>
      </c>
      <c r="I977" t="s">
        <v>126</v>
      </c>
      <c r="J977" t="s">
        <v>132</v>
      </c>
      <c r="K977">
        <v>812782</v>
      </c>
      <c r="L977" t="s">
        <v>159</v>
      </c>
      <c r="M977" t="s">
        <v>160</v>
      </c>
      <c r="N977" t="s">
        <v>57</v>
      </c>
      <c r="O977" s="1">
        <v>45841</v>
      </c>
      <c r="Q977" s="1">
        <v>46025</v>
      </c>
      <c r="R977" s="2">
        <v>-45.46</v>
      </c>
      <c r="S977">
        <v>1</v>
      </c>
      <c r="T977" t="s">
        <v>58</v>
      </c>
      <c r="U977" t="s">
        <v>59</v>
      </c>
      <c r="V977" s="4">
        <v>0.7</v>
      </c>
      <c r="W977" s="2">
        <v>0</v>
      </c>
      <c r="X977">
        <v>-1</v>
      </c>
      <c r="Y977" t="s">
        <v>83</v>
      </c>
      <c r="Z977" t="s">
        <v>61</v>
      </c>
      <c r="AA977">
        <v>0</v>
      </c>
      <c r="AB977" s="2">
        <v>0</v>
      </c>
      <c r="AC977" s="2">
        <v>0</v>
      </c>
      <c r="AD977" s="4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-31.82</v>
      </c>
      <c r="AN977" s="2">
        <v>-31.82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45999</v>
      </c>
      <c r="B978" t="s">
        <v>48</v>
      </c>
      <c r="C978">
        <v>649163</v>
      </c>
      <c r="D978">
        <v>2029838334</v>
      </c>
      <c r="E978" t="s">
        <v>676</v>
      </c>
      <c r="F978" t="s">
        <v>677</v>
      </c>
      <c r="G978" t="s">
        <v>51</v>
      </c>
      <c r="H978" t="s">
        <v>102</v>
      </c>
      <c r="I978" t="s">
        <v>126</v>
      </c>
      <c r="J978" t="s">
        <v>132</v>
      </c>
      <c r="K978">
        <v>840313</v>
      </c>
      <c r="L978" t="s">
        <v>525</v>
      </c>
      <c r="M978" t="s">
        <v>526</v>
      </c>
      <c r="N978" t="s">
        <v>57</v>
      </c>
      <c r="O978" s="1">
        <v>45846</v>
      </c>
      <c r="Q978" s="1">
        <v>46030</v>
      </c>
      <c r="R978" s="2">
        <v>56.5</v>
      </c>
      <c r="S978">
        <v>1</v>
      </c>
      <c r="T978" t="s">
        <v>58</v>
      </c>
      <c r="U978" t="s">
        <v>59</v>
      </c>
      <c r="V978" s="4">
        <v>0.7</v>
      </c>
      <c r="W978" s="2">
        <v>0</v>
      </c>
      <c r="X978">
        <v>0</v>
      </c>
      <c r="Y978" t="s">
        <v>83</v>
      </c>
      <c r="Z978" t="s">
        <v>61</v>
      </c>
      <c r="AA978">
        <v>0</v>
      </c>
      <c r="AB978" s="2">
        <v>0</v>
      </c>
      <c r="AC978" s="2">
        <v>0</v>
      </c>
      <c r="AD978" s="4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39.549999999999997</v>
      </c>
      <c r="AN978" s="2">
        <v>39.549999999999997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45999</v>
      </c>
      <c r="B979" t="s">
        <v>48</v>
      </c>
      <c r="C979">
        <v>649163</v>
      </c>
      <c r="D979">
        <v>2029844783</v>
      </c>
      <c r="E979" t="s">
        <v>678</v>
      </c>
      <c r="F979" t="s">
        <v>679</v>
      </c>
      <c r="G979" t="s">
        <v>51</v>
      </c>
      <c r="H979" t="s">
        <v>102</v>
      </c>
      <c r="I979" t="s">
        <v>126</v>
      </c>
      <c r="J979" t="s">
        <v>132</v>
      </c>
      <c r="K979">
        <v>768887</v>
      </c>
      <c r="L979" t="s">
        <v>206</v>
      </c>
      <c r="M979" t="s">
        <v>207</v>
      </c>
      <c r="N979" t="s">
        <v>57</v>
      </c>
      <c r="O979" s="1">
        <v>45849</v>
      </c>
      <c r="Q979" s="1">
        <v>46033</v>
      </c>
      <c r="R979" s="2">
        <v>126.92</v>
      </c>
      <c r="S979">
        <v>1</v>
      </c>
      <c r="T979" t="s">
        <v>58</v>
      </c>
      <c r="U979" t="s">
        <v>59</v>
      </c>
      <c r="V979" s="4">
        <v>0.7</v>
      </c>
      <c r="W979" s="2">
        <v>0</v>
      </c>
      <c r="X979">
        <v>0</v>
      </c>
      <c r="Y979" t="s">
        <v>83</v>
      </c>
      <c r="Z979" t="s">
        <v>61</v>
      </c>
      <c r="AA979">
        <v>0</v>
      </c>
      <c r="AB979" s="2">
        <v>0</v>
      </c>
      <c r="AC979" s="2">
        <v>0</v>
      </c>
      <c r="AD979" s="4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88.84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45999</v>
      </c>
      <c r="B980" t="s">
        <v>48</v>
      </c>
      <c r="C980">
        <v>649163</v>
      </c>
      <c r="D980">
        <v>2029866852</v>
      </c>
      <c r="E980" t="s">
        <v>860</v>
      </c>
      <c r="F980" t="s">
        <v>861</v>
      </c>
      <c r="G980" t="s">
        <v>51</v>
      </c>
      <c r="H980" t="s">
        <v>79</v>
      </c>
      <c r="I980" t="s">
        <v>126</v>
      </c>
      <c r="J980" t="s">
        <v>132</v>
      </c>
      <c r="K980">
        <v>673059</v>
      </c>
      <c r="L980" t="s">
        <v>81</v>
      </c>
      <c r="M980" t="s">
        <v>82</v>
      </c>
      <c r="N980" t="s">
        <v>57</v>
      </c>
      <c r="O980" s="1">
        <v>45848</v>
      </c>
      <c r="Q980" s="1">
        <v>46032</v>
      </c>
      <c r="R980" s="2">
        <v>144.69999999999999</v>
      </c>
      <c r="S980">
        <v>1</v>
      </c>
      <c r="T980" t="s">
        <v>58</v>
      </c>
      <c r="U980" t="s">
        <v>59</v>
      </c>
      <c r="V980" s="4">
        <v>0.7</v>
      </c>
      <c r="W980" s="2">
        <v>0</v>
      </c>
      <c r="X980">
        <v>0</v>
      </c>
      <c r="Y980" t="s">
        <v>83</v>
      </c>
      <c r="Z980" t="s">
        <v>61</v>
      </c>
      <c r="AA980">
        <v>0</v>
      </c>
      <c r="AB980" s="2">
        <v>0</v>
      </c>
      <c r="AC980" s="2">
        <v>0</v>
      </c>
      <c r="AD980" s="4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101.29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45999</v>
      </c>
      <c r="B981" t="s">
        <v>48</v>
      </c>
      <c r="C981">
        <v>649163</v>
      </c>
      <c r="D981">
        <v>2029872568</v>
      </c>
      <c r="E981" t="s">
        <v>1139</v>
      </c>
      <c r="F981" t="s">
        <v>524</v>
      </c>
      <c r="G981" t="s">
        <v>51</v>
      </c>
      <c r="H981" t="s">
        <v>102</v>
      </c>
      <c r="I981" t="s">
        <v>126</v>
      </c>
      <c r="J981" t="s">
        <v>132</v>
      </c>
      <c r="K981">
        <v>812994</v>
      </c>
      <c r="L981" t="s">
        <v>151</v>
      </c>
      <c r="M981" t="s">
        <v>152</v>
      </c>
      <c r="N981" t="s">
        <v>57</v>
      </c>
      <c r="O981" s="1">
        <v>45848</v>
      </c>
      <c r="Q981" s="1">
        <v>46032</v>
      </c>
      <c r="R981" s="2">
        <v>30</v>
      </c>
      <c r="S981">
        <v>1</v>
      </c>
      <c r="T981" t="s">
        <v>58</v>
      </c>
      <c r="U981" t="s">
        <v>59</v>
      </c>
      <c r="V981" s="4">
        <v>0.7</v>
      </c>
      <c r="W981" s="2">
        <v>0</v>
      </c>
      <c r="X981">
        <v>0</v>
      </c>
      <c r="Y981" t="s">
        <v>83</v>
      </c>
      <c r="Z981" t="s">
        <v>61</v>
      </c>
      <c r="AA981">
        <v>0</v>
      </c>
      <c r="AB981" s="2">
        <v>0</v>
      </c>
      <c r="AC981" s="2">
        <v>0</v>
      </c>
      <c r="AD981" s="4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21</v>
      </c>
      <c r="AN981" s="2">
        <v>21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45999</v>
      </c>
      <c r="B982" t="s">
        <v>48</v>
      </c>
      <c r="C982">
        <v>649163</v>
      </c>
      <c r="D982">
        <v>2029877132</v>
      </c>
      <c r="E982" t="s">
        <v>483</v>
      </c>
      <c r="F982" t="s">
        <v>1140</v>
      </c>
      <c r="G982" t="s">
        <v>51</v>
      </c>
      <c r="H982" t="s">
        <v>102</v>
      </c>
      <c r="I982" t="s">
        <v>126</v>
      </c>
      <c r="J982" t="s">
        <v>132</v>
      </c>
      <c r="K982">
        <v>767312</v>
      </c>
      <c r="L982" t="s">
        <v>138</v>
      </c>
      <c r="M982" t="s">
        <v>107</v>
      </c>
      <c r="N982" t="s">
        <v>57</v>
      </c>
      <c r="O982" s="1">
        <v>45848</v>
      </c>
      <c r="Q982" s="1">
        <v>46032</v>
      </c>
      <c r="R982" s="2">
        <v>96</v>
      </c>
      <c r="S982">
        <v>1</v>
      </c>
      <c r="T982" t="s">
        <v>58</v>
      </c>
      <c r="U982" t="s">
        <v>59</v>
      </c>
      <c r="V982" s="4">
        <v>0.7</v>
      </c>
      <c r="W982" s="2">
        <v>0</v>
      </c>
      <c r="X982">
        <v>0</v>
      </c>
      <c r="Y982" t="s">
        <v>83</v>
      </c>
      <c r="Z982" t="s">
        <v>61</v>
      </c>
      <c r="AA982">
        <v>0</v>
      </c>
      <c r="AB982" s="2">
        <v>0</v>
      </c>
      <c r="AC982" s="2">
        <v>0</v>
      </c>
      <c r="AD982" s="4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67.2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45999</v>
      </c>
      <c r="B983" t="s">
        <v>48</v>
      </c>
      <c r="C983">
        <v>649163</v>
      </c>
      <c r="D983">
        <v>2029880677</v>
      </c>
      <c r="E983" t="s">
        <v>568</v>
      </c>
      <c r="F983" t="s">
        <v>569</v>
      </c>
      <c r="G983" t="s">
        <v>51</v>
      </c>
      <c r="H983" t="s">
        <v>102</v>
      </c>
      <c r="I983" t="s">
        <v>126</v>
      </c>
      <c r="J983" t="s">
        <v>132</v>
      </c>
      <c r="K983">
        <v>812994</v>
      </c>
      <c r="L983" t="s">
        <v>151</v>
      </c>
      <c r="M983" t="s">
        <v>152</v>
      </c>
      <c r="N983" t="s">
        <v>57</v>
      </c>
      <c r="O983" s="1">
        <v>45848</v>
      </c>
      <c r="Q983" s="1">
        <v>46032</v>
      </c>
      <c r="R983" s="2">
        <v>88.96</v>
      </c>
      <c r="S983">
        <v>1</v>
      </c>
      <c r="T983" t="s">
        <v>58</v>
      </c>
      <c r="U983" t="s">
        <v>59</v>
      </c>
      <c r="V983" s="4">
        <v>0.7</v>
      </c>
      <c r="W983" s="2">
        <v>0</v>
      </c>
      <c r="X983">
        <v>0</v>
      </c>
      <c r="Y983" t="s">
        <v>83</v>
      </c>
      <c r="Z983" t="s">
        <v>61</v>
      </c>
      <c r="AA983">
        <v>0</v>
      </c>
      <c r="AB983" s="2">
        <v>0</v>
      </c>
      <c r="AC983" s="2">
        <v>0</v>
      </c>
      <c r="AD983" s="4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62.27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45999</v>
      </c>
      <c r="B984" t="s">
        <v>48</v>
      </c>
      <c r="C984">
        <v>649163</v>
      </c>
      <c r="D984">
        <v>2029894409</v>
      </c>
      <c r="E984" t="s">
        <v>71</v>
      </c>
      <c r="F984" t="s">
        <v>570</v>
      </c>
      <c r="G984" t="s">
        <v>51</v>
      </c>
      <c r="H984" t="s">
        <v>308</v>
      </c>
      <c r="I984" t="s">
        <v>126</v>
      </c>
      <c r="J984" t="s">
        <v>132</v>
      </c>
      <c r="K984">
        <v>877790</v>
      </c>
      <c r="L984" t="s">
        <v>310</v>
      </c>
      <c r="M984" t="s">
        <v>311</v>
      </c>
      <c r="N984" t="s">
        <v>57</v>
      </c>
      <c r="O984" s="1">
        <v>45849</v>
      </c>
      <c r="Q984" s="1">
        <v>46033</v>
      </c>
      <c r="R984" s="2">
        <v>4.7699999999999996</v>
      </c>
      <c r="S984">
        <v>1</v>
      </c>
      <c r="T984" t="s">
        <v>58</v>
      </c>
      <c r="U984" t="s">
        <v>59</v>
      </c>
      <c r="V984" s="4">
        <v>0.7</v>
      </c>
      <c r="W984" s="2">
        <v>0</v>
      </c>
      <c r="X984">
        <v>0</v>
      </c>
      <c r="Y984" t="s">
        <v>83</v>
      </c>
      <c r="Z984" t="s">
        <v>61</v>
      </c>
      <c r="AA984">
        <v>0</v>
      </c>
      <c r="AB984" s="2">
        <v>0</v>
      </c>
      <c r="AC984" s="2">
        <v>0</v>
      </c>
      <c r="AD984" s="4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3.33</v>
      </c>
      <c r="AM984" s="2">
        <v>0.01</v>
      </c>
      <c r="AN984" s="2">
        <v>0.01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45999</v>
      </c>
      <c r="B985" t="s">
        <v>48</v>
      </c>
      <c r="C985">
        <v>649163</v>
      </c>
      <c r="D985">
        <v>2029904976</v>
      </c>
      <c r="E985" t="s">
        <v>571</v>
      </c>
      <c r="F985" t="s">
        <v>572</v>
      </c>
      <c r="G985" t="s">
        <v>51</v>
      </c>
      <c r="H985" t="s">
        <v>125</v>
      </c>
      <c r="I985" t="s">
        <v>126</v>
      </c>
      <c r="J985" t="s">
        <v>132</v>
      </c>
      <c r="K985">
        <v>651818</v>
      </c>
      <c r="L985" t="s">
        <v>246</v>
      </c>
      <c r="M985" t="s">
        <v>247</v>
      </c>
      <c r="N985" t="s">
        <v>57</v>
      </c>
      <c r="O985" s="1">
        <v>45850</v>
      </c>
      <c r="Q985" s="1">
        <v>46034</v>
      </c>
      <c r="R985" s="2">
        <v>10.35</v>
      </c>
      <c r="S985">
        <v>1</v>
      </c>
      <c r="T985" t="s">
        <v>58</v>
      </c>
      <c r="U985" t="s">
        <v>59</v>
      </c>
      <c r="V985" s="4">
        <v>0.7</v>
      </c>
      <c r="W985" s="2">
        <v>0</v>
      </c>
      <c r="X985">
        <v>0</v>
      </c>
      <c r="Y985" t="s">
        <v>83</v>
      </c>
      <c r="Z985" t="s">
        <v>61</v>
      </c>
      <c r="AA985">
        <v>0</v>
      </c>
      <c r="AB985" s="2">
        <v>0</v>
      </c>
      <c r="AC985" s="2">
        <v>0</v>
      </c>
      <c r="AD985" s="4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7.24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45999</v>
      </c>
      <c r="B986" t="s">
        <v>48</v>
      </c>
      <c r="C986">
        <v>649163</v>
      </c>
      <c r="D986">
        <v>2029907849</v>
      </c>
      <c r="E986" t="s">
        <v>101</v>
      </c>
      <c r="F986" t="s">
        <v>1141</v>
      </c>
      <c r="G986" t="s">
        <v>51</v>
      </c>
      <c r="H986" t="s">
        <v>308</v>
      </c>
      <c r="I986" t="s">
        <v>126</v>
      </c>
      <c r="J986" t="s">
        <v>375</v>
      </c>
      <c r="K986">
        <v>877790</v>
      </c>
      <c r="L986" t="s">
        <v>310</v>
      </c>
      <c r="M986" t="s">
        <v>311</v>
      </c>
      <c r="N986" t="s">
        <v>57</v>
      </c>
      <c r="O986" s="1">
        <v>45850</v>
      </c>
      <c r="Q986" s="1">
        <v>46034</v>
      </c>
      <c r="R986" s="2">
        <v>14.75</v>
      </c>
      <c r="S986">
        <v>1</v>
      </c>
      <c r="T986" t="s">
        <v>58</v>
      </c>
      <c r="U986" t="s">
        <v>59</v>
      </c>
      <c r="V986" s="4">
        <v>0.9</v>
      </c>
      <c r="W986" s="2">
        <v>0</v>
      </c>
      <c r="X986">
        <v>0</v>
      </c>
      <c r="Y986" t="s">
        <v>83</v>
      </c>
      <c r="Z986" t="s">
        <v>61</v>
      </c>
      <c r="AA986">
        <v>0</v>
      </c>
      <c r="AB986" s="2">
        <v>0</v>
      </c>
      <c r="AC986" s="2">
        <v>0</v>
      </c>
      <c r="AD986" s="4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13.26</v>
      </c>
      <c r="AM986" s="2">
        <v>0.02</v>
      </c>
      <c r="AN986" s="2">
        <v>0.02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45999</v>
      </c>
      <c r="B987" t="s">
        <v>48</v>
      </c>
      <c r="C987">
        <v>649163</v>
      </c>
      <c r="D987">
        <v>2029910891</v>
      </c>
      <c r="E987" t="s">
        <v>573</v>
      </c>
      <c r="F987" t="s">
        <v>574</v>
      </c>
      <c r="G987" t="s">
        <v>51</v>
      </c>
      <c r="H987" t="s">
        <v>97</v>
      </c>
      <c r="I987" t="s">
        <v>126</v>
      </c>
      <c r="J987" t="s">
        <v>132</v>
      </c>
      <c r="K987">
        <v>856824</v>
      </c>
      <c r="L987" t="s">
        <v>145</v>
      </c>
      <c r="M987" t="s">
        <v>146</v>
      </c>
      <c r="N987" t="s">
        <v>57</v>
      </c>
      <c r="O987" s="1">
        <v>45850</v>
      </c>
      <c r="Q987" s="1">
        <v>46034</v>
      </c>
      <c r="R987" s="2">
        <v>44.15</v>
      </c>
      <c r="S987">
        <v>1</v>
      </c>
      <c r="T987" t="s">
        <v>58</v>
      </c>
      <c r="U987" t="s">
        <v>59</v>
      </c>
      <c r="V987" s="4">
        <v>0.7</v>
      </c>
      <c r="W987" s="2">
        <v>0</v>
      </c>
      <c r="X987">
        <v>0</v>
      </c>
      <c r="Y987" t="s">
        <v>83</v>
      </c>
      <c r="Z987" t="s">
        <v>61</v>
      </c>
      <c r="AA987">
        <v>0</v>
      </c>
      <c r="AB987" s="2">
        <v>0</v>
      </c>
      <c r="AC987" s="2">
        <v>0</v>
      </c>
      <c r="AD987" s="4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30.9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45999</v>
      </c>
      <c r="B988" t="s">
        <v>48</v>
      </c>
      <c r="C988">
        <v>649163</v>
      </c>
      <c r="D988">
        <v>2029919052</v>
      </c>
      <c r="E988" t="s">
        <v>730</v>
      </c>
      <c r="F988" t="s">
        <v>862</v>
      </c>
      <c r="G988" t="s">
        <v>51</v>
      </c>
      <c r="H988" t="s">
        <v>620</v>
      </c>
      <c r="I988" t="s">
        <v>126</v>
      </c>
      <c r="J988" t="s">
        <v>132</v>
      </c>
      <c r="K988">
        <v>651818</v>
      </c>
      <c r="L988" t="s">
        <v>246</v>
      </c>
      <c r="M988" t="s">
        <v>247</v>
      </c>
      <c r="N988" t="s">
        <v>57</v>
      </c>
      <c r="O988" s="1">
        <v>45876</v>
      </c>
      <c r="Q988" s="1">
        <v>46029</v>
      </c>
      <c r="R988" s="2">
        <v>69.37</v>
      </c>
      <c r="S988">
        <v>1</v>
      </c>
      <c r="T988" t="s">
        <v>58</v>
      </c>
      <c r="U988" t="s">
        <v>59</v>
      </c>
      <c r="V988" s="4">
        <v>0.7</v>
      </c>
      <c r="W988" s="2">
        <v>0</v>
      </c>
      <c r="X988">
        <v>0</v>
      </c>
      <c r="Y988" t="s">
        <v>83</v>
      </c>
      <c r="Z988" t="s">
        <v>61</v>
      </c>
      <c r="AA988">
        <v>0</v>
      </c>
      <c r="AB988" s="2">
        <v>0</v>
      </c>
      <c r="AC988" s="2">
        <v>0</v>
      </c>
      <c r="AD988" s="4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48.55</v>
      </c>
      <c r="AM988" s="2">
        <v>0.01</v>
      </c>
      <c r="AN988" s="2">
        <v>0.01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45999</v>
      </c>
      <c r="B989" t="s">
        <v>48</v>
      </c>
      <c r="C989">
        <v>649163</v>
      </c>
      <c r="D989">
        <v>2029959147</v>
      </c>
      <c r="E989" t="s">
        <v>863</v>
      </c>
      <c r="F989" t="s">
        <v>864</v>
      </c>
      <c r="G989" t="s">
        <v>51</v>
      </c>
      <c r="H989" t="s">
        <v>447</v>
      </c>
      <c r="I989" t="s">
        <v>126</v>
      </c>
      <c r="J989" t="s">
        <v>132</v>
      </c>
      <c r="K989">
        <v>651818</v>
      </c>
      <c r="L989" t="s">
        <v>246</v>
      </c>
      <c r="M989" t="s">
        <v>247</v>
      </c>
      <c r="N989" t="s">
        <v>57</v>
      </c>
      <c r="O989" s="1">
        <v>45876</v>
      </c>
      <c r="Q989" s="1">
        <v>46029</v>
      </c>
      <c r="R989" s="2">
        <v>122.32</v>
      </c>
      <c r="S989">
        <v>1</v>
      </c>
      <c r="T989" t="s">
        <v>58</v>
      </c>
      <c r="U989" t="s">
        <v>59</v>
      </c>
      <c r="V989" s="4">
        <v>0.7</v>
      </c>
      <c r="W989" s="2">
        <v>0</v>
      </c>
      <c r="X989">
        <v>0</v>
      </c>
      <c r="Y989" t="s">
        <v>83</v>
      </c>
      <c r="Z989" t="s">
        <v>61</v>
      </c>
      <c r="AA989">
        <v>0</v>
      </c>
      <c r="AB989" s="2">
        <v>0</v>
      </c>
      <c r="AC989" s="2">
        <v>0</v>
      </c>
      <c r="AD989" s="4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85.62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45999</v>
      </c>
      <c r="B990" t="s">
        <v>48</v>
      </c>
      <c r="C990">
        <v>649163</v>
      </c>
      <c r="D990">
        <v>2030002925</v>
      </c>
      <c r="E990" t="s">
        <v>107</v>
      </c>
      <c r="F990" t="s">
        <v>338</v>
      </c>
      <c r="G990" t="s">
        <v>51</v>
      </c>
      <c r="H990" t="s">
        <v>383</v>
      </c>
      <c r="I990" t="s">
        <v>126</v>
      </c>
      <c r="J990" t="s">
        <v>132</v>
      </c>
      <c r="K990">
        <v>824076</v>
      </c>
      <c r="L990" t="s">
        <v>213</v>
      </c>
      <c r="M990" t="s">
        <v>214</v>
      </c>
      <c r="N990" t="s">
        <v>57</v>
      </c>
      <c r="O990" s="1">
        <v>45870</v>
      </c>
      <c r="Q990" s="1">
        <v>46023</v>
      </c>
      <c r="R990" s="2">
        <v>51</v>
      </c>
      <c r="S990">
        <v>1</v>
      </c>
      <c r="T990" t="s">
        <v>58</v>
      </c>
      <c r="U990" t="s">
        <v>59</v>
      </c>
      <c r="V990" s="4">
        <v>0.7</v>
      </c>
      <c r="W990" s="2">
        <v>0</v>
      </c>
      <c r="X990">
        <v>0</v>
      </c>
      <c r="Y990" t="s">
        <v>83</v>
      </c>
      <c r="Z990" t="s">
        <v>61</v>
      </c>
      <c r="AA990">
        <v>0</v>
      </c>
      <c r="AB990" s="2">
        <v>0</v>
      </c>
      <c r="AC990" s="2">
        <v>0</v>
      </c>
      <c r="AD990" s="4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35.700000000000003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45999</v>
      </c>
      <c r="B991" t="s">
        <v>48</v>
      </c>
      <c r="C991">
        <v>649163</v>
      </c>
      <c r="D991">
        <v>2030013620</v>
      </c>
      <c r="E991" t="s">
        <v>352</v>
      </c>
      <c r="F991" t="s">
        <v>866</v>
      </c>
      <c r="G991" t="s">
        <v>51</v>
      </c>
      <c r="H991" t="s">
        <v>447</v>
      </c>
      <c r="I991" t="s">
        <v>126</v>
      </c>
      <c r="J991" t="s">
        <v>132</v>
      </c>
      <c r="K991">
        <v>651818</v>
      </c>
      <c r="L991" t="s">
        <v>246</v>
      </c>
      <c r="M991" t="s">
        <v>247</v>
      </c>
      <c r="N991" t="s">
        <v>57</v>
      </c>
      <c r="O991" s="1">
        <v>45876</v>
      </c>
      <c r="Q991" s="1">
        <v>46029</v>
      </c>
      <c r="R991" s="2">
        <v>64.63</v>
      </c>
      <c r="S991">
        <v>1</v>
      </c>
      <c r="T991" t="s">
        <v>58</v>
      </c>
      <c r="U991" t="s">
        <v>59</v>
      </c>
      <c r="V991" s="4">
        <v>0.7</v>
      </c>
      <c r="W991" s="2">
        <v>0</v>
      </c>
      <c r="X991">
        <v>0</v>
      </c>
      <c r="Y991" t="s">
        <v>83</v>
      </c>
      <c r="Z991" t="s">
        <v>61</v>
      </c>
      <c r="AA991">
        <v>0</v>
      </c>
      <c r="AB991" s="2">
        <v>0</v>
      </c>
      <c r="AC991" s="2">
        <v>0</v>
      </c>
      <c r="AD991" s="4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45.24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45999</v>
      </c>
      <c r="B992" t="s">
        <v>48</v>
      </c>
      <c r="C992">
        <v>649163</v>
      </c>
      <c r="D992">
        <v>2030013621</v>
      </c>
      <c r="E992" t="s">
        <v>352</v>
      </c>
      <c r="F992" t="s">
        <v>866</v>
      </c>
      <c r="G992" t="s">
        <v>51</v>
      </c>
      <c r="H992" t="s">
        <v>447</v>
      </c>
      <c r="I992" t="s">
        <v>126</v>
      </c>
      <c r="J992" t="s">
        <v>375</v>
      </c>
      <c r="K992">
        <v>651818</v>
      </c>
      <c r="L992" t="s">
        <v>246</v>
      </c>
      <c r="M992" t="s">
        <v>247</v>
      </c>
      <c r="N992" t="s">
        <v>57</v>
      </c>
      <c r="O992" s="1">
        <v>45876</v>
      </c>
      <c r="Q992" s="1">
        <v>46029</v>
      </c>
      <c r="R992" s="2">
        <v>47.08</v>
      </c>
      <c r="S992">
        <v>1</v>
      </c>
      <c r="T992" t="s">
        <v>58</v>
      </c>
      <c r="U992" t="s">
        <v>59</v>
      </c>
      <c r="V992" s="4">
        <v>0.9</v>
      </c>
      <c r="W992" s="2">
        <v>0</v>
      </c>
      <c r="X992">
        <v>0</v>
      </c>
      <c r="Y992" t="s">
        <v>83</v>
      </c>
      <c r="Z992" t="s">
        <v>61</v>
      </c>
      <c r="AA992">
        <v>0</v>
      </c>
      <c r="AB992" s="2">
        <v>0</v>
      </c>
      <c r="AC992" s="2">
        <v>0</v>
      </c>
      <c r="AD992" s="4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42.37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45999</v>
      </c>
      <c r="B993" t="s">
        <v>48</v>
      </c>
      <c r="C993">
        <v>649163</v>
      </c>
      <c r="D993">
        <v>2030047486</v>
      </c>
      <c r="E993" t="s">
        <v>801</v>
      </c>
      <c r="F993" t="s">
        <v>140</v>
      </c>
      <c r="G993" t="s">
        <v>51</v>
      </c>
      <c r="H993" t="s">
        <v>447</v>
      </c>
      <c r="I993" t="s">
        <v>126</v>
      </c>
      <c r="J993" t="s">
        <v>132</v>
      </c>
      <c r="K993">
        <v>651818</v>
      </c>
      <c r="L993" t="s">
        <v>246</v>
      </c>
      <c r="M993" t="s">
        <v>247</v>
      </c>
      <c r="N993" t="s">
        <v>57</v>
      </c>
      <c r="O993" s="1">
        <v>45876</v>
      </c>
      <c r="Q993" s="1">
        <v>46029</v>
      </c>
      <c r="R993" s="2">
        <v>94.38</v>
      </c>
      <c r="S993">
        <v>1</v>
      </c>
      <c r="T993" t="s">
        <v>58</v>
      </c>
      <c r="U993" t="s">
        <v>59</v>
      </c>
      <c r="V993" s="4">
        <v>0.7</v>
      </c>
      <c r="W993" s="2">
        <v>0</v>
      </c>
      <c r="X993">
        <v>0</v>
      </c>
      <c r="Y993" t="s">
        <v>83</v>
      </c>
      <c r="Z993" t="s">
        <v>61</v>
      </c>
      <c r="AA993">
        <v>0</v>
      </c>
      <c r="AB993" s="2">
        <v>0</v>
      </c>
      <c r="AC993" s="2">
        <v>0</v>
      </c>
      <c r="AD993" s="4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66.06</v>
      </c>
      <c r="AM993" s="2">
        <v>0.01</v>
      </c>
      <c r="AN993" s="2">
        <v>0.01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45999</v>
      </c>
      <c r="B994" t="s">
        <v>48</v>
      </c>
      <c r="C994">
        <v>649163</v>
      </c>
      <c r="D994">
        <v>2030047733</v>
      </c>
      <c r="E994" t="s">
        <v>867</v>
      </c>
      <c r="F994" t="s">
        <v>868</v>
      </c>
      <c r="G994" t="s">
        <v>51</v>
      </c>
      <c r="H994" t="s">
        <v>74</v>
      </c>
      <c r="I994" t="s">
        <v>126</v>
      </c>
      <c r="J994" t="s">
        <v>132</v>
      </c>
      <c r="K994">
        <v>651818</v>
      </c>
      <c r="L994" t="s">
        <v>246</v>
      </c>
      <c r="M994" t="s">
        <v>247</v>
      </c>
      <c r="N994" t="s">
        <v>57</v>
      </c>
      <c r="O994" s="1">
        <v>45876</v>
      </c>
      <c r="Q994" s="1">
        <v>46029</v>
      </c>
      <c r="R994" s="2">
        <v>75.459999999999994</v>
      </c>
      <c r="S994">
        <v>1</v>
      </c>
      <c r="T994" t="s">
        <v>58</v>
      </c>
      <c r="U994" t="s">
        <v>59</v>
      </c>
      <c r="V994" s="4">
        <v>0.7</v>
      </c>
      <c r="W994" s="2">
        <v>0</v>
      </c>
      <c r="X994">
        <v>0</v>
      </c>
      <c r="Y994" t="s">
        <v>83</v>
      </c>
      <c r="Z994" t="s">
        <v>61</v>
      </c>
      <c r="AA994">
        <v>0</v>
      </c>
      <c r="AB994" s="2">
        <v>0</v>
      </c>
      <c r="AC994" s="2">
        <v>0</v>
      </c>
      <c r="AD994" s="4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52.82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45999</v>
      </c>
      <c r="B995" t="s">
        <v>48</v>
      </c>
      <c r="C995">
        <v>649163</v>
      </c>
      <c r="D995">
        <v>2030090691</v>
      </c>
      <c r="E995" t="s">
        <v>233</v>
      </c>
      <c r="F995" t="s">
        <v>869</v>
      </c>
      <c r="G995" t="s">
        <v>51</v>
      </c>
      <c r="H995" t="s">
        <v>386</v>
      </c>
      <c r="I995" t="s">
        <v>126</v>
      </c>
      <c r="J995" t="s">
        <v>375</v>
      </c>
      <c r="K995">
        <v>651818</v>
      </c>
      <c r="L995" t="s">
        <v>246</v>
      </c>
      <c r="M995" t="s">
        <v>247</v>
      </c>
      <c r="N995" t="s">
        <v>57</v>
      </c>
      <c r="O995" s="1">
        <v>45876</v>
      </c>
      <c r="Q995" s="1">
        <v>46029</v>
      </c>
      <c r="R995" s="2">
        <v>13.31</v>
      </c>
      <c r="S995">
        <v>1</v>
      </c>
      <c r="T995" t="s">
        <v>58</v>
      </c>
      <c r="U995" t="s">
        <v>59</v>
      </c>
      <c r="V995" s="4">
        <v>0.9</v>
      </c>
      <c r="W995" s="2">
        <v>0</v>
      </c>
      <c r="X995">
        <v>0</v>
      </c>
      <c r="Y995" t="s">
        <v>83</v>
      </c>
      <c r="Z995" t="s">
        <v>61</v>
      </c>
      <c r="AA995">
        <v>0</v>
      </c>
      <c r="AB995" s="2">
        <v>0</v>
      </c>
      <c r="AC995" s="2">
        <v>0</v>
      </c>
      <c r="AD995" s="4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11.97</v>
      </c>
      <c r="AM995" s="2">
        <v>0.01</v>
      </c>
      <c r="AN995" s="2">
        <v>0.01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45999</v>
      </c>
      <c r="B996" t="s">
        <v>48</v>
      </c>
      <c r="C996">
        <v>649163</v>
      </c>
      <c r="D996">
        <v>2030178517</v>
      </c>
      <c r="E996" t="s">
        <v>575</v>
      </c>
      <c r="F996" t="s">
        <v>576</v>
      </c>
      <c r="G996" t="s">
        <v>51</v>
      </c>
      <c r="H996" t="s">
        <v>515</v>
      </c>
      <c r="I996" t="s">
        <v>126</v>
      </c>
      <c r="J996" t="s">
        <v>132</v>
      </c>
      <c r="K996">
        <v>822865</v>
      </c>
      <c r="L996" t="s">
        <v>534</v>
      </c>
      <c r="M996" t="s">
        <v>535</v>
      </c>
      <c r="N996" t="s">
        <v>57</v>
      </c>
      <c r="O996" s="1">
        <v>45867</v>
      </c>
      <c r="Q996" s="1">
        <v>46020</v>
      </c>
      <c r="R996" s="2">
        <v>31.15</v>
      </c>
      <c r="S996">
        <v>1</v>
      </c>
      <c r="T996" t="s">
        <v>58</v>
      </c>
      <c r="U996" t="s">
        <v>59</v>
      </c>
      <c r="V996" s="4">
        <v>0.7</v>
      </c>
      <c r="W996" s="2">
        <v>0</v>
      </c>
      <c r="X996">
        <v>0</v>
      </c>
      <c r="Y996" t="s">
        <v>83</v>
      </c>
      <c r="Z996" t="s">
        <v>61</v>
      </c>
      <c r="AA996">
        <v>0</v>
      </c>
      <c r="AB996" s="2">
        <v>0</v>
      </c>
      <c r="AC996" s="2">
        <v>0</v>
      </c>
      <c r="AD996" s="4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21.8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45999</v>
      </c>
      <c r="B997" t="s">
        <v>48</v>
      </c>
      <c r="C997">
        <v>649163</v>
      </c>
      <c r="D997">
        <v>2030189267</v>
      </c>
      <c r="E997" t="s">
        <v>577</v>
      </c>
      <c r="F997" t="s">
        <v>578</v>
      </c>
      <c r="G997" t="s">
        <v>51</v>
      </c>
      <c r="H997" t="s">
        <v>220</v>
      </c>
      <c r="I997" t="s">
        <v>126</v>
      </c>
      <c r="J997" t="s">
        <v>127</v>
      </c>
      <c r="K997">
        <v>651818</v>
      </c>
      <c r="L997" t="s">
        <v>246</v>
      </c>
      <c r="M997" t="s">
        <v>247</v>
      </c>
      <c r="N997" t="s">
        <v>57</v>
      </c>
      <c r="O997" s="1">
        <v>45876</v>
      </c>
      <c r="Q997" s="1">
        <v>46029</v>
      </c>
      <c r="R997" s="2">
        <v>25.73</v>
      </c>
      <c r="S997">
        <v>1</v>
      </c>
      <c r="T997" t="s">
        <v>58</v>
      </c>
      <c r="U997" t="s">
        <v>59</v>
      </c>
      <c r="V997" s="4">
        <v>0.7</v>
      </c>
      <c r="W997" s="2">
        <v>0</v>
      </c>
      <c r="X997">
        <v>0</v>
      </c>
      <c r="Y997" t="s">
        <v>83</v>
      </c>
      <c r="Z997" t="s">
        <v>61</v>
      </c>
      <c r="AA997">
        <v>0</v>
      </c>
      <c r="AB997" s="2">
        <v>0</v>
      </c>
      <c r="AC997" s="2">
        <v>0</v>
      </c>
      <c r="AD997" s="4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18.010000000000002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45999</v>
      </c>
      <c r="B998" t="s">
        <v>48</v>
      </c>
      <c r="C998">
        <v>649163</v>
      </c>
      <c r="D998">
        <v>2030192140</v>
      </c>
      <c r="E998" t="s">
        <v>870</v>
      </c>
      <c r="F998" t="s">
        <v>871</v>
      </c>
      <c r="G998" t="s">
        <v>51</v>
      </c>
      <c r="H998" t="s">
        <v>389</v>
      </c>
      <c r="I998" t="s">
        <v>126</v>
      </c>
      <c r="J998" t="s">
        <v>132</v>
      </c>
      <c r="K998">
        <v>651818</v>
      </c>
      <c r="L998" t="s">
        <v>246</v>
      </c>
      <c r="M998" t="s">
        <v>247</v>
      </c>
      <c r="N998" t="s">
        <v>57</v>
      </c>
      <c r="O998" s="1">
        <v>45876</v>
      </c>
      <c r="Q998" s="1">
        <v>46029</v>
      </c>
      <c r="R998" s="2">
        <v>34</v>
      </c>
      <c r="S998">
        <v>1</v>
      </c>
      <c r="T998" t="s">
        <v>58</v>
      </c>
      <c r="U998" t="s">
        <v>59</v>
      </c>
      <c r="V998" s="4">
        <v>0.7</v>
      </c>
      <c r="W998" s="2">
        <v>0</v>
      </c>
      <c r="X998">
        <v>0</v>
      </c>
      <c r="Y998" t="s">
        <v>83</v>
      </c>
      <c r="Z998" t="s">
        <v>61</v>
      </c>
      <c r="AA998">
        <v>0</v>
      </c>
      <c r="AB998" s="2">
        <v>0</v>
      </c>
      <c r="AC998" s="2">
        <v>0</v>
      </c>
      <c r="AD998" s="4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23.8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45999</v>
      </c>
      <c r="B999" t="s">
        <v>48</v>
      </c>
      <c r="C999">
        <v>649163</v>
      </c>
      <c r="D999">
        <v>2030193265</v>
      </c>
      <c r="E999" t="s">
        <v>1035</v>
      </c>
      <c r="F999" t="s">
        <v>359</v>
      </c>
      <c r="G999" t="s">
        <v>51</v>
      </c>
      <c r="H999" t="s">
        <v>102</v>
      </c>
      <c r="I999" t="s">
        <v>126</v>
      </c>
      <c r="J999" t="s">
        <v>132</v>
      </c>
      <c r="K999">
        <v>651818</v>
      </c>
      <c r="L999" t="s">
        <v>246</v>
      </c>
      <c r="M999" t="s">
        <v>247</v>
      </c>
      <c r="N999" t="s">
        <v>57</v>
      </c>
      <c r="O999" s="1">
        <v>45875</v>
      </c>
      <c r="Q999" s="1">
        <v>46028</v>
      </c>
      <c r="R999" s="2">
        <v>117.94</v>
      </c>
      <c r="S999">
        <v>1</v>
      </c>
      <c r="T999" t="s">
        <v>58</v>
      </c>
      <c r="U999" t="s">
        <v>59</v>
      </c>
      <c r="V999" s="4">
        <v>0.7</v>
      </c>
      <c r="W999" s="2">
        <v>0</v>
      </c>
      <c r="X999">
        <v>0</v>
      </c>
      <c r="Y999" t="s">
        <v>83</v>
      </c>
      <c r="Z999" t="s">
        <v>61</v>
      </c>
      <c r="AA999">
        <v>0</v>
      </c>
      <c r="AB999" s="2">
        <v>0</v>
      </c>
      <c r="AC999" s="2">
        <v>0</v>
      </c>
      <c r="AD999" s="4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82.55</v>
      </c>
      <c r="AM999" s="2">
        <v>0.01</v>
      </c>
      <c r="AN999" s="2">
        <v>0.01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45999</v>
      </c>
      <c r="B1000" t="s">
        <v>48</v>
      </c>
      <c r="C1000">
        <v>649163</v>
      </c>
      <c r="D1000">
        <v>2030228487</v>
      </c>
      <c r="E1000" t="s">
        <v>872</v>
      </c>
      <c r="F1000" t="s">
        <v>873</v>
      </c>
      <c r="G1000" t="s">
        <v>51</v>
      </c>
      <c r="H1000" t="s">
        <v>97</v>
      </c>
      <c r="I1000" t="s">
        <v>126</v>
      </c>
      <c r="J1000" t="s">
        <v>132</v>
      </c>
      <c r="K1000">
        <v>673059</v>
      </c>
      <c r="L1000" t="s">
        <v>81</v>
      </c>
      <c r="M1000" t="s">
        <v>82</v>
      </c>
      <c r="N1000" t="s">
        <v>57</v>
      </c>
      <c r="O1000" s="1">
        <v>45875</v>
      </c>
      <c r="Q1000" s="1">
        <v>46028</v>
      </c>
      <c r="R1000" s="2">
        <v>103.76</v>
      </c>
      <c r="S1000">
        <v>1</v>
      </c>
      <c r="T1000" t="s">
        <v>58</v>
      </c>
      <c r="U1000" t="s">
        <v>59</v>
      </c>
      <c r="V1000" s="4">
        <v>0.7</v>
      </c>
      <c r="W1000" s="2">
        <v>0</v>
      </c>
      <c r="X1000">
        <v>0</v>
      </c>
      <c r="Y1000" t="s">
        <v>83</v>
      </c>
      <c r="Z1000" t="s">
        <v>61</v>
      </c>
      <c r="AA1000">
        <v>0</v>
      </c>
      <c r="AB1000" s="2">
        <v>0</v>
      </c>
      <c r="AC1000" s="2">
        <v>0</v>
      </c>
      <c r="AD1000" s="4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72.63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45999</v>
      </c>
      <c r="B1001" t="s">
        <v>48</v>
      </c>
      <c r="C1001">
        <v>649163</v>
      </c>
      <c r="D1001">
        <v>2030228488</v>
      </c>
      <c r="E1001" t="s">
        <v>872</v>
      </c>
      <c r="F1001" t="s">
        <v>873</v>
      </c>
      <c r="G1001" t="s">
        <v>51</v>
      </c>
      <c r="H1001" t="s">
        <v>97</v>
      </c>
      <c r="I1001" t="s">
        <v>126</v>
      </c>
      <c r="J1001" t="s">
        <v>127</v>
      </c>
      <c r="K1001">
        <v>673059</v>
      </c>
      <c r="L1001" t="s">
        <v>81</v>
      </c>
      <c r="M1001" t="s">
        <v>82</v>
      </c>
      <c r="N1001" t="s">
        <v>57</v>
      </c>
      <c r="O1001" s="1">
        <v>45875</v>
      </c>
      <c r="Q1001" s="1">
        <v>46028</v>
      </c>
      <c r="R1001" s="2">
        <v>25.73</v>
      </c>
      <c r="S1001">
        <v>1</v>
      </c>
      <c r="T1001" t="s">
        <v>58</v>
      </c>
      <c r="U1001" t="s">
        <v>59</v>
      </c>
      <c r="V1001" s="4">
        <v>0.7</v>
      </c>
      <c r="W1001" s="2">
        <v>0</v>
      </c>
      <c r="X1001">
        <v>0</v>
      </c>
      <c r="Y1001" t="s">
        <v>83</v>
      </c>
      <c r="Z1001" t="s">
        <v>61</v>
      </c>
      <c r="AA1001">
        <v>0</v>
      </c>
      <c r="AB1001" s="2">
        <v>0</v>
      </c>
      <c r="AC1001" s="2">
        <v>0</v>
      </c>
      <c r="AD1001" s="4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18.010000000000002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45999</v>
      </c>
      <c r="B1002" t="s">
        <v>48</v>
      </c>
      <c r="C1002">
        <v>649163</v>
      </c>
      <c r="D1002">
        <v>2030232005</v>
      </c>
      <c r="E1002" t="s">
        <v>1142</v>
      </c>
      <c r="F1002" t="s">
        <v>1143</v>
      </c>
      <c r="G1002" t="s">
        <v>51</v>
      </c>
      <c r="H1002" t="s">
        <v>79</v>
      </c>
      <c r="I1002" t="s">
        <v>126</v>
      </c>
      <c r="J1002" t="s">
        <v>132</v>
      </c>
      <c r="K1002">
        <v>812656</v>
      </c>
      <c r="L1002" t="s">
        <v>401</v>
      </c>
      <c r="M1002" t="s">
        <v>233</v>
      </c>
      <c r="N1002" t="s">
        <v>57</v>
      </c>
      <c r="O1002" s="1">
        <v>45880</v>
      </c>
      <c r="Q1002" s="1">
        <v>46033</v>
      </c>
      <c r="R1002" s="2">
        <v>54.83</v>
      </c>
      <c r="S1002">
        <v>1</v>
      </c>
      <c r="T1002" t="s">
        <v>58</v>
      </c>
      <c r="U1002" t="s">
        <v>59</v>
      </c>
      <c r="V1002" s="4">
        <v>0.7</v>
      </c>
      <c r="W1002" s="2">
        <v>0</v>
      </c>
      <c r="X1002">
        <v>0</v>
      </c>
      <c r="Y1002" t="s">
        <v>83</v>
      </c>
      <c r="Z1002" t="s">
        <v>61</v>
      </c>
      <c r="AA1002">
        <v>0</v>
      </c>
      <c r="AB1002" s="2">
        <v>0</v>
      </c>
      <c r="AC1002" s="2">
        <v>0</v>
      </c>
      <c r="AD1002" s="4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38.380000000000003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45999</v>
      </c>
      <c r="B1003" t="s">
        <v>48</v>
      </c>
      <c r="C1003">
        <v>649163</v>
      </c>
      <c r="D1003">
        <v>2030244414</v>
      </c>
      <c r="E1003" t="s">
        <v>1144</v>
      </c>
      <c r="F1003" t="s">
        <v>817</v>
      </c>
      <c r="G1003" t="s">
        <v>51</v>
      </c>
      <c r="H1003" t="s">
        <v>357</v>
      </c>
      <c r="I1003" t="s">
        <v>126</v>
      </c>
      <c r="J1003" t="s">
        <v>375</v>
      </c>
      <c r="K1003">
        <v>767312</v>
      </c>
      <c r="L1003" t="s">
        <v>138</v>
      </c>
      <c r="M1003" t="s">
        <v>107</v>
      </c>
      <c r="N1003" t="s">
        <v>57</v>
      </c>
      <c r="O1003" s="1">
        <v>45870</v>
      </c>
      <c r="Q1003" s="1">
        <v>46023</v>
      </c>
      <c r="R1003" s="2">
        <v>34.75</v>
      </c>
      <c r="S1003">
        <v>1</v>
      </c>
      <c r="T1003" t="s">
        <v>58</v>
      </c>
      <c r="U1003" t="s">
        <v>59</v>
      </c>
      <c r="V1003" s="4">
        <v>0.9</v>
      </c>
      <c r="W1003" s="2">
        <v>0</v>
      </c>
      <c r="X1003">
        <v>0</v>
      </c>
      <c r="Y1003" t="s">
        <v>83</v>
      </c>
      <c r="Z1003" t="s">
        <v>61</v>
      </c>
      <c r="AA1003">
        <v>0</v>
      </c>
      <c r="AB1003" s="2">
        <v>0</v>
      </c>
      <c r="AC1003" s="2">
        <v>0</v>
      </c>
      <c r="AD1003" s="4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31.28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45999</v>
      </c>
      <c r="B1004" t="s">
        <v>48</v>
      </c>
      <c r="C1004">
        <v>649163</v>
      </c>
      <c r="D1004">
        <v>2030277548</v>
      </c>
      <c r="E1004" t="s">
        <v>681</v>
      </c>
      <c r="F1004" t="s">
        <v>682</v>
      </c>
      <c r="G1004" t="s">
        <v>51</v>
      </c>
      <c r="H1004" t="s">
        <v>210</v>
      </c>
      <c r="I1004" t="s">
        <v>126</v>
      </c>
      <c r="J1004" t="s">
        <v>127</v>
      </c>
      <c r="K1004">
        <v>673059</v>
      </c>
      <c r="L1004" t="s">
        <v>81</v>
      </c>
      <c r="M1004" t="s">
        <v>82</v>
      </c>
      <c r="N1004" t="s">
        <v>57</v>
      </c>
      <c r="O1004" s="1">
        <v>45878</v>
      </c>
      <c r="Q1004" s="1">
        <v>46031</v>
      </c>
      <c r="R1004" s="2">
        <v>49.83</v>
      </c>
      <c r="S1004">
        <v>1</v>
      </c>
      <c r="T1004" t="s">
        <v>58</v>
      </c>
      <c r="U1004" t="s">
        <v>59</v>
      </c>
      <c r="V1004" s="4">
        <v>0.7</v>
      </c>
      <c r="W1004" s="2">
        <v>0</v>
      </c>
      <c r="X1004">
        <v>0</v>
      </c>
      <c r="Y1004" t="s">
        <v>83</v>
      </c>
      <c r="Z1004" t="s">
        <v>61</v>
      </c>
      <c r="AA1004">
        <v>0</v>
      </c>
      <c r="AB1004" s="2">
        <v>0</v>
      </c>
      <c r="AC1004" s="2">
        <v>0</v>
      </c>
      <c r="AD1004" s="4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34.880000000000003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45999</v>
      </c>
      <c r="B1005" t="s">
        <v>48</v>
      </c>
      <c r="C1005">
        <v>649163</v>
      </c>
      <c r="D1005">
        <v>2030277549</v>
      </c>
      <c r="E1005" t="s">
        <v>681</v>
      </c>
      <c r="F1005" t="s">
        <v>682</v>
      </c>
      <c r="G1005" t="s">
        <v>51</v>
      </c>
      <c r="H1005" t="s">
        <v>210</v>
      </c>
      <c r="I1005" t="s">
        <v>126</v>
      </c>
      <c r="J1005" t="s">
        <v>132</v>
      </c>
      <c r="K1005">
        <v>673059</v>
      </c>
      <c r="L1005" t="s">
        <v>81</v>
      </c>
      <c r="M1005" t="s">
        <v>82</v>
      </c>
      <c r="N1005" t="s">
        <v>57</v>
      </c>
      <c r="O1005" s="1">
        <v>45878</v>
      </c>
      <c r="Q1005" s="1">
        <v>46031</v>
      </c>
      <c r="R1005" s="2">
        <v>188.08</v>
      </c>
      <c r="S1005">
        <v>1</v>
      </c>
      <c r="T1005" t="s">
        <v>58</v>
      </c>
      <c r="U1005" t="s">
        <v>59</v>
      </c>
      <c r="V1005" s="4">
        <v>0.7</v>
      </c>
      <c r="W1005" s="2">
        <v>0</v>
      </c>
      <c r="X1005">
        <v>0</v>
      </c>
      <c r="Y1005" t="s">
        <v>83</v>
      </c>
      <c r="Z1005" t="s">
        <v>61</v>
      </c>
      <c r="AA1005">
        <v>0</v>
      </c>
      <c r="AB1005" s="2">
        <v>0</v>
      </c>
      <c r="AC1005" s="2">
        <v>0</v>
      </c>
      <c r="AD1005" s="4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131.66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45999</v>
      </c>
      <c r="B1006" t="s">
        <v>48</v>
      </c>
      <c r="C1006">
        <v>649163</v>
      </c>
      <c r="D1006">
        <v>2030302641</v>
      </c>
      <c r="E1006" t="s">
        <v>279</v>
      </c>
      <c r="F1006" t="s">
        <v>1145</v>
      </c>
      <c r="G1006" t="s">
        <v>51</v>
      </c>
      <c r="H1006" t="s">
        <v>395</v>
      </c>
      <c r="I1006" t="s">
        <v>126</v>
      </c>
      <c r="J1006" t="s">
        <v>132</v>
      </c>
      <c r="K1006">
        <v>822733</v>
      </c>
      <c r="L1006" t="s">
        <v>224</v>
      </c>
      <c r="M1006" t="s">
        <v>225</v>
      </c>
      <c r="N1006" t="s">
        <v>57</v>
      </c>
      <c r="O1006" s="1">
        <v>45876</v>
      </c>
      <c r="Q1006" s="1">
        <v>46029</v>
      </c>
      <c r="R1006" s="2">
        <v>45.46</v>
      </c>
      <c r="S1006">
        <v>1</v>
      </c>
      <c r="T1006" t="s">
        <v>58</v>
      </c>
      <c r="U1006" t="s">
        <v>59</v>
      </c>
      <c r="V1006" s="4">
        <v>0.7</v>
      </c>
      <c r="W1006" s="2">
        <v>0</v>
      </c>
      <c r="X1006">
        <v>0</v>
      </c>
      <c r="Y1006" t="s">
        <v>83</v>
      </c>
      <c r="Z1006" t="s">
        <v>61</v>
      </c>
      <c r="AA1006">
        <v>0</v>
      </c>
      <c r="AB1006" s="2">
        <v>0</v>
      </c>
      <c r="AC1006" s="2">
        <v>0</v>
      </c>
      <c r="AD1006" s="4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31.82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45999</v>
      </c>
      <c r="B1007" t="s">
        <v>48</v>
      </c>
      <c r="C1007">
        <v>649163</v>
      </c>
      <c r="D1007">
        <v>2030317595</v>
      </c>
      <c r="E1007" t="s">
        <v>874</v>
      </c>
      <c r="F1007" t="s">
        <v>824</v>
      </c>
      <c r="G1007" t="s">
        <v>51</v>
      </c>
      <c r="H1007" t="s">
        <v>102</v>
      </c>
      <c r="I1007" t="s">
        <v>126</v>
      </c>
      <c r="J1007" t="s">
        <v>132</v>
      </c>
      <c r="K1007">
        <v>651818</v>
      </c>
      <c r="L1007" t="s">
        <v>246</v>
      </c>
      <c r="M1007" t="s">
        <v>247</v>
      </c>
      <c r="N1007" t="s">
        <v>57</v>
      </c>
      <c r="O1007" s="1">
        <v>45906</v>
      </c>
      <c r="Q1007" s="1">
        <v>46028</v>
      </c>
      <c r="R1007" s="2">
        <v>115.38</v>
      </c>
      <c r="S1007">
        <v>1</v>
      </c>
      <c r="T1007" t="s">
        <v>58</v>
      </c>
      <c r="U1007" t="s">
        <v>59</v>
      </c>
      <c r="V1007" s="4">
        <v>0.7</v>
      </c>
      <c r="W1007" s="2">
        <v>0</v>
      </c>
      <c r="X1007">
        <v>0</v>
      </c>
      <c r="Y1007" t="s">
        <v>83</v>
      </c>
      <c r="Z1007" t="s">
        <v>61</v>
      </c>
      <c r="AA1007">
        <v>0</v>
      </c>
      <c r="AB1007" s="2">
        <v>0</v>
      </c>
      <c r="AC1007" s="2">
        <v>0</v>
      </c>
      <c r="AD1007" s="4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80.77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45999</v>
      </c>
      <c r="B1008" t="s">
        <v>48</v>
      </c>
      <c r="C1008">
        <v>649163</v>
      </c>
      <c r="D1008">
        <v>2030329363</v>
      </c>
      <c r="E1008" t="s">
        <v>481</v>
      </c>
      <c r="F1008" t="s">
        <v>875</v>
      </c>
      <c r="G1008" t="s">
        <v>51</v>
      </c>
      <c r="H1008" t="s">
        <v>163</v>
      </c>
      <c r="I1008" t="s">
        <v>126</v>
      </c>
      <c r="J1008" t="s">
        <v>402</v>
      </c>
      <c r="K1008">
        <v>823068</v>
      </c>
      <c r="L1008" t="s">
        <v>165</v>
      </c>
      <c r="M1008" t="s">
        <v>166</v>
      </c>
      <c r="N1008" t="s">
        <v>57</v>
      </c>
      <c r="O1008" s="1">
        <v>45878</v>
      </c>
      <c r="Q1008" s="1">
        <v>46031</v>
      </c>
      <c r="R1008" s="2">
        <v>43.86</v>
      </c>
      <c r="S1008">
        <v>1</v>
      </c>
      <c r="T1008" t="s">
        <v>58</v>
      </c>
      <c r="U1008" t="s">
        <v>59</v>
      </c>
      <c r="V1008" s="4">
        <v>0.42</v>
      </c>
      <c r="W1008" s="2">
        <v>0</v>
      </c>
      <c r="X1008">
        <v>0</v>
      </c>
      <c r="Y1008" t="s">
        <v>83</v>
      </c>
      <c r="Z1008" t="s">
        <v>61</v>
      </c>
      <c r="AA1008">
        <v>0</v>
      </c>
      <c r="AB1008" s="2">
        <v>0</v>
      </c>
      <c r="AC1008" s="2">
        <v>0</v>
      </c>
      <c r="AD1008" s="4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18.420000000000002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45999</v>
      </c>
      <c r="B1009" t="s">
        <v>48</v>
      </c>
      <c r="C1009">
        <v>649163</v>
      </c>
      <c r="D1009">
        <v>2030329364</v>
      </c>
      <c r="E1009" t="s">
        <v>481</v>
      </c>
      <c r="F1009" t="s">
        <v>875</v>
      </c>
      <c r="G1009" t="s">
        <v>51</v>
      </c>
      <c r="H1009" t="s">
        <v>163</v>
      </c>
      <c r="I1009" t="s">
        <v>126</v>
      </c>
      <c r="J1009" t="s">
        <v>127</v>
      </c>
      <c r="K1009">
        <v>823068</v>
      </c>
      <c r="L1009" t="s">
        <v>165</v>
      </c>
      <c r="M1009" t="s">
        <v>166</v>
      </c>
      <c r="N1009" t="s">
        <v>57</v>
      </c>
      <c r="O1009" s="1">
        <v>45878</v>
      </c>
      <c r="Q1009" s="1">
        <v>46031</v>
      </c>
      <c r="R1009" s="2">
        <v>24.61</v>
      </c>
      <c r="S1009">
        <v>1</v>
      </c>
      <c r="T1009" t="s">
        <v>58</v>
      </c>
      <c r="U1009" t="s">
        <v>59</v>
      </c>
      <c r="V1009" s="4">
        <v>0.7</v>
      </c>
      <c r="W1009" s="2">
        <v>0</v>
      </c>
      <c r="X1009">
        <v>0</v>
      </c>
      <c r="Y1009" t="s">
        <v>83</v>
      </c>
      <c r="Z1009" t="s">
        <v>61</v>
      </c>
      <c r="AA1009">
        <v>0</v>
      </c>
      <c r="AB1009" s="2">
        <v>0</v>
      </c>
      <c r="AC1009" s="2">
        <v>0</v>
      </c>
      <c r="AD1009" s="4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17.23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45999</v>
      </c>
      <c r="B1010" t="s">
        <v>48</v>
      </c>
      <c r="C1010">
        <v>649163</v>
      </c>
      <c r="D1010">
        <v>2030336752</v>
      </c>
      <c r="E1010" t="s">
        <v>876</v>
      </c>
      <c r="F1010" t="s">
        <v>245</v>
      </c>
      <c r="G1010" t="s">
        <v>51</v>
      </c>
      <c r="H1010" t="s">
        <v>374</v>
      </c>
      <c r="I1010" t="s">
        <v>126</v>
      </c>
      <c r="J1010" t="s">
        <v>132</v>
      </c>
      <c r="K1010">
        <v>651818</v>
      </c>
      <c r="L1010" t="s">
        <v>246</v>
      </c>
      <c r="M1010" t="s">
        <v>247</v>
      </c>
      <c r="N1010" t="s">
        <v>57</v>
      </c>
      <c r="O1010" s="1">
        <v>45906</v>
      </c>
      <c r="Q1010" s="1">
        <v>46028</v>
      </c>
      <c r="R1010" s="2">
        <v>31.88</v>
      </c>
      <c r="S1010">
        <v>1</v>
      </c>
      <c r="T1010" t="s">
        <v>58</v>
      </c>
      <c r="U1010" t="s">
        <v>59</v>
      </c>
      <c r="V1010" s="4">
        <v>0.7</v>
      </c>
      <c r="W1010" s="2">
        <v>0</v>
      </c>
      <c r="X1010">
        <v>0</v>
      </c>
      <c r="Y1010" t="s">
        <v>83</v>
      </c>
      <c r="Z1010" t="s">
        <v>61</v>
      </c>
      <c r="AA1010">
        <v>0</v>
      </c>
      <c r="AB1010" s="2">
        <v>0</v>
      </c>
      <c r="AC1010" s="2">
        <v>0</v>
      </c>
      <c r="AD1010" s="4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22.32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45999</v>
      </c>
      <c r="B1011" t="s">
        <v>48</v>
      </c>
      <c r="C1011">
        <v>649163</v>
      </c>
      <c r="D1011">
        <v>2030339441</v>
      </c>
      <c r="E1011" t="s">
        <v>1146</v>
      </c>
      <c r="F1011" t="s">
        <v>1147</v>
      </c>
      <c r="G1011" t="s">
        <v>51</v>
      </c>
      <c r="H1011" t="s">
        <v>102</v>
      </c>
      <c r="I1011" t="s">
        <v>126</v>
      </c>
      <c r="J1011" t="s">
        <v>132</v>
      </c>
      <c r="K1011">
        <v>807212</v>
      </c>
      <c r="L1011" t="s">
        <v>418</v>
      </c>
      <c r="M1011" t="s">
        <v>419</v>
      </c>
      <c r="N1011" t="s">
        <v>57</v>
      </c>
      <c r="O1011" s="1">
        <v>45875</v>
      </c>
      <c r="Q1011" s="1">
        <v>46028</v>
      </c>
      <c r="R1011" s="2">
        <v>49.8</v>
      </c>
      <c r="S1011">
        <v>1</v>
      </c>
      <c r="T1011" t="s">
        <v>58</v>
      </c>
      <c r="U1011" t="s">
        <v>59</v>
      </c>
      <c r="V1011" s="4">
        <v>0.7</v>
      </c>
      <c r="W1011" s="2">
        <v>0</v>
      </c>
      <c r="X1011">
        <v>0</v>
      </c>
      <c r="Y1011" t="s">
        <v>83</v>
      </c>
      <c r="Z1011" t="s">
        <v>61</v>
      </c>
      <c r="AA1011">
        <v>0</v>
      </c>
      <c r="AB1011" s="2">
        <v>0</v>
      </c>
      <c r="AC1011" s="2">
        <v>0</v>
      </c>
      <c r="AD1011" s="4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34.86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45999</v>
      </c>
      <c r="B1012" t="s">
        <v>48</v>
      </c>
      <c r="C1012">
        <v>649163</v>
      </c>
      <c r="D1012">
        <v>2030345986</v>
      </c>
      <c r="E1012" t="s">
        <v>279</v>
      </c>
      <c r="F1012" t="s">
        <v>877</v>
      </c>
      <c r="G1012" t="s">
        <v>51</v>
      </c>
      <c r="H1012" t="s">
        <v>163</v>
      </c>
      <c r="I1012" t="s">
        <v>126</v>
      </c>
      <c r="J1012" t="s">
        <v>127</v>
      </c>
      <c r="K1012">
        <v>823068</v>
      </c>
      <c r="L1012" t="s">
        <v>165</v>
      </c>
      <c r="M1012" t="s">
        <v>166</v>
      </c>
      <c r="N1012" t="s">
        <v>57</v>
      </c>
      <c r="O1012" s="1">
        <v>45876</v>
      </c>
      <c r="Q1012" s="1">
        <v>46029</v>
      </c>
      <c r="R1012" s="2">
        <v>24.61</v>
      </c>
      <c r="S1012">
        <v>1</v>
      </c>
      <c r="T1012" t="s">
        <v>58</v>
      </c>
      <c r="U1012" t="s">
        <v>59</v>
      </c>
      <c r="V1012" s="4">
        <v>0.7</v>
      </c>
      <c r="W1012" s="2">
        <v>0</v>
      </c>
      <c r="X1012">
        <v>0</v>
      </c>
      <c r="Y1012" t="s">
        <v>83</v>
      </c>
      <c r="Z1012" t="s">
        <v>61</v>
      </c>
      <c r="AA1012">
        <v>0</v>
      </c>
      <c r="AB1012" s="2">
        <v>0</v>
      </c>
      <c r="AC1012" s="2">
        <v>0</v>
      </c>
      <c r="AD1012" s="4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17.23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45999</v>
      </c>
      <c r="B1013" t="s">
        <v>48</v>
      </c>
      <c r="C1013">
        <v>649163</v>
      </c>
      <c r="D1013">
        <v>2030359370</v>
      </c>
      <c r="E1013" t="s">
        <v>1148</v>
      </c>
      <c r="F1013" t="s">
        <v>1149</v>
      </c>
      <c r="G1013" t="s">
        <v>51</v>
      </c>
      <c r="H1013" t="s">
        <v>389</v>
      </c>
      <c r="I1013" t="s">
        <v>126</v>
      </c>
      <c r="J1013" t="s">
        <v>402</v>
      </c>
      <c r="K1013">
        <v>767312</v>
      </c>
      <c r="L1013" t="s">
        <v>138</v>
      </c>
      <c r="M1013" t="s">
        <v>107</v>
      </c>
      <c r="N1013" t="s">
        <v>57</v>
      </c>
      <c r="O1013" s="1">
        <v>45879</v>
      </c>
      <c r="Q1013" s="1">
        <v>46032</v>
      </c>
      <c r="R1013" s="2">
        <v>15.73</v>
      </c>
      <c r="S1013">
        <v>1</v>
      </c>
      <c r="T1013" t="s">
        <v>58</v>
      </c>
      <c r="U1013" t="s">
        <v>59</v>
      </c>
      <c r="V1013" s="4">
        <v>0.42</v>
      </c>
      <c r="W1013" s="2">
        <v>0</v>
      </c>
      <c r="X1013">
        <v>0</v>
      </c>
      <c r="Y1013" t="s">
        <v>83</v>
      </c>
      <c r="Z1013" t="s">
        <v>61</v>
      </c>
      <c r="AA1013">
        <v>0</v>
      </c>
      <c r="AB1013" s="2">
        <v>0</v>
      </c>
      <c r="AC1013" s="2">
        <v>0</v>
      </c>
      <c r="AD1013" s="4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6.61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45999</v>
      </c>
      <c r="B1014" t="s">
        <v>48</v>
      </c>
      <c r="C1014">
        <v>649163</v>
      </c>
      <c r="D1014">
        <v>2030359371</v>
      </c>
      <c r="E1014" t="s">
        <v>1148</v>
      </c>
      <c r="F1014" t="s">
        <v>1149</v>
      </c>
      <c r="G1014" t="s">
        <v>51</v>
      </c>
      <c r="H1014" t="s">
        <v>389</v>
      </c>
      <c r="I1014" t="s">
        <v>126</v>
      </c>
      <c r="J1014" t="s">
        <v>375</v>
      </c>
      <c r="K1014">
        <v>767312</v>
      </c>
      <c r="L1014" t="s">
        <v>138</v>
      </c>
      <c r="M1014" t="s">
        <v>107</v>
      </c>
      <c r="N1014" t="s">
        <v>57</v>
      </c>
      <c r="O1014" s="1">
        <v>45879</v>
      </c>
      <c r="Q1014" s="1">
        <v>46032</v>
      </c>
      <c r="R1014" s="2">
        <v>37.42</v>
      </c>
      <c r="S1014">
        <v>1</v>
      </c>
      <c r="T1014" t="s">
        <v>58</v>
      </c>
      <c r="U1014" t="s">
        <v>59</v>
      </c>
      <c r="V1014" s="4">
        <v>0.9</v>
      </c>
      <c r="W1014" s="2">
        <v>0</v>
      </c>
      <c r="X1014">
        <v>0</v>
      </c>
      <c r="Y1014" t="s">
        <v>83</v>
      </c>
      <c r="Z1014" t="s">
        <v>61</v>
      </c>
      <c r="AA1014">
        <v>0</v>
      </c>
      <c r="AB1014" s="2">
        <v>0</v>
      </c>
      <c r="AC1014" s="2">
        <v>0</v>
      </c>
      <c r="AD1014" s="4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33.68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45999</v>
      </c>
      <c r="B1015" t="s">
        <v>48</v>
      </c>
      <c r="C1015">
        <v>649163</v>
      </c>
      <c r="D1015">
        <v>2030359699</v>
      </c>
      <c r="E1015" t="s">
        <v>1150</v>
      </c>
      <c r="F1015" t="s">
        <v>1151</v>
      </c>
      <c r="G1015" t="s">
        <v>51</v>
      </c>
      <c r="H1015" t="s">
        <v>102</v>
      </c>
      <c r="I1015" t="s">
        <v>126</v>
      </c>
      <c r="J1015" t="s">
        <v>132</v>
      </c>
      <c r="K1015">
        <v>807212</v>
      </c>
      <c r="L1015" t="s">
        <v>418</v>
      </c>
      <c r="M1015" t="s">
        <v>419</v>
      </c>
      <c r="N1015" t="s">
        <v>57</v>
      </c>
      <c r="O1015" s="1">
        <v>45876</v>
      </c>
      <c r="Q1015" s="1">
        <v>46029</v>
      </c>
      <c r="R1015" s="2">
        <v>58.24</v>
      </c>
      <c r="S1015">
        <v>1</v>
      </c>
      <c r="T1015" t="s">
        <v>58</v>
      </c>
      <c r="U1015" t="s">
        <v>59</v>
      </c>
      <c r="V1015" s="4">
        <v>0.7</v>
      </c>
      <c r="W1015" s="2">
        <v>0</v>
      </c>
      <c r="X1015">
        <v>0</v>
      </c>
      <c r="Y1015" t="s">
        <v>83</v>
      </c>
      <c r="Z1015" t="s">
        <v>61</v>
      </c>
      <c r="AA1015">
        <v>0</v>
      </c>
      <c r="AB1015" s="2">
        <v>0</v>
      </c>
      <c r="AC1015" s="2">
        <v>0</v>
      </c>
      <c r="AD1015" s="4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40.770000000000003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45999</v>
      </c>
      <c r="B1016" t="s">
        <v>48</v>
      </c>
      <c r="C1016">
        <v>649163</v>
      </c>
      <c r="D1016">
        <v>2030366106</v>
      </c>
      <c r="E1016" t="s">
        <v>878</v>
      </c>
      <c r="F1016" t="s">
        <v>879</v>
      </c>
      <c r="G1016" t="s">
        <v>51</v>
      </c>
      <c r="H1016" t="s">
        <v>97</v>
      </c>
      <c r="I1016" t="s">
        <v>126</v>
      </c>
      <c r="J1016" t="s">
        <v>132</v>
      </c>
      <c r="K1016">
        <v>651818</v>
      </c>
      <c r="L1016" t="s">
        <v>246</v>
      </c>
      <c r="M1016" t="s">
        <v>247</v>
      </c>
      <c r="N1016" t="s">
        <v>57</v>
      </c>
      <c r="O1016" s="1">
        <v>45878</v>
      </c>
      <c r="Q1016" s="1">
        <v>46031</v>
      </c>
      <c r="R1016" s="2">
        <v>28.38</v>
      </c>
      <c r="S1016">
        <v>1</v>
      </c>
      <c r="T1016" t="s">
        <v>58</v>
      </c>
      <c r="U1016" t="s">
        <v>59</v>
      </c>
      <c r="V1016" s="4">
        <v>0.7</v>
      </c>
      <c r="W1016" s="2">
        <v>0</v>
      </c>
      <c r="X1016">
        <v>0</v>
      </c>
      <c r="Y1016" t="s">
        <v>83</v>
      </c>
      <c r="Z1016" t="s">
        <v>61</v>
      </c>
      <c r="AA1016">
        <v>0</v>
      </c>
      <c r="AB1016" s="2">
        <v>0</v>
      </c>
      <c r="AC1016" s="2">
        <v>0</v>
      </c>
      <c r="AD1016" s="4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19.87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45999</v>
      </c>
      <c r="B1017" t="s">
        <v>48</v>
      </c>
      <c r="C1017">
        <v>649163</v>
      </c>
      <c r="D1017">
        <v>2030367108</v>
      </c>
      <c r="E1017" t="s">
        <v>583</v>
      </c>
      <c r="F1017" t="s">
        <v>584</v>
      </c>
      <c r="G1017" t="s">
        <v>51</v>
      </c>
      <c r="H1017" t="s">
        <v>585</v>
      </c>
      <c r="I1017" t="s">
        <v>126</v>
      </c>
      <c r="J1017" t="s">
        <v>132</v>
      </c>
      <c r="K1017">
        <v>650218</v>
      </c>
      <c r="L1017" t="s">
        <v>88</v>
      </c>
      <c r="M1017" t="s">
        <v>89</v>
      </c>
      <c r="N1017" t="s">
        <v>57</v>
      </c>
      <c r="O1017" s="1">
        <v>45877</v>
      </c>
      <c r="Q1017" s="1">
        <v>46030</v>
      </c>
      <c r="R1017" s="2">
        <v>10.82</v>
      </c>
      <c r="S1017">
        <v>1</v>
      </c>
      <c r="T1017" t="s">
        <v>58</v>
      </c>
      <c r="U1017" t="s">
        <v>59</v>
      </c>
      <c r="V1017" s="4">
        <v>0.7</v>
      </c>
      <c r="W1017" s="2">
        <v>0</v>
      </c>
      <c r="X1017">
        <v>0</v>
      </c>
      <c r="Y1017" t="s">
        <v>83</v>
      </c>
      <c r="Z1017" t="s">
        <v>61</v>
      </c>
      <c r="AA1017">
        <v>0</v>
      </c>
      <c r="AB1017" s="2">
        <v>0</v>
      </c>
      <c r="AC1017" s="2">
        <v>0</v>
      </c>
      <c r="AD1017" s="4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7.57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45999</v>
      </c>
      <c r="B1018" t="s">
        <v>48</v>
      </c>
      <c r="C1018">
        <v>649163</v>
      </c>
      <c r="D1018">
        <v>2030376028</v>
      </c>
      <c r="E1018" t="s">
        <v>1152</v>
      </c>
      <c r="F1018" t="s">
        <v>1153</v>
      </c>
      <c r="G1018" t="s">
        <v>51</v>
      </c>
      <c r="H1018" t="s">
        <v>200</v>
      </c>
      <c r="I1018" t="s">
        <v>126</v>
      </c>
      <c r="J1018" t="s">
        <v>375</v>
      </c>
      <c r="K1018">
        <v>816021</v>
      </c>
      <c r="L1018" t="s">
        <v>201</v>
      </c>
      <c r="M1018" t="s">
        <v>202</v>
      </c>
      <c r="N1018" t="s">
        <v>57</v>
      </c>
      <c r="O1018" s="1">
        <v>45877</v>
      </c>
      <c r="Q1018" s="1">
        <v>46030</v>
      </c>
      <c r="R1018" s="2">
        <v>73</v>
      </c>
      <c r="S1018">
        <v>1</v>
      </c>
      <c r="T1018" t="s">
        <v>58</v>
      </c>
      <c r="U1018" t="s">
        <v>59</v>
      </c>
      <c r="V1018" s="4">
        <v>0.9</v>
      </c>
      <c r="W1018" s="2">
        <v>0</v>
      </c>
      <c r="X1018">
        <v>0</v>
      </c>
      <c r="Y1018" t="s">
        <v>83</v>
      </c>
      <c r="Z1018" t="s">
        <v>61</v>
      </c>
      <c r="AA1018">
        <v>0</v>
      </c>
      <c r="AB1018" s="2">
        <v>0</v>
      </c>
      <c r="AC1018" s="2">
        <v>0</v>
      </c>
      <c r="AD1018" s="4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65.7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45999</v>
      </c>
      <c r="B1019" t="s">
        <v>48</v>
      </c>
      <c r="C1019">
        <v>649163</v>
      </c>
      <c r="D1019">
        <v>2030395015</v>
      </c>
      <c r="E1019" t="s">
        <v>683</v>
      </c>
      <c r="F1019" t="s">
        <v>684</v>
      </c>
      <c r="G1019" t="s">
        <v>51</v>
      </c>
      <c r="H1019" t="s">
        <v>200</v>
      </c>
      <c r="I1019" t="s">
        <v>126</v>
      </c>
      <c r="J1019" t="s">
        <v>132</v>
      </c>
      <c r="K1019">
        <v>796984</v>
      </c>
      <c r="L1019" t="s">
        <v>344</v>
      </c>
      <c r="M1019" t="s">
        <v>260</v>
      </c>
      <c r="N1019" t="s">
        <v>57</v>
      </c>
      <c r="O1019" s="1">
        <v>45878</v>
      </c>
      <c r="Q1019" s="1">
        <v>46031</v>
      </c>
      <c r="R1019" s="2">
        <v>9.1</v>
      </c>
      <c r="S1019">
        <v>1</v>
      </c>
      <c r="T1019" t="s">
        <v>58</v>
      </c>
      <c r="U1019" t="s">
        <v>59</v>
      </c>
      <c r="V1019" s="4">
        <v>0.7</v>
      </c>
      <c r="W1019" s="2">
        <v>0</v>
      </c>
      <c r="X1019">
        <v>0</v>
      </c>
      <c r="Y1019" t="s">
        <v>83</v>
      </c>
      <c r="Z1019" t="s">
        <v>61</v>
      </c>
      <c r="AA1019">
        <v>0</v>
      </c>
      <c r="AB1019" s="2">
        <v>0</v>
      </c>
      <c r="AC1019" s="2">
        <v>0</v>
      </c>
      <c r="AD1019" s="4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6.37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45999</v>
      </c>
      <c r="B1020" t="s">
        <v>48</v>
      </c>
      <c r="C1020">
        <v>649163</v>
      </c>
      <c r="D1020">
        <v>2030399995</v>
      </c>
      <c r="E1020" t="s">
        <v>685</v>
      </c>
      <c r="F1020" t="s">
        <v>56</v>
      </c>
      <c r="G1020" t="s">
        <v>51</v>
      </c>
      <c r="H1020" t="s">
        <v>102</v>
      </c>
      <c r="I1020" t="s">
        <v>126</v>
      </c>
      <c r="J1020" t="s">
        <v>132</v>
      </c>
      <c r="K1020">
        <v>824062</v>
      </c>
      <c r="L1020" t="s">
        <v>261</v>
      </c>
      <c r="M1020" t="s">
        <v>262</v>
      </c>
      <c r="N1020" t="s">
        <v>57</v>
      </c>
      <c r="O1020" s="1">
        <v>45878</v>
      </c>
      <c r="Q1020" s="1">
        <v>46031</v>
      </c>
      <c r="R1020" s="2">
        <v>99.19</v>
      </c>
      <c r="S1020">
        <v>1</v>
      </c>
      <c r="T1020" t="s">
        <v>58</v>
      </c>
      <c r="U1020" t="s">
        <v>59</v>
      </c>
      <c r="V1020" s="4">
        <v>0.7</v>
      </c>
      <c r="W1020" s="2">
        <v>0</v>
      </c>
      <c r="X1020">
        <v>0</v>
      </c>
      <c r="Y1020" t="s">
        <v>83</v>
      </c>
      <c r="Z1020" t="s">
        <v>61</v>
      </c>
      <c r="AA1020">
        <v>0</v>
      </c>
      <c r="AB1020" s="2">
        <v>0</v>
      </c>
      <c r="AC1020" s="2">
        <v>0</v>
      </c>
      <c r="AD1020" s="4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69.430000000000007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45999</v>
      </c>
      <c r="B1021" t="s">
        <v>48</v>
      </c>
      <c r="C1021">
        <v>649163</v>
      </c>
      <c r="D1021">
        <v>2030399996</v>
      </c>
      <c r="E1021" t="s">
        <v>685</v>
      </c>
      <c r="F1021" t="s">
        <v>56</v>
      </c>
      <c r="G1021" t="s">
        <v>51</v>
      </c>
      <c r="H1021" t="s">
        <v>102</v>
      </c>
      <c r="I1021" t="s">
        <v>126</v>
      </c>
      <c r="J1021" t="s">
        <v>375</v>
      </c>
      <c r="K1021">
        <v>824062</v>
      </c>
      <c r="L1021" t="s">
        <v>261</v>
      </c>
      <c r="M1021" t="s">
        <v>262</v>
      </c>
      <c r="N1021" t="s">
        <v>57</v>
      </c>
      <c r="O1021" s="1">
        <v>45878</v>
      </c>
      <c r="Q1021" s="1">
        <v>46031</v>
      </c>
      <c r="R1021" s="2">
        <v>258.5</v>
      </c>
      <c r="S1021">
        <v>1</v>
      </c>
      <c r="T1021" t="s">
        <v>58</v>
      </c>
      <c r="U1021" t="s">
        <v>59</v>
      </c>
      <c r="V1021" s="4">
        <v>0.9</v>
      </c>
      <c r="W1021" s="2">
        <v>0</v>
      </c>
      <c r="X1021">
        <v>0</v>
      </c>
      <c r="Y1021" t="s">
        <v>83</v>
      </c>
      <c r="Z1021" t="s">
        <v>61</v>
      </c>
      <c r="AA1021">
        <v>0</v>
      </c>
      <c r="AB1021" s="2">
        <v>0</v>
      </c>
      <c r="AC1021" s="2">
        <v>0</v>
      </c>
      <c r="AD1021" s="4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232.65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45999</v>
      </c>
      <c r="B1022" t="s">
        <v>48</v>
      </c>
      <c r="C1022">
        <v>649163</v>
      </c>
      <c r="D1022">
        <v>2030404321</v>
      </c>
      <c r="E1022" t="s">
        <v>588</v>
      </c>
      <c r="F1022" t="s">
        <v>589</v>
      </c>
      <c r="G1022" t="s">
        <v>51</v>
      </c>
      <c r="H1022" t="s">
        <v>357</v>
      </c>
      <c r="I1022" t="s">
        <v>126</v>
      </c>
      <c r="J1022" t="s">
        <v>132</v>
      </c>
      <c r="K1022">
        <v>822865</v>
      </c>
      <c r="L1022" t="s">
        <v>534</v>
      </c>
      <c r="M1022" t="s">
        <v>535</v>
      </c>
      <c r="N1022" t="s">
        <v>57</v>
      </c>
      <c r="O1022" s="1">
        <v>45878</v>
      </c>
      <c r="Q1022" s="1">
        <v>46031</v>
      </c>
      <c r="R1022" s="2">
        <v>11.5</v>
      </c>
      <c r="S1022">
        <v>1</v>
      </c>
      <c r="T1022" t="s">
        <v>58</v>
      </c>
      <c r="U1022" t="s">
        <v>59</v>
      </c>
      <c r="V1022" s="4">
        <v>0.7</v>
      </c>
      <c r="W1022" s="2">
        <v>0</v>
      </c>
      <c r="X1022">
        <v>0</v>
      </c>
      <c r="Y1022" t="s">
        <v>83</v>
      </c>
      <c r="Z1022" t="s">
        <v>61</v>
      </c>
      <c r="AA1022">
        <v>0</v>
      </c>
      <c r="AB1022" s="2">
        <v>0</v>
      </c>
      <c r="AC1022" s="2">
        <v>0</v>
      </c>
      <c r="AD1022" s="4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8.0500000000000007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45999</v>
      </c>
      <c r="B1023" t="s">
        <v>48</v>
      </c>
      <c r="C1023">
        <v>649163</v>
      </c>
      <c r="D1023">
        <v>2030406800</v>
      </c>
      <c r="E1023" t="s">
        <v>590</v>
      </c>
      <c r="F1023" t="s">
        <v>591</v>
      </c>
      <c r="G1023" t="s">
        <v>51</v>
      </c>
      <c r="H1023" t="s">
        <v>200</v>
      </c>
      <c r="I1023" t="s">
        <v>126</v>
      </c>
      <c r="J1023" t="s">
        <v>132</v>
      </c>
      <c r="K1023">
        <v>796984</v>
      </c>
      <c r="L1023" t="s">
        <v>344</v>
      </c>
      <c r="M1023" t="s">
        <v>260</v>
      </c>
      <c r="N1023" t="s">
        <v>57</v>
      </c>
      <c r="O1023" s="1">
        <v>45878</v>
      </c>
      <c r="Q1023" s="1">
        <v>46031</v>
      </c>
      <c r="R1023" s="2">
        <v>9.1</v>
      </c>
      <c r="S1023">
        <v>1</v>
      </c>
      <c r="T1023" t="s">
        <v>58</v>
      </c>
      <c r="U1023" t="s">
        <v>59</v>
      </c>
      <c r="V1023" s="4">
        <v>0.7</v>
      </c>
      <c r="W1023" s="2">
        <v>0</v>
      </c>
      <c r="X1023">
        <v>0</v>
      </c>
      <c r="Y1023" t="s">
        <v>83</v>
      </c>
      <c r="Z1023" t="s">
        <v>61</v>
      </c>
      <c r="AA1023">
        <v>0</v>
      </c>
      <c r="AB1023" s="2">
        <v>0</v>
      </c>
      <c r="AC1023" s="2">
        <v>0</v>
      </c>
      <c r="AD1023" s="4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6.37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45999</v>
      </c>
      <c r="B1024" t="s">
        <v>48</v>
      </c>
      <c r="C1024">
        <v>649163</v>
      </c>
      <c r="D1024">
        <v>2030427171</v>
      </c>
      <c r="E1024" t="s">
        <v>1154</v>
      </c>
      <c r="F1024" t="s">
        <v>293</v>
      </c>
      <c r="G1024" t="s">
        <v>51</v>
      </c>
      <c r="H1024" t="s">
        <v>515</v>
      </c>
      <c r="I1024" t="s">
        <v>126</v>
      </c>
      <c r="J1024" t="s">
        <v>375</v>
      </c>
      <c r="K1024">
        <v>813184</v>
      </c>
      <c r="L1024" t="s">
        <v>361</v>
      </c>
      <c r="M1024" t="s">
        <v>362</v>
      </c>
      <c r="N1024" t="s">
        <v>57</v>
      </c>
      <c r="O1024" s="1">
        <v>45881</v>
      </c>
      <c r="Q1024" s="1">
        <v>46034</v>
      </c>
      <c r="R1024" s="2">
        <v>159.31</v>
      </c>
      <c r="S1024">
        <v>1</v>
      </c>
      <c r="T1024" t="s">
        <v>58</v>
      </c>
      <c r="U1024" t="s">
        <v>59</v>
      </c>
      <c r="V1024" s="4">
        <v>0.9</v>
      </c>
      <c r="W1024" s="2">
        <v>0</v>
      </c>
      <c r="X1024">
        <v>0</v>
      </c>
      <c r="Y1024" t="s">
        <v>83</v>
      </c>
      <c r="Z1024" t="s">
        <v>61</v>
      </c>
      <c r="AA1024">
        <v>0</v>
      </c>
      <c r="AB1024" s="2">
        <v>0</v>
      </c>
      <c r="AC1024" s="2">
        <v>0</v>
      </c>
      <c r="AD1024" s="4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143.38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45999</v>
      </c>
      <c r="B1025" t="s">
        <v>48</v>
      </c>
      <c r="C1025">
        <v>649163</v>
      </c>
      <c r="D1025">
        <v>2030427172</v>
      </c>
      <c r="E1025" t="s">
        <v>1154</v>
      </c>
      <c r="F1025" t="s">
        <v>293</v>
      </c>
      <c r="G1025" t="s">
        <v>51</v>
      </c>
      <c r="H1025" t="s">
        <v>515</v>
      </c>
      <c r="I1025" t="s">
        <v>126</v>
      </c>
      <c r="J1025" t="s">
        <v>132</v>
      </c>
      <c r="K1025">
        <v>813184</v>
      </c>
      <c r="L1025" t="s">
        <v>361</v>
      </c>
      <c r="M1025" t="s">
        <v>362</v>
      </c>
      <c r="N1025" t="s">
        <v>57</v>
      </c>
      <c r="O1025" s="1">
        <v>45881</v>
      </c>
      <c r="Q1025" s="1">
        <v>46034</v>
      </c>
      <c r="R1025" s="2">
        <v>69.06</v>
      </c>
      <c r="S1025">
        <v>1</v>
      </c>
      <c r="T1025" t="s">
        <v>58</v>
      </c>
      <c r="U1025" t="s">
        <v>59</v>
      </c>
      <c r="V1025" s="4">
        <v>0.7</v>
      </c>
      <c r="W1025" s="2">
        <v>0</v>
      </c>
      <c r="X1025">
        <v>0</v>
      </c>
      <c r="Y1025" t="s">
        <v>83</v>
      </c>
      <c r="Z1025" t="s">
        <v>61</v>
      </c>
      <c r="AA1025">
        <v>0</v>
      </c>
      <c r="AB1025" s="2">
        <v>0</v>
      </c>
      <c r="AC1025" s="2">
        <v>0</v>
      </c>
      <c r="AD1025" s="4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48.34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45999</v>
      </c>
      <c r="B1026" t="s">
        <v>48</v>
      </c>
      <c r="C1026">
        <v>649163</v>
      </c>
      <c r="D1026">
        <v>2030431357</v>
      </c>
      <c r="E1026" t="s">
        <v>687</v>
      </c>
      <c r="F1026" t="s">
        <v>882</v>
      </c>
      <c r="G1026" t="s">
        <v>51</v>
      </c>
      <c r="H1026" t="s">
        <v>200</v>
      </c>
      <c r="I1026" t="s">
        <v>126</v>
      </c>
      <c r="J1026" t="s">
        <v>132</v>
      </c>
      <c r="K1026">
        <v>824082</v>
      </c>
      <c r="L1026" t="s">
        <v>566</v>
      </c>
      <c r="M1026" t="s">
        <v>567</v>
      </c>
      <c r="N1026" t="s">
        <v>57</v>
      </c>
      <c r="O1026" s="1">
        <v>45881</v>
      </c>
      <c r="Q1026" s="1">
        <v>46034</v>
      </c>
      <c r="R1026" s="2">
        <v>9.6999999999999993</v>
      </c>
      <c r="S1026">
        <v>1</v>
      </c>
      <c r="T1026" t="s">
        <v>58</v>
      </c>
      <c r="U1026" t="s">
        <v>59</v>
      </c>
      <c r="V1026" s="4">
        <v>0.7</v>
      </c>
      <c r="W1026" s="2">
        <v>0</v>
      </c>
      <c r="X1026">
        <v>0</v>
      </c>
      <c r="Y1026" t="s">
        <v>83</v>
      </c>
      <c r="Z1026" t="s">
        <v>61</v>
      </c>
      <c r="AA1026">
        <v>0</v>
      </c>
      <c r="AB1026" s="2">
        <v>0</v>
      </c>
      <c r="AC1026" s="2">
        <v>0</v>
      </c>
      <c r="AD1026" s="4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6.79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45999</v>
      </c>
      <c r="B1027" t="s">
        <v>48</v>
      </c>
      <c r="C1027">
        <v>649163</v>
      </c>
      <c r="D1027">
        <v>2030435038</v>
      </c>
      <c r="E1027" t="s">
        <v>638</v>
      </c>
      <c r="F1027" t="s">
        <v>883</v>
      </c>
      <c r="G1027" t="s">
        <v>51</v>
      </c>
      <c r="H1027" t="s">
        <v>256</v>
      </c>
      <c r="I1027" t="s">
        <v>126</v>
      </c>
      <c r="J1027" t="s">
        <v>127</v>
      </c>
      <c r="K1027">
        <v>651818</v>
      </c>
      <c r="L1027" t="s">
        <v>246</v>
      </c>
      <c r="M1027" t="s">
        <v>247</v>
      </c>
      <c r="N1027" t="s">
        <v>57</v>
      </c>
      <c r="O1027" s="1">
        <v>45907</v>
      </c>
      <c r="Q1027" s="1">
        <v>46029</v>
      </c>
      <c r="R1027" s="2">
        <v>21.44</v>
      </c>
      <c r="S1027">
        <v>1</v>
      </c>
      <c r="T1027" t="s">
        <v>58</v>
      </c>
      <c r="U1027" t="s">
        <v>59</v>
      </c>
      <c r="V1027" s="4">
        <v>0.7</v>
      </c>
      <c r="W1027" s="2">
        <v>0</v>
      </c>
      <c r="X1027">
        <v>0</v>
      </c>
      <c r="Y1027" t="s">
        <v>83</v>
      </c>
      <c r="Z1027" t="s">
        <v>61</v>
      </c>
      <c r="AA1027">
        <v>0</v>
      </c>
      <c r="AB1027" s="2">
        <v>0</v>
      </c>
      <c r="AC1027" s="2">
        <v>0</v>
      </c>
      <c r="AD1027" s="4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15.01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45999</v>
      </c>
      <c r="B1028" t="s">
        <v>48</v>
      </c>
      <c r="C1028">
        <v>649163</v>
      </c>
      <c r="D1028">
        <v>2030443827</v>
      </c>
      <c r="E1028" t="s">
        <v>885</v>
      </c>
      <c r="F1028" t="s">
        <v>886</v>
      </c>
      <c r="G1028" t="s">
        <v>51</v>
      </c>
      <c r="H1028" t="s">
        <v>447</v>
      </c>
      <c r="I1028" t="s">
        <v>126</v>
      </c>
      <c r="J1028" t="s">
        <v>132</v>
      </c>
      <c r="K1028">
        <v>651818</v>
      </c>
      <c r="L1028" t="s">
        <v>246</v>
      </c>
      <c r="M1028" t="s">
        <v>247</v>
      </c>
      <c r="N1028" t="s">
        <v>57</v>
      </c>
      <c r="O1028" s="1">
        <v>45907</v>
      </c>
      <c r="Q1028" s="1">
        <v>46029</v>
      </c>
      <c r="R1028" s="2">
        <v>101.25</v>
      </c>
      <c r="S1028">
        <v>1</v>
      </c>
      <c r="T1028" t="s">
        <v>58</v>
      </c>
      <c r="U1028" t="s">
        <v>59</v>
      </c>
      <c r="V1028" s="4">
        <v>0.7</v>
      </c>
      <c r="W1028" s="2">
        <v>0</v>
      </c>
      <c r="X1028">
        <v>0</v>
      </c>
      <c r="Y1028" t="s">
        <v>83</v>
      </c>
      <c r="Z1028" t="s">
        <v>61</v>
      </c>
      <c r="AA1028">
        <v>0</v>
      </c>
      <c r="AB1028" s="2">
        <v>0</v>
      </c>
      <c r="AC1028" s="2">
        <v>0</v>
      </c>
      <c r="AD1028" s="4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70.88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45999</v>
      </c>
      <c r="B1029" t="s">
        <v>48</v>
      </c>
      <c r="C1029">
        <v>649163</v>
      </c>
      <c r="D1029">
        <v>2030477514</v>
      </c>
      <c r="E1029" t="s">
        <v>887</v>
      </c>
      <c r="F1029" t="s">
        <v>888</v>
      </c>
      <c r="G1029" t="s">
        <v>51</v>
      </c>
      <c r="H1029" t="s">
        <v>389</v>
      </c>
      <c r="I1029" t="s">
        <v>126</v>
      </c>
      <c r="J1029" t="s">
        <v>132</v>
      </c>
      <c r="K1029">
        <v>651818</v>
      </c>
      <c r="L1029" t="s">
        <v>246</v>
      </c>
      <c r="M1029" t="s">
        <v>247</v>
      </c>
      <c r="N1029" t="s">
        <v>57</v>
      </c>
      <c r="O1029" s="1">
        <v>45906</v>
      </c>
      <c r="Q1029" s="1">
        <v>46028</v>
      </c>
      <c r="R1029" s="2">
        <v>19</v>
      </c>
      <c r="S1029">
        <v>1</v>
      </c>
      <c r="T1029" t="s">
        <v>58</v>
      </c>
      <c r="U1029" t="s">
        <v>59</v>
      </c>
      <c r="V1029" s="4">
        <v>0.7</v>
      </c>
      <c r="W1029" s="2">
        <v>0</v>
      </c>
      <c r="X1029">
        <v>0</v>
      </c>
      <c r="Y1029" t="s">
        <v>83</v>
      </c>
      <c r="Z1029" t="s">
        <v>61</v>
      </c>
      <c r="AA1029">
        <v>0</v>
      </c>
      <c r="AB1029" s="2">
        <v>0</v>
      </c>
      <c r="AC1029" s="2">
        <v>0</v>
      </c>
      <c r="AD1029" s="4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13.3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45999</v>
      </c>
      <c r="B1030" t="s">
        <v>48</v>
      </c>
      <c r="C1030">
        <v>649163</v>
      </c>
      <c r="D1030">
        <v>2030479537</v>
      </c>
      <c r="E1030" t="s">
        <v>1155</v>
      </c>
      <c r="F1030" t="s">
        <v>962</v>
      </c>
      <c r="G1030" t="s">
        <v>51</v>
      </c>
      <c r="H1030" t="s">
        <v>97</v>
      </c>
      <c r="I1030" t="s">
        <v>126</v>
      </c>
      <c r="J1030" t="s">
        <v>132</v>
      </c>
      <c r="K1030">
        <v>651818</v>
      </c>
      <c r="L1030" t="s">
        <v>246</v>
      </c>
      <c r="M1030" t="s">
        <v>247</v>
      </c>
      <c r="N1030" t="s">
        <v>57</v>
      </c>
      <c r="O1030" s="1">
        <v>45906</v>
      </c>
      <c r="Q1030" s="1">
        <v>46028</v>
      </c>
      <c r="R1030" s="2">
        <v>38.31</v>
      </c>
      <c r="S1030">
        <v>1</v>
      </c>
      <c r="T1030" t="s">
        <v>58</v>
      </c>
      <c r="U1030" t="s">
        <v>59</v>
      </c>
      <c r="V1030" s="4">
        <v>0.7</v>
      </c>
      <c r="W1030" s="2">
        <v>0</v>
      </c>
      <c r="X1030">
        <v>0</v>
      </c>
      <c r="Y1030" t="s">
        <v>83</v>
      </c>
      <c r="Z1030" t="s">
        <v>61</v>
      </c>
      <c r="AA1030">
        <v>0</v>
      </c>
      <c r="AB1030" s="2">
        <v>0</v>
      </c>
      <c r="AC1030" s="2">
        <v>0</v>
      </c>
      <c r="AD1030" s="4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26.8</v>
      </c>
      <c r="AM1030" s="2">
        <v>0.02</v>
      </c>
      <c r="AN1030" s="2">
        <v>0.02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45999</v>
      </c>
      <c r="B1031" t="s">
        <v>48</v>
      </c>
      <c r="C1031">
        <v>649163</v>
      </c>
      <c r="D1031">
        <v>2030517070</v>
      </c>
      <c r="E1031" t="s">
        <v>594</v>
      </c>
      <c r="F1031" t="s">
        <v>595</v>
      </c>
      <c r="G1031" t="s">
        <v>51</v>
      </c>
      <c r="H1031" t="s">
        <v>374</v>
      </c>
      <c r="I1031" t="s">
        <v>126</v>
      </c>
      <c r="J1031" t="s">
        <v>132</v>
      </c>
      <c r="K1031">
        <v>651818</v>
      </c>
      <c r="L1031" t="s">
        <v>246</v>
      </c>
      <c r="M1031" t="s">
        <v>247</v>
      </c>
      <c r="N1031" t="s">
        <v>57</v>
      </c>
      <c r="O1031" s="1">
        <v>45907</v>
      </c>
      <c r="Q1031" s="1">
        <v>46029</v>
      </c>
      <c r="R1031" s="2">
        <v>20.420000000000002</v>
      </c>
      <c r="S1031">
        <v>1</v>
      </c>
      <c r="T1031" t="s">
        <v>58</v>
      </c>
      <c r="U1031" t="s">
        <v>59</v>
      </c>
      <c r="V1031" s="4">
        <v>0.7</v>
      </c>
      <c r="W1031" s="2">
        <v>0</v>
      </c>
      <c r="X1031">
        <v>0</v>
      </c>
      <c r="Y1031" t="s">
        <v>83</v>
      </c>
      <c r="Z1031" t="s">
        <v>61</v>
      </c>
      <c r="AA1031">
        <v>0</v>
      </c>
      <c r="AB1031" s="2">
        <v>0</v>
      </c>
      <c r="AC1031" s="2">
        <v>0</v>
      </c>
      <c r="AD1031" s="4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14.29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45999</v>
      </c>
      <c r="B1032" t="s">
        <v>48</v>
      </c>
      <c r="C1032">
        <v>649163</v>
      </c>
      <c r="D1032">
        <v>2030517073</v>
      </c>
      <c r="E1032" t="s">
        <v>594</v>
      </c>
      <c r="F1032" t="s">
        <v>595</v>
      </c>
      <c r="G1032" t="s">
        <v>51</v>
      </c>
      <c r="H1032" t="s">
        <v>374</v>
      </c>
      <c r="I1032" t="s">
        <v>126</v>
      </c>
      <c r="J1032" t="s">
        <v>375</v>
      </c>
      <c r="K1032">
        <v>651818</v>
      </c>
      <c r="L1032" t="s">
        <v>246</v>
      </c>
      <c r="M1032" t="s">
        <v>247</v>
      </c>
      <c r="N1032" t="s">
        <v>57</v>
      </c>
      <c r="O1032" s="1">
        <v>45907</v>
      </c>
      <c r="Q1032" s="1">
        <v>46029</v>
      </c>
      <c r="R1032" s="2">
        <v>25</v>
      </c>
      <c r="S1032">
        <v>1</v>
      </c>
      <c r="T1032" t="s">
        <v>58</v>
      </c>
      <c r="U1032" t="s">
        <v>59</v>
      </c>
      <c r="V1032" s="4">
        <v>0.9</v>
      </c>
      <c r="W1032" s="2">
        <v>0</v>
      </c>
      <c r="X1032">
        <v>0</v>
      </c>
      <c r="Y1032" t="s">
        <v>83</v>
      </c>
      <c r="Z1032" t="s">
        <v>61</v>
      </c>
      <c r="AA1032">
        <v>0</v>
      </c>
      <c r="AB1032" s="2">
        <v>0</v>
      </c>
      <c r="AC1032" s="2">
        <v>0</v>
      </c>
      <c r="AD1032" s="4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22.5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45999</v>
      </c>
      <c r="B1033" t="s">
        <v>48</v>
      </c>
      <c r="C1033">
        <v>649163</v>
      </c>
      <c r="D1033">
        <v>2030518949</v>
      </c>
      <c r="E1033" t="s">
        <v>596</v>
      </c>
      <c r="F1033" t="s">
        <v>597</v>
      </c>
      <c r="G1033" t="s">
        <v>51</v>
      </c>
      <c r="H1033" t="s">
        <v>256</v>
      </c>
      <c r="I1033" t="s">
        <v>126</v>
      </c>
      <c r="J1033" t="s">
        <v>127</v>
      </c>
      <c r="K1033">
        <v>651818</v>
      </c>
      <c r="L1033" t="s">
        <v>246</v>
      </c>
      <c r="M1033" t="s">
        <v>247</v>
      </c>
      <c r="N1033" t="s">
        <v>57</v>
      </c>
      <c r="O1033" s="1">
        <v>45907</v>
      </c>
      <c r="Q1033" s="1">
        <v>46029</v>
      </c>
      <c r="R1033" s="2">
        <v>21.44</v>
      </c>
      <c r="S1033">
        <v>1</v>
      </c>
      <c r="T1033" t="s">
        <v>58</v>
      </c>
      <c r="U1033" t="s">
        <v>59</v>
      </c>
      <c r="V1033" s="4">
        <v>0.7</v>
      </c>
      <c r="W1033" s="2">
        <v>0</v>
      </c>
      <c r="X1033">
        <v>0</v>
      </c>
      <c r="Y1033" t="s">
        <v>83</v>
      </c>
      <c r="Z1033" t="s">
        <v>61</v>
      </c>
      <c r="AA1033">
        <v>0</v>
      </c>
      <c r="AB1033" s="2">
        <v>0</v>
      </c>
      <c r="AC1033" s="2">
        <v>0</v>
      </c>
      <c r="AD1033" s="4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15.01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45999</v>
      </c>
      <c r="B1034" t="s">
        <v>48</v>
      </c>
      <c r="C1034">
        <v>649163</v>
      </c>
      <c r="D1034">
        <v>2030641192</v>
      </c>
      <c r="E1034" t="s">
        <v>889</v>
      </c>
      <c r="F1034" t="s">
        <v>175</v>
      </c>
      <c r="G1034" t="s">
        <v>51</v>
      </c>
      <c r="H1034" t="s">
        <v>125</v>
      </c>
      <c r="I1034" t="s">
        <v>126</v>
      </c>
      <c r="J1034" t="s">
        <v>132</v>
      </c>
      <c r="K1034">
        <v>651818</v>
      </c>
      <c r="L1034" t="s">
        <v>246</v>
      </c>
      <c r="M1034" t="s">
        <v>247</v>
      </c>
      <c r="N1034" t="s">
        <v>57</v>
      </c>
      <c r="O1034" s="1">
        <v>45906</v>
      </c>
      <c r="Q1034" s="1">
        <v>46028</v>
      </c>
      <c r="R1034" s="2">
        <v>19.100000000000001</v>
      </c>
      <c r="S1034">
        <v>1</v>
      </c>
      <c r="T1034" t="s">
        <v>58</v>
      </c>
      <c r="U1034" t="s">
        <v>59</v>
      </c>
      <c r="V1034" s="4">
        <v>0.7</v>
      </c>
      <c r="W1034" s="2">
        <v>0</v>
      </c>
      <c r="X1034">
        <v>0</v>
      </c>
      <c r="Y1034" t="s">
        <v>83</v>
      </c>
      <c r="Z1034" t="s">
        <v>61</v>
      </c>
      <c r="AA1034">
        <v>0</v>
      </c>
      <c r="AB1034" s="2">
        <v>0</v>
      </c>
      <c r="AC1034" s="2">
        <v>0</v>
      </c>
      <c r="AD1034" s="4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13.37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45999</v>
      </c>
      <c r="B1035" t="s">
        <v>48</v>
      </c>
      <c r="C1035">
        <v>649163</v>
      </c>
      <c r="D1035">
        <v>2030641193</v>
      </c>
      <c r="E1035" t="s">
        <v>889</v>
      </c>
      <c r="F1035" t="s">
        <v>175</v>
      </c>
      <c r="G1035" t="s">
        <v>51</v>
      </c>
      <c r="H1035" t="s">
        <v>125</v>
      </c>
      <c r="I1035" t="s">
        <v>126</v>
      </c>
      <c r="J1035" t="s">
        <v>375</v>
      </c>
      <c r="K1035">
        <v>651818</v>
      </c>
      <c r="L1035" t="s">
        <v>246</v>
      </c>
      <c r="M1035" t="s">
        <v>247</v>
      </c>
      <c r="N1035" t="s">
        <v>57</v>
      </c>
      <c r="O1035" s="1">
        <v>45906</v>
      </c>
      <c r="Q1035" s="1">
        <v>46028</v>
      </c>
      <c r="R1035" s="2">
        <v>22.88</v>
      </c>
      <c r="S1035">
        <v>1</v>
      </c>
      <c r="T1035" t="s">
        <v>58</v>
      </c>
      <c r="U1035" t="s">
        <v>59</v>
      </c>
      <c r="V1035" s="4">
        <v>0.9</v>
      </c>
      <c r="W1035" s="2">
        <v>0</v>
      </c>
      <c r="X1035">
        <v>0</v>
      </c>
      <c r="Y1035" t="s">
        <v>83</v>
      </c>
      <c r="Z1035" t="s">
        <v>61</v>
      </c>
      <c r="AA1035">
        <v>0</v>
      </c>
      <c r="AB1035" s="2">
        <v>0</v>
      </c>
      <c r="AC1035" s="2">
        <v>0</v>
      </c>
      <c r="AD1035" s="4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20.59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45999</v>
      </c>
      <c r="B1036" t="s">
        <v>48</v>
      </c>
      <c r="C1036">
        <v>649163</v>
      </c>
      <c r="D1036">
        <v>2030699504</v>
      </c>
      <c r="E1036" t="s">
        <v>1156</v>
      </c>
      <c r="F1036" t="s">
        <v>1157</v>
      </c>
      <c r="G1036" t="s">
        <v>51</v>
      </c>
      <c r="H1036" t="s">
        <v>102</v>
      </c>
      <c r="I1036" t="s">
        <v>126</v>
      </c>
      <c r="J1036" t="s">
        <v>132</v>
      </c>
      <c r="K1036">
        <v>823350</v>
      </c>
      <c r="L1036" t="s">
        <v>257</v>
      </c>
      <c r="M1036" t="s">
        <v>258</v>
      </c>
      <c r="N1036" t="s">
        <v>57</v>
      </c>
      <c r="O1036" s="1">
        <v>45909</v>
      </c>
      <c r="Q1036" s="1">
        <v>46031</v>
      </c>
      <c r="R1036" s="2">
        <v>212.26</v>
      </c>
      <c r="S1036">
        <v>1</v>
      </c>
      <c r="T1036" t="s">
        <v>58</v>
      </c>
      <c r="U1036" t="s">
        <v>59</v>
      </c>
      <c r="V1036" s="4">
        <v>0.7</v>
      </c>
      <c r="W1036" s="2">
        <v>0</v>
      </c>
      <c r="X1036">
        <v>0</v>
      </c>
      <c r="Y1036" t="s">
        <v>83</v>
      </c>
      <c r="Z1036" t="s">
        <v>61</v>
      </c>
      <c r="AA1036">
        <v>0</v>
      </c>
      <c r="AB1036" s="2">
        <v>0</v>
      </c>
      <c r="AC1036" s="2">
        <v>0</v>
      </c>
      <c r="AD1036" s="4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148.58000000000001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45999</v>
      </c>
      <c r="B1037" t="s">
        <v>48</v>
      </c>
      <c r="C1037">
        <v>649163</v>
      </c>
      <c r="D1037">
        <v>2030735251</v>
      </c>
      <c r="E1037" t="s">
        <v>894</v>
      </c>
      <c r="F1037" t="s">
        <v>895</v>
      </c>
      <c r="G1037" t="s">
        <v>51</v>
      </c>
      <c r="H1037" t="s">
        <v>163</v>
      </c>
      <c r="I1037" t="s">
        <v>126</v>
      </c>
      <c r="J1037" t="s">
        <v>127</v>
      </c>
      <c r="K1037">
        <v>823068</v>
      </c>
      <c r="L1037" t="s">
        <v>165</v>
      </c>
      <c r="M1037" t="s">
        <v>166</v>
      </c>
      <c r="N1037" t="s">
        <v>57</v>
      </c>
      <c r="O1037" s="1">
        <v>45906</v>
      </c>
      <c r="Q1037" s="1">
        <v>46028</v>
      </c>
      <c r="R1037" s="2">
        <v>24.61</v>
      </c>
      <c r="S1037">
        <v>1</v>
      </c>
      <c r="T1037" t="s">
        <v>58</v>
      </c>
      <c r="U1037" t="s">
        <v>59</v>
      </c>
      <c r="V1037" s="4">
        <v>0.7</v>
      </c>
      <c r="W1037" s="2">
        <v>0</v>
      </c>
      <c r="X1037">
        <v>0</v>
      </c>
      <c r="Y1037" t="s">
        <v>83</v>
      </c>
      <c r="Z1037" t="s">
        <v>61</v>
      </c>
      <c r="AA1037">
        <v>0</v>
      </c>
      <c r="AB1037" s="2">
        <v>0</v>
      </c>
      <c r="AC1037" s="2">
        <v>0</v>
      </c>
      <c r="AD1037" s="4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17.23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45999</v>
      </c>
      <c r="B1038" t="s">
        <v>48</v>
      </c>
      <c r="C1038">
        <v>649163</v>
      </c>
      <c r="D1038">
        <v>2030775883</v>
      </c>
      <c r="E1038" t="s">
        <v>481</v>
      </c>
      <c r="F1038" t="s">
        <v>114</v>
      </c>
      <c r="G1038" t="s">
        <v>51</v>
      </c>
      <c r="H1038" t="s">
        <v>125</v>
      </c>
      <c r="I1038" t="s">
        <v>126</v>
      </c>
      <c r="J1038" t="s">
        <v>132</v>
      </c>
      <c r="K1038">
        <v>878036</v>
      </c>
      <c r="L1038" t="s">
        <v>1158</v>
      </c>
      <c r="M1038" t="s">
        <v>1159</v>
      </c>
      <c r="N1038" t="s">
        <v>57</v>
      </c>
      <c r="O1038" s="1">
        <v>45901</v>
      </c>
      <c r="Q1038" s="1">
        <v>46023</v>
      </c>
      <c r="R1038" s="2">
        <v>120.91</v>
      </c>
      <c r="S1038">
        <v>1</v>
      </c>
      <c r="T1038" t="s">
        <v>58</v>
      </c>
      <c r="U1038" t="s">
        <v>59</v>
      </c>
      <c r="V1038" s="4">
        <v>0.7</v>
      </c>
      <c r="W1038" s="2">
        <v>0</v>
      </c>
      <c r="X1038">
        <v>0</v>
      </c>
      <c r="Y1038" t="s">
        <v>83</v>
      </c>
      <c r="Z1038" t="s">
        <v>61</v>
      </c>
      <c r="AA1038">
        <v>0</v>
      </c>
      <c r="AB1038" s="2">
        <v>0</v>
      </c>
      <c r="AC1038" s="2">
        <v>0</v>
      </c>
      <c r="AD1038" s="4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84.64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45999</v>
      </c>
      <c r="B1039" t="s">
        <v>48</v>
      </c>
      <c r="C1039">
        <v>649163</v>
      </c>
      <c r="D1039">
        <v>2030806601</v>
      </c>
      <c r="E1039" t="s">
        <v>147</v>
      </c>
      <c r="F1039" t="s">
        <v>803</v>
      </c>
      <c r="G1039" t="s">
        <v>51</v>
      </c>
      <c r="H1039" t="s">
        <v>447</v>
      </c>
      <c r="I1039" t="s">
        <v>126</v>
      </c>
      <c r="J1039" t="s">
        <v>132</v>
      </c>
      <c r="K1039">
        <v>651818</v>
      </c>
      <c r="L1039" t="s">
        <v>246</v>
      </c>
      <c r="M1039" t="s">
        <v>247</v>
      </c>
      <c r="N1039" t="s">
        <v>57</v>
      </c>
      <c r="O1039" s="1">
        <v>45936</v>
      </c>
      <c r="Q1039" s="1">
        <v>46028</v>
      </c>
      <c r="R1039" s="2">
        <v>49.46</v>
      </c>
      <c r="S1039">
        <v>1</v>
      </c>
      <c r="T1039" t="s">
        <v>58</v>
      </c>
      <c r="U1039" t="s">
        <v>105</v>
      </c>
      <c r="V1039" s="4">
        <v>0.7</v>
      </c>
      <c r="W1039" s="2">
        <v>0</v>
      </c>
      <c r="X1039">
        <v>0</v>
      </c>
      <c r="Y1039" t="s">
        <v>83</v>
      </c>
      <c r="Z1039" t="s">
        <v>61</v>
      </c>
      <c r="AA1039">
        <v>0</v>
      </c>
      <c r="AB1039" s="2">
        <v>0</v>
      </c>
      <c r="AC1039" s="2">
        <v>0</v>
      </c>
      <c r="AD1039" s="4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34.619999999999997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45999</v>
      </c>
      <c r="B1040" t="s">
        <v>48</v>
      </c>
      <c r="C1040">
        <v>649163</v>
      </c>
      <c r="D1040">
        <v>2030816918</v>
      </c>
      <c r="E1040" t="s">
        <v>896</v>
      </c>
      <c r="F1040" t="s">
        <v>897</v>
      </c>
      <c r="G1040" t="s">
        <v>51</v>
      </c>
      <c r="H1040" t="s">
        <v>389</v>
      </c>
      <c r="I1040" t="s">
        <v>126</v>
      </c>
      <c r="J1040" t="s">
        <v>132</v>
      </c>
      <c r="K1040">
        <v>651818</v>
      </c>
      <c r="L1040" t="s">
        <v>246</v>
      </c>
      <c r="M1040" t="s">
        <v>247</v>
      </c>
      <c r="N1040" t="s">
        <v>57</v>
      </c>
      <c r="O1040" s="1">
        <v>45936</v>
      </c>
      <c r="Q1040" s="1">
        <v>46028</v>
      </c>
      <c r="R1040" s="2">
        <v>34</v>
      </c>
      <c r="S1040">
        <v>1</v>
      </c>
      <c r="T1040" t="s">
        <v>58</v>
      </c>
      <c r="U1040" t="s">
        <v>105</v>
      </c>
      <c r="V1040" s="4">
        <v>0.7</v>
      </c>
      <c r="W1040" s="2">
        <v>0</v>
      </c>
      <c r="X1040">
        <v>0</v>
      </c>
      <c r="Y1040" t="s">
        <v>83</v>
      </c>
      <c r="Z1040" t="s">
        <v>61</v>
      </c>
      <c r="AA1040">
        <v>0</v>
      </c>
      <c r="AB1040" s="2">
        <v>0</v>
      </c>
      <c r="AC1040" s="2">
        <v>0</v>
      </c>
      <c r="AD1040" s="4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23.8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45999</v>
      </c>
      <c r="B1041" t="s">
        <v>48</v>
      </c>
      <c r="C1041">
        <v>649163</v>
      </c>
      <c r="D1041">
        <v>2030816920</v>
      </c>
      <c r="E1041" t="s">
        <v>896</v>
      </c>
      <c r="F1041" t="s">
        <v>897</v>
      </c>
      <c r="G1041" t="s">
        <v>51</v>
      </c>
      <c r="H1041" t="s">
        <v>389</v>
      </c>
      <c r="I1041" t="s">
        <v>126</v>
      </c>
      <c r="J1041" t="s">
        <v>375</v>
      </c>
      <c r="K1041">
        <v>651818</v>
      </c>
      <c r="L1041" t="s">
        <v>246</v>
      </c>
      <c r="M1041" t="s">
        <v>247</v>
      </c>
      <c r="N1041" t="s">
        <v>57</v>
      </c>
      <c r="O1041" s="1">
        <v>45936</v>
      </c>
      <c r="Q1041" s="1">
        <v>46028</v>
      </c>
      <c r="R1041" s="2">
        <v>15.83</v>
      </c>
      <c r="S1041">
        <v>1</v>
      </c>
      <c r="T1041" t="s">
        <v>58</v>
      </c>
      <c r="U1041" t="s">
        <v>105</v>
      </c>
      <c r="V1041" s="4">
        <v>0.9</v>
      </c>
      <c r="W1041" s="2">
        <v>0</v>
      </c>
      <c r="X1041">
        <v>0</v>
      </c>
      <c r="Y1041" t="s">
        <v>83</v>
      </c>
      <c r="Z1041" t="s">
        <v>61</v>
      </c>
      <c r="AA1041">
        <v>0</v>
      </c>
      <c r="AB1041" s="2">
        <v>0</v>
      </c>
      <c r="AC1041" s="2">
        <v>0</v>
      </c>
      <c r="AD1041" s="4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14.25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45999</v>
      </c>
      <c r="B1042" t="s">
        <v>48</v>
      </c>
      <c r="C1042">
        <v>649163</v>
      </c>
      <c r="D1042">
        <v>2030820712</v>
      </c>
      <c r="E1042" t="s">
        <v>898</v>
      </c>
      <c r="F1042" t="s">
        <v>899</v>
      </c>
      <c r="G1042" t="s">
        <v>51</v>
      </c>
      <c r="H1042" t="s">
        <v>267</v>
      </c>
      <c r="I1042" t="s">
        <v>126</v>
      </c>
      <c r="J1042" t="s">
        <v>132</v>
      </c>
      <c r="K1042">
        <v>651818</v>
      </c>
      <c r="L1042" t="s">
        <v>246</v>
      </c>
      <c r="M1042" t="s">
        <v>247</v>
      </c>
      <c r="N1042" t="s">
        <v>57</v>
      </c>
      <c r="O1042" s="1">
        <v>45936</v>
      </c>
      <c r="Q1042" s="1">
        <v>46028</v>
      </c>
      <c r="R1042" s="2">
        <v>31.28</v>
      </c>
      <c r="S1042">
        <v>1</v>
      </c>
      <c r="T1042" t="s">
        <v>58</v>
      </c>
      <c r="U1042" t="s">
        <v>105</v>
      </c>
      <c r="V1042" s="4">
        <v>0.7</v>
      </c>
      <c r="W1042" s="2">
        <v>0</v>
      </c>
      <c r="X1042">
        <v>0</v>
      </c>
      <c r="Y1042" t="s">
        <v>83</v>
      </c>
      <c r="Z1042" t="s">
        <v>61</v>
      </c>
      <c r="AA1042">
        <v>0</v>
      </c>
      <c r="AB1042" s="2">
        <v>0</v>
      </c>
      <c r="AC1042" s="2">
        <v>0</v>
      </c>
      <c r="AD1042" s="4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21.9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45999</v>
      </c>
      <c r="B1043" t="s">
        <v>48</v>
      </c>
      <c r="C1043">
        <v>649163</v>
      </c>
      <c r="D1043">
        <v>2030822622</v>
      </c>
      <c r="E1043" t="s">
        <v>1160</v>
      </c>
      <c r="F1043" t="s">
        <v>405</v>
      </c>
      <c r="G1043" t="s">
        <v>51</v>
      </c>
      <c r="H1043" t="s">
        <v>267</v>
      </c>
      <c r="I1043" t="s">
        <v>126</v>
      </c>
      <c r="J1043" t="s">
        <v>375</v>
      </c>
      <c r="K1043">
        <v>651818</v>
      </c>
      <c r="L1043" t="s">
        <v>246</v>
      </c>
      <c r="M1043" t="s">
        <v>247</v>
      </c>
      <c r="N1043" t="s">
        <v>57</v>
      </c>
      <c r="O1043" s="1">
        <v>45936</v>
      </c>
      <c r="Q1043" s="1">
        <v>46028</v>
      </c>
      <c r="R1043" s="2">
        <v>83.63</v>
      </c>
      <c r="S1043">
        <v>1</v>
      </c>
      <c r="T1043" t="s">
        <v>58</v>
      </c>
      <c r="U1043" t="s">
        <v>105</v>
      </c>
      <c r="V1043" s="4">
        <v>0.9</v>
      </c>
      <c r="W1043" s="2">
        <v>0</v>
      </c>
      <c r="X1043">
        <v>0</v>
      </c>
      <c r="Y1043" t="s">
        <v>83</v>
      </c>
      <c r="Z1043" t="s">
        <v>61</v>
      </c>
      <c r="AA1043">
        <v>0</v>
      </c>
      <c r="AB1043" s="2">
        <v>0</v>
      </c>
      <c r="AC1043" s="2">
        <v>0</v>
      </c>
      <c r="AD1043" s="4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75.27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45999</v>
      </c>
      <c r="B1044" t="s">
        <v>48</v>
      </c>
      <c r="C1044">
        <v>649163</v>
      </c>
      <c r="D1044">
        <v>2030886486</v>
      </c>
      <c r="E1044" t="s">
        <v>1161</v>
      </c>
      <c r="F1044" t="s">
        <v>160</v>
      </c>
      <c r="G1044" t="s">
        <v>51</v>
      </c>
      <c r="H1044" t="s">
        <v>220</v>
      </c>
      <c r="I1044" t="s">
        <v>126</v>
      </c>
      <c r="J1044" t="s">
        <v>132</v>
      </c>
      <c r="K1044">
        <v>856163</v>
      </c>
      <c r="L1044" t="s">
        <v>257</v>
      </c>
      <c r="M1044" t="s">
        <v>426</v>
      </c>
      <c r="N1044" t="s">
        <v>57</v>
      </c>
      <c r="O1044" s="1">
        <v>45906</v>
      </c>
      <c r="Q1044" s="1">
        <v>46028</v>
      </c>
      <c r="R1044" s="2">
        <v>35.04</v>
      </c>
      <c r="S1044">
        <v>1</v>
      </c>
      <c r="T1044" t="s">
        <v>58</v>
      </c>
      <c r="U1044" t="s">
        <v>59</v>
      </c>
      <c r="V1044" s="4">
        <v>0.7</v>
      </c>
      <c r="W1044" s="2">
        <v>0</v>
      </c>
      <c r="X1044">
        <v>0</v>
      </c>
      <c r="Y1044" t="s">
        <v>83</v>
      </c>
      <c r="Z1044" t="s">
        <v>61</v>
      </c>
      <c r="AA1044">
        <v>0</v>
      </c>
      <c r="AB1044" s="2">
        <v>0</v>
      </c>
      <c r="AC1044" s="2">
        <v>0</v>
      </c>
      <c r="AD1044" s="4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24.53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45999</v>
      </c>
      <c r="B1045" t="s">
        <v>48</v>
      </c>
      <c r="C1045">
        <v>649163</v>
      </c>
      <c r="D1045">
        <v>2030917277</v>
      </c>
      <c r="E1045" t="s">
        <v>900</v>
      </c>
      <c r="F1045" t="s">
        <v>901</v>
      </c>
      <c r="G1045" t="s">
        <v>51</v>
      </c>
      <c r="H1045" t="s">
        <v>210</v>
      </c>
      <c r="I1045" t="s">
        <v>126</v>
      </c>
      <c r="J1045" t="s">
        <v>132</v>
      </c>
      <c r="K1045">
        <v>874230</v>
      </c>
      <c r="L1045" t="s">
        <v>902</v>
      </c>
      <c r="M1045" t="s">
        <v>468</v>
      </c>
      <c r="N1045" t="s">
        <v>57</v>
      </c>
      <c r="O1045" s="1">
        <v>45910</v>
      </c>
      <c r="Q1045" s="1">
        <v>46032</v>
      </c>
      <c r="R1045" s="2">
        <v>79.58</v>
      </c>
      <c r="S1045">
        <v>1</v>
      </c>
      <c r="T1045" t="s">
        <v>58</v>
      </c>
      <c r="U1045" t="s">
        <v>59</v>
      </c>
      <c r="V1045" s="4">
        <v>0.7</v>
      </c>
      <c r="W1045" s="2">
        <v>0</v>
      </c>
      <c r="X1045">
        <v>0</v>
      </c>
      <c r="Y1045" t="s">
        <v>83</v>
      </c>
      <c r="Z1045" t="s">
        <v>61</v>
      </c>
      <c r="AA1045">
        <v>0</v>
      </c>
      <c r="AB1045" s="2">
        <v>0</v>
      </c>
      <c r="AC1045" s="2">
        <v>0</v>
      </c>
      <c r="AD1045" s="4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55.71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45999</v>
      </c>
      <c r="B1046" t="s">
        <v>48</v>
      </c>
      <c r="C1046">
        <v>649163</v>
      </c>
      <c r="D1046">
        <v>2030933671</v>
      </c>
      <c r="E1046" t="s">
        <v>903</v>
      </c>
      <c r="F1046" t="s">
        <v>904</v>
      </c>
      <c r="G1046" t="s">
        <v>51</v>
      </c>
      <c r="H1046" t="s">
        <v>163</v>
      </c>
      <c r="I1046" t="s">
        <v>126</v>
      </c>
      <c r="J1046" t="s">
        <v>402</v>
      </c>
      <c r="K1046">
        <v>823068</v>
      </c>
      <c r="L1046" t="s">
        <v>165</v>
      </c>
      <c r="M1046" t="s">
        <v>166</v>
      </c>
      <c r="N1046" t="s">
        <v>57</v>
      </c>
      <c r="O1046" s="1">
        <v>45909</v>
      </c>
      <c r="Q1046" s="1">
        <v>46031</v>
      </c>
      <c r="R1046" s="2">
        <v>27.8</v>
      </c>
      <c r="S1046">
        <v>1</v>
      </c>
      <c r="T1046" t="s">
        <v>58</v>
      </c>
      <c r="U1046" t="s">
        <v>105</v>
      </c>
      <c r="V1046" s="4">
        <v>0.42</v>
      </c>
      <c r="W1046" s="2">
        <v>0</v>
      </c>
      <c r="X1046">
        <v>0</v>
      </c>
      <c r="Y1046" t="s">
        <v>83</v>
      </c>
      <c r="Z1046" t="s">
        <v>61</v>
      </c>
      <c r="AA1046">
        <v>0</v>
      </c>
      <c r="AB1046" s="2">
        <v>0</v>
      </c>
      <c r="AC1046" s="2">
        <v>0</v>
      </c>
      <c r="AD1046" s="4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11.68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45999</v>
      </c>
      <c r="B1047" t="s">
        <v>48</v>
      </c>
      <c r="C1047">
        <v>649163</v>
      </c>
      <c r="D1047">
        <v>2030933672</v>
      </c>
      <c r="E1047" t="s">
        <v>903</v>
      </c>
      <c r="F1047" t="s">
        <v>904</v>
      </c>
      <c r="G1047" t="s">
        <v>51</v>
      </c>
      <c r="H1047" t="s">
        <v>163</v>
      </c>
      <c r="I1047" t="s">
        <v>126</v>
      </c>
      <c r="J1047" t="s">
        <v>164</v>
      </c>
      <c r="K1047">
        <v>823068</v>
      </c>
      <c r="L1047" t="s">
        <v>165</v>
      </c>
      <c r="M1047" t="s">
        <v>166</v>
      </c>
      <c r="N1047" t="s">
        <v>57</v>
      </c>
      <c r="O1047" s="1">
        <v>45909</v>
      </c>
      <c r="Q1047" s="1">
        <v>46031</v>
      </c>
      <c r="R1047" s="2">
        <v>24.61</v>
      </c>
      <c r="S1047">
        <v>1</v>
      </c>
      <c r="T1047" t="s">
        <v>58</v>
      </c>
      <c r="U1047" t="s">
        <v>105</v>
      </c>
      <c r="V1047" s="4">
        <v>0.7</v>
      </c>
      <c r="W1047" s="2">
        <v>0</v>
      </c>
      <c r="X1047">
        <v>0</v>
      </c>
      <c r="Y1047" t="s">
        <v>83</v>
      </c>
      <c r="Z1047" t="s">
        <v>61</v>
      </c>
      <c r="AA1047">
        <v>0</v>
      </c>
      <c r="AB1047" s="2">
        <v>0</v>
      </c>
      <c r="AC1047" s="2">
        <v>0</v>
      </c>
      <c r="AD1047" s="4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17.23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45999</v>
      </c>
      <c r="B1048" t="s">
        <v>48</v>
      </c>
      <c r="C1048">
        <v>649163</v>
      </c>
      <c r="D1048">
        <v>2030940127</v>
      </c>
      <c r="E1048" t="s">
        <v>1162</v>
      </c>
      <c r="F1048" t="s">
        <v>1163</v>
      </c>
      <c r="G1048" t="s">
        <v>51</v>
      </c>
      <c r="H1048" t="s">
        <v>97</v>
      </c>
      <c r="I1048" t="s">
        <v>126</v>
      </c>
      <c r="J1048" t="s">
        <v>132</v>
      </c>
      <c r="K1048">
        <v>673059</v>
      </c>
      <c r="L1048" t="s">
        <v>81</v>
      </c>
      <c r="M1048" t="s">
        <v>82</v>
      </c>
      <c r="N1048" t="s">
        <v>57</v>
      </c>
      <c r="O1048" s="1">
        <v>45909</v>
      </c>
      <c r="Q1048" s="1">
        <v>46031</v>
      </c>
      <c r="R1048" s="2">
        <v>147.4</v>
      </c>
      <c r="S1048">
        <v>1</v>
      </c>
      <c r="T1048" t="s">
        <v>58</v>
      </c>
      <c r="U1048" t="s">
        <v>105</v>
      </c>
      <c r="V1048" s="4">
        <v>0.7</v>
      </c>
      <c r="W1048" s="2">
        <v>0</v>
      </c>
      <c r="X1048">
        <v>0</v>
      </c>
      <c r="Y1048" t="s">
        <v>83</v>
      </c>
      <c r="Z1048" t="s">
        <v>61</v>
      </c>
      <c r="AA1048">
        <v>0</v>
      </c>
      <c r="AB1048" s="2">
        <v>0</v>
      </c>
      <c r="AC1048" s="2">
        <v>0</v>
      </c>
      <c r="AD1048" s="4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103.18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45999</v>
      </c>
      <c r="B1049" t="s">
        <v>48</v>
      </c>
      <c r="C1049">
        <v>649163</v>
      </c>
      <c r="D1049">
        <v>2030945123</v>
      </c>
      <c r="E1049" t="s">
        <v>653</v>
      </c>
      <c r="F1049" t="s">
        <v>690</v>
      </c>
      <c r="G1049" t="s">
        <v>51</v>
      </c>
      <c r="H1049" t="s">
        <v>102</v>
      </c>
      <c r="I1049" t="s">
        <v>126</v>
      </c>
      <c r="J1049" t="s">
        <v>402</v>
      </c>
      <c r="K1049">
        <v>820873</v>
      </c>
      <c r="L1049" t="s">
        <v>117</v>
      </c>
      <c r="M1049" t="s">
        <v>118</v>
      </c>
      <c r="N1049" t="s">
        <v>57</v>
      </c>
      <c r="O1049" s="1">
        <v>45909</v>
      </c>
      <c r="Q1049" s="1">
        <v>46031</v>
      </c>
      <c r="R1049" s="2">
        <v>25.08</v>
      </c>
      <c r="S1049">
        <v>1</v>
      </c>
      <c r="T1049" t="s">
        <v>58</v>
      </c>
      <c r="U1049" t="s">
        <v>105</v>
      </c>
      <c r="V1049" s="4">
        <v>0.42</v>
      </c>
      <c r="W1049" s="2">
        <v>0</v>
      </c>
      <c r="X1049">
        <v>0</v>
      </c>
      <c r="Y1049" t="s">
        <v>83</v>
      </c>
      <c r="Z1049" t="s">
        <v>61</v>
      </c>
      <c r="AA1049">
        <v>0</v>
      </c>
      <c r="AB1049" s="2">
        <v>0</v>
      </c>
      <c r="AC1049" s="2">
        <v>0</v>
      </c>
      <c r="AD1049" s="4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10.53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45999</v>
      </c>
      <c r="B1050" t="s">
        <v>48</v>
      </c>
      <c r="C1050">
        <v>649163</v>
      </c>
      <c r="D1050">
        <v>2030948467</v>
      </c>
      <c r="E1050" t="s">
        <v>905</v>
      </c>
      <c r="F1050" t="s">
        <v>906</v>
      </c>
      <c r="G1050" t="s">
        <v>51</v>
      </c>
      <c r="H1050" t="s">
        <v>97</v>
      </c>
      <c r="I1050" t="s">
        <v>126</v>
      </c>
      <c r="J1050" t="s">
        <v>375</v>
      </c>
      <c r="K1050">
        <v>651818</v>
      </c>
      <c r="L1050" t="s">
        <v>246</v>
      </c>
      <c r="M1050" t="s">
        <v>247</v>
      </c>
      <c r="N1050" t="s">
        <v>57</v>
      </c>
      <c r="O1050" s="1">
        <v>45936</v>
      </c>
      <c r="Q1050" s="1">
        <v>46028</v>
      </c>
      <c r="R1050" s="2">
        <v>31.08</v>
      </c>
      <c r="S1050">
        <v>1</v>
      </c>
      <c r="T1050" t="s">
        <v>58</v>
      </c>
      <c r="U1050" t="s">
        <v>105</v>
      </c>
      <c r="V1050" s="4">
        <v>0.9</v>
      </c>
      <c r="W1050" s="2">
        <v>0</v>
      </c>
      <c r="X1050">
        <v>0</v>
      </c>
      <c r="Y1050" t="s">
        <v>83</v>
      </c>
      <c r="Z1050" t="s">
        <v>61</v>
      </c>
      <c r="AA1050">
        <v>0</v>
      </c>
      <c r="AB1050" s="2">
        <v>0</v>
      </c>
      <c r="AC1050" s="2">
        <v>0</v>
      </c>
      <c r="AD1050" s="4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27.97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45999</v>
      </c>
      <c r="B1051" t="s">
        <v>48</v>
      </c>
      <c r="C1051">
        <v>649163</v>
      </c>
      <c r="D1051">
        <v>2030954164</v>
      </c>
      <c r="E1051" t="s">
        <v>1164</v>
      </c>
      <c r="F1051" t="s">
        <v>1165</v>
      </c>
      <c r="G1051" t="s">
        <v>51</v>
      </c>
      <c r="H1051" t="s">
        <v>97</v>
      </c>
      <c r="I1051" t="s">
        <v>126</v>
      </c>
      <c r="J1051" t="s">
        <v>132</v>
      </c>
      <c r="K1051">
        <v>822865</v>
      </c>
      <c r="L1051" t="s">
        <v>534</v>
      </c>
      <c r="M1051" t="s">
        <v>535</v>
      </c>
      <c r="N1051" t="s">
        <v>57</v>
      </c>
      <c r="O1051" s="1">
        <v>45911</v>
      </c>
      <c r="Q1051" s="1">
        <v>46033</v>
      </c>
      <c r="R1051" s="2">
        <v>28.38</v>
      </c>
      <c r="S1051">
        <v>1</v>
      </c>
      <c r="T1051" t="s">
        <v>58</v>
      </c>
      <c r="U1051" t="s">
        <v>105</v>
      </c>
      <c r="V1051" s="4">
        <v>0.7</v>
      </c>
      <c r="W1051" s="2">
        <v>0</v>
      </c>
      <c r="X1051">
        <v>0</v>
      </c>
      <c r="Y1051" t="s">
        <v>83</v>
      </c>
      <c r="Z1051" t="s">
        <v>61</v>
      </c>
      <c r="AA1051">
        <v>0</v>
      </c>
      <c r="AB1051" s="2">
        <v>0</v>
      </c>
      <c r="AC1051" s="2">
        <v>0</v>
      </c>
      <c r="AD1051" s="4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19.87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45999</v>
      </c>
      <c r="B1052" t="s">
        <v>48</v>
      </c>
      <c r="C1052">
        <v>649163</v>
      </c>
      <c r="D1052">
        <v>2030963808</v>
      </c>
      <c r="E1052" t="s">
        <v>908</v>
      </c>
      <c r="F1052" t="s">
        <v>209</v>
      </c>
      <c r="G1052" t="s">
        <v>51</v>
      </c>
      <c r="H1052" t="s">
        <v>125</v>
      </c>
      <c r="I1052" t="s">
        <v>126</v>
      </c>
      <c r="J1052" t="s">
        <v>132</v>
      </c>
      <c r="K1052">
        <v>673059</v>
      </c>
      <c r="L1052" t="s">
        <v>81</v>
      </c>
      <c r="M1052" t="s">
        <v>82</v>
      </c>
      <c r="N1052" t="s">
        <v>57</v>
      </c>
      <c r="O1052" s="1">
        <v>45910</v>
      </c>
      <c r="Q1052" s="1">
        <v>46032</v>
      </c>
      <c r="R1052" s="2">
        <v>57.27</v>
      </c>
      <c r="S1052">
        <v>1</v>
      </c>
      <c r="T1052" t="s">
        <v>58</v>
      </c>
      <c r="U1052" t="s">
        <v>105</v>
      </c>
      <c r="V1052" s="4">
        <v>0.7</v>
      </c>
      <c r="W1052" s="2">
        <v>0</v>
      </c>
      <c r="X1052">
        <v>0</v>
      </c>
      <c r="Y1052" t="s">
        <v>83</v>
      </c>
      <c r="Z1052" t="s">
        <v>61</v>
      </c>
      <c r="AA1052">
        <v>0</v>
      </c>
      <c r="AB1052" s="2">
        <v>0</v>
      </c>
      <c r="AC1052" s="2">
        <v>0</v>
      </c>
      <c r="AD1052" s="4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40.090000000000003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45999</v>
      </c>
      <c r="B1053" t="s">
        <v>48</v>
      </c>
      <c r="C1053">
        <v>649163</v>
      </c>
      <c r="D1053">
        <v>2030966818</v>
      </c>
      <c r="E1053" t="s">
        <v>600</v>
      </c>
      <c r="F1053" t="s">
        <v>503</v>
      </c>
      <c r="G1053" t="s">
        <v>51</v>
      </c>
      <c r="H1053" t="s">
        <v>220</v>
      </c>
      <c r="I1053" t="s">
        <v>126</v>
      </c>
      <c r="J1053" t="s">
        <v>132</v>
      </c>
      <c r="K1053">
        <v>823350</v>
      </c>
      <c r="L1053" t="s">
        <v>257</v>
      </c>
      <c r="M1053" t="s">
        <v>258</v>
      </c>
      <c r="N1053" t="s">
        <v>57</v>
      </c>
      <c r="O1053" s="1">
        <v>45910</v>
      </c>
      <c r="Q1053" s="1">
        <v>46032</v>
      </c>
      <c r="R1053" s="2">
        <v>18.57</v>
      </c>
      <c r="S1053">
        <v>1</v>
      </c>
      <c r="T1053" t="s">
        <v>58</v>
      </c>
      <c r="U1053" t="s">
        <v>105</v>
      </c>
      <c r="V1053" s="4">
        <v>0.7</v>
      </c>
      <c r="W1053" s="2">
        <v>0</v>
      </c>
      <c r="X1053">
        <v>0</v>
      </c>
      <c r="Y1053" t="s">
        <v>83</v>
      </c>
      <c r="Z1053" t="s">
        <v>61</v>
      </c>
      <c r="AA1053">
        <v>0</v>
      </c>
      <c r="AB1053" s="2">
        <v>0</v>
      </c>
      <c r="AC1053" s="2">
        <v>0</v>
      </c>
      <c r="AD1053" s="4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13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45999</v>
      </c>
      <c r="B1054" t="s">
        <v>48</v>
      </c>
      <c r="C1054">
        <v>649163</v>
      </c>
      <c r="D1054">
        <v>2030977481</v>
      </c>
      <c r="E1054" t="s">
        <v>1166</v>
      </c>
      <c r="F1054" t="s">
        <v>152</v>
      </c>
      <c r="G1054" t="s">
        <v>51</v>
      </c>
      <c r="H1054" t="s">
        <v>620</v>
      </c>
      <c r="I1054" t="s">
        <v>126</v>
      </c>
      <c r="J1054" t="s">
        <v>132</v>
      </c>
      <c r="K1054">
        <v>651818</v>
      </c>
      <c r="L1054" t="s">
        <v>246</v>
      </c>
      <c r="M1054" t="s">
        <v>247</v>
      </c>
      <c r="N1054" t="s">
        <v>57</v>
      </c>
      <c r="O1054" s="1">
        <v>45936</v>
      </c>
      <c r="Q1054" s="1">
        <v>46028</v>
      </c>
      <c r="R1054" s="2">
        <v>228.99</v>
      </c>
      <c r="S1054">
        <v>1</v>
      </c>
      <c r="T1054" t="s">
        <v>58</v>
      </c>
      <c r="U1054" t="s">
        <v>105</v>
      </c>
      <c r="V1054" s="4">
        <v>0.7</v>
      </c>
      <c r="W1054" s="2">
        <v>0</v>
      </c>
      <c r="X1054">
        <v>0</v>
      </c>
      <c r="Y1054" t="s">
        <v>83</v>
      </c>
      <c r="Z1054" t="s">
        <v>61</v>
      </c>
      <c r="AA1054">
        <v>0</v>
      </c>
      <c r="AB1054" s="2">
        <v>0</v>
      </c>
      <c r="AC1054" s="2">
        <v>0</v>
      </c>
      <c r="AD1054" s="4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160.29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45999</v>
      </c>
      <c r="B1055" t="s">
        <v>48</v>
      </c>
      <c r="C1055">
        <v>649163</v>
      </c>
      <c r="D1055">
        <v>2031014065</v>
      </c>
      <c r="E1055" t="s">
        <v>601</v>
      </c>
      <c r="F1055" t="s">
        <v>602</v>
      </c>
      <c r="G1055" t="s">
        <v>51</v>
      </c>
      <c r="H1055" t="s">
        <v>447</v>
      </c>
      <c r="I1055" t="s">
        <v>126</v>
      </c>
      <c r="J1055" t="s">
        <v>132</v>
      </c>
      <c r="K1055">
        <v>651818</v>
      </c>
      <c r="L1055" t="s">
        <v>246</v>
      </c>
      <c r="M1055" t="s">
        <v>247</v>
      </c>
      <c r="N1055" t="s">
        <v>57</v>
      </c>
      <c r="O1055" s="1">
        <v>45936</v>
      </c>
      <c r="Q1055" s="1">
        <v>46028</v>
      </c>
      <c r="R1055" s="2">
        <v>29.6</v>
      </c>
      <c r="S1055">
        <v>1</v>
      </c>
      <c r="T1055" t="s">
        <v>58</v>
      </c>
      <c r="U1055" t="s">
        <v>105</v>
      </c>
      <c r="V1055" s="4">
        <v>0.7</v>
      </c>
      <c r="W1055" s="2">
        <v>0</v>
      </c>
      <c r="X1055">
        <v>0</v>
      </c>
      <c r="Y1055" t="s">
        <v>83</v>
      </c>
      <c r="Z1055" t="s">
        <v>61</v>
      </c>
      <c r="AA1055">
        <v>0</v>
      </c>
      <c r="AB1055" s="2">
        <v>0</v>
      </c>
      <c r="AC1055" s="2">
        <v>0</v>
      </c>
      <c r="AD1055" s="4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20.72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45999</v>
      </c>
      <c r="B1056" t="s">
        <v>48</v>
      </c>
      <c r="C1056">
        <v>649163</v>
      </c>
      <c r="D1056">
        <v>2031070229</v>
      </c>
      <c r="E1056" t="s">
        <v>614</v>
      </c>
      <c r="F1056" t="s">
        <v>328</v>
      </c>
      <c r="G1056" t="s">
        <v>51</v>
      </c>
      <c r="H1056" t="s">
        <v>79</v>
      </c>
      <c r="I1056" t="s">
        <v>126</v>
      </c>
      <c r="J1056" t="s">
        <v>132</v>
      </c>
      <c r="K1056">
        <v>673059</v>
      </c>
      <c r="L1056" t="s">
        <v>81</v>
      </c>
      <c r="M1056" t="s">
        <v>82</v>
      </c>
      <c r="N1056" t="s">
        <v>57</v>
      </c>
      <c r="O1056" s="1">
        <v>45939</v>
      </c>
      <c r="Q1056" s="1">
        <v>46031</v>
      </c>
      <c r="R1056" s="2">
        <v>43.83</v>
      </c>
      <c r="S1056">
        <v>1</v>
      </c>
      <c r="T1056" t="s">
        <v>58</v>
      </c>
      <c r="U1056" t="s">
        <v>105</v>
      </c>
      <c r="V1056" s="4">
        <v>0.7</v>
      </c>
      <c r="W1056" s="2">
        <v>0</v>
      </c>
      <c r="X1056">
        <v>0</v>
      </c>
      <c r="Y1056" t="s">
        <v>83</v>
      </c>
      <c r="Z1056" t="s">
        <v>61</v>
      </c>
      <c r="AA1056">
        <v>0</v>
      </c>
      <c r="AB1056" s="2">
        <v>0</v>
      </c>
      <c r="AC1056" s="2">
        <v>0</v>
      </c>
      <c r="AD1056" s="4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30.68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45999</v>
      </c>
      <c r="B1057" t="s">
        <v>48</v>
      </c>
      <c r="C1057">
        <v>649163</v>
      </c>
      <c r="D1057">
        <v>2031160015</v>
      </c>
      <c r="E1057" t="s">
        <v>1167</v>
      </c>
      <c r="F1057" t="s">
        <v>1168</v>
      </c>
      <c r="G1057" t="s">
        <v>51</v>
      </c>
      <c r="H1057" t="s">
        <v>256</v>
      </c>
      <c r="I1057" t="s">
        <v>126</v>
      </c>
      <c r="J1057" t="s">
        <v>375</v>
      </c>
      <c r="K1057">
        <v>651818</v>
      </c>
      <c r="L1057" t="s">
        <v>246</v>
      </c>
      <c r="M1057" t="s">
        <v>247</v>
      </c>
      <c r="N1057" t="s">
        <v>57</v>
      </c>
      <c r="O1057" s="1">
        <v>45936</v>
      </c>
      <c r="Q1057" s="1">
        <v>46028</v>
      </c>
      <c r="R1057" s="2">
        <v>95.38</v>
      </c>
      <c r="S1057">
        <v>1</v>
      </c>
      <c r="T1057" t="s">
        <v>58</v>
      </c>
      <c r="U1057" t="s">
        <v>105</v>
      </c>
      <c r="V1057" s="4">
        <v>0.9</v>
      </c>
      <c r="W1057" s="2">
        <v>0</v>
      </c>
      <c r="X1057">
        <v>0</v>
      </c>
      <c r="Y1057" t="s">
        <v>83</v>
      </c>
      <c r="Z1057" t="s">
        <v>61</v>
      </c>
      <c r="AA1057">
        <v>0</v>
      </c>
      <c r="AB1057" s="2">
        <v>0</v>
      </c>
      <c r="AC1057" s="2">
        <v>0</v>
      </c>
      <c r="AD1057" s="4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85.84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45999</v>
      </c>
      <c r="B1058" t="s">
        <v>48</v>
      </c>
      <c r="C1058">
        <v>649163</v>
      </c>
      <c r="D1058">
        <v>2031195331</v>
      </c>
      <c r="E1058" t="s">
        <v>605</v>
      </c>
      <c r="F1058" t="s">
        <v>71</v>
      </c>
      <c r="G1058" t="s">
        <v>51</v>
      </c>
      <c r="H1058" t="s">
        <v>97</v>
      </c>
      <c r="I1058" t="s">
        <v>126</v>
      </c>
      <c r="J1058" t="s">
        <v>164</v>
      </c>
      <c r="K1058">
        <v>884595</v>
      </c>
      <c r="L1058" t="s">
        <v>606</v>
      </c>
      <c r="M1058" t="s">
        <v>607</v>
      </c>
      <c r="N1058" t="s">
        <v>57</v>
      </c>
      <c r="O1058" s="1">
        <v>45939</v>
      </c>
      <c r="Q1058" s="1">
        <v>46031</v>
      </c>
      <c r="R1058" s="2">
        <v>25.73</v>
      </c>
      <c r="S1058">
        <v>1</v>
      </c>
      <c r="T1058" t="s">
        <v>58</v>
      </c>
      <c r="U1058" t="s">
        <v>105</v>
      </c>
      <c r="V1058" s="4">
        <v>0.7</v>
      </c>
      <c r="W1058" s="2">
        <v>0</v>
      </c>
      <c r="X1058">
        <v>0</v>
      </c>
      <c r="Y1058" t="s">
        <v>83</v>
      </c>
      <c r="Z1058" t="s">
        <v>61</v>
      </c>
      <c r="AA1058">
        <v>0</v>
      </c>
      <c r="AB1058" s="2">
        <v>0</v>
      </c>
      <c r="AC1058" s="2">
        <v>0</v>
      </c>
      <c r="AD1058" s="4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18.010000000000002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45999</v>
      </c>
      <c r="B1059" t="s">
        <v>48</v>
      </c>
      <c r="C1059">
        <v>649163</v>
      </c>
      <c r="D1059">
        <v>2031244629</v>
      </c>
      <c r="E1059" t="s">
        <v>910</v>
      </c>
      <c r="F1059" t="s">
        <v>911</v>
      </c>
      <c r="G1059" t="s">
        <v>51</v>
      </c>
      <c r="H1059" t="s">
        <v>515</v>
      </c>
      <c r="I1059" t="s">
        <v>126</v>
      </c>
      <c r="J1059" t="s">
        <v>132</v>
      </c>
      <c r="K1059">
        <v>673059</v>
      </c>
      <c r="L1059" t="s">
        <v>81</v>
      </c>
      <c r="M1059" t="s">
        <v>82</v>
      </c>
      <c r="N1059" t="s">
        <v>94</v>
      </c>
      <c r="O1059" s="1">
        <v>45931</v>
      </c>
      <c r="P1059" s="1">
        <v>45999</v>
      </c>
      <c r="Q1059" s="1">
        <v>46023</v>
      </c>
      <c r="R1059" s="2">
        <v>-38.83</v>
      </c>
      <c r="S1059">
        <v>1</v>
      </c>
      <c r="T1059" t="s">
        <v>58</v>
      </c>
      <c r="U1059" t="s">
        <v>105</v>
      </c>
      <c r="V1059" s="4">
        <v>0.7</v>
      </c>
      <c r="W1059" s="2">
        <v>0</v>
      </c>
      <c r="X1059">
        <v>-1</v>
      </c>
      <c r="Y1059" t="s">
        <v>83</v>
      </c>
      <c r="Z1059" t="s">
        <v>61</v>
      </c>
      <c r="AA1059">
        <v>0</v>
      </c>
      <c r="AB1059" s="2">
        <v>0</v>
      </c>
      <c r="AC1059" s="2">
        <v>0</v>
      </c>
      <c r="AD1059" s="4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-27.18</v>
      </c>
      <c r="AN1059" s="2">
        <v>-27.18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45999</v>
      </c>
      <c r="B1060" t="s">
        <v>48</v>
      </c>
      <c r="C1060">
        <v>649163</v>
      </c>
      <c r="D1060">
        <v>2031247581</v>
      </c>
      <c r="E1060" t="s">
        <v>610</v>
      </c>
      <c r="F1060" t="s">
        <v>285</v>
      </c>
      <c r="G1060" t="s">
        <v>51</v>
      </c>
      <c r="H1060" t="s">
        <v>102</v>
      </c>
      <c r="I1060" t="s">
        <v>126</v>
      </c>
      <c r="J1060" t="s">
        <v>132</v>
      </c>
      <c r="K1060">
        <v>651818</v>
      </c>
      <c r="L1060" t="s">
        <v>246</v>
      </c>
      <c r="M1060" t="s">
        <v>247</v>
      </c>
      <c r="N1060" t="s">
        <v>57</v>
      </c>
      <c r="O1060" s="1">
        <v>45936</v>
      </c>
      <c r="Q1060" s="1">
        <v>46028</v>
      </c>
      <c r="R1060" s="2">
        <v>105.02</v>
      </c>
      <c r="S1060">
        <v>1</v>
      </c>
      <c r="T1060" t="s">
        <v>58</v>
      </c>
      <c r="U1060" t="s">
        <v>105</v>
      </c>
      <c r="V1060" s="4">
        <v>0.7</v>
      </c>
      <c r="W1060" s="2">
        <v>0</v>
      </c>
      <c r="X1060">
        <v>0</v>
      </c>
      <c r="Y1060" t="s">
        <v>83</v>
      </c>
      <c r="Z1060" t="s">
        <v>61</v>
      </c>
      <c r="AA1060">
        <v>0</v>
      </c>
      <c r="AB1060" s="2">
        <v>0</v>
      </c>
      <c r="AC1060" s="2">
        <v>0</v>
      </c>
      <c r="AD1060" s="4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73.510000000000005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45999</v>
      </c>
      <c r="B1061" t="s">
        <v>48</v>
      </c>
      <c r="C1061">
        <v>649163</v>
      </c>
      <c r="D1061">
        <v>2031270409</v>
      </c>
      <c r="E1061" t="s">
        <v>912</v>
      </c>
      <c r="F1061" t="s">
        <v>913</v>
      </c>
      <c r="G1061" t="s">
        <v>51</v>
      </c>
      <c r="H1061" t="s">
        <v>389</v>
      </c>
      <c r="I1061" t="s">
        <v>126</v>
      </c>
      <c r="J1061" t="s">
        <v>375</v>
      </c>
      <c r="K1061">
        <v>651818</v>
      </c>
      <c r="L1061" t="s">
        <v>246</v>
      </c>
      <c r="M1061" t="s">
        <v>247</v>
      </c>
      <c r="N1061" t="s">
        <v>57</v>
      </c>
      <c r="O1061" s="1">
        <v>45941</v>
      </c>
      <c r="Q1061" s="1">
        <v>46033</v>
      </c>
      <c r="R1061" s="2">
        <v>37.42</v>
      </c>
      <c r="S1061">
        <v>1</v>
      </c>
      <c r="T1061" t="s">
        <v>58</v>
      </c>
      <c r="U1061" t="s">
        <v>105</v>
      </c>
      <c r="V1061" s="4">
        <v>0.9</v>
      </c>
      <c r="W1061" s="2">
        <v>0</v>
      </c>
      <c r="X1061">
        <v>0</v>
      </c>
      <c r="Y1061" t="s">
        <v>83</v>
      </c>
      <c r="Z1061" t="s">
        <v>61</v>
      </c>
      <c r="AA1061">
        <v>0</v>
      </c>
      <c r="AB1061" s="2">
        <v>0</v>
      </c>
      <c r="AC1061" s="2">
        <v>0</v>
      </c>
      <c r="AD1061" s="4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33.68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45999</v>
      </c>
      <c r="B1062" t="s">
        <v>48</v>
      </c>
      <c r="C1062">
        <v>649163</v>
      </c>
      <c r="D1062">
        <v>2031290288</v>
      </c>
      <c r="E1062" t="s">
        <v>244</v>
      </c>
      <c r="F1062" t="s">
        <v>914</v>
      </c>
      <c r="G1062" t="s">
        <v>51</v>
      </c>
      <c r="H1062" t="s">
        <v>102</v>
      </c>
      <c r="I1062" t="s">
        <v>126</v>
      </c>
      <c r="J1062" t="s">
        <v>375</v>
      </c>
      <c r="K1062">
        <v>651818</v>
      </c>
      <c r="L1062" t="s">
        <v>246</v>
      </c>
      <c r="M1062" t="s">
        <v>247</v>
      </c>
      <c r="N1062" t="s">
        <v>57</v>
      </c>
      <c r="O1062" s="1">
        <v>45936</v>
      </c>
      <c r="Q1062" s="1">
        <v>46028</v>
      </c>
      <c r="R1062" s="2">
        <v>163.25</v>
      </c>
      <c r="S1062">
        <v>1</v>
      </c>
      <c r="T1062" t="s">
        <v>58</v>
      </c>
      <c r="U1062" t="s">
        <v>105</v>
      </c>
      <c r="V1062" s="4">
        <v>0.9</v>
      </c>
      <c r="W1062" s="2">
        <v>0</v>
      </c>
      <c r="X1062">
        <v>0</v>
      </c>
      <c r="Y1062" t="s">
        <v>83</v>
      </c>
      <c r="Z1062" t="s">
        <v>61</v>
      </c>
      <c r="AA1062">
        <v>0</v>
      </c>
      <c r="AB1062" s="2">
        <v>0</v>
      </c>
      <c r="AC1062" s="2">
        <v>0</v>
      </c>
      <c r="AD1062" s="4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146.91999999999999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45999</v>
      </c>
      <c r="B1063" t="s">
        <v>48</v>
      </c>
      <c r="C1063">
        <v>649163</v>
      </c>
      <c r="D1063">
        <v>2031320895</v>
      </c>
      <c r="E1063" t="s">
        <v>915</v>
      </c>
      <c r="F1063" t="s">
        <v>96</v>
      </c>
      <c r="G1063" t="s">
        <v>51</v>
      </c>
      <c r="H1063" t="s">
        <v>389</v>
      </c>
      <c r="I1063" t="s">
        <v>126</v>
      </c>
      <c r="J1063" t="s">
        <v>132</v>
      </c>
      <c r="K1063">
        <v>651818</v>
      </c>
      <c r="L1063" t="s">
        <v>246</v>
      </c>
      <c r="M1063" t="s">
        <v>247</v>
      </c>
      <c r="N1063" t="s">
        <v>57</v>
      </c>
      <c r="O1063" s="1">
        <v>45936</v>
      </c>
      <c r="Q1063" s="1">
        <v>46028</v>
      </c>
      <c r="R1063" s="2">
        <v>11.5</v>
      </c>
      <c r="S1063">
        <v>1</v>
      </c>
      <c r="T1063" t="s">
        <v>58</v>
      </c>
      <c r="U1063" t="s">
        <v>105</v>
      </c>
      <c r="V1063" s="4">
        <v>0.7</v>
      </c>
      <c r="W1063" s="2">
        <v>0</v>
      </c>
      <c r="X1063">
        <v>0</v>
      </c>
      <c r="Y1063" t="s">
        <v>83</v>
      </c>
      <c r="Z1063" t="s">
        <v>61</v>
      </c>
      <c r="AA1063">
        <v>0</v>
      </c>
      <c r="AB1063" s="2">
        <v>0</v>
      </c>
      <c r="AC1063" s="2">
        <v>0</v>
      </c>
      <c r="AD1063" s="4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8.0500000000000007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45999</v>
      </c>
      <c r="B1064" t="s">
        <v>48</v>
      </c>
      <c r="C1064">
        <v>649163</v>
      </c>
      <c r="D1064">
        <v>2031328823</v>
      </c>
      <c r="E1064" t="s">
        <v>1169</v>
      </c>
      <c r="F1064" t="s">
        <v>63</v>
      </c>
      <c r="G1064" t="s">
        <v>51</v>
      </c>
      <c r="H1064" t="s">
        <v>102</v>
      </c>
      <c r="I1064" t="s">
        <v>126</v>
      </c>
      <c r="J1064" t="s">
        <v>132</v>
      </c>
      <c r="K1064">
        <v>821015</v>
      </c>
      <c r="L1064" t="s">
        <v>92</v>
      </c>
      <c r="M1064" t="s">
        <v>93</v>
      </c>
      <c r="N1064" t="s">
        <v>57</v>
      </c>
      <c r="O1064" s="1">
        <v>45936</v>
      </c>
      <c r="Q1064" s="1">
        <v>46028</v>
      </c>
      <c r="R1064" s="2">
        <v>212.26</v>
      </c>
      <c r="S1064">
        <v>1</v>
      </c>
      <c r="T1064" t="s">
        <v>58</v>
      </c>
      <c r="U1064" t="s">
        <v>105</v>
      </c>
      <c r="V1064" s="4">
        <v>0.7</v>
      </c>
      <c r="W1064" s="2">
        <v>0</v>
      </c>
      <c r="X1064">
        <v>0</v>
      </c>
      <c r="Y1064" t="s">
        <v>83</v>
      </c>
      <c r="Z1064" t="s">
        <v>61</v>
      </c>
      <c r="AA1064">
        <v>0</v>
      </c>
      <c r="AB1064" s="2">
        <v>0</v>
      </c>
      <c r="AC1064" s="2">
        <v>0</v>
      </c>
      <c r="AD1064" s="4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148.58000000000001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45999</v>
      </c>
      <c r="B1065" t="s">
        <v>48</v>
      </c>
      <c r="C1065">
        <v>649163</v>
      </c>
      <c r="D1065">
        <v>2031361277</v>
      </c>
      <c r="E1065" t="s">
        <v>100</v>
      </c>
      <c r="F1065" t="s">
        <v>101</v>
      </c>
      <c r="G1065" t="s">
        <v>51</v>
      </c>
      <c r="H1065" t="s">
        <v>102</v>
      </c>
      <c r="I1065" t="s">
        <v>126</v>
      </c>
      <c r="J1065" t="s">
        <v>132</v>
      </c>
      <c r="K1065">
        <v>824081</v>
      </c>
      <c r="L1065" t="s">
        <v>103</v>
      </c>
      <c r="M1065" t="s">
        <v>104</v>
      </c>
      <c r="N1065" t="s">
        <v>57</v>
      </c>
      <c r="O1065" s="1">
        <v>45931</v>
      </c>
      <c r="Q1065" s="1">
        <v>46023</v>
      </c>
      <c r="R1065" s="2">
        <v>-88.96</v>
      </c>
      <c r="S1065">
        <v>1</v>
      </c>
      <c r="T1065" t="s">
        <v>58</v>
      </c>
      <c r="U1065" t="s">
        <v>105</v>
      </c>
      <c r="V1065" s="4">
        <v>0.7</v>
      </c>
      <c r="W1065" s="2">
        <v>0</v>
      </c>
      <c r="X1065">
        <v>-1</v>
      </c>
      <c r="Y1065" t="s">
        <v>83</v>
      </c>
      <c r="Z1065" t="s">
        <v>61</v>
      </c>
      <c r="AA1065">
        <v>0</v>
      </c>
      <c r="AB1065" s="2">
        <v>0</v>
      </c>
      <c r="AC1065" s="2">
        <v>0</v>
      </c>
      <c r="AD1065" s="4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-62.27</v>
      </c>
      <c r="AN1065" s="2">
        <v>-62.27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45999</v>
      </c>
      <c r="B1066" t="s">
        <v>48</v>
      </c>
      <c r="C1066">
        <v>649163</v>
      </c>
      <c r="D1066">
        <v>2031379411</v>
      </c>
      <c r="E1066" t="s">
        <v>1170</v>
      </c>
      <c r="F1066" t="s">
        <v>1171</v>
      </c>
      <c r="G1066" t="s">
        <v>51</v>
      </c>
      <c r="H1066" t="s">
        <v>102</v>
      </c>
      <c r="I1066" t="s">
        <v>126</v>
      </c>
      <c r="J1066" t="s">
        <v>132</v>
      </c>
      <c r="K1066">
        <v>820873</v>
      </c>
      <c r="L1066" t="s">
        <v>117</v>
      </c>
      <c r="M1066" t="s">
        <v>118</v>
      </c>
      <c r="N1066" t="s">
        <v>57</v>
      </c>
      <c r="O1066" s="1">
        <v>45962</v>
      </c>
      <c r="Q1066" s="1">
        <v>46023</v>
      </c>
      <c r="R1066" s="2">
        <v>11.5</v>
      </c>
      <c r="S1066">
        <v>1</v>
      </c>
      <c r="T1066" t="s">
        <v>58</v>
      </c>
      <c r="U1066" t="s">
        <v>105</v>
      </c>
      <c r="V1066" s="4">
        <v>0.7</v>
      </c>
      <c r="W1066" s="2">
        <v>0</v>
      </c>
      <c r="X1066">
        <v>0</v>
      </c>
      <c r="Y1066" t="s">
        <v>83</v>
      </c>
      <c r="Z1066" t="s">
        <v>61</v>
      </c>
      <c r="AA1066">
        <v>0</v>
      </c>
      <c r="AB1066" s="2">
        <v>0</v>
      </c>
      <c r="AC1066" s="2">
        <v>0</v>
      </c>
      <c r="AD1066" s="4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8.0500000000000007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45999</v>
      </c>
      <c r="B1067" t="s">
        <v>48</v>
      </c>
      <c r="C1067">
        <v>649163</v>
      </c>
      <c r="D1067">
        <v>2031383606</v>
      </c>
      <c r="E1067" t="s">
        <v>916</v>
      </c>
      <c r="F1067" t="s">
        <v>142</v>
      </c>
      <c r="G1067" t="s">
        <v>51</v>
      </c>
      <c r="H1067" t="s">
        <v>163</v>
      </c>
      <c r="I1067" t="s">
        <v>126</v>
      </c>
      <c r="J1067" t="s">
        <v>402</v>
      </c>
      <c r="K1067">
        <v>823068</v>
      </c>
      <c r="L1067" t="s">
        <v>165</v>
      </c>
      <c r="M1067" t="s">
        <v>166</v>
      </c>
      <c r="N1067" t="s">
        <v>57</v>
      </c>
      <c r="O1067" s="1">
        <v>45942</v>
      </c>
      <c r="Q1067" s="1">
        <v>46034</v>
      </c>
      <c r="R1067" s="2">
        <v>21.08</v>
      </c>
      <c r="S1067">
        <v>1</v>
      </c>
      <c r="T1067" t="s">
        <v>58</v>
      </c>
      <c r="U1067" t="s">
        <v>105</v>
      </c>
      <c r="V1067" s="4">
        <v>0.42</v>
      </c>
      <c r="W1067" s="2">
        <v>0</v>
      </c>
      <c r="X1067">
        <v>0</v>
      </c>
      <c r="Y1067" t="s">
        <v>83</v>
      </c>
      <c r="Z1067" t="s">
        <v>61</v>
      </c>
      <c r="AA1067">
        <v>0</v>
      </c>
      <c r="AB1067" s="2">
        <v>0</v>
      </c>
      <c r="AC1067" s="2">
        <v>0</v>
      </c>
      <c r="AD1067" s="4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8.85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45999</v>
      </c>
      <c r="B1068" t="s">
        <v>48</v>
      </c>
      <c r="C1068">
        <v>649163</v>
      </c>
      <c r="D1068">
        <v>2031383608</v>
      </c>
      <c r="E1068" t="s">
        <v>916</v>
      </c>
      <c r="F1068" t="s">
        <v>142</v>
      </c>
      <c r="G1068" t="s">
        <v>51</v>
      </c>
      <c r="H1068" t="s">
        <v>163</v>
      </c>
      <c r="I1068" t="s">
        <v>126</v>
      </c>
      <c r="J1068" t="s">
        <v>164</v>
      </c>
      <c r="K1068">
        <v>823068</v>
      </c>
      <c r="L1068" t="s">
        <v>165</v>
      </c>
      <c r="M1068" t="s">
        <v>166</v>
      </c>
      <c r="N1068" t="s">
        <v>57</v>
      </c>
      <c r="O1068" s="1">
        <v>45942</v>
      </c>
      <c r="Q1068" s="1">
        <v>46034</v>
      </c>
      <c r="R1068" s="2">
        <v>24.61</v>
      </c>
      <c r="S1068">
        <v>1</v>
      </c>
      <c r="T1068" t="s">
        <v>58</v>
      </c>
      <c r="U1068" t="s">
        <v>105</v>
      </c>
      <c r="V1068" s="4">
        <v>0.7</v>
      </c>
      <c r="W1068" s="2">
        <v>0</v>
      </c>
      <c r="X1068">
        <v>0</v>
      </c>
      <c r="Y1068" t="s">
        <v>83</v>
      </c>
      <c r="Z1068" t="s">
        <v>61</v>
      </c>
      <c r="AA1068">
        <v>0</v>
      </c>
      <c r="AB1068" s="2">
        <v>0</v>
      </c>
      <c r="AC1068" s="2">
        <v>0</v>
      </c>
      <c r="AD1068" s="4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17.23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45999</v>
      </c>
      <c r="B1069" t="s">
        <v>48</v>
      </c>
      <c r="C1069">
        <v>649163</v>
      </c>
      <c r="D1069">
        <v>2031463660</v>
      </c>
      <c r="E1069" t="s">
        <v>484</v>
      </c>
      <c r="F1069" t="s">
        <v>1053</v>
      </c>
      <c r="G1069" t="s">
        <v>51</v>
      </c>
      <c r="H1069" t="s">
        <v>386</v>
      </c>
      <c r="I1069" t="s">
        <v>126</v>
      </c>
      <c r="J1069" t="s">
        <v>375</v>
      </c>
      <c r="K1069">
        <v>882034</v>
      </c>
      <c r="L1069" t="s">
        <v>1172</v>
      </c>
      <c r="M1069" t="s">
        <v>1173</v>
      </c>
      <c r="N1069" t="s">
        <v>57</v>
      </c>
      <c r="O1069" s="1">
        <v>45940</v>
      </c>
      <c r="Q1069" s="1">
        <v>46032</v>
      </c>
      <c r="R1069" s="2">
        <v>51.63</v>
      </c>
      <c r="S1069">
        <v>1</v>
      </c>
      <c r="T1069" t="s">
        <v>58</v>
      </c>
      <c r="U1069" t="s">
        <v>105</v>
      </c>
      <c r="V1069" s="4">
        <v>0.9</v>
      </c>
      <c r="W1069" s="2">
        <v>0</v>
      </c>
      <c r="X1069">
        <v>0</v>
      </c>
      <c r="Y1069" t="s">
        <v>83</v>
      </c>
      <c r="Z1069" t="s">
        <v>61</v>
      </c>
      <c r="AA1069">
        <v>0</v>
      </c>
      <c r="AB1069" s="2">
        <v>0</v>
      </c>
      <c r="AC1069" s="2">
        <v>0</v>
      </c>
      <c r="AD1069" s="4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46.47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45999</v>
      </c>
      <c r="B1070" t="s">
        <v>48</v>
      </c>
      <c r="C1070">
        <v>649163</v>
      </c>
      <c r="D1070">
        <v>2031474832</v>
      </c>
      <c r="E1070" t="s">
        <v>1174</v>
      </c>
      <c r="F1070" t="s">
        <v>1175</v>
      </c>
      <c r="G1070" t="s">
        <v>51</v>
      </c>
      <c r="H1070" t="s">
        <v>102</v>
      </c>
      <c r="I1070" t="s">
        <v>126</v>
      </c>
      <c r="J1070" t="s">
        <v>132</v>
      </c>
      <c r="K1070">
        <v>821015</v>
      </c>
      <c r="L1070" t="s">
        <v>92</v>
      </c>
      <c r="M1070" t="s">
        <v>93</v>
      </c>
      <c r="N1070" t="s">
        <v>57</v>
      </c>
      <c r="O1070" s="1">
        <v>45937</v>
      </c>
      <c r="Q1070" s="1">
        <v>46029</v>
      </c>
      <c r="R1070" s="2">
        <v>42.36</v>
      </c>
      <c r="S1070">
        <v>1</v>
      </c>
      <c r="T1070" t="s">
        <v>58</v>
      </c>
      <c r="U1070" t="s">
        <v>105</v>
      </c>
      <c r="V1070" s="4">
        <v>0.7</v>
      </c>
      <c r="W1070" s="2">
        <v>0</v>
      </c>
      <c r="X1070">
        <v>0</v>
      </c>
      <c r="Y1070" t="s">
        <v>83</v>
      </c>
      <c r="Z1070" t="s">
        <v>61</v>
      </c>
      <c r="AA1070">
        <v>0</v>
      </c>
      <c r="AB1070" s="2">
        <v>0</v>
      </c>
      <c r="AC1070" s="2">
        <v>0</v>
      </c>
      <c r="AD1070" s="4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29.65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45999</v>
      </c>
      <c r="B1071" t="s">
        <v>48</v>
      </c>
      <c r="C1071">
        <v>649163</v>
      </c>
      <c r="D1071">
        <v>2031479692</v>
      </c>
      <c r="E1071" t="s">
        <v>161</v>
      </c>
      <c r="F1071" t="s">
        <v>918</v>
      </c>
      <c r="G1071" t="s">
        <v>51</v>
      </c>
      <c r="H1071" t="s">
        <v>374</v>
      </c>
      <c r="I1071" t="s">
        <v>126</v>
      </c>
      <c r="J1071" t="s">
        <v>132</v>
      </c>
      <c r="K1071">
        <v>651818</v>
      </c>
      <c r="L1071" t="s">
        <v>246</v>
      </c>
      <c r="M1071" t="s">
        <v>247</v>
      </c>
      <c r="N1071" t="s">
        <v>57</v>
      </c>
      <c r="O1071" s="1">
        <v>45967</v>
      </c>
      <c r="Q1071" s="1">
        <v>46028</v>
      </c>
      <c r="R1071" s="2">
        <v>57.68</v>
      </c>
      <c r="S1071">
        <v>1</v>
      </c>
      <c r="T1071" t="s">
        <v>58</v>
      </c>
      <c r="U1071" t="s">
        <v>105</v>
      </c>
      <c r="V1071" s="4">
        <v>0.7</v>
      </c>
      <c r="W1071" s="2">
        <v>0</v>
      </c>
      <c r="X1071">
        <v>0</v>
      </c>
      <c r="Y1071" t="s">
        <v>83</v>
      </c>
      <c r="Z1071" t="s">
        <v>61</v>
      </c>
      <c r="AA1071">
        <v>0</v>
      </c>
      <c r="AB1071" s="2">
        <v>0</v>
      </c>
      <c r="AC1071" s="2">
        <v>0</v>
      </c>
      <c r="AD1071" s="4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40.380000000000003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45999</v>
      </c>
      <c r="B1072" t="s">
        <v>48</v>
      </c>
      <c r="C1072">
        <v>649163</v>
      </c>
      <c r="D1072">
        <v>2031492463</v>
      </c>
      <c r="E1072" t="s">
        <v>611</v>
      </c>
      <c r="F1072" t="s">
        <v>328</v>
      </c>
      <c r="G1072" t="s">
        <v>51</v>
      </c>
      <c r="H1072" t="s">
        <v>395</v>
      </c>
      <c r="I1072" t="s">
        <v>126</v>
      </c>
      <c r="J1072" t="s">
        <v>132</v>
      </c>
      <c r="K1072">
        <v>823350</v>
      </c>
      <c r="L1072" t="s">
        <v>257</v>
      </c>
      <c r="M1072" t="s">
        <v>258</v>
      </c>
      <c r="N1072" t="s">
        <v>57</v>
      </c>
      <c r="O1072" s="1">
        <v>45938</v>
      </c>
      <c r="Q1072" s="1">
        <v>46030</v>
      </c>
      <c r="R1072" s="2">
        <v>101.99</v>
      </c>
      <c r="S1072">
        <v>1</v>
      </c>
      <c r="T1072" t="s">
        <v>58</v>
      </c>
      <c r="U1072" t="s">
        <v>105</v>
      </c>
      <c r="V1072" s="4">
        <v>0.7</v>
      </c>
      <c r="W1072" s="2">
        <v>0</v>
      </c>
      <c r="X1072">
        <v>0</v>
      </c>
      <c r="Y1072" t="s">
        <v>83</v>
      </c>
      <c r="Z1072" t="s">
        <v>61</v>
      </c>
      <c r="AA1072">
        <v>0</v>
      </c>
      <c r="AB1072" s="2">
        <v>0</v>
      </c>
      <c r="AC1072" s="2">
        <v>0</v>
      </c>
      <c r="AD1072" s="4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71.39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45999</v>
      </c>
      <c r="B1073" t="s">
        <v>48</v>
      </c>
      <c r="C1073">
        <v>649163</v>
      </c>
      <c r="D1073">
        <v>2031501468</v>
      </c>
      <c r="E1073" t="s">
        <v>1176</v>
      </c>
      <c r="F1073" t="s">
        <v>530</v>
      </c>
      <c r="G1073" t="s">
        <v>51</v>
      </c>
      <c r="H1073" t="s">
        <v>102</v>
      </c>
      <c r="I1073" t="s">
        <v>126</v>
      </c>
      <c r="J1073" t="s">
        <v>132</v>
      </c>
      <c r="K1073">
        <v>768887</v>
      </c>
      <c r="L1073" t="s">
        <v>206</v>
      </c>
      <c r="M1073" t="s">
        <v>207</v>
      </c>
      <c r="N1073" t="s">
        <v>57</v>
      </c>
      <c r="O1073" s="1">
        <v>45938</v>
      </c>
      <c r="Q1073" s="1">
        <v>46030</v>
      </c>
      <c r="R1073" s="2">
        <v>96</v>
      </c>
      <c r="S1073">
        <v>1</v>
      </c>
      <c r="T1073" t="s">
        <v>58</v>
      </c>
      <c r="U1073" t="s">
        <v>105</v>
      </c>
      <c r="V1073" s="4">
        <v>0.7</v>
      </c>
      <c r="W1073" s="2">
        <v>0</v>
      </c>
      <c r="X1073">
        <v>0</v>
      </c>
      <c r="Y1073" t="s">
        <v>83</v>
      </c>
      <c r="Z1073" t="s">
        <v>61</v>
      </c>
      <c r="AA1073">
        <v>0</v>
      </c>
      <c r="AB1073" s="2">
        <v>0</v>
      </c>
      <c r="AC1073" s="2">
        <v>0</v>
      </c>
      <c r="AD1073" s="4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67.2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45999</v>
      </c>
      <c r="B1074" t="s">
        <v>48</v>
      </c>
      <c r="C1074">
        <v>649163</v>
      </c>
      <c r="D1074">
        <v>2031523386</v>
      </c>
      <c r="E1074" t="s">
        <v>692</v>
      </c>
      <c r="F1074" t="s">
        <v>279</v>
      </c>
      <c r="G1074" t="s">
        <v>51</v>
      </c>
      <c r="H1074" t="s">
        <v>200</v>
      </c>
      <c r="I1074" t="s">
        <v>126</v>
      </c>
      <c r="J1074" t="s">
        <v>164</v>
      </c>
      <c r="K1074">
        <v>816021</v>
      </c>
      <c r="L1074" t="s">
        <v>201</v>
      </c>
      <c r="M1074" t="s">
        <v>202</v>
      </c>
      <c r="N1074" t="s">
        <v>57</v>
      </c>
      <c r="O1074" s="1">
        <v>45939</v>
      </c>
      <c r="Q1074" s="1">
        <v>46031</v>
      </c>
      <c r="R1074" s="2">
        <v>6.3</v>
      </c>
      <c r="S1074">
        <v>1</v>
      </c>
      <c r="T1074" t="s">
        <v>58</v>
      </c>
      <c r="U1074" t="s">
        <v>105</v>
      </c>
      <c r="V1074" s="4">
        <v>0.7</v>
      </c>
      <c r="W1074" s="2">
        <v>0</v>
      </c>
      <c r="X1074">
        <v>0</v>
      </c>
      <c r="Y1074" t="s">
        <v>83</v>
      </c>
      <c r="Z1074" t="s">
        <v>61</v>
      </c>
      <c r="AA1074">
        <v>0</v>
      </c>
      <c r="AB1074" s="2">
        <v>0</v>
      </c>
      <c r="AC1074" s="2">
        <v>0</v>
      </c>
      <c r="AD1074" s="4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4.41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45999</v>
      </c>
      <c r="B1075" t="s">
        <v>48</v>
      </c>
      <c r="C1075">
        <v>649163</v>
      </c>
      <c r="D1075">
        <v>2031523389</v>
      </c>
      <c r="E1075" t="s">
        <v>692</v>
      </c>
      <c r="F1075" t="s">
        <v>279</v>
      </c>
      <c r="G1075" t="s">
        <v>51</v>
      </c>
      <c r="H1075" t="s">
        <v>200</v>
      </c>
      <c r="I1075" t="s">
        <v>126</v>
      </c>
      <c r="J1075" t="s">
        <v>132</v>
      </c>
      <c r="K1075">
        <v>816021</v>
      </c>
      <c r="L1075" t="s">
        <v>201</v>
      </c>
      <c r="M1075" t="s">
        <v>202</v>
      </c>
      <c r="N1075" t="s">
        <v>57</v>
      </c>
      <c r="O1075" s="1">
        <v>45939</v>
      </c>
      <c r="Q1075" s="1">
        <v>46031</v>
      </c>
      <c r="R1075" s="2">
        <v>9.1</v>
      </c>
      <c r="S1075">
        <v>1</v>
      </c>
      <c r="T1075" t="s">
        <v>58</v>
      </c>
      <c r="U1075" t="s">
        <v>105</v>
      </c>
      <c r="V1075" s="4">
        <v>0.7</v>
      </c>
      <c r="W1075" s="2">
        <v>0</v>
      </c>
      <c r="X1075">
        <v>0</v>
      </c>
      <c r="Y1075" t="s">
        <v>83</v>
      </c>
      <c r="Z1075" t="s">
        <v>61</v>
      </c>
      <c r="AA1075">
        <v>0</v>
      </c>
      <c r="AB1075" s="2">
        <v>0</v>
      </c>
      <c r="AC1075" s="2">
        <v>0</v>
      </c>
      <c r="AD1075" s="4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6.37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45999</v>
      </c>
      <c r="B1076" t="s">
        <v>48</v>
      </c>
      <c r="C1076">
        <v>649163</v>
      </c>
      <c r="D1076">
        <v>2031523855</v>
      </c>
      <c r="E1076" t="s">
        <v>919</v>
      </c>
      <c r="F1076" t="s">
        <v>920</v>
      </c>
      <c r="G1076" t="s">
        <v>51</v>
      </c>
      <c r="H1076" t="s">
        <v>97</v>
      </c>
      <c r="I1076" t="s">
        <v>126</v>
      </c>
      <c r="J1076" t="s">
        <v>132</v>
      </c>
      <c r="K1076">
        <v>651818</v>
      </c>
      <c r="L1076" t="s">
        <v>246</v>
      </c>
      <c r="M1076" t="s">
        <v>247</v>
      </c>
      <c r="N1076" t="s">
        <v>57</v>
      </c>
      <c r="O1076" s="1">
        <v>45967</v>
      </c>
      <c r="Q1076" s="1">
        <v>46028</v>
      </c>
      <c r="R1076" s="2">
        <v>92.47</v>
      </c>
      <c r="S1076">
        <v>1</v>
      </c>
      <c r="T1076" t="s">
        <v>58</v>
      </c>
      <c r="U1076" t="s">
        <v>105</v>
      </c>
      <c r="V1076" s="4">
        <v>0.7</v>
      </c>
      <c r="W1076" s="2">
        <v>0</v>
      </c>
      <c r="X1076">
        <v>0</v>
      </c>
      <c r="Y1076" t="s">
        <v>83</v>
      </c>
      <c r="Z1076" t="s">
        <v>61</v>
      </c>
      <c r="AA1076">
        <v>0</v>
      </c>
      <c r="AB1076" s="2">
        <v>0</v>
      </c>
      <c r="AC1076" s="2">
        <v>0</v>
      </c>
      <c r="AD1076" s="4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64.73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45999</v>
      </c>
      <c r="B1077" t="s">
        <v>48</v>
      </c>
      <c r="C1077">
        <v>649163</v>
      </c>
      <c r="D1077">
        <v>2031523857</v>
      </c>
      <c r="E1077" t="s">
        <v>919</v>
      </c>
      <c r="F1077" t="s">
        <v>920</v>
      </c>
      <c r="G1077" t="s">
        <v>51</v>
      </c>
      <c r="H1077" t="s">
        <v>97</v>
      </c>
      <c r="I1077" t="s">
        <v>126</v>
      </c>
      <c r="J1077" t="s">
        <v>375</v>
      </c>
      <c r="K1077">
        <v>651818</v>
      </c>
      <c r="L1077" t="s">
        <v>246</v>
      </c>
      <c r="M1077" t="s">
        <v>247</v>
      </c>
      <c r="N1077" t="s">
        <v>57</v>
      </c>
      <c r="O1077" s="1">
        <v>45967</v>
      </c>
      <c r="Q1077" s="1">
        <v>46028</v>
      </c>
      <c r="R1077" s="2">
        <v>71.75</v>
      </c>
      <c r="S1077">
        <v>1</v>
      </c>
      <c r="T1077" t="s">
        <v>58</v>
      </c>
      <c r="U1077" t="s">
        <v>105</v>
      </c>
      <c r="V1077" s="4">
        <v>0.9</v>
      </c>
      <c r="W1077" s="2">
        <v>0</v>
      </c>
      <c r="X1077">
        <v>0</v>
      </c>
      <c r="Y1077" t="s">
        <v>83</v>
      </c>
      <c r="Z1077" t="s">
        <v>61</v>
      </c>
      <c r="AA1077">
        <v>0</v>
      </c>
      <c r="AB1077" s="2">
        <v>0</v>
      </c>
      <c r="AC1077" s="2">
        <v>0</v>
      </c>
      <c r="AD1077" s="4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64.58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45999</v>
      </c>
      <c r="B1078" t="s">
        <v>48</v>
      </c>
      <c r="C1078">
        <v>649163</v>
      </c>
      <c r="D1078">
        <v>2031526094</v>
      </c>
      <c r="E1078" t="s">
        <v>612</v>
      </c>
      <c r="F1078" t="s">
        <v>551</v>
      </c>
      <c r="G1078" t="s">
        <v>51</v>
      </c>
      <c r="H1078" t="s">
        <v>308</v>
      </c>
      <c r="I1078" t="s">
        <v>126</v>
      </c>
      <c r="J1078" t="s">
        <v>132</v>
      </c>
      <c r="K1078">
        <v>877790</v>
      </c>
      <c r="L1078" t="s">
        <v>310</v>
      </c>
      <c r="M1078" t="s">
        <v>311</v>
      </c>
      <c r="N1078" t="s">
        <v>57</v>
      </c>
      <c r="O1078" s="1">
        <v>45939</v>
      </c>
      <c r="Q1078" s="1">
        <v>46031</v>
      </c>
      <c r="R1078" s="2">
        <v>3.52</v>
      </c>
      <c r="S1078">
        <v>1</v>
      </c>
      <c r="T1078" t="s">
        <v>58</v>
      </c>
      <c r="U1078" t="s">
        <v>105</v>
      </c>
      <c r="V1078" s="4">
        <v>0.7</v>
      </c>
      <c r="W1078" s="2">
        <v>0</v>
      </c>
      <c r="X1078">
        <v>0</v>
      </c>
      <c r="Y1078" t="s">
        <v>83</v>
      </c>
      <c r="Z1078" t="s">
        <v>61</v>
      </c>
      <c r="AA1078">
        <v>0</v>
      </c>
      <c r="AB1078" s="2">
        <v>0</v>
      </c>
      <c r="AC1078" s="2">
        <v>0</v>
      </c>
      <c r="AD1078" s="4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2.46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45999</v>
      </c>
      <c r="B1079" t="s">
        <v>48</v>
      </c>
      <c r="C1079">
        <v>649163</v>
      </c>
      <c r="D1079">
        <v>2031534330</v>
      </c>
      <c r="E1079" t="s">
        <v>1177</v>
      </c>
      <c r="F1079" t="s">
        <v>827</v>
      </c>
      <c r="G1079" t="s">
        <v>51</v>
      </c>
      <c r="H1079" t="s">
        <v>97</v>
      </c>
      <c r="I1079" t="s">
        <v>126</v>
      </c>
      <c r="J1079" t="s">
        <v>132</v>
      </c>
      <c r="K1079">
        <v>767312</v>
      </c>
      <c r="L1079" t="s">
        <v>138</v>
      </c>
      <c r="M1079" t="s">
        <v>107</v>
      </c>
      <c r="N1079" t="s">
        <v>57</v>
      </c>
      <c r="O1079" s="1">
        <v>45940</v>
      </c>
      <c r="Q1079" s="1">
        <v>46032</v>
      </c>
      <c r="R1079" s="2">
        <v>79.03</v>
      </c>
      <c r="S1079">
        <v>1</v>
      </c>
      <c r="T1079" t="s">
        <v>58</v>
      </c>
      <c r="U1079" t="s">
        <v>105</v>
      </c>
      <c r="V1079" s="4">
        <v>0.7</v>
      </c>
      <c r="W1079" s="2">
        <v>0</v>
      </c>
      <c r="X1079">
        <v>0</v>
      </c>
      <c r="Y1079" t="s">
        <v>83</v>
      </c>
      <c r="Z1079" t="s">
        <v>61</v>
      </c>
      <c r="AA1079">
        <v>0</v>
      </c>
      <c r="AB1079" s="2">
        <v>0</v>
      </c>
      <c r="AC1079" s="2">
        <v>0</v>
      </c>
      <c r="AD1079" s="4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55.32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45999</v>
      </c>
      <c r="B1080" t="s">
        <v>48</v>
      </c>
      <c r="C1080">
        <v>649163</v>
      </c>
      <c r="D1080">
        <v>2031568599</v>
      </c>
      <c r="E1080" t="s">
        <v>1178</v>
      </c>
      <c r="F1080" t="s">
        <v>1179</v>
      </c>
      <c r="G1080" t="s">
        <v>51</v>
      </c>
      <c r="H1080" t="s">
        <v>102</v>
      </c>
      <c r="I1080" t="s">
        <v>126</v>
      </c>
      <c r="J1080" t="s">
        <v>132</v>
      </c>
      <c r="K1080">
        <v>807212</v>
      </c>
      <c r="L1080" t="s">
        <v>418</v>
      </c>
      <c r="M1080" t="s">
        <v>419</v>
      </c>
      <c r="N1080" t="s">
        <v>57</v>
      </c>
      <c r="O1080" s="1">
        <v>45941</v>
      </c>
      <c r="Q1080" s="1">
        <v>46033</v>
      </c>
      <c r="R1080" s="2">
        <v>95.92</v>
      </c>
      <c r="S1080">
        <v>1</v>
      </c>
      <c r="T1080" t="s">
        <v>58</v>
      </c>
      <c r="U1080" t="s">
        <v>105</v>
      </c>
      <c r="V1080" s="4">
        <v>0.7</v>
      </c>
      <c r="W1080" s="2">
        <v>0</v>
      </c>
      <c r="X1080">
        <v>0</v>
      </c>
      <c r="Y1080" t="s">
        <v>83</v>
      </c>
      <c r="Z1080" t="s">
        <v>61</v>
      </c>
      <c r="AA1080">
        <v>0</v>
      </c>
      <c r="AB1080" s="2">
        <v>0</v>
      </c>
      <c r="AC1080" s="2">
        <v>0</v>
      </c>
      <c r="AD1080" s="4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67.14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45999</v>
      </c>
      <c r="B1081" t="s">
        <v>48</v>
      </c>
      <c r="C1081">
        <v>649163</v>
      </c>
      <c r="D1081">
        <v>2031569265</v>
      </c>
      <c r="E1081" t="s">
        <v>1180</v>
      </c>
      <c r="F1081" t="s">
        <v>1181</v>
      </c>
      <c r="G1081" t="s">
        <v>51</v>
      </c>
      <c r="H1081" t="s">
        <v>389</v>
      </c>
      <c r="I1081" t="s">
        <v>126</v>
      </c>
      <c r="J1081" t="s">
        <v>132</v>
      </c>
      <c r="K1081">
        <v>856824</v>
      </c>
      <c r="L1081" t="s">
        <v>145</v>
      </c>
      <c r="M1081" t="s">
        <v>146</v>
      </c>
      <c r="N1081" t="s">
        <v>57</v>
      </c>
      <c r="O1081" s="1">
        <v>45941</v>
      </c>
      <c r="Q1081" s="1">
        <v>46033</v>
      </c>
      <c r="R1081" s="2">
        <v>56.5</v>
      </c>
      <c r="S1081">
        <v>1</v>
      </c>
      <c r="T1081" t="s">
        <v>58</v>
      </c>
      <c r="U1081" t="s">
        <v>105</v>
      </c>
      <c r="V1081" s="4">
        <v>0.7</v>
      </c>
      <c r="W1081" s="2">
        <v>0</v>
      </c>
      <c r="X1081">
        <v>0</v>
      </c>
      <c r="Y1081" t="s">
        <v>83</v>
      </c>
      <c r="Z1081" t="s">
        <v>61</v>
      </c>
      <c r="AA1081">
        <v>0</v>
      </c>
      <c r="AB1081" s="2">
        <v>0</v>
      </c>
      <c r="AC1081" s="2">
        <v>0</v>
      </c>
      <c r="AD1081" s="4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39.549999999999997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45999</v>
      </c>
      <c r="B1082" t="s">
        <v>48</v>
      </c>
      <c r="C1082">
        <v>649163</v>
      </c>
      <c r="D1082">
        <v>2031574197</v>
      </c>
      <c r="E1082" t="s">
        <v>1182</v>
      </c>
      <c r="F1082" t="s">
        <v>1183</v>
      </c>
      <c r="G1082" t="s">
        <v>51</v>
      </c>
      <c r="H1082" t="s">
        <v>102</v>
      </c>
      <c r="I1082" t="s">
        <v>126</v>
      </c>
      <c r="J1082" t="s">
        <v>132</v>
      </c>
      <c r="K1082">
        <v>807212</v>
      </c>
      <c r="L1082" t="s">
        <v>418</v>
      </c>
      <c r="M1082" t="s">
        <v>419</v>
      </c>
      <c r="N1082" t="s">
        <v>57</v>
      </c>
      <c r="O1082" s="1">
        <v>45941</v>
      </c>
      <c r="Q1082" s="1">
        <v>46033</v>
      </c>
      <c r="R1082" s="2">
        <v>42.36</v>
      </c>
      <c r="S1082">
        <v>1</v>
      </c>
      <c r="T1082" t="s">
        <v>58</v>
      </c>
      <c r="U1082" t="s">
        <v>105</v>
      </c>
      <c r="V1082" s="4">
        <v>0.7</v>
      </c>
      <c r="W1082" s="2">
        <v>0</v>
      </c>
      <c r="X1082">
        <v>0</v>
      </c>
      <c r="Y1082" t="s">
        <v>83</v>
      </c>
      <c r="Z1082" t="s">
        <v>61</v>
      </c>
      <c r="AA1082">
        <v>0</v>
      </c>
      <c r="AB1082" s="2">
        <v>0</v>
      </c>
      <c r="AC1082" s="2">
        <v>0</v>
      </c>
      <c r="AD1082" s="4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29.65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45999</v>
      </c>
      <c r="B1083" t="s">
        <v>48</v>
      </c>
      <c r="C1083">
        <v>649163</v>
      </c>
      <c r="D1083">
        <v>2031615386</v>
      </c>
      <c r="E1083" t="s">
        <v>1184</v>
      </c>
      <c r="F1083" t="s">
        <v>1185</v>
      </c>
      <c r="G1083" t="s">
        <v>51</v>
      </c>
      <c r="H1083" t="s">
        <v>102</v>
      </c>
      <c r="I1083" t="s">
        <v>126</v>
      </c>
      <c r="J1083" t="s">
        <v>132</v>
      </c>
      <c r="K1083">
        <v>820873</v>
      </c>
      <c r="L1083" t="s">
        <v>117</v>
      </c>
      <c r="M1083" t="s">
        <v>118</v>
      </c>
      <c r="N1083" t="s">
        <v>57</v>
      </c>
      <c r="O1083" s="1">
        <v>45962</v>
      </c>
      <c r="Q1083" s="1">
        <v>46023</v>
      </c>
      <c r="R1083" s="2">
        <v>11.5</v>
      </c>
      <c r="S1083">
        <v>1</v>
      </c>
      <c r="T1083" t="s">
        <v>58</v>
      </c>
      <c r="U1083" t="s">
        <v>105</v>
      </c>
      <c r="V1083" s="4">
        <v>0.7</v>
      </c>
      <c r="W1083" s="2">
        <v>0</v>
      </c>
      <c r="X1083">
        <v>0</v>
      </c>
      <c r="Y1083" t="s">
        <v>83</v>
      </c>
      <c r="Z1083" t="s">
        <v>61</v>
      </c>
      <c r="AA1083">
        <v>0</v>
      </c>
      <c r="AB1083" s="2">
        <v>0</v>
      </c>
      <c r="AC1083" s="2">
        <v>0</v>
      </c>
      <c r="AD1083" s="4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8.0500000000000007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45999</v>
      </c>
      <c r="B1084" t="s">
        <v>48</v>
      </c>
      <c r="C1084">
        <v>649163</v>
      </c>
      <c r="D1084">
        <v>2031620270</v>
      </c>
      <c r="E1084" t="s">
        <v>923</v>
      </c>
      <c r="F1084" t="s">
        <v>924</v>
      </c>
      <c r="G1084" t="s">
        <v>51</v>
      </c>
      <c r="H1084" t="s">
        <v>97</v>
      </c>
      <c r="I1084" t="s">
        <v>126</v>
      </c>
      <c r="J1084" t="s">
        <v>132</v>
      </c>
      <c r="K1084">
        <v>651818</v>
      </c>
      <c r="L1084" t="s">
        <v>246</v>
      </c>
      <c r="M1084" t="s">
        <v>247</v>
      </c>
      <c r="N1084" t="s">
        <v>57</v>
      </c>
      <c r="O1084" s="1">
        <v>45971</v>
      </c>
      <c r="Q1084" s="1">
        <v>46032</v>
      </c>
      <c r="R1084" s="2">
        <v>89.52</v>
      </c>
      <c r="S1084">
        <v>1</v>
      </c>
      <c r="T1084" t="s">
        <v>58</v>
      </c>
      <c r="U1084" t="s">
        <v>105</v>
      </c>
      <c r="V1084" s="4">
        <v>0.7</v>
      </c>
      <c r="W1084" s="2">
        <v>0</v>
      </c>
      <c r="X1084">
        <v>0</v>
      </c>
      <c r="Y1084" t="s">
        <v>83</v>
      </c>
      <c r="Z1084" t="s">
        <v>61</v>
      </c>
      <c r="AA1084">
        <v>0</v>
      </c>
      <c r="AB1084" s="2">
        <v>0</v>
      </c>
      <c r="AC1084" s="2">
        <v>0</v>
      </c>
      <c r="AD1084" s="4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62.66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45999</v>
      </c>
      <c r="B1085" t="s">
        <v>48</v>
      </c>
      <c r="C1085">
        <v>649163</v>
      </c>
      <c r="D1085">
        <v>2031620461</v>
      </c>
      <c r="E1085" t="s">
        <v>1186</v>
      </c>
      <c r="F1085" t="s">
        <v>707</v>
      </c>
      <c r="G1085" t="s">
        <v>51</v>
      </c>
      <c r="H1085" t="s">
        <v>563</v>
      </c>
      <c r="I1085" t="s">
        <v>126</v>
      </c>
      <c r="J1085" t="s">
        <v>132</v>
      </c>
      <c r="K1085">
        <v>753748</v>
      </c>
      <c r="L1085" t="s">
        <v>396</v>
      </c>
      <c r="M1085" t="s">
        <v>397</v>
      </c>
      <c r="N1085" t="s">
        <v>57</v>
      </c>
      <c r="O1085" s="1">
        <v>45962</v>
      </c>
      <c r="Q1085" s="1">
        <v>46023</v>
      </c>
      <c r="R1085" s="2">
        <v>-26.73</v>
      </c>
      <c r="S1085">
        <v>1</v>
      </c>
      <c r="T1085" t="s">
        <v>58</v>
      </c>
      <c r="U1085" t="s">
        <v>105</v>
      </c>
      <c r="V1085" s="4">
        <v>0.7</v>
      </c>
      <c r="W1085" s="2">
        <v>0</v>
      </c>
      <c r="X1085">
        <v>-1</v>
      </c>
      <c r="Y1085" t="s">
        <v>83</v>
      </c>
      <c r="Z1085" t="s">
        <v>61</v>
      </c>
      <c r="AA1085">
        <v>0</v>
      </c>
      <c r="AB1085" s="2">
        <v>0</v>
      </c>
      <c r="AC1085" s="2">
        <v>0</v>
      </c>
      <c r="AD1085" s="4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-18.71</v>
      </c>
      <c r="AN1085" s="2">
        <v>-18.71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45999</v>
      </c>
      <c r="B1086" t="s">
        <v>48</v>
      </c>
      <c r="C1086">
        <v>649163</v>
      </c>
      <c r="D1086">
        <v>2031636638</v>
      </c>
      <c r="E1086" t="s">
        <v>613</v>
      </c>
      <c r="F1086" t="s">
        <v>124</v>
      </c>
      <c r="G1086" t="s">
        <v>51</v>
      </c>
      <c r="H1086" t="s">
        <v>220</v>
      </c>
      <c r="I1086" t="s">
        <v>126</v>
      </c>
      <c r="J1086" t="s">
        <v>132</v>
      </c>
      <c r="K1086">
        <v>813184</v>
      </c>
      <c r="L1086" t="s">
        <v>361</v>
      </c>
      <c r="M1086" t="s">
        <v>362</v>
      </c>
      <c r="N1086" t="s">
        <v>94</v>
      </c>
      <c r="O1086" s="1">
        <v>45946</v>
      </c>
      <c r="P1086" s="1">
        <v>45999</v>
      </c>
      <c r="Q1086" s="1">
        <v>46007</v>
      </c>
      <c r="R1086" s="2">
        <v>-10.31</v>
      </c>
      <c r="S1086">
        <v>1</v>
      </c>
      <c r="T1086" t="s">
        <v>58</v>
      </c>
      <c r="U1086" t="s">
        <v>105</v>
      </c>
      <c r="V1086" s="4">
        <v>0.7</v>
      </c>
      <c r="W1086" s="2">
        <v>0</v>
      </c>
      <c r="X1086">
        <v>-1</v>
      </c>
      <c r="Y1086" t="s">
        <v>83</v>
      </c>
      <c r="Z1086" t="s">
        <v>61</v>
      </c>
      <c r="AA1086">
        <v>0</v>
      </c>
      <c r="AB1086" s="2">
        <v>0</v>
      </c>
      <c r="AC1086" s="2">
        <v>0</v>
      </c>
      <c r="AD1086" s="4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-7.22</v>
      </c>
      <c r="AN1086" s="2">
        <v>-7.22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45999</v>
      </c>
      <c r="B1087" t="s">
        <v>48</v>
      </c>
      <c r="C1087">
        <v>649163</v>
      </c>
      <c r="D1087">
        <v>2031645502</v>
      </c>
      <c r="E1087" t="s">
        <v>1187</v>
      </c>
      <c r="F1087" t="s">
        <v>1188</v>
      </c>
      <c r="G1087" t="s">
        <v>51</v>
      </c>
      <c r="H1087" t="s">
        <v>79</v>
      </c>
      <c r="I1087" t="s">
        <v>126</v>
      </c>
      <c r="J1087" t="s">
        <v>132</v>
      </c>
      <c r="K1087">
        <v>812994</v>
      </c>
      <c r="L1087" t="s">
        <v>151</v>
      </c>
      <c r="M1087" t="s">
        <v>152</v>
      </c>
      <c r="N1087" t="s">
        <v>57</v>
      </c>
      <c r="O1087" s="1">
        <v>45946</v>
      </c>
      <c r="Q1087" s="1">
        <v>46007</v>
      </c>
      <c r="R1087" s="2">
        <v>37.43</v>
      </c>
      <c r="S1087">
        <v>1</v>
      </c>
      <c r="T1087" t="s">
        <v>58</v>
      </c>
      <c r="U1087" t="s">
        <v>105</v>
      </c>
      <c r="V1087" s="4">
        <v>0.7</v>
      </c>
      <c r="W1087" s="2">
        <v>0</v>
      </c>
      <c r="X1087">
        <v>0</v>
      </c>
      <c r="Y1087" t="s">
        <v>83</v>
      </c>
      <c r="Z1087" t="s">
        <v>61</v>
      </c>
      <c r="AA1087">
        <v>0</v>
      </c>
      <c r="AB1087" s="2">
        <v>0</v>
      </c>
      <c r="AC1087" s="2">
        <v>0</v>
      </c>
      <c r="AD1087" s="4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26.2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45999</v>
      </c>
      <c r="B1088" t="s">
        <v>48</v>
      </c>
      <c r="C1088">
        <v>649163</v>
      </c>
      <c r="D1088">
        <v>2031690751</v>
      </c>
      <c r="E1088" t="s">
        <v>614</v>
      </c>
      <c r="F1088" t="s">
        <v>615</v>
      </c>
      <c r="G1088" t="s">
        <v>51</v>
      </c>
      <c r="H1088" t="s">
        <v>200</v>
      </c>
      <c r="I1088" t="s">
        <v>126</v>
      </c>
      <c r="J1088" t="s">
        <v>132</v>
      </c>
      <c r="K1088">
        <v>816021</v>
      </c>
      <c r="L1088" t="s">
        <v>201</v>
      </c>
      <c r="M1088" t="s">
        <v>202</v>
      </c>
      <c r="N1088" t="s">
        <v>57</v>
      </c>
      <c r="O1088" s="1">
        <v>45948</v>
      </c>
      <c r="Q1088" s="1">
        <v>46009</v>
      </c>
      <c r="R1088" s="2">
        <v>8.49</v>
      </c>
      <c r="S1088">
        <v>1</v>
      </c>
      <c r="T1088" t="s">
        <v>58</v>
      </c>
      <c r="U1088" t="s">
        <v>105</v>
      </c>
      <c r="V1088" s="4">
        <v>0.7</v>
      </c>
      <c r="W1088" s="2">
        <v>0</v>
      </c>
      <c r="X1088">
        <v>0</v>
      </c>
      <c r="Y1088" t="s">
        <v>83</v>
      </c>
      <c r="Z1088" t="s">
        <v>61</v>
      </c>
      <c r="AA1088">
        <v>0</v>
      </c>
      <c r="AB1088" s="2">
        <v>0</v>
      </c>
      <c r="AC1088" s="2">
        <v>0</v>
      </c>
      <c r="AD1088" s="4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5.94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45999</v>
      </c>
      <c r="B1089" t="s">
        <v>48</v>
      </c>
      <c r="C1089">
        <v>649163</v>
      </c>
      <c r="D1089">
        <v>2031713685</v>
      </c>
      <c r="E1089" t="s">
        <v>925</v>
      </c>
      <c r="F1089" t="s">
        <v>926</v>
      </c>
      <c r="G1089" t="s">
        <v>51</v>
      </c>
      <c r="H1089" t="s">
        <v>163</v>
      </c>
      <c r="I1089" t="s">
        <v>126</v>
      </c>
      <c r="J1089" t="s">
        <v>164</v>
      </c>
      <c r="K1089">
        <v>823068</v>
      </c>
      <c r="L1089" t="s">
        <v>165</v>
      </c>
      <c r="M1089" t="s">
        <v>166</v>
      </c>
      <c r="N1089" t="s">
        <v>57</v>
      </c>
      <c r="O1089" s="1">
        <v>45969</v>
      </c>
      <c r="Q1089" s="1">
        <v>46030</v>
      </c>
      <c r="R1089" s="2">
        <v>24.61</v>
      </c>
      <c r="S1089">
        <v>1</v>
      </c>
      <c r="T1089" t="s">
        <v>58</v>
      </c>
      <c r="U1089" t="s">
        <v>105</v>
      </c>
      <c r="V1089" s="4">
        <v>0.7</v>
      </c>
      <c r="W1089" s="2">
        <v>0</v>
      </c>
      <c r="X1089">
        <v>0</v>
      </c>
      <c r="Y1089" t="s">
        <v>83</v>
      </c>
      <c r="Z1089" t="s">
        <v>61</v>
      </c>
      <c r="AA1089">
        <v>0</v>
      </c>
      <c r="AB1089" s="2">
        <v>0</v>
      </c>
      <c r="AC1089" s="2">
        <v>0</v>
      </c>
      <c r="AD1089" s="4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17.23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45999</v>
      </c>
      <c r="B1090" t="s">
        <v>48</v>
      </c>
      <c r="C1090">
        <v>649163</v>
      </c>
      <c r="D1090">
        <v>2031713984</v>
      </c>
      <c r="E1090" t="s">
        <v>1189</v>
      </c>
      <c r="F1090" t="s">
        <v>1190</v>
      </c>
      <c r="G1090" t="s">
        <v>51</v>
      </c>
      <c r="H1090" t="s">
        <v>163</v>
      </c>
      <c r="I1090" t="s">
        <v>126</v>
      </c>
      <c r="J1090" t="s">
        <v>375</v>
      </c>
      <c r="K1090">
        <v>823068</v>
      </c>
      <c r="L1090" t="s">
        <v>165</v>
      </c>
      <c r="M1090" t="s">
        <v>166</v>
      </c>
      <c r="N1090" t="s">
        <v>57</v>
      </c>
      <c r="O1090" s="1">
        <v>45969</v>
      </c>
      <c r="Q1090" s="1">
        <v>46030</v>
      </c>
      <c r="R1090" s="2">
        <v>80.83</v>
      </c>
      <c r="S1090">
        <v>1</v>
      </c>
      <c r="T1090" t="s">
        <v>58</v>
      </c>
      <c r="U1090" t="s">
        <v>105</v>
      </c>
      <c r="V1090" s="4">
        <v>0.9</v>
      </c>
      <c r="W1090" s="2">
        <v>0</v>
      </c>
      <c r="X1090">
        <v>0</v>
      </c>
      <c r="Y1090" t="s">
        <v>83</v>
      </c>
      <c r="Z1090" t="s">
        <v>61</v>
      </c>
      <c r="AA1090">
        <v>0</v>
      </c>
      <c r="AB1090" s="2">
        <v>0</v>
      </c>
      <c r="AC1090" s="2">
        <v>0</v>
      </c>
      <c r="AD1090" s="4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72.75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45999</v>
      </c>
      <c r="B1091" t="s">
        <v>48</v>
      </c>
      <c r="C1091">
        <v>649163</v>
      </c>
      <c r="D1091">
        <v>2031755480</v>
      </c>
      <c r="E1091" t="s">
        <v>616</v>
      </c>
      <c r="F1091" t="s">
        <v>617</v>
      </c>
      <c r="G1091" t="s">
        <v>51</v>
      </c>
      <c r="H1091" t="s">
        <v>220</v>
      </c>
      <c r="I1091" t="s">
        <v>126</v>
      </c>
      <c r="J1091" t="s">
        <v>132</v>
      </c>
      <c r="K1091">
        <v>651818</v>
      </c>
      <c r="L1091" t="s">
        <v>246</v>
      </c>
      <c r="M1091" t="s">
        <v>247</v>
      </c>
      <c r="N1091" t="s">
        <v>57</v>
      </c>
      <c r="O1091" s="1">
        <v>45967</v>
      </c>
      <c r="Q1091" s="1">
        <v>46028</v>
      </c>
      <c r="R1091" s="2">
        <v>30.93</v>
      </c>
      <c r="S1091">
        <v>1</v>
      </c>
      <c r="T1091" t="s">
        <v>58</v>
      </c>
      <c r="U1091" t="s">
        <v>105</v>
      </c>
      <c r="V1091" s="4">
        <v>0.7</v>
      </c>
      <c r="W1091" s="2">
        <v>0</v>
      </c>
      <c r="X1091">
        <v>0</v>
      </c>
      <c r="Y1091" t="s">
        <v>83</v>
      </c>
      <c r="Z1091" t="s">
        <v>61</v>
      </c>
      <c r="AA1091">
        <v>0</v>
      </c>
      <c r="AB1091" s="2">
        <v>0</v>
      </c>
      <c r="AC1091" s="2">
        <v>0</v>
      </c>
      <c r="AD1091" s="4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21.65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45999</v>
      </c>
      <c r="B1092" t="s">
        <v>48</v>
      </c>
      <c r="C1092">
        <v>649163</v>
      </c>
      <c r="D1092">
        <v>2031778696</v>
      </c>
      <c r="E1092" t="s">
        <v>927</v>
      </c>
      <c r="F1092" t="s">
        <v>928</v>
      </c>
      <c r="G1092" t="s">
        <v>51</v>
      </c>
      <c r="H1092" t="s">
        <v>102</v>
      </c>
      <c r="I1092" t="s">
        <v>126</v>
      </c>
      <c r="J1092" t="s">
        <v>132</v>
      </c>
      <c r="K1092">
        <v>651818</v>
      </c>
      <c r="L1092" t="s">
        <v>246</v>
      </c>
      <c r="M1092" t="s">
        <v>247</v>
      </c>
      <c r="N1092" t="s">
        <v>57</v>
      </c>
      <c r="O1092" s="1">
        <v>45967</v>
      </c>
      <c r="Q1092" s="1">
        <v>46028</v>
      </c>
      <c r="R1092" s="2">
        <v>124.72</v>
      </c>
      <c r="S1092">
        <v>1</v>
      </c>
      <c r="T1092" t="s">
        <v>58</v>
      </c>
      <c r="U1092" t="s">
        <v>105</v>
      </c>
      <c r="V1092" s="4">
        <v>0.7</v>
      </c>
      <c r="W1092" s="2">
        <v>0</v>
      </c>
      <c r="X1092">
        <v>0</v>
      </c>
      <c r="Y1092" t="s">
        <v>83</v>
      </c>
      <c r="Z1092" t="s">
        <v>61</v>
      </c>
      <c r="AA1092">
        <v>0</v>
      </c>
      <c r="AB1092" s="2">
        <v>0</v>
      </c>
      <c r="AC1092" s="2">
        <v>0</v>
      </c>
      <c r="AD1092" s="4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87.3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45999</v>
      </c>
      <c r="B1093" t="s">
        <v>48</v>
      </c>
      <c r="C1093">
        <v>649163</v>
      </c>
      <c r="D1093">
        <v>2031813173</v>
      </c>
      <c r="E1093" t="s">
        <v>1191</v>
      </c>
      <c r="F1093" t="s">
        <v>248</v>
      </c>
      <c r="G1093" t="s">
        <v>51</v>
      </c>
      <c r="H1093" t="s">
        <v>357</v>
      </c>
      <c r="I1093" t="s">
        <v>126</v>
      </c>
      <c r="J1093" t="s">
        <v>375</v>
      </c>
      <c r="K1093">
        <v>767312</v>
      </c>
      <c r="L1093" t="s">
        <v>138</v>
      </c>
      <c r="M1093" t="s">
        <v>107</v>
      </c>
      <c r="N1093" t="s">
        <v>57</v>
      </c>
      <c r="O1093" s="1">
        <v>45965</v>
      </c>
      <c r="Q1093" s="1">
        <v>46026</v>
      </c>
      <c r="R1093" s="2">
        <v>23.21</v>
      </c>
      <c r="S1093">
        <v>1</v>
      </c>
      <c r="T1093" t="s">
        <v>58</v>
      </c>
      <c r="U1093" t="s">
        <v>105</v>
      </c>
      <c r="V1093" s="4">
        <v>0.9</v>
      </c>
      <c r="W1093" s="2">
        <v>0</v>
      </c>
      <c r="X1093">
        <v>0</v>
      </c>
      <c r="Y1093" t="s">
        <v>83</v>
      </c>
      <c r="Z1093" t="s">
        <v>61</v>
      </c>
      <c r="AA1093">
        <v>0</v>
      </c>
      <c r="AB1093" s="2">
        <v>0</v>
      </c>
      <c r="AC1093" s="2">
        <v>0</v>
      </c>
      <c r="AD1093" s="4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20.89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45999</v>
      </c>
      <c r="B1094" t="s">
        <v>48</v>
      </c>
      <c r="C1094">
        <v>649163</v>
      </c>
      <c r="D1094">
        <v>2031824949</v>
      </c>
      <c r="E1094" t="s">
        <v>618</v>
      </c>
      <c r="F1094" t="s">
        <v>619</v>
      </c>
      <c r="G1094" t="s">
        <v>51</v>
      </c>
      <c r="H1094" t="s">
        <v>620</v>
      </c>
      <c r="I1094" t="s">
        <v>126</v>
      </c>
      <c r="J1094" t="s">
        <v>132</v>
      </c>
      <c r="K1094">
        <v>651818</v>
      </c>
      <c r="L1094" t="s">
        <v>246</v>
      </c>
      <c r="M1094" t="s">
        <v>247</v>
      </c>
      <c r="N1094" t="s">
        <v>57</v>
      </c>
      <c r="O1094" s="1">
        <v>45967</v>
      </c>
      <c r="Q1094" s="1">
        <v>46028</v>
      </c>
      <c r="R1094" s="2">
        <v>31</v>
      </c>
      <c r="S1094">
        <v>1</v>
      </c>
      <c r="T1094" t="s">
        <v>58</v>
      </c>
      <c r="U1094" t="s">
        <v>105</v>
      </c>
      <c r="V1094" s="4">
        <v>0.7</v>
      </c>
      <c r="W1094" s="2">
        <v>0</v>
      </c>
      <c r="X1094">
        <v>0</v>
      </c>
      <c r="Y1094" t="s">
        <v>83</v>
      </c>
      <c r="Z1094" t="s">
        <v>61</v>
      </c>
      <c r="AA1094">
        <v>0</v>
      </c>
      <c r="AB1094" s="2">
        <v>0</v>
      </c>
      <c r="AC1094" s="2">
        <v>0</v>
      </c>
      <c r="AD1094" s="4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21.7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45999</v>
      </c>
      <c r="B1095" t="s">
        <v>48</v>
      </c>
      <c r="C1095">
        <v>649163</v>
      </c>
      <c r="D1095">
        <v>2031825053</v>
      </c>
      <c r="E1095" t="s">
        <v>929</v>
      </c>
      <c r="F1095" t="s">
        <v>824</v>
      </c>
      <c r="G1095" t="s">
        <v>51</v>
      </c>
      <c r="H1095" t="s">
        <v>447</v>
      </c>
      <c r="I1095" t="s">
        <v>126</v>
      </c>
      <c r="J1095" t="s">
        <v>132</v>
      </c>
      <c r="K1095">
        <v>651818</v>
      </c>
      <c r="L1095" t="s">
        <v>246</v>
      </c>
      <c r="M1095" t="s">
        <v>247</v>
      </c>
      <c r="N1095" t="s">
        <v>57</v>
      </c>
      <c r="O1095" s="1">
        <v>45967</v>
      </c>
      <c r="Q1095" s="1">
        <v>46028</v>
      </c>
      <c r="R1095" s="2">
        <v>72.790000000000006</v>
      </c>
      <c r="S1095">
        <v>1</v>
      </c>
      <c r="T1095" t="s">
        <v>58</v>
      </c>
      <c r="U1095" t="s">
        <v>105</v>
      </c>
      <c r="V1095" s="4">
        <v>0.7</v>
      </c>
      <c r="W1095" s="2">
        <v>0</v>
      </c>
      <c r="X1095">
        <v>0</v>
      </c>
      <c r="Y1095" t="s">
        <v>83</v>
      </c>
      <c r="Z1095" t="s">
        <v>61</v>
      </c>
      <c r="AA1095">
        <v>0</v>
      </c>
      <c r="AB1095" s="2">
        <v>0</v>
      </c>
      <c r="AC1095" s="2">
        <v>0</v>
      </c>
      <c r="AD1095" s="4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50.95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45999</v>
      </c>
      <c r="B1096" t="s">
        <v>48</v>
      </c>
      <c r="C1096">
        <v>649163</v>
      </c>
      <c r="D1096">
        <v>2031848858</v>
      </c>
      <c r="E1096" t="s">
        <v>1192</v>
      </c>
      <c r="F1096" t="s">
        <v>1193</v>
      </c>
      <c r="G1096" t="s">
        <v>51</v>
      </c>
      <c r="H1096" t="s">
        <v>97</v>
      </c>
      <c r="I1096" t="s">
        <v>126</v>
      </c>
      <c r="J1096" t="s">
        <v>132</v>
      </c>
      <c r="K1096">
        <v>651818</v>
      </c>
      <c r="L1096" t="s">
        <v>246</v>
      </c>
      <c r="M1096" t="s">
        <v>247</v>
      </c>
      <c r="N1096" t="s">
        <v>57</v>
      </c>
      <c r="O1096" s="1">
        <v>45967</v>
      </c>
      <c r="Q1096" s="1">
        <v>46028</v>
      </c>
      <c r="R1096" s="2">
        <v>13</v>
      </c>
      <c r="S1096">
        <v>1</v>
      </c>
      <c r="T1096" t="s">
        <v>58</v>
      </c>
      <c r="U1096" t="s">
        <v>105</v>
      </c>
      <c r="V1096" s="4">
        <v>0.7</v>
      </c>
      <c r="W1096" s="2">
        <v>0</v>
      </c>
      <c r="X1096">
        <v>0</v>
      </c>
      <c r="Y1096" t="s">
        <v>83</v>
      </c>
      <c r="Z1096" t="s">
        <v>61</v>
      </c>
      <c r="AA1096">
        <v>0</v>
      </c>
      <c r="AB1096" s="2">
        <v>0</v>
      </c>
      <c r="AC1096" s="2">
        <v>0</v>
      </c>
      <c r="AD1096" s="4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9.1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45999</v>
      </c>
      <c r="B1097" t="s">
        <v>48</v>
      </c>
      <c r="C1097">
        <v>649163</v>
      </c>
      <c r="D1097">
        <v>2031947513</v>
      </c>
      <c r="E1097" t="s">
        <v>1194</v>
      </c>
      <c r="F1097" t="s">
        <v>1195</v>
      </c>
      <c r="G1097" t="s">
        <v>51</v>
      </c>
      <c r="H1097" t="s">
        <v>102</v>
      </c>
      <c r="I1097" t="s">
        <v>126</v>
      </c>
      <c r="J1097" t="s">
        <v>132</v>
      </c>
      <c r="K1097">
        <v>807212</v>
      </c>
      <c r="L1097" t="s">
        <v>418</v>
      </c>
      <c r="M1097" t="s">
        <v>419</v>
      </c>
      <c r="N1097" t="s">
        <v>57</v>
      </c>
      <c r="O1097" s="1">
        <v>45963</v>
      </c>
      <c r="Q1097" s="1">
        <v>46024</v>
      </c>
      <c r="R1097" s="2">
        <v>66.36</v>
      </c>
      <c r="S1097">
        <v>1</v>
      </c>
      <c r="T1097" t="s">
        <v>58</v>
      </c>
      <c r="U1097" t="s">
        <v>105</v>
      </c>
      <c r="V1097" s="4">
        <v>0.7</v>
      </c>
      <c r="W1097" s="2">
        <v>0</v>
      </c>
      <c r="X1097">
        <v>0</v>
      </c>
      <c r="Y1097" t="s">
        <v>83</v>
      </c>
      <c r="Z1097" t="s">
        <v>61</v>
      </c>
      <c r="AA1097">
        <v>0</v>
      </c>
      <c r="AB1097" s="2">
        <v>0</v>
      </c>
      <c r="AC1097" s="2">
        <v>0</v>
      </c>
      <c r="AD1097" s="4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46.45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45999</v>
      </c>
      <c r="B1098" t="s">
        <v>48</v>
      </c>
      <c r="C1098">
        <v>649163</v>
      </c>
      <c r="D1098">
        <v>2031949600</v>
      </c>
      <c r="E1098" t="s">
        <v>1196</v>
      </c>
      <c r="F1098" t="s">
        <v>1197</v>
      </c>
      <c r="G1098" t="s">
        <v>51</v>
      </c>
      <c r="H1098" t="s">
        <v>97</v>
      </c>
      <c r="I1098" t="s">
        <v>126</v>
      </c>
      <c r="J1098" t="s">
        <v>132</v>
      </c>
      <c r="K1098">
        <v>822733</v>
      </c>
      <c r="L1098" t="s">
        <v>224</v>
      </c>
      <c r="M1098" t="s">
        <v>225</v>
      </c>
      <c r="N1098" t="s">
        <v>57</v>
      </c>
      <c r="O1098" s="1">
        <v>45969</v>
      </c>
      <c r="Q1098" s="1">
        <v>46030</v>
      </c>
      <c r="R1098" s="2">
        <v>28.38</v>
      </c>
      <c r="S1098">
        <v>1</v>
      </c>
      <c r="T1098" t="s">
        <v>58</v>
      </c>
      <c r="U1098" t="s">
        <v>105</v>
      </c>
      <c r="V1098" s="4">
        <v>0.7</v>
      </c>
      <c r="W1098" s="2">
        <v>0</v>
      </c>
      <c r="X1098">
        <v>0</v>
      </c>
      <c r="Y1098" t="s">
        <v>83</v>
      </c>
      <c r="Z1098" t="s">
        <v>61</v>
      </c>
      <c r="AA1098">
        <v>0</v>
      </c>
      <c r="AB1098" s="2">
        <v>0</v>
      </c>
      <c r="AC1098" s="2">
        <v>0</v>
      </c>
      <c r="AD1098" s="4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19.87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45999</v>
      </c>
      <c r="B1099" t="s">
        <v>48</v>
      </c>
      <c r="C1099">
        <v>649163</v>
      </c>
      <c r="D1099">
        <v>2031949601</v>
      </c>
      <c r="E1099" t="s">
        <v>1196</v>
      </c>
      <c r="F1099" t="s">
        <v>1197</v>
      </c>
      <c r="G1099" t="s">
        <v>51</v>
      </c>
      <c r="H1099" t="s">
        <v>97</v>
      </c>
      <c r="I1099" t="s">
        <v>126</v>
      </c>
      <c r="J1099" t="s">
        <v>402</v>
      </c>
      <c r="K1099">
        <v>822733</v>
      </c>
      <c r="L1099" t="s">
        <v>224</v>
      </c>
      <c r="M1099" t="s">
        <v>225</v>
      </c>
      <c r="N1099" t="s">
        <v>57</v>
      </c>
      <c r="O1099" s="1">
        <v>45969</v>
      </c>
      <c r="Q1099" s="1">
        <v>46030</v>
      </c>
      <c r="R1099" s="2">
        <v>13.18</v>
      </c>
      <c r="S1099">
        <v>1</v>
      </c>
      <c r="T1099" t="s">
        <v>58</v>
      </c>
      <c r="U1099" t="s">
        <v>105</v>
      </c>
      <c r="V1099" s="4">
        <v>0.42</v>
      </c>
      <c r="W1099" s="2">
        <v>0</v>
      </c>
      <c r="X1099">
        <v>0</v>
      </c>
      <c r="Y1099" t="s">
        <v>83</v>
      </c>
      <c r="Z1099" t="s">
        <v>61</v>
      </c>
      <c r="AA1099">
        <v>0</v>
      </c>
      <c r="AB1099" s="2">
        <v>0</v>
      </c>
      <c r="AC1099" s="2">
        <v>0</v>
      </c>
      <c r="AD1099" s="4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5.54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45999</v>
      </c>
      <c r="B1100" t="s">
        <v>48</v>
      </c>
      <c r="C1100">
        <v>649163</v>
      </c>
      <c r="D1100">
        <v>2031956661</v>
      </c>
      <c r="E1100" t="s">
        <v>1198</v>
      </c>
      <c r="F1100" t="s">
        <v>867</v>
      </c>
      <c r="G1100" t="s">
        <v>51</v>
      </c>
      <c r="H1100" t="s">
        <v>102</v>
      </c>
      <c r="I1100" t="s">
        <v>126</v>
      </c>
      <c r="J1100" t="s">
        <v>132</v>
      </c>
      <c r="K1100">
        <v>766747</v>
      </c>
      <c r="L1100" t="s">
        <v>504</v>
      </c>
      <c r="M1100" t="s">
        <v>182</v>
      </c>
      <c r="N1100" t="s">
        <v>57</v>
      </c>
      <c r="O1100" s="1">
        <v>46023</v>
      </c>
      <c r="Q1100" s="1">
        <v>46054</v>
      </c>
      <c r="R1100" s="2">
        <v>-40.74</v>
      </c>
      <c r="S1100">
        <v>1</v>
      </c>
      <c r="T1100" t="s">
        <v>58</v>
      </c>
      <c r="U1100" t="s">
        <v>105</v>
      </c>
      <c r="V1100" s="4">
        <v>0.7</v>
      </c>
      <c r="W1100" s="2">
        <v>0</v>
      </c>
      <c r="X1100">
        <v>-1</v>
      </c>
      <c r="Y1100" t="s">
        <v>83</v>
      </c>
      <c r="Z1100" t="s">
        <v>61</v>
      </c>
      <c r="AA1100">
        <v>0</v>
      </c>
      <c r="AB1100" s="2">
        <v>0</v>
      </c>
      <c r="AC1100" s="2">
        <v>0</v>
      </c>
      <c r="AD1100" s="4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-28.52</v>
      </c>
      <c r="AN1100" s="2">
        <v>-28.52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45999</v>
      </c>
      <c r="B1101" t="s">
        <v>48</v>
      </c>
      <c r="C1101">
        <v>649163</v>
      </c>
      <c r="D1101">
        <v>2031961861</v>
      </c>
      <c r="E1101" t="s">
        <v>931</v>
      </c>
      <c r="F1101" t="s">
        <v>63</v>
      </c>
      <c r="G1101" t="s">
        <v>51</v>
      </c>
      <c r="H1101" t="s">
        <v>256</v>
      </c>
      <c r="I1101" t="s">
        <v>126</v>
      </c>
      <c r="J1101" t="s">
        <v>375</v>
      </c>
      <c r="K1101">
        <v>651818</v>
      </c>
      <c r="L1101" t="s">
        <v>246</v>
      </c>
      <c r="M1101" t="s">
        <v>247</v>
      </c>
      <c r="N1101" t="s">
        <v>57</v>
      </c>
      <c r="O1101" s="1">
        <v>45967</v>
      </c>
      <c r="Q1101" s="1">
        <v>46028</v>
      </c>
      <c r="R1101" s="2">
        <v>49.54</v>
      </c>
      <c r="S1101">
        <v>1</v>
      </c>
      <c r="T1101" t="s">
        <v>58</v>
      </c>
      <c r="U1101" t="s">
        <v>105</v>
      </c>
      <c r="V1101" s="4">
        <v>0.9</v>
      </c>
      <c r="W1101" s="2">
        <v>0</v>
      </c>
      <c r="X1101">
        <v>0</v>
      </c>
      <c r="Y1101" t="s">
        <v>83</v>
      </c>
      <c r="Z1101" t="s">
        <v>61</v>
      </c>
      <c r="AA1101">
        <v>0</v>
      </c>
      <c r="AB1101" s="2">
        <v>0</v>
      </c>
      <c r="AC1101" s="2">
        <v>0</v>
      </c>
      <c r="AD1101" s="4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44.59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45999</v>
      </c>
      <c r="B1102" t="s">
        <v>48</v>
      </c>
      <c r="C1102">
        <v>649163</v>
      </c>
      <c r="D1102">
        <v>2031961862</v>
      </c>
      <c r="E1102" t="s">
        <v>931</v>
      </c>
      <c r="F1102" t="s">
        <v>63</v>
      </c>
      <c r="G1102" t="s">
        <v>51</v>
      </c>
      <c r="H1102" t="s">
        <v>256</v>
      </c>
      <c r="I1102" t="s">
        <v>126</v>
      </c>
      <c r="J1102" t="s">
        <v>164</v>
      </c>
      <c r="K1102">
        <v>651818</v>
      </c>
      <c r="L1102" t="s">
        <v>246</v>
      </c>
      <c r="M1102" t="s">
        <v>247</v>
      </c>
      <c r="N1102" t="s">
        <v>57</v>
      </c>
      <c r="O1102" s="1">
        <v>45967</v>
      </c>
      <c r="Q1102" s="1">
        <v>46028</v>
      </c>
      <c r="R1102" s="2">
        <v>21.44</v>
      </c>
      <c r="S1102">
        <v>1</v>
      </c>
      <c r="T1102" t="s">
        <v>58</v>
      </c>
      <c r="U1102" t="s">
        <v>105</v>
      </c>
      <c r="V1102" s="4">
        <v>0.7</v>
      </c>
      <c r="W1102" s="2">
        <v>0</v>
      </c>
      <c r="X1102">
        <v>0</v>
      </c>
      <c r="Y1102" t="s">
        <v>83</v>
      </c>
      <c r="Z1102" t="s">
        <v>61</v>
      </c>
      <c r="AA1102">
        <v>0</v>
      </c>
      <c r="AB1102" s="2">
        <v>0</v>
      </c>
      <c r="AC1102" s="2">
        <v>0</v>
      </c>
      <c r="AD1102" s="4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15.01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45999</v>
      </c>
      <c r="B1103" t="s">
        <v>48</v>
      </c>
      <c r="C1103">
        <v>649163</v>
      </c>
      <c r="D1103">
        <v>2031999765</v>
      </c>
      <c r="E1103" t="s">
        <v>1199</v>
      </c>
      <c r="F1103" t="s">
        <v>1200</v>
      </c>
      <c r="G1103" t="s">
        <v>51</v>
      </c>
      <c r="H1103" t="s">
        <v>102</v>
      </c>
      <c r="I1103" t="s">
        <v>126</v>
      </c>
      <c r="J1103" t="s">
        <v>132</v>
      </c>
      <c r="K1103">
        <v>824076</v>
      </c>
      <c r="L1103" t="s">
        <v>213</v>
      </c>
      <c r="M1103" t="s">
        <v>214</v>
      </c>
      <c r="N1103" t="s">
        <v>57</v>
      </c>
      <c r="O1103" s="1">
        <v>45967</v>
      </c>
      <c r="Q1103" s="1">
        <v>46028</v>
      </c>
      <c r="R1103" s="2">
        <v>59.4</v>
      </c>
      <c r="S1103">
        <v>1</v>
      </c>
      <c r="T1103" t="s">
        <v>58</v>
      </c>
      <c r="U1103" t="s">
        <v>105</v>
      </c>
      <c r="V1103" s="4">
        <v>0.7</v>
      </c>
      <c r="W1103" s="2">
        <v>0</v>
      </c>
      <c r="X1103">
        <v>0</v>
      </c>
      <c r="Y1103" t="s">
        <v>83</v>
      </c>
      <c r="Z1103" t="s">
        <v>61</v>
      </c>
      <c r="AA1103">
        <v>0</v>
      </c>
      <c r="AB1103" s="2">
        <v>0</v>
      </c>
      <c r="AC1103" s="2">
        <v>0</v>
      </c>
      <c r="AD1103" s="4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41.58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45999</v>
      </c>
      <c r="B1104" t="s">
        <v>48</v>
      </c>
      <c r="C1104">
        <v>649163</v>
      </c>
      <c r="D1104">
        <v>2032000756</v>
      </c>
      <c r="E1104" t="s">
        <v>621</v>
      </c>
      <c r="F1104" t="s">
        <v>622</v>
      </c>
      <c r="G1104" t="s">
        <v>51</v>
      </c>
      <c r="H1104" t="s">
        <v>102</v>
      </c>
      <c r="I1104" t="s">
        <v>126</v>
      </c>
      <c r="J1104" t="s">
        <v>132</v>
      </c>
      <c r="K1104">
        <v>843573</v>
      </c>
      <c r="L1104" t="s">
        <v>253</v>
      </c>
      <c r="M1104" t="s">
        <v>254</v>
      </c>
      <c r="N1104" t="s">
        <v>57</v>
      </c>
      <c r="O1104" s="1">
        <v>45968</v>
      </c>
      <c r="Q1104" s="1">
        <v>46029</v>
      </c>
      <c r="R1104" s="2">
        <v>11.5</v>
      </c>
      <c r="S1104">
        <v>1</v>
      </c>
      <c r="T1104" t="s">
        <v>58</v>
      </c>
      <c r="U1104" t="s">
        <v>105</v>
      </c>
      <c r="V1104" s="4">
        <v>0.7</v>
      </c>
      <c r="W1104" s="2">
        <v>0</v>
      </c>
      <c r="X1104">
        <v>0</v>
      </c>
      <c r="Y1104" t="s">
        <v>83</v>
      </c>
      <c r="Z1104" t="s">
        <v>61</v>
      </c>
      <c r="AA1104">
        <v>0</v>
      </c>
      <c r="AB1104" s="2">
        <v>0</v>
      </c>
      <c r="AC1104" s="2">
        <v>0</v>
      </c>
      <c r="AD1104" s="4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8.0500000000000007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45999</v>
      </c>
      <c r="B1105" t="s">
        <v>48</v>
      </c>
      <c r="C1105">
        <v>649163</v>
      </c>
      <c r="D1105">
        <v>2032002153</v>
      </c>
      <c r="E1105" t="s">
        <v>623</v>
      </c>
      <c r="F1105" t="s">
        <v>624</v>
      </c>
      <c r="G1105" t="s">
        <v>51</v>
      </c>
      <c r="H1105" t="s">
        <v>200</v>
      </c>
      <c r="I1105" t="s">
        <v>126</v>
      </c>
      <c r="J1105" t="s">
        <v>132</v>
      </c>
      <c r="K1105">
        <v>816021</v>
      </c>
      <c r="L1105" t="s">
        <v>201</v>
      </c>
      <c r="M1105" t="s">
        <v>202</v>
      </c>
      <c r="N1105" t="s">
        <v>57</v>
      </c>
      <c r="O1105" s="1">
        <v>45967</v>
      </c>
      <c r="Q1105" s="1">
        <v>46028</v>
      </c>
      <c r="R1105" s="2">
        <v>9.1</v>
      </c>
      <c r="S1105">
        <v>1</v>
      </c>
      <c r="T1105" t="s">
        <v>58</v>
      </c>
      <c r="U1105" t="s">
        <v>105</v>
      </c>
      <c r="V1105" s="4">
        <v>0.7</v>
      </c>
      <c r="W1105" s="2">
        <v>0</v>
      </c>
      <c r="X1105">
        <v>0</v>
      </c>
      <c r="Y1105" t="s">
        <v>83</v>
      </c>
      <c r="Z1105" t="s">
        <v>61</v>
      </c>
      <c r="AA1105">
        <v>0</v>
      </c>
      <c r="AB1105" s="2">
        <v>0</v>
      </c>
      <c r="AC1105" s="2">
        <v>0</v>
      </c>
      <c r="AD1105" s="4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6.37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45999</v>
      </c>
      <c r="B1106" t="s">
        <v>48</v>
      </c>
      <c r="C1106">
        <v>649163</v>
      </c>
      <c r="D1106">
        <v>2032009821</v>
      </c>
      <c r="E1106" t="s">
        <v>293</v>
      </c>
      <c r="F1106" t="s">
        <v>932</v>
      </c>
      <c r="G1106" t="s">
        <v>51</v>
      </c>
      <c r="H1106" t="s">
        <v>386</v>
      </c>
      <c r="I1106" t="s">
        <v>126</v>
      </c>
      <c r="J1106" t="s">
        <v>132</v>
      </c>
      <c r="K1106">
        <v>875334</v>
      </c>
      <c r="L1106" t="s">
        <v>340</v>
      </c>
      <c r="M1106" t="s">
        <v>341</v>
      </c>
      <c r="N1106" t="s">
        <v>57</v>
      </c>
      <c r="O1106" s="1">
        <v>45967</v>
      </c>
      <c r="Q1106" s="1">
        <v>46028</v>
      </c>
      <c r="R1106" s="2">
        <v>72.48</v>
      </c>
      <c r="S1106">
        <v>1</v>
      </c>
      <c r="T1106" t="s">
        <v>58</v>
      </c>
      <c r="U1106" t="s">
        <v>105</v>
      </c>
      <c r="V1106" s="4">
        <v>0.7</v>
      </c>
      <c r="W1106" s="2">
        <v>0</v>
      </c>
      <c r="X1106">
        <v>0</v>
      </c>
      <c r="Y1106" t="s">
        <v>83</v>
      </c>
      <c r="Z1106" t="s">
        <v>61</v>
      </c>
      <c r="AA1106">
        <v>0</v>
      </c>
      <c r="AB1106" s="2">
        <v>0</v>
      </c>
      <c r="AC1106" s="2">
        <v>0</v>
      </c>
      <c r="AD1106" s="4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50.74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45999</v>
      </c>
      <c r="B1107" t="s">
        <v>48</v>
      </c>
      <c r="C1107">
        <v>649163</v>
      </c>
      <c r="D1107">
        <v>2032009823</v>
      </c>
      <c r="E1107" t="s">
        <v>293</v>
      </c>
      <c r="F1107" t="s">
        <v>932</v>
      </c>
      <c r="G1107" t="s">
        <v>51</v>
      </c>
      <c r="H1107" t="s">
        <v>386</v>
      </c>
      <c r="I1107" t="s">
        <v>126</v>
      </c>
      <c r="J1107" t="s">
        <v>375</v>
      </c>
      <c r="K1107">
        <v>875334</v>
      </c>
      <c r="L1107" t="s">
        <v>340</v>
      </c>
      <c r="M1107" t="s">
        <v>341</v>
      </c>
      <c r="N1107" t="s">
        <v>57</v>
      </c>
      <c r="O1107" s="1">
        <v>45967</v>
      </c>
      <c r="Q1107" s="1">
        <v>46028</v>
      </c>
      <c r="R1107" s="2">
        <v>16.93</v>
      </c>
      <c r="S1107">
        <v>1</v>
      </c>
      <c r="T1107" t="s">
        <v>58</v>
      </c>
      <c r="U1107" t="s">
        <v>105</v>
      </c>
      <c r="V1107" s="4">
        <v>0.9</v>
      </c>
      <c r="W1107" s="2">
        <v>0</v>
      </c>
      <c r="X1107">
        <v>0</v>
      </c>
      <c r="Y1107" t="s">
        <v>83</v>
      </c>
      <c r="Z1107" t="s">
        <v>61</v>
      </c>
      <c r="AA1107">
        <v>0</v>
      </c>
      <c r="AB1107" s="2">
        <v>0</v>
      </c>
      <c r="AC1107" s="2">
        <v>0</v>
      </c>
      <c r="AD1107" s="4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15.24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45999</v>
      </c>
      <c r="B1108" t="s">
        <v>48</v>
      </c>
      <c r="C1108">
        <v>649163</v>
      </c>
      <c r="D1108">
        <v>2032010095</v>
      </c>
      <c r="E1108" t="s">
        <v>933</v>
      </c>
      <c r="F1108" t="s">
        <v>305</v>
      </c>
      <c r="G1108" t="s">
        <v>51</v>
      </c>
      <c r="H1108" t="s">
        <v>102</v>
      </c>
      <c r="I1108" t="s">
        <v>126</v>
      </c>
      <c r="J1108" t="s">
        <v>132</v>
      </c>
      <c r="K1108">
        <v>673059</v>
      </c>
      <c r="L1108" t="s">
        <v>81</v>
      </c>
      <c r="M1108" t="s">
        <v>82</v>
      </c>
      <c r="N1108" t="s">
        <v>57</v>
      </c>
      <c r="O1108" s="1">
        <v>45967</v>
      </c>
      <c r="Q1108" s="1">
        <v>46028</v>
      </c>
      <c r="R1108" s="2">
        <v>95.54</v>
      </c>
      <c r="S1108">
        <v>1</v>
      </c>
      <c r="T1108" t="s">
        <v>58</v>
      </c>
      <c r="U1108" t="s">
        <v>105</v>
      </c>
      <c r="V1108" s="4">
        <v>0.7</v>
      </c>
      <c r="W1108" s="2">
        <v>0</v>
      </c>
      <c r="X1108">
        <v>0</v>
      </c>
      <c r="Y1108" t="s">
        <v>83</v>
      </c>
      <c r="Z1108" t="s">
        <v>61</v>
      </c>
      <c r="AA1108">
        <v>0</v>
      </c>
      <c r="AB1108" s="2">
        <v>0</v>
      </c>
      <c r="AC1108" s="2">
        <v>0</v>
      </c>
      <c r="AD1108" s="4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66.88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45999</v>
      </c>
      <c r="B1109" t="s">
        <v>48</v>
      </c>
      <c r="C1109">
        <v>649163</v>
      </c>
      <c r="D1109">
        <v>2032021875</v>
      </c>
      <c r="E1109" t="s">
        <v>934</v>
      </c>
      <c r="F1109" t="s">
        <v>935</v>
      </c>
      <c r="G1109" t="s">
        <v>51</v>
      </c>
      <c r="H1109" t="s">
        <v>200</v>
      </c>
      <c r="I1109" t="s">
        <v>126</v>
      </c>
      <c r="J1109" t="s">
        <v>132</v>
      </c>
      <c r="K1109">
        <v>816021</v>
      </c>
      <c r="L1109" t="s">
        <v>201</v>
      </c>
      <c r="M1109" t="s">
        <v>202</v>
      </c>
      <c r="N1109" t="s">
        <v>57</v>
      </c>
      <c r="O1109" s="1">
        <v>45968</v>
      </c>
      <c r="Q1109" s="1">
        <v>46029</v>
      </c>
      <c r="R1109" s="2">
        <v>9.1</v>
      </c>
      <c r="S1109">
        <v>1</v>
      </c>
      <c r="T1109" t="s">
        <v>58</v>
      </c>
      <c r="U1109" t="s">
        <v>105</v>
      </c>
      <c r="V1109" s="4">
        <v>0.7</v>
      </c>
      <c r="W1109" s="2">
        <v>0</v>
      </c>
      <c r="X1109">
        <v>0</v>
      </c>
      <c r="Y1109" t="s">
        <v>83</v>
      </c>
      <c r="Z1109" t="s">
        <v>61</v>
      </c>
      <c r="AA1109">
        <v>0</v>
      </c>
      <c r="AB1109" s="2">
        <v>0</v>
      </c>
      <c r="AC1109" s="2">
        <v>0</v>
      </c>
      <c r="AD1109" s="4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6.37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45999</v>
      </c>
      <c r="B1110" t="s">
        <v>48</v>
      </c>
      <c r="C1110">
        <v>649163</v>
      </c>
      <c r="D1110">
        <v>2032021962</v>
      </c>
      <c r="E1110" t="s">
        <v>625</v>
      </c>
      <c r="F1110" t="s">
        <v>583</v>
      </c>
      <c r="G1110" t="s">
        <v>51</v>
      </c>
      <c r="H1110" t="s">
        <v>52</v>
      </c>
      <c r="I1110" t="s">
        <v>126</v>
      </c>
      <c r="J1110" t="s">
        <v>164</v>
      </c>
      <c r="K1110">
        <v>877182</v>
      </c>
      <c r="L1110" t="s">
        <v>626</v>
      </c>
      <c r="M1110" t="s">
        <v>627</v>
      </c>
      <c r="N1110" t="s">
        <v>57</v>
      </c>
      <c r="O1110" s="1">
        <v>45968</v>
      </c>
      <c r="Q1110" s="1">
        <v>46029</v>
      </c>
      <c r="R1110" s="2">
        <v>25.73</v>
      </c>
      <c r="S1110">
        <v>1</v>
      </c>
      <c r="T1110" t="s">
        <v>58</v>
      </c>
      <c r="U1110" t="s">
        <v>105</v>
      </c>
      <c r="V1110" s="4">
        <v>0.7</v>
      </c>
      <c r="W1110" s="2">
        <v>0</v>
      </c>
      <c r="X1110">
        <v>0</v>
      </c>
      <c r="Y1110" t="s">
        <v>83</v>
      </c>
      <c r="Z1110" t="s">
        <v>61</v>
      </c>
      <c r="AA1110">
        <v>0</v>
      </c>
      <c r="AB1110" s="2">
        <v>0</v>
      </c>
      <c r="AC1110" s="2">
        <v>0</v>
      </c>
      <c r="AD1110" s="4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18.010000000000002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45999</v>
      </c>
      <c r="B1111" t="s">
        <v>48</v>
      </c>
      <c r="C1111">
        <v>649163</v>
      </c>
      <c r="D1111">
        <v>2032033581</v>
      </c>
      <c r="E1111" t="s">
        <v>1201</v>
      </c>
      <c r="F1111" t="s">
        <v>789</v>
      </c>
      <c r="G1111" t="s">
        <v>51</v>
      </c>
      <c r="H1111" t="s">
        <v>102</v>
      </c>
      <c r="I1111" t="s">
        <v>126</v>
      </c>
      <c r="J1111" t="s">
        <v>375</v>
      </c>
      <c r="K1111">
        <v>839474</v>
      </c>
      <c r="L1111" t="s">
        <v>1202</v>
      </c>
      <c r="M1111" t="s">
        <v>1203</v>
      </c>
      <c r="N1111" t="s">
        <v>57</v>
      </c>
      <c r="O1111" s="1">
        <v>45968</v>
      </c>
      <c r="Q1111" s="1">
        <v>46029</v>
      </c>
      <c r="R1111" s="2">
        <v>44.71</v>
      </c>
      <c r="S1111">
        <v>1</v>
      </c>
      <c r="T1111" t="s">
        <v>58</v>
      </c>
      <c r="U1111" t="s">
        <v>105</v>
      </c>
      <c r="V1111" s="4">
        <v>0.9</v>
      </c>
      <c r="W1111" s="2">
        <v>0</v>
      </c>
      <c r="X1111">
        <v>0</v>
      </c>
      <c r="Y1111" t="s">
        <v>83</v>
      </c>
      <c r="Z1111" t="s">
        <v>61</v>
      </c>
      <c r="AA1111">
        <v>0</v>
      </c>
      <c r="AB1111" s="2">
        <v>0</v>
      </c>
      <c r="AC1111" s="2">
        <v>0</v>
      </c>
      <c r="AD1111" s="4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40.24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45999</v>
      </c>
      <c r="B1112" t="s">
        <v>48</v>
      </c>
      <c r="C1112">
        <v>649163</v>
      </c>
      <c r="D1112">
        <v>2032033829</v>
      </c>
      <c r="E1112" t="s">
        <v>1201</v>
      </c>
      <c r="F1112" t="s">
        <v>137</v>
      </c>
      <c r="G1112" t="s">
        <v>51</v>
      </c>
      <c r="H1112" t="s">
        <v>102</v>
      </c>
      <c r="I1112" t="s">
        <v>126</v>
      </c>
      <c r="J1112" t="s">
        <v>375</v>
      </c>
      <c r="K1112">
        <v>839474</v>
      </c>
      <c r="L1112" t="s">
        <v>1202</v>
      </c>
      <c r="M1112" t="s">
        <v>1203</v>
      </c>
      <c r="N1112" t="s">
        <v>57</v>
      </c>
      <c r="O1112" s="1">
        <v>45968</v>
      </c>
      <c r="Q1112" s="1">
        <v>46029</v>
      </c>
      <c r="R1112" s="2">
        <v>112.92</v>
      </c>
      <c r="S1112">
        <v>1</v>
      </c>
      <c r="T1112" t="s">
        <v>58</v>
      </c>
      <c r="U1112" t="s">
        <v>105</v>
      </c>
      <c r="V1112" s="4">
        <v>0.9</v>
      </c>
      <c r="W1112" s="2">
        <v>0</v>
      </c>
      <c r="X1112">
        <v>0</v>
      </c>
      <c r="Y1112" t="s">
        <v>83</v>
      </c>
      <c r="Z1112" t="s">
        <v>61</v>
      </c>
      <c r="AA1112">
        <v>0</v>
      </c>
      <c r="AB1112" s="2">
        <v>0</v>
      </c>
      <c r="AC1112" s="2">
        <v>0</v>
      </c>
      <c r="AD1112" s="4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101.63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45999</v>
      </c>
      <c r="B1113" t="s">
        <v>48</v>
      </c>
      <c r="C1113">
        <v>649163</v>
      </c>
      <c r="D1113">
        <v>2032038377</v>
      </c>
      <c r="E1113" t="s">
        <v>1204</v>
      </c>
      <c r="F1113" t="s">
        <v>1205</v>
      </c>
      <c r="G1113" t="s">
        <v>51</v>
      </c>
      <c r="H1113" t="s">
        <v>102</v>
      </c>
      <c r="I1113" t="s">
        <v>126</v>
      </c>
      <c r="J1113" t="s">
        <v>132</v>
      </c>
      <c r="K1113">
        <v>839554</v>
      </c>
      <c r="L1113" t="s">
        <v>441</v>
      </c>
      <c r="M1113" t="s">
        <v>442</v>
      </c>
      <c r="N1113" t="s">
        <v>57</v>
      </c>
      <c r="O1113" s="1">
        <v>45968</v>
      </c>
      <c r="Q1113" s="1">
        <v>46029</v>
      </c>
      <c r="R1113" s="2">
        <v>199.8</v>
      </c>
      <c r="S1113">
        <v>1</v>
      </c>
      <c r="T1113" t="s">
        <v>58</v>
      </c>
      <c r="U1113" t="s">
        <v>105</v>
      </c>
      <c r="V1113" s="4">
        <v>0.7</v>
      </c>
      <c r="W1113" s="2">
        <v>0</v>
      </c>
      <c r="X1113">
        <v>0</v>
      </c>
      <c r="Y1113" t="s">
        <v>83</v>
      </c>
      <c r="Z1113" t="s">
        <v>61</v>
      </c>
      <c r="AA1113">
        <v>0</v>
      </c>
      <c r="AB1113" s="2">
        <v>0</v>
      </c>
      <c r="AC1113" s="2">
        <v>0</v>
      </c>
      <c r="AD1113" s="4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139.86000000000001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45999</v>
      </c>
      <c r="B1114" t="s">
        <v>48</v>
      </c>
      <c r="C1114">
        <v>649163</v>
      </c>
      <c r="D1114">
        <v>2032038860</v>
      </c>
      <c r="E1114" t="s">
        <v>628</v>
      </c>
      <c r="F1114" t="s">
        <v>204</v>
      </c>
      <c r="G1114" t="s">
        <v>51</v>
      </c>
      <c r="H1114" t="s">
        <v>102</v>
      </c>
      <c r="I1114" t="s">
        <v>126</v>
      </c>
      <c r="J1114" t="s">
        <v>132</v>
      </c>
      <c r="K1114">
        <v>843573</v>
      </c>
      <c r="L1114" t="s">
        <v>253</v>
      </c>
      <c r="M1114" t="s">
        <v>254</v>
      </c>
      <c r="N1114" t="s">
        <v>57</v>
      </c>
      <c r="O1114" s="1">
        <v>45972</v>
      </c>
      <c r="Q1114" s="1">
        <v>46033</v>
      </c>
      <c r="R1114" s="2">
        <v>27.5</v>
      </c>
      <c r="S1114">
        <v>1</v>
      </c>
      <c r="T1114" t="s">
        <v>58</v>
      </c>
      <c r="U1114" t="s">
        <v>105</v>
      </c>
      <c r="V1114" s="4">
        <v>0.7</v>
      </c>
      <c r="W1114" s="2">
        <v>0</v>
      </c>
      <c r="X1114">
        <v>0</v>
      </c>
      <c r="Y1114" t="s">
        <v>83</v>
      </c>
      <c r="Z1114" t="s">
        <v>61</v>
      </c>
      <c r="AA1114">
        <v>0</v>
      </c>
      <c r="AB1114" s="2">
        <v>0</v>
      </c>
      <c r="AC1114" s="2">
        <v>0</v>
      </c>
      <c r="AD1114" s="4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19.25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45999</v>
      </c>
      <c r="B1115" t="s">
        <v>48</v>
      </c>
      <c r="C1115">
        <v>649163</v>
      </c>
      <c r="D1115">
        <v>2032057066</v>
      </c>
      <c r="E1115" t="s">
        <v>1206</v>
      </c>
      <c r="F1115" t="s">
        <v>1125</v>
      </c>
      <c r="G1115" t="s">
        <v>51</v>
      </c>
      <c r="H1115" t="s">
        <v>308</v>
      </c>
      <c r="I1115" t="s">
        <v>126</v>
      </c>
      <c r="J1115" t="s">
        <v>132</v>
      </c>
      <c r="K1115">
        <v>812656</v>
      </c>
      <c r="L1115" t="s">
        <v>401</v>
      </c>
      <c r="M1115" t="s">
        <v>233</v>
      </c>
      <c r="N1115" t="s">
        <v>57</v>
      </c>
      <c r="O1115" s="1">
        <v>45969</v>
      </c>
      <c r="Q1115" s="1">
        <v>46030</v>
      </c>
      <c r="R1115" s="2">
        <v>17.899999999999999</v>
      </c>
      <c r="S1115">
        <v>1</v>
      </c>
      <c r="T1115" t="s">
        <v>58</v>
      </c>
      <c r="U1115" t="s">
        <v>105</v>
      </c>
      <c r="V1115" s="4">
        <v>0.7</v>
      </c>
      <c r="W1115" s="2">
        <v>0</v>
      </c>
      <c r="X1115">
        <v>0</v>
      </c>
      <c r="Y1115" t="s">
        <v>83</v>
      </c>
      <c r="Z1115" t="s">
        <v>61</v>
      </c>
      <c r="AA1115">
        <v>0</v>
      </c>
      <c r="AB1115" s="2">
        <v>0</v>
      </c>
      <c r="AC1115" s="2">
        <v>0</v>
      </c>
      <c r="AD1115" s="4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12.53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45999</v>
      </c>
      <c r="B1116" t="s">
        <v>48</v>
      </c>
      <c r="C1116">
        <v>649163</v>
      </c>
      <c r="D1116">
        <v>2032063038</v>
      </c>
      <c r="E1116" t="s">
        <v>878</v>
      </c>
      <c r="F1116" t="s">
        <v>827</v>
      </c>
      <c r="G1116" t="s">
        <v>51</v>
      </c>
      <c r="H1116" t="s">
        <v>357</v>
      </c>
      <c r="I1116" t="s">
        <v>126</v>
      </c>
      <c r="J1116" t="s">
        <v>375</v>
      </c>
      <c r="K1116">
        <v>767312</v>
      </c>
      <c r="L1116" t="s">
        <v>138</v>
      </c>
      <c r="M1116" t="s">
        <v>107</v>
      </c>
      <c r="N1116" t="s">
        <v>57</v>
      </c>
      <c r="O1116" s="1">
        <v>45969</v>
      </c>
      <c r="Q1116" s="1">
        <v>46030</v>
      </c>
      <c r="R1116" s="2">
        <v>98.58</v>
      </c>
      <c r="S1116">
        <v>1</v>
      </c>
      <c r="T1116" t="s">
        <v>58</v>
      </c>
      <c r="U1116" t="s">
        <v>105</v>
      </c>
      <c r="V1116" s="4">
        <v>0.9</v>
      </c>
      <c r="W1116" s="2">
        <v>0</v>
      </c>
      <c r="X1116">
        <v>0</v>
      </c>
      <c r="Y1116" t="s">
        <v>83</v>
      </c>
      <c r="Z1116" t="s">
        <v>61</v>
      </c>
      <c r="AA1116">
        <v>0</v>
      </c>
      <c r="AB1116" s="2">
        <v>0</v>
      </c>
      <c r="AC1116" s="2">
        <v>0</v>
      </c>
      <c r="AD1116" s="4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88.72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45999</v>
      </c>
      <c r="B1117" t="s">
        <v>48</v>
      </c>
      <c r="C1117">
        <v>649163</v>
      </c>
      <c r="D1117">
        <v>2032063752</v>
      </c>
      <c r="E1117" t="s">
        <v>1207</v>
      </c>
      <c r="F1117" t="s">
        <v>1208</v>
      </c>
      <c r="G1117" t="s">
        <v>51</v>
      </c>
      <c r="H1117" t="s">
        <v>102</v>
      </c>
      <c r="I1117" t="s">
        <v>126</v>
      </c>
      <c r="J1117" t="s">
        <v>132</v>
      </c>
      <c r="K1117">
        <v>807212</v>
      </c>
      <c r="L1117" t="s">
        <v>418</v>
      </c>
      <c r="M1117" t="s">
        <v>419</v>
      </c>
      <c r="N1117" t="s">
        <v>57</v>
      </c>
      <c r="O1117" s="1">
        <v>45969</v>
      </c>
      <c r="Q1117" s="1">
        <v>46030</v>
      </c>
      <c r="R1117" s="2">
        <v>19</v>
      </c>
      <c r="S1117">
        <v>1</v>
      </c>
      <c r="T1117" t="s">
        <v>58</v>
      </c>
      <c r="U1117" t="s">
        <v>105</v>
      </c>
      <c r="V1117" s="4">
        <v>0.7</v>
      </c>
      <c r="W1117" s="2">
        <v>0</v>
      </c>
      <c r="X1117">
        <v>0</v>
      </c>
      <c r="Y1117" t="s">
        <v>83</v>
      </c>
      <c r="Z1117" t="s">
        <v>61</v>
      </c>
      <c r="AA1117">
        <v>0</v>
      </c>
      <c r="AB1117" s="2">
        <v>0</v>
      </c>
      <c r="AC1117" s="2">
        <v>0</v>
      </c>
      <c r="AD1117" s="4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13.3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45999</v>
      </c>
      <c r="B1118" t="s">
        <v>48</v>
      </c>
      <c r="C1118">
        <v>649163</v>
      </c>
      <c r="D1118">
        <v>2032071365</v>
      </c>
      <c r="E1118" t="s">
        <v>1209</v>
      </c>
      <c r="F1118" t="s">
        <v>1210</v>
      </c>
      <c r="G1118" t="s">
        <v>51</v>
      </c>
      <c r="H1118" t="s">
        <v>97</v>
      </c>
      <c r="I1118" t="s">
        <v>126</v>
      </c>
      <c r="J1118" t="s">
        <v>132</v>
      </c>
      <c r="K1118">
        <v>822733</v>
      </c>
      <c r="L1118" t="s">
        <v>224</v>
      </c>
      <c r="M1118" t="s">
        <v>225</v>
      </c>
      <c r="N1118" t="s">
        <v>57</v>
      </c>
      <c r="O1118" s="1">
        <v>45972</v>
      </c>
      <c r="Q1118" s="1">
        <v>46033</v>
      </c>
      <c r="R1118" s="2">
        <v>89.52</v>
      </c>
      <c r="S1118">
        <v>1</v>
      </c>
      <c r="T1118" t="s">
        <v>58</v>
      </c>
      <c r="U1118" t="s">
        <v>105</v>
      </c>
      <c r="V1118" s="4">
        <v>0.7</v>
      </c>
      <c r="W1118" s="2">
        <v>0</v>
      </c>
      <c r="X1118">
        <v>0</v>
      </c>
      <c r="Y1118" t="s">
        <v>83</v>
      </c>
      <c r="Z1118" t="s">
        <v>61</v>
      </c>
      <c r="AA1118">
        <v>0</v>
      </c>
      <c r="AB1118" s="2">
        <v>0</v>
      </c>
      <c r="AC1118" s="2">
        <v>0</v>
      </c>
      <c r="AD1118" s="4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62.66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45999</v>
      </c>
      <c r="B1119" t="s">
        <v>48</v>
      </c>
      <c r="C1119">
        <v>649163</v>
      </c>
      <c r="D1119">
        <v>2032073740</v>
      </c>
      <c r="E1119" t="s">
        <v>1211</v>
      </c>
      <c r="F1119" t="s">
        <v>1212</v>
      </c>
      <c r="G1119" t="s">
        <v>51</v>
      </c>
      <c r="H1119" t="s">
        <v>102</v>
      </c>
      <c r="I1119" t="s">
        <v>126</v>
      </c>
      <c r="J1119" t="s">
        <v>132</v>
      </c>
      <c r="K1119">
        <v>807212</v>
      </c>
      <c r="L1119" t="s">
        <v>418</v>
      </c>
      <c r="M1119" t="s">
        <v>419</v>
      </c>
      <c r="N1119" t="s">
        <v>57</v>
      </c>
      <c r="O1119" s="1">
        <v>45970</v>
      </c>
      <c r="Q1119" s="1">
        <v>46031</v>
      </c>
      <c r="R1119" s="2">
        <v>24.65</v>
      </c>
      <c r="S1119">
        <v>1</v>
      </c>
      <c r="T1119" t="s">
        <v>58</v>
      </c>
      <c r="U1119" t="s">
        <v>105</v>
      </c>
      <c r="V1119" s="4">
        <v>0.7</v>
      </c>
      <c r="W1119" s="2">
        <v>0</v>
      </c>
      <c r="X1119">
        <v>0</v>
      </c>
      <c r="Y1119" t="s">
        <v>83</v>
      </c>
      <c r="Z1119" t="s">
        <v>61</v>
      </c>
      <c r="AA1119">
        <v>0</v>
      </c>
      <c r="AB1119" s="2">
        <v>0</v>
      </c>
      <c r="AC1119" s="2">
        <v>0</v>
      </c>
      <c r="AD1119" s="4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17.260000000000002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45999</v>
      </c>
      <c r="B1120" t="s">
        <v>48</v>
      </c>
      <c r="C1120">
        <v>649163</v>
      </c>
      <c r="D1120">
        <v>2032075678</v>
      </c>
      <c r="E1120" t="s">
        <v>1213</v>
      </c>
      <c r="F1120" t="s">
        <v>1214</v>
      </c>
      <c r="G1120" t="s">
        <v>51</v>
      </c>
      <c r="H1120" t="s">
        <v>102</v>
      </c>
      <c r="I1120" t="s">
        <v>126</v>
      </c>
      <c r="J1120" t="s">
        <v>132</v>
      </c>
      <c r="K1120">
        <v>807212</v>
      </c>
      <c r="L1120" t="s">
        <v>418</v>
      </c>
      <c r="M1120" t="s">
        <v>419</v>
      </c>
      <c r="N1120" t="s">
        <v>57</v>
      </c>
      <c r="O1120" s="1">
        <v>45970</v>
      </c>
      <c r="Q1120" s="1">
        <v>46031</v>
      </c>
      <c r="R1120" s="2">
        <v>11.5</v>
      </c>
      <c r="S1120">
        <v>1</v>
      </c>
      <c r="T1120" t="s">
        <v>58</v>
      </c>
      <c r="U1120" t="s">
        <v>105</v>
      </c>
      <c r="V1120" s="4">
        <v>0.7</v>
      </c>
      <c r="W1120" s="2">
        <v>0</v>
      </c>
      <c r="X1120">
        <v>0</v>
      </c>
      <c r="Y1120" t="s">
        <v>83</v>
      </c>
      <c r="Z1120" t="s">
        <v>61</v>
      </c>
      <c r="AA1120">
        <v>0</v>
      </c>
      <c r="AB1120" s="2">
        <v>0</v>
      </c>
      <c r="AC1120" s="2">
        <v>0</v>
      </c>
      <c r="AD1120" s="4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8.0500000000000007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45999</v>
      </c>
      <c r="B1121" t="s">
        <v>48</v>
      </c>
      <c r="C1121">
        <v>649163</v>
      </c>
      <c r="D1121">
        <v>2032077734</v>
      </c>
      <c r="E1121" t="s">
        <v>1215</v>
      </c>
      <c r="F1121" t="s">
        <v>1216</v>
      </c>
      <c r="G1121" t="s">
        <v>51</v>
      </c>
      <c r="H1121" t="s">
        <v>97</v>
      </c>
      <c r="I1121" t="s">
        <v>126</v>
      </c>
      <c r="J1121" t="s">
        <v>132</v>
      </c>
      <c r="K1121">
        <v>822733</v>
      </c>
      <c r="L1121" t="s">
        <v>224</v>
      </c>
      <c r="M1121" t="s">
        <v>225</v>
      </c>
      <c r="N1121" t="s">
        <v>57</v>
      </c>
      <c r="O1121" s="1">
        <v>45972</v>
      </c>
      <c r="Q1121" s="1">
        <v>46033</v>
      </c>
      <c r="R1121" s="2">
        <v>89.52</v>
      </c>
      <c r="S1121">
        <v>1</v>
      </c>
      <c r="T1121" t="s">
        <v>58</v>
      </c>
      <c r="U1121" t="s">
        <v>105</v>
      </c>
      <c r="V1121" s="4">
        <v>0.7</v>
      </c>
      <c r="W1121" s="2">
        <v>0</v>
      </c>
      <c r="X1121">
        <v>0</v>
      </c>
      <c r="Y1121" t="s">
        <v>83</v>
      </c>
      <c r="Z1121" t="s">
        <v>61</v>
      </c>
      <c r="AA1121">
        <v>0</v>
      </c>
      <c r="AB1121" s="2">
        <v>0</v>
      </c>
      <c r="AC1121" s="2">
        <v>0</v>
      </c>
      <c r="AD1121" s="4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62.66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45999</v>
      </c>
      <c r="B1122" t="s">
        <v>48</v>
      </c>
      <c r="C1122">
        <v>649163</v>
      </c>
      <c r="D1122">
        <v>2032078149</v>
      </c>
      <c r="E1122" t="s">
        <v>1217</v>
      </c>
      <c r="F1122" t="s">
        <v>1218</v>
      </c>
      <c r="G1122" t="s">
        <v>51</v>
      </c>
      <c r="H1122" t="s">
        <v>102</v>
      </c>
      <c r="I1122" t="s">
        <v>126</v>
      </c>
      <c r="J1122" t="s">
        <v>132</v>
      </c>
      <c r="K1122">
        <v>807212</v>
      </c>
      <c r="L1122" t="s">
        <v>418</v>
      </c>
      <c r="M1122" t="s">
        <v>419</v>
      </c>
      <c r="N1122" t="s">
        <v>57</v>
      </c>
      <c r="O1122" s="1">
        <v>45971</v>
      </c>
      <c r="Q1122" s="1">
        <v>46032</v>
      </c>
      <c r="R1122" s="2">
        <v>27.5</v>
      </c>
      <c r="S1122">
        <v>1</v>
      </c>
      <c r="T1122" t="s">
        <v>58</v>
      </c>
      <c r="U1122" t="s">
        <v>105</v>
      </c>
      <c r="V1122" s="4">
        <v>0.7</v>
      </c>
      <c r="W1122" s="2">
        <v>0</v>
      </c>
      <c r="X1122">
        <v>0</v>
      </c>
      <c r="Y1122" t="s">
        <v>83</v>
      </c>
      <c r="Z1122" t="s">
        <v>61</v>
      </c>
      <c r="AA1122">
        <v>0</v>
      </c>
      <c r="AB1122" s="2">
        <v>0</v>
      </c>
      <c r="AC1122" s="2">
        <v>0</v>
      </c>
      <c r="AD1122" s="4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19.25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45999</v>
      </c>
      <c r="B1123" t="s">
        <v>48</v>
      </c>
      <c r="C1123">
        <v>649163</v>
      </c>
      <c r="D1123">
        <v>2032078824</v>
      </c>
      <c r="E1123" t="s">
        <v>1219</v>
      </c>
      <c r="F1123" t="s">
        <v>1220</v>
      </c>
      <c r="G1123" t="s">
        <v>51</v>
      </c>
      <c r="H1123" t="s">
        <v>102</v>
      </c>
      <c r="I1123" t="s">
        <v>126</v>
      </c>
      <c r="J1123" t="s">
        <v>132</v>
      </c>
      <c r="K1123">
        <v>807212</v>
      </c>
      <c r="L1123" t="s">
        <v>418</v>
      </c>
      <c r="M1123" t="s">
        <v>419</v>
      </c>
      <c r="N1123" t="s">
        <v>57</v>
      </c>
      <c r="O1123" s="1">
        <v>45971</v>
      </c>
      <c r="Q1123" s="1">
        <v>46032</v>
      </c>
      <c r="R1123" s="2">
        <v>142.22999999999999</v>
      </c>
      <c r="S1123">
        <v>1</v>
      </c>
      <c r="T1123" t="s">
        <v>58</v>
      </c>
      <c r="U1123" t="s">
        <v>105</v>
      </c>
      <c r="V1123" s="4">
        <v>0.7</v>
      </c>
      <c r="W1123" s="2">
        <v>0</v>
      </c>
      <c r="X1123">
        <v>0</v>
      </c>
      <c r="Y1123" t="s">
        <v>83</v>
      </c>
      <c r="Z1123" t="s">
        <v>61</v>
      </c>
      <c r="AA1123">
        <v>0</v>
      </c>
      <c r="AB1123" s="2">
        <v>0</v>
      </c>
      <c r="AC1123" s="2">
        <v>0</v>
      </c>
      <c r="AD1123" s="4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99.56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45999</v>
      </c>
      <c r="B1124" t="s">
        <v>48</v>
      </c>
      <c r="C1124">
        <v>649163</v>
      </c>
      <c r="D1124">
        <v>2032095170</v>
      </c>
      <c r="E1124" t="s">
        <v>1221</v>
      </c>
      <c r="F1124" t="s">
        <v>530</v>
      </c>
      <c r="G1124" t="s">
        <v>51</v>
      </c>
      <c r="H1124" t="s">
        <v>102</v>
      </c>
      <c r="I1124" t="s">
        <v>126</v>
      </c>
      <c r="J1124" t="s">
        <v>132</v>
      </c>
      <c r="K1124">
        <v>824076</v>
      </c>
      <c r="L1124" t="s">
        <v>213</v>
      </c>
      <c r="M1124" t="s">
        <v>214</v>
      </c>
      <c r="N1124" t="s">
        <v>57</v>
      </c>
      <c r="O1124" s="1">
        <v>45972</v>
      </c>
      <c r="Q1124" s="1">
        <v>46033</v>
      </c>
      <c r="R1124" s="2">
        <v>59.4</v>
      </c>
      <c r="S1124">
        <v>1</v>
      </c>
      <c r="T1124" t="s">
        <v>58</v>
      </c>
      <c r="U1124" t="s">
        <v>105</v>
      </c>
      <c r="V1124" s="4">
        <v>0.7</v>
      </c>
      <c r="W1124" s="2">
        <v>0</v>
      </c>
      <c r="X1124">
        <v>0</v>
      </c>
      <c r="Y1124" t="s">
        <v>83</v>
      </c>
      <c r="Z1124" t="s">
        <v>61</v>
      </c>
      <c r="AA1124">
        <v>0</v>
      </c>
      <c r="AB1124" s="2">
        <v>0</v>
      </c>
      <c r="AC1124" s="2">
        <v>0</v>
      </c>
      <c r="AD1124" s="4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41.58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45999</v>
      </c>
      <c r="B1125" t="s">
        <v>48</v>
      </c>
      <c r="C1125">
        <v>649163</v>
      </c>
      <c r="D1125">
        <v>2032111467</v>
      </c>
      <c r="E1125" t="s">
        <v>629</v>
      </c>
      <c r="F1125" t="s">
        <v>630</v>
      </c>
      <c r="G1125" t="s">
        <v>51</v>
      </c>
      <c r="H1125" t="s">
        <v>125</v>
      </c>
      <c r="I1125" t="s">
        <v>126</v>
      </c>
      <c r="J1125" t="s">
        <v>132</v>
      </c>
      <c r="K1125">
        <v>897926</v>
      </c>
      <c r="L1125" t="s">
        <v>467</v>
      </c>
      <c r="M1125" t="s">
        <v>468</v>
      </c>
      <c r="N1125" t="s">
        <v>57</v>
      </c>
      <c r="O1125" s="1">
        <v>45973</v>
      </c>
      <c r="Q1125" s="1">
        <v>46034</v>
      </c>
      <c r="R1125" s="2">
        <v>29.79</v>
      </c>
      <c r="S1125">
        <v>1</v>
      </c>
      <c r="T1125" t="s">
        <v>58</v>
      </c>
      <c r="U1125" t="s">
        <v>105</v>
      </c>
      <c r="V1125" s="4">
        <v>0.7</v>
      </c>
      <c r="W1125" s="2">
        <v>0</v>
      </c>
      <c r="X1125">
        <v>0</v>
      </c>
      <c r="Y1125" t="s">
        <v>83</v>
      </c>
      <c r="Z1125" t="s">
        <v>61</v>
      </c>
      <c r="AA1125">
        <v>0</v>
      </c>
      <c r="AB1125" s="2">
        <v>0</v>
      </c>
      <c r="AC1125" s="2">
        <v>0</v>
      </c>
      <c r="AD1125" s="4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20.85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45999</v>
      </c>
      <c r="B1126" t="s">
        <v>48</v>
      </c>
      <c r="C1126">
        <v>649163</v>
      </c>
      <c r="D1126">
        <v>2032114433</v>
      </c>
      <c r="E1126" t="s">
        <v>1222</v>
      </c>
      <c r="F1126" t="s">
        <v>1223</v>
      </c>
      <c r="G1126" t="s">
        <v>51</v>
      </c>
      <c r="H1126" t="s">
        <v>102</v>
      </c>
      <c r="I1126" t="s">
        <v>126</v>
      </c>
      <c r="J1126" t="s">
        <v>375</v>
      </c>
      <c r="K1126">
        <v>894525</v>
      </c>
      <c r="L1126" t="s">
        <v>230</v>
      </c>
      <c r="M1126" t="s">
        <v>231</v>
      </c>
      <c r="N1126" t="s">
        <v>57</v>
      </c>
      <c r="O1126" s="1">
        <v>45973</v>
      </c>
      <c r="Q1126" s="1">
        <v>46034</v>
      </c>
      <c r="R1126" s="2">
        <v>41.75</v>
      </c>
      <c r="S1126">
        <v>1</v>
      </c>
      <c r="T1126" t="s">
        <v>58</v>
      </c>
      <c r="U1126" t="s">
        <v>105</v>
      </c>
      <c r="V1126" s="4">
        <v>0.9</v>
      </c>
      <c r="W1126" s="2">
        <v>0</v>
      </c>
      <c r="X1126">
        <v>0</v>
      </c>
      <c r="Y1126" t="s">
        <v>83</v>
      </c>
      <c r="Z1126" t="s">
        <v>61</v>
      </c>
      <c r="AA1126">
        <v>0</v>
      </c>
      <c r="AB1126" s="2">
        <v>0</v>
      </c>
      <c r="AC1126" s="2">
        <v>0</v>
      </c>
      <c r="AD1126" s="4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37.58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45999</v>
      </c>
      <c r="B1127" t="s">
        <v>48</v>
      </c>
      <c r="C1127">
        <v>649163</v>
      </c>
      <c r="D1127">
        <v>2032114519</v>
      </c>
      <c r="E1127" t="s">
        <v>1222</v>
      </c>
      <c r="F1127" t="s">
        <v>582</v>
      </c>
      <c r="G1127" t="s">
        <v>51</v>
      </c>
      <c r="H1127" t="s">
        <v>102</v>
      </c>
      <c r="I1127" t="s">
        <v>126</v>
      </c>
      <c r="J1127" t="s">
        <v>375</v>
      </c>
      <c r="K1127">
        <v>894525</v>
      </c>
      <c r="L1127" t="s">
        <v>230</v>
      </c>
      <c r="M1127" t="s">
        <v>231</v>
      </c>
      <c r="N1127" t="s">
        <v>57</v>
      </c>
      <c r="O1127" s="1">
        <v>45973</v>
      </c>
      <c r="Q1127" s="1">
        <v>46034</v>
      </c>
      <c r="R1127" s="2">
        <v>56.75</v>
      </c>
      <c r="S1127">
        <v>1</v>
      </c>
      <c r="T1127" t="s">
        <v>58</v>
      </c>
      <c r="U1127" t="s">
        <v>105</v>
      </c>
      <c r="V1127" s="4">
        <v>0.9</v>
      </c>
      <c r="W1127" s="2">
        <v>0</v>
      </c>
      <c r="X1127">
        <v>0</v>
      </c>
      <c r="Y1127" t="s">
        <v>83</v>
      </c>
      <c r="Z1127" t="s">
        <v>61</v>
      </c>
      <c r="AA1127">
        <v>0</v>
      </c>
      <c r="AB1127" s="2">
        <v>0</v>
      </c>
      <c r="AC1127" s="2">
        <v>0</v>
      </c>
      <c r="AD1127" s="4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51.08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45999</v>
      </c>
      <c r="B1128" t="s">
        <v>48</v>
      </c>
      <c r="C1128">
        <v>649163</v>
      </c>
      <c r="D1128">
        <v>2032208867</v>
      </c>
      <c r="E1128" t="s">
        <v>649</v>
      </c>
      <c r="F1128" t="s">
        <v>1224</v>
      </c>
      <c r="G1128" t="s">
        <v>51</v>
      </c>
      <c r="H1128" t="s">
        <v>357</v>
      </c>
      <c r="I1128" t="s">
        <v>126</v>
      </c>
      <c r="J1128" t="s">
        <v>375</v>
      </c>
      <c r="K1128">
        <v>767312</v>
      </c>
      <c r="L1128" t="s">
        <v>138</v>
      </c>
      <c r="M1128" t="s">
        <v>107</v>
      </c>
      <c r="N1128" t="s">
        <v>94</v>
      </c>
      <c r="O1128" s="1">
        <v>45988</v>
      </c>
      <c r="P1128" s="1">
        <v>45999</v>
      </c>
      <c r="Q1128" s="1">
        <v>46018</v>
      </c>
      <c r="R1128" s="2">
        <v>-26.33</v>
      </c>
      <c r="S1128">
        <v>1</v>
      </c>
      <c r="T1128" t="s">
        <v>58</v>
      </c>
      <c r="U1128" t="s">
        <v>105</v>
      </c>
      <c r="V1128" s="4">
        <v>0.9</v>
      </c>
      <c r="W1128" s="2">
        <v>0</v>
      </c>
      <c r="X1128">
        <v>-1</v>
      </c>
      <c r="Y1128" t="s">
        <v>83</v>
      </c>
      <c r="Z1128" t="s">
        <v>61</v>
      </c>
      <c r="AA1128">
        <v>0</v>
      </c>
      <c r="AB1128" s="2">
        <v>0</v>
      </c>
      <c r="AC1128" s="2">
        <v>0</v>
      </c>
      <c r="AD1128" s="4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-23.7</v>
      </c>
      <c r="AN1128" s="2">
        <v>-23.7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45999</v>
      </c>
      <c r="B1129" t="s">
        <v>48</v>
      </c>
      <c r="C1129">
        <v>649163</v>
      </c>
      <c r="D1129">
        <v>2032222994</v>
      </c>
      <c r="E1129" t="s">
        <v>1225</v>
      </c>
      <c r="F1129" t="s">
        <v>1226</v>
      </c>
      <c r="G1129" t="s">
        <v>51</v>
      </c>
      <c r="H1129" t="s">
        <v>509</v>
      </c>
      <c r="I1129" t="s">
        <v>126</v>
      </c>
      <c r="J1129" t="s">
        <v>132</v>
      </c>
      <c r="K1129">
        <v>756418</v>
      </c>
      <c r="L1129" t="s">
        <v>409</v>
      </c>
      <c r="M1129" t="s">
        <v>410</v>
      </c>
      <c r="N1129" t="s">
        <v>94</v>
      </c>
      <c r="O1129" s="1">
        <v>45979</v>
      </c>
      <c r="P1129" s="1">
        <v>45992</v>
      </c>
      <c r="Q1129" s="1">
        <v>46009</v>
      </c>
      <c r="R1129" s="2">
        <v>-15.29</v>
      </c>
      <c r="S1129">
        <v>1</v>
      </c>
      <c r="T1129" t="s">
        <v>58</v>
      </c>
      <c r="U1129" t="s">
        <v>105</v>
      </c>
      <c r="V1129" s="4">
        <v>0.7</v>
      </c>
      <c r="W1129" s="2">
        <v>0</v>
      </c>
      <c r="X1129">
        <v>-1</v>
      </c>
      <c r="Y1129" t="s">
        <v>83</v>
      </c>
      <c r="Z1129" t="s">
        <v>61</v>
      </c>
      <c r="AA1129">
        <v>0</v>
      </c>
      <c r="AB1129" s="2">
        <v>0</v>
      </c>
      <c r="AC1129" s="2">
        <v>0</v>
      </c>
      <c r="AD1129" s="4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-10.7</v>
      </c>
      <c r="AN1129" s="2">
        <v>-10.7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45999</v>
      </c>
      <c r="B1130" t="s">
        <v>48</v>
      </c>
      <c r="C1130">
        <v>649163</v>
      </c>
      <c r="D1130">
        <v>2032245740</v>
      </c>
      <c r="E1130" t="s">
        <v>1227</v>
      </c>
      <c r="F1130" t="s">
        <v>233</v>
      </c>
      <c r="G1130" t="s">
        <v>51</v>
      </c>
      <c r="H1130" t="s">
        <v>1228</v>
      </c>
      <c r="I1130" t="s">
        <v>126</v>
      </c>
      <c r="J1130" t="s">
        <v>375</v>
      </c>
      <c r="K1130">
        <v>767312</v>
      </c>
      <c r="L1130" t="s">
        <v>138</v>
      </c>
      <c r="M1130" t="s">
        <v>107</v>
      </c>
      <c r="N1130" t="s">
        <v>94</v>
      </c>
      <c r="O1130" s="1">
        <v>45982</v>
      </c>
      <c r="P1130" s="1">
        <v>45999</v>
      </c>
      <c r="Q1130" s="1">
        <v>46012</v>
      </c>
      <c r="R1130" s="2">
        <v>-39.96</v>
      </c>
      <c r="S1130">
        <v>1</v>
      </c>
      <c r="T1130" t="s">
        <v>58</v>
      </c>
      <c r="U1130" t="s">
        <v>105</v>
      </c>
      <c r="V1130" s="4">
        <v>0.9</v>
      </c>
      <c r="W1130" s="2">
        <v>0</v>
      </c>
      <c r="X1130">
        <v>-1</v>
      </c>
      <c r="Y1130" t="s">
        <v>83</v>
      </c>
      <c r="Z1130" t="s">
        <v>61</v>
      </c>
      <c r="AA1130">
        <v>0</v>
      </c>
      <c r="AB1130" s="2">
        <v>0</v>
      </c>
      <c r="AC1130" s="2">
        <v>0</v>
      </c>
      <c r="AD1130" s="4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-35.96</v>
      </c>
      <c r="AN1130" s="2">
        <v>-35.96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45999</v>
      </c>
      <c r="B1131" t="s">
        <v>48</v>
      </c>
      <c r="C1131">
        <v>649163</v>
      </c>
      <c r="D1131">
        <v>2030842331</v>
      </c>
      <c r="E1131" t="s">
        <v>686</v>
      </c>
      <c r="F1131" t="s">
        <v>687</v>
      </c>
      <c r="G1131" t="s">
        <v>51</v>
      </c>
      <c r="H1131" t="s">
        <v>125</v>
      </c>
      <c r="I1131" t="s">
        <v>469</v>
      </c>
      <c r="J1131" t="s">
        <v>470</v>
      </c>
      <c r="K1131">
        <v>650218</v>
      </c>
      <c r="L1131" t="s">
        <v>88</v>
      </c>
      <c r="M1131" t="s">
        <v>89</v>
      </c>
      <c r="N1131" t="s">
        <v>57</v>
      </c>
      <c r="O1131" s="1">
        <v>45904</v>
      </c>
      <c r="Q1131" s="1">
        <v>46026</v>
      </c>
      <c r="R1131" s="2">
        <v>224.48</v>
      </c>
      <c r="S1131">
        <v>1</v>
      </c>
      <c r="T1131" t="s">
        <v>58</v>
      </c>
      <c r="U1131" t="s">
        <v>59</v>
      </c>
      <c r="V1131" s="4">
        <v>0.28999999999999998</v>
      </c>
      <c r="W1131" s="2">
        <v>0</v>
      </c>
      <c r="X1131">
        <v>0</v>
      </c>
      <c r="Y1131" t="s">
        <v>83</v>
      </c>
      <c r="Z1131" t="s">
        <v>61</v>
      </c>
      <c r="AA1131">
        <v>0</v>
      </c>
      <c r="AB1131" s="2">
        <v>0</v>
      </c>
      <c r="AC1131" s="2">
        <v>0</v>
      </c>
      <c r="AD1131" s="4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65.099999999999994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45999</v>
      </c>
      <c r="B1132" t="s">
        <v>48</v>
      </c>
      <c r="C1132">
        <v>649163</v>
      </c>
      <c r="D1132">
        <v>2030905164</v>
      </c>
      <c r="E1132" t="s">
        <v>951</v>
      </c>
      <c r="F1132" t="s">
        <v>952</v>
      </c>
      <c r="G1132" t="s">
        <v>51</v>
      </c>
      <c r="H1132" t="s">
        <v>97</v>
      </c>
      <c r="I1132" t="s">
        <v>469</v>
      </c>
      <c r="J1132" t="s">
        <v>470</v>
      </c>
      <c r="K1132">
        <v>753748</v>
      </c>
      <c r="L1132" t="s">
        <v>396</v>
      </c>
      <c r="M1132" t="s">
        <v>397</v>
      </c>
      <c r="N1132" t="s">
        <v>57</v>
      </c>
      <c r="O1132" s="1">
        <v>45906</v>
      </c>
      <c r="Q1132" s="1">
        <v>46028</v>
      </c>
      <c r="R1132" s="2">
        <v>256.08999999999997</v>
      </c>
      <c r="S1132">
        <v>1</v>
      </c>
      <c r="T1132" t="s">
        <v>58</v>
      </c>
      <c r="U1132" t="s">
        <v>59</v>
      </c>
      <c r="V1132" s="4">
        <v>0.28999999999999998</v>
      </c>
      <c r="W1132" s="2">
        <v>0</v>
      </c>
      <c r="X1132">
        <v>0</v>
      </c>
      <c r="Y1132" t="s">
        <v>83</v>
      </c>
      <c r="Z1132" t="s">
        <v>61</v>
      </c>
      <c r="AA1132">
        <v>0</v>
      </c>
      <c r="AB1132" s="2">
        <v>0</v>
      </c>
      <c r="AC1132" s="2">
        <v>0</v>
      </c>
      <c r="AD1132" s="4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74.27</v>
      </c>
      <c r="AN1132" s="2">
        <v>74.27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45999</v>
      </c>
      <c r="B1133" t="s">
        <v>48</v>
      </c>
      <c r="C1133">
        <v>649163</v>
      </c>
      <c r="D1133">
        <v>2030917276</v>
      </c>
      <c r="E1133" t="s">
        <v>900</v>
      </c>
      <c r="F1133" t="s">
        <v>901</v>
      </c>
      <c r="G1133" t="s">
        <v>51</v>
      </c>
      <c r="H1133" t="s">
        <v>210</v>
      </c>
      <c r="I1133" t="s">
        <v>469</v>
      </c>
      <c r="J1133" t="s">
        <v>1229</v>
      </c>
      <c r="K1133">
        <v>874230</v>
      </c>
      <c r="L1133" t="s">
        <v>902</v>
      </c>
      <c r="M1133" t="s">
        <v>468</v>
      </c>
      <c r="N1133" t="s">
        <v>57</v>
      </c>
      <c r="O1133" s="1">
        <v>45910</v>
      </c>
      <c r="Q1133" s="1">
        <v>46032</v>
      </c>
      <c r="R1133" s="2">
        <v>247.54</v>
      </c>
      <c r="S1133">
        <v>1</v>
      </c>
      <c r="T1133" t="s">
        <v>58</v>
      </c>
      <c r="U1133" t="s">
        <v>59</v>
      </c>
      <c r="V1133" s="4">
        <v>0.19</v>
      </c>
      <c r="W1133" s="2">
        <v>0</v>
      </c>
      <c r="X1133">
        <v>0</v>
      </c>
      <c r="Y1133" t="s">
        <v>83</v>
      </c>
      <c r="Z1133" t="s">
        <v>61</v>
      </c>
      <c r="AA1133">
        <v>0</v>
      </c>
      <c r="AB1133" s="2">
        <v>0</v>
      </c>
      <c r="AC1133" s="2">
        <v>0</v>
      </c>
      <c r="AD1133" s="4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47.03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45999</v>
      </c>
      <c r="B1134" t="s">
        <v>48</v>
      </c>
      <c r="C1134">
        <v>649163</v>
      </c>
      <c r="D1134">
        <v>2031581263</v>
      </c>
      <c r="E1134" t="s">
        <v>955</v>
      </c>
      <c r="F1134" t="s">
        <v>932</v>
      </c>
      <c r="G1134" t="s">
        <v>51</v>
      </c>
      <c r="H1134" t="s">
        <v>79</v>
      </c>
      <c r="I1134" t="s">
        <v>469</v>
      </c>
      <c r="J1134" t="s">
        <v>470</v>
      </c>
      <c r="K1134">
        <v>897073</v>
      </c>
      <c r="L1134" t="s">
        <v>956</v>
      </c>
      <c r="M1134" t="s">
        <v>957</v>
      </c>
      <c r="N1134" t="s">
        <v>57</v>
      </c>
      <c r="O1134" s="1">
        <v>45942</v>
      </c>
      <c r="Q1134" s="1">
        <v>46034</v>
      </c>
      <c r="R1134" s="2">
        <v>285.18</v>
      </c>
      <c r="S1134">
        <v>1</v>
      </c>
      <c r="T1134" t="s">
        <v>58</v>
      </c>
      <c r="U1134" t="s">
        <v>312</v>
      </c>
      <c r="V1134" s="4">
        <v>0.28999999999999998</v>
      </c>
      <c r="W1134" s="2">
        <v>0</v>
      </c>
      <c r="X1134">
        <v>0</v>
      </c>
      <c r="Y1134" t="s">
        <v>83</v>
      </c>
      <c r="Z1134" t="s">
        <v>61</v>
      </c>
      <c r="AA1134">
        <v>0</v>
      </c>
      <c r="AB1134" s="2">
        <v>0</v>
      </c>
      <c r="AC1134" s="2">
        <v>0</v>
      </c>
      <c r="AD1134" s="4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82.7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45999</v>
      </c>
      <c r="B1135" t="s">
        <v>48</v>
      </c>
      <c r="C1135">
        <v>649163</v>
      </c>
      <c r="D1135">
        <v>2031581264</v>
      </c>
      <c r="E1135" t="s">
        <v>955</v>
      </c>
      <c r="F1135" t="s">
        <v>932</v>
      </c>
      <c r="G1135" t="s">
        <v>51</v>
      </c>
      <c r="H1135" t="s">
        <v>79</v>
      </c>
      <c r="I1135" t="s">
        <v>469</v>
      </c>
      <c r="J1135" t="s">
        <v>476</v>
      </c>
      <c r="K1135">
        <v>897073</v>
      </c>
      <c r="L1135" t="s">
        <v>956</v>
      </c>
      <c r="M1135" t="s">
        <v>957</v>
      </c>
      <c r="N1135" t="s">
        <v>57</v>
      </c>
      <c r="O1135" s="1">
        <v>45942</v>
      </c>
      <c r="Q1135" s="1">
        <v>46034</v>
      </c>
      <c r="R1135" s="2">
        <v>9.9499999999999993</v>
      </c>
      <c r="S1135">
        <v>1</v>
      </c>
      <c r="T1135" t="s">
        <v>58</v>
      </c>
      <c r="U1135" t="s">
        <v>312</v>
      </c>
      <c r="V1135" s="4">
        <v>0.28999999999999998</v>
      </c>
      <c r="W1135" s="2">
        <v>0</v>
      </c>
      <c r="X1135">
        <v>0</v>
      </c>
      <c r="Y1135" t="s">
        <v>83</v>
      </c>
      <c r="Z1135" t="s">
        <v>61</v>
      </c>
      <c r="AA1135">
        <v>0</v>
      </c>
      <c r="AB1135" s="2">
        <v>0</v>
      </c>
      <c r="AC1135" s="2">
        <v>0</v>
      </c>
      <c r="AD1135" s="4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2.89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45999</v>
      </c>
      <c r="B1136" t="s">
        <v>48</v>
      </c>
      <c r="C1136">
        <v>649163</v>
      </c>
      <c r="D1136">
        <v>2016468518</v>
      </c>
      <c r="E1136" t="s">
        <v>1230</v>
      </c>
      <c r="F1136" t="s">
        <v>1231</v>
      </c>
      <c r="G1136" t="s">
        <v>51</v>
      </c>
      <c r="H1136" t="s">
        <v>52</v>
      </c>
      <c r="I1136" t="s">
        <v>169</v>
      </c>
      <c r="J1136" t="s">
        <v>170</v>
      </c>
      <c r="K1136">
        <v>649164</v>
      </c>
      <c r="L1136" t="s">
        <v>64</v>
      </c>
      <c r="M1136" t="s">
        <v>65</v>
      </c>
      <c r="N1136" t="s">
        <v>57</v>
      </c>
      <c r="O1136" s="1">
        <v>44866</v>
      </c>
      <c r="Q1136" s="1">
        <v>46023</v>
      </c>
      <c r="R1136" s="2">
        <v>61.19</v>
      </c>
      <c r="S1136">
        <v>1</v>
      </c>
      <c r="T1136" t="s">
        <v>58</v>
      </c>
      <c r="U1136" t="s">
        <v>59</v>
      </c>
      <c r="V1136" s="3">
        <v>5.2499999999999998E-2</v>
      </c>
      <c r="W1136" s="2">
        <v>0</v>
      </c>
      <c r="X1136">
        <v>0</v>
      </c>
      <c r="Y1136" t="s">
        <v>60</v>
      </c>
      <c r="Z1136" t="s">
        <v>61</v>
      </c>
      <c r="AA1136">
        <v>0</v>
      </c>
      <c r="AB1136" s="2">
        <v>0</v>
      </c>
      <c r="AC1136" s="2">
        <v>0</v>
      </c>
      <c r="AD1136" s="4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3.21</v>
      </c>
      <c r="AN1136" s="2">
        <v>3.21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45999</v>
      </c>
      <c r="B1137" t="s">
        <v>48</v>
      </c>
      <c r="C1137">
        <v>649163</v>
      </c>
      <c r="D1137">
        <v>2016627945</v>
      </c>
      <c r="E1137" t="s">
        <v>1232</v>
      </c>
      <c r="F1137" t="s">
        <v>635</v>
      </c>
      <c r="G1137" t="s">
        <v>51</v>
      </c>
      <c r="H1137" t="s">
        <v>52</v>
      </c>
      <c r="I1137" t="s">
        <v>169</v>
      </c>
      <c r="J1137" t="s">
        <v>170</v>
      </c>
      <c r="K1137">
        <v>649164</v>
      </c>
      <c r="L1137" t="s">
        <v>64</v>
      </c>
      <c r="M1137" t="s">
        <v>65</v>
      </c>
      <c r="N1137" t="s">
        <v>57</v>
      </c>
      <c r="O1137" s="1">
        <v>44927</v>
      </c>
      <c r="Q1137" s="1">
        <v>46023</v>
      </c>
      <c r="R1137" s="2">
        <v>55.54</v>
      </c>
      <c r="S1137">
        <v>1</v>
      </c>
      <c r="T1137" t="s">
        <v>58</v>
      </c>
      <c r="U1137" t="s">
        <v>59</v>
      </c>
      <c r="V1137" s="3">
        <v>5.2499999999999998E-2</v>
      </c>
      <c r="W1137" s="2">
        <v>0</v>
      </c>
      <c r="X1137">
        <v>0</v>
      </c>
      <c r="Y1137" t="s">
        <v>60</v>
      </c>
      <c r="Z1137" t="s">
        <v>61</v>
      </c>
      <c r="AA1137">
        <v>0</v>
      </c>
      <c r="AB1137" s="2">
        <v>0</v>
      </c>
      <c r="AC1137" s="2">
        <v>0</v>
      </c>
      <c r="AD1137" s="4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2.92</v>
      </c>
      <c r="AN1137" s="2">
        <v>2.92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45999</v>
      </c>
      <c r="B1138" t="s">
        <v>48</v>
      </c>
      <c r="C1138">
        <v>649163</v>
      </c>
      <c r="D1138">
        <v>2016794185</v>
      </c>
      <c r="E1138" t="s">
        <v>1031</v>
      </c>
      <c r="F1138" t="s">
        <v>1032</v>
      </c>
      <c r="G1138" t="s">
        <v>51</v>
      </c>
      <c r="H1138" t="s">
        <v>210</v>
      </c>
      <c r="I1138" t="s">
        <v>169</v>
      </c>
      <c r="J1138" t="s">
        <v>170</v>
      </c>
      <c r="K1138">
        <v>649793</v>
      </c>
      <c r="L1138" t="s">
        <v>81</v>
      </c>
      <c r="M1138" t="s">
        <v>128</v>
      </c>
      <c r="N1138" t="s">
        <v>57</v>
      </c>
      <c r="O1138" s="1">
        <v>44927</v>
      </c>
      <c r="Q1138" s="1">
        <v>46023</v>
      </c>
      <c r="R1138" s="2">
        <v>57.2</v>
      </c>
      <c r="S1138">
        <v>1</v>
      </c>
      <c r="T1138" t="s">
        <v>58</v>
      </c>
      <c r="U1138" t="s">
        <v>59</v>
      </c>
      <c r="V1138" s="3">
        <v>5.2499999999999998E-2</v>
      </c>
      <c r="W1138" s="2">
        <v>0</v>
      </c>
      <c r="X1138">
        <v>0</v>
      </c>
      <c r="Y1138" t="s">
        <v>60</v>
      </c>
      <c r="Z1138" t="s">
        <v>61</v>
      </c>
      <c r="AA1138">
        <v>0</v>
      </c>
      <c r="AB1138" s="2">
        <v>0</v>
      </c>
      <c r="AC1138" s="2">
        <v>0</v>
      </c>
      <c r="AD1138" s="4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3</v>
      </c>
      <c r="AN1138" s="2">
        <v>3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45999</v>
      </c>
      <c r="B1139" t="s">
        <v>48</v>
      </c>
      <c r="C1139">
        <v>649163</v>
      </c>
      <c r="D1139">
        <v>2017029017</v>
      </c>
      <c r="E1139" t="s">
        <v>1233</v>
      </c>
      <c r="F1139" t="s">
        <v>1234</v>
      </c>
      <c r="G1139" t="s">
        <v>51</v>
      </c>
      <c r="H1139" t="s">
        <v>52</v>
      </c>
      <c r="I1139" t="s">
        <v>169</v>
      </c>
      <c r="J1139" t="s">
        <v>170</v>
      </c>
      <c r="K1139">
        <v>649164</v>
      </c>
      <c r="L1139" t="s">
        <v>64</v>
      </c>
      <c r="M1139" t="s">
        <v>65</v>
      </c>
      <c r="N1139" t="s">
        <v>57</v>
      </c>
      <c r="O1139" s="1">
        <v>44927</v>
      </c>
      <c r="Q1139" s="1">
        <v>46023</v>
      </c>
      <c r="R1139" s="2">
        <v>38.22</v>
      </c>
      <c r="S1139">
        <v>1</v>
      </c>
      <c r="T1139" t="s">
        <v>58</v>
      </c>
      <c r="U1139" t="s">
        <v>59</v>
      </c>
      <c r="V1139" s="3">
        <v>5.2499999999999998E-2</v>
      </c>
      <c r="W1139" s="2">
        <v>0</v>
      </c>
      <c r="X1139">
        <v>0</v>
      </c>
      <c r="Y1139" t="s">
        <v>60</v>
      </c>
      <c r="Z1139" t="s">
        <v>61</v>
      </c>
      <c r="AA1139">
        <v>0</v>
      </c>
      <c r="AB1139" s="2">
        <v>0</v>
      </c>
      <c r="AC1139" s="2">
        <v>0</v>
      </c>
      <c r="AD1139" s="4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2.0099999999999998</v>
      </c>
      <c r="AN1139" s="2">
        <v>2.0099999999999998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45999</v>
      </c>
      <c r="B1140" t="s">
        <v>48</v>
      </c>
      <c r="C1140">
        <v>649163</v>
      </c>
      <c r="D1140">
        <v>2017064782</v>
      </c>
      <c r="E1140" t="s">
        <v>1235</v>
      </c>
      <c r="F1140" t="s">
        <v>1236</v>
      </c>
      <c r="G1140" t="s">
        <v>51</v>
      </c>
      <c r="H1140" t="s">
        <v>52</v>
      </c>
      <c r="I1140" t="s">
        <v>169</v>
      </c>
      <c r="J1140" t="s">
        <v>170</v>
      </c>
      <c r="K1140">
        <v>649164</v>
      </c>
      <c r="L1140" t="s">
        <v>64</v>
      </c>
      <c r="M1140" t="s">
        <v>65</v>
      </c>
      <c r="N1140" t="s">
        <v>57</v>
      </c>
      <c r="O1140" s="1">
        <v>44927</v>
      </c>
      <c r="Q1140" s="1">
        <v>46023</v>
      </c>
      <c r="R1140" s="2">
        <v>117.8</v>
      </c>
      <c r="S1140">
        <v>1</v>
      </c>
      <c r="T1140" t="s">
        <v>58</v>
      </c>
      <c r="U1140" t="s">
        <v>59</v>
      </c>
      <c r="V1140" s="3">
        <v>5.2499999999999998E-2</v>
      </c>
      <c r="W1140" s="2">
        <v>0</v>
      </c>
      <c r="X1140">
        <v>0</v>
      </c>
      <c r="Y1140" t="s">
        <v>60</v>
      </c>
      <c r="Z1140" t="s">
        <v>61</v>
      </c>
      <c r="AA1140">
        <v>0</v>
      </c>
      <c r="AB1140" s="2">
        <v>0</v>
      </c>
      <c r="AC1140" s="2">
        <v>0</v>
      </c>
      <c r="AD1140" s="4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6.18</v>
      </c>
      <c r="AN1140" s="2">
        <v>6.18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45999</v>
      </c>
      <c r="B1141" t="s">
        <v>48</v>
      </c>
      <c r="C1141">
        <v>649163</v>
      </c>
      <c r="D1141">
        <v>2017242798</v>
      </c>
      <c r="E1141" t="s">
        <v>720</v>
      </c>
      <c r="F1141" t="s">
        <v>721</v>
      </c>
      <c r="G1141" t="s">
        <v>51</v>
      </c>
      <c r="H1141" t="s">
        <v>125</v>
      </c>
      <c r="I1141" t="s">
        <v>169</v>
      </c>
      <c r="J1141" t="s">
        <v>170</v>
      </c>
      <c r="K1141">
        <v>652037</v>
      </c>
      <c r="L1141" t="s">
        <v>235</v>
      </c>
      <c r="M1141" t="s">
        <v>438</v>
      </c>
      <c r="N1141" t="s">
        <v>57</v>
      </c>
      <c r="O1141" s="1">
        <v>44930</v>
      </c>
      <c r="Q1141" s="1">
        <v>46026</v>
      </c>
      <c r="R1141" s="2">
        <v>57.84</v>
      </c>
      <c r="S1141">
        <v>1</v>
      </c>
      <c r="T1141" t="s">
        <v>58</v>
      </c>
      <c r="U1141" t="s">
        <v>59</v>
      </c>
      <c r="V1141" s="3">
        <v>5.2499999999999998E-2</v>
      </c>
      <c r="W1141" s="2">
        <v>0</v>
      </c>
      <c r="X1141">
        <v>0</v>
      </c>
      <c r="Y1141" t="s">
        <v>60</v>
      </c>
      <c r="Z1141" t="s">
        <v>61</v>
      </c>
      <c r="AA1141">
        <v>0</v>
      </c>
      <c r="AB1141" s="2">
        <v>0</v>
      </c>
      <c r="AC1141" s="2">
        <v>0</v>
      </c>
      <c r="AD1141" s="4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3.04</v>
      </c>
      <c r="AN1141" s="2">
        <v>3.04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45999</v>
      </c>
      <c r="B1142" t="s">
        <v>48</v>
      </c>
      <c r="C1142">
        <v>649163</v>
      </c>
      <c r="D1142">
        <v>2017278501</v>
      </c>
      <c r="E1142" t="s">
        <v>661</v>
      </c>
      <c r="F1142" t="s">
        <v>411</v>
      </c>
      <c r="G1142" t="s">
        <v>51</v>
      </c>
      <c r="H1142" t="s">
        <v>52</v>
      </c>
      <c r="I1142" t="s">
        <v>169</v>
      </c>
      <c r="J1142" t="s">
        <v>170</v>
      </c>
      <c r="K1142">
        <v>649164</v>
      </c>
      <c r="L1142" t="s">
        <v>64</v>
      </c>
      <c r="M1142" t="s">
        <v>65</v>
      </c>
      <c r="N1142" t="s">
        <v>57</v>
      </c>
      <c r="O1142" s="1">
        <v>44932</v>
      </c>
      <c r="Q1142" s="1">
        <v>46028</v>
      </c>
      <c r="R1142" s="2">
        <v>48.22</v>
      </c>
      <c r="S1142">
        <v>1</v>
      </c>
      <c r="T1142" t="s">
        <v>58</v>
      </c>
      <c r="U1142" t="s">
        <v>59</v>
      </c>
      <c r="V1142" s="3">
        <v>5.2499999999999998E-2</v>
      </c>
      <c r="W1142" s="2">
        <v>0</v>
      </c>
      <c r="X1142">
        <v>0</v>
      </c>
      <c r="Y1142" t="s">
        <v>60</v>
      </c>
      <c r="Z1142" t="s">
        <v>61</v>
      </c>
      <c r="AA1142">
        <v>0</v>
      </c>
      <c r="AB1142" s="2">
        <v>0</v>
      </c>
      <c r="AC1142" s="2">
        <v>0</v>
      </c>
      <c r="AD1142" s="4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2.5299999999999998</v>
      </c>
      <c r="AN1142" s="2">
        <v>2.5299999999999998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45999</v>
      </c>
      <c r="B1143" t="s">
        <v>48</v>
      </c>
      <c r="C1143">
        <v>649163</v>
      </c>
      <c r="D1143">
        <v>2017514550</v>
      </c>
      <c r="E1143" t="s">
        <v>1237</v>
      </c>
      <c r="F1143" t="s">
        <v>147</v>
      </c>
      <c r="G1143" t="s">
        <v>51</v>
      </c>
      <c r="H1143" t="s">
        <v>220</v>
      </c>
      <c r="I1143" t="s">
        <v>169</v>
      </c>
      <c r="J1143" t="s">
        <v>170</v>
      </c>
      <c r="K1143">
        <v>649793</v>
      </c>
      <c r="L1143" t="s">
        <v>81</v>
      </c>
      <c r="M1143" t="s">
        <v>128</v>
      </c>
      <c r="N1143" t="s">
        <v>57</v>
      </c>
      <c r="O1143" s="1">
        <v>44958</v>
      </c>
      <c r="Q1143" s="1">
        <v>46023</v>
      </c>
      <c r="R1143" s="2">
        <v>77.39</v>
      </c>
      <c r="S1143">
        <v>1</v>
      </c>
      <c r="T1143" t="s">
        <v>58</v>
      </c>
      <c r="U1143" t="s">
        <v>59</v>
      </c>
      <c r="V1143" s="3">
        <v>5.2499999999999998E-2</v>
      </c>
      <c r="W1143" s="2">
        <v>0</v>
      </c>
      <c r="X1143">
        <v>0</v>
      </c>
      <c r="Y1143" t="s">
        <v>60</v>
      </c>
      <c r="Z1143" t="s">
        <v>61</v>
      </c>
      <c r="AA1143">
        <v>0</v>
      </c>
      <c r="AB1143" s="2">
        <v>0</v>
      </c>
      <c r="AC1143" s="2">
        <v>0</v>
      </c>
      <c r="AD1143" s="4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4.0599999999999996</v>
      </c>
      <c r="AN1143" s="2">
        <v>4.0599999999999996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45999</v>
      </c>
      <c r="B1144" t="s">
        <v>48</v>
      </c>
      <c r="C1144">
        <v>649163</v>
      </c>
      <c r="D1144">
        <v>2017539416</v>
      </c>
      <c r="E1144" t="s">
        <v>724</v>
      </c>
      <c r="F1144" t="s">
        <v>204</v>
      </c>
      <c r="G1144" t="s">
        <v>51</v>
      </c>
      <c r="H1144" t="s">
        <v>176</v>
      </c>
      <c r="I1144" t="s">
        <v>169</v>
      </c>
      <c r="J1144" t="s">
        <v>170</v>
      </c>
      <c r="K1144">
        <v>649793</v>
      </c>
      <c r="L1144" t="s">
        <v>81</v>
      </c>
      <c r="M1144" t="s">
        <v>128</v>
      </c>
      <c r="N1144" t="s">
        <v>57</v>
      </c>
      <c r="O1144" s="1">
        <v>44986</v>
      </c>
      <c r="Q1144" s="1">
        <v>46023</v>
      </c>
      <c r="R1144" s="2">
        <v>41.11</v>
      </c>
      <c r="S1144">
        <v>1</v>
      </c>
      <c r="T1144" t="s">
        <v>58</v>
      </c>
      <c r="U1144" t="s">
        <v>59</v>
      </c>
      <c r="V1144" s="3">
        <v>5.2499999999999998E-2</v>
      </c>
      <c r="W1144" s="2">
        <v>0</v>
      </c>
      <c r="X1144">
        <v>0</v>
      </c>
      <c r="Y1144" t="s">
        <v>60</v>
      </c>
      <c r="Z1144" t="s">
        <v>61</v>
      </c>
      <c r="AA1144">
        <v>0</v>
      </c>
      <c r="AB1144" s="2">
        <v>0</v>
      </c>
      <c r="AC1144" s="2">
        <v>0</v>
      </c>
      <c r="AD1144" s="4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2.16</v>
      </c>
      <c r="AN1144" s="2">
        <v>2.16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45999</v>
      </c>
      <c r="B1145" t="s">
        <v>48</v>
      </c>
      <c r="C1145">
        <v>649163</v>
      </c>
      <c r="D1145">
        <v>2017585587</v>
      </c>
      <c r="E1145" t="s">
        <v>1034</v>
      </c>
      <c r="F1145" t="s">
        <v>1035</v>
      </c>
      <c r="G1145" t="s">
        <v>51</v>
      </c>
      <c r="H1145" t="s">
        <v>220</v>
      </c>
      <c r="I1145" t="s">
        <v>169</v>
      </c>
      <c r="J1145" t="s">
        <v>170</v>
      </c>
      <c r="K1145">
        <v>649793</v>
      </c>
      <c r="L1145" t="s">
        <v>81</v>
      </c>
      <c r="M1145" t="s">
        <v>128</v>
      </c>
      <c r="N1145" t="s">
        <v>57</v>
      </c>
      <c r="O1145" s="1">
        <v>44986</v>
      </c>
      <c r="Q1145" s="1">
        <v>46023</v>
      </c>
      <c r="R1145" s="2">
        <v>48.61</v>
      </c>
      <c r="S1145">
        <v>1</v>
      </c>
      <c r="T1145" t="s">
        <v>58</v>
      </c>
      <c r="U1145" t="s">
        <v>59</v>
      </c>
      <c r="V1145" s="3">
        <v>5.2499999999999998E-2</v>
      </c>
      <c r="W1145" s="2">
        <v>0</v>
      </c>
      <c r="X1145">
        <v>0</v>
      </c>
      <c r="Y1145" t="s">
        <v>60</v>
      </c>
      <c r="Z1145" t="s">
        <v>61</v>
      </c>
      <c r="AA1145">
        <v>0</v>
      </c>
      <c r="AB1145" s="2">
        <v>0</v>
      </c>
      <c r="AC1145" s="2">
        <v>0</v>
      </c>
      <c r="AD1145" s="4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2.5499999999999998</v>
      </c>
      <c r="AN1145" s="2">
        <v>2.5499999999999998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45999</v>
      </c>
      <c r="B1146" t="s">
        <v>48</v>
      </c>
      <c r="C1146">
        <v>649163</v>
      </c>
      <c r="D1146">
        <v>2018276908</v>
      </c>
      <c r="E1146" t="s">
        <v>893</v>
      </c>
      <c r="F1146" t="s">
        <v>283</v>
      </c>
      <c r="G1146" t="s">
        <v>51</v>
      </c>
      <c r="H1146" t="s">
        <v>79</v>
      </c>
      <c r="I1146" t="s">
        <v>169</v>
      </c>
      <c r="J1146" t="s">
        <v>170</v>
      </c>
      <c r="K1146">
        <v>673059</v>
      </c>
      <c r="L1146" t="s">
        <v>81</v>
      </c>
      <c r="M1146" t="s">
        <v>82</v>
      </c>
      <c r="N1146" t="s">
        <v>57</v>
      </c>
      <c r="O1146" s="1">
        <v>45047</v>
      </c>
      <c r="Q1146" s="1">
        <v>46023</v>
      </c>
      <c r="R1146" s="2">
        <v>101.73</v>
      </c>
      <c r="S1146">
        <v>1</v>
      </c>
      <c r="T1146" t="s">
        <v>58</v>
      </c>
      <c r="U1146" t="s">
        <v>59</v>
      </c>
      <c r="V1146" s="3">
        <v>5.2499999999999998E-2</v>
      </c>
      <c r="W1146" s="2">
        <v>0</v>
      </c>
      <c r="X1146">
        <v>0</v>
      </c>
      <c r="Y1146" t="s">
        <v>60</v>
      </c>
      <c r="Z1146" t="s">
        <v>61</v>
      </c>
      <c r="AA1146">
        <v>0</v>
      </c>
      <c r="AB1146" s="2">
        <v>0</v>
      </c>
      <c r="AC1146" s="2">
        <v>0</v>
      </c>
      <c r="AD1146" s="4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5.34</v>
      </c>
      <c r="AN1146" s="2">
        <v>5.34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45999</v>
      </c>
      <c r="B1147" t="s">
        <v>48</v>
      </c>
      <c r="C1147">
        <v>649163</v>
      </c>
      <c r="D1147">
        <v>2018439351</v>
      </c>
      <c r="E1147" t="s">
        <v>49</v>
      </c>
      <c r="F1147" t="s">
        <v>50</v>
      </c>
      <c r="G1147" t="s">
        <v>51</v>
      </c>
      <c r="H1147" t="s">
        <v>52</v>
      </c>
      <c r="I1147" t="s">
        <v>169</v>
      </c>
      <c r="J1147" t="s">
        <v>170</v>
      </c>
      <c r="K1147">
        <v>678320</v>
      </c>
      <c r="L1147" t="s">
        <v>55</v>
      </c>
      <c r="M1147" t="s">
        <v>56</v>
      </c>
      <c r="N1147" t="s">
        <v>57</v>
      </c>
      <c r="O1147" s="1">
        <v>45047</v>
      </c>
      <c r="Q1147" s="1">
        <v>46023</v>
      </c>
      <c r="R1147" s="2">
        <v>92.61</v>
      </c>
      <c r="S1147">
        <v>1</v>
      </c>
      <c r="T1147" t="s">
        <v>58</v>
      </c>
      <c r="U1147" t="s">
        <v>59</v>
      </c>
      <c r="V1147" s="3">
        <v>5.2499999999999998E-2</v>
      </c>
      <c r="W1147" s="2">
        <v>0</v>
      </c>
      <c r="X1147">
        <v>0</v>
      </c>
      <c r="Y1147" t="s">
        <v>60</v>
      </c>
      <c r="Z1147" t="s">
        <v>61</v>
      </c>
      <c r="AA1147">
        <v>0</v>
      </c>
      <c r="AB1147" s="2">
        <v>0</v>
      </c>
      <c r="AC1147" s="2">
        <v>0</v>
      </c>
      <c r="AD1147" s="4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4.8600000000000003</v>
      </c>
      <c r="AN1147" s="2">
        <v>4.8600000000000003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45999</v>
      </c>
      <c r="B1148" t="s">
        <v>48</v>
      </c>
      <c r="C1148">
        <v>649163</v>
      </c>
      <c r="D1148">
        <v>2018472291</v>
      </c>
      <c r="E1148" t="s">
        <v>727</v>
      </c>
      <c r="F1148" t="s">
        <v>393</v>
      </c>
      <c r="G1148" t="s">
        <v>51</v>
      </c>
      <c r="H1148" t="s">
        <v>52</v>
      </c>
      <c r="I1148" t="s">
        <v>169</v>
      </c>
      <c r="J1148" t="s">
        <v>170</v>
      </c>
      <c r="K1148">
        <v>678320</v>
      </c>
      <c r="L1148" t="s">
        <v>55</v>
      </c>
      <c r="M1148" t="s">
        <v>56</v>
      </c>
      <c r="N1148" t="s">
        <v>57</v>
      </c>
      <c r="O1148" s="1">
        <v>45047</v>
      </c>
      <c r="Q1148" s="1">
        <v>46023</v>
      </c>
      <c r="R1148" s="2">
        <v>87.31</v>
      </c>
      <c r="S1148">
        <v>1</v>
      </c>
      <c r="T1148" t="s">
        <v>58</v>
      </c>
      <c r="U1148" t="s">
        <v>59</v>
      </c>
      <c r="V1148" s="3">
        <v>5.2499999999999998E-2</v>
      </c>
      <c r="W1148" s="2">
        <v>0</v>
      </c>
      <c r="X1148">
        <v>0</v>
      </c>
      <c r="Y1148" t="s">
        <v>60</v>
      </c>
      <c r="Z1148" t="s">
        <v>61</v>
      </c>
      <c r="AA1148">
        <v>0</v>
      </c>
      <c r="AB1148" s="2">
        <v>0</v>
      </c>
      <c r="AC1148" s="2">
        <v>0</v>
      </c>
      <c r="AD1148" s="4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4.58</v>
      </c>
      <c r="AN1148" s="2">
        <v>4.58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45999</v>
      </c>
      <c r="B1149" t="s">
        <v>48</v>
      </c>
      <c r="C1149">
        <v>649163</v>
      </c>
      <c r="D1149">
        <v>2018522516</v>
      </c>
      <c r="E1149" t="s">
        <v>1094</v>
      </c>
      <c r="F1149" t="s">
        <v>1238</v>
      </c>
      <c r="G1149" t="s">
        <v>51</v>
      </c>
      <c r="H1149" t="s">
        <v>52</v>
      </c>
      <c r="I1149" t="s">
        <v>169</v>
      </c>
      <c r="J1149" t="s">
        <v>170</v>
      </c>
      <c r="K1149">
        <v>678320</v>
      </c>
      <c r="L1149" t="s">
        <v>55</v>
      </c>
      <c r="M1149" t="s">
        <v>56</v>
      </c>
      <c r="N1149" t="s">
        <v>57</v>
      </c>
      <c r="O1149" s="1">
        <v>45048</v>
      </c>
      <c r="Q1149" s="1">
        <v>46024</v>
      </c>
      <c r="R1149" s="2">
        <v>50.6</v>
      </c>
      <c r="S1149">
        <v>1</v>
      </c>
      <c r="T1149" t="s">
        <v>58</v>
      </c>
      <c r="U1149" t="s">
        <v>59</v>
      </c>
      <c r="V1149" s="3">
        <v>5.2499999999999998E-2</v>
      </c>
      <c r="W1149" s="2">
        <v>0</v>
      </c>
      <c r="X1149">
        <v>0</v>
      </c>
      <c r="Y1149" t="s">
        <v>60</v>
      </c>
      <c r="Z1149" t="s">
        <v>61</v>
      </c>
      <c r="AA1149">
        <v>0</v>
      </c>
      <c r="AB1149" s="2">
        <v>0</v>
      </c>
      <c r="AC1149" s="2">
        <v>0</v>
      </c>
      <c r="AD1149" s="4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2.66</v>
      </c>
      <c r="AN1149" s="2">
        <v>2.66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45999</v>
      </c>
      <c r="B1150" t="s">
        <v>48</v>
      </c>
      <c r="C1150">
        <v>649163</v>
      </c>
      <c r="D1150">
        <v>2018753089</v>
      </c>
      <c r="E1150" t="s">
        <v>1239</v>
      </c>
      <c r="F1150" t="s">
        <v>182</v>
      </c>
      <c r="G1150" t="s">
        <v>51</v>
      </c>
      <c r="H1150" t="s">
        <v>52</v>
      </c>
      <c r="I1150" t="s">
        <v>169</v>
      </c>
      <c r="J1150" t="s">
        <v>170</v>
      </c>
      <c r="K1150">
        <v>649164</v>
      </c>
      <c r="L1150" t="s">
        <v>64</v>
      </c>
      <c r="M1150" t="s">
        <v>65</v>
      </c>
      <c r="N1150" t="s">
        <v>57</v>
      </c>
      <c r="O1150" s="1">
        <v>45078</v>
      </c>
      <c r="Q1150" s="1">
        <v>46023</v>
      </c>
      <c r="R1150" s="2">
        <v>51.19</v>
      </c>
      <c r="S1150">
        <v>1</v>
      </c>
      <c r="T1150" t="s">
        <v>58</v>
      </c>
      <c r="U1150" t="s">
        <v>59</v>
      </c>
      <c r="V1150" s="3">
        <v>5.2499999999999998E-2</v>
      </c>
      <c r="W1150" s="2">
        <v>0</v>
      </c>
      <c r="X1150">
        <v>0</v>
      </c>
      <c r="Y1150" t="s">
        <v>60</v>
      </c>
      <c r="Z1150" t="s">
        <v>61</v>
      </c>
      <c r="AA1150">
        <v>0</v>
      </c>
      <c r="AB1150" s="2">
        <v>0</v>
      </c>
      <c r="AC1150" s="2">
        <v>0</v>
      </c>
      <c r="AD1150" s="4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2.69</v>
      </c>
      <c r="AN1150" s="2">
        <v>2.69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45999</v>
      </c>
      <c r="B1151" t="s">
        <v>48</v>
      </c>
      <c r="C1151">
        <v>649163</v>
      </c>
      <c r="D1151">
        <v>2018775434</v>
      </c>
      <c r="E1151" t="s">
        <v>942</v>
      </c>
      <c r="F1151" t="s">
        <v>827</v>
      </c>
      <c r="G1151" t="s">
        <v>51</v>
      </c>
      <c r="H1151" t="s">
        <v>210</v>
      </c>
      <c r="I1151" t="s">
        <v>169</v>
      </c>
      <c r="J1151" t="s">
        <v>170</v>
      </c>
      <c r="K1151">
        <v>673059</v>
      </c>
      <c r="L1151" t="s">
        <v>81</v>
      </c>
      <c r="M1151" t="s">
        <v>82</v>
      </c>
      <c r="N1151" t="s">
        <v>57</v>
      </c>
      <c r="O1151" s="1">
        <v>45078</v>
      </c>
      <c r="Q1151" s="1">
        <v>46023</v>
      </c>
      <c r="R1151" s="2">
        <v>29.77</v>
      </c>
      <c r="S1151">
        <v>1</v>
      </c>
      <c r="T1151" t="s">
        <v>58</v>
      </c>
      <c r="U1151" t="s">
        <v>59</v>
      </c>
      <c r="V1151" s="3">
        <v>5.2499999999999998E-2</v>
      </c>
      <c r="W1151" s="2">
        <v>0</v>
      </c>
      <c r="X1151">
        <v>0</v>
      </c>
      <c r="Y1151" t="s">
        <v>60</v>
      </c>
      <c r="Z1151" t="s">
        <v>61</v>
      </c>
      <c r="AA1151">
        <v>0</v>
      </c>
      <c r="AB1151" s="2">
        <v>0</v>
      </c>
      <c r="AC1151" s="2">
        <v>0</v>
      </c>
      <c r="AD1151" s="4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1.56</v>
      </c>
      <c r="AN1151" s="2">
        <v>1.56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45999</v>
      </c>
      <c r="B1152" t="s">
        <v>48</v>
      </c>
      <c r="C1152">
        <v>649163</v>
      </c>
      <c r="D1152">
        <v>2018854836</v>
      </c>
      <c r="E1152" t="s">
        <v>748</v>
      </c>
      <c r="F1152" t="s">
        <v>1040</v>
      </c>
      <c r="G1152" t="s">
        <v>51</v>
      </c>
      <c r="H1152" t="s">
        <v>585</v>
      </c>
      <c r="I1152" t="s">
        <v>169</v>
      </c>
      <c r="J1152" t="s">
        <v>170</v>
      </c>
      <c r="K1152">
        <v>673059</v>
      </c>
      <c r="L1152" t="s">
        <v>81</v>
      </c>
      <c r="M1152" t="s">
        <v>82</v>
      </c>
      <c r="N1152" t="s">
        <v>57</v>
      </c>
      <c r="O1152" s="1">
        <v>45078</v>
      </c>
      <c r="Q1152" s="1">
        <v>46023</v>
      </c>
      <c r="R1152" s="2">
        <v>38.909999999999997</v>
      </c>
      <c r="S1152">
        <v>1</v>
      </c>
      <c r="T1152" t="s">
        <v>58</v>
      </c>
      <c r="U1152" t="s">
        <v>59</v>
      </c>
      <c r="V1152" s="3">
        <v>5.2499999999999998E-2</v>
      </c>
      <c r="W1152" s="2">
        <v>0</v>
      </c>
      <c r="X1152">
        <v>0</v>
      </c>
      <c r="Y1152" t="s">
        <v>60</v>
      </c>
      <c r="Z1152" t="s">
        <v>61</v>
      </c>
      <c r="AA1152">
        <v>0</v>
      </c>
      <c r="AB1152" s="2">
        <v>0</v>
      </c>
      <c r="AC1152" s="2">
        <v>0</v>
      </c>
      <c r="AD1152" s="4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2.04</v>
      </c>
      <c r="AN1152" s="2">
        <v>2.04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45999</v>
      </c>
      <c r="B1153" t="s">
        <v>48</v>
      </c>
      <c r="C1153">
        <v>649163</v>
      </c>
      <c r="D1153">
        <v>2018855162</v>
      </c>
      <c r="E1153" t="s">
        <v>748</v>
      </c>
      <c r="F1153" t="s">
        <v>749</v>
      </c>
      <c r="G1153" t="s">
        <v>51</v>
      </c>
      <c r="H1153" t="s">
        <v>585</v>
      </c>
      <c r="I1153" t="s">
        <v>169</v>
      </c>
      <c r="J1153" t="s">
        <v>170</v>
      </c>
      <c r="K1153">
        <v>673059</v>
      </c>
      <c r="L1153" t="s">
        <v>81</v>
      </c>
      <c r="M1153" t="s">
        <v>82</v>
      </c>
      <c r="N1153" t="s">
        <v>57</v>
      </c>
      <c r="O1153" s="1">
        <v>45078</v>
      </c>
      <c r="Q1153" s="1">
        <v>46023</v>
      </c>
      <c r="R1153" s="2">
        <v>38.909999999999997</v>
      </c>
      <c r="S1153">
        <v>1</v>
      </c>
      <c r="T1153" t="s">
        <v>58</v>
      </c>
      <c r="U1153" t="s">
        <v>59</v>
      </c>
      <c r="V1153" s="3">
        <v>5.2499999999999998E-2</v>
      </c>
      <c r="W1153" s="2">
        <v>0</v>
      </c>
      <c r="X1153">
        <v>0</v>
      </c>
      <c r="Y1153" t="s">
        <v>60</v>
      </c>
      <c r="Z1153" t="s">
        <v>61</v>
      </c>
      <c r="AA1153">
        <v>0</v>
      </c>
      <c r="AB1153" s="2">
        <v>0</v>
      </c>
      <c r="AC1153" s="2">
        <v>0</v>
      </c>
      <c r="AD1153" s="4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2.04</v>
      </c>
      <c r="AN1153" s="2">
        <v>2.04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45999</v>
      </c>
      <c r="B1154" t="s">
        <v>48</v>
      </c>
      <c r="C1154">
        <v>649163</v>
      </c>
      <c r="D1154">
        <v>2018908125</v>
      </c>
      <c r="E1154" t="s">
        <v>1240</v>
      </c>
      <c r="F1154" t="s">
        <v>500</v>
      </c>
      <c r="G1154" t="s">
        <v>51</v>
      </c>
      <c r="H1154" t="s">
        <v>52</v>
      </c>
      <c r="I1154" t="s">
        <v>169</v>
      </c>
      <c r="J1154" t="s">
        <v>170</v>
      </c>
      <c r="K1154">
        <v>678320</v>
      </c>
      <c r="L1154" t="s">
        <v>55</v>
      </c>
      <c r="M1154" t="s">
        <v>56</v>
      </c>
      <c r="N1154" t="s">
        <v>57</v>
      </c>
      <c r="O1154" s="1">
        <v>45108</v>
      </c>
      <c r="Q1154" s="1">
        <v>46023</v>
      </c>
      <c r="R1154" s="2">
        <v>48.22</v>
      </c>
      <c r="S1154">
        <v>1</v>
      </c>
      <c r="T1154" t="s">
        <v>58</v>
      </c>
      <c r="U1154" t="s">
        <v>59</v>
      </c>
      <c r="V1154" s="3">
        <v>5.2499999999999998E-2</v>
      </c>
      <c r="W1154" s="2">
        <v>0</v>
      </c>
      <c r="X1154">
        <v>0</v>
      </c>
      <c r="Y1154" t="s">
        <v>60</v>
      </c>
      <c r="Z1154" t="s">
        <v>61</v>
      </c>
      <c r="AA1154">
        <v>0</v>
      </c>
      <c r="AB1154" s="2">
        <v>0</v>
      </c>
      <c r="AC1154" s="2">
        <v>0</v>
      </c>
      <c r="AD1154" s="4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2.5299999999999998</v>
      </c>
      <c r="AN1154" s="2">
        <v>2.5299999999999998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45999</v>
      </c>
      <c r="B1155" t="s">
        <v>48</v>
      </c>
      <c r="C1155">
        <v>649163</v>
      </c>
      <c r="D1155">
        <v>2019101129</v>
      </c>
      <c r="E1155" t="s">
        <v>931</v>
      </c>
      <c r="F1155" t="s">
        <v>137</v>
      </c>
      <c r="G1155" t="s">
        <v>51</v>
      </c>
      <c r="H1155" t="s">
        <v>52</v>
      </c>
      <c r="I1155" t="s">
        <v>169</v>
      </c>
      <c r="J1155" t="s">
        <v>170</v>
      </c>
      <c r="K1155">
        <v>678320</v>
      </c>
      <c r="L1155" t="s">
        <v>55</v>
      </c>
      <c r="M1155" t="s">
        <v>56</v>
      </c>
      <c r="N1155" t="s">
        <v>57</v>
      </c>
      <c r="O1155" s="1">
        <v>45108</v>
      </c>
      <c r="Q1155" s="1">
        <v>46023</v>
      </c>
      <c r="R1155" s="2">
        <v>43.59</v>
      </c>
      <c r="S1155">
        <v>1</v>
      </c>
      <c r="T1155" t="s">
        <v>58</v>
      </c>
      <c r="U1155" t="s">
        <v>59</v>
      </c>
      <c r="V1155" s="3">
        <v>5.2499999999999998E-2</v>
      </c>
      <c r="W1155" s="2">
        <v>0</v>
      </c>
      <c r="X1155">
        <v>0</v>
      </c>
      <c r="Y1155" t="s">
        <v>60</v>
      </c>
      <c r="Z1155" t="s">
        <v>61</v>
      </c>
      <c r="AA1155">
        <v>0</v>
      </c>
      <c r="AB1155" s="2">
        <v>0</v>
      </c>
      <c r="AC1155" s="2">
        <v>0</v>
      </c>
      <c r="AD1155" s="4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2.29</v>
      </c>
      <c r="AN1155" s="2">
        <v>2.29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45999</v>
      </c>
      <c r="B1156" t="s">
        <v>48</v>
      </c>
      <c r="C1156">
        <v>649163</v>
      </c>
      <c r="D1156">
        <v>2019170689</v>
      </c>
      <c r="E1156" t="s">
        <v>1241</v>
      </c>
      <c r="F1156" t="s">
        <v>1185</v>
      </c>
      <c r="G1156" t="s">
        <v>51</v>
      </c>
      <c r="H1156" t="s">
        <v>220</v>
      </c>
      <c r="I1156" t="s">
        <v>169</v>
      </c>
      <c r="J1156" t="s">
        <v>170</v>
      </c>
      <c r="K1156">
        <v>673059</v>
      </c>
      <c r="L1156" t="s">
        <v>81</v>
      </c>
      <c r="M1156" t="s">
        <v>82</v>
      </c>
      <c r="N1156" t="s">
        <v>57</v>
      </c>
      <c r="O1156" s="1">
        <v>45108</v>
      </c>
      <c r="Q1156" s="1">
        <v>46023</v>
      </c>
      <c r="R1156" s="2">
        <v>32.770000000000003</v>
      </c>
      <c r="S1156">
        <v>1</v>
      </c>
      <c r="T1156" t="s">
        <v>58</v>
      </c>
      <c r="U1156" t="s">
        <v>59</v>
      </c>
      <c r="V1156" s="3">
        <v>5.2499999999999998E-2</v>
      </c>
      <c r="W1156" s="2">
        <v>0</v>
      </c>
      <c r="X1156">
        <v>0</v>
      </c>
      <c r="Y1156" t="s">
        <v>60</v>
      </c>
      <c r="Z1156" t="s">
        <v>61</v>
      </c>
      <c r="AA1156">
        <v>0</v>
      </c>
      <c r="AB1156" s="2">
        <v>0</v>
      </c>
      <c r="AC1156" s="2">
        <v>0</v>
      </c>
      <c r="AD1156" s="4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1.72</v>
      </c>
      <c r="AN1156" s="2">
        <v>1.72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45999</v>
      </c>
      <c r="B1157" t="s">
        <v>48</v>
      </c>
      <c r="C1157">
        <v>649163</v>
      </c>
      <c r="D1157">
        <v>2019202915</v>
      </c>
      <c r="E1157" t="s">
        <v>1242</v>
      </c>
      <c r="F1157" t="s">
        <v>89</v>
      </c>
      <c r="G1157" t="s">
        <v>51</v>
      </c>
      <c r="H1157" t="s">
        <v>210</v>
      </c>
      <c r="I1157" t="s">
        <v>169</v>
      </c>
      <c r="J1157" t="s">
        <v>170</v>
      </c>
      <c r="K1157">
        <v>673059</v>
      </c>
      <c r="L1157" t="s">
        <v>81</v>
      </c>
      <c r="M1157" t="s">
        <v>82</v>
      </c>
      <c r="N1157" t="s">
        <v>57</v>
      </c>
      <c r="O1157" s="1">
        <v>45108</v>
      </c>
      <c r="Q1157" s="1">
        <v>46023</v>
      </c>
      <c r="R1157" s="2">
        <v>47.55</v>
      </c>
      <c r="S1157">
        <v>1</v>
      </c>
      <c r="T1157" t="s">
        <v>58</v>
      </c>
      <c r="U1157" t="s">
        <v>59</v>
      </c>
      <c r="V1157" s="3">
        <v>5.2499999999999998E-2</v>
      </c>
      <c r="W1157" s="2">
        <v>0</v>
      </c>
      <c r="X1157">
        <v>0</v>
      </c>
      <c r="Y1157" t="s">
        <v>60</v>
      </c>
      <c r="Z1157" t="s">
        <v>61</v>
      </c>
      <c r="AA1157">
        <v>0</v>
      </c>
      <c r="AB1157" s="2">
        <v>0</v>
      </c>
      <c r="AC1157" s="2">
        <v>0</v>
      </c>
      <c r="AD1157" s="4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2.5</v>
      </c>
      <c r="AN1157" s="2">
        <v>2.5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45999</v>
      </c>
      <c r="B1158" t="s">
        <v>48</v>
      </c>
      <c r="C1158">
        <v>649163</v>
      </c>
      <c r="D1158">
        <v>2019345387</v>
      </c>
      <c r="E1158" t="s">
        <v>1243</v>
      </c>
      <c r="F1158" t="s">
        <v>405</v>
      </c>
      <c r="G1158" t="s">
        <v>51</v>
      </c>
      <c r="H1158" t="s">
        <v>52</v>
      </c>
      <c r="I1158" t="s">
        <v>169</v>
      </c>
      <c r="J1158" t="s">
        <v>170</v>
      </c>
      <c r="K1158">
        <v>649285</v>
      </c>
      <c r="L1158" t="s">
        <v>110</v>
      </c>
      <c r="M1158" t="s">
        <v>111</v>
      </c>
      <c r="N1158" t="s">
        <v>57</v>
      </c>
      <c r="O1158" s="1">
        <v>45139</v>
      </c>
      <c r="Q1158" s="1">
        <v>46023</v>
      </c>
      <c r="R1158" s="2">
        <v>92.61</v>
      </c>
      <c r="S1158">
        <v>1</v>
      </c>
      <c r="T1158" t="s">
        <v>58</v>
      </c>
      <c r="U1158" t="s">
        <v>59</v>
      </c>
      <c r="V1158" s="4">
        <v>0</v>
      </c>
      <c r="W1158" s="2">
        <v>0</v>
      </c>
      <c r="X1158">
        <v>0</v>
      </c>
      <c r="Y1158" t="s">
        <v>60</v>
      </c>
      <c r="Z1158" t="s">
        <v>61</v>
      </c>
      <c r="AA1158">
        <v>0</v>
      </c>
      <c r="AB1158" s="2">
        <v>0</v>
      </c>
      <c r="AC1158" s="2">
        <v>0</v>
      </c>
      <c r="AD1158" s="4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0.69</v>
      </c>
      <c r="AN1158" s="2">
        <v>0.69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45999</v>
      </c>
      <c r="B1159" t="s">
        <v>48</v>
      </c>
      <c r="C1159">
        <v>649163</v>
      </c>
      <c r="D1159">
        <v>2019602458</v>
      </c>
      <c r="E1159" t="s">
        <v>1244</v>
      </c>
      <c r="F1159" t="s">
        <v>1245</v>
      </c>
      <c r="G1159" t="s">
        <v>51</v>
      </c>
      <c r="H1159" t="s">
        <v>52</v>
      </c>
      <c r="I1159" t="s">
        <v>169</v>
      </c>
      <c r="J1159" t="s">
        <v>170</v>
      </c>
      <c r="K1159">
        <v>677095</v>
      </c>
      <c r="L1159" t="s">
        <v>673</v>
      </c>
      <c r="M1159" t="s">
        <v>517</v>
      </c>
      <c r="N1159" t="s">
        <v>57</v>
      </c>
      <c r="O1159" s="1">
        <v>45170</v>
      </c>
      <c r="Q1159" s="1">
        <v>46023</v>
      </c>
      <c r="R1159" s="2">
        <v>51.19</v>
      </c>
      <c r="S1159">
        <v>1</v>
      </c>
      <c r="T1159" t="s">
        <v>58</v>
      </c>
      <c r="U1159" t="s">
        <v>59</v>
      </c>
      <c r="V1159" s="4">
        <v>0</v>
      </c>
      <c r="W1159" s="2">
        <v>0</v>
      </c>
      <c r="X1159">
        <v>0</v>
      </c>
      <c r="Y1159" t="s">
        <v>60</v>
      </c>
      <c r="Z1159" t="s">
        <v>61</v>
      </c>
      <c r="AA1159">
        <v>0</v>
      </c>
      <c r="AB1159" s="2">
        <v>0</v>
      </c>
      <c r="AC1159" s="2">
        <v>0</v>
      </c>
      <c r="AD1159" s="4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0.38</v>
      </c>
      <c r="AN1159" s="2">
        <v>0.38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45999</v>
      </c>
      <c r="B1160" t="s">
        <v>48</v>
      </c>
      <c r="C1160">
        <v>649163</v>
      </c>
      <c r="D1160">
        <v>2019741130</v>
      </c>
      <c r="E1160" t="s">
        <v>1246</v>
      </c>
      <c r="F1160" t="s">
        <v>328</v>
      </c>
      <c r="G1160" t="s">
        <v>51</v>
      </c>
      <c r="H1160" t="s">
        <v>52</v>
      </c>
      <c r="I1160" t="s">
        <v>169</v>
      </c>
      <c r="J1160" t="s">
        <v>170</v>
      </c>
      <c r="K1160">
        <v>649164</v>
      </c>
      <c r="L1160" t="s">
        <v>64</v>
      </c>
      <c r="M1160" t="s">
        <v>65</v>
      </c>
      <c r="N1160" t="s">
        <v>57</v>
      </c>
      <c r="O1160" s="1">
        <v>45170</v>
      </c>
      <c r="Q1160" s="1">
        <v>46023</v>
      </c>
      <c r="R1160" s="2">
        <v>64.540000000000006</v>
      </c>
      <c r="S1160">
        <v>1</v>
      </c>
      <c r="T1160" t="s">
        <v>58</v>
      </c>
      <c r="U1160" t="s">
        <v>59</v>
      </c>
      <c r="V1160" s="3">
        <v>5.2499999999999998E-2</v>
      </c>
      <c r="W1160" s="2">
        <v>0</v>
      </c>
      <c r="X1160">
        <v>0</v>
      </c>
      <c r="Y1160" t="s">
        <v>60</v>
      </c>
      <c r="Z1160" t="s">
        <v>61</v>
      </c>
      <c r="AA1160">
        <v>0</v>
      </c>
      <c r="AB1160" s="2">
        <v>0</v>
      </c>
      <c r="AC1160" s="2">
        <v>0</v>
      </c>
      <c r="AD1160" s="4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3.39</v>
      </c>
      <c r="AN1160" s="2">
        <v>3.39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45999</v>
      </c>
      <c r="B1161" t="s">
        <v>48</v>
      </c>
      <c r="C1161">
        <v>649163</v>
      </c>
      <c r="D1161">
        <v>2020148911</v>
      </c>
      <c r="E1161" t="s">
        <v>1247</v>
      </c>
      <c r="F1161" t="s">
        <v>872</v>
      </c>
      <c r="G1161" t="s">
        <v>51</v>
      </c>
      <c r="H1161" t="s">
        <v>52</v>
      </c>
      <c r="I1161" t="s">
        <v>169</v>
      </c>
      <c r="J1161" t="s">
        <v>170</v>
      </c>
      <c r="K1161">
        <v>678320</v>
      </c>
      <c r="L1161" t="s">
        <v>55</v>
      </c>
      <c r="M1161" t="s">
        <v>56</v>
      </c>
      <c r="N1161" t="s">
        <v>57</v>
      </c>
      <c r="O1161" s="1">
        <v>45200</v>
      </c>
      <c r="Q1161" s="1">
        <v>46023</v>
      </c>
      <c r="R1161" s="2">
        <v>30.23</v>
      </c>
      <c r="S1161">
        <v>1</v>
      </c>
      <c r="T1161" t="s">
        <v>58</v>
      </c>
      <c r="U1161" t="s">
        <v>59</v>
      </c>
      <c r="V1161" s="3">
        <v>5.2499999999999998E-2</v>
      </c>
      <c r="W1161" s="2">
        <v>0</v>
      </c>
      <c r="X1161">
        <v>0</v>
      </c>
      <c r="Y1161" t="s">
        <v>60</v>
      </c>
      <c r="Z1161" t="s">
        <v>61</v>
      </c>
      <c r="AA1161">
        <v>0</v>
      </c>
      <c r="AB1161" s="2">
        <v>0</v>
      </c>
      <c r="AC1161" s="2">
        <v>0</v>
      </c>
      <c r="AD1161" s="4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1.59</v>
      </c>
      <c r="AN1161" s="2">
        <v>1.59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45999</v>
      </c>
      <c r="B1162" t="s">
        <v>48</v>
      </c>
      <c r="C1162">
        <v>649163</v>
      </c>
      <c r="D1162">
        <v>2020450119</v>
      </c>
      <c r="E1162" t="s">
        <v>1248</v>
      </c>
      <c r="F1162" t="s">
        <v>1188</v>
      </c>
      <c r="G1162" t="s">
        <v>51</v>
      </c>
      <c r="H1162" t="s">
        <v>52</v>
      </c>
      <c r="I1162" t="s">
        <v>169</v>
      </c>
      <c r="J1162" t="s">
        <v>170</v>
      </c>
      <c r="K1162">
        <v>649247</v>
      </c>
      <c r="L1162" t="s">
        <v>187</v>
      </c>
      <c r="M1162" t="s">
        <v>188</v>
      </c>
      <c r="N1162" t="s">
        <v>57</v>
      </c>
      <c r="O1162" s="1">
        <v>45231</v>
      </c>
      <c r="Q1162" s="1">
        <v>46023</v>
      </c>
      <c r="R1162" s="2">
        <v>115.64</v>
      </c>
      <c r="S1162">
        <v>1</v>
      </c>
      <c r="T1162" t="s">
        <v>58</v>
      </c>
      <c r="U1162" t="s">
        <v>59</v>
      </c>
      <c r="V1162" s="3">
        <v>5.2499999999999998E-2</v>
      </c>
      <c r="W1162" s="2">
        <v>0</v>
      </c>
      <c r="X1162">
        <v>0</v>
      </c>
      <c r="Y1162" t="s">
        <v>60</v>
      </c>
      <c r="Z1162" t="s">
        <v>61</v>
      </c>
      <c r="AA1162">
        <v>0</v>
      </c>
      <c r="AB1162" s="2">
        <v>0</v>
      </c>
      <c r="AC1162" s="2">
        <v>0</v>
      </c>
      <c r="AD1162" s="4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6.07</v>
      </c>
      <c r="AN1162" s="2">
        <v>6.07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45999</v>
      </c>
      <c r="B1163" t="s">
        <v>48</v>
      </c>
      <c r="C1163">
        <v>649163</v>
      </c>
      <c r="D1163">
        <v>2020472287</v>
      </c>
      <c r="E1163" t="s">
        <v>1083</v>
      </c>
      <c r="F1163" t="s">
        <v>999</v>
      </c>
      <c r="G1163" t="s">
        <v>51</v>
      </c>
      <c r="H1163" t="s">
        <v>52</v>
      </c>
      <c r="I1163" t="s">
        <v>169</v>
      </c>
      <c r="J1163" t="s">
        <v>170</v>
      </c>
      <c r="K1163">
        <v>678320</v>
      </c>
      <c r="L1163" t="s">
        <v>55</v>
      </c>
      <c r="M1163" t="s">
        <v>56</v>
      </c>
      <c r="N1163" t="s">
        <v>57</v>
      </c>
      <c r="O1163" s="1">
        <v>45261</v>
      </c>
      <c r="Q1163" s="1">
        <v>46023</v>
      </c>
      <c r="R1163" s="2">
        <v>33.590000000000003</v>
      </c>
      <c r="S1163">
        <v>1</v>
      </c>
      <c r="T1163" t="s">
        <v>58</v>
      </c>
      <c r="U1163" t="s">
        <v>59</v>
      </c>
      <c r="V1163" s="3">
        <v>5.2499999999999998E-2</v>
      </c>
      <c r="W1163" s="2">
        <v>0</v>
      </c>
      <c r="X1163">
        <v>0</v>
      </c>
      <c r="Y1163" t="s">
        <v>60</v>
      </c>
      <c r="Z1163" t="s">
        <v>61</v>
      </c>
      <c r="AA1163">
        <v>0</v>
      </c>
      <c r="AB1163" s="2">
        <v>0</v>
      </c>
      <c r="AC1163" s="2">
        <v>0</v>
      </c>
      <c r="AD1163" s="4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1.76</v>
      </c>
      <c r="AN1163" s="2">
        <v>1.76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45999</v>
      </c>
      <c r="B1164" t="s">
        <v>48</v>
      </c>
      <c r="C1164">
        <v>649163</v>
      </c>
      <c r="D1164">
        <v>2020478111</v>
      </c>
      <c r="E1164" t="s">
        <v>1249</v>
      </c>
      <c r="F1164" t="s">
        <v>1250</v>
      </c>
      <c r="G1164" t="s">
        <v>51</v>
      </c>
      <c r="H1164" t="s">
        <v>52</v>
      </c>
      <c r="I1164" t="s">
        <v>169</v>
      </c>
      <c r="J1164" t="s">
        <v>170</v>
      </c>
      <c r="K1164">
        <v>678320</v>
      </c>
      <c r="L1164" t="s">
        <v>55</v>
      </c>
      <c r="M1164" t="s">
        <v>56</v>
      </c>
      <c r="N1164" t="s">
        <v>57</v>
      </c>
      <c r="O1164" s="1">
        <v>45231</v>
      </c>
      <c r="Q1164" s="1">
        <v>46023</v>
      </c>
      <c r="R1164" s="2">
        <v>43.59</v>
      </c>
      <c r="S1164">
        <v>1</v>
      </c>
      <c r="T1164" t="s">
        <v>58</v>
      </c>
      <c r="U1164" t="s">
        <v>59</v>
      </c>
      <c r="V1164" s="3">
        <v>5.2499999999999998E-2</v>
      </c>
      <c r="W1164" s="2">
        <v>0</v>
      </c>
      <c r="X1164">
        <v>0</v>
      </c>
      <c r="Y1164" t="s">
        <v>60</v>
      </c>
      <c r="Z1164" t="s">
        <v>61</v>
      </c>
      <c r="AA1164">
        <v>0</v>
      </c>
      <c r="AB1164" s="2">
        <v>0</v>
      </c>
      <c r="AC1164" s="2">
        <v>0</v>
      </c>
      <c r="AD1164" s="4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2.29</v>
      </c>
      <c r="AN1164" s="2">
        <v>2.29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45999</v>
      </c>
      <c r="B1165" t="s">
        <v>48</v>
      </c>
      <c r="C1165">
        <v>649163</v>
      </c>
      <c r="D1165">
        <v>2020488528</v>
      </c>
      <c r="E1165" t="s">
        <v>62</v>
      </c>
      <c r="F1165" t="s">
        <v>63</v>
      </c>
      <c r="G1165" t="s">
        <v>51</v>
      </c>
      <c r="H1165" t="s">
        <v>52</v>
      </c>
      <c r="I1165" t="s">
        <v>169</v>
      </c>
      <c r="J1165" t="s">
        <v>170</v>
      </c>
      <c r="K1165">
        <v>649164</v>
      </c>
      <c r="L1165" t="s">
        <v>64</v>
      </c>
      <c r="M1165" t="s">
        <v>65</v>
      </c>
      <c r="N1165" t="s">
        <v>57</v>
      </c>
      <c r="O1165" s="1">
        <v>45231</v>
      </c>
      <c r="Q1165" s="1">
        <v>46023</v>
      </c>
      <c r="R1165" s="2">
        <v>46.01</v>
      </c>
      <c r="S1165">
        <v>1</v>
      </c>
      <c r="T1165" t="s">
        <v>58</v>
      </c>
      <c r="U1165" t="s">
        <v>59</v>
      </c>
      <c r="V1165" s="3">
        <v>5.2499999999999998E-2</v>
      </c>
      <c r="W1165" s="2">
        <v>0</v>
      </c>
      <c r="X1165">
        <v>0</v>
      </c>
      <c r="Y1165" t="s">
        <v>60</v>
      </c>
      <c r="Z1165" t="s">
        <v>61</v>
      </c>
      <c r="AA1165">
        <v>0</v>
      </c>
      <c r="AB1165" s="2">
        <v>0</v>
      </c>
      <c r="AC1165" s="2">
        <v>0</v>
      </c>
      <c r="AD1165" s="4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2.42</v>
      </c>
      <c r="AN1165" s="2">
        <v>2.42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45999</v>
      </c>
      <c r="B1166" t="s">
        <v>48</v>
      </c>
      <c r="C1166">
        <v>649163</v>
      </c>
      <c r="D1166">
        <v>2020623230</v>
      </c>
      <c r="E1166" t="s">
        <v>1251</v>
      </c>
      <c r="F1166" t="s">
        <v>583</v>
      </c>
      <c r="G1166" t="s">
        <v>51</v>
      </c>
      <c r="H1166" t="s">
        <v>52</v>
      </c>
      <c r="I1166" t="s">
        <v>169</v>
      </c>
      <c r="J1166" t="s">
        <v>170</v>
      </c>
      <c r="K1166">
        <v>678320</v>
      </c>
      <c r="L1166" t="s">
        <v>55</v>
      </c>
      <c r="M1166" t="s">
        <v>56</v>
      </c>
      <c r="N1166" t="s">
        <v>57</v>
      </c>
      <c r="O1166" s="1">
        <v>45292</v>
      </c>
      <c r="Q1166" s="1">
        <v>46023</v>
      </c>
      <c r="R1166" s="2">
        <v>43.59</v>
      </c>
      <c r="S1166">
        <v>1</v>
      </c>
      <c r="T1166" t="s">
        <v>58</v>
      </c>
      <c r="U1166" t="s">
        <v>59</v>
      </c>
      <c r="V1166" s="3">
        <v>5.2499999999999998E-2</v>
      </c>
      <c r="W1166" s="2">
        <v>0</v>
      </c>
      <c r="X1166">
        <v>0</v>
      </c>
      <c r="Y1166" t="s">
        <v>60</v>
      </c>
      <c r="Z1166" t="s">
        <v>61</v>
      </c>
      <c r="AA1166">
        <v>0</v>
      </c>
      <c r="AB1166" s="2">
        <v>0</v>
      </c>
      <c r="AC1166" s="2">
        <v>0</v>
      </c>
      <c r="AD1166" s="4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2.29</v>
      </c>
      <c r="AN1166" s="2">
        <v>2.29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45999</v>
      </c>
      <c r="B1167" t="s">
        <v>48</v>
      </c>
      <c r="C1167">
        <v>649163</v>
      </c>
      <c r="D1167">
        <v>2020623869</v>
      </c>
      <c r="E1167" t="s">
        <v>394</v>
      </c>
      <c r="F1167" t="s">
        <v>635</v>
      </c>
      <c r="G1167" t="s">
        <v>51</v>
      </c>
      <c r="H1167" t="s">
        <v>52</v>
      </c>
      <c r="I1167" t="s">
        <v>169</v>
      </c>
      <c r="J1167" t="s">
        <v>170</v>
      </c>
      <c r="K1167">
        <v>649164</v>
      </c>
      <c r="L1167" t="s">
        <v>64</v>
      </c>
      <c r="M1167" t="s">
        <v>65</v>
      </c>
      <c r="N1167" t="s">
        <v>57</v>
      </c>
      <c r="O1167" s="1">
        <v>45232</v>
      </c>
      <c r="Q1167" s="1">
        <v>46024</v>
      </c>
      <c r="R1167" s="2">
        <v>51.19</v>
      </c>
      <c r="S1167">
        <v>1</v>
      </c>
      <c r="T1167" t="s">
        <v>58</v>
      </c>
      <c r="U1167" t="s">
        <v>59</v>
      </c>
      <c r="V1167" s="3">
        <v>5.2499999999999998E-2</v>
      </c>
      <c r="W1167" s="2">
        <v>0</v>
      </c>
      <c r="X1167">
        <v>0</v>
      </c>
      <c r="Y1167" t="s">
        <v>60</v>
      </c>
      <c r="Z1167" t="s">
        <v>61</v>
      </c>
      <c r="AA1167">
        <v>0</v>
      </c>
      <c r="AB1167" s="2">
        <v>0</v>
      </c>
      <c r="AC1167" s="2">
        <v>0</v>
      </c>
      <c r="AD1167" s="4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2.69</v>
      </c>
      <c r="AN1167" s="2">
        <v>2.69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45999</v>
      </c>
      <c r="B1168" t="s">
        <v>48</v>
      </c>
      <c r="C1168">
        <v>649163</v>
      </c>
      <c r="D1168">
        <v>2020639704</v>
      </c>
      <c r="E1168" t="s">
        <v>1252</v>
      </c>
      <c r="F1168" t="s">
        <v>619</v>
      </c>
      <c r="G1168" t="s">
        <v>51</v>
      </c>
      <c r="H1168" t="s">
        <v>515</v>
      </c>
      <c r="I1168" t="s">
        <v>169</v>
      </c>
      <c r="J1168" t="s">
        <v>170</v>
      </c>
      <c r="K1168">
        <v>673059</v>
      </c>
      <c r="L1168" t="s">
        <v>81</v>
      </c>
      <c r="M1168" t="s">
        <v>82</v>
      </c>
      <c r="N1168" t="s">
        <v>57</v>
      </c>
      <c r="O1168" s="1">
        <v>45261</v>
      </c>
      <c r="Q1168" s="1">
        <v>46023</v>
      </c>
      <c r="R1168" s="2">
        <v>30.04</v>
      </c>
      <c r="S1168">
        <v>1</v>
      </c>
      <c r="T1168" t="s">
        <v>58</v>
      </c>
      <c r="U1168" t="s">
        <v>59</v>
      </c>
      <c r="V1168" s="3">
        <v>5.2499999999999998E-2</v>
      </c>
      <c r="W1168" s="2">
        <v>0</v>
      </c>
      <c r="X1168">
        <v>0</v>
      </c>
      <c r="Y1168" t="s">
        <v>60</v>
      </c>
      <c r="Z1168" t="s">
        <v>61</v>
      </c>
      <c r="AA1168">
        <v>0</v>
      </c>
      <c r="AB1168" s="2">
        <v>0</v>
      </c>
      <c r="AC1168" s="2">
        <v>0</v>
      </c>
      <c r="AD1168" s="4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1.58</v>
      </c>
      <c r="AN1168" s="2">
        <v>1.58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45999</v>
      </c>
      <c r="B1169" t="s">
        <v>48</v>
      </c>
      <c r="C1169">
        <v>649163</v>
      </c>
      <c r="D1169">
        <v>2020720597</v>
      </c>
      <c r="E1169" t="s">
        <v>728</v>
      </c>
      <c r="F1169" t="s">
        <v>678</v>
      </c>
      <c r="G1169" t="s">
        <v>51</v>
      </c>
      <c r="H1169" t="s">
        <v>52</v>
      </c>
      <c r="I1169" t="s">
        <v>169</v>
      </c>
      <c r="J1169" t="s">
        <v>170</v>
      </c>
      <c r="K1169">
        <v>649164</v>
      </c>
      <c r="L1169" t="s">
        <v>64</v>
      </c>
      <c r="M1169" t="s">
        <v>65</v>
      </c>
      <c r="N1169" t="s">
        <v>57</v>
      </c>
      <c r="O1169" s="1">
        <v>45261</v>
      </c>
      <c r="Q1169" s="1">
        <v>46023</v>
      </c>
      <c r="R1169" s="2">
        <v>117.55</v>
      </c>
      <c r="S1169">
        <v>1</v>
      </c>
      <c r="T1169" t="s">
        <v>58</v>
      </c>
      <c r="U1169" t="s">
        <v>59</v>
      </c>
      <c r="V1169" s="3">
        <v>5.2499999999999998E-2</v>
      </c>
      <c r="W1169" s="2">
        <v>0</v>
      </c>
      <c r="X1169">
        <v>0</v>
      </c>
      <c r="Y1169" t="s">
        <v>60</v>
      </c>
      <c r="Z1169" t="s">
        <v>61</v>
      </c>
      <c r="AA1169">
        <v>0</v>
      </c>
      <c r="AB1169" s="2">
        <v>0</v>
      </c>
      <c r="AC1169" s="2">
        <v>0</v>
      </c>
      <c r="AD1169" s="4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6.17</v>
      </c>
      <c r="AN1169" s="2">
        <v>6.17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45999</v>
      </c>
      <c r="B1170" t="s">
        <v>48</v>
      </c>
      <c r="C1170">
        <v>649163</v>
      </c>
      <c r="D1170">
        <v>2020736329</v>
      </c>
      <c r="E1170" t="s">
        <v>728</v>
      </c>
      <c r="F1170" t="s">
        <v>385</v>
      </c>
      <c r="G1170" t="s">
        <v>51</v>
      </c>
      <c r="H1170" t="s">
        <v>52</v>
      </c>
      <c r="I1170" t="s">
        <v>169</v>
      </c>
      <c r="J1170" t="s">
        <v>170</v>
      </c>
      <c r="K1170">
        <v>649164</v>
      </c>
      <c r="L1170" t="s">
        <v>64</v>
      </c>
      <c r="M1170" t="s">
        <v>65</v>
      </c>
      <c r="N1170" t="s">
        <v>57</v>
      </c>
      <c r="O1170" s="1">
        <v>45261</v>
      </c>
      <c r="Q1170" s="1">
        <v>46023</v>
      </c>
      <c r="R1170" s="2">
        <v>58.09</v>
      </c>
      <c r="S1170">
        <v>1</v>
      </c>
      <c r="T1170" t="s">
        <v>58</v>
      </c>
      <c r="U1170" t="s">
        <v>59</v>
      </c>
      <c r="V1170" s="3">
        <v>5.2499999999999998E-2</v>
      </c>
      <c r="W1170" s="2">
        <v>0</v>
      </c>
      <c r="X1170">
        <v>0</v>
      </c>
      <c r="Y1170" t="s">
        <v>60</v>
      </c>
      <c r="Z1170" t="s">
        <v>61</v>
      </c>
      <c r="AA1170">
        <v>0</v>
      </c>
      <c r="AB1170" s="2">
        <v>0</v>
      </c>
      <c r="AC1170" s="2">
        <v>0</v>
      </c>
      <c r="AD1170" s="4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3.05</v>
      </c>
      <c r="AN1170" s="2">
        <v>3.05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45999</v>
      </c>
      <c r="B1171" t="s">
        <v>48</v>
      </c>
      <c r="C1171">
        <v>649163</v>
      </c>
      <c r="D1171">
        <v>2020799011</v>
      </c>
      <c r="E1171" t="s">
        <v>1253</v>
      </c>
      <c r="F1171" t="s">
        <v>180</v>
      </c>
      <c r="G1171" t="s">
        <v>51</v>
      </c>
      <c r="H1171" t="s">
        <v>52</v>
      </c>
      <c r="I1171" t="s">
        <v>169</v>
      </c>
      <c r="J1171" t="s">
        <v>170</v>
      </c>
      <c r="K1171">
        <v>678320</v>
      </c>
      <c r="L1171" t="s">
        <v>55</v>
      </c>
      <c r="M1171" t="s">
        <v>56</v>
      </c>
      <c r="N1171" t="s">
        <v>57</v>
      </c>
      <c r="O1171" s="1">
        <v>45292</v>
      </c>
      <c r="Q1171" s="1">
        <v>46023</v>
      </c>
      <c r="R1171" s="2">
        <v>104.08</v>
      </c>
      <c r="S1171">
        <v>1</v>
      </c>
      <c r="T1171" t="s">
        <v>58</v>
      </c>
      <c r="U1171" t="s">
        <v>59</v>
      </c>
      <c r="V1171" s="3">
        <v>5.2499999999999998E-2</v>
      </c>
      <c r="W1171" s="2">
        <v>0</v>
      </c>
      <c r="X1171">
        <v>0</v>
      </c>
      <c r="Y1171" t="s">
        <v>60</v>
      </c>
      <c r="Z1171" t="s">
        <v>61</v>
      </c>
      <c r="AA1171">
        <v>0</v>
      </c>
      <c r="AB1171" s="2">
        <v>0</v>
      </c>
      <c r="AC1171" s="2">
        <v>0</v>
      </c>
      <c r="AD1171" s="4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5.46</v>
      </c>
      <c r="AN1171" s="2">
        <v>5.46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45999</v>
      </c>
      <c r="B1172" t="s">
        <v>48</v>
      </c>
      <c r="C1172">
        <v>649163</v>
      </c>
      <c r="D1172">
        <v>2020801924</v>
      </c>
      <c r="E1172" t="s">
        <v>1254</v>
      </c>
      <c r="F1172" t="s">
        <v>1255</v>
      </c>
      <c r="G1172" t="s">
        <v>51</v>
      </c>
      <c r="H1172" t="s">
        <v>52</v>
      </c>
      <c r="I1172" t="s">
        <v>169</v>
      </c>
      <c r="J1172" t="s">
        <v>170</v>
      </c>
      <c r="K1172">
        <v>649247</v>
      </c>
      <c r="L1172" t="s">
        <v>187</v>
      </c>
      <c r="M1172" t="s">
        <v>188</v>
      </c>
      <c r="N1172" t="s">
        <v>57</v>
      </c>
      <c r="O1172" s="1">
        <v>45261</v>
      </c>
      <c r="Q1172" s="1">
        <v>46023</v>
      </c>
      <c r="R1172" s="2">
        <v>122.9</v>
      </c>
      <c r="S1172">
        <v>1</v>
      </c>
      <c r="T1172" t="s">
        <v>58</v>
      </c>
      <c r="U1172" t="s">
        <v>59</v>
      </c>
      <c r="V1172" s="3">
        <v>5.2499999999999998E-2</v>
      </c>
      <c r="W1172" s="2">
        <v>0</v>
      </c>
      <c r="X1172">
        <v>0</v>
      </c>
      <c r="Y1172" t="s">
        <v>60</v>
      </c>
      <c r="Z1172" t="s">
        <v>61</v>
      </c>
      <c r="AA1172">
        <v>0</v>
      </c>
      <c r="AB1172" s="2">
        <v>0</v>
      </c>
      <c r="AC1172" s="2">
        <v>0</v>
      </c>
      <c r="AD1172" s="4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6.45</v>
      </c>
      <c r="AN1172" s="2">
        <v>6.45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45999</v>
      </c>
      <c r="B1173" t="s">
        <v>48</v>
      </c>
      <c r="C1173">
        <v>649163</v>
      </c>
      <c r="D1173">
        <v>2020902469</v>
      </c>
      <c r="E1173" t="s">
        <v>1256</v>
      </c>
      <c r="F1173" t="s">
        <v>602</v>
      </c>
      <c r="G1173" t="s">
        <v>51</v>
      </c>
      <c r="H1173" t="s">
        <v>52</v>
      </c>
      <c r="I1173" t="s">
        <v>169</v>
      </c>
      <c r="J1173" t="s">
        <v>170</v>
      </c>
      <c r="K1173">
        <v>649164</v>
      </c>
      <c r="L1173" t="s">
        <v>64</v>
      </c>
      <c r="M1173" t="s">
        <v>65</v>
      </c>
      <c r="N1173" t="s">
        <v>57</v>
      </c>
      <c r="O1173" s="1">
        <v>45261</v>
      </c>
      <c r="Q1173" s="1">
        <v>46023</v>
      </c>
      <c r="R1173" s="2">
        <v>61.19</v>
      </c>
      <c r="S1173">
        <v>1</v>
      </c>
      <c r="T1173" t="s">
        <v>58</v>
      </c>
      <c r="U1173" t="s">
        <v>59</v>
      </c>
      <c r="V1173" s="3">
        <v>5.2499999999999998E-2</v>
      </c>
      <c r="W1173" s="2">
        <v>0</v>
      </c>
      <c r="X1173">
        <v>0</v>
      </c>
      <c r="Y1173" t="s">
        <v>60</v>
      </c>
      <c r="Z1173" t="s">
        <v>61</v>
      </c>
      <c r="AA1173">
        <v>0</v>
      </c>
      <c r="AB1173" s="2">
        <v>0</v>
      </c>
      <c r="AC1173" s="2">
        <v>0</v>
      </c>
      <c r="AD1173" s="4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3.21</v>
      </c>
      <c r="AN1173" s="2">
        <v>3.21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45999</v>
      </c>
      <c r="B1174" t="s">
        <v>48</v>
      </c>
      <c r="C1174">
        <v>649163</v>
      </c>
      <c r="D1174">
        <v>2020919882</v>
      </c>
      <c r="E1174" t="s">
        <v>1257</v>
      </c>
      <c r="F1174" t="s">
        <v>1258</v>
      </c>
      <c r="G1174" t="s">
        <v>51</v>
      </c>
      <c r="H1174" t="s">
        <v>52</v>
      </c>
      <c r="I1174" t="s">
        <v>169</v>
      </c>
      <c r="J1174" t="s">
        <v>170</v>
      </c>
      <c r="K1174">
        <v>649164</v>
      </c>
      <c r="L1174" t="s">
        <v>64</v>
      </c>
      <c r="M1174" t="s">
        <v>65</v>
      </c>
      <c r="N1174" t="s">
        <v>57</v>
      </c>
      <c r="O1174" s="1">
        <v>45292</v>
      </c>
      <c r="Q1174" s="1">
        <v>46023</v>
      </c>
      <c r="R1174" s="2">
        <v>83.35</v>
      </c>
      <c r="S1174">
        <v>1</v>
      </c>
      <c r="T1174" t="s">
        <v>58</v>
      </c>
      <c r="U1174" t="s">
        <v>59</v>
      </c>
      <c r="V1174" s="3">
        <v>5.2499999999999998E-2</v>
      </c>
      <c r="W1174" s="2">
        <v>0</v>
      </c>
      <c r="X1174">
        <v>0</v>
      </c>
      <c r="Y1174" t="s">
        <v>60</v>
      </c>
      <c r="Z1174" t="s">
        <v>61</v>
      </c>
      <c r="AA1174">
        <v>0</v>
      </c>
      <c r="AB1174" s="2">
        <v>0</v>
      </c>
      <c r="AC1174" s="2">
        <v>0</v>
      </c>
      <c r="AD1174" s="4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4.38</v>
      </c>
      <c r="AN1174" s="2">
        <v>4.38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45999</v>
      </c>
      <c r="B1175" t="s">
        <v>48</v>
      </c>
      <c r="C1175">
        <v>649163</v>
      </c>
      <c r="D1175">
        <v>2020977489</v>
      </c>
      <c r="E1175" t="s">
        <v>770</v>
      </c>
      <c r="F1175" t="s">
        <v>236</v>
      </c>
      <c r="G1175" t="s">
        <v>51</v>
      </c>
      <c r="H1175" t="s">
        <v>52</v>
      </c>
      <c r="I1175" t="s">
        <v>169</v>
      </c>
      <c r="J1175" t="s">
        <v>170</v>
      </c>
      <c r="K1175">
        <v>649247</v>
      </c>
      <c r="L1175" t="s">
        <v>187</v>
      </c>
      <c r="M1175" t="s">
        <v>188</v>
      </c>
      <c r="N1175" t="s">
        <v>57</v>
      </c>
      <c r="O1175" s="1">
        <v>45262</v>
      </c>
      <c r="Q1175" s="1">
        <v>46024</v>
      </c>
      <c r="R1175" s="2">
        <v>115.64</v>
      </c>
      <c r="S1175">
        <v>1</v>
      </c>
      <c r="T1175" t="s">
        <v>58</v>
      </c>
      <c r="U1175" t="s">
        <v>59</v>
      </c>
      <c r="V1175" s="3">
        <v>5.2499999999999998E-2</v>
      </c>
      <c r="W1175" s="2">
        <v>0</v>
      </c>
      <c r="X1175">
        <v>0</v>
      </c>
      <c r="Y1175" t="s">
        <v>60</v>
      </c>
      <c r="Z1175" t="s">
        <v>61</v>
      </c>
      <c r="AA1175">
        <v>0</v>
      </c>
      <c r="AB1175" s="2">
        <v>0</v>
      </c>
      <c r="AC1175" s="2">
        <v>0</v>
      </c>
      <c r="AD1175" s="4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6.07</v>
      </c>
      <c r="AN1175" s="2">
        <v>6.07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45999</v>
      </c>
      <c r="B1176" t="s">
        <v>48</v>
      </c>
      <c r="C1176">
        <v>649163</v>
      </c>
      <c r="D1176">
        <v>2021089952</v>
      </c>
      <c r="E1176" t="s">
        <v>1259</v>
      </c>
      <c r="F1176" t="s">
        <v>1260</v>
      </c>
      <c r="G1176" t="s">
        <v>51</v>
      </c>
      <c r="H1176" t="s">
        <v>52</v>
      </c>
      <c r="I1176" t="s">
        <v>169</v>
      </c>
      <c r="J1176" t="s">
        <v>170</v>
      </c>
      <c r="K1176">
        <v>649164</v>
      </c>
      <c r="L1176" t="s">
        <v>64</v>
      </c>
      <c r="M1176" t="s">
        <v>65</v>
      </c>
      <c r="N1176" t="s">
        <v>57</v>
      </c>
      <c r="O1176" s="1">
        <v>45292</v>
      </c>
      <c r="Q1176" s="1">
        <v>46023</v>
      </c>
      <c r="R1176" s="2">
        <v>78.83</v>
      </c>
      <c r="S1176">
        <v>1</v>
      </c>
      <c r="T1176" t="s">
        <v>58</v>
      </c>
      <c r="U1176" t="s">
        <v>59</v>
      </c>
      <c r="V1176" s="3">
        <v>5.2499999999999998E-2</v>
      </c>
      <c r="W1176" s="2">
        <v>0</v>
      </c>
      <c r="X1176">
        <v>0</v>
      </c>
      <c r="Y1176" t="s">
        <v>60</v>
      </c>
      <c r="Z1176" t="s">
        <v>61</v>
      </c>
      <c r="AA1176">
        <v>0</v>
      </c>
      <c r="AB1176" s="2">
        <v>0</v>
      </c>
      <c r="AC1176" s="2">
        <v>0</v>
      </c>
      <c r="AD1176" s="4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4.1399999999999997</v>
      </c>
      <c r="AN1176" s="2">
        <v>4.1399999999999997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45999</v>
      </c>
      <c r="B1177" t="s">
        <v>48</v>
      </c>
      <c r="C1177">
        <v>649163</v>
      </c>
      <c r="D1177">
        <v>2021138605</v>
      </c>
      <c r="E1177" t="s">
        <v>137</v>
      </c>
      <c r="F1177" t="s">
        <v>948</v>
      </c>
      <c r="G1177" t="s">
        <v>51</v>
      </c>
      <c r="H1177" t="s">
        <v>52</v>
      </c>
      <c r="I1177" t="s">
        <v>169</v>
      </c>
      <c r="J1177" t="s">
        <v>170</v>
      </c>
      <c r="K1177">
        <v>649247</v>
      </c>
      <c r="L1177" t="s">
        <v>187</v>
      </c>
      <c r="M1177" t="s">
        <v>188</v>
      </c>
      <c r="N1177" t="s">
        <v>57</v>
      </c>
      <c r="O1177" s="1">
        <v>45292</v>
      </c>
      <c r="Q1177" s="1">
        <v>46023</v>
      </c>
      <c r="R1177" s="2">
        <v>50.6</v>
      </c>
      <c r="S1177">
        <v>1</v>
      </c>
      <c r="T1177" t="s">
        <v>58</v>
      </c>
      <c r="U1177" t="s">
        <v>59</v>
      </c>
      <c r="V1177" s="3">
        <v>5.2499999999999998E-2</v>
      </c>
      <c r="W1177" s="2">
        <v>0</v>
      </c>
      <c r="X1177">
        <v>0</v>
      </c>
      <c r="Y1177" t="s">
        <v>60</v>
      </c>
      <c r="Z1177" t="s">
        <v>61</v>
      </c>
      <c r="AA1177">
        <v>0</v>
      </c>
      <c r="AB1177" s="2">
        <v>0</v>
      </c>
      <c r="AC1177" s="2">
        <v>0</v>
      </c>
      <c r="AD1177" s="4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2.66</v>
      </c>
      <c r="AN1177" s="2">
        <v>2.66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45999</v>
      </c>
      <c r="B1178" t="s">
        <v>48</v>
      </c>
      <c r="C1178">
        <v>649163</v>
      </c>
      <c r="D1178">
        <v>2021160584</v>
      </c>
      <c r="E1178" t="s">
        <v>1261</v>
      </c>
      <c r="F1178" t="s">
        <v>204</v>
      </c>
      <c r="G1178" t="s">
        <v>51</v>
      </c>
      <c r="H1178" t="s">
        <v>52</v>
      </c>
      <c r="I1178" t="s">
        <v>169</v>
      </c>
      <c r="J1178" t="s">
        <v>170</v>
      </c>
      <c r="K1178">
        <v>728134</v>
      </c>
      <c r="L1178" t="s">
        <v>183</v>
      </c>
      <c r="M1178" t="s">
        <v>184</v>
      </c>
      <c r="N1178" t="s">
        <v>57</v>
      </c>
      <c r="O1178" s="1">
        <v>45292</v>
      </c>
      <c r="Q1178" s="1">
        <v>46023</v>
      </c>
      <c r="R1178" s="2">
        <v>33.590000000000003</v>
      </c>
      <c r="S1178">
        <v>1</v>
      </c>
      <c r="T1178" t="s">
        <v>58</v>
      </c>
      <c r="U1178" t="s">
        <v>59</v>
      </c>
      <c r="V1178" s="3">
        <v>5.2499999999999998E-2</v>
      </c>
      <c r="W1178" s="2">
        <v>0</v>
      </c>
      <c r="X1178">
        <v>0</v>
      </c>
      <c r="Y1178" t="s">
        <v>60</v>
      </c>
      <c r="Z1178" t="s">
        <v>61</v>
      </c>
      <c r="AA1178">
        <v>0</v>
      </c>
      <c r="AB1178" s="2">
        <v>0</v>
      </c>
      <c r="AC1178" s="2">
        <v>0</v>
      </c>
      <c r="AD1178" s="4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1.76</v>
      </c>
      <c r="AN1178" s="2">
        <v>1.76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45999</v>
      </c>
      <c r="B1179" t="s">
        <v>48</v>
      </c>
      <c r="C1179">
        <v>649163</v>
      </c>
      <c r="D1179">
        <v>2021194025</v>
      </c>
      <c r="E1179" t="s">
        <v>1246</v>
      </c>
      <c r="F1179" t="s">
        <v>175</v>
      </c>
      <c r="G1179" t="s">
        <v>51</v>
      </c>
      <c r="H1179" t="s">
        <v>52</v>
      </c>
      <c r="I1179" t="s">
        <v>169</v>
      </c>
      <c r="J1179" t="s">
        <v>170</v>
      </c>
      <c r="K1179">
        <v>728134</v>
      </c>
      <c r="L1179" t="s">
        <v>183</v>
      </c>
      <c r="M1179" t="s">
        <v>184</v>
      </c>
      <c r="N1179" t="s">
        <v>57</v>
      </c>
      <c r="O1179" s="1">
        <v>45323</v>
      </c>
      <c r="Q1179" s="1">
        <v>46023</v>
      </c>
      <c r="R1179" s="2">
        <v>43.59</v>
      </c>
      <c r="S1179">
        <v>1</v>
      </c>
      <c r="T1179" t="s">
        <v>58</v>
      </c>
      <c r="U1179" t="s">
        <v>59</v>
      </c>
      <c r="V1179" s="3">
        <v>5.2499999999999998E-2</v>
      </c>
      <c r="W1179" s="2">
        <v>0</v>
      </c>
      <c r="X1179">
        <v>0</v>
      </c>
      <c r="Y1179" t="s">
        <v>60</v>
      </c>
      <c r="Z1179" t="s">
        <v>61</v>
      </c>
      <c r="AA1179">
        <v>0</v>
      </c>
      <c r="AB1179" s="2">
        <v>0</v>
      </c>
      <c r="AC1179" s="2">
        <v>0</v>
      </c>
      <c r="AD1179" s="4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2.29</v>
      </c>
      <c r="AN1179" s="2">
        <v>2.29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45999</v>
      </c>
      <c r="B1180" t="s">
        <v>48</v>
      </c>
      <c r="C1180">
        <v>649163</v>
      </c>
      <c r="D1180">
        <v>2021206448</v>
      </c>
      <c r="E1180" t="s">
        <v>1262</v>
      </c>
      <c r="F1180" t="s">
        <v>421</v>
      </c>
      <c r="G1180" t="s">
        <v>51</v>
      </c>
      <c r="H1180" t="s">
        <v>52</v>
      </c>
      <c r="I1180" t="s">
        <v>169</v>
      </c>
      <c r="J1180" t="s">
        <v>170</v>
      </c>
      <c r="K1180">
        <v>649164</v>
      </c>
      <c r="L1180" t="s">
        <v>64</v>
      </c>
      <c r="M1180" t="s">
        <v>65</v>
      </c>
      <c r="N1180" t="s">
        <v>57</v>
      </c>
      <c r="O1180" s="1">
        <v>45292</v>
      </c>
      <c r="Q1180" s="1">
        <v>46023</v>
      </c>
      <c r="R1180" s="2">
        <v>104.08</v>
      </c>
      <c r="S1180">
        <v>1</v>
      </c>
      <c r="T1180" t="s">
        <v>58</v>
      </c>
      <c r="U1180" t="s">
        <v>59</v>
      </c>
      <c r="V1180" s="3">
        <v>5.2499999999999998E-2</v>
      </c>
      <c r="W1180" s="2">
        <v>0</v>
      </c>
      <c r="X1180">
        <v>0</v>
      </c>
      <c r="Y1180" t="s">
        <v>60</v>
      </c>
      <c r="Z1180" t="s">
        <v>61</v>
      </c>
      <c r="AA1180">
        <v>0</v>
      </c>
      <c r="AB1180" s="2">
        <v>0</v>
      </c>
      <c r="AC1180" s="2">
        <v>0</v>
      </c>
      <c r="AD1180" s="4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5.46</v>
      </c>
      <c r="AN1180" s="2">
        <v>5.46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45999</v>
      </c>
      <c r="B1181" t="s">
        <v>48</v>
      </c>
      <c r="C1181">
        <v>649163</v>
      </c>
      <c r="D1181">
        <v>2021588618</v>
      </c>
      <c r="E1181" t="s">
        <v>1263</v>
      </c>
      <c r="F1181" t="s">
        <v>1264</v>
      </c>
      <c r="G1181" t="s">
        <v>51</v>
      </c>
      <c r="H1181" t="s">
        <v>52</v>
      </c>
      <c r="I1181" t="s">
        <v>169</v>
      </c>
      <c r="J1181" t="s">
        <v>170</v>
      </c>
      <c r="K1181">
        <v>728134</v>
      </c>
      <c r="L1181" t="s">
        <v>183</v>
      </c>
      <c r="M1181" t="s">
        <v>184</v>
      </c>
      <c r="N1181" t="s">
        <v>57</v>
      </c>
      <c r="O1181" s="1">
        <v>45323</v>
      </c>
      <c r="Q1181" s="1">
        <v>46023</v>
      </c>
      <c r="R1181" s="2">
        <v>45.54</v>
      </c>
      <c r="S1181">
        <v>1</v>
      </c>
      <c r="T1181" t="s">
        <v>58</v>
      </c>
      <c r="U1181" t="s">
        <v>59</v>
      </c>
      <c r="V1181" s="3">
        <v>5.2499999999999998E-2</v>
      </c>
      <c r="W1181" s="2">
        <v>0</v>
      </c>
      <c r="X1181">
        <v>0</v>
      </c>
      <c r="Y1181" t="s">
        <v>60</v>
      </c>
      <c r="Z1181" t="s">
        <v>61</v>
      </c>
      <c r="AA1181">
        <v>0</v>
      </c>
      <c r="AB1181" s="2">
        <v>0</v>
      </c>
      <c r="AC1181" s="2">
        <v>0</v>
      </c>
      <c r="AD1181" s="4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2.39</v>
      </c>
      <c r="AN1181" s="2">
        <v>2.39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45999</v>
      </c>
      <c r="B1182" t="s">
        <v>48</v>
      </c>
      <c r="C1182">
        <v>649163</v>
      </c>
      <c r="D1182">
        <v>2021795177</v>
      </c>
      <c r="E1182" t="s">
        <v>1265</v>
      </c>
      <c r="F1182" t="s">
        <v>89</v>
      </c>
      <c r="G1182" t="s">
        <v>51</v>
      </c>
      <c r="H1182" t="s">
        <v>52</v>
      </c>
      <c r="I1182" t="s">
        <v>169</v>
      </c>
      <c r="J1182" t="s">
        <v>170</v>
      </c>
      <c r="K1182">
        <v>728134</v>
      </c>
      <c r="L1182" t="s">
        <v>183</v>
      </c>
      <c r="M1182" t="s">
        <v>184</v>
      </c>
      <c r="N1182" t="s">
        <v>57</v>
      </c>
      <c r="O1182" s="1">
        <v>45383</v>
      </c>
      <c r="Q1182" s="1">
        <v>46023</v>
      </c>
      <c r="R1182" s="2">
        <v>43.59</v>
      </c>
      <c r="S1182">
        <v>1</v>
      </c>
      <c r="T1182" t="s">
        <v>58</v>
      </c>
      <c r="U1182" t="s">
        <v>59</v>
      </c>
      <c r="V1182" s="3">
        <v>5.2499999999999998E-2</v>
      </c>
      <c r="W1182" s="2">
        <v>0</v>
      </c>
      <c r="X1182">
        <v>0</v>
      </c>
      <c r="Y1182" t="s">
        <v>60</v>
      </c>
      <c r="Z1182" t="s">
        <v>61</v>
      </c>
      <c r="AA1182">
        <v>0</v>
      </c>
      <c r="AB1182" s="2">
        <v>0</v>
      </c>
      <c r="AC1182" s="2">
        <v>0</v>
      </c>
      <c r="AD1182" s="4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2.29</v>
      </c>
      <c r="AN1182" s="2">
        <v>2.29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45999</v>
      </c>
      <c r="B1183" t="s">
        <v>48</v>
      </c>
      <c r="C1183">
        <v>649163</v>
      </c>
      <c r="D1183">
        <v>2022253036</v>
      </c>
      <c r="E1183" t="s">
        <v>1266</v>
      </c>
      <c r="F1183" t="s">
        <v>1267</v>
      </c>
      <c r="G1183" t="s">
        <v>51</v>
      </c>
      <c r="H1183" t="s">
        <v>52</v>
      </c>
      <c r="I1183" t="s">
        <v>169</v>
      </c>
      <c r="J1183" t="s">
        <v>170</v>
      </c>
      <c r="K1183">
        <v>728134</v>
      </c>
      <c r="L1183" t="s">
        <v>183</v>
      </c>
      <c r="M1183" t="s">
        <v>184</v>
      </c>
      <c r="N1183" t="s">
        <v>57</v>
      </c>
      <c r="O1183" s="1">
        <v>45383</v>
      </c>
      <c r="Q1183" s="1">
        <v>46023</v>
      </c>
      <c r="R1183" s="2">
        <v>43.59</v>
      </c>
      <c r="S1183">
        <v>1</v>
      </c>
      <c r="T1183" t="s">
        <v>58</v>
      </c>
      <c r="U1183" t="s">
        <v>59</v>
      </c>
      <c r="V1183" s="3">
        <v>5.2499999999999998E-2</v>
      </c>
      <c r="W1183" s="2">
        <v>0</v>
      </c>
      <c r="X1183">
        <v>0</v>
      </c>
      <c r="Y1183" t="s">
        <v>60</v>
      </c>
      <c r="Z1183" t="s">
        <v>61</v>
      </c>
      <c r="AA1183">
        <v>0</v>
      </c>
      <c r="AB1183" s="2">
        <v>0</v>
      </c>
      <c r="AC1183" s="2">
        <v>0</v>
      </c>
      <c r="AD1183" s="4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2.29</v>
      </c>
      <c r="AN1183" s="2">
        <v>2.29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45999</v>
      </c>
      <c r="B1184" t="s">
        <v>48</v>
      </c>
      <c r="C1184">
        <v>649163</v>
      </c>
      <c r="D1184">
        <v>2022273568</v>
      </c>
      <c r="E1184" t="s">
        <v>1268</v>
      </c>
      <c r="F1184" t="s">
        <v>1269</v>
      </c>
      <c r="G1184" t="s">
        <v>51</v>
      </c>
      <c r="H1184" t="s">
        <v>52</v>
      </c>
      <c r="I1184" t="s">
        <v>169</v>
      </c>
      <c r="J1184" t="s">
        <v>170</v>
      </c>
      <c r="K1184">
        <v>649164</v>
      </c>
      <c r="L1184" t="s">
        <v>64</v>
      </c>
      <c r="M1184" t="s">
        <v>65</v>
      </c>
      <c r="N1184" t="s">
        <v>57</v>
      </c>
      <c r="O1184" s="1">
        <v>45383</v>
      </c>
      <c r="Q1184" s="1">
        <v>46023</v>
      </c>
      <c r="R1184" s="2">
        <v>51.19</v>
      </c>
      <c r="S1184">
        <v>1</v>
      </c>
      <c r="T1184" t="s">
        <v>58</v>
      </c>
      <c r="U1184" t="s">
        <v>59</v>
      </c>
      <c r="V1184" s="3">
        <v>5.2499999999999998E-2</v>
      </c>
      <c r="W1184" s="2">
        <v>0</v>
      </c>
      <c r="X1184">
        <v>0</v>
      </c>
      <c r="Y1184" t="s">
        <v>60</v>
      </c>
      <c r="Z1184" t="s">
        <v>61</v>
      </c>
      <c r="AA1184">
        <v>0</v>
      </c>
      <c r="AB1184" s="2">
        <v>0</v>
      </c>
      <c r="AC1184" s="2">
        <v>0</v>
      </c>
      <c r="AD1184" s="4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2.69</v>
      </c>
      <c r="AN1184" s="2">
        <v>2.69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45999</v>
      </c>
      <c r="B1185" t="s">
        <v>48</v>
      </c>
      <c r="C1185">
        <v>649163</v>
      </c>
      <c r="D1185">
        <v>2022532902</v>
      </c>
      <c r="E1185" t="s">
        <v>1270</v>
      </c>
      <c r="F1185" t="s">
        <v>1188</v>
      </c>
      <c r="G1185" t="s">
        <v>51</v>
      </c>
      <c r="H1185" t="s">
        <v>52</v>
      </c>
      <c r="I1185" t="s">
        <v>169</v>
      </c>
      <c r="J1185" t="s">
        <v>170</v>
      </c>
      <c r="K1185">
        <v>728134</v>
      </c>
      <c r="L1185" t="s">
        <v>183</v>
      </c>
      <c r="M1185" t="s">
        <v>184</v>
      </c>
      <c r="N1185" t="s">
        <v>57</v>
      </c>
      <c r="O1185" s="1">
        <v>45384</v>
      </c>
      <c r="Q1185" s="1">
        <v>46024</v>
      </c>
      <c r="R1185" s="2">
        <v>50.6</v>
      </c>
      <c r="S1185">
        <v>1</v>
      </c>
      <c r="T1185" t="s">
        <v>58</v>
      </c>
      <c r="U1185" t="s">
        <v>59</v>
      </c>
      <c r="V1185" s="3">
        <v>5.2499999999999998E-2</v>
      </c>
      <c r="W1185" s="2">
        <v>0</v>
      </c>
      <c r="X1185">
        <v>0</v>
      </c>
      <c r="Y1185" t="s">
        <v>60</v>
      </c>
      <c r="Z1185" t="s">
        <v>61</v>
      </c>
      <c r="AA1185">
        <v>0</v>
      </c>
      <c r="AB1185" s="2">
        <v>0</v>
      </c>
      <c r="AC1185" s="2">
        <v>0</v>
      </c>
      <c r="AD1185" s="4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2.66</v>
      </c>
      <c r="AN1185" s="2">
        <v>2.66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45999</v>
      </c>
      <c r="B1186" t="s">
        <v>48</v>
      </c>
      <c r="C1186">
        <v>649163</v>
      </c>
      <c r="D1186">
        <v>2022548915</v>
      </c>
      <c r="E1186" t="s">
        <v>770</v>
      </c>
      <c r="F1186" t="s">
        <v>813</v>
      </c>
      <c r="G1186" t="s">
        <v>51</v>
      </c>
      <c r="H1186" t="s">
        <v>52</v>
      </c>
      <c r="I1186" t="s">
        <v>169</v>
      </c>
      <c r="J1186" t="s">
        <v>170</v>
      </c>
      <c r="K1186">
        <v>728134</v>
      </c>
      <c r="L1186" t="s">
        <v>183</v>
      </c>
      <c r="M1186" t="s">
        <v>184</v>
      </c>
      <c r="N1186" t="s">
        <v>57</v>
      </c>
      <c r="O1186" s="1">
        <v>45385</v>
      </c>
      <c r="Q1186" s="1">
        <v>46025</v>
      </c>
      <c r="R1186" s="2">
        <v>56.88</v>
      </c>
      <c r="S1186">
        <v>1</v>
      </c>
      <c r="T1186" t="s">
        <v>58</v>
      </c>
      <c r="U1186" t="s">
        <v>59</v>
      </c>
      <c r="V1186" s="3">
        <v>5.2499999999999998E-2</v>
      </c>
      <c r="W1186" s="2">
        <v>0</v>
      </c>
      <c r="X1186">
        <v>0</v>
      </c>
      <c r="Y1186" t="s">
        <v>60</v>
      </c>
      <c r="Z1186" t="s">
        <v>61</v>
      </c>
      <c r="AA1186">
        <v>0</v>
      </c>
      <c r="AB1186" s="2">
        <v>0</v>
      </c>
      <c r="AC1186" s="2">
        <v>0</v>
      </c>
      <c r="AD1186" s="4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2.99</v>
      </c>
      <c r="AN1186" s="2">
        <v>2.99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45999</v>
      </c>
      <c r="B1187" t="s">
        <v>48</v>
      </c>
      <c r="C1187">
        <v>649163</v>
      </c>
      <c r="D1187">
        <v>2022672449</v>
      </c>
      <c r="E1187" t="s">
        <v>1271</v>
      </c>
      <c r="F1187" t="s">
        <v>266</v>
      </c>
      <c r="G1187" t="s">
        <v>51</v>
      </c>
      <c r="H1187" t="s">
        <v>52</v>
      </c>
      <c r="I1187" t="s">
        <v>169</v>
      </c>
      <c r="J1187" t="s">
        <v>170</v>
      </c>
      <c r="K1187">
        <v>728134</v>
      </c>
      <c r="L1187" t="s">
        <v>183</v>
      </c>
      <c r="M1187" t="s">
        <v>184</v>
      </c>
      <c r="N1187" t="s">
        <v>57</v>
      </c>
      <c r="O1187" s="1">
        <v>45413</v>
      </c>
      <c r="Q1187" s="1">
        <v>46023</v>
      </c>
      <c r="R1187" s="2">
        <v>43.59</v>
      </c>
      <c r="S1187">
        <v>1</v>
      </c>
      <c r="T1187" t="s">
        <v>58</v>
      </c>
      <c r="U1187" t="s">
        <v>59</v>
      </c>
      <c r="V1187" s="3">
        <v>5.2499999999999998E-2</v>
      </c>
      <c r="W1187" s="2">
        <v>0</v>
      </c>
      <c r="X1187">
        <v>0</v>
      </c>
      <c r="Y1187" t="s">
        <v>60</v>
      </c>
      <c r="Z1187" t="s">
        <v>61</v>
      </c>
      <c r="AA1187">
        <v>0</v>
      </c>
      <c r="AB1187" s="2">
        <v>0</v>
      </c>
      <c r="AC1187" s="2">
        <v>0</v>
      </c>
      <c r="AD1187" s="4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2.29</v>
      </c>
      <c r="AN1187" s="2">
        <v>2.29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45999</v>
      </c>
      <c r="B1188" t="s">
        <v>48</v>
      </c>
      <c r="C1188">
        <v>649163</v>
      </c>
      <c r="D1188">
        <v>2022736430</v>
      </c>
      <c r="E1188" t="s">
        <v>1272</v>
      </c>
      <c r="F1188" t="s">
        <v>168</v>
      </c>
      <c r="G1188" t="s">
        <v>51</v>
      </c>
      <c r="H1188" t="s">
        <v>52</v>
      </c>
      <c r="I1188" t="s">
        <v>169</v>
      </c>
      <c r="J1188" t="s">
        <v>170</v>
      </c>
      <c r="K1188">
        <v>649164</v>
      </c>
      <c r="L1188" t="s">
        <v>64</v>
      </c>
      <c r="M1188" t="s">
        <v>65</v>
      </c>
      <c r="N1188" t="s">
        <v>57</v>
      </c>
      <c r="O1188" s="1">
        <v>45413</v>
      </c>
      <c r="Q1188" s="1">
        <v>46023</v>
      </c>
      <c r="R1188" s="2">
        <v>45.54</v>
      </c>
      <c r="S1188">
        <v>1</v>
      </c>
      <c r="T1188" t="s">
        <v>58</v>
      </c>
      <c r="U1188" t="s">
        <v>59</v>
      </c>
      <c r="V1188" s="3">
        <v>5.2499999999999998E-2</v>
      </c>
      <c r="W1188" s="2">
        <v>0</v>
      </c>
      <c r="X1188">
        <v>0</v>
      </c>
      <c r="Y1188" t="s">
        <v>60</v>
      </c>
      <c r="Z1188" t="s">
        <v>61</v>
      </c>
      <c r="AA1188">
        <v>0</v>
      </c>
      <c r="AB1188" s="2">
        <v>0</v>
      </c>
      <c r="AC1188" s="2">
        <v>0</v>
      </c>
      <c r="AD1188" s="4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2.39</v>
      </c>
      <c r="AN1188" s="2">
        <v>2.39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45999</v>
      </c>
      <c r="B1189" t="s">
        <v>48</v>
      </c>
      <c r="C1189">
        <v>649163</v>
      </c>
      <c r="D1189">
        <v>2022802828</v>
      </c>
      <c r="E1189" t="s">
        <v>640</v>
      </c>
      <c r="F1189" t="s">
        <v>1273</v>
      </c>
      <c r="G1189" t="s">
        <v>51</v>
      </c>
      <c r="H1189" t="s">
        <v>131</v>
      </c>
      <c r="I1189" t="s">
        <v>169</v>
      </c>
      <c r="J1189" t="s">
        <v>1274</v>
      </c>
      <c r="K1189">
        <v>751867</v>
      </c>
      <c r="L1189" t="s">
        <v>70</v>
      </c>
      <c r="M1189" t="s">
        <v>71</v>
      </c>
      <c r="N1189" t="s">
        <v>57</v>
      </c>
      <c r="O1189" s="1">
        <v>45413</v>
      </c>
      <c r="Q1189" s="1">
        <v>46023</v>
      </c>
      <c r="R1189" s="2">
        <v>35.270000000000003</v>
      </c>
      <c r="S1189">
        <v>1</v>
      </c>
      <c r="T1189" t="s">
        <v>58</v>
      </c>
      <c r="U1189" t="s">
        <v>59</v>
      </c>
      <c r="V1189" s="4">
        <v>0.08</v>
      </c>
      <c r="W1189" s="2">
        <v>0</v>
      </c>
      <c r="X1189">
        <v>0</v>
      </c>
      <c r="Y1189" t="s">
        <v>60</v>
      </c>
      <c r="Z1189" t="s">
        <v>61</v>
      </c>
      <c r="AA1189">
        <v>0</v>
      </c>
      <c r="AB1189" s="2">
        <v>0</v>
      </c>
      <c r="AC1189" s="2">
        <v>0</v>
      </c>
      <c r="AD1189" s="4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2.82</v>
      </c>
      <c r="AN1189" s="2">
        <v>2.82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45999</v>
      </c>
      <c r="B1190" t="s">
        <v>48</v>
      </c>
      <c r="C1190">
        <v>649163</v>
      </c>
      <c r="D1190">
        <v>2022802829</v>
      </c>
      <c r="E1190" t="s">
        <v>640</v>
      </c>
      <c r="F1190" t="s">
        <v>1273</v>
      </c>
      <c r="G1190" t="s">
        <v>51</v>
      </c>
      <c r="H1190" t="s">
        <v>131</v>
      </c>
      <c r="I1190" t="s">
        <v>169</v>
      </c>
      <c r="J1190" t="s">
        <v>1275</v>
      </c>
      <c r="K1190">
        <v>751867</v>
      </c>
      <c r="L1190" t="s">
        <v>70</v>
      </c>
      <c r="M1190" t="s">
        <v>71</v>
      </c>
      <c r="N1190" t="s">
        <v>57</v>
      </c>
      <c r="O1190" s="1">
        <v>45413</v>
      </c>
      <c r="Q1190" s="1">
        <v>46023</v>
      </c>
      <c r="R1190" s="2">
        <v>14.95</v>
      </c>
      <c r="S1190">
        <v>1</v>
      </c>
      <c r="T1190" t="s">
        <v>58</v>
      </c>
      <c r="U1190" t="s">
        <v>59</v>
      </c>
      <c r="V1190" s="4">
        <v>0.08</v>
      </c>
      <c r="W1190" s="2">
        <v>0</v>
      </c>
      <c r="X1190">
        <v>0</v>
      </c>
      <c r="Y1190" t="s">
        <v>60</v>
      </c>
      <c r="Z1190" t="s">
        <v>61</v>
      </c>
      <c r="AA1190">
        <v>0</v>
      </c>
      <c r="AB1190" s="2">
        <v>0</v>
      </c>
      <c r="AC1190" s="2">
        <v>0</v>
      </c>
      <c r="AD1190" s="4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1.2</v>
      </c>
      <c r="AN1190" s="2">
        <v>1.2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45999</v>
      </c>
      <c r="B1191" t="s">
        <v>48</v>
      </c>
      <c r="C1191">
        <v>649163</v>
      </c>
      <c r="D1191">
        <v>2023035029</v>
      </c>
      <c r="E1191" t="s">
        <v>1276</v>
      </c>
      <c r="F1191" t="s">
        <v>1277</v>
      </c>
      <c r="G1191" t="s">
        <v>51</v>
      </c>
      <c r="H1191" t="s">
        <v>52</v>
      </c>
      <c r="I1191" t="s">
        <v>169</v>
      </c>
      <c r="J1191" t="s">
        <v>170</v>
      </c>
      <c r="K1191">
        <v>728134</v>
      </c>
      <c r="L1191" t="s">
        <v>183</v>
      </c>
      <c r="M1191" t="s">
        <v>184</v>
      </c>
      <c r="N1191" t="s">
        <v>57</v>
      </c>
      <c r="O1191" s="1">
        <v>45444</v>
      </c>
      <c r="Q1191" s="1">
        <v>46023</v>
      </c>
      <c r="R1191" s="2">
        <v>33.590000000000003</v>
      </c>
      <c r="S1191">
        <v>1</v>
      </c>
      <c r="T1191" t="s">
        <v>58</v>
      </c>
      <c r="U1191" t="s">
        <v>59</v>
      </c>
      <c r="V1191" s="3">
        <v>5.2499999999999998E-2</v>
      </c>
      <c r="W1191" s="2">
        <v>0</v>
      </c>
      <c r="X1191">
        <v>0</v>
      </c>
      <c r="Y1191" t="s">
        <v>60</v>
      </c>
      <c r="Z1191" t="s">
        <v>61</v>
      </c>
      <c r="AA1191">
        <v>0</v>
      </c>
      <c r="AB1191" s="2">
        <v>0</v>
      </c>
      <c r="AC1191" s="2">
        <v>0</v>
      </c>
      <c r="AD1191" s="4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1.76</v>
      </c>
      <c r="AN1191" s="2">
        <v>1.76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45999</v>
      </c>
      <c r="B1192" t="s">
        <v>48</v>
      </c>
      <c r="C1192">
        <v>649163</v>
      </c>
      <c r="D1192">
        <v>2023183893</v>
      </c>
      <c r="E1192" t="s">
        <v>1278</v>
      </c>
      <c r="F1192" t="s">
        <v>1279</v>
      </c>
      <c r="G1192" t="s">
        <v>51</v>
      </c>
      <c r="H1192" t="s">
        <v>52</v>
      </c>
      <c r="I1192" t="s">
        <v>169</v>
      </c>
      <c r="J1192" t="s">
        <v>170</v>
      </c>
      <c r="K1192">
        <v>650218</v>
      </c>
      <c r="L1192" t="s">
        <v>88</v>
      </c>
      <c r="M1192" t="s">
        <v>89</v>
      </c>
      <c r="N1192" t="s">
        <v>57</v>
      </c>
      <c r="O1192" s="1">
        <v>45474</v>
      </c>
      <c r="Q1192" s="1">
        <v>46023</v>
      </c>
      <c r="R1192" s="2">
        <v>142.08000000000001</v>
      </c>
      <c r="S1192">
        <v>1</v>
      </c>
      <c r="T1192" t="s">
        <v>58</v>
      </c>
      <c r="U1192" t="s">
        <v>59</v>
      </c>
      <c r="V1192" s="3">
        <v>5.2499999999999998E-2</v>
      </c>
      <c r="W1192" s="2">
        <v>0</v>
      </c>
      <c r="X1192">
        <v>0</v>
      </c>
      <c r="Y1192" t="s">
        <v>60</v>
      </c>
      <c r="Z1192" t="s">
        <v>61</v>
      </c>
      <c r="AA1192">
        <v>0</v>
      </c>
      <c r="AB1192" s="2">
        <v>0</v>
      </c>
      <c r="AC1192" s="2">
        <v>0</v>
      </c>
      <c r="AD1192" s="4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7.46</v>
      </c>
      <c r="AN1192" s="2">
        <v>7.46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45999</v>
      </c>
      <c r="B1193" t="s">
        <v>48</v>
      </c>
      <c r="C1193">
        <v>649163</v>
      </c>
      <c r="D1193">
        <v>2023457499</v>
      </c>
      <c r="E1193" t="s">
        <v>1280</v>
      </c>
      <c r="F1193" t="s">
        <v>824</v>
      </c>
      <c r="G1193" t="s">
        <v>51</v>
      </c>
      <c r="H1193" t="s">
        <v>52</v>
      </c>
      <c r="I1193" t="s">
        <v>169</v>
      </c>
      <c r="J1193" t="s">
        <v>170</v>
      </c>
      <c r="K1193">
        <v>728134</v>
      </c>
      <c r="L1193" t="s">
        <v>183</v>
      </c>
      <c r="M1193" t="s">
        <v>184</v>
      </c>
      <c r="N1193" t="s">
        <v>57</v>
      </c>
      <c r="O1193" s="1">
        <v>45474</v>
      </c>
      <c r="Q1193" s="1">
        <v>46023</v>
      </c>
      <c r="R1193" s="2">
        <v>33.590000000000003</v>
      </c>
      <c r="S1193">
        <v>1</v>
      </c>
      <c r="T1193" t="s">
        <v>58</v>
      </c>
      <c r="U1193" t="s">
        <v>59</v>
      </c>
      <c r="V1193" s="3">
        <v>5.2499999999999998E-2</v>
      </c>
      <c r="W1193" s="2">
        <v>0</v>
      </c>
      <c r="X1193">
        <v>0</v>
      </c>
      <c r="Y1193" t="s">
        <v>60</v>
      </c>
      <c r="Z1193" t="s">
        <v>61</v>
      </c>
      <c r="AA1193">
        <v>0</v>
      </c>
      <c r="AB1193" s="2">
        <v>0</v>
      </c>
      <c r="AC1193" s="2">
        <v>0</v>
      </c>
      <c r="AD1193" s="4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1.76</v>
      </c>
      <c r="AN1193" s="2">
        <v>1.76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45999</v>
      </c>
      <c r="B1194" t="s">
        <v>48</v>
      </c>
      <c r="C1194">
        <v>649163</v>
      </c>
      <c r="D1194">
        <v>2023644771</v>
      </c>
      <c r="E1194" t="s">
        <v>1281</v>
      </c>
      <c r="F1194" t="s">
        <v>405</v>
      </c>
      <c r="G1194" t="s">
        <v>51</v>
      </c>
      <c r="H1194" t="s">
        <v>52</v>
      </c>
      <c r="I1194" t="s">
        <v>169</v>
      </c>
      <c r="J1194" t="s">
        <v>170</v>
      </c>
      <c r="K1194">
        <v>728134</v>
      </c>
      <c r="L1194" t="s">
        <v>183</v>
      </c>
      <c r="M1194" t="s">
        <v>184</v>
      </c>
      <c r="N1194" t="s">
        <v>57</v>
      </c>
      <c r="O1194" s="1">
        <v>45474</v>
      </c>
      <c r="Q1194" s="1">
        <v>46023</v>
      </c>
      <c r="R1194" s="2">
        <v>57.22</v>
      </c>
      <c r="S1194">
        <v>1</v>
      </c>
      <c r="T1194" t="s">
        <v>58</v>
      </c>
      <c r="U1194" t="s">
        <v>59</v>
      </c>
      <c r="V1194" s="3">
        <v>5.2499999999999998E-2</v>
      </c>
      <c r="W1194" s="2">
        <v>0</v>
      </c>
      <c r="X1194">
        <v>0</v>
      </c>
      <c r="Y1194" t="s">
        <v>60</v>
      </c>
      <c r="Z1194" t="s">
        <v>61</v>
      </c>
      <c r="AA1194">
        <v>0</v>
      </c>
      <c r="AB1194" s="2">
        <v>0</v>
      </c>
      <c r="AC1194" s="2">
        <v>0</v>
      </c>
      <c r="AD1194" s="4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3</v>
      </c>
      <c r="AN1194" s="2">
        <v>3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45999</v>
      </c>
      <c r="B1195" t="s">
        <v>48</v>
      </c>
      <c r="C1195">
        <v>649163</v>
      </c>
      <c r="D1195">
        <v>2023665220</v>
      </c>
      <c r="E1195" t="s">
        <v>1282</v>
      </c>
      <c r="F1195" t="s">
        <v>880</v>
      </c>
      <c r="G1195" t="s">
        <v>51</v>
      </c>
      <c r="H1195" t="s">
        <v>52</v>
      </c>
      <c r="I1195" t="s">
        <v>169</v>
      </c>
      <c r="J1195" t="s">
        <v>170</v>
      </c>
      <c r="K1195">
        <v>728134</v>
      </c>
      <c r="L1195" t="s">
        <v>183</v>
      </c>
      <c r="M1195" t="s">
        <v>184</v>
      </c>
      <c r="N1195" t="s">
        <v>57</v>
      </c>
      <c r="O1195" s="1">
        <v>45474</v>
      </c>
      <c r="Q1195" s="1">
        <v>46023</v>
      </c>
      <c r="R1195" s="2">
        <v>102.9</v>
      </c>
      <c r="S1195">
        <v>1</v>
      </c>
      <c r="T1195" t="s">
        <v>58</v>
      </c>
      <c r="U1195" t="s">
        <v>59</v>
      </c>
      <c r="V1195" s="3">
        <v>5.2499999999999998E-2</v>
      </c>
      <c r="W1195" s="2">
        <v>0</v>
      </c>
      <c r="X1195">
        <v>0</v>
      </c>
      <c r="Y1195" t="s">
        <v>60</v>
      </c>
      <c r="Z1195" t="s">
        <v>61</v>
      </c>
      <c r="AA1195">
        <v>0</v>
      </c>
      <c r="AB1195" s="2">
        <v>0</v>
      </c>
      <c r="AC1195" s="2">
        <v>0</v>
      </c>
      <c r="AD1195" s="4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5.4</v>
      </c>
      <c r="AN1195" s="2">
        <v>5.4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45999</v>
      </c>
      <c r="B1196" t="s">
        <v>48</v>
      </c>
      <c r="C1196">
        <v>649163</v>
      </c>
      <c r="D1196">
        <v>2023679652</v>
      </c>
      <c r="E1196" t="s">
        <v>1283</v>
      </c>
      <c r="F1196" t="s">
        <v>122</v>
      </c>
      <c r="G1196" t="s">
        <v>51</v>
      </c>
      <c r="H1196" t="s">
        <v>52</v>
      </c>
      <c r="I1196" t="s">
        <v>169</v>
      </c>
      <c r="J1196" t="s">
        <v>170</v>
      </c>
      <c r="K1196">
        <v>728134</v>
      </c>
      <c r="L1196" t="s">
        <v>183</v>
      </c>
      <c r="M1196" t="s">
        <v>184</v>
      </c>
      <c r="N1196" t="s">
        <v>57</v>
      </c>
      <c r="O1196" s="1">
        <v>45474</v>
      </c>
      <c r="Q1196" s="1">
        <v>46023</v>
      </c>
      <c r="R1196" s="2">
        <v>47.32</v>
      </c>
      <c r="S1196">
        <v>1</v>
      </c>
      <c r="T1196" t="s">
        <v>58</v>
      </c>
      <c r="U1196" t="s">
        <v>59</v>
      </c>
      <c r="V1196" s="3">
        <v>5.2499999999999998E-2</v>
      </c>
      <c r="W1196" s="2">
        <v>0</v>
      </c>
      <c r="X1196">
        <v>0</v>
      </c>
      <c r="Y1196" t="s">
        <v>60</v>
      </c>
      <c r="Z1196" t="s">
        <v>61</v>
      </c>
      <c r="AA1196">
        <v>0</v>
      </c>
      <c r="AB1196" s="2">
        <v>0</v>
      </c>
      <c r="AC1196" s="2">
        <v>0</v>
      </c>
      <c r="AD1196" s="4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2.48</v>
      </c>
      <c r="AN1196" s="2">
        <v>2.48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45999</v>
      </c>
      <c r="B1197" t="s">
        <v>48</v>
      </c>
      <c r="C1197">
        <v>649163</v>
      </c>
      <c r="D1197">
        <v>2023688176</v>
      </c>
      <c r="E1197" t="s">
        <v>1284</v>
      </c>
      <c r="F1197" t="s">
        <v>1285</v>
      </c>
      <c r="G1197" t="s">
        <v>51</v>
      </c>
      <c r="H1197" t="s">
        <v>52</v>
      </c>
      <c r="I1197" t="s">
        <v>169</v>
      </c>
      <c r="J1197" t="s">
        <v>170</v>
      </c>
      <c r="K1197">
        <v>650218</v>
      </c>
      <c r="L1197" t="s">
        <v>88</v>
      </c>
      <c r="M1197" t="s">
        <v>89</v>
      </c>
      <c r="N1197" t="s">
        <v>57</v>
      </c>
      <c r="O1197" s="1">
        <v>45474</v>
      </c>
      <c r="Q1197" s="1">
        <v>46023</v>
      </c>
      <c r="R1197" s="2">
        <v>142.08000000000001</v>
      </c>
      <c r="S1197">
        <v>1</v>
      </c>
      <c r="T1197" t="s">
        <v>58</v>
      </c>
      <c r="U1197" t="s">
        <v>59</v>
      </c>
      <c r="V1197" s="3">
        <v>5.2499999999999998E-2</v>
      </c>
      <c r="W1197" s="2">
        <v>0</v>
      </c>
      <c r="X1197">
        <v>0</v>
      </c>
      <c r="Y1197" t="s">
        <v>60</v>
      </c>
      <c r="Z1197" t="s">
        <v>61</v>
      </c>
      <c r="AA1197">
        <v>0</v>
      </c>
      <c r="AB1197" s="2">
        <v>0</v>
      </c>
      <c r="AC1197" s="2">
        <v>0</v>
      </c>
      <c r="AD1197" s="4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7.46</v>
      </c>
      <c r="AN1197" s="2">
        <v>7.46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45999</v>
      </c>
      <c r="B1198" t="s">
        <v>48</v>
      </c>
      <c r="C1198">
        <v>649163</v>
      </c>
      <c r="D1198">
        <v>2024244626</v>
      </c>
      <c r="E1198" t="s">
        <v>1286</v>
      </c>
      <c r="F1198" t="s">
        <v>1287</v>
      </c>
      <c r="G1198" t="s">
        <v>51</v>
      </c>
      <c r="H1198" t="s">
        <v>52</v>
      </c>
      <c r="I1198" t="s">
        <v>169</v>
      </c>
      <c r="J1198" t="s">
        <v>170</v>
      </c>
      <c r="K1198">
        <v>649247</v>
      </c>
      <c r="L1198" t="s">
        <v>187</v>
      </c>
      <c r="M1198" t="s">
        <v>188</v>
      </c>
      <c r="N1198" t="s">
        <v>57</v>
      </c>
      <c r="O1198" s="1">
        <v>45536</v>
      </c>
      <c r="Q1198" s="1">
        <v>46023</v>
      </c>
      <c r="R1198" s="2">
        <v>56.88</v>
      </c>
      <c r="S1198">
        <v>1</v>
      </c>
      <c r="T1198" t="s">
        <v>58</v>
      </c>
      <c r="U1198" t="s">
        <v>59</v>
      </c>
      <c r="V1198" s="3">
        <v>5.2499999999999998E-2</v>
      </c>
      <c r="W1198" s="2">
        <v>0</v>
      </c>
      <c r="X1198">
        <v>0</v>
      </c>
      <c r="Y1198" t="s">
        <v>60</v>
      </c>
      <c r="Z1198" t="s">
        <v>61</v>
      </c>
      <c r="AA1198">
        <v>0</v>
      </c>
      <c r="AB1198" s="2">
        <v>0</v>
      </c>
      <c r="AC1198" s="2">
        <v>0</v>
      </c>
      <c r="AD1198" s="4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2.99</v>
      </c>
      <c r="AN1198" s="2">
        <v>2.99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45999</v>
      </c>
      <c r="B1199" t="s">
        <v>48</v>
      </c>
      <c r="C1199">
        <v>649163</v>
      </c>
      <c r="D1199">
        <v>2024254141</v>
      </c>
      <c r="E1199" t="s">
        <v>1288</v>
      </c>
      <c r="F1199" t="s">
        <v>1289</v>
      </c>
      <c r="G1199" t="s">
        <v>51</v>
      </c>
      <c r="H1199" t="s">
        <v>52</v>
      </c>
      <c r="I1199" t="s">
        <v>169</v>
      </c>
      <c r="J1199" t="s">
        <v>170</v>
      </c>
      <c r="K1199">
        <v>649247</v>
      </c>
      <c r="L1199" t="s">
        <v>187</v>
      </c>
      <c r="M1199" t="s">
        <v>188</v>
      </c>
      <c r="N1199" t="s">
        <v>57</v>
      </c>
      <c r="O1199" s="1">
        <v>45510</v>
      </c>
      <c r="Q1199" s="1">
        <v>46028</v>
      </c>
      <c r="R1199" s="2">
        <v>45.54</v>
      </c>
      <c r="S1199">
        <v>1</v>
      </c>
      <c r="T1199" t="s">
        <v>58</v>
      </c>
      <c r="U1199" t="s">
        <v>59</v>
      </c>
      <c r="V1199" s="3">
        <v>5.2499999999999998E-2</v>
      </c>
      <c r="W1199" s="2">
        <v>0</v>
      </c>
      <c r="X1199">
        <v>0</v>
      </c>
      <c r="Y1199" t="s">
        <v>60</v>
      </c>
      <c r="Z1199" t="s">
        <v>61</v>
      </c>
      <c r="AA1199">
        <v>0</v>
      </c>
      <c r="AB1199" s="2">
        <v>0</v>
      </c>
      <c r="AC1199" s="2">
        <v>0</v>
      </c>
      <c r="AD1199" s="4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2.39</v>
      </c>
      <c r="AN1199" s="2">
        <v>2.39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45999</v>
      </c>
      <c r="B1200" t="s">
        <v>48</v>
      </c>
      <c r="C1200">
        <v>649163</v>
      </c>
      <c r="D1200">
        <v>2024578754</v>
      </c>
      <c r="E1200" t="s">
        <v>1290</v>
      </c>
      <c r="F1200" t="s">
        <v>1291</v>
      </c>
      <c r="G1200" t="s">
        <v>51</v>
      </c>
      <c r="H1200" t="s">
        <v>52</v>
      </c>
      <c r="I1200" t="s">
        <v>169</v>
      </c>
      <c r="J1200" t="s">
        <v>170</v>
      </c>
      <c r="K1200">
        <v>728134</v>
      </c>
      <c r="L1200" t="s">
        <v>183</v>
      </c>
      <c r="M1200" t="s">
        <v>184</v>
      </c>
      <c r="N1200" t="s">
        <v>57</v>
      </c>
      <c r="O1200" s="1">
        <v>45566</v>
      </c>
      <c r="Q1200" s="1">
        <v>46023</v>
      </c>
      <c r="R1200" s="2">
        <v>33.590000000000003</v>
      </c>
      <c r="S1200">
        <v>1</v>
      </c>
      <c r="T1200" t="s">
        <v>58</v>
      </c>
      <c r="U1200" t="s">
        <v>59</v>
      </c>
      <c r="V1200" s="3">
        <v>5.2499999999999998E-2</v>
      </c>
      <c r="W1200" s="2">
        <v>0</v>
      </c>
      <c r="X1200">
        <v>0</v>
      </c>
      <c r="Y1200" t="s">
        <v>60</v>
      </c>
      <c r="Z1200" t="s">
        <v>61</v>
      </c>
      <c r="AA1200">
        <v>0</v>
      </c>
      <c r="AB1200" s="2">
        <v>0</v>
      </c>
      <c r="AC1200" s="2">
        <v>0</v>
      </c>
      <c r="AD1200" s="4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1.76</v>
      </c>
      <c r="AN1200" s="2">
        <v>1.76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45999</v>
      </c>
      <c r="B1201" t="s">
        <v>48</v>
      </c>
      <c r="C1201">
        <v>649163</v>
      </c>
      <c r="D1201">
        <v>2024984249</v>
      </c>
      <c r="E1201" t="s">
        <v>1292</v>
      </c>
      <c r="F1201" t="s">
        <v>182</v>
      </c>
      <c r="G1201" t="s">
        <v>51</v>
      </c>
      <c r="H1201" t="s">
        <v>52</v>
      </c>
      <c r="I1201" t="s">
        <v>169</v>
      </c>
      <c r="J1201" t="s">
        <v>170</v>
      </c>
      <c r="K1201">
        <v>728134</v>
      </c>
      <c r="L1201" t="s">
        <v>183</v>
      </c>
      <c r="M1201" t="s">
        <v>184</v>
      </c>
      <c r="N1201" t="s">
        <v>57</v>
      </c>
      <c r="O1201" s="1">
        <v>45597</v>
      </c>
      <c r="Q1201" s="1">
        <v>46023</v>
      </c>
      <c r="R1201" s="2">
        <v>78.83</v>
      </c>
      <c r="S1201">
        <v>1</v>
      </c>
      <c r="T1201" t="s">
        <v>58</v>
      </c>
      <c r="U1201" t="s">
        <v>59</v>
      </c>
      <c r="V1201" s="3">
        <v>5.2499999999999998E-2</v>
      </c>
      <c r="W1201" s="2">
        <v>0</v>
      </c>
      <c r="X1201">
        <v>0</v>
      </c>
      <c r="Y1201" t="s">
        <v>60</v>
      </c>
      <c r="Z1201" t="s">
        <v>61</v>
      </c>
      <c r="AA1201">
        <v>0</v>
      </c>
      <c r="AB1201" s="2">
        <v>0</v>
      </c>
      <c r="AC1201" s="2">
        <v>0</v>
      </c>
      <c r="AD1201" s="4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4.1399999999999997</v>
      </c>
      <c r="AN1201" s="2">
        <v>4.1399999999999997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45999</v>
      </c>
      <c r="B1202" t="s">
        <v>48</v>
      </c>
      <c r="C1202">
        <v>649163</v>
      </c>
      <c r="D1202">
        <v>2025510689</v>
      </c>
      <c r="E1202" t="s">
        <v>1237</v>
      </c>
      <c r="F1202" t="s">
        <v>1293</v>
      </c>
      <c r="G1202" t="s">
        <v>51</v>
      </c>
      <c r="H1202" t="s">
        <v>220</v>
      </c>
      <c r="I1202" t="s">
        <v>169</v>
      </c>
      <c r="J1202" t="s">
        <v>170</v>
      </c>
      <c r="K1202">
        <v>673059</v>
      </c>
      <c r="L1202" t="s">
        <v>81</v>
      </c>
      <c r="M1202" t="s">
        <v>82</v>
      </c>
      <c r="N1202" t="s">
        <v>57</v>
      </c>
      <c r="O1202" s="1">
        <v>45627</v>
      </c>
      <c r="Q1202" s="1">
        <v>46023</v>
      </c>
      <c r="R1202" s="2">
        <v>57.84</v>
      </c>
      <c r="S1202">
        <v>1</v>
      </c>
      <c r="T1202" t="s">
        <v>58</v>
      </c>
      <c r="U1202" t="s">
        <v>59</v>
      </c>
      <c r="V1202" s="3">
        <v>5.2499999999999998E-2</v>
      </c>
      <c r="W1202" s="2">
        <v>0</v>
      </c>
      <c r="X1202">
        <v>0</v>
      </c>
      <c r="Y1202" t="s">
        <v>60</v>
      </c>
      <c r="Z1202" t="s">
        <v>61</v>
      </c>
      <c r="AA1202">
        <v>0</v>
      </c>
      <c r="AB1202" s="2">
        <v>0</v>
      </c>
      <c r="AC1202" s="2">
        <v>0</v>
      </c>
      <c r="AD1202" s="4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3.04</v>
      </c>
      <c r="AN1202" s="2">
        <v>3.04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45999</v>
      </c>
      <c r="B1203" t="s">
        <v>48</v>
      </c>
      <c r="C1203">
        <v>649163</v>
      </c>
      <c r="D1203">
        <v>2025525110</v>
      </c>
      <c r="E1203" t="s">
        <v>1294</v>
      </c>
      <c r="F1203" t="s">
        <v>1295</v>
      </c>
      <c r="G1203" t="s">
        <v>51</v>
      </c>
      <c r="H1203" t="s">
        <v>52</v>
      </c>
      <c r="I1203" t="s">
        <v>169</v>
      </c>
      <c r="J1203" t="s">
        <v>170</v>
      </c>
      <c r="K1203">
        <v>649247</v>
      </c>
      <c r="L1203" t="s">
        <v>187</v>
      </c>
      <c r="M1203" t="s">
        <v>188</v>
      </c>
      <c r="N1203" t="s">
        <v>57</v>
      </c>
      <c r="O1203" s="1">
        <v>45597</v>
      </c>
      <c r="Q1203" s="1">
        <v>46023</v>
      </c>
      <c r="R1203" s="2">
        <v>104.08</v>
      </c>
      <c r="S1203">
        <v>1</v>
      </c>
      <c r="T1203" t="s">
        <v>58</v>
      </c>
      <c r="U1203" t="s">
        <v>59</v>
      </c>
      <c r="V1203" s="3">
        <v>5.2499999999999998E-2</v>
      </c>
      <c r="W1203" s="2">
        <v>0</v>
      </c>
      <c r="X1203">
        <v>0</v>
      </c>
      <c r="Y1203" t="s">
        <v>60</v>
      </c>
      <c r="Z1203" t="s">
        <v>61</v>
      </c>
      <c r="AA1203">
        <v>0</v>
      </c>
      <c r="AB1203" s="2">
        <v>0</v>
      </c>
      <c r="AC1203" s="2">
        <v>0</v>
      </c>
      <c r="AD1203" s="4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5.46</v>
      </c>
      <c r="AN1203" s="2">
        <v>5.46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45999</v>
      </c>
      <c r="B1204" t="s">
        <v>48</v>
      </c>
      <c r="C1204">
        <v>649163</v>
      </c>
      <c r="D1204">
        <v>2025735300</v>
      </c>
      <c r="E1204" t="s">
        <v>1296</v>
      </c>
      <c r="F1204" t="s">
        <v>1297</v>
      </c>
      <c r="G1204" t="s">
        <v>51</v>
      </c>
      <c r="H1204" t="s">
        <v>52</v>
      </c>
      <c r="I1204" t="s">
        <v>169</v>
      </c>
      <c r="J1204" t="s">
        <v>170</v>
      </c>
      <c r="K1204">
        <v>728134</v>
      </c>
      <c r="L1204" t="s">
        <v>183</v>
      </c>
      <c r="M1204" t="s">
        <v>184</v>
      </c>
      <c r="N1204" t="s">
        <v>57</v>
      </c>
      <c r="O1204" s="1">
        <v>45658</v>
      </c>
      <c r="Q1204" s="1">
        <v>46023</v>
      </c>
      <c r="R1204" s="2">
        <v>78.83</v>
      </c>
      <c r="S1204">
        <v>1</v>
      </c>
      <c r="T1204" t="s">
        <v>58</v>
      </c>
      <c r="U1204" t="s">
        <v>59</v>
      </c>
      <c r="V1204" s="4">
        <v>0.47</v>
      </c>
      <c r="W1204" s="2">
        <v>0</v>
      </c>
      <c r="X1204">
        <v>0</v>
      </c>
      <c r="Y1204" t="s">
        <v>83</v>
      </c>
      <c r="Z1204" t="s">
        <v>61</v>
      </c>
      <c r="AA1204">
        <v>0</v>
      </c>
      <c r="AB1204" s="2">
        <v>0</v>
      </c>
      <c r="AC1204" s="2">
        <v>0</v>
      </c>
      <c r="AD1204" s="4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37.049999999999997</v>
      </c>
      <c r="AN1204" s="2">
        <v>37.049999999999997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45999</v>
      </c>
      <c r="B1205" t="s">
        <v>48</v>
      </c>
      <c r="C1205">
        <v>649163</v>
      </c>
      <c r="D1205">
        <v>2025952183</v>
      </c>
      <c r="E1205" t="s">
        <v>1298</v>
      </c>
      <c r="F1205" t="s">
        <v>249</v>
      </c>
      <c r="G1205" t="s">
        <v>51</v>
      </c>
      <c r="H1205" t="s">
        <v>102</v>
      </c>
      <c r="I1205" t="s">
        <v>169</v>
      </c>
      <c r="J1205" t="s">
        <v>170</v>
      </c>
      <c r="K1205">
        <v>792847</v>
      </c>
      <c r="L1205" t="s">
        <v>155</v>
      </c>
      <c r="M1205" t="s">
        <v>156</v>
      </c>
      <c r="N1205" t="s">
        <v>94</v>
      </c>
      <c r="O1205" s="1">
        <v>45627</v>
      </c>
      <c r="P1205" s="1">
        <v>45999</v>
      </c>
      <c r="Q1205" s="1">
        <v>46023</v>
      </c>
      <c r="R1205" s="2">
        <v>72.010000000000005</v>
      </c>
      <c r="S1205">
        <v>1</v>
      </c>
      <c r="T1205" t="s">
        <v>58</v>
      </c>
      <c r="U1205" t="s">
        <v>59</v>
      </c>
      <c r="V1205" s="3">
        <v>5.2499999999999998E-2</v>
      </c>
      <c r="W1205" s="2">
        <v>0</v>
      </c>
      <c r="X1205">
        <v>0</v>
      </c>
      <c r="Y1205" t="s">
        <v>60</v>
      </c>
      <c r="Z1205" t="s">
        <v>61</v>
      </c>
      <c r="AA1205">
        <v>0</v>
      </c>
      <c r="AB1205" s="2">
        <v>0</v>
      </c>
      <c r="AC1205" s="2">
        <v>0</v>
      </c>
      <c r="AD1205" s="4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3.78</v>
      </c>
      <c r="AN1205" s="2">
        <v>3.78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45999</v>
      </c>
      <c r="B1206" t="s">
        <v>48</v>
      </c>
      <c r="C1206">
        <v>649163</v>
      </c>
      <c r="D1206">
        <v>2026002594</v>
      </c>
      <c r="E1206" t="s">
        <v>1299</v>
      </c>
      <c r="F1206" t="s">
        <v>962</v>
      </c>
      <c r="G1206" t="s">
        <v>51</v>
      </c>
      <c r="H1206" t="s">
        <v>52</v>
      </c>
      <c r="I1206" t="s">
        <v>169</v>
      </c>
      <c r="J1206" t="s">
        <v>1274</v>
      </c>
      <c r="K1206">
        <v>751867</v>
      </c>
      <c r="L1206" t="s">
        <v>70</v>
      </c>
      <c r="M1206" t="s">
        <v>71</v>
      </c>
      <c r="N1206" t="s">
        <v>57</v>
      </c>
      <c r="O1206" s="1">
        <v>45629</v>
      </c>
      <c r="Q1206" s="1">
        <v>46025</v>
      </c>
      <c r="R1206" s="2">
        <v>55.2</v>
      </c>
      <c r="S1206">
        <v>1</v>
      </c>
      <c r="T1206" t="s">
        <v>58</v>
      </c>
      <c r="U1206" t="s">
        <v>59</v>
      </c>
      <c r="V1206" s="4">
        <v>0.08</v>
      </c>
      <c r="W1206" s="2">
        <v>0</v>
      </c>
      <c r="X1206">
        <v>0</v>
      </c>
      <c r="Y1206" t="s">
        <v>60</v>
      </c>
      <c r="Z1206" t="s">
        <v>61</v>
      </c>
      <c r="AA1206">
        <v>0</v>
      </c>
      <c r="AB1206" s="2">
        <v>0</v>
      </c>
      <c r="AC1206" s="2">
        <v>0</v>
      </c>
      <c r="AD1206" s="4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4.42</v>
      </c>
      <c r="AN1206" s="2">
        <v>4.42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45999</v>
      </c>
      <c r="B1207" t="s">
        <v>48</v>
      </c>
      <c r="C1207">
        <v>649163</v>
      </c>
      <c r="D1207">
        <v>2026002595</v>
      </c>
      <c r="E1207" t="s">
        <v>1299</v>
      </c>
      <c r="F1207" t="s">
        <v>962</v>
      </c>
      <c r="G1207" t="s">
        <v>51</v>
      </c>
      <c r="H1207" t="s">
        <v>52</v>
      </c>
      <c r="I1207" t="s">
        <v>169</v>
      </c>
      <c r="J1207" t="s">
        <v>170</v>
      </c>
      <c r="K1207">
        <v>751867</v>
      </c>
      <c r="L1207" t="s">
        <v>70</v>
      </c>
      <c r="M1207" t="s">
        <v>71</v>
      </c>
      <c r="N1207" t="s">
        <v>57</v>
      </c>
      <c r="O1207" s="1">
        <v>45629</v>
      </c>
      <c r="Q1207" s="1">
        <v>46025</v>
      </c>
      <c r="R1207" s="2">
        <v>25.27</v>
      </c>
      <c r="S1207">
        <v>1</v>
      </c>
      <c r="T1207" t="s">
        <v>58</v>
      </c>
      <c r="U1207" t="s">
        <v>59</v>
      </c>
      <c r="V1207" s="3">
        <v>5.2499999999999998E-2</v>
      </c>
      <c r="W1207" s="2">
        <v>0</v>
      </c>
      <c r="X1207">
        <v>0</v>
      </c>
      <c r="Y1207" t="s">
        <v>60</v>
      </c>
      <c r="Z1207" t="s">
        <v>61</v>
      </c>
      <c r="AA1207">
        <v>0</v>
      </c>
      <c r="AB1207" s="2">
        <v>0</v>
      </c>
      <c r="AC1207" s="2">
        <v>0</v>
      </c>
      <c r="AD1207" s="4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1.33</v>
      </c>
      <c r="AN1207" s="2">
        <v>1.33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45999</v>
      </c>
      <c r="B1208" t="s">
        <v>48</v>
      </c>
      <c r="C1208">
        <v>649163</v>
      </c>
      <c r="D1208">
        <v>2026023535</v>
      </c>
      <c r="E1208" t="s">
        <v>1300</v>
      </c>
      <c r="F1208" t="s">
        <v>1301</v>
      </c>
      <c r="G1208" t="s">
        <v>51</v>
      </c>
      <c r="H1208" t="s">
        <v>52</v>
      </c>
      <c r="I1208" t="s">
        <v>169</v>
      </c>
      <c r="J1208" t="s">
        <v>170</v>
      </c>
      <c r="K1208">
        <v>810052</v>
      </c>
      <c r="L1208" t="s">
        <v>1302</v>
      </c>
      <c r="M1208" t="s">
        <v>1085</v>
      </c>
      <c r="N1208" t="s">
        <v>57</v>
      </c>
      <c r="O1208" s="1">
        <v>45630</v>
      </c>
      <c r="Q1208" s="1">
        <v>46026</v>
      </c>
      <c r="R1208" s="2">
        <v>51.19</v>
      </c>
      <c r="S1208">
        <v>1</v>
      </c>
      <c r="T1208" t="s">
        <v>58</v>
      </c>
      <c r="U1208" t="s">
        <v>59</v>
      </c>
      <c r="V1208" s="4">
        <v>0</v>
      </c>
      <c r="W1208" s="2">
        <v>0</v>
      </c>
      <c r="X1208">
        <v>0</v>
      </c>
      <c r="Y1208" t="s">
        <v>60</v>
      </c>
      <c r="Z1208" t="s">
        <v>61</v>
      </c>
      <c r="AA1208">
        <v>0</v>
      </c>
      <c r="AB1208" s="2">
        <v>0</v>
      </c>
      <c r="AC1208" s="2">
        <v>0</v>
      </c>
      <c r="AD1208" s="4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0.38</v>
      </c>
      <c r="AN1208" s="2">
        <v>0.38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45999</v>
      </c>
      <c r="B1209" t="s">
        <v>48</v>
      </c>
      <c r="C1209">
        <v>649163</v>
      </c>
      <c r="D1209">
        <v>2026107902</v>
      </c>
      <c r="E1209" t="s">
        <v>1303</v>
      </c>
      <c r="F1209" t="s">
        <v>1304</v>
      </c>
      <c r="G1209" t="s">
        <v>51</v>
      </c>
      <c r="H1209" t="s">
        <v>52</v>
      </c>
      <c r="I1209" t="s">
        <v>169</v>
      </c>
      <c r="J1209" t="s">
        <v>170</v>
      </c>
      <c r="K1209">
        <v>728134</v>
      </c>
      <c r="L1209" t="s">
        <v>183</v>
      </c>
      <c r="M1209" t="s">
        <v>184</v>
      </c>
      <c r="N1209" t="s">
        <v>94</v>
      </c>
      <c r="O1209" s="1">
        <v>45658</v>
      </c>
      <c r="P1209" s="1">
        <v>45999</v>
      </c>
      <c r="Q1209" s="1">
        <v>46023</v>
      </c>
      <c r="R1209" s="2">
        <v>1.08</v>
      </c>
      <c r="S1209">
        <v>1</v>
      </c>
      <c r="T1209" t="s">
        <v>58</v>
      </c>
      <c r="U1209" t="s">
        <v>59</v>
      </c>
      <c r="V1209" s="4">
        <v>0.47</v>
      </c>
      <c r="W1209" s="2">
        <v>0</v>
      </c>
      <c r="X1209">
        <v>0</v>
      </c>
      <c r="Y1209" t="s">
        <v>83</v>
      </c>
      <c r="Z1209" t="s">
        <v>61</v>
      </c>
      <c r="AA1209">
        <v>0</v>
      </c>
      <c r="AB1209" s="2">
        <v>0</v>
      </c>
      <c r="AC1209" s="2">
        <v>0</v>
      </c>
      <c r="AD1209" s="4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0.51</v>
      </c>
      <c r="AN1209" s="2">
        <v>0.51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45999</v>
      </c>
      <c r="B1210" t="s">
        <v>48</v>
      </c>
      <c r="C1210">
        <v>649163</v>
      </c>
      <c r="D1210">
        <v>2026488078</v>
      </c>
      <c r="E1210" t="s">
        <v>1305</v>
      </c>
      <c r="F1210" t="s">
        <v>1306</v>
      </c>
      <c r="G1210" t="s">
        <v>51</v>
      </c>
      <c r="H1210" t="s">
        <v>52</v>
      </c>
      <c r="I1210" t="s">
        <v>169</v>
      </c>
      <c r="J1210" t="s">
        <v>170</v>
      </c>
      <c r="K1210">
        <v>728134</v>
      </c>
      <c r="L1210" t="s">
        <v>183</v>
      </c>
      <c r="M1210" t="s">
        <v>184</v>
      </c>
      <c r="N1210" t="s">
        <v>57</v>
      </c>
      <c r="O1210" s="1">
        <v>45689</v>
      </c>
      <c r="Q1210" s="1">
        <v>46023</v>
      </c>
      <c r="R1210" s="2">
        <v>33.590000000000003</v>
      </c>
      <c r="S1210">
        <v>1</v>
      </c>
      <c r="T1210" t="s">
        <v>58</v>
      </c>
      <c r="U1210" t="s">
        <v>59</v>
      </c>
      <c r="V1210" s="4">
        <v>0.47</v>
      </c>
      <c r="W1210" s="2">
        <v>0</v>
      </c>
      <c r="X1210">
        <v>0</v>
      </c>
      <c r="Y1210" t="s">
        <v>83</v>
      </c>
      <c r="Z1210" t="s">
        <v>61</v>
      </c>
      <c r="AA1210">
        <v>0</v>
      </c>
      <c r="AB1210" s="2">
        <v>0</v>
      </c>
      <c r="AC1210" s="2">
        <v>0</v>
      </c>
      <c r="AD1210" s="4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15.79</v>
      </c>
      <c r="AN1210" s="2">
        <v>15.79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45999</v>
      </c>
      <c r="B1211" t="s">
        <v>48</v>
      </c>
      <c r="C1211">
        <v>649163</v>
      </c>
      <c r="D1211">
        <v>2026569744</v>
      </c>
      <c r="E1211" t="s">
        <v>136</v>
      </c>
      <c r="F1211" t="s">
        <v>137</v>
      </c>
      <c r="G1211" t="s">
        <v>51</v>
      </c>
      <c r="H1211" t="s">
        <v>125</v>
      </c>
      <c r="I1211" t="s">
        <v>169</v>
      </c>
      <c r="J1211" t="s">
        <v>170</v>
      </c>
      <c r="K1211">
        <v>767312</v>
      </c>
      <c r="L1211" t="s">
        <v>138</v>
      </c>
      <c r="M1211" t="s">
        <v>107</v>
      </c>
      <c r="N1211" t="s">
        <v>57</v>
      </c>
      <c r="O1211" s="1">
        <v>45689</v>
      </c>
      <c r="Q1211" s="1">
        <v>46023</v>
      </c>
      <c r="R1211" s="2">
        <v>47.6</v>
      </c>
      <c r="S1211">
        <v>1</v>
      </c>
      <c r="T1211" t="s">
        <v>58</v>
      </c>
      <c r="U1211" t="s">
        <v>59</v>
      </c>
      <c r="V1211" s="4">
        <v>0.47</v>
      </c>
      <c r="W1211" s="2">
        <v>0</v>
      </c>
      <c r="X1211">
        <v>0</v>
      </c>
      <c r="Y1211" t="s">
        <v>83</v>
      </c>
      <c r="Z1211" t="s">
        <v>61</v>
      </c>
      <c r="AA1211">
        <v>0</v>
      </c>
      <c r="AB1211" s="2">
        <v>0</v>
      </c>
      <c r="AC1211" s="2">
        <v>0</v>
      </c>
      <c r="AD1211" s="4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22.37</v>
      </c>
      <c r="AN1211" s="2">
        <v>22.37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45999</v>
      </c>
      <c r="B1212" t="s">
        <v>48</v>
      </c>
      <c r="C1212">
        <v>649163</v>
      </c>
      <c r="D1212">
        <v>2026694436</v>
      </c>
      <c r="E1212" t="s">
        <v>1307</v>
      </c>
      <c r="F1212" t="s">
        <v>1308</v>
      </c>
      <c r="G1212" t="s">
        <v>51</v>
      </c>
      <c r="H1212" t="s">
        <v>102</v>
      </c>
      <c r="I1212" t="s">
        <v>169</v>
      </c>
      <c r="J1212" t="s">
        <v>1274</v>
      </c>
      <c r="K1212">
        <v>651818</v>
      </c>
      <c r="L1212" t="s">
        <v>246</v>
      </c>
      <c r="M1212" t="s">
        <v>247</v>
      </c>
      <c r="N1212" t="s">
        <v>57</v>
      </c>
      <c r="O1212" s="1">
        <v>45695</v>
      </c>
      <c r="Q1212" s="1">
        <v>46029</v>
      </c>
      <c r="R1212" s="2">
        <v>172.98</v>
      </c>
      <c r="S1212">
        <v>1</v>
      </c>
      <c r="T1212" t="s">
        <v>58</v>
      </c>
      <c r="U1212" t="s">
        <v>59</v>
      </c>
      <c r="V1212" s="4">
        <v>0.51</v>
      </c>
      <c r="W1212" s="2">
        <v>0</v>
      </c>
      <c r="X1212">
        <v>0</v>
      </c>
      <c r="Y1212" t="s">
        <v>83</v>
      </c>
      <c r="Z1212" t="s">
        <v>61</v>
      </c>
      <c r="AA1212">
        <v>0</v>
      </c>
      <c r="AB1212" s="2">
        <v>0</v>
      </c>
      <c r="AC1212" s="2">
        <v>0</v>
      </c>
      <c r="AD1212" s="4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88.22</v>
      </c>
      <c r="AN1212" s="2">
        <v>88.22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45999</v>
      </c>
      <c r="B1213" t="s">
        <v>48</v>
      </c>
      <c r="C1213">
        <v>649163</v>
      </c>
      <c r="D1213">
        <v>2026694437</v>
      </c>
      <c r="E1213" t="s">
        <v>1307</v>
      </c>
      <c r="F1213" t="s">
        <v>1308</v>
      </c>
      <c r="G1213" t="s">
        <v>51</v>
      </c>
      <c r="H1213" t="s">
        <v>102</v>
      </c>
      <c r="I1213" t="s">
        <v>169</v>
      </c>
      <c r="J1213" t="s">
        <v>1275</v>
      </c>
      <c r="K1213">
        <v>651818</v>
      </c>
      <c r="L1213" t="s">
        <v>246</v>
      </c>
      <c r="M1213" t="s">
        <v>247</v>
      </c>
      <c r="N1213" t="s">
        <v>57</v>
      </c>
      <c r="O1213" s="1">
        <v>45695</v>
      </c>
      <c r="Q1213" s="1">
        <v>46029</v>
      </c>
      <c r="R1213" s="2">
        <v>14.95</v>
      </c>
      <c r="S1213">
        <v>1</v>
      </c>
      <c r="T1213" t="s">
        <v>58</v>
      </c>
      <c r="U1213" t="s">
        <v>59</v>
      </c>
      <c r="V1213" s="4">
        <v>0.51</v>
      </c>
      <c r="W1213" s="2">
        <v>0</v>
      </c>
      <c r="X1213">
        <v>0</v>
      </c>
      <c r="Y1213" t="s">
        <v>83</v>
      </c>
      <c r="Z1213" t="s">
        <v>61</v>
      </c>
      <c r="AA1213">
        <v>0</v>
      </c>
      <c r="AB1213" s="2">
        <v>0</v>
      </c>
      <c r="AC1213" s="2">
        <v>0</v>
      </c>
      <c r="AD1213" s="4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7.62</v>
      </c>
      <c r="AN1213" s="2">
        <v>7.62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45999</v>
      </c>
      <c r="B1214" t="s">
        <v>48</v>
      </c>
      <c r="C1214">
        <v>649163</v>
      </c>
      <c r="D1214">
        <v>2027050882</v>
      </c>
      <c r="E1214" t="s">
        <v>1309</v>
      </c>
      <c r="F1214" t="s">
        <v>1310</v>
      </c>
      <c r="G1214" t="s">
        <v>51</v>
      </c>
      <c r="H1214" t="s">
        <v>52</v>
      </c>
      <c r="I1214" t="s">
        <v>169</v>
      </c>
      <c r="J1214" t="s">
        <v>170</v>
      </c>
      <c r="K1214">
        <v>728134</v>
      </c>
      <c r="L1214" t="s">
        <v>183</v>
      </c>
      <c r="M1214" t="s">
        <v>184</v>
      </c>
      <c r="N1214" t="s">
        <v>57</v>
      </c>
      <c r="O1214" s="1">
        <v>45748</v>
      </c>
      <c r="Q1214" s="1">
        <v>46023</v>
      </c>
      <c r="R1214" s="2">
        <v>87.59</v>
      </c>
      <c r="S1214">
        <v>1</v>
      </c>
      <c r="T1214" t="s">
        <v>58</v>
      </c>
      <c r="U1214" t="s">
        <v>59</v>
      </c>
      <c r="V1214" s="4">
        <v>0.47</v>
      </c>
      <c r="W1214" s="2">
        <v>0</v>
      </c>
      <c r="X1214">
        <v>0</v>
      </c>
      <c r="Y1214" t="s">
        <v>83</v>
      </c>
      <c r="Z1214" t="s">
        <v>61</v>
      </c>
      <c r="AA1214">
        <v>0</v>
      </c>
      <c r="AB1214" s="2">
        <v>0</v>
      </c>
      <c r="AC1214" s="2">
        <v>0</v>
      </c>
      <c r="AD1214" s="4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41.17</v>
      </c>
      <c r="AN1214" s="2">
        <v>41.17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45999</v>
      </c>
      <c r="B1215" t="s">
        <v>48</v>
      </c>
      <c r="C1215">
        <v>649163</v>
      </c>
      <c r="D1215">
        <v>2027085370</v>
      </c>
      <c r="E1215" t="s">
        <v>1311</v>
      </c>
      <c r="F1215" t="s">
        <v>730</v>
      </c>
      <c r="G1215" t="s">
        <v>51</v>
      </c>
      <c r="H1215" t="s">
        <v>102</v>
      </c>
      <c r="I1215" t="s">
        <v>169</v>
      </c>
      <c r="J1215" t="s">
        <v>170</v>
      </c>
      <c r="K1215">
        <v>768887</v>
      </c>
      <c r="L1215" t="s">
        <v>206</v>
      </c>
      <c r="M1215" t="s">
        <v>207</v>
      </c>
      <c r="N1215" t="s">
        <v>57</v>
      </c>
      <c r="O1215" s="1">
        <v>45717</v>
      </c>
      <c r="Q1215" s="1">
        <v>46023</v>
      </c>
      <c r="R1215" s="2">
        <v>49.02</v>
      </c>
      <c r="S1215">
        <v>1</v>
      </c>
      <c r="T1215" t="s">
        <v>58</v>
      </c>
      <c r="U1215" t="s">
        <v>59</v>
      </c>
      <c r="V1215" s="4">
        <v>0.47</v>
      </c>
      <c r="W1215" s="2">
        <v>0</v>
      </c>
      <c r="X1215">
        <v>0</v>
      </c>
      <c r="Y1215" t="s">
        <v>83</v>
      </c>
      <c r="Z1215" t="s">
        <v>61</v>
      </c>
      <c r="AA1215">
        <v>0</v>
      </c>
      <c r="AB1215" s="2">
        <v>0</v>
      </c>
      <c r="AC1215" s="2">
        <v>0</v>
      </c>
      <c r="AD1215" s="4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23.04</v>
      </c>
      <c r="AN1215" s="2">
        <v>23.04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45999</v>
      </c>
      <c r="B1216" t="s">
        <v>48</v>
      </c>
      <c r="C1216">
        <v>649163</v>
      </c>
      <c r="D1216">
        <v>2027202668</v>
      </c>
      <c r="E1216" t="s">
        <v>1312</v>
      </c>
      <c r="F1216" t="s">
        <v>373</v>
      </c>
      <c r="G1216" t="s">
        <v>51</v>
      </c>
      <c r="H1216" t="s">
        <v>52</v>
      </c>
      <c r="I1216" t="s">
        <v>169</v>
      </c>
      <c r="J1216" t="s">
        <v>170</v>
      </c>
      <c r="K1216">
        <v>728134</v>
      </c>
      <c r="L1216" t="s">
        <v>183</v>
      </c>
      <c r="M1216" t="s">
        <v>184</v>
      </c>
      <c r="N1216" t="s">
        <v>57</v>
      </c>
      <c r="O1216" s="1">
        <v>45778</v>
      </c>
      <c r="Q1216" s="1">
        <v>46023</v>
      </c>
      <c r="R1216" s="2">
        <v>56.88</v>
      </c>
      <c r="S1216">
        <v>1</v>
      </c>
      <c r="T1216" t="s">
        <v>58</v>
      </c>
      <c r="U1216" t="s">
        <v>59</v>
      </c>
      <c r="V1216" s="4">
        <v>0.47</v>
      </c>
      <c r="W1216" s="2">
        <v>0</v>
      </c>
      <c r="X1216">
        <v>0</v>
      </c>
      <c r="Y1216" t="s">
        <v>83</v>
      </c>
      <c r="Z1216" t="s">
        <v>61</v>
      </c>
      <c r="AA1216">
        <v>0</v>
      </c>
      <c r="AB1216" s="2">
        <v>0</v>
      </c>
      <c r="AC1216" s="2">
        <v>0</v>
      </c>
      <c r="AD1216" s="4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26.73</v>
      </c>
      <c r="AN1216" s="2">
        <v>26.73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45999</v>
      </c>
      <c r="B1217" t="s">
        <v>48</v>
      </c>
      <c r="C1217">
        <v>649163</v>
      </c>
      <c r="D1217">
        <v>2027492023</v>
      </c>
      <c r="E1217" t="s">
        <v>1313</v>
      </c>
      <c r="F1217" t="s">
        <v>1314</v>
      </c>
      <c r="G1217" t="s">
        <v>51</v>
      </c>
      <c r="H1217" t="s">
        <v>102</v>
      </c>
      <c r="I1217" t="s">
        <v>169</v>
      </c>
      <c r="J1217" t="s">
        <v>1274</v>
      </c>
      <c r="K1217">
        <v>814033</v>
      </c>
      <c r="L1217" t="s">
        <v>284</v>
      </c>
      <c r="M1217" t="s">
        <v>285</v>
      </c>
      <c r="N1217" t="s">
        <v>57</v>
      </c>
      <c r="O1217" s="1">
        <v>45717</v>
      </c>
      <c r="Q1217" s="1">
        <v>46023</v>
      </c>
      <c r="R1217" s="2">
        <v>52.26</v>
      </c>
      <c r="S1217">
        <v>1</v>
      </c>
      <c r="T1217" t="s">
        <v>58</v>
      </c>
      <c r="U1217" t="s">
        <v>59</v>
      </c>
      <c r="V1217" s="4">
        <v>0.51</v>
      </c>
      <c r="W1217" s="2">
        <v>0</v>
      </c>
      <c r="X1217">
        <v>0</v>
      </c>
      <c r="Y1217" t="s">
        <v>83</v>
      </c>
      <c r="Z1217" t="s">
        <v>61</v>
      </c>
      <c r="AA1217">
        <v>0</v>
      </c>
      <c r="AB1217" s="2">
        <v>0</v>
      </c>
      <c r="AC1217" s="2">
        <v>0</v>
      </c>
      <c r="AD1217" s="4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26.65</v>
      </c>
      <c r="AN1217" s="2">
        <v>26.65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45999</v>
      </c>
      <c r="B1218" t="s">
        <v>48</v>
      </c>
      <c r="C1218">
        <v>649163</v>
      </c>
      <c r="D1218">
        <v>2027492024</v>
      </c>
      <c r="E1218" t="s">
        <v>1313</v>
      </c>
      <c r="F1218" t="s">
        <v>1314</v>
      </c>
      <c r="G1218" t="s">
        <v>51</v>
      </c>
      <c r="H1218" t="s">
        <v>102</v>
      </c>
      <c r="I1218" t="s">
        <v>169</v>
      </c>
      <c r="J1218" t="s">
        <v>1275</v>
      </c>
      <c r="K1218">
        <v>814033</v>
      </c>
      <c r="L1218" t="s">
        <v>284</v>
      </c>
      <c r="M1218" t="s">
        <v>285</v>
      </c>
      <c r="N1218" t="s">
        <v>57</v>
      </c>
      <c r="O1218" s="1">
        <v>45717</v>
      </c>
      <c r="Q1218" s="1">
        <v>46023</v>
      </c>
      <c r="R1218" s="2">
        <v>14.95</v>
      </c>
      <c r="S1218">
        <v>1</v>
      </c>
      <c r="T1218" t="s">
        <v>58</v>
      </c>
      <c r="U1218" t="s">
        <v>59</v>
      </c>
      <c r="V1218" s="4">
        <v>0.51</v>
      </c>
      <c r="W1218" s="2">
        <v>0</v>
      </c>
      <c r="X1218">
        <v>0</v>
      </c>
      <c r="Y1218" t="s">
        <v>83</v>
      </c>
      <c r="Z1218" t="s">
        <v>61</v>
      </c>
      <c r="AA1218">
        <v>0</v>
      </c>
      <c r="AB1218" s="2">
        <v>0</v>
      </c>
      <c r="AC1218" s="2">
        <v>0</v>
      </c>
      <c r="AD1218" s="4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7.62</v>
      </c>
      <c r="AN1218" s="2">
        <v>7.62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45999</v>
      </c>
      <c r="B1219" t="s">
        <v>48</v>
      </c>
      <c r="C1219">
        <v>649163</v>
      </c>
      <c r="D1219">
        <v>2027604739</v>
      </c>
      <c r="E1219" t="s">
        <v>1315</v>
      </c>
      <c r="F1219" t="s">
        <v>1316</v>
      </c>
      <c r="G1219" t="s">
        <v>51</v>
      </c>
      <c r="H1219" t="s">
        <v>648</v>
      </c>
      <c r="I1219" t="s">
        <v>169</v>
      </c>
      <c r="J1219" t="s">
        <v>170</v>
      </c>
      <c r="K1219">
        <v>766422</v>
      </c>
      <c r="L1219" t="s">
        <v>1026</v>
      </c>
      <c r="M1219" t="s">
        <v>247</v>
      </c>
      <c r="N1219" t="s">
        <v>57</v>
      </c>
      <c r="O1219" s="1">
        <v>45723</v>
      </c>
      <c r="Q1219" s="1">
        <v>46029</v>
      </c>
      <c r="R1219" s="2">
        <v>51.04</v>
      </c>
      <c r="S1219">
        <v>1</v>
      </c>
      <c r="T1219" t="s">
        <v>58</v>
      </c>
      <c r="U1219" t="s">
        <v>59</v>
      </c>
      <c r="V1219" s="4">
        <v>0.47</v>
      </c>
      <c r="W1219" s="2">
        <v>0</v>
      </c>
      <c r="X1219">
        <v>0</v>
      </c>
      <c r="Y1219" t="s">
        <v>83</v>
      </c>
      <c r="Z1219" t="s">
        <v>61</v>
      </c>
      <c r="AA1219">
        <v>0</v>
      </c>
      <c r="AB1219" s="2">
        <v>0</v>
      </c>
      <c r="AC1219" s="2">
        <v>0</v>
      </c>
      <c r="AD1219" s="4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23.99</v>
      </c>
      <c r="AN1219" s="2">
        <v>23.99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45999</v>
      </c>
      <c r="B1220" t="s">
        <v>48</v>
      </c>
      <c r="C1220">
        <v>649163</v>
      </c>
      <c r="D1220">
        <v>2027605652</v>
      </c>
      <c r="E1220" t="s">
        <v>1317</v>
      </c>
      <c r="F1220" t="s">
        <v>1318</v>
      </c>
      <c r="G1220" t="s">
        <v>51</v>
      </c>
      <c r="H1220" t="s">
        <v>102</v>
      </c>
      <c r="I1220" t="s">
        <v>169</v>
      </c>
      <c r="J1220" t="s">
        <v>170</v>
      </c>
      <c r="K1220">
        <v>764123</v>
      </c>
      <c r="L1220" t="s">
        <v>494</v>
      </c>
      <c r="M1220" t="s">
        <v>475</v>
      </c>
      <c r="N1220" t="s">
        <v>57</v>
      </c>
      <c r="O1220" s="1">
        <v>45722</v>
      </c>
      <c r="Q1220" s="1">
        <v>46028</v>
      </c>
      <c r="R1220" s="2">
        <v>83.39</v>
      </c>
      <c r="S1220">
        <v>1</v>
      </c>
      <c r="T1220" t="s">
        <v>58</v>
      </c>
      <c r="U1220" t="s">
        <v>59</v>
      </c>
      <c r="V1220" s="4">
        <v>0.47</v>
      </c>
      <c r="W1220" s="2">
        <v>0</v>
      </c>
      <c r="X1220">
        <v>0</v>
      </c>
      <c r="Y1220" t="s">
        <v>83</v>
      </c>
      <c r="Z1220" t="s">
        <v>61</v>
      </c>
      <c r="AA1220">
        <v>0</v>
      </c>
      <c r="AB1220" s="2">
        <v>0</v>
      </c>
      <c r="AC1220" s="2">
        <v>0</v>
      </c>
      <c r="AD1220" s="4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39.19</v>
      </c>
      <c r="AN1220" s="2">
        <v>39.19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45999</v>
      </c>
      <c r="B1221" t="s">
        <v>48</v>
      </c>
      <c r="C1221">
        <v>649163</v>
      </c>
      <c r="D1221">
        <v>2027712448</v>
      </c>
      <c r="E1221" t="s">
        <v>679</v>
      </c>
      <c r="F1221" t="s">
        <v>182</v>
      </c>
      <c r="G1221" t="s">
        <v>51</v>
      </c>
      <c r="H1221" t="s">
        <v>102</v>
      </c>
      <c r="I1221" t="s">
        <v>169</v>
      </c>
      <c r="J1221" t="s">
        <v>170</v>
      </c>
      <c r="K1221">
        <v>768887</v>
      </c>
      <c r="L1221" t="s">
        <v>206</v>
      </c>
      <c r="M1221" t="s">
        <v>207</v>
      </c>
      <c r="N1221" t="s">
        <v>57</v>
      </c>
      <c r="O1221" s="1">
        <v>45748</v>
      </c>
      <c r="Q1221" s="1">
        <v>46023</v>
      </c>
      <c r="R1221" s="2">
        <v>126.91</v>
      </c>
      <c r="S1221">
        <v>1</v>
      </c>
      <c r="T1221" t="s">
        <v>58</v>
      </c>
      <c r="U1221" t="s">
        <v>59</v>
      </c>
      <c r="V1221" s="4">
        <v>0.47</v>
      </c>
      <c r="W1221" s="2">
        <v>0</v>
      </c>
      <c r="X1221">
        <v>0</v>
      </c>
      <c r="Y1221" t="s">
        <v>83</v>
      </c>
      <c r="Z1221" t="s">
        <v>61</v>
      </c>
      <c r="AA1221">
        <v>0</v>
      </c>
      <c r="AB1221" s="2">
        <v>0</v>
      </c>
      <c r="AC1221" s="2">
        <v>0</v>
      </c>
      <c r="AD1221" s="4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59.65</v>
      </c>
      <c r="AN1221" s="2">
        <v>59.65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45999</v>
      </c>
      <c r="B1222" t="s">
        <v>48</v>
      </c>
      <c r="C1222">
        <v>649163</v>
      </c>
      <c r="D1222">
        <v>2028025304</v>
      </c>
      <c r="E1222" t="s">
        <v>944</v>
      </c>
      <c r="F1222" t="s">
        <v>199</v>
      </c>
      <c r="G1222" t="s">
        <v>51</v>
      </c>
      <c r="H1222" t="s">
        <v>102</v>
      </c>
      <c r="I1222" t="s">
        <v>169</v>
      </c>
      <c r="J1222" t="s">
        <v>1274</v>
      </c>
      <c r="K1222">
        <v>814033</v>
      </c>
      <c r="L1222" t="s">
        <v>284</v>
      </c>
      <c r="M1222" t="s">
        <v>285</v>
      </c>
      <c r="N1222" t="s">
        <v>57</v>
      </c>
      <c r="O1222" s="1">
        <v>45748</v>
      </c>
      <c r="Q1222" s="1">
        <v>46023</v>
      </c>
      <c r="R1222" s="2">
        <v>104.53</v>
      </c>
      <c r="S1222">
        <v>1</v>
      </c>
      <c r="T1222" t="s">
        <v>58</v>
      </c>
      <c r="U1222" t="s">
        <v>59</v>
      </c>
      <c r="V1222" s="4">
        <v>0.51</v>
      </c>
      <c r="W1222" s="2">
        <v>0</v>
      </c>
      <c r="X1222">
        <v>0</v>
      </c>
      <c r="Y1222" t="s">
        <v>83</v>
      </c>
      <c r="Z1222" t="s">
        <v>61</v>
      </c>
      <c r="AA1222">
        <v>0</v>
      </c>
      <c r="AB1222" s="2">
        <v>0</v>
      </c>
      <c r="AC1222" s="2">
        <v>0</v>
      </c>
      <c r="AD1222" s="4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53.31</v>
      </c>
      <c r="AN1222" s="2">
        <v>53.31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45999</v>
      </c>
      <c r="B1223" t="s">
        <v>48</v>
      </c>
      <c r="C1223">
        <v>649163</v>
      </c>
      <c r="D1223">
        <v>2028025305</v>
      </c>
      <c r="E1223" t="s">
        <v>944</v>
      </c>
      <c r="F1223" t="s">
        <v>199</v>
      </c>
      <c r="G1223" t="s">
        <v>51</v>
      </c>
      <c r="H1223" t="s">
        <v>102</v>
      </c>
      <c r="I1223" t="s">
        <v>169</v>
      </c>
      <c r="J1223" t="s">
        <v>1275</v>
      </c>
      <c r="K1223">
        <v>814033</v>
      </c>
      <c r="L1223" t="s">
        <v>284</v>
      </c>
      <c r="M1223" t="s">
        <v>285</v>
      </c>
      <c r="N1223" t="s">
        <v>57</v>
      </c>
      <c r="O1223" s="1">
        <v>45748</v>
      </c>
      <c r="Q1223" s="1">
        <v>46023</v>
      </c>
      <c r="R1223" s="2">
        <v>14.95</v>
      </c>
      <c r="S1223">
        <v>1</v>
      </c>
      <c r="T1223" t="s">
        <v>58</v>
      </c>
      <c r="U1223" t="s">
        <v>59</v>
      </c>
      <c r="V1223" s="4">
        <v>0.51</v>
      </c>
      <c r="W1223" s="2">
        <v>0</v>
      </c>
      <c r="X1223">
        <v>0</v>
      </c>
      <c r="Y1223" t="s">
        <v>83</v>
      </c>
      <c r="Z1223" t="s">
        <v>61</v>
      </c>
      <c r="AA1223">
        <v>0</v>
      </c>
      <c r="AB1223" s="2">
        <v>0</v>
      </c>
      <c r="AC1223" s="2">
        <v>0</v>
      </c>
      <c r="AD1223" s="4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7.62</v>
      </c>
      <c r="AN1223" s="2">
        <v>7.62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45999</v>
      </c>
      <c r="B1224" t="s">
        <v>48</v>
      </c>
      <c r="C1224">
        <v>649163</v>
      </c>
      <c r="D1224">
        <v>2028038680</v>
      </c>
      <c r="E1224" t="s">
        <v>1319</v>
      </c>
      <c r="F1224" t="s">
        <v>137</v>
      </c>
      <c r="G1224" t="s">
        <v>51</v>
      </c>
      <c r="H1224" t="s">
        <v>52</v>
      </c>
      <c r="I1224" t="s">
        <v>169</v>
      </c>
      <c r="J1224" t="s">
        <v>170</v>
      </c>
      <c r="K1224">
        <v>728134</v>
      </c>
      <c r="L1224" t="s">
        <v>183</v>
      </c>
      <c r="M1224" t="s">
        <v>184</v>
      </c>
      <c r="N1224" t="s">
        <v>57</v>
      </c>
      <c r="O1224" s="1">
        <v>45748</v>
      </c>
      <c r="Q1224" s="1">
        <v>46023</v>
      </c>
      <c r="R1224" s="2">
        <v>69.31</v>
      </c>
      <c r="S1224">
        <v>1</v>
      </c>
      <c r="T1224" t="s">
        <v>58</v>
      </c>
      <c r="U1224" t="s">
        <v>59</v>
      </c>
      <c r="V1224" s="4">
        <v>0.47</v>
      </c>
      <c r="W1224" s="2">
        <v>0</v>
      </c>
      <c r="X1224">
        <v>0</v>
      </c>
      <c r="Y1224" t="s">
        <v>83</v>
      </c>
      <c r="Z1224" t="s">
        <v>61</v>
      </c>
      <c r="AA1224">
        <v>0</v>
      </c>
      <c r="AB1224" s="2">
        <v>0</v>
      </c>
      <c r="AC1224" s="2">
        <v>0</v>
      </c>
      <c r="AD1224" s="4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32.58</v>
      </c>
      <c r="AN1224" s="2">
        <v>32.58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45999</v>
      </c>
      <c r="B1225" t="s">
        <v>48</v>
      </c>
      <c r="C1225">
        <v>649163</v>
      </c>
      <c r="D1225">
        <v>2028067361</v>
      </c>
      <c r="E1225" t="s">
        <v>1282</v>
      </c>
      <c r="F1225" t="s">
        <v>421</v>
      </c>
      <c r="G1225" t="s">
        <v>51</v>
      </c>
      <c r="H1225" t="s">
        <v>52</v>
      </c>
      <c r="I1225" t="s">
        <v>169</v>
      </c>
      <c r="J1225" t="s">
        <v>170</v>
      </c>
      <c r="K1225">
        <v>728134</v>
      </c>
      <c r="L1225" t="s">
        <v>183</v>
      </c>
      <c r="M1225" t="s">
        <v>184</v>
      </c>
      <c r="N1225" t="s">
        <v>57</v>
      </c>
      <c r="O1225" s="1">
        <v>45748</v>
      </c>
      <c r="Q1225" s="1">
        <v>46023</v>
      </c>
      <c r="R1225" s="2">
        <v>87.59</v>
      </c>
      <c r="S1225">
        <v>1</v>
      </c>
      <c r="T1225" t="s">
        <v>58</v>
      </c>
      <c r="U1225" t="s">
        <v>59</v>
      </c>
      <c r="V1225" s="4">
        <v>0.47</v>
      </c>
      <c r="W1225" s="2">
        <v>0</v>
      </c>
      <c r="X1225">
        <v>0</v>
      </c>
      <c r="Y1225" t="s">
        <v>83</v>
      </c>
      <c r="Z1225" t="s">
        <v>61</v>
      </c>
      <c r="AA1225">
        <v>0</v>
      </c>
      <c r="AB1225" s="2">
        <v>0</v>
      </c>
      <c r="AC1225" s="2">
        <v>0</v>
      </c>
      <c r="AD1225" s="4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41.17</v>
      </c>
      <c r="AN1225" s="2">
        <v>41.17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45999</v>
      </c>
      <c r="B1226" t="s">
        <v>48</v>
      </c>
      <c r="C1226">
        <v>649163</v>
      </c>
      <c r="D1226">
        <v>2028421977</v>
      </c>
      <c r="E1226" t="s">
        <v>1320</v>
      </c>
      <c r="F1226" t="s">
        <v>1188</v>
      </c>
      <c r="G1226" t="s">
        <v>51</v>
      </c>
      <c r="H1226" t="s">
        <v>102</v>
      </c>
      <c r="I1226" t="s">
        <v>169</v>
      </c>
      <c r="J1226" t="s">
        <v>170</v>
      </c>
      <c r="K1226">
        <v>824062</v>
      </c>
      <c r="L1226" t="s">
        <v>261</v>
      </c>
      <c r="M1226" t="s">
        <v>262</v>
      </c>
      <c r="N1226" t="s">
        <v>57</v>
      </c>
      <c r="O1226" s="1">
        <v>45778</v>
      </c>
      <c r="Q1226" s="1">
        <v>46023</v>
      </c>
      <c r="R1226" s="2">
        <v>73.39</v>
      </c>
      <c r="S1226">
        <v>1</v>
      </c>
      <c r="T1226" t="s">
        <v>58</v>
      </c>
      <c r="U1226" t="s">
        <v>59</v>
      </c>
      <c r="V1226" s="4">
        <v>0.47</v>
      </c>
      <c r="W1226" s="2">
        <v>0</v>
      </c>
      <c r="X1226">
        <v>0</v>
      </c>
      <c r="Y1226" t="s">
        <v>83</v>
      </c>
      <c r="Z1226" t="s">
        <v>61</v>
      </c>
      <c r="AA1226">
        <v>0</v>
      </c>
      <c r="AB1226" s="2">
        <v>0</v>
      </c>
      <c r="AC1226" s="2">
        <v>0</v>
      </c>
      <c r="AD1226" s="4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34.49</v>
      </c>
      <c r="AN1226" s="2">
        <v>34.49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45999</v>
      </c>
      <c r="B1227" t="s">
        <v>48</v>
      </c>
      <c r="C1227">
        <v>649163</v>
      </c>
      <c r="D1227">
        <v>2028915803</v>
      </c>
      <c r="E1227" t="s">
        <v>413</v>
      </c>
      <c r="F1227" t="s">
        <v>1321</v>
      </c>
      <c r="G1227" t="s">
        <v>51</v>
      </c>
      <c r="H1227" t="s">
        <v>52</v>
      </c>
      <c r="I1227" t="s">
        <v>169</v>
      </c>
      <c r="J1227" t="s">
        <v>170</v>
      </c>
      <c r="K1227">
        <v>728134</v>
      </c>
      <c r="L1227" t="s">
        <v>183</v>
      </c>
      <c r="M1227" t="s">
        <v>184</v>
      </c>
      <c r="N1227" t="s">
        <v>57</v>
      </c>
      <c r="O1227" s="1">
        <v>45839</v>
      </c>
      <c r="Q1227" s="1">
        <v>46023</v>
      </c>
      <c r="R1227" s="2">
        <v>77.010000000000005</v>
      </c>
      <c r="S1227">
        <v>1</v>
      </c>
      <c r="T1227" t="s">
        <v>58</v>
      </c>
      <c r="U1227" t="s">
        <v>59</v>
      </c>
      <c r="V1227" s="4">
        <v>0.47</v>
      </c>
      <c r="W1227" s="2">
        <v>0</v>
      </c>
      <c r="X1227">
        <v>0</v>
      </c>
      <c r="Y1227" t="s">
        <v>83</v>
      </c>
      <c r="Z1227" t="s">
        <v>61</v>
      </c>
      <c r="AA1227">
        <v>0</v>
      </c>
      <c r="AB1227" s="2">
        <v>0</v>
      </c>
      <c r="AC1227" s="2">
        <v>0</v>
      </c>
      <c r="AD1227" s="4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0.02</v>
      </c>
      <c r="AM1227" s="2">
        <v>36.17</v>
      </c>
      <c r="AN1227" s="2">
        <v>36.17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45999</v>
      </c>
      <c r="B1228" t="s">
        <v>48</v>
      </c>
      <c r="C1228">
        <v>649163</v>
      </c>
      <c r="D1228">
        <v>2029103669</v>
      </c>
      <c r="E1228" t="s">
        <v>1322</v>
      </c>
      <c r="F1228" t="s">
        <v>279</v>
      </c>
      <c r="G1228" t="s">
        <v>51</v>
      </c>
      <c r="H1228" t="s">
        <v>102</v>
      </c>
      <c r="I1228" t="s">
        <v>169</v>
      </c>
      <c r="J1228" t="s">
        <v>170</v>
      </c>
      <c r="K1228">
        <v>813184</v>
      </c>
      <c r="L1228" t="s">
        <v>361</v>
      </c>
      <c r="M1228" t="s">
        <v>362</v>
      </c>
      <c r="N1228" t="s">
        <v>57</v>
      </c>
      <c r="O1228" s="1">
        <v>45809</v>
      </c>
      <c r="Q1228" s="1">
        <v>46023</v>
      </c>
      <c r="R1228" s="2">
        <v>92.39</v>
      </c>
      <c r="S1228">
        <v>1</v>
      </c>
      <c r="T1228" t="s">
        <v>58</v>
      </c>
      <c r="U1228" t="s">
        <v>59</v>
      </c>
      <c r="V1228" s="4">
        <v>0.47</v>
      </c>
      <c r="W1228" s="2">
        <v>0</v>
      </c>
      <c r="X1228">
        <v>0</v>
      </c>
      <c r="Y1228" t="s">
        <v>83</v>
      </c>
      <c r="Z1228" t="s">
        <v>61</v>
      </c>
      <c r="AA1228">
        <v>0</v>
      </c>
      <c r="AB1228" s="2">
        <v>0</v>
      </c>
      <c r="AC1228" s="2">
        <v>0</v>
      </c>
      <c r="AD1228" s="4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43.42</v>
      </c>
      <c r="AN1228" s="2">
        <v>43.42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45999</v>
      </c>
      <c r="B1229" t="s">
        <v>48</v>
      </c>
      <c r="C1229">
        <v>649163</v>
      </c>
      <c r="D1229">
        <v>2029284253</v>
      </c>
      <c r="E1229" t="s">
        <v>605</v>
      </c>
      <c r="F1229" t="s">
        <v>1323</v>
      </c>
      <c r="G1229" t="s">
        <v>51</v>
      </c>
      <c r="H1229" t="s">
        <v>52</v>
      </c>
      <c r="I1229" t="s">
        <v>169</v>
      </c>
      <c r="J1229" t="s">
        <v>170</v>
      </c>
      <c r="K1229">
        <v>728134</v>
      </c>
      <c r="L1229" t="s">
        <v>183</v>
      </c>
      <c r="M1229" t="s">
        <v>184</v>
      </c>
      <c r="N1229" t="s">
        <v>57</v>
      </c>
      <c r="O1229" s="1">
        <v>45813</v>
      </c>
      <c r="Q1229" s="1">
        <v>46027</v>
      </c>
      <c r="R1229" s="2">
        <v>75.88</v>
      </c>
      <c r="S1229">
        <v>1</v>
      </c>
      <c r="T1229" t="s">
        <v>58</v>
      </c>
      <c r="U1229" t="s">
        <v>59</v>
      </c>
      <c r="V1229" s="4">
        <v>0.47</v>
      </c>
      <c r="W1229" s="2">
        <v>0</v>
      </c>
      <c r="X1229">
        <v>0</v>
      </c>
      <c r="Y1229" t="s">
        <v>83</v>
      </c>
      <c r="Z1229" t="s">
        <v>61</v>
      </c>
      <c r="AA1229">
        <v>0</v>
      </c>
      <c r="AB1229" s="2">
        <v>0</v>
      </c>
      <c r="AC1229" s="2">
        <v>0</v>
      </c>
      <c r="AD1229" s="4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0.01</v>
      </c>
      <c r="AM1229" s="2">
        <v>35.65</v>
      </c>
      <c r="AN1229" s="2">
        <v>35.65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45999</v>
      </c>
      <c r="B1230" t="s">
        <v>48</v>
      </c>
      <c r="C1230">
        <v>649163</v>
      </c>
      <c r="D1230">
        <v>2029646226</v>
      </c>
      <c r="E1230" t="s">
        <v>1226</v>
      </c>
      <c r="F1230" t="s">
        <v>1225</v>
      </c>
      <c r="G1230" t="s">
        <v>51</v>
      </c>
      <c r="H1230" t="s">
        <v>509</v>
      </c>
      <c r="I1230" t="s">
        <v>169</v>
      </c>
      <c r="J1230" t="s">
        <v>170</v>
      </c>
      <c r="K1230">
        <v>756418</v>
      </c>
      <c r="L1230" t="s">
        <v>409</v>
      </c>
      <c r="M1230" t="s">
        <v>410</v>
      </c>
      <c r="N1230" t="s">
        <v>94</v>
      </c>
      <c r="O1230" s="1">
        <v>45834</v>
      </c>
      <c r="P1230" s="1">
        <v>45992</v>
      </c>
      <c r="Q1230" s="1">
        <v>46017</v>
      </c>
      <c r="R1230" s="2">
        <v>-13.99</v>
      </c>
      <c r="S1230">
        <v>1</v>
      </c>
      <c r="T1230" t="s">
        <v>58</v>
      </c>
      <c r="U1230" t="s">
        <v>59</v>
      </c>
      <c r="V1230" s="4">
        <v>0.47</v>
      </c>
      <c r="W1230" s="2">
        <v>0</v>
      </c>
      <c r="X1230">
        <v>-1</v>
      </c>
      <c r="Y1230" t="s">
        <v>83</v>
      </c>
      <c r="Z1230" t="s">
        <v>61</v>
      </c>
      <c r="AA1230">
        <v>0</v>
      </c>
      <c r="AB1230" s="2">
        <v>0</v>
      </c>
      <c r="AC1230" s="2">
        <v>0</v>
      </c>
      <c r="AD1230" s="4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-6.58</v>
      </c>
      <c r="AN1230" s="2">
        <v>-6.58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45999</v>
      </c>
      <c r="B1231" t="s">
        <v>48</v>
      </c>
      <c r="C1231">
        <v>649163</v>
      </c>
      <c r="D1231">
        <v>2030107691</v>
      </c>
      <c r="E1231" t="s">
        <v>204</v>
      </c>
      <c r="F1231" t="s">
        <v>1324</v>
      </c>
      <c r="G1231" t="s">
        <v>51</v>
      </c>
      <c r="H1231" t="s">
        <v>308</v>
      </c>
      <c r="I1231" t="s">
        <v>169</v>
      </c>
      <c r="J1231" t="s">
        <v>170</v>
      </c>
      <c r="K1231">
        <v>877790</v>
      </c>
      <c r="L1231" t="s">
        <v>310</v>
      </c>
      <c r="M1231" t="s">
        <v>311</v>
      </c>
      <c r="N1231" t="s">
        <v>57</v>
      </c>
      <c r="O1231" s="1">
        <v>45870</v>
      </c>
      <c r="Q1231" s="1">
        <v>46023</v>
      </c>
      <c r="R1231" s="2">
        <v>133.13</v>
      </c>
      <c r="S1231">
        <v>1</v>
      </c>
      <c r="T1231" t="s">
        <v>58</v>
      </c>
      <c r="U1231" t="s">
        <v>59</v>
      </c>
      <c r="V1231" s="4">
        <v>0.47</v>
      </c>
      <c r="W1231" s="2">
        <v>0</v>
      </c>
      <c r="X1231">
        <v>0</v>
      </c>
      <c r="Y1231" t="s">
        <v>83</v>
      </c>
      <c r="Z1231" t="s">
        <v>61</v>
      </c>
      <c r="AA1231">
        <v>0</v>
      </c>
      <c r="AB1231" s="2">
        <v>0</v>
      </c>
      <c r="AC1231" s="2">
        <v>0</v>
      </c>
      <c r="AD1231" s="4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62.57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45999</v>
      </c>
      <c r="B1232" t="s">
        <v>48</v>
      </c>
      <c r="C1232">
        <v>649163</v>
      </c>
      <c r="D1232">
        <v>2030222256</v>
      </c>
      <c r="E1232" t="s">
        <v>302</v>
      </c>
      <c r="F1232" t="s">
        <v>1325</v>
      </c>
      <c r="G1232" t="s">
        <v>51</v>
      </c>
      <c r="H1232" t="s">
        <v>52</v>
      </c>
      <c r="I1232" t="s">
        <v>169</v>
      </c>
      <c r="J1232" t="s">
        <v>170</v>
      </c>
      <c r="K1232">
        <v>885445</v>
      </c>
      <c r="L1232" t="s">
        <v>1326</v>
      </c>
      <c r="M1232" t="s">
        <v>1327</v>
      </c>
      <c r="N1232" t="s">
        <v>57</v>
      </c>
      <c r="O1232" s="1">
        <v>45870</v>
      </c>
      <c r="Q1232" s="1">
        <v>46023</v>
      </c>
      <c r="R1232" s="2">
        <v>48.22</v>
      </c>
      <c r="S1232">
        <v>1</v>
      </c>
      <c r="T1232" t="s">
        <v>58</v>
      </c>
      <c r="U1232" t="s">
        <v>59</v>
      </c>
      <c r="V1232" s="4">
        <v>0.47</v>
      </c>
      <c r="W1232" s="2">
        <v>0</v>
      </c>
      <c r="X1232">
        <v>0</v>
      </c>
      <c r="Y1232" t="s">
        <v>83</v>
      </c>
      <c r="Z1232" t="s">
        <v>61</v>
      </c>
      <c r="AA1232">
        <v>0</v>
      </c>
      <c r="AB1232" s="2">
        <v>0</v>
      </c>
      <c r="AC1232" s="2">
        <v>0</v>
      </c>
      <c r="AD1232" s="4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22.66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45999</v>
      </c>
      <c r="B1233" t="s">
        <v>48</v>
      </c>
      <c r="C1233">
        <v>649163</v>
      </c>
      <c r="D1233">
        <v>2030312965</v>
      </c>
      <c r="E1233" t="s">
        <v>1328</v>
      </c>
      <c r="F1233" t="s">
        <v>1282</v>
      </c>
      <c r="G1233" t="s">
        <v>51</v>
      </c>
      <c r="H1233" t="s">
        <v>357</v>
      </c>
      <c r="I1233" t="s">
        <v>169</v>
      </c>
      <c r="J1233" t="s">
        <v>170</v>
      </c>
      <c r="K1233">
        <v>767312</v>
      </c>
      <c r="L1233" t="s">
        <v>138</v>
      </c>
      <c r="M1233" t="s">
        <v>107</v>
      </c>
      <c r="N1233" t="s">
        <v>57</v>
      </c>
      <c r="O1233" s="1">
        <v>45874</v>
      </c>
      <c r="Q1233" s="1">
        <v>46027</v>
      </c>
      <c r="R1233" s="2">
        <v>29.97</v>
      </c>
      <c r="S1233">
        <v>1</v>
      </c>
      <c r="T1233" t="s">
        <v>58</v>
      </c>
      <c r="U1233" t="s">
        <v>59</v>
      </c>
      <c r="V1233" s="4">
        <v>0.47</v>
      </c>
      <c r="W1233" s="2">
        <v>0</v>
      </c>
      <c r="X1233">
        <v>0</v>
      </c>
      <c r="Y1233" t="s">
        <v>83</v>
      </c>
      <c r="Z1233" t="s">
        <v>61</v>
      </c>
      <c r="AA1233">
        <v>0</v>
      </c>
      <c r="AB1233" s="2">
        <v>0</v>
      </c>
      <c r="AC1233" s="2">
        <v>0</v>
      </c>
      <c r="AD1233" s="4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14.09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45999</v>
      </c>
      <c r="B1234" t="s">
        <v>48</v>
      </c>
      <c r="C1234">
        <v>649163</v>
      </c>
      <c r="D1234">
        <v>2030716398</v>
      </c>
      <c r="E1234" t="s">
        <v>338</v>
      </c>
      <c r="F1234" t="s">
        <v>999</v>
      </c>
      <c r="G1234" t="s">
        <v>51</v>
      </c>
      <c r="H1234" t="s">
        <v>102</v>
      </c>
      <c r="I1234" t="s">
        <v>169</v>
      </c>
      <c r="J1234" t="s">
        <v>170</v>
      </c>
      <c r="K1234">
        <v>814033</v>
      </c>
      <c r="L1234" t="s">
        <v>284</v>
      </c>
      <c r="M1234" t="s">
        <v>285</v>
      </c>
      <c r="N1234" t="s">
        <v>57</v>
      </c>
      <c r="O1234" s="1">
        <v>45901</v>
      </c>
      <c r="Q1234" s="1">
        <v>46023</v>
      </c>
      <c r="R1234" s="2">
        <v>84.15</v>
      </c>
      <c r="S1234">
        <v>1</v>
      </c>
      <c r="T1234" t="s">
        <v>58</v>
      </c>
      <c r="U1234" t="s">
        <v>59</v>
      </c>
      <c r="V1234" s="4">
        <v>0.47</v>
      </c>
      <c r="W1234" s="2">
        <v>0</v>
      </c>
      <c r="X1234">
        <v>0</v>
      </c>
      <c r="Y1234" t="s">
        <v>83</v>
      </c>
      <c r="Z1234" t="s">
        <v>61</v>
      </c>
      <c r="AA1234">
        <v>0</v>
      </c>
      <c r="AB1234" s="2">
        <v>0</v>
      </c>
      <c r="AC1234" s="2">
        <v>0</v>
      </c>
      <c r="AD1234" s="4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39.549999999999997</v>
      </c>
      <c r="AN1234" s="2">
        <v>39.549999999999997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45999</v>
      </c>
      <c r="B1235" t="s">
        <v>48</v>
      </c>
      <c r="C1235">
        <v>649163</v>
      </c>
      <c r="D1235">
        <v>2030739940</v>
      </c>
      <c r="E1235" t="s">
        <v>107</v>
      </c>
      <c r="F1235" t="s">
        <v>1314</v>
      </c>
      <c r="G1235" t="s">
        <v>51</v>
      </c>
      <c r="H1235" t="s">
        <v>97</v>
      </c>
      <c r="I1235" t="s">
        <v>169</v>
      </c>
      <c r="J1235" t="s">
        <v>1274</v>
      </c>
      <c r="K1235">
        <v>651818</v>
      </c>
      <c r="L1235" t="s">
        <v>246</v>
      </c>
      <c r="M1235" t="s">
        <v>247</v>
      </c>
      <c r="N1235" t="s">
        <v>57</v>
      </c>
      <c r="O1235" s="1">
        <v>45906</v>
      </c>
      <c r="Q1235" s="1">
        <v>46028</v>
      </c>
      <c r="R1235" s="2">
        <v>176.78</v>
      </c>
      <c r="S1235">
        <v>1</v>
      </c>
      <c r="T1235" t="s">
        <v>58</v>
      </c>
      <c r="U1235" t="s">
        <v>59</v>
      </c>
      <c r="V1235" s="4">
        <v>0.51</v>
      </c>
      <c r="W1235" s="2">
        <v>0</v>
      </c>
      <c r="X1235">
        <v>0</v>
      </c>
      <c r="Y1235" t="s">
        <v>83</v>
      </c>
      <c r="Z1235" t="s">
        <v>61</v>
      </c>
      <c r="AA1235">
        <v>0</v>
      </c>
      <c r="AB1235" s="2">
        <v>0</v>
      </c>
      <c r="AC1235" s="2">
        <v>0</v>
      </c>
      <c r="AD1235" s="4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90.16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45999</v>
      </c>
      <c r="B1236" t="s">
        <v>48</v>
      </c>
      <c r="C1236">
        <v>649163</v>
      </c>
      <c r="D1236">
        <v>2030739941</v>
      </c>
      <c r="E1236" t="s">
        <v>107</v>
      </c>
      <c r="F1236" t="s">
        <v>1314</v>
      </c>
      <c r="G1236" t="s">
        <v>51</v>
      </c>
      <c r="H1236" t="s">
        <v>97</v>
      </c>
      <c r="I1236" t="s">
        <v>169</v>
      </c>
      <c r="J1236" t="s">
        <v>1275</v>
      </c>
      <c r="K1236">
        <v>651818</v>
      </c>
      <c r="L1236" t="s">
        <v>246</v>
      </c>
      <c r="M1236" t="s">
        <v>247</v>
      </c>
      <c r="N1236" t="s">
        <v>57</v>
      </c>
      <c r="O1236" s="1">
        <v>45906</v>
      </c>
      <c r="Q1236" s="1">
        <v>46028</v>
      </c>
      <c r="R1236" s="2">
        <v>14.95</v>
      </c>
      <c r="S1236">
        <v>1</v>
      </c>
      <c r="T1236" t="s">
        <v>58</v>
      </c>
      <c r="U1236" t="s">
        <v>59</v>
      </c>
      <c r="V1236" s="4">
        <v>0.51</v>
      </c>
      <c r="W1236" s="2">
        <v>0</v>
      </c>
      <c r="X1236">
        <v>0</v>
      </c>
      <c r="Y1236" t="s">
        <v>83</v>
      </c>
      <c r="Z1236" t="s">
        <v>61</v>
      </c>
      <c r="AA1236">
        <v>0</v>
      </c>
      <c r="AB1236" s="2">
        <v>0</v>
      </c>
      <c r="AC1236" s="2">
        <v>0</v>
      </c>
      <c r="AD1236" s="4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7.62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45999</v>
      </c>
      <c r="B1237" t="s">
        <v>48</v>
      </c>
      <c r="C1237">
        <v>649163</v>
      </c>
      <c r="D1237">
        <v>2030775884</v>
      </c>
      <c r="E1237" t="s">
        <v>481</v>
      </c>
      <c r="F1237" t="s">
        <v>114</v>
      </c>
      <c r="G1237" t="s">
        <v>51</v>
      </c>
      <c r="H1237" t="s">
        <v>125</v>
      </c>
      <c r="I1237" t="s">
        <v>169</v>
      </c>
      <c r="J1237" t="s">
        <v>170</v>
      </c>
      <c r="K1237">
        <v>878036</v>
      </c>
      <c r="L1237" t="s">
        <v>1158</v>
      </c>
      <c r="M1237" t="s">
        <v>1159</v>
      </c>
      <c r="N1237" t="s">
        <v>57</v>
      </c>
      <c r="O1237" s="1">
        <v>45901</v>
      </c>
      <c r="Q1237" s="1">
        <v>46023</v>
      </c>
      <c r="R1237" s="2">
        <v>210.43</v>
      </c>
      <c r="S1237">
        <v>1</v>
      </c>
      <c r="T1237" t="s">
        <v>58</v>
      </c>
      <c r="U1237" t="s">
        <v>59</v>
      </c>
      <c r="V1237" s="4">
        <v>0.47</v>
      </c>
      <c r="W1237" s="2">
        <v>0</v>
      </c>
      <c r="X1237">
        <v>0</v>
      </c>
      <c r="Y1237" t="s">
        <v>83</v>
      </c>
      <c r="Z1237" t="s">
        <v>61</v>
      </c>
      <c r="AA1237">
        <v>0</v>
      </c>
      <c r="AB1237" s="2">
        <v>0</v>
      </c>
      <c r="AC1237" s="2">
        <v>0</v>
      </c>
      <c r="AD1237" s="4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98.9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45999</v>
      </c>
      <c r="B1238" t="s">
        <v>48</v>
      </c>
      <c r="C1238">
        <v>649163</v>
      </c>
      <c r="D1238">
        <v>2030806868</v>
      </c>
      <c r="E1238" t="s">
        <v>1329</v>
      </c>
      <c r="F1238" t="s">
        <v>1330</v>
      </c>
      <c r="G1238" t="s">
        <v>51</v>
      </c>
      <c r="H1238" t="s">
        <v>102</v>
      </c>
      <c r="I1238" t="s">
        <v>169</v>
      </c>
      <c r="J1238" t="s">
        <v>170</v>
      </c>
      <c r="K1238">
        <v>812994</v>
      </c>
      <c r="L1238" t="s">
        <v>151</v>
      </c>
      <c r="M1238" t="s">
        <v>152</v>
      </c>
      <c r="N1238" t="s">
        <v>94</v>
      </c>
      <c r="O1238" s="1">
        <v>45902</v>
      </c>
      <c r="P1238" s="1">
        <v>45999</v>
      </c>
      <c r="Q1238" s="1">
        <v>46024</v>
      </c>
      <c r="R1238" s="2">
        <v>-51.37</v>
      </c>
      <c r="S1238">
        <v>1</v>
      </c>
      <c r="T1238" t="s">
        <v>58</v>
      </c>
      <c r="U1238" t="s">
        <v>59</v>
      </c>
      <c r="V1238" s="4">
        <v>0.47</v>
      </c>
      <c r="W1238" s="2">
        <v>0</v>
      </c>
      <c r="X1238">
        <v>-1</v>
      </c>
      <c r="Y1238" t="s">
        <v>83</v>
      </c>
      <c r="Z1238" t="s">
        <v>61</v>
      </c>
      <c r="AA1238">
        <v>0</v>
      </c>
      <c r="AB1238" s="2">
        <v>0</v>
      </c>
      <c r="AC1238" s="2">
        <v>0</v>
      </c>
      <c r="AD1238" s="4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-24.14</v>
      </c>
      <c r="AN1238" s="2">
        <v>-24.14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45999</v>
      </c>
      <c r="B1239" t="s">
        <v>48</v>
      </c>
      <c r="C1239">
        <v>649163</v>
      </c>
      <c r="D1239">
        <v>2030806868</v>
      </c>
      <c r="E1239" t="s">
        <v>1329</v>
      </c>
      <c r="F1239" t="s">
        <v>1330</v>
      </c>
      <c r="G1239" t="s">
        <v>51</v>
      </c>
      <c r="H1239" t="s">
        <v>102</v>
      </c>
      <c r="I1239" t="s">
        <v>169</v>
      </c>
      <c r="J1239" t="s">
        <v>170</v>
      </c>
      <c r="K1239">
        <v>812994</v>
      </c>
      <c r="L1239" t="s">
        <v>151</v>
      </c>
      <c r="M1239" t="s">
        <v>152</v>
      </c>
      <c r="N1239" t="s">
        <v>94</v>
      </c>
      <c r="O1239" s="1">
        <v>45902</v>
      </c>
      <c r="P1239" s="1">
        <v>45999</v>
      </c>
      <c r="Q1239" s="1">
        <v>46024</v>
      </c>
      <c r="R1239" s="2">
        <v>49.71</v>
      </c>
      <c r="S1239">
        <v>1</v>
      </c>
      <c r="T1239" t="s">
        <v>58</v>
      </c>
      <c r="U1239" t="s">
        <v>59</v>
      </c>
      <c r="V1239" s="4">
        <v>0.47</v>
      </c>
      <c r="W1239" s="2">
        <v>0</v>
      </c>
      <c r="X1239">
        <v>0</v>
      </c>
      <c r="Y1239" t="s">
        <v>83</v>
      </c>
      <c r="Z1239" t="s">
        <v>61</v>
      </c>
      <c r="AA1239">
        <v>0</v>
      </c>
      <c r="AB1239" s="2">
        <v>0</v>
      </c>
      <c r="AC1239" s="2">
        <v>0</v>
      </c>
      <c r="AD1239" s="4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23.36</v>
      </c>
      <c r="AN1239" s="2">
        <v>23.36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45999</v>
      </c>
      <c r="B1240" t="s">
        <v>48</v>
      </c>
      <c r="C1240">
        <v>649163</v>
      </c>
      <c r="D1240">
        <v>2030806869</v>
      </c>
      <c r="E1240" t="s">
        <v>1329</v>
      </c>
      <c r="F1240" t="s">
        <v>1330</v>
      </c>
      <c r="G1240" t="s">
        <v>51</v>
      </c>
      <c r="H1240" t="s">
        <v>102</v>
      </c>
      <c r="I1240" t="s">
        <v>169</v>
      </c>
      <c r="J1240" t="s">
        <v>1274</v>
      </c>
      <c r="K1240">
        <v>812994</v>
      </c>
      <c r="L1240" t="s">
        <v>151</v>
      </c>
      <c r="M1240" t="s">
        <v>152</v>
      </c>
      <c r="N1240" t="s">
        <v>94</v>
      </c>
      <c r="O1240" s="1">
        <v>45902</v>
      </c>
      <c r="P1240" s="1">
        <v>45999</v>
      </c>
      <c r="Q1240" s="1">
        <v>46024</v>
      </c>
      <c r="R1240" s="2">
        <v>-129.19</v>
      </c>
      <c r="S1240">
        <v>1</v>
      </c>
      <c r="T1240" t="s">
        <v>58</v>
      </c>
      <c r="U1240" t="s">
        <v>59</v>
      </c>
      <c r="V1240" s="4">
        <v>0.51</v>
      </c>
      <c r="W1240" s="2">
        <v>0</v>
      </c>
      <c r="X1240">
        <v>-1</v>
      </c>
      <c r="Y1240" t="s">
        <v>83</v>
      </c>
      <c r="Z1240" t="s">
        <v>61</v>
      </c>
      <c r="AA1240">
        <v>0</v>
      </c>
      <c r="AB1240" s="2">
        <v>0</v>
      </c>
      <c r="AC1240" s="2">
        <v>0</v>
      </c>
      <c r="AD1240" s="4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-65.89</v>
      </c>
      <c r="AN1240" s="2">
        <v>-65.89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45999</v>
      </c>
      <c r="B1241" t="s">
        <v>48</v>
      </c>
      <c r="C1241">
        <v>649163</v>
      </c>
      <c r="D1241">
        <v>2030806869</v>
      </c>
      <c r="E1241" t="s">
        <v>1329</v>
      </c>
      <c r="F1241" t="s">
        <v>1330</v>
      </c>
      <c r="G1241" t="s">
        <v>51</v>
      </c>
      <c r="H1241" t="s">
        <v>102</v>
      </c>
      <c r="I1241" t="s">
        <v>169</v>
      </c>
      <c r="J1241" t="s">
        <v>1274</v>
      </c>
      <c r="K1241">
        <v>812994</v>
      </c>
      <c r="L1241" t="s">
        <v>151</v>
      </c>
      <c r="M1241" t="s">
        <v>152</v>
      </c>
      <c r="N1241" t="s">
        <v>94</v>
      </c>
      <c r="O1241" s="1">
        <v>45902</v>
      </c>
      <c r="P1241" s="1">
        <v>45999</v>
      </c>
      <c r="Q1241" s="1">
        <v>46024</v>
      </c>
      <c r="R1241" s="2">
        <v>125.02</v>
      </c>
      <c r="S1241">
        <v>1</v>
      </c>
      <c r="T1241" t="s">
        <v>58</v>
      </c>
      <c r="U1241" t="s">
        <v>59</v>
      </c>
      <c r="V1241" s="4">
        <v>0.51</v>
      </c>
      <c r="W1241" s="2">
        <v>0</v>
      </c>
      <c r="X1241">
        <v>0</v>
      </c>
      <c r="Y1241" t="s">
        <v>83</v>
      </c>
      <c r="Z1241" t="s">
        <v>61</v>
      </c>
      <c r="AA1241">
        <v>0</v>
      </c>
      <c r="AB1241" s="2">
        <v>0</v>
      </c>
      <c r="AC1241" s="2">
        <v>0</v>
      </c>
      <c r="AD1241" s="4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63.76</v>
      </c>
      <c r="AN1241" s="2">
        <v>63.76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45999</v>
      </c>
      <c r="B1242" t="s">
        <v>48</v>
      </c>
      <c r="C1242">
        <v>649163</v>
      </c>
      <c r="D1242">
        <v>2030806870</v>
      </c>
      <c r="E1242" t="s">
        <v>1329</v>
      </c>
      <c r="F1242" t="s">
        <v>1330</v>
      </c>
      <c r="G1242" t="s">
        <v>51</v>
      </c>
      <c r="H1242" t="s">
        <v>102</v>
      </c>
      <c r="I1242" t="s">
        <v>169</v>
      </c>
      <c r="J1242" t="s">
        <v>1275</v>
      </c>
      <c r="K1242">
        <v>812994</v>
      </c>
      <c r="L1242" t="s">
        <v>151</v>
      </c>
      <c r="M1242" t="s">
        <v>152</v>
      </c>
      <c r="N1242" t="s">
        <v>94</v>
      </c>
      <c r="O1242" s="1">
        <v>45902</v>
      </c>
      <c r="P1242" s="1">
        <v>45999</v>
      </c>
      <c r="Q1242" s="1">
        <v>46024</v>
      </c>
      <c r="R1242" s="2">
        <v>-15.45</v>
      </c>
      <c r="S1242">
        <v>1</v>
      </c>
      <c r="T1242" t="s">
        <v>58</v>
      </c>
      <c r="U1242" t="s">
        <v>59</v>
      </c>
      <c r="V1242" s="4">
        <v>0.51</v>
      </c>
      <c r="W1242" s="2">
        <v>0</v>
      </c>
      <c r="X1242">
        <v>-1</v>
      </c>
      <c r="Y1242" t="s">
        <v>83</v>
      </c>
      <c r="Z1242" t="s">
        <v>61</v>
      </c>
      <c r="AA1242">
        <v>0</v>
      </c>
      <c r="AB1242" s="2">
        <v>0</v>
      </c>
      <c r="AC1242" s="2">
        <v>0</v>
      </c>
      <c r="AD1242" s="4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-7.88</v>
      </c>
      <c r="AN1242" s="2">
        <v>-7.88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45999</v>
      </c>
      <c r="B1243" t="s">
        <v>48</v>
      </c>
      <c r="C1243">
        <v>649163</v>
      </c>
      <c r="D1243">
        <v>2030806870</v>
      </c>
      <c r="E1243" t="s">
        <v>1329</v>
      </c>
      <c r="F1243" t="s">
        <v>1330</v>
      </c>
      <c r="G1243" t="s">
        <v>51</v>
      </c>
      <c r="H1243" t="s">
        <v>102</v>
      </c>
      <c r="I1243" t="s">
        <v>169</v>
      </c>
      <c r="J1243" t="s">
        <v>1275</v>
      </c>
      <c r="K1243">
        <v>812994</v>
      </c>
      <c r="L1243" t="s">
        <v>151</v>
      </c>
      <c r="M1243" t="s">
        <v>152</v>
      </c>
      <c r="N1243" t="s">
        <v>94</v>
      </c>
      <c r="O1243" s="1">
        <v>45902</v>
      </c>
      <c r="P1243" s="1">
        <v>45999</v>
      </c>
      <c r="Q1243" s="1">
        <v>46024</v>
      </c>
      <c r="R1243" s="2">
        <v>14.95</v>
      </c>
      <c r="S1243">
        <v>1</v>
      </c>
      <c r="T1243" t="s">
        <v>58</v>
      </c>
      <c r="U1243" t="s">
        <v>59</v>
      </c>
      <c r="V1243" s="4">
        <v>0.51</v>
      </c>
      <c r="W1243" s="2">
        <v>0</v>
      </c>
      <c r="X1243">
        <v>0</v>
      </c>
      <c r="Y1243" t="s">
        <v>83</v>
      </c>
      <c r="Z1243" t="s">
        <v>61</v>
      </c>
      <c r="AA1243">
        <v>0</v>
      </c>
      <c r="AB1243" s="2">
        <v>0</v>
      </c>
      <c r="AC1243" s="2">
        <v>0</v>
      </c>
      <c r="AD1243" s="4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7.62</v>
      </c>
      <c r="AN1243" s="2">
        <v>7.62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45999</v>
      </c>
      <c r="B1244" t="s">
        <v>48</v>
      </c>
      <c r="C1244">
        <v>649163</v>
      </c>
      <c r="D1244">
        <v>2030807230</v>
      </c>
      <c r="E1244" t="s">
        <v>1331</v>
      </c>
      <c r="F1244" t="s">
        <v>1332</v>
      </c>
      <c r="G1244" t="s">
        <v>51</v>
      </c>
      <c r="H1244" t="s">
        <v>102</v>
      </c>
      <c r="I1244" t="s">
        <v>169</v>
      </c>
      <c r="J1244" t="s">
        <v>170</v>
      </c>
      <c r="K1244">
        <v>812994</v>
      </c>
      <c r="L1244" t="s">
        <v>151</v>
      </c>
      <c r="M1244" t="s">
        <v>152</v>
      </c>
      <c r="N1244" t="s">
        <v>94</v>
      </c>
      <c r="O1244" s="1">
        <v>45902</v>
      </c>
      <c r="P1244" s="1">
        <v>45999</v>
      </c>
      <c r="Q1244" s="1">
        <v>46024</v>
      </c>
      <c r="R1244" s="2">
        <v>49.71</v>
      </c>
      <c r="S1244">
        <v>1</v>
      </c>
      <c r="T1244" t="s">
        <v>58</v>
      </c>
      <c r="U1244" t="s">
        <v>59</v>
      </c>
      <c r="V1244" s="4">
        <v>0.47</v>
      </c>
      <c r="W1244" s="2">
        <v>0</v>
      </c>
      <c r="X1244">
        <v>0</v>
      </c>
      <c r="Y1244" t="s">
        <v>83</v>
      </c>
      <c r="Z1244" t="s">
        <v>61</v>
      </c>
      <c r="AA1244">
        <v>0</v>
      </c>
      <c r="AB1244" s="2">
        <v>0</v>
      </c>
      <c r="AC1244" s="2">
        <v>0</v>
      </c>
      <c r="AD1244" s="4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23.36</v>
      </c>
      <c r="AN1244" s="2">
        <v>23.36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45999</v>
      </c>
      <c r="B1245" t="s">
        <v>48</v>
      </c>
      <c r="C1245">
        <v>649163</v>
      </c>
      <c r="D1245">
        <v>2030807230</v>
      </c>
      <c r="E1245" t="s">
        <v>1331</v>
      </c>
      <c r="F1245" t="s">
        <v>1332</v>
      </c>
      <c r="G1245" t="s">
        <v>51</v>
      </c>
      <c r="H1245" t="s">
        <v>102</v>
      </c>
      <c r="I1245" t="s">
        <v>169</v>
      </c>
      <c r="J1245" t="s">
        <v>170</v>
      </c>
      <c r="K1245">
        <v>812994</v>
      </c>
      <c r="L1245" t="s">
        <v>151</v>
      </c>
      <c r="M1245" t="s">
        <v>152</v>
      </c>
      <c r="N1245" t="s">
        <v>94</v>
      </c>
      <c r="O1245" s="1">
        <v>45902</v>
      </c>
      <c r="P1245" s="1">
        <v>45999</v>
      </c>
      <c r="Q1245" s="1">
        <v>46024</v>
      </c>
      <c r="R1245" s="2">
        <v>-51.37</v>
      </c>
      <c r="S1245">
        <v>1</v>
      </c>
      <c r="T1245" t="s">
        <v>58</v>
      </c>
      <c r="U1245" t="s">
        <v>59</v>
      </c>
      <c r="V1245" s="4">
        <v>0.47</v>
      </c>
      <c r="W1245" s="2">
        <v>0</v>
      </c>
      <c r="X1245">
        <v>-1</v>
      </c>
      <c r="Y1245" t="s">
        <v>83</v>
      </c>
      <c r="Z1245" t="s">
        <v>61</v>
      </c>
      <c r="AA1245">
        <v>0</v>
      </c>
      <c r="AB1245" s="2">
        <v>0</v>
      </c>
      <c r="AC1245" s="2">
        <v>0</v>
      </c>
      <c r="AD1245" s="4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-24.14</v>
      </c>
      <c r="AN1245" s="2">
        <v>-24.14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45999</v>
      </c>
      <c r="B1246" t="s">
        <v>48</v>
      </c>
      <c r="C1246">
        <v>649163</v>
      </c>
      <c r="D1246">
        <v>2030807231</v>
      </c>
      <c r="E1246" t="s">
        <v>1331</v>
      </c>
      <c r="F1246" t="s">
        <v>1332</v>
      </c>
      <c r="G1246" t="s">
        <v>51</v>
      </c>
      <c r="H1246" t="s">
        <v>102</v>
      </c>
      <c r="I1246" t="s">
        <v>169</v>
      </c>
      <c r="J1246" t="s">
        <v>1274</v>
      </c>
      <c r="K1246">
        <v>812994</v>
      </c>
      <c r="L1246" t="s">
        <v>151</v>
      </c>
      <c r="M1246" t="s">
        <v>152</v>
      </c>
      <c r="N1246" t="s">
        <v>94</v>
      </c>
      <c r="O1246" s="1">
        <v>45902</v>
      </c>
      <c r="P1246" s="1">
        <v>45999</v>
      </c>
      <c r="Q1246" s="1">
        <v>46024</v>
      </c>
      <c r="R1246" s="2">
        <v>-64.59</v>
      </c>
      <c r="S1246">
        <v>1</v>
      </c>
      <c r="T1246" t="s">
        <v>58</v>
      </c>
      <c r="U1246" t="s">
        <v>59</v>
      </c>
      <c r="V1246" s="4">
        <v>0.51</v>
      </c>
      <c r="W1246" s="2">
        <v>0</v>
      </c>
      <c r="X1246">
        <v>-1</v>
      </c>
      <c r="Y1246" t="s">
        <v>83</v>
      </c>
      <c r="Z1246" t="s">
        <v>61</v>
      </c>
      <c r="AA1246">
        <v>0</v>
      </c>
      <c r="AB1246" s="2">
        <v>0</v>
      </c>
      <c r="AC1246" s="2">
        <v>0</v>
      </c>
      <c r="AD1246" s="4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-32.94</v>
      </c>
      <c r="AN1246" s="2">
        <v>-32.94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45999</v>
      </c>
      <c r="B1247" t="s">
        <v>48</v>
      </c>
      <c r="C1247">
        <v>649163</v>
      </c>
      <c r="D1247">
        <v>2030807231</v>
      </c>
      <c r="E1247" t="s">
        <v>1331</v>
      </c>
      <c r="F1247" t="s">
        <v>1332</v>
      </c>
      <c r="G1247" t="s">
        <v>51</v>
      </c>
      <c r="H1247" t="s">
        <v>102</v>
      </c>
      <c r="I1247" t="s">
        <v>169</v>
      </c>
      <c r="J1247" t="s">
        <v>1274</v>
      </c>
      <c r="K1247">
        <v>812994</v>
      </c>
      <c r="L1247" t="s">
        <v>151</v>
      </c>
      <c r="M1247" t="s">
        <v>152</v>
      </c>
      <c r="N1247" t="s">
        <v>94</v>
      </c>
      <c r="O1247" s="1">
        <v>45902</v>
      </c>
      <c r="P1247" s="1">
        <v>45999</v>
      </c>
      <c r="Q1247" s="1">
        <v>46024</v>
      </c>
      <c r="R1247" s="2">
        <v>62.51</v>
      </c>
      <c r="S1247">
        <v>1</v>
      </c>
      <c r="T1247" t="s">
        <v>58</v>
      </c>
      <c r="U1247" t="s">
        <v>59</v>
      </c>
      <c r="V1247" s="4">
        <v>0.51</v>
      </c>
      <c r="W1247" s="2">
        <v>0</v>
      </c>
      <c r="X1247">
        <v>0</v>
      </c>
      <c r="Y1247" t="s">
        <v>83</v>
      </c>
      <c r="Z1247" t="s">
        <v>61</v>
      </c>
      <c r="AA1247">
        <v>0</v>
      </c>
      <c r="AB1247" s="2">
        <v>0</v>
      </c>
      <c r="AC1247" s="2">
        <v>0</v>
      </c>
      <c r="AD1247" s="4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31.88</v>
      </c>
      <c r="AN1247" s="2">
        <v>31.88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45999</v>
      </c>
      <c r="B1248" t="s">
        <v>48</v>
      </c>
      <c r="C1248">
        <v>649163</v>
      </c>
      <c r="D1248">
        <v>2030807232</v>
      </c>
      <c r="E1248" t="s">
        <v>1331</v>
      </c>
      <c r="F1248" t="s">
        <v>1332</v>
      </c>
      <c r="G1248" t="s">
        <v>51</v>
      </c>
      <c r="H1248" t="s">
        <v>102</v>
      </c>
      <c r="I1248" t="s">
        <v>169</v>
      </c>
      <c r="J1248" t="s">
        <v>1275</v>
      </c>
      <c r="K1248">
        <v>812994</v>
      </c>
      <c r="L1248" t="s">
        <v>151</v>
      </c>
      <c r="M1248" t="s">
        <v>152</v>
      </c>
      <c r="N1248" t="s">
        <v>94</v>
      </c>
      <c r="O1248" s="1">
        <v>45902</v>
      </c>
      <c r="P1248" s="1">
        <v>45999</v>
      </c>
      <c r="Q1248" s="1">
        <v>46024</v>
      </c>
      <c r="R1248" s="2">
        <v>14.95</v>
      </c>
      <c r="S1248">
        <v>1</v>
      </c>
      <c r="T1248" t="s">
        <v>58</v>
      </c>
      <c r="U1248" t="s">
        <v>59</v>
      </c>
      <c r="V1248" s="4">
        <v>0.51</v>
      </c>
      <c r="W1248" s="2">
        <v>0</v>
      </c>
      <c r="X1248">
        <v>0</v>
      </c>
      <c r="Y1248" t="s">
        <v>83</v>
      </c>
      <c r="Z1248" t="s">
        <v>61</v>
      </c>
      <c r="AA1248">
        <v>0</v>
      </c>
      <c r="AB1248" s="2">
        <v>0</v>
      </c>
      <c r="AC1248" s="2">
        <v>0</v>
      </c>
      <c r="AD1248" s="4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7.62</v>
      </c>
      <c r="AN1248" s="2">
        <v>7.62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45999</v>
      </c>
      <c r="B1249" t="s">
        <v>48</v>
      </c>
      <c r="C1249">
        <v>649163</v>
      </c>
      <c r="D1249">
        <v>2030807232</v>
      </c>
      <c r="E1249" t="s">
        <v>1331</v>
      </c>
      <c r="F1249" t="s">
        <v>1332</v>
      </c>
      <c r="G1249" t="s">
        <v>51</v>
      </c>
      <c r="H1249" t="s">
        <v>102</v>
      </c>
      <c r="I1249" t="s">
        <v>169</v>
      </c>
      <c r="J1249" t="s">
        <v>1275</v>
      </c>
      <c r="K1249">
        <v>812994</v>
      </c>
      <c r="L1249" t="s">
        <v>151</v>
      </c>
      <c r="M1249" t="s">
        <v>152</v>
      </c>
      <c r="N1249" t="s">
        <v>94</v>
      </c>
      <c r="O1249" s="1">
        <v>45902</v>
      </c>
      <c r="P1249" s="1">
        <v>45999</v>
      </c>
      <c r="Q1249" s="1">
        <v>46024</v>
      </c>
      <c r="R1249" s="2">
        <v>-15.45</v>
      </c>
      <c r="S1249">
        <v>1</v>
      </c>
      <c r="T1249" t="s">
        <v>58</v>
      </c>
      <c r="U1249" t="s">
        <v>59</v>
      </c>
      <c r="V1249" s="4">
        <v>0.51</v>
      </c>
      <c r="W1249" s="2">
        <v>0</v>
      </c>
      <c r="X1249">
        <v>-1</v>
      </c>
      <c r="Y1249" t="s">
        <v>83</v>
      </c>
      <c r="Z1249" t="s">
        <v>61</v>
      </c>
      <c r="AA1249">
        <v>0</v>
      </c>
      <c r="AB1249" s="2">
        <v>0</v>
      </c>
      <c r="AC1249" s="2">
        <v>0</v>
      </c>
      <c r="AD1249" s="4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-7.88</v>
      </c>
      <c r="AN1249" s="2">
        <v>-7.88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45999</v>
      </c>
      <c r="B1250" t="s">
        <v>48</v>
      </c>
      <c r="C1250">
        <v>649163</v>
      </c>
      <c r="D1250">
        <v>2030820657</v>
      </c>
      <c r="E1250" t="s">
        <v>1333</v>
      </c>
      <c r="F1250" t="s">
        <v>71</v>
      </c>
      <c r="G1250" t="s">
        <v>51</v>
      </c>
      <c r="H1250" t="s">
        <v>52</v>
      </c>
      <c r="I1250" t="s">
        <v>169</v>
      </c>
      <c r="J1250" t="s">
        <v>170</v>
      </c>
      <c r="K1250">
        <v>728134</v>
      </c>
      <c r="L1250" t="s">
        <v>183</v>
      </c>
      <c r="M1250" t="s">
        <v>184</v>
      </c>
      <c r="N1250" t="s">
        <v>57</v>
      </c>
      <c r="O1250" s="1">
        <v>45931</v>
      </c>
      <c r="Q1250" s="1">
        <v>46023</v>
      </c>
      <c r="R1250" s="2">
        <v>33.590000000000003</v>
      </c>
      <c r="S1250">
        <v>1</v>
      </c>
      <c r="T1250" t="s">
        <v>58</v>
      </c>
      <c r="U1250" t="s">
        <v>105</v>
      </c>
      <c r="V1250" s="4">
        <v>0.47</v>
      </c>
      <c r="W1250" s="2">
        <v>0</v>
      </c>
      <c r="X1250">
        <v>0</v>
      </c>
      <c r="Y1250" t="s">
        <v>83</v>
      </c>
      <c r="Z1250" t="s">
        <v>61</v>
      </c>
      <c r="AA1250">
        <v>0</v>
      </c>
      <c r="AB1250" s="2">
        <v>0</v>
      </c>
      <c r="AC1250" s="2">
        <v>0</v>
      </c>
      <c r="AD1250" s="4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15.79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45999</v>
      </c>
      <c r="B1251" t="s">
        <v>48</v>
      </c>
      <c r="C1251">
        <v>649163</v>
      </c>
      <c r="D1251">
        <v>2031379409</v>
      </c>
      <c r="E1251" t="s">
        <v>1170</v>
      </c>
      <c r="F1251" t="s">
        <v>1171</v>
      </c>
      <c r="G1251" t="s">
        <v>51</v>
      </c>
      <c r="H1251" t="s">
        <v>102</v>
      </c>
      <c r="I1251" t="s">
        <v>169</v>
      </c>
      <c r="J1251" t="s">
        <v>1274</v>
      </c>
      <c r="K1251">
        <v>820873</v>
      </c>
      <c r="L1251" t="s">
        <v>117</v>
      </c>
      <c r="M1251" t="s">
        <v>118</v>
      </c>
      <c r="N1251" t="s">
        <v>57</v>
      </c>
      <c r="O1251" s="1">
        <v>45962</v>
      </c>
      <c r="Q1251" s="1">
        <v>46023</v>
      </c>
      <c r="R1251" s="2">
        <v>35.270000000000003</v>
      </c>
      <c r="S1251">
        <v>1</v>
      </c>
      <c r="T1251" t="s">
        <v>58</v>
      </c>
      <c r="U1251" t="s">
        <v>105</v>
      </c>
      <c r="V1251" s="4">
        <v>0.51</v>
      </c>
      <c r="W1251" s="2">
        <v>0</v>
      </c>
      <c r="X1251">
        <v>0</v>
      </c>
      <c r="Y1251" t="s">
        <v>83</v>
      </c>
      <c r="Z1251" t="s">
        <v>61</v>
      </c>
      <c r="AA1251">
        <v>0</v>
      </c>
      <c r="AB1251" s="2">
        <v>0</v>
      </c>
      <c r="AC1251" s="2">
        <v>0</v>
      </c>
      <c r="AD1251" s="4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17.989999999999998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45999</v>
      </c>
      <c r="B1252" t="s">
        <v>48</v>
      </c>
      <c r="C1252">
        <v>649163</v>
      </c>
      <c r="D1252">
        <v>2031379410</v>
      </c>
      <c r="E1252" t="s">
        <v>1170</v>
      </c>
      <c r="F1252" t="s">
        <v>1171</v>
      </c>
      <c r="G1252" t="s">
        <v>51</v>
      </c>
      <c r="H1252" t="s">
        <v>102</v>
      </c>
      <c r="I1252" t="s">
        <v>169</v>
      </c>
      <c r="J1252" t="s">
        <v>1275</v>
      </c>
      <c r="K1252">
        <v>820873</v>
      </c>
      <c r="L1252" t="s">
        <v>117</v>
      </c>
      <c r="M1252" t="s">
        <v>118</v>
      </c>
      <c r="N1252" t="s">
        <v>57</v>
      </c>
      <c r="O1252" s="1">
        <v>45962</v>
      </c>
      <c r="Q1252" s="1">
        <v>46023</v>
      </c>
      <c r="R1252" s="2">
        <v>5.95</v>
      </c>
      <c r="S1252">
        <v>1</v>
      </c>
      <c r="T1252" t="s">
        <v>58</v>
      </c>
      <c r="U1252" t="s">
        <v>105</v>
      </c>
      <c r="V1252" s="4">
        <v>0.51</v>
      </c>
      <c r="W1252" s="2">
        <v>0</v>
      </c>
      <c r="X1252">
        <v>0</v>
      </c>
      <c r="Y1252" t="s">
        <v>83</v>
      </c>
      <c r="Z1252" t="s">
        <v>61</v>
      </c>
      <c r="AA1252">
        <v>0</v>
      </c>
      <c r="AB1252" s="2">
        <v>0</v>
      </c>
      <c r="AC1252" s="2">
        <v>0</v>
      </c>
      <c r="AD1252" s="4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3.03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45999</v>
      </c>
      <c r="B1253" t="s">
        <v>48</v>
      </c>
      <c r="C1253">
        <v>649163</v>
      </c>
      <c r="D1253">
        <v>2031410719</v>
      </c>
      <c r="E1253" t="s">
        <v>1334</v>
      </c>
      <c r="F1253" t="s">
        <v>397</v>
      </c>
      <c r="G1253" t="s">
        <v>51</v>
      </c>
      <c r="H1253" t="s">
        <v>308</v>
      </c>
      <c r="I1253" t="s">
        <v>169</v>
      </c>
      <c r="J1253" t="s">
        <v>170</v>
      </c>
      <c r="K1253">
        <v>877790</v>
      </c>
      <c r="L1253" t="s">
        <v>310</v>
      </c>
      <c r="M1253" t="s">
        <v>311</v>
      </c>
      <c r="N1253" t="s">
        <v>57</v>
      </c>
      <c r="O1253" s="1">
        <v>45933</v>
      </c>
      <c r="Q1253" s="1">
        <v>46025</v>
      </c>
      <c r="R1253" s="2">
        <v>59.02</v>
      </c>
      <c r="S1253">
        <v>1</v>
      </c>
      <c r="T1253" t="s">
        <v>58</v>
      </c>
      <c r="U1253" t="s">
        <v>105</v>
      </c>
      <c r="V1253" s="4">
        <v>0.47</v>
      </c>
      <c r="W1253" s="2">
        <v>0</v>
      </c>
      <c r="X1253">
        <v>0</v>
      </c>
      <c r="Y1253" t="s">
        <v>83</v>
      </c>
      <c r="Z1253" t="s">
        <v>61</v>
      </c>
      <c r="AA1253">
        <v>0</v>
      </c>
      <c r="AB1253" s="2">
        <v>0</v>
      </c>
      <c r="AC1253" s="2">
        <v>0</v>
      </c>
      <c r="AD1253" s="4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27.74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45999</v>
      </c>
      <c r="B1254" t="s">
        <v>48</v>
      </c>
      <c r="C1254">
        <v>649163</v>
      </c>
      <c r="D1254">
        <v>2031615384</v>
      </c>
      <c r="E1254" t="s">
        <v>1184</v>
      </c>
      <c r="F1254" t="s">
        <v>1185</v>
      </c>
      <c r="G1254" t="s">
        <v>51</v>
      </c>
      <c r="H1254" t="s">
        <v>102</v>
      </c>
      <c r="I1254" t="s">
        <v>169</v>
      </c>
      <c r="J1254" t="s">
        <v>1274</v>
      </c>
      <c r="K1254">
        <v>820873</v>
      </c>
      <c r="L1254" t="s">
        <v>117</v>
      </c>
      <c r="M1254" t="s">
        <v>118</v>
      </c>
      <c r="N1254" t="s">
        <v>57</v>
      </c>
      <c r="O1254" s="1">
        <v>45962</v>
      </c>
      <c r="Q1254" s="1">
        <v>46023</v>
      </c>
      <c r="R1254" s="2">
        <v>35.270000000000003</v>
      </c>
      <c r="S1254">
        <v>1</v>
      </c>
      <c r="T1254" t="s">
        <v>58</v>
      </c>
      <c r="U1254" t="s">
        <v>105</v>
      </c>
      <c r="V1254" s="4">
        <v>0.51</v>
      </c>
      <c r="W1254" s="2">
        <v>0</v>
      </c>
      <c r="X1254">
        <v>0</v>
      </c>
      <c r="Y1254" t="s">
        <v>83</v>
      </c>
      <c r="Z1254" t="s">
        <v>61</v>
      </c>
      <c r="AA1254">
        <v>0</v>
      </c>
      <c r="AB1254" s="2">
        <v>0</v>
      </c>
      <c r="AC1254" s="2">
        <v>0</v>
      </c>
      <c r="AD1254" s="4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17.989999999999998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45999</v>
      </c>
      <c r="B1255" t="s">
        <v>48</v>
      </c>
      <c r="C1255">
        <v>649163</v>
      </c>
      <c r="D1255">
        <v>2031615385</v>
      </c>
      <c r="E1255" t="s">
        <v>1184</v>
      </c>
      <c r="F1255" t="s">
        <v>1185</v>
      </c>
      <c r="G1255" t="s">
        <v>51</v>
      </c>
      <c r="H1255" t="s">
        <v>102</v>
      </c>
      <c r="I1255" t="s">
        <v>169</v>
      </c>
      <c r="J1255" t="s">
        <v>1275</v>
      </c>
      <c r="K1255">
        <v>820873</v>
      </c>
      <c r="L1255" t="s">
        <v>117</v>
      </c>
      <c r="M1255" t="s">
        <v>118</v>
      </c>
      <c r="N1255" t="s">
        <v>57</v>
      </c>
      <c r="O1255" s="1">
        <v>45962</v>
      </c>
      <c r="Q1255" s="1">
        <v>46023</v>
      </c>
      <c r="R1255" s="2">
        <v>5.95</v>
      </c>
      <c r="S1255">
        <v>1</v>
      </c>
      <c r="T1255" t="s">
        <v>58</v>
      </c>
      <c r="U1255" t="s">
        <v>105</v>
      </c>
      <c r="V1255" s="4">
        <v>0.51</v>
      </c>
      <c r="W1255" s="2">
        <v>0</v>
      </c>
      <c r="X1255">
        <v>0</v>
      </c>
      <c r="Y1255" t="s">
        <v>83</v>
      </c>
      <c r="Z1255" t="s">
        <v>61</v>
      </c>
      <c r="AA1255">
        <v>0</v>
      </c>
      <c r="AB1255" s="2">
        <v>0</v>
      </c>
      <c r="AC1255" s="2">
        <v>0</v>
      </c>
      <c r="AD1255" s="4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3.03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45999</v>
      </c>
      <c r="B1256" t="s">
        <v>48</v>
      </c>
      <c r="C1256">
        <v>649163</v>
      </c>
      <c r="D1256">
        <v>2031795974</v>
      </c>
      <c r="E1256" t="s">
        <v>396</v>
      </c>
      <c r="F1256" t="s">
        <v>182</v>
      </c>
      <c r="G1256" t="s">
        <v>51</v>
      </c>
      <c r="H1256" t="s">
        <v>210</v>
      </c>
      <c r="I1256" t="s">
        <v>169</v>
      </c>
      <c r="J1256" t="s">
        <v>170</v>
      </c>
      <c r="K1256">
        <v>673059</v>
      </c>
      <c r="L1256" t="s">
        <v>81</v>
      </c>
      <c r="M1256" t="s">
        <v>82</v>
      </c>
      <c r="N1256" t="s">
        <v>57</v>
      </c>
      <c r="O1256" s="1">
        <v>45962</v>
      </c>
      <c r="Q1256" s="1">
        <v>46023</v>
      </c>
      <c r="R1256" s="2">
        <v>72.2</v>
      </c>
      <c r="S1256">
        <v>1</v>
      </c>
      <c r="T1256" t="s">
        <v>58</v>
      </c>
      <c r="U1256" t="s">
        <v>105</v>
      </c>
      <c r="V1256" s="4">
        <v>0.47</v>
      </c>
      <c r="W1256" s="2">
        <v>0</v>
      </c>
      <c r="X1256">
        <v>0</v>
      </c>
      <c r="Y1256" t="s">
        <v>83</v>
      </c>
      <c r="Z1256" t="s">
        <v>61</v>
      </c>
      <c r="AA1256">
        <v>0</v>
      </c>
      <c r="AB1256" s="2">
        <v>0</v>
      </c>
      <c r="AC1256" s="2">
        <v>0</v>
      </c>
      <c r="AD1256" s="4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33.93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45999</v>
      </c>
      <c r="B1257" t="s">
        <v>48</v>
      </c>
      <c r="C1257">
        <v>649163</v>
      </c>
      <c r="D1257">
        <v>2031796085</v>
      </c>
      <c r="E1257" t="s">
        <v>1335</v>
      </c>
      <c r="F1257" t="s">
        <v>428</v>
      </c>
      <c r="G1257" t="s">
        <v>51</v>
      </c>
      <c r="H1257" t="s">
        <v>210</v>
      </c>
      <c r="I1257" t="s">
        <v>169</v>
      </c>
      <c r="J1257" t="s">
        <v>170</v>
      </c>
      <c r="K1257">
        <v>673059</v>
      </c>
      <c r="L1257" t="s">
        <v>81</v>
      </c>
      <c r="M1257" t="s">
        <v>82</v>
      </c>
      <c r="N1257" t="s">
        <v>57</v>
      </c>
      <c r="O1257" s="1">
        <v>45962</v>
      </c>
      <c r="Q1257" s="1">
        <v>46023</v>
      </c>
      <c r="R1257" s="2">
        <v>52.01</v>
      </c>
      <c r="S1257">
        <v>1</v>
      </c>
      <c r="T1257" t="s">
        <v>58</v>
      </c>
      <c r="U1257" t="s">
        <v>105</v>
      </c>
      <c r="V1257" s="4">
        <v>0.47</v>
      </c>
      <c r="W1257" s="2">
        <v>0</v>
      </c>
      <c r="X1257">
        <v>0</v>
      </c>
      <c r="Y1257" t="s">
        <v>83</v>
      </c>
      <c r="Z1257" t="s">
        <v>61</v>
      </c>
      <c r="AA1257">
        <v>0</v>
      </c>
      <c r="AB1257" s="2">
        <v>0</v>
      </c>
      <c r="AC1257" s="2">
        <v>0</v>
      </c>
      <c r="AD1257" s="4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24.44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45999</v>
      </c>
      <c r="B1258" t="s">
        <v>48</v>
      </c>
      <c r="C1258">
        <v>649163</v>
      </c>
      <c r="D1258">
        <v>2031848856</v>
      </c>
      <c r="E1258" t="s">
        <v>1192</v>
      </c>
      <c r="F1258" t="s">
        <v>1193</v>
      </c>
      <c r="G1258" t="s">
        <v>51</v>
      </c>
      <c r="H1258" t="s">
        <v>97</v>
      </c>
      <c r="I1258" t="s">
        <v>169</v>
      </c>
      <c r="J1258" t="s">
        <v>1274</v>
      </c>
      <c r="K1258">
        <v>651818</v>
      </c>
      <c r="L1258" t="s">
        <v>246</v>
      </c>
      <c r="M1258" t="s">
        <v>247</v>
      </c>
      <c r="N1258" t="s">
        <v>57</v>
      </c>
      <c r="O1258" s="1">
        <v>45967</v>
      </c>
      <c r="Q1258" s="1">
        <v>46028</v>
      </c>
      <c r="R1258" s="2">
        <v>132.28</v>
      </c>
      <c r="S1258">
        <v>1</v>
      </c>
      <c r="T1258" t="s">
        <v>58</v>
      </c>
      <c r="U1258" t="s">
        <v>105</v>
      </c>
      <c r="V1258" s="4">
        <v>0.51</v>
      </c>
      <c r="W1258" s="2">
        <v>0</v>
      </c>
      <c r="X1258">
        <v>0</v>
      </c>
      <c r="Y1258" t="s">
        <v>83</v>
      </c>
      <c r="Z1258" t="s">
        <v>61</v>
      </c>
      <c r="AA1258">
        <v>0</v>
      </c>
      <c r="AB1258" s="2">
        <v>0</v>
      </c>
      <c r="AC1258" s="2">
        <v>0</v>
      </c>
      <c r="AD1258" s="4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67.459999999999994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45999</v>
      </c>
      <c r="B1259" t="s">
        <v>48</v>
      </c>
      <c r="C1259">
        <v>649163</v>
      </c>
      <c r="D1259">
        <v>2031848857</v>
      </c>
      <c r="E1259" t="s">
        <v>1192</v>
      </c>
      <c r="F1259" t="s">
        <v>1193</v>
      </c>
      <c r="G1259" t="s">
        <v>51</v>
      </c>
      <c r="H1259" t="s">
        <v>97</v>
      </c>
      <c r="I1259" t="s">
        <v>169</v>
      </c>
      <c r="J1259" t="s">
        <v>1275</v>
      </c>
      <c r="K1259">
        <v>651818</v>
      </c>
      <c r="L1259" t="s">
        <v>246</v>
      </c>
      <c r="M1259" t="s">
        <v>247</v>
      </c>
      <c r="N1259" t="s">
        <v>57</v>
      </c>
      <c r="O1259" s="1">
        <v>45967</v>
      </c>
      <c r="Q1259" s="1">
        <v>46028</v>
      </c>
      <c r="R1259" s="2">
        <v>5.95</v>
      </c>
      <c r="S1259">
        <v>1</v>
      </c>
      <c r="T1259" t="s">
        <v>58</v>
      </c>
      <c r="U1259" t="s">
        <v>105</v>
      </c>
      <c r="V1259" s="4">
        <v>0.51</v>
      </c>
      <c r="W1259" s="2">
        <v>0</v>
      </c>
      <c r="X1259">
        <v>0</v>
      </c>
      <c r="Y1259" t="s">
        <v>83</v>
      </c>
      <c r="Z1259" t="s">
        <v>61</v>
      </c>
      <c r="AA1259">
        <v>0</v>
      </c>
      <c r="AB1259" s="2">
        <v>0</v>
      </c>
      <c r="AC1259" s="2">
        <v>0</v>
      </c>
      <c r="AD1259" s="4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3.03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45999</v>
      </c>
      <c r="B1260" t="s">
        <v>48</v>
      </c>
      <c r="C1260">
        <v>649163</v>
      </c>
      <c r="D1260">
        <v>2031934790</v>
      </c>
      <c r="E1260" t="s">
        <v>569</v>
      </c>
      <c r="F1260" t="s">
        <v>1188</v>
      </c>
      <c r="G1260" t="s">
        <v>51</v>
      </c>
      <c r="H1260" t="s">
        <v>102</v>
      </c>
      <c r="I1260" t="s">
        <v>169</v>
      </c>
      <c r="J1260" t="s">
        <v>170</v>
      </c>
      <c r="K1260">
        <v>812782</v>
      </c>
      <c r="L1260" t="s">
        <v>159</v>
      </c>
      <c r="M1260" t="s">
        <v>160</v>
      </c>
      <c r="N1260" t="s">
        <v>57</v>
      </c>
      <c r="O1260" s="1">
        <v>45962</v>
      </c>
      <c r="Q1260" s="1">
        <v>46023</v>
      </c>
      <c r="R1260" s="2">
        <v>66.28</v>
      </c>
      <c r="S1260">
        <v>1</v>
      </c>
      <c r="T1260" t="s">
        <v>58</v>
      </c>
      <c r="U1260" t="s">
        <v>105</v>
      </c>
      <c r="V1260" s="4">
        <v>0.47</v>
      </c>
      <c r="W1260" s="2">
        <v>0</v>
      </c>
      <c r="X1260">
        <v>0</v>
      </c>
      <c r="Y1260" t="s">
        <v>83</v>
      </c>
      <c r="Z1260" t="s">
        <v>61</v>
      </c>
      <c r="AA1260">
        <v>0</v>
      </c>
      <c r="AB1260" s="2">
        <v>0</v>
      </c>
      <c r="AC1260" s="2">
        <v>0</v>
      </c>
      <c r="AD1260" s="4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31.15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45999</v>
      </c>
      <c r="B1261" t="s">
        <v>1336</v>
      </c>
      <c r="C1261">
        <v>673059</v>
      </c>
      <c r="D1261">
        <v>2020706449</v>
      </c>
      <c r="E1261" t="s">
        <v>129</v>
      </c>
      <c r="F1261" t="s">
        <v>130</v>
      </c>
      <c r="G1261" t="s">
        <v>51</v>
      </c>
      <c r="I1261" t="s">
        <v>126</v>
      </c>
      <c r="J1261" t="s">
        <v>132</v>
      </c>
      <c r="K1261">
        <v>673059</v>
      </c>
      <c r="L1261" t="s">
        <v>81</v>
      </c>
      <c r="M1261" t="s">
        <v>82</v>
      </c>
      <c r="N1261" t="s">
        <v>94</v>
      </c>
      <c r="O1261" s="1">
        <v>45261</v>
      </c>
      <c r="P1261" s="1">
        <v>45999</v>
      </c>
      <c r="R1261" s="2">
        <v>0</v>
      </c>
      <c r="AB1261" s="2">
        <v>0</v>
      </c>
      <c r="AC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45999</v>
      </c>
      <c r="B1262" t="s">
        <v>1336</v>
      </c>
      <c r="C1262">
        <v>649163</v>
      </c>
      <c r="D1262">
        <v>2020706450</v>
      </c>
      <c r="E1262" t="s">
        <v>129</v>
      </c>
      <c r="F1262" t="s">
        <v>130</v>
      </c>
      <c r="G1262" t="s">
        <v>51</v>
      </c>
      <c r="I1262" t="s">
        <v>53</v>
      </c>
      <c r="J1262" t="s">
        <v>54</v>
      </c>
      <c r="K1262">
        <v>649163</v>
      </c>
      <c r="L1262" t="s">
        <v>81</v>
      </c>
      <c r="M1262" t="s">
        <v>82</v>
      </c>
      <c r="N1262" t="s">
        <v>94</v>
      </c>
      <c r="O1262" s="1">
        <v>45261</v>
      </c>
      <c r="P1262" s="1">
        <v>45999</v>
      </c>
      <c r="R1262" s="2">
        <v>0</v>
      </c>
      <c r="AB1262" s="2">
        <v>0</v>
      </c>
      <c r="AC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45999</v>
      </c>
      <c r="B1263" t="s">
        <v>1336</v>
      </c>
      <c r="C1263">
        <v>649163</v>
      </c>
      <c r="D1263">
        <v>2025254889</v>
      </c>
      <c r="E1263" t="s">
        <v>779</v>
      </c>
      <c r="F1263" t="s">
        <v>780</v>
      </c>
      <c r="G1263" t="s">
        <v>51</v>
      </c>
      <c r="I1263" t="s">
        <v>86</v>
      </c>
      <c r="J1263" t="s">
        <v>87</v>
      </c>
      <c r="K1263">
        <v>649163</v>
      </c>
      <c r="L1263" t="s">
        <v>138</v>
      </c>
      <c r="M1263" t="s">
        <v>107</v>
      </c>
      <c r="N1263" t="s">
        <v>94</v>
      </c>
      <c r="O1263" s="1">
        <v>45576</v>
      </c>
      <c r="P1263" s="1">
        <v>45999</v>
      </c>
      <c r="R1263" s="2">
        <v>0</v>
      </c>
      <c r="AB1263" s="2">
        <v>0</v>
      </c>
      <c r="AC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45999</v>
      </c>
      <c r="B1264" t="s">
        <v>1336</v>
      </c>
      <c r="C1264">
        <v>650218</v>
      </c>
      <c r="D1264">
        <v>2025486440</v>
      </c>
      <c r="E1264" t="s">
        <v>1337</v>
      </c>
      <c r="F1264" t="s">
        <v>249</v>
      </c>
      <c r="G1264" t="s">
        <v>51</v>
      </c>
      <c r="I1264" t="s">
        <v>365</v>
      </c>
      <c r="J1264" t="s">
        <v>366</v>
      </c>
      <c r="K1264">
        <v>650218</v>
      </c>
      <c r="L1264" t="s">
        <v>88</v>
      </c>
      <c r="M1264" t="s">
        <v>89</v>
      </c>
      <c r="N1264" t="s">
        <v>94</v>
      </c>
      <c r="O1264" s="1">
        <v>45597</v>
      </c>
      <c r="P1264" s="1">
        <v>45999</v>
      </c>
      <c r="R1264" s="2">
        <v>0</v>
      </c>
      <c r="AB1264" s="2">
        <v>0</v>
      </c>
      <c r="AC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45999</v>
      </c>
      <c r="B1265" t="s">
        <v>1336</v>
      </c>
      <c r="C1265">
        <v>650218</v>
      </c>
      <c r="D1265">
        <v>2025486441</v>
      </c>
      <c r="E1265" t="s">
        <v>1337</v>
      </c>
      <c r="F1265" t="s">
        <v>249</v>
      </c>
      <c r="G1265" t="s">
        <v>51</v>
      </c>
      <c r="I1265" t="s">
        <v>53</v>
      </c>
      <c r="J1265" t="s">
        <v>54</v>
      </c>
      <c r="K1265">
        <v>650218</v>
      </c>
      <c r="L1265" t="s">
        <v>88</v>
      </c>
      <c r="M1265" t="s">
        <v>89</v>
      </c>
      <c r="N1265" t="s">
        <v>94</v>
      </c>
      <c r="O1265" s="1">
        <v>45597</v>
      </c>
      <c r="P1265" s="1">
        <v>45999</v>
      </c>
      <c r="R1265" s="2">
        <v>0</v>
      </c>
      <c r="AB1265" s="2">
        <v>0</v>
      </c>
      <c r="AC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45999</v>
      </c>
      <c r="B1266" t="s">
        <v>1336</v>
      </c>
      <c r="C1266">
        <v>792847</v>
      </c>
      <c r="D1266">
        <v>2025952449</v>
      </c>
      <c r="E1266" t="s">
        <v>1298</v>
      </c>
      <c r="F1266" t="s">
        <v>111</v>
      </c>
      <c r="G1266" t="s">
        <v>51</v>
      </c>
      <c r="I1266" t="s">
        <v>126</v>
      </c>
      <c r="J1266" t="s">
        <v>132</v>
      </c>
      <c r="K1266">
        <v>792847</v>
      </c>
      <c r="L1266" t="s">
        <v>155</v>
      </c>
      <c r="M1266" t="s">
        <v>156</v>
      </c>
      <c r="N1266" t="s">
        <v>94</v>
      </c>
      <c r="O1266" s="1">
        <v>45627</v>
      </c>
      <c r="P1266" s="1">
        <v>45999</v>
      </c>
      <c r="R1266" s="2">
        <v>0</v>
      </c>
      <c r="AB1266" s="2">
        <v>0</v>
      </c>
      <c r="AC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45999</v>
      </c>
      <c r="B1267" t="s">
        <v>1336</v>
      </c>
      <c r="C1267">
        <v>792847</v>
      </c>
      <c r="D1267">
        <v>2025952450</v>
      </c>
      <c r="E1267" t="s">
        <v>1298</v>
      </c>
      <c r="F1267" t="s">
        <v>111</v>
      </c>
      <c r="G1267" t="s">
        <v>51</v>
      </c>
      <c r="I1267" t="s">
        <v>75</v>
      </c>
      <c r="J1267" t="s">
        <v>76</v>
      </c>
      <c r="K1267">
        <v>792847</v>
      </c>
      <c r="L1267" t="s">
        <v>155</v>
      </c>
      <c r="M1267" t="s">
        <v>156</v>
      </c>
      <c r="N1267" t="s">
        <v>94</v>
      </c>
      <c r="O1267" s="1">
        <v>45627</v>
      </c>
      <c r="P1267" s="1">
        <v>45999</v>
      </c>
      <c r="R1267" s="2">
        <v>0</v>
      </c>
      <c r="AB1267" s="2">
        <v>0</v>
      </c>
      <c r="AC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45999</v>
      </c>
      <c r="B1268" t="s">
        <v>1336</v>
      </c>
      <c r="C1268">
        <v>792847</v>
      </c>
      <c r="D1268">
        <v>2025952448</v>
      </c>
      <c r="E1268" t="s">
        <v>1298</v>
      </c>
      <c r="F1268" t="s">
        <v>111</v>
      </c>
      <c r="G1268" t="s">
        <v>51</v>
      </c>
      <c r="I1268" t="s">
        <v>86</v>
      </c>
      <c r="J1268" t="s">
        <v>87</v>
      </c>
      <c r="K1268">
        <v>792847</v>
      </c>
      <c r="L1268" t="s">
        <v>155</v>
      </c>
      <c r="M1268" t="s">
        <v>156</v>
      </c>
      <c r="N1268" t="s">
        <v>94</v>
      </c>
      <c r="O1268" s="1">
        <v>45627</v>
      </c>
      <c r="P1268" s="1">
        <v>45999</v>
      </c>
      <c r="R1268" s="2">
        <v>0</v>
      </c>
      <c r="AB1268" s="2">
        <v>0</v>
      </c>
      <c r="AC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45999</v>
      </c>
      <c r="B1269" t="s">
        <v>1336</v>
      </c>
      <c r="C1269">
        <v>649163</v>
      </c>
      <c r="D1269">
        <v>2025952183</v>
      </c>
      <c r="E1269" t="s">
        <v>1298</v>
      </c>
      <c r="F1269" t="s">
        <v>249</v>
      </c>
      <c r="G1269" t="s">
        <v>51</v>
      </c>
      <c r="I1269" t="s">
        <v>169</v>
      </c>
      <c r="J1269" t="s">
        <v>170</v>
      </c>
      <c r="K1269">
        <v>649163</v>
      </c>
      <c r="L1269" t="s">
        <v>155</v>
      </c>
      <c r="M1269" t="s">
        <v>156</v>
      </c>
      <c r="N1269" t="s">
        <v>94</v>
      </c>
      <c r="O1269" s="1">
        <v>45627</v>
      </c>
      <c r="P1269" s="1">
        <v>45999</v>
      </c>
      <c r="R1269" s="2">
        <v>0</v>
      </c>
      <c r="AB1269" s="2">
        <v>0</v>
      </c>
      <c r="AC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45999</v>
      </c>
      <c r="B1270" t="s">
        <v>1336</v>
      </c>
      <c r="C1270">
        <v>649163</v>
      </c>
      <c r="D1270">
        <v>2026038650</v>
      </c>
      <c r="E1270" t="s">
        <v>997</v>
      </c>
      <c r="F1270" t="s">
        <v>182</v>
      </c>
      <c r="G1270" t="s">
        <v>51</v>
      </c>
      <c r="I1270" t="s">
        <v>86</v>
      </c>
      <c r="J1270" t="s">
        <v>87</v>
      </c>
      <c r="K1270">
        <v>649163</v>
      </c>
      <c r="L1270" t="s">
        <v>246</v>
      </c>
      <c r="M1270" t="s">
        <v>247</v>
      </c>
      <c r="N1270" t="s">
        <v>94</v>
      </c>
      <c r="O1270" s="1">
        <v>45633</v>
      </c>
      <c r="P1270" s="1">
        <v>45999</v>
      </c>
      <c r="R1270" s="2">
        <v>0</v>
      </c>
      <c r="AB1270" s="2">
        <v>0</v>
      </c>
      <c r="AC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45999</v>
      </c>
      <c r="B1271" t="s">
        <v>1336</v>
      </c>
      <c r="C1271">
        <v>806645</v>
      </c>
      <c r="D1271">
        <v>2026106091</v>
      </c>
      <c r="E1271" t="s">
        <v>394</v>
      </c>
      <c r="F1271" t="s">
        <v>1338</v>
      </c>
      <c r="G1271" t="s">
        <v>51</v>
      </c>
      <c r="I1271" t="s">
        <v>86</v>
      </c>
      <c r="J1271" t="s">
        <v>87</v>
      </c>
      <c r="K1271">
        <v>806645</v>
      </c>
      <c r="L1271" t="s">
        <v>98</v>
      </c>
      <c r="M1271" t="s">
        <v>99</v>
      </c>
      <c r="N1271" t="s">
        <v>94</v>
      </c>
      <c r="O1271" s="1">
        <v>45658</v>
      </c>
      <c r="P1271" s="1">
        <v>45999</v>
      </c>
      <c r="R1271" s="2">
        <v>0</v>
      </c>
      <c r="AB1271" s="2">
        <v>0</v>
      </c>
      <c r="AC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45999</v>
      </c>
      <c r="B1272" t="s">
        <v>1336</v>
      </c>
      <c r="C1272">
        <v>649163</v>
      </c>
      <c r="D1272">
        <v>2026083912</v>
      </c>
      <c r="E1272" t="s">
        <v>1086</v>
      </c>
      <c r="F1272" t="s">
        <v>1087</v>
      </c>
      <c r="G1272" t="s">
        <v>51</v>
      </c>
      <c r="I1272" t="s">
        <v>126</v>
      </c>
      <c r="J1272" t="s">
        <v>132</v>
      </c>
      <c r="K1272">
        <v>649163</v>
      </c>
      <c r="L1272" t="s">
        <v>246</v>
      </c>
      <c r="M1272" t="s">
        <v>247</v>
      </c>
      <c r="N1272" t="s">
        <v>94</v>
      </c>
      <c r="O1272" s="1">
        <v>45664</v>
      </c>
      <c r="P1272" s="1">
        <v>45999</v>
      </c>
      <c r="R1272" s="2">
        <v>0</v>
      </c>
      <c r="AB1272" s="2">
        <v>0</v>
      </c>
      <c r="AC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45999</v>
      </c>
      <c r="B1273" t="s">
        <v>1336</v>
      </c>
      <c r="C1273">
        <v>649163</v>
      </c>
      <c r="D1273">
        <v>2026107902</v>
      </c>
      <c r="E1273" t="s">
        <v>1303</v>
      </c>
      <c r="F1273" t="s">
        <v>1304</v>
      </c>
      <c r="G1273" t="s">
        <v>51</v>
      </c>
      <c r="I1273" t="s">
        <v>169</v>
      </c>
      <c r="J1273" t="s">
        <v>170</v>
      </c>
      <c r="K1273">
        <v>649163</v>
      </c>
      <c r="L1273" t="s">
        <v>183</v>
      </c>
      <c r="M1273" t="s">
        <v>184</v>
      </c>
      <c r="N1273" t="s">
        <v>94</v>
      </c>
      <c r="O1273" s="1">
        <v>45658</v>
      </c>
      <c r="P1273" s="1">
        <v>45999</v>
      </c>
      <c r="R1273" s="2">
        <v>0</v>
      </c>
      <c r="AB1273" s="2">
        <v>0</v>
      </c>
      <c r="AC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45999</v>
      </c>
      <c r="B1274" t="s">
        <v>1336</v>
      </c>
      <c r="C1274">
        <v>651818</v>
      </c>
      <c r="D1274">
        <v>2026100107</v>
      </c>
      <c r="E1274" t="s">
        <v>1339</v>
      </c>
      <c r="F1274" t="s">
        <v>144</v>
      </c>
      <c r="G1274" t="s">
        <v>51</v>
      </c>
      <c r="I1274" t="s">
        <v>126</v>
      </c>
      <c r="J1274" t="s">
        <v>375</v>
      </c>
      <c r="K1274">
        <v>651818</v>
      </c>
      <c r="L1274" t="s">
        <v>246</v>
      </c>
      <c r="M1274" t="s">
        <v>247</v>
      </c>
      <c r="N1274" t="s">
        <v>94</v>
      </c>
      <c r="O1274" s="1">
        <v>45664</v>
      </c>
      <c r="P1274" s="1">
        <v>45999</v>
      </c>
      <c r="R1274" s="2">
        <v>0</v>
      </c>
      <c r="AB1274" s="2">
        <v>0</v>
      </c>
      <c r="AC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45999</v>
      </c>
      <c r="B1275" t="s">
        <v>1336</v>
      </c>
      <c r="C1275">
        <v>651818</v>
      </c>
      <c r="D1275">
        <v>2026100108</v>
      </c>
      <c r="E1275" t="s">
        <v>1339</v>
      </c>
      <c r="F1275" t="s">
        <v>144</v>
      </c>
      <c r="G1275" t="s">
        <v>51</v>
      </c>
      <c r="I1275" t="s">
        <v>75</v>
      </c>
      <c r="J1275" t="s">
        <v>76</v>
      </c>
      <c r="K1275">
        <v>651818</v>
      </c>
      <c r="L1275" t="s">
        <v>246</v>
      </c>
      <c r="M1275" t="s">
        <v>247</v>
      </c>
      <c r="N1275" t="s">
        <v>94</v>
      </c>
      <c r="O1275" s="1">
        <v>45664</v>
      </c>
      <c r="P1275" s="1">
        <v>45999</v>
      </c>
      <c r="R1275" s="2">
        <v>0</v>
      </c>
      <c r="AB1275" s="2">
        <v>0</v>
      </c>
      <c r="AC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45999</v>
      </c>
      <c r="B1276" t="s">
        <v>1336</v>
      </c>
      <c r="C1276">
        <v>843573</v>
      </c>
      <c r="D1276">
        <v>2028800280</v>
      </c>
      <c r="E1276" t="s">
        <v>1340</v>
      </c>
      <c r="F1276" t="s">
        <v>807</v>
      </c>
      <c r="G1276" t="s">
        <v>51</v>
      </c>
      <c r="I1276" t="s">
        <v>126</v>
      </c>
      <c r="J1276" t="s">
        <v>132</v>
      </c>
      <c r="K1276">
        <v>843573</v>
      </c>
      <c r="L1276" t="s">
        <v>253</v>
      </c>
      <c r="M1276" t="s">
        <v>254</v>
      </c>
      <c r="N1276" t="s">
        <v>94</v>
      </c>
      <c r="O1276" s="1">
        <v>45785</v>
      </c>
      <c r="P1276" s="1">
        <v>45999</v>
      </c>
      <c r="R1276" s="2">
        <v>0</v>
      </c>
      <c r="AB1276" s="2">
        <v>0</v>
      </c>
      <c r="AC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45999</v>
      </c>
      <c r="B1277" t="s">
        <v>1336</v>
      </c>
      <c r="C1277">
        <v>649163</v>
      </c>
      <c r="D1277">
        <v>2029137105</v>
      </c>
      <c r="E1277" t="s">
        <v>854</v>
      </c>
      <c r="F1277" t="s">
        <v>855</v>
      </c>
      <c r="G1277" t="s">
        <v>51</v>
      </c>
      <c r="I1277" t="s">
        <v>126</v>
      </c>
      <c r="J1277" t="s">
        <v>132</v>
      </c>
      <c r="K1277">
        <v>649163</v>
      </c>
      <c r="L1277" t="s">
        <v>81</v>
      </c>
      <c r="M1277" t="s">
        <v>82</v>
      </c>
      <c r="N1277" t="s">
        <v>94</v>
      </c>
      <c r="O1277" s="1">
        <v>45809</v>
      </c>
      <c r="P1277" s="1">
        <v>45999</v>
      </c>
      <c r="R1277" s="2">
        <v>0</v>
      </c>
      <c r="AB1277" s="2">
        <v>280.81</v>
      </c>
      <c r="AC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280.81</v>
      </c>
      <c r="AN1277" s="2">
        <v>0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45999</v>
      </c>
      <c r="B1278" t="s">
        <v>1336</v>
      </c>
      <c r="C1278">
        <v>649163</v>
      </c>
      <c r="D1278">
        <v>2029137106</v>
      </c>
      <c r="E1278" t="s">
        <v>854</v>
      </c>
      <c r="F1278" t="s">
        <v>855</v>
      </c>
      <c r="G1278" t="s">
        <v>51</v>
      </c>
      <c r="I1278" t="s">
        <v>75</v>
      </c>
      <c r="J1278" t="s">
        <v>76</v>
      </c>
      <c r="K1278">
        <v>649163</v>
      </c>
      <c r="L1278" t="s">
        <v>81</v>
      </c>
      <c r="M1278" t="s">
        <v>82</v>
      </c>
      <c r="N1278" t="s">
        <v>94</v>
      </c>
      <c r="O1278" s="1">
        <v>45809</v>
      </c>
      <c r="P1278" s="1">
        <v>45999</v>
      </c>
      <c r="R1278" s="2">
        <v>0</v>
      </c>
      <c r="AB1278" s="2">
        <v>318.74</v>
      </c>
      <c r="AC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318.74</v>
      </c>
      <c r="AN1278" s="2">
        <v>0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45999</v>
      </c>
      <c r="B1279" t="s">
        <v>1336</v>
      </c>
      <c r="C1279">
        <v>812994</v>
      </c>
      <c r="D1279">
        <v>2029274820</v>
      </c>
      <c r="E1279" t="s">
        <v>149</v>
      </c>
      <c r="F1279" t="s">
        <v>150</v>
      </c>
      <c r="G1279" t="s">
        <v>51</v>
      </c>
      <c r="I1279" t="s">
        <v>126</v>
      </c>
      <c r="J1279" t="s">
        <v>132</v>
      </c>
      <c r="K1279">
        <v>812994</v>
      </c>
      <c r="L1279" t="s">
        <v>151</v>
      </c>
      <c r="M1279" t="s">
        <v>152</v>
      </c>
      <c r="N1279" t="s">
        <v>94</v>
      </c>
      <c r="O1279" s="1">
        <v>45839</v>
      </c>
      <c r="P1279" s="1">
        <v>45999</v>
      </c>
      <c r="R1279" s="2">
        <v>0</v>
      </c>
      <c r="AB1279" s="2">
        <v>1583.48</v>
      </c>
      <c r="AC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1583.47</v>
      </c>
      <c r="AN1279" s="2">
        <v>-0.01</v>
      </c>
      <c r="AO1279" s="2">
        <v>-0.01</v>
      </c>
      <c r="AP1279" s="2">
        <v>0</v>
      </c>
      <c r="AQ1279" s="2">
        <v>0</v>
      </c>
    </row>
    <row r="1280" spans="1:43" x14ac:dyDescent="0.25">
      <c r="A1280" s="1">
        <v>45999</v>
      </c>
      <c r="B1280" t="s">
        <v>1336</v>
      </c>
      <c r="C1280">
        <v>824062</v>
      </c>
      <c r="D1280">
        <v>2029276298</v>
      </c>
      <c r="E1280" t="s">
        <v>1341</v>
      </c>
      <c r="F1280" t="s">
        <v>1338</v>
      </c>
      <c r="G1280" t="s">
        <v>51</v>
      </c>
      <c r="I1280" t="s">
        <v>86</v>
      </c>
      <c r="J1280" t="s">
        <v>87</v>
      </c>
      <c r="K1280">
        <v>824062</v>
      </c>
      <c r="L1280" t="s">
        <v>261</v>
      </c>
      <c r="M1280" t="s">
        <v>262</v>
      </c>
      <c r="N1280" t="s">
        <v>94</v>
      </c>
      <c r="O1280" s="1">
        <v>45812</v>
      </c>
      <c r="P1280" s="1">
        <v>45999</v>
      </c>
      <c r="R1280" s="2">
        <v>0</v>
      </c>
      <c r="AB1280" s="2">
        <v>92.63</v>
      </c>
      <c r="AC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92.63</v>
      </c>
      <c r="AN1280" s="2">
        <v>0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45999</v>
      </c>
      <c r="B1281" t="s">
        <v>1336</v>
      </c>
      <c r="C1281">
        <v>824062</v>
      </c>
      <c r="D1281">
        <v>2029276299</v>
      </c>
      <c r="E1281" t="s">
        <v>1341</v>
      </c>
      <c r="F1281" t="s">
        <v>1338</v>
      </c>
      <c r="G1281" t="s">
        <v>51</v>
      </c>
      <c r="I1281" t="s">
        <v>126</v>
      </c>
      <c r="J1281" t="s">
        <v>375</v>
      </c>
      <c r="K1281">
        <v>824062</v>
      </c>
      <c r="L1281" t="s">
        <v>261</v>
      </c>
      <c r="M1281" t="s">
        <v>262</v>
      </c>
      <c r="N1281" t="s">
        <v>94</v>
      </c>
      <c r="O1281" s="1">
        <v>45812</v>
      </c>
      <c r="P1281" s="1">
        <v>45999</v>
      </c>
      <c r="R1281" s="2">
        <v>0</v>
      </c>
      <c r="AB1281" s="2">
        <v>238.3</v>
      </c>
      <c r="AC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238.3</v>
      </c>
      <c r="AN1281" s="2">
        <v>0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45999</v>
      </c>
      <c r="B1282" t="s">
        <v>1336</v>
      </c>
      <c r="C1282">
        <v>824062</v>
      </c>
      <c r="D1282">
        <v>2029276300</v>
      </c>
      <c r="E1282" t="s">
        <v>1341</v>
      </c>
      <c r="F1282" t="s">
        <v>1338</v>
      </c>
      <c r="G1282" t="s">
        <v>51</v>
      </c>
      <c r="I1282" t="s">
        <v>126</v>
      </c>
      <c r="J1282" t="s">
        <v>132</v>
      </c>
      <c r="K1282">
        <v>824062</v>
      </c>
      <c r="L1282" t="s">
        <v>261</v>
      </c>
      <c r="M1282" t="s">
        <v>262</v>
      </c>
      <c r="N1282" t="s">
        <v>94</v>
      </c>
      <c r="O1282" s="1">
        <v>45812</v>
      </c>
      <c r="P1282" s="1">
        <v>45999</v>
      </c>
      <c r="R1282" s="2">
        <v>0</v>
      </c>
      <c r="AB1282" s="2">
        <v>240.87</v>
      </c>
      <c r="AC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240.87</v>
      </c>
      <c r="AN1282" s="2">
        <v>0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45999</v>
      </c>
      <c r="B1283" t="s">
        <v>1336</v>
      </c>
      <c r="C1283">
        <v>856824</v>
      </c>
      <c r="D1283">
        <v>2029299955</v>
      </c>
      <c r="E1283" t="s">
        <v>1342</v>
      </c>
      <c r="F1283" t="s">
        <v>1343</v>
      </c>
      <c r="G1283" t="s">
        <v>51</v>
      </c>
      <c r="I1283" t="s">
        <v>365</v>
      </c>
      <c r="J1283" t="s">
        <v>366</v>
      </c>
      <c r="K1283">
        <v>856824</v>
      </c>
      <c r="L1283" t="s">
        <v>145</v>
      </c>
      <c r="M1283" t="s">
        <v>146</v>
      </c>
      <c r="N1283" t="s">
        <v>94</v>
      </c>
      <c r="O1283" s="1">
        <v>45813</v>
      </c>
      <c r="P1283" s="1">
        <v>45999</v>
      </c>
      <c r="R1283" s="2">
        <v>0</v>
      </c>
      <c r="AB1283" s="2">
        <v>31.14</v>
      </c>
      <c r="AC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31.14</v>
      </c>
      <c r="AN1283" s="2">
        <v>0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45999</v>
      </c>
      <c r="B1284" t="s">
        <v>1336</v>
      </c>
      <c r="C1284">
        <v>856824</v>
      </c>
      <c r="D1284">
        <v>2029299956</v>
      </c>
      <c r="E1284" t="s">
        <v>1342</v>
      </c>
      <c r="F1284" t="s">
        <v>1343</v>
      </c>
      <c r="G1284" t="s">
        <v>51</v>
      </c>
      <c r="I1284" t="s">
        <v>86</v>
      </c>
      <c r="J1284" t="s">
        <v>87</v>
      </c>
      <c r="K1284">
        <v>856824</v>
      </c>
      <c r="L1284" t="s">
        <v>145</v>
      </c>
      <c r="M1284" t="s">
        <v>146</v>
      </c>
      <c r="N1284" t="s">
        <v>94</v>
      </c>
      <c r="O1284" s="1">
        <v>45813</v>
      </c>
      <c r="P1284" s="1">
        <v>45999</v>
      </c>
      <c r="R1284" s="2">
        <v>0</v>
      </c>
      <c r="AB1284" s="2">
        <v>43.76</v>
      </c>
      <c r="AC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43.76</v>
      </c>
      <c r="AN1284" s="2">
        <v>0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45999</v>
      </c>
      <c r="B1285" t="s">
        <v>1336</v>
      </c>
      <c r="C1285">
        <v>856824</v>
      </c>
      <c r="D1285">
        <v>2029299957</v>
      </c>
      <c r="E1285" t="s">
        <v>1342</v>
      </c>
      <c r="F1285" t="s">
        <v>1343</v>
      </c>
      <c r="G1285" t="s">
        <v>51</v>
      </c>
      <c r="I1285" t="s">
        <v>290</v>
      </c>
      <c r="J1285" t="s">
        <v>295</v>
      </c>
      <c r="K1285">
        <v>856824</v>
      </c>
      <c r="L1285" t="s">
        <v>145</v>
      </c>
      <c r="M1285" t="s">
        <v>146</v>
      </c>
      <c r="N1285" t="s">
        <v>94</v>
      </c>
      <c r="O1285" s="1">
        <v>45813</v>
      </c>
      <c r="P1285" s="1">
        <v>45999</v>
      </c>
      <c r="R1285" s="2">
        <v>0</v>
      </c>
      <c r="AB1285" s="2">
        <v>34.200000000000003</v>
      </c>
      <c r="AC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34.200000000000003</v>
      </c>
      <c r="AN1285" s="2">
        <v>0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45999</v>
      </c>
      <c r="B1286" t="s">
        <v>1336</v>
      </c>
      <c r="C1286">
        <v>651818</v>
      </c>
      <c r="D1286">
        <v>2029242158</v>
      </c>
      <c r="E1286" t="s">
        <v>1344</v>
      </c>
      <c r="F1286" t="s">
        <v>1345</v>
      </c>
      <c r="G1286" t="s">
        <v>51</v>
      </c>
      <c r="I1286" t="s">
        <v>75</v>
      </c>
      <c r="J1286" t="s">
        <v>76</v>
      </c>
      <c r="K1286">
        <v>651818</v>
      </c>
      <c r="L1286" t="s">
        <v>246</v>
      </c>
      <c r="M1286" t="s">
        <v>247</v>
      </c>
      <c r="N1286" t="s">
        <v>94</v>
      </c>
      <c r="O1286" s="1">
        <v>45845</v>
      </c>
      <c r="P1286" s="1">
        <v>45999</v>
      </c>
      <c r="R1286" s="2">
        <v>0</v>
      </c>
      <c r="AB1286" s="2">
        <v>538.65</v>
      </c>
      <c r="AC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538.65</v>
      </c>
      <c r="AN1286" s="2">
        <v>0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45999</v>
      </c>
      <c r="B1287" t="s">
        <v>1336</v>
      </c>
      <c r="C1287">
        <v>651818</v>
      </c>
      <c r="D1287">
        <v>2029242159</v>
      </c>
      <c r="E1287" t="s">
        <v>1344</v>
      </c>
      <c r="F1287" t="s">
        <v>1345</v>
      </c>
      <c r="G1287" t="s">
        <v>51</v>
      </c>
      <c r="I1287" t="s">
        <v>86</v>
      </c>
      <c r="J1287" t="s">
        <v>87</v>
      </c>
      <c r="K1287">
        <v>651818</v>
      </c>
      <c r="L1287" t="s">
        <v>246</v>
      </c>
      <c r="M1287" t="s">
        <v>247</v>
      </c>
      <c r="N1287" t="s">
        <v>94</v>
      </c>
      <c r="O1287" s="1">
        <v>45845</v>
      </c>
      <c r="P1287" s="1">
        <v>45999</v>
      </c>
      <c r="R1287" s="2">
        <v>0</v>
      </c>
      <c r="AB1287" s="2">
        <v>108.52</v>
      </c>
      <c r="AC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108.52</v>
      </c>
      <c r="AN1287" s="2">
        <v>0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45999</v>
      </c>
      <c r="B1288" t="s">
        <v>1336</v>
      </c>
      <c r="C1288">
        <v>767312</v>
      </c>
      <c r="D1288">
        <v>2029752465</v>
      </c>
      <c r="E1288" t="s">
        <v>1346</v>
      </c>
      <c r="F1288" t="s">
        <v>1347</v>
      </c>
      <c r="G1288" t="s">
        <v>51</v>
      </c>
      <c r="I1288" t="s">
        <v>86</v>
      </c>
      <c r="J1288" t="s">
        <v>87</v>
      </c>
      <c r="K1288">
        <v>767312</v>
      </c>
      <c r="L1288" t="s">
        <v>138</v>
      </c>
      <c r="M1288" t="s">
        <v>107</v>
      </c>
      <c r="N1288" t="s">
        <v>94</v>
      </c>
      <c r="O1288" s="1">
        <v>45840</v>
      </c>
      <c r="P1288" s="1">
        <v>45999</v>
      </c>
      <c r="R1288" s="2">
        <v>0</v>
      </c>
      <c r="AB1288" s="2">
        <v>55.22</v>
      </c>
      <c r="AC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46.01</v>
      </c>
      <c r="AN1288" s="2">
        <v>-9.2100000000000009</v>
      </c>
      <c r="AO1288" s="2">
        <v>-9.2100000000000009</v>
      </c>
      <c r="AP1288" s="2">
        <v>0</v>
      </c>
      <c r="AQ1288" s="2">
        <v>0</v>
      </c>
    </row>
    <row r="1289" spans="1:43" x14ac:dyDescent="0.25">
      <c r="A1289" s="1">
        <v>45999</v>
      </c>
      <c r="B1289" t="s">
        <v>1336</v>
      </c>
      <c r="C1289">
        <v>767312</v>
      </c>
      <c r="D1289">
        <v>2029752466</v>
      </c>
      <c r="E1289" t="s">
        <v>1346</v>
      </c>
      <c r="F1289" t="s">
        <v>1347</v>
      </c>
      <c r="G1289" t="s">
        <v>51</v>
      </c>
      <c r="I1289" t="s">
        <v>126</v>
      </c>
      <c r="J1289" t="s">
        <v>132</v>
      </c>
      <c r="K1289">
        <v>767312</v>
      </c>
      <c r="L1289" t="s">
        <v>138</v>
      </c>
      <c r="M1289" t="s">
        <v>107</v>
      </c>
      <c r="N1289" t="s">
        <v>94</v>
      </c>
      <c r="O1289" s="1">
        <v>45840</v>
      </c>
      <c r="P1289" s="1">
        <v>45999</v>
      </c>
      <c r="R1289" s="2">
        <v>0</v>
      </c>
      <c r="AB1289" s="2">
        <v>77.53</v>
      </c>
      <c r="AC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64.599999999999994</v>
      </c>
      <c r="AN1289" s="2">
        <v>-12.93</v>
      </c>
      <c r="AO1289" s="2">
        <v>-12.93</v>
      </c>
      <c r="AP1289" s="2">
        <v>0</v>
      </c>
      <c r="AQ1289" s="2">
        <v>0</v>
      </c>
    </row>
    <row r="1290" spans="1:43" x14ac:dyDescent="0.25">
      <c r="A1290" s="1">
        <v>45999</v>
      </c>
      <c r="B1290" t="s">
        <v>1336</v>
      </c>
      <c r="C1290">
        <v>840313</v>
      </c>
      <c r="D1290">
        <v>2029880669</v>
      </c>
      <c r="E1290" t="s">
        <v>1348</v>
      </c>
      <c r="F1290" t="s">
        <v>1349</v>
      </c>
      <c r="G1290" t="s">
        <v>51</v>
      </c>
      <c r="I1290" t="s">
        <v>86</v>
      </c>
      <c r="J1290" t="s">
        <v>87</v>
      </c>
      <c r="K1290">
        <v>840313</v>
      </c>
      <c r="L1290" t="s">
        <v>525</v>
      </c>
      <c r="M1290" t="s">
        <v>526</v>
      </c>
      <c r="N1290" t="s">
        <v>94</v>
      </c>
      <c r="O1290" s="1">
        <v>45848</v>
      </c>
      <c r="P1290" s="1">
        <v>45999</v>
      </c>
      <c r="R1290" s="2">
        <v>0</v>
      </c>
      <c r="AB1290" s="2">
        <v>174.33</v>
      </c>
      <c r="AC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116.23</v>
      </c>
      <c r="AN1290" s="2">
        <v>-58.1</v>
      </c>
      <c r="AO1290" s="2">
        <v>-58.1</v>
      </c>
      <c r="AP1290" s="2">
        <v>0</v>
      </c>
      <c r="AQ1290" s="2">
        <v>0</v>
      </c>
    </row>
    <row r="1291" spans="1:43" x14ac:dyDescent="0.25">
      <c r="A1291" s="1">
        <v>45999</v>
      </c>
      <c r="B1291" t="s">
        <v>1336</v>
      </c>
      <c r="C1291">
        <v>840313</v>
      </c>
      <c r="D1291">
        <v>2029880668</v>
      </c>
      <c r="E1291" t="s">
        <v>1348</v>
      </c>
      <c r="F1291" t="s">
        <v>1349</v>
      </c>
      <c r="G1291" t="s">
        <v>51</v>
      </c>
      <c r="I1291" t="s">
        <v>126</v>
      </c>
      <c r="J1291" t="s">
        <v>132</v>
      </c>
      <c r="K1291">
        <v>840313</v>
      </c>
      <c r="L1291" t="s">
        <v>525</v>
      </c>
      <c r="M1291" t="s">
        <v>526</v>
      </c>
      <c r="N1291" t="s">
        <v>94</v>
      </c>
      <c r="O1291" s="1">
        <v>45848</v>
      </c>
      <c r="P1291" s="1">
        <v>45999</v>
      </c>
      <c r="R1291" s="2">
        <v>0</v>
      </c>
      <c r="AB1291" s="2">
        <v>237.3</v>
      </c>
      <c r="AC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158.19999999999999</v>
      </c>
      <c r="AN1291" s="2">
        <v>-79.099999999999994</v>
      </c>
      <c r="AO1291" s="2">
        <v>-79.099999999999994</v>
      </c>
      <c r="AP1291" s="2">
        <v>0</v>
      </c>
      <c r="AQ1291" s="2">
        <v>0</v>
      </c>
    </row>
    <row r="1292" spans="1:43" x14ac:dyDescent="0.25">
      <c r="A1292" s="1">
        <v>45999</v>
      </c>
      <c r="B1292" t="s">
        <v>1336</v>
      </c>
      <c r="C1292">
        <v>813184</v>
      </c>
      <c r="D1292">
        <v>2030333350</v>
      </c>
      <c r="E1292" t="s">
        <v>1350</v>
      </c>
      <c r="F1292" t="s">
        <v>1351</v>
      </c>
      <c r="G1292" t="s">
        <v>51</v>
      </c>
      <c r="I1292" t="s">
        <v>126</v>
      </c>
      <c r="J1292" t="s">
        <v>132</v>
      </c>
      <c r="K1292">
        <v>813184</v>
      </c>
      <c r="L1292" t="s">
        <v>361</v>
      </c>
      <c r="M1292" t="s">
        <v>362</v>
      </c>
      <c r="N1292" t="s">
        <v>94</v>
      </c>
      <c r="O1292" s="1">
        <v>45879</v>
      </c>
      <c r="P1292" s="1">
        <v>45999</v>
      </c>
      <c r="R1292" s="2">
        <v>0</v>
      </c>
      <c r="AB1292" s="2">
        <v>82.24</v>
      </c>
      <c r="AC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41.13</v>
      </c>
      <c r="AN1292" s="2">
        <v>-41.11</v>
      </c>
      <c r="AO1292" s="2">
        <v>-41.11</v>
      </c>
      <c r="AP1292" s="2">
        <v>0</v>
      </c>
      <c r="AQ1292" s="2">
        <v>0</v>
      </c>
    </row>
    <row r="1293" spans="1:43" x14ac:dyDescent="0.25">
      <c r="A1293" s="1">
        <v>45999</v>
      </c>
      <c r="B1293" t="s">
        <v>1336</v>
      </c>
      <c r="C1293">
        <v>813184</v>
      </c>
      <c r="D1293">
        <v>2030333349</v>
      </c>
      <c r="E1293" t="s">
        <v>1350</v>
      </c>
      <c r="F1293" t="s">
        <v>1351</v>
      </c>
      <c r="G1293" t="s">
        <v>51</v>
      </c>
      <c r="I1293" t="s">
        <v>86</v>
      </c>
      <c r="J1293" t="s">
        <v>87</v>
      </c>
      <c r="K1293">
        <v>813184</v>
      </c>
      <c r="L1293" t="s">
        <v>361</v>
      </c>
      <c r="M1293" t="s">
        <v>362</v>
      </c>
      <c r="N1293" t="s">
        <v>94</v>
      </c>
      <c r="O1293" s="1">
        <v>45879</v>
      </c>
      <c r="P1293" s="1">
        <v>45999</v>
      </c>
      <c r="R1293" s="2">
        <v>0</v>
      </c>
      <c r="AB1293" s="2">
        <v>75.62</v>
      </c>
      <c r="AC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37.799999999999997</v>
      </c>
      <c r="AN1293" s="2">
        <v>-37.82</v>
      </c>
      <c r="AO1293" s="2">
        <v>-37.82</v>
      </c>
      <c r="AP1293" s="2">
        <v>0</v>
      </c>
      <c r="AQ1293" s="2">
        <v>0</v>
      </c>
    </row>
    <row r="1294" spans="1:43" x14ac:dyDescent="0.25">
      <c r="A1294" s="1">
        <v>45999</v>
      </c>
      <c r="B1294" t="s">
        <v>1336</v>
      </c>
      <c r="C1294">
        <v>877790</v>
      </c>
      <c r="D1294">
        <v>2030375983</v>
      </c>
      <c r="E1294" t="s">
        <v>279</v>
      </c>
      <c r="F1294" t="s">
        <v>950</v>
      </c>
      <c r="G1294" t="s">
        <v>51</v>
      </c>
      <c r="I1294" t="s">
        <v>469</v>
      </c>
      <c r="J1294" t="s">
        <v>1352</v>
      </c>
      <c r="K1294">
        <v>877790</v>
      </c>
      <c r="L1294" t="s">
        <v>310</v>
      </c>
      <c r="M1294" t="s">
        <v>311</v>
      </c>
      <c r="N1294" t="s">
        <v>94</v>
      </c>
      <c r="O1294" s="1">
        <v>45877</v>
      </c>
      <c r="P1294" s="1">
        <v>45999</v>
      </c>
      <c r="R1294" s="2">
        <v>0</v>
      </c>
      <c r="AB1294" s="2">
        <v>70.319999999999993</v>
      </c>
      <c r="AC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70.319999999999993</v>
      </c>
      <c r="AN1294" s="2">
        <v>0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45999</v>
      </c>
      <c r="B1295" t="s">
        <v>1336</v>
      </c>
      <c r="C1295">
        <v>649163</v>
      </c>
      <c r="D1295">
        <v>2030806868</v>
      </c>
      <c r="E1295" t="s">
        <v>1329</v>
      </c>
      <c r="F1295" t="s">
        <v>1330</v>
      </c>
      <c r="G1295" t="s">
        <v>51</v>
      </c>
      <c r="I1295" t="s">
        <v>169</v>
      </c>
      <c r="J1295" t="s">
        <v>170</v>
      </c>
      <c r="K1295">
        <v>649163</v>
      </c>
      <c r="L1295" t="s">
        <v>151</v>
      </c>
      <c r="M1295" t="s">
        <v>152</v>
      </c>
      <c r="N1295" t="s">
        <v>94</v>
      </c>
      <c r="O1295" s="1">
        <v>45902</v>
      </c>
      <c r="P1295" s="1">
        <v>45999</v>
      </c>
      <c r="R1295" s="2">
        <v>0</v>
      </c>
      <c r="AB1295" s="2">
        <v>140.18</v>
      </c>
      <c r="AC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93.44</v>
      </c>
      <c r="AN1295" s="2">
        <v>-46.74</v>
      </c>
      <c r="AO1295" s="2">
        <v>-46.74</v>
      </c>
      <c r="AP1295" s="2">
        <v>0</v>
      </c>
      <c r="AQ1295" s="2">
        <v>0</v>
      </c>
    </row>
    <row r="1296" spans="1:43" x14ac:dyDescent="0.25">
      <c r="A1296" s="1">
        <v>45999</v>
      </c>
      <c r="B1296" t="s">
        <v>1336</v>
      </c>
      <c r="C1296">
        <v>649163</v>
      </c>
      <c r="D1296">
        <v>2030806869</v>
      </c>
      <c r="E1296" t="s">
        <v>1329</v>
      </c>
      <c r="F1296" t="s">
        <v>1330</v>
      </c>
      <c r="G1296" t="s">
        <v>51</v>
      </c>
      <c r="I1296" t="s">
        <v>169</v>
      </c>
      <c r="J1296" t="s">
        <v>1274</v>
      </c>
      <c r="K1296">
        <v>649163</v>
      </c>
      <c r="L1296" t="s">
        <v>151</v>
      </c>
      <c r="M1296" t="s">
        <v>152</v>
      </c>
      <c r="N1296" t="s">
        <v>94</v>
      </c>
      <c r="O1296" s="1">
        <v>45902</v>
      </c>
      <c r="P1296" s="1">
        <v>45999</v>
      </c>
      <c r="R1296" s="2">
        <v>0</v>
      </c>
      <c r="AB1296" s="2">
        <v>382.56</v>
      </c>
      <c r="AC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255.04</v>
      </c>
      <c r="AN1296" s="2">
        <v>-127.52</v>
      </c>
      <c r="AO1296" s="2">
        <v>-127.52</v>
      </c>
      <c r="AP1296" s="2">
        <v>0</v>
      </c>
      <c r="AQ1296" s="2">
        <v>0</v>
      </c>
    </row>
    <row r="1297" spans="1:43" x14ac:dyDescent="0.25">
      <c r="A1297" s="1">
        <v>45999</v>
      </c>
      <c r="B1297" t="s">
        <v>1336</v>
      </c>
      <c r="C1297">
        <v>649163</v>
      </c>
      <c r="D1297">
        <v>2030806870</v>
      </c>
      <c r="E1297" t="s">
        <v>1329</v>
      </c>
      <c r="F1297" t="s">
        <v>1330</v>
      </c>
      <c r="G1297" t="s">
        <v>51</v>
      </c>
      <c r="I1297" t="s">
        <v>169</v>
      </c>
      <c r="J1297" t="s">
        <v>1275</v>
      </c>
      <c r="K1297">
        <v>649163</v>
      </c>
      <c r="L1297" t="s">
        <v>151</v>
      </c>
      <c r="M1297" t="s">
        <v>152</v>
      </c>
      <c r="N1297" t="s">
        <v>94</v>
      </c>
      <c r="O1297" s="1">
        <v>45902</v>
      </c>
      <c r="P1297" s="1">
        <v>45999</v>
      </c>
      <c r="R1297" s="2">
        <v>0</v>
      </c>
      <c r="AB1297" s="2">
        <v>91.65</v>
      </c>
      <c r="AC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45.78</v>
      </c>
      <c r="AN1297" s="2">
        <v>-45.87</v>
      </c>
      <c r="AO1297" s="2">
        <v>-45.87</v>
      </c>
      <c r="AP1297" s="2">
        <v>0</v>
      </c>
      <c r="AQ1297" s="2">
        <v>0</v>
      </c>
    </row>
    <row r="1298" spans="1:43" x14ac:dyDescent="0.25">
      <c r="A1298" s="1">
        <v>45999</v>
      </c>
      <c r="B1298" t="s">
        <v>1336</v>
      </c>
      <c r="C1298">
        <v>649163</v>
      </c>
      <c r="D1298">
        <v>2030807230</v>
      </c>
      <c r="E1298" t="s">
        <v>1331</v>
      </c>
      <c r="F1298" t="s">
        <v>1332</v>
      </c>
      <c r="G1298" t="s">
        <v>51</v>
      </c>
      <c r="I1298" t="s">
        <v>169</v>
      </c>
      <c r="J1298" t="s">
        <v>170</v>
      </c>
      <c r="K1298">
        <v>649163</v>
      </c>
      <c r="L1298" t="s">
        <v>151</v>
      </c>
      <c r="M1298" t="s">
        <v>152</v>
      </c>
      <c r="N1298" t="s">
        <v>94</v>
      </c>
      <c r="O1298" s="1">
        <v>45902</v>
      </c>
      <c r="P1298" s="1">
        <v>45999</v>
      </c>
      <c r="R1298" s="2">
        <v>0</v>
      </c>
      <c r="AB1298" s="2">
        <v>140.18</v>
      </c>
      <c r="AC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93.44</v>
      </c>
      <c r="AN1298" s="2">
        <v>-46.74</v>
      </c>
      <c r="AO1298" s="2">
        <v>-46.74</v>
      </c>
      <c r="AP1298" s="2">
        <v>0</v>
      </c>
      <c r="AQ1298" s="2">
        <v>0</v>
      </c>
    </row>
    <row r="1299" spans="1:43" x14ac:dyDescent="0.25">
      <c r="A1299" s="1">
        <v>45999</v>
      </c>
      <c r="B1299" t="s">
        <v>1336</v>
      </c>
      <c r="C1299">
        <v>649163</v>
      </c>
      <c r="D1299">
        <v>2030807231</v>
      </c>
      <c r="E1299" t="s">
        <v>1331</v>
      </c>
      <c r="F1299" t="s">
        <v>1332</v>
      </c>
      <c r="G1299" t="s">
        <v>51</v>
      </c>
      <c r="I1299" t="s">
        <v>169</v>
      </c>
      <c r="J1299" t="s">
        <v>1274</v>
      </c>
      <c r="K1299">
        <v>649163</v>
      </c>
      <c r="L1299" t="s">
        <v>151</v>
      </c>
      <c r="M1299" t="s">
        <v>152</v>
      </c>
      <c r="N1299" t="s">
        <v>94</v>
      </c>
      <c r="O1299" s="1">
        <v>45902</v>
      </c>
      <c r="P1299" s="1">
        <v>45999</v>
      </c>
      <c r="R1299" s="2">
        <v>0</v>
      </c>
      <c r="AB1299" s="2">
        <v>191.28</v>
      </c>
      <c r="AC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127.52</v>
      </c>
      <c r="AN1299" s="2">
        <v>-63.76</v>
      </c>
      <c r="AO1299" s="2">
        <v>-63.76</v>
      </c>
      <c r="AP1299" s="2">
        <v>0</v>
      </c>
      <c r="AQ1299" s="2">
        <v>0</v>
      </c>
    </row>
    <row r="1300" spans="1:43" x14ac:dyDescent="0.25">
      <c r="A1300" s="1">
        <v>45999</v>
      </c>
      <c r="B1300" t="s">
        <v>1336</v>
      </c>
      <c r="C1300">
        <v>649163</v>
      </c>
      <c r="D1300">
        <v>2030807232</v>
      </c>
      <c r="E1300" t="s">
        <v>1331</v>
      </c>
      <c r="F1300" t="s">
        <v>1332</v>
      </c>
      <c r="G1300" t="s">
        <v>51</v>
      </c>
      <c r="I1300" t="s">
        <v>169</v>
      </c>
      <c r="J1300" t="s">
        <v>1275</v>
      </c>
      <c r="K1300">
        <v>649163</v>
      </c>
      <c r="L1300" t="s">
        <v>151</v>
      </c>
      <c r="M1300" t="s">
        <v>152</v>
      </c>
      <c r="N1300" t="s">
        <v>94</v>
      </c>
      <c r="O1300" s="1">
        <v>45902</v>
      </c>
      <c r="P1300" s="1">
        <v>45999</v>
      </c>
      <c r="R1300" s="2">
        <v>0</v>
      </c>
      <c r="AB1300" s="2">
        <v>91.65</v>
      </c>
      <c r="AC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45.78</v>
      </c>
      <c r="AN1300" s="2">
        <v>-45.87</v>
      </c>
      <c r="AO1300" s="2">
        <v>-45.87</v>
      </c>
      <c r="AP1300" s="2">
        <v>0</v>
      </c>
      <c r="AQ1300" s="2">
        <v>0</v>
      </c>
    </row>
    <row r="1301" spans="1:43" x14ac:dyDescent="0.25">
      <c r="A1301" s="1">
        <v>45999</v>
      </c>
      <c r="B1301" t="s">
        <v>1336</v>
      </c>
      <c r="C1301">
        <v>751867</v>
      </c>
      <c r="D1301">
        <v>2030941927</v>
      </c>
      <c r="E1301" t="s">
        <v>1353</v>
      </c>
      <c r="F1301" t="s">
        <v>1354</v>
      </c>
      <c r="G1301" t="s">
        <v>51</v>
      </c>
      <c r="I1301" t="s">
        <v>365</v>
      </c>
      <c r="J1301" t="s">
        <v>366</v>
      </c>
      <c r="K1301">
        <v>751867</v>
      </c>
      <c r="L1301" t="s">
        <v>70</v>
      </c>
      <c r="M1301" t="s">
        <v>71</v>
      </c>
      <c r="N1301" t="s">
        <v>94</v>
      </c>
      <c r="O1301" s="1">
        <v>45909</v>
      </c>
      <c r="P1301" s="1">
        <v>45999</v>
      </c>
      <c r="R1301" s="2">
        <v>0</v>
      </c>
      <c r="AB1301" s="2">
        <v>34.32</v>
      </c>
      <c r="AC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11.44</v>
      </c>
      <c r="AN1301" s="2">
        <v>-22.88</v>
      </c>
      <c r="AO1301" s="2">
        <v>-22.88</v>
      </c>
      <c r="AP1301" s="2">
        <v>0</v>
      </c>
      <c r="AQ1301" s="2">
        <v>0</v>
      </c>
    </row>
    <row r="1302" spans="1:43" x14ac:dyDescent="0.25">
      <c r="A1302" s="1">
        <v>45999</v>
      </c>
      <c r="B1302" t="s">
        <v>1336</v>
      </c>
      <c r="C1302">
        <v>751867</v>
      </c>
      <c r="D1302">
        <v>2030941928</v>
      </c>
      <c r="E1302" t="s">
        <v>1353</v>
      </c>
      <c r="F1302" t="s">
        <v>1354</v>
      </c>
      <c r="G1302" t="s">
        <v>51</v>
      </c>
      <c r="I1302" t="s">
        <v>53</v>
      </c>
      <c r="J1302" t="s">
        <v>54</v>
      </c>
      <c r="K1302">
        <v>751867</v>
      </c>
      <c r="L1302" t="s">
        <v>70</v>
      </c>
      <c r="M1302" t="s">
        <v>71</v>
      </c>
      <c r="N1302" t="s">
        <v>94</v>
      </c>
      <c r="O1302" s="1">
        <v>45909</v>
      </c>
      <c r="P1302" s="1">
        <v>45999</v>
      </c>
      <c r="R1302" s="2">
        <v>0</v>
      </c>
      <c r="AB1302" s="2">
        <v>204.06</v>
      </c>
      <c r="AC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68.02</v>
      </c>
      <c r="AN1302" s="2">
        <v>-136.04</v>
      </c>
      <c r="AO1302" s="2">
        <v>-136.04</v>
      </c>
      <c r="AP1302" s="2">
        <v>0</v>
      </c>
      <c r="AQ1302" s="2">
        <v>0</v>
      </c>
    </row>
    <row r="1303" spans="1:43" x14ac:dyDescent="0.25">
      <c r="A1303" s="1">
        <v>45999</v>
      </c>
      <c r="B1303" t="s">
        <v>1336</v>
      </c>
      <c r="C1303">
        <v>649163</v>
      </c>
      <c r="D1303">
        <v>2031244628</v>
      </c>
      <c r="E1303" t="s">
        <v>910</v>
      </c>
      <c r="F1303" t="s">
        <v>911</v>
      </c>
      <c r="G1303" t="s">
        <v>51</v>
      </c>
      <c r="I1303" t="s">
        <v>75</v>
      </c>
      <c r="J1303" t="s">
        <v>243</v>
      </c>
      <c r="K1303">
        <v>649163</v>
      </c>
      <c r="L1303" t="s">
        <v>81</v>
      </c>
      <c r="M1303" t="s">
        <v>82</v>
      </c>
      <c r="N1303" t="s">
        <v>94</v>
      </c>
      <c r="O1303" s="1">
        <v>45931</v>
      </c>
      <c r="P1303" s="1">
        <v>45999</v>
      </c>
      <c r="R1303" s="2">
        <v>0</v>
      </c>
      <c r="AB1303" s="2">
        <v>296.7</v>
      </c>
      <c r="AC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148.35</v>
      </c>
      <c r="AN1303" s="2">
        <v>-148.35</v>
      </c>
      <c r="AO1303" s="2">
        <v>-148.35</v>
      </c>
      <c r="AP1303" s="2">
        <v>0</v>
      </c>
      <c r="AQ1303" s="2">
        <v>0</v>
      </c>
    </row>
    <row r="1304" spans="1:43" x14ac:dyDescent="0.25">
      <c r="A1304" s="1">
        <v>45999</v>
      </c>
      <c r="B1304" t="s">
        <v>1336</v>
      </c>
      <c r="C1304">
        <v>649163</v>
      </c>
      <c r="D1304">
        <v>2031244629</v>
      </c>
      <c r="E1304" t="s">
        <v>910</v>
      </c>
      <c r="F1304" t="s">
        <v>911</v>
      </c>
      <c r="G1304" t="s">
        <v>51</v>
      </c>
      <c r="I1304" t="s">
        <v>126</v>
      </c>
      <c r="J1304" t="s">
        <v>132</v>
      </c>
      <c r="K1304">
        <v>649163</v>
      </c>
      <c r="L1304" t="s">
        <v>81</v>
      </c>
      <c r="M1304" t="s">
        <v>82</v>
      </c>
      <c r="N1304" t="s">
        <v>94</v>
      </c>
      <c r="O1304" s="1">
        <v>45931</v>
      </c>
      <c r="P1304" s="1">
        <v>45999</v>
      </c>
      <c r="R1304" s="2">
        <v>0</v>
      </c>
      <c r="AB1304" s="2">
        <v>163.08000000000001</v>
      </c>
      <c r="AC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81.540000000000006</v>
      </c>
      <c r="AN1304" s="2">
        <v>-81.540000000000006</v>
      </c>
      <c r="AO1304" s="2">
        <v>-81.540000000000006</v>
      </c>
      <c r="AP1304" s="2">
        <v>0</v>
      </c>
      <c r="AQ1304" s="2">
        <v>0</v>
      </c>
    </row>
    <row r="1305" spans="1:43" x14ac:dyDescent="0.25">
      <c r="A1305" s="1">
        <v>45999</v>
      </c>
      <c r="B1305" t="s">
        <v>1336</v>
      </c>
      <c r="C1305">
        <v>651818</v>
      </c>
      <c r="D1305">
        <v>2031361019</v>
      </c>
      <c r="E1305" t="s">
        <v>1355</v>
      </c>
      <c r="F1305" t="s">
        <v>1356</v>
      </c>
      <c r="G1305" t="s">
        <v>51</v>
      </c>
      <c r="I1305" t="s">
        <v>126</v>
      </c>
      <c r="J1305" t="s">
        <v>132</v>
      </c>
      <c r="K1305">
        <v>651818</v>
      </c>
      <c r="L1305" t="s">
        <v>246</v>
      </c>
      <c r="M1305" t="s">
        <v>247</v>
      </c>
      <c r="N1305" t="s">
        <v>94</v>
      </c>
      <c r="O1305" s="1">
        <v>45937</v>
      </c>
      <c r="P1305" s="1">
        <v>45999</v>
      </c>
      <c r="R1305" s="2">
        <v>0</v>
      </c>
      <c r="AB1305" s="2">
        <v>191.88</v>
      </c>
      <c r="AC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31.98</v>
      </c>
      <c r="AN1305" s="2">
        <v>-159.9</v>
      </c>
      <c r="AO1305" s="2">
        <v>-159.9</v>
      </c>
      <c r="AP1305" s="2">
        <v>0</v>
      </c>
      <c r="AQ1305" s="2">
        <v>0</v>
      </c>
    </row>
    <row r="1306" spans="1:43" x14ac:dyDescent="0.25">
      <c r="A1306" s="1">
        <v>45999</v>
      </c>
      <c r="B1306" t="s">
        <v>1336</v>
      </c>
      <c r="C1306">
        <v>877790</v>
      </c>
      <c r="D1306">
        <v>2030706583</v>
      </c>
      <c r="E1306" t="s">
        <v>1357</v>
      </c>
      <c r="F1306" t="s">
        <v>1358</v>
      </c>
      <c r="G1306" t="s">
        <v>51</v>
      </c>
      <c r="I1306" t="s">
        <v>469</v>
      </c>
      <c r="J1306" t="s">
        <v>1352</v>
      </c>
      <c r="K1306">
        <v>877790</v>
      </c>
      <c r="L1306" t="s">
        <v>310</v>
      </c>
      <c r="M1306" t="s">
        <v>311</v>
      </c>
      <c r="N1306" t="s">
        <v>94</v>
      </c>
      <c r="O1306" s="1">
        <v>45932</v>
      </c>
      <c r="P1306" s="1">
        <v>45999</v>
      </c>
      <c r="R1306" s="2">
        <v>0</v>
      </c>
      <c r="AB1306" s="2">
        <v>0</v>
      </c>
      <c r="AC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45999</v>
      </c>
      <c r="B1307" t="s">
        <v>1336</v>
      </c>
      <c r="C1307">
        <v>816021</v>
      </c>
      <c r="D1307">
        <v>2031494983</v>
      </c>
      <c r="E1307" t="s">
        <v>1359</v>
      </c>
      <c r="F1307" t="s">
        <v>1360</v>
      </c>
      <c r="G1307" t="s">
        <v>51</v>
      </c>
      <c r="I1307" t="s">
        <v>86</v>
      </c>
      <c r="J1307" t="s">
        <v>87</v>
      </c>
      <c r="K1307">
        <v>816021</v>
      </c>
      <c r="L1307" t="s">
        <v>201</v>
      </c>
      <c r="M1307" t="s">
        <v>202</v>
      </c>
      <c r="N1307" t="s">
        <v>94</v>
      </c>
      <c r="O1307" s="1">
        <v>45938</v>
      </c>
      <c r="P1307" s="1">
        <v>45999</v>
      </c>
      <c r="R1307" s="2">
        <v>0</v>
      </c>
      <c r="AB1307" s="2">
        <v>122.76</v>
      </c>
      <c r="AC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20.46</v>
      </c>
      <c r="AN1307" s="2">
        <v>-102.3</v>
      </c>
      <c r="AO1307" s="2">
        <v>-102.3</v>
      </c>
      <c r="AP1307" s="2">
        <v>0</v>
      </c>
      <c r="AQ1307" s="2">
        <v>0</v>
      </c>
    </row>
    <row r="1308" spans="1:43" x14ac:dyDescent="0.25">
      <c r="A1308" s="1">
        <v>45999</v>
      </c>
      <c r="B1308" t="s">
        <v>1336</v>
      </c>
      <c r="C1308">
        <v>816021</v>
      </c>
      <c r="D1308">
        <v>2031494984</v>
      </c>
      <c r="E1308" t="s">
        <v>1359</v>
      </c>
      <c r="F1308" t="s">
        <v>1360</v>
      </c>
      <c r="G1308" t="s">
        <v>51</v>
      </c>
      <c r="I1308" t="s">
        <v>126</v>
      </c>
      <c r="J1308" t="s">
        <v>132</v>
      </c>
      <c r="K1308">
        <v>816021</v>
      </c>
      <c r="L1308" t="s">
        <v>201</v>
      </c>
      <c r="M1308" t="s">
        <v>202</v>
      </c>
      <c r="N1308" t="s">
        <v>94</v>
      </c>
      <c r="O1308" s="1">
        <v>45938</v>
      </c>
      <c r="P1308" s="1">
        <v>45999</v>
      </c>
      <c r="R1308" s="2">
        <v>0</v>
      </c>
      <c r="AB1308" s="2">
        <v>29.88</v>
      </c>
      <c r="AC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4.9800000000000004</v>
      </c>
      <c r="AN1308" s="2">
        <v>-24.9</v>
      </c>
      <c r="AO1308" s="2">
        <v>-24.9</v>
      </c>
      <c r="AP1308" s="2">
        <v>0</v>
      </c>
      <c r="AQ1308" s="2">
        <v>0</v>
      </c>
    </row>
    <row r="1309" spans="1:43" x14ac:dyDescent="0.25">
      <c r="A1309" s="1">
        <v>45999</v>
      </c>
      <c r="B1309" t="s">
        <v>1336</v>
      </c>
      <c r="C1309">
        <v>816021</v>
      </c>
      <c r="D1309">
        <v>2031494985</v>
      </c>
      <c r="E1309" t="s">
        <v>1359</v>
      </c>
      <c r="F1309" t="s">
        <v>1360</v>
      </c>
      <c r="G1309" t="s">
        <v>51</v>
      </c>
      <c r="I1309" t="s">
        <v>75</v>
      </c>
      <c r="J1309" t="s">
        <v>80</v>
      </c>
      <c r="K1309">
        <v>816021</v>
      </c>
      <c r="L1309" t="s">
        <v>201</v>
      </c>
      <c r="M1309" t="s">
        <v>202</v>
      </c>
      <c r="N1309" t="s">
        <v>94</v>
      </c>
      <c r="O1309" s="1">
        <v>45938</v>
      </c>
      <c r="P1309" s="1">
        <v>45999</v>
      </c>
      <c r="R1309" s="2">
        <v>0</v>
      </c>
      <c r="AB1309" s="2">
        <v>89.52</v>
      </c>
      <c r="AC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14.92</v>
      </c>
      <c r="AN1309" s="2">
        <v>-74.599999999999994</v>
      </c>
      <c r="AO1309" s="2">
        <v>-74.599999999999994</v>
      </c>
      <c r="AP1309" s="2">
        <v>0</v>
      </c>
      <c r="AQ1309" s="2">
        <v>0</v>
      </c>
    </row>
    <row r="1310" spans="1:43" x14ac:dyDescent="0.25">
      <c r="A1310" s="1">
        <v>45999</v>
      </c>
      <c r="B1310" t="s">
        <v>1336</v>
      </c>
      <c r="C1310">
        <v>669316</v>
      </c>
      <c r="D1310">
        <v>2031497533</v>
      </c>
      <c r="E1310" t="s">
        <v>147</v>
      </c>
      <c r="F1310" t="s">
        <v>1361</v>
      </c>
      <c r="G1310" t="s">
        <v>51</v>
      </c>
      <c r="I1310" t="s">
        <v>86</v>
      </c>
      <c r="J1310" t="s">
        <v>87</v>
      </c>
      <c r="K1310">
        <v>669316</v>
      </c>
      <c r="L1310" t="s">
        <v>1362</v>
      </c>
      <c r="M1310" t="s">
        <v>122</v>
      </c>
      <c r="N1310" t="s">
        <v>94</v>
      </c>
      <c r="O1310" s="1">
        <v>45938</v>
      </c>
      <c r="P1310" s="1">
        <v>45999</v>
      </c>
      <c r="R1310" s="2">
        <v>0</v>
      </c>
      <c r="AB1310" s="2">
        <v>121.2</v>
      </c>
      <c r="AC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20.2</v>
      </c>
      <c r="AN1310" s="2">
        <v>-101</v>
      </c>
      <c r="AO1310" s="2">
        <v>-101</v>
      </c>
      <c r="AP1310" s="2">
        <v>0</v>
      </c>
      <c r="AQ1310" s="2">
        <v>0</v>
      </c>
    </row>
    <row r="1311" spans="1:43" x14ac:dyDescent="0.25">
      <c r="A1311" s="1">
        <v>45999</v>
      </c>
      <c r="B1311" t="s">
        <v>1336</v>
      </c>
      <c r="C1311">
        <v>669316</v>
      </c>
      <c r="D1311">
        <v>2031497534</v>
      </c>
      <c r="E1311" t="s">
        <v>147</v>
      </c>
      <c r="F1311" t="s">
        <v>1361</v>
      </c>
      <c r="G1311" t="s">
        <v>51</v>
      </c>
      <c r="I1311" t="s">
        <v>126</v>
      </c>
      <c r="J1311" t="s">
        <v>132</v>
      </c>
      <c r="K1311">
        <v>669316</v>
      </c>
      <c r="L1311" t="s">
        <v>1362</v>
      </c>
      <c r="M1311" t="s">
        <v>122</v>
      </c>
      <c r="N1311" t="s">
        <v>94</v>
      </c>
      <c r="O1311" s="1">
        <v>45938</v>
      </c>
      <c r="P1311" s="1">
        <v>45999</v>
      </c>
      <c r="R1311" s="2">
        <v>0</v>
      </c>
      <c r="AB1311" s="2">
        <v>121.38</v>
      </c>
      <c r="AC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20.23</v>
      </c>
      <c r="AN1311" s="2">
        <v>-101.15</v>
      </c>
      <c r="AO1311" s="2">
        <v>-101.15</v>
      </c>
      <c r="AP1311" s="2">
        <v>0</v>
      </c>
      <c r="AQ1311" s="2">
        <v>0</v>
      </c>
    </row>
    <row r="1312" spans="1:43" x14ac:dyDescent="0.25">
      <c r="A1312" s="1">
        <v>45999</v>
      </c>
      <c r="B1312" t="s">
        <v>1336</v>
      </c>
      <c r="C1312">
        <v>884312</v>
      </c>
      <c r="D1312">
        <v>2031525706</v>
      </c>
      <c r="E1312" t="s">
        <v>1363</v>
      </c>
      <c r="F1312" t="s">
        <v>403</v>
      </c>
      <c r="G1312" t="s">
        <v>51</v>
      </c>
      <c r="I1312" t="s">
        <v>126</v>
      </c>
      <c r="J1312" t="s">
        <v>132</v>
      </c>
      <c r="K1312">
        <v>884312</v>
      </c>
      <c r="L1312" t="s">
        <v>353</v>
      </c>
      <c r="M1312" t="s">
        <v>354</v>
      </c>
      <c r="N1312" t="s">
        <v>94</v>
      </c>
      <c r="O1312" s="1">
        <v>45939</v>
      </c>
      <c r="P1312" s="1">
        <v>45999</v>
      </c>
      <c r="R1312" s="2">
        <v>0</v>
      </c>
      <c r="AB1312" s="2">
        <v>415.8</v>
      </c>
      <c r="AC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69.3</v>
      </c>
      <c r="AN1312" s="2">
        <v>-346.5</v>
      </c>
      <c r="AO1312" s="2">
        <v>-346.5</v>
      </c>
      <c r="AP1312" s="2">
        <v>0</v>
      </c>
      <c r="AQ1312" s="2">
        <v>0</v>
      </c>
    </row>
    <row r="1313" spans="1:43" x14ac:dyDescent="0.25">
      <c r="A1313" s="1">
        <v>45999</v>
      </c>
      <c r="B1313" t="s">
        <v>1336</v>
      </c>
      <c r="C1313">
        <v>649163</v>
      </c>
      <c r="D1313">
        <v>2031636638</v>
      </c>
      <c r="E1313" t="s">
        <v>613</v>
      </c>
      <c r="F1313" t="s">
        <v>124</v>
      </c>
      <c r="G1313" t="s">
        <v>51</v>
      </c>
      <c r="I1313" t="s">
        <v>126</v>
      </c>
      <c r="J1313" t="s">
        <v>132</v>
      </c>
      <c r="K1313">
        <v>649163</v>
      </c>
      <c r="L1313" t="s">
        <v>361</v>
      </c>
      <c r="M1313" t="s">
        <v>362</v>
      </c>
      <c r="N1313" t="s">
        <v>94</v>
      </c>
      <c r="O1313" s="1">
        <v>45946</v>
      </c>
      <c r="P1313" s="1">
        <v>45999</v>
      </c>
      <c r="R1313" s="2">
        <v>0</v>
      </c>
      <c r="AB1313" s="2">
        <v>108.24</v>
      </c>
      <c r="AC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36.08</v>
      </c>
      <c r="AN1313" s="2">
        <v>-72.16</v>
      </c>
      <c r="AO1313" s="2">
        <v>-72.16</v>
      </c>
      <c r="AP1313" s="2">
        <v>0</v>
      </c>
      <c r="AQ1313" s="2">
        <v>0</v>
      </c>
    </row>
    <row r="1314" spans="1:43" x14ac:dyDescent="0.25">
      <c r="A1314" s="1">
        <v>45999</v>
      </c>
      <c r="B1314" t="s">
        <v>1336</v>
      </c>
      <c r="C1314">
        <v>649163</v>
      </c>
      <c r="D1314">
        <v>2031636639</v>
      </c>
      <c r="E1314" t="s">
        <v>613</v>
      </c>
      <c r="F1314" t="s">
        <v>124</v>
      </c>
      <c r="G1314" t="s">
        <v>51</v>
      </c>
      <c r="I1314" t="s">
        <v>86</v>
      </c>
      <c r="J1314" t="s">
        <v>87</v>
      </c>
      <c r="K1314">
        <v>649163</v>
      </c>
      <c r="L1314" t="s">
        <v>361</v>
      </c>
      <c r="M1314" t="s">
        <v>362</v>
      </c>
      <c r="N1314" t="s">
        <v>94</v>
      </c>
      <c r="O1314" s="1">
        <v>45946</v>
      </c>
      <c r="P1314" s="1">
        <v>45999</v>
      </c>
      <c r="R1314" s="2">
        <v>0</v>
      </c>
      <c r="AB1314" s="2">
        <v>144.36000000000001</v>
      </c>
      <c r="AC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48.12</v>
      </c>
      <c r="AN1314" s="2">
        <v>-96.24</v>
      </c>
      <c r="AO1314" s="2">
        <v>-96.24</v>
      </c>
      <c r="AP1314" s="2">
        <v>0</v>
      </c>
      <c r="AQ1314" s="2">
        <v>0</v>
      </c>
    </row>
    <row r="1315" spans="1:43" x14ac:dyDescent="0.25">
      <c r="A1315" s="1">
        <v>45999</v>
      </c>
      <c r="B1315" t="s">
        <v>1336</v>
      </c>
      <c r="C1315">
        <v>840313</v>
      </c>
      <c r="D1315">
        <v>2031801581</v>
      </c>
      <c r="E1315" t="s">
        <v>1364</v>
      </c>
      <c r="F1315" t="s">
        <v>1365</v>
      </c>
      <c r="G1315" t="s">
        <v>51</v>
      </c>
      <c r="I1315" t="s">
        <v>126</v>
      </c>
      <c r="J1315" t="s">
        <v>132</v>
      </c>
      <c r="K1315">
        <v>840313</v>
      </c>
      <c r="L1315" t="s">
        <v>525</v>
      </c>
      <c r="M1315" t="s">
        <v>526</v>
      </c>
      <c r="N1315" t="s">
        <v>94</v>
      </c>
      <c r="O1315" s="1">
        <v>45992</v>
      </c>
      <c r="P1315" s="1">
        <v>45999</v>
      </c>
      <c r="R1315" s="2">
        <v>0</v>
      </c>
      <c r="AB1315" s="2">
        <v>403.2</v>
      </c>
      <c r="AC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67.2</v>
      </c>
      <c r="AN1315" s="2">
        <v>-336</v>
      </c>
      <c r="AO1315" s="2">
        <v>-336</v>
      </c>
      <c r="AP1315" s="2">
        <v>0</v>
      </c>
      <c r="AQ1315" s="2">
        <v>0</v>
      </c>
    </row>
    <row r="1316" spans="1:43" x14ac:dyDescent="0.25">
      <c r="A1316" s="1">
        <v>45999</v>
      </c>
      <c r="B1316" t="s">
        <v>1336</v>
      </c>
      <c r="C1316">
        <v>649163</v>
      </c>
      <c r="D1316">
        <v>2032204739</v>
      </c>
      <c r="E1316" t="s">
        <v>693</v>
      </c>
      <c r="F1316" t="s">
        <v>694</v>
      </c>
      <c r="G1316" t="s">
        <v>51</v>
      </c>
      <c r="I1316" t="s">
        <v>365</v>
      </c>
      <c r="J1316" t="s">
        <v>366</v>
      </c>
      <c r="K1316">
        <v>649163</v>
      </c>
      <c r="L1316" t="s">
        <v>88</v>
      </c>
      <c r="M1316" t="s">
        <v>89</v>
      </c>
      <c r="N1316" t="s">
        <v>94</v>
      </c>
      <c r="O1316" s="1">
        <v>45992</v>
      </c>
      <c r="P1316" s="1">
        <v>45999</v>
      </c>
      <c r="R1316" s="2">
        <v>0</v>
      </c>
      <c r="AB1316" s="2">
        <v>139.97999999999999</v>
      </c>
      <c r="AC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23.33</v>
      </c>
      <c r="AN1316" s="2">
        <v>-116.65</v>
      </c>
      <c r="AO1316" s="2">
        <v>-116.65</v>
      </c>
      <c r="AP1316" s="2">
        <v>0</v>
      </c>
      <c r="AQ1316" s="2">
        <v>0</v>
      </c>
    </row>
    <row r="1317" spans="1:43" x14ac:dyDescent="0.25">
      <c r="A1317" s="1">
        <v>45999</v>
      </c>
      <c r="B1317" t="s">
        <v>1336</v>
      </c>
      <c r="C1317">
        <v>649163</v>
      </c>
      <c r="D1317">
        <v>2032204740</v>
      </c>
      <c r="E1317" t="s">
        <v>693</v>
      </c>
      <c r="F1317" t="s">
        <v>694</v>
      </c>
      <c r="G1317" t="s">
        <v>51</v>
      </c>
      <c r="I1317" t="s">
        <v>53</v>
      </c>
      <c r="J1317" t="s">
        <v>54</v>
      </c>
      <c r="K1317">
        <v>649163</v>
      </c>
      <c r="L1317" t="s">
        <v>88</v>
      </c>
      <c r="M1317" t="s">
        <v>89</v>
      </c>
      <c r="N1317" t="s">
        <v>94</v>
      </c>
      <c r="O1317" s="1">
        <v>45992</v>
      </c>
      <c r="P1317" s="1">
        <v>45999</v>
      </c>
      <c r="R1317" s="2">
        <v>0</v>
      </c>
      <c r="AB1317" s="2">
        <v>144.6</v>
      </c>
      <c r="AC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24.1</v>
      </c>
      <c r="AN1317" s="2">
        <v>-120.5</v>
      </c>
      <c r="AO1317" s="2">
        <v>-120.5</v>
      </c>
      <c r="AP1317" s="2">
        <v>0</v>
      </c>
      <c r="AQ1317" s="2">
        <v>0</v>
      </c>
    </row>
    <row r="1318" spans="1:43" x14ac:dyDescent="0.25">
      <c r="A1318" s="1">
        <v>45999</v>
      </c>
      <c r="B1318" t="s">
        <v>1336</v>
      </c>
      <c r="C1318">
        <v>649163</v>
      </c>
      <c r="D1318">
        <v>2032245740</v>
      </c>
      <c r="E1318" t="s">
        <v>1227</v>
      </c>
      <c r="F1318" t="s">
        <v>233</v>
      </c>
      <c r="G1318" t="s">
        <v>51</v>
      </c>
      <c r="I1318" t="s">
        <v>126</v>
      </c>
      <c r="J1318" t="s">
        <v>375</v>
      </c>
      <c r="K1318">
        <v>649163</v>
      </c>
      <c r="L1318" t="s">
        <v>138</v>
      </c>
      <c r="M1318" t="s">
        <v>107</v>
      </c>
      <c r="N1318" t="s">
        <v>94</v>
      </c>
      <c r="O1318" s="1">
        <v>45982</v>
      </c>
      <c r="P1318" s="1">
        <v>45999</v>
      </c>
      <c r="R1318" s="2">
        <v>0</v>
      </c>
      <c r="AB1318" s="2">
        <v>404.58</v>
      </c>
      <c r="AC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67.430000000000007</v>
      </c>
      <c r="AN1318" s="2">
        <v>-337.15</v>
      </c>
      <c r="AO1318" s="2">
        <v>-337.15</v>
      </c>
      <c r="AP1318" s="2">
        <v>0</v>
      </c>
      <c r="AQ1318" s="2">
        <v>0</v>
      </c>
    </row>
    <row r="1319" spans="1:43" x14ac:dyDescent="0.25">
      <c r="A1319" s="1">
        <v>45999</v>
      </c>
      <c r="B1319" t="s">
        <v>1336</v>
      </c>
      <c r="C1319">
        <v>649163</v>
      </c>
      <c r="D1319">
        <v>2032159245</v>
      </c>
      <c r="E1319" t="s">
        <v>940</v>
      </c>
      <c r="F1319" t="s">
        <v>941</v>
      </c>
      <c r="G1319" t="s">
        <v>51</v>
      </c>
      <c r="I1319" t="s">
        <v>75</v>
      </c>
      <c r="J1319" t="s">
        <v>80</v>
      </c>
      <c r="K1319">
        <v>649163</v>
      </c>
      <c r="L1319" t="s">
        <v>396</v>
      </c>
      <c r="M1319" t="s">
        <v>397</v>
      </c>
      <c r="N1319" t="s">
        <v>94</v>
      </c>
      <c r="O1319" s="1">
        <v>45992</v>
      </c>
      <c r="P1319" s="1">
        <v>45999</v>
      </c>
      <c r="R1319" s="2">
        <v>0</v>
      </c>
      <c r="AB1319" s="2">
        <v>655.56</v>
      </c>
      <c r="AC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109.26</v>
      </c>
      <c r="AN1319" s="2">
        <v>-546.29999999999995</v>
      </c>
      <c r="AO1319" s="2">
        <v>-546.29999999999995</v>
      </c>
      <c r="AP1319" s="2">
        <v>0</v>
      </c>
      <c r="AQ1319" s="2">
        <v>0</v>
      </c>
    </row>
    <row r="1320" spans="1:43" x14ac:dyDescent="0.25">
      <c r="A1320" s="1">
        <v>45999</v>
      </c>
      <c r="B1320" t="s">
        <v>1336</v>
      </c>
      <c r="C1320">
        <v>649163</v>
      </c>
      <c r="D1320">
        <v>2032208867</v>
      </c>
      <c r="E1320" t="s">
        <v>649</v>
      </c>
      <c r="F1320" t="s">
        <v>1224</v>
      </c>
      <c r="G1320" t="s">
        <v>51</v>
      </c>
      <c r="I1320" t="s">
        <v>126</v>
      </c>
      <c r="J1320" t="s">
        <v>375</v>
      </c>
      <c r="K1320">
        <v>649163</v>
      </c>
      <c r="L1320" t="s">
        <v>138</v>
      </c>
      <c r="M1320" t="s">
        <v>107</v>
      </c>
      <c r="N1320" t="s">
        <v>94</v>
      </c>
      <c r="O1320" s="1">
        <v>45988</v>
      </c>
      <c r="P1320" s="1">
        <v>45999</v>
      </c>
      <c r="R1320" s="2">
        <v>0</v>
      </c>
      <c r="AB1320" s="2">
        <v>142.19999999999999</v>
      </c>
      <c r="AC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23.7</v>
      </c>
      <c r="AN1320" s="2">
        <v>-118.5</v>
      </c>
      <c r="AO1320" s="2">
        <v>-118.5</v>
      </c>
      <c r="AP1320" s="2">
        <v>0</v>
      </c>
      <c r="AQ1320" s="2">
        <v>0</v>
      </c>
    </row>
    <row r="1321" spans="1:43" x14ac:dyDescent="0.25">
      <c r="A1321" s="1">
        <v>45999</v>
      </c>
      <c r="B1321" t="s">
        <v>1336</v>
      </c>
      <c r="C1321">
        <v>649163</v>
      </c>
      <c r="D1321">
        <v>2032404817</v>
      </c>
      <c r="E1321" t="s">
        <v>632</v>
      </c>
      <c r="F1321" t="s">
        <v>633</v>
      </c>
      <c r="G1321" t="s">
        <v>51</v>
      </c>
      <c r="I1321" t="s">
        <v>86</v>
      </c>
      <c r="J1321" t="s">
        <v>87</v>
      </c>
      <c r="K1321">
        <v>649163</v>
      </c>
      <c r="L1321" t="s">
        <v>98</v>
      </c>
      <c r="M1321" t="s">
        <v>99</v>
      </c>
      <c r="N1321" t="s">
        <v>94</v>
      </c>
      <c r="O1321" s="1">
        <v>45990</v>
      </c>
      <c r="P1321" s="1">
        <v>45999</v>
      </c>
      <c r="R1321" s="2">
        <v>0</v>
      </c>
      <c r="AB1321" s="2">
        <v>142.56</v>
      </c>
      <c r="AC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23.76</v>
      </c>
      <c r="AN1321" s="2">
        <v>-118.8</v>
      </c>
      <c r="AO1321" s="2">
        <v>-118.8</v>
      </c>
      <c r="AP1321" s="2">
        <v>0</v>
      </c>
      <c r="AQ132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BF8A-002D-4347-A4AE-B0BC48CB718F}">
  <dimension ref="A1:AY1010"/>
  <sheetViews>
    <sheetView topLeftCell="A980" workbookViewId="0">
      <selection activeCell="E2" sqref="E2:E1010"/>
    </sheetView>
  </sheetViews>
  <sheetFormatPr defaultRowHeight="15" x14ac:dyDescent="0.25"/>
  <cols>
    <col min="1" max="1" width="11" bestFit="1" customWidth="1"/>
    <col min="2" max="3" width="10.85546875" customWidth="1"/>
    <col min="4" max="4" width="31.7109375" bestFit="1" customWidth="1"/>
    <col min="5" max="5" width="5.5703125" bestFit="1" customWidth="1"/>
    <col min="6" max="6" width="10.28515625" customWidth="1"/>
    <col min="7" max="7" width="31.42578125" customWidth="1"/>
    <col min="8" max="8" width="18.140625" customWidth="1"/>
    <col min="9" max="9" width="13.5703125" bestFit="1" customWidth="1"/>
    <col min="10" max="10" width="12.28515625" bestFit="1" customWidth="1"/>
    <col min="11" max="11" width="12.28515625" customWidth="1"/>
    <col min="12" max="12" width="13.5703125" bestFit="1" customWidth="1"/>
    <col min="13" max="13" width="12" bestFit="1" customWidth="1"/>
    <col min="14" max="14" width="12.140625" customWidth="1"/>
    <col min="15" max="16" width="6.140625" customWidth="1"/>
    <col min="17" max="17" width="7.42578125" customWidth="1"/>
    <col min="18" max="18" width="6.5703125" customWidth="1"/>
    <col min="19" max="19" width="6.140625" customWidth="1"/>
    <col min="20" max="20" width="8.5703125" customWidth="1"/>
  </cols>
  <sheetData>
    <row r="1" spans="1:21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14</v>
      </c>
      <c r="M1" t="s">
        <v>16</v>
      </c>
      <c r="N1" t="s">
        <v>17</v>
      </c>
      <c r="O1" t="s">
        <v>18</v>
      </c>
      <c r="Q1" t="s">
        <v>21</v>
      </c>
      <c r="R1" t="s">
        <v>24</v>
      </c>
      <c r="S1" t="s">
        <v>25</v>
      </c>
      <c r="T1" t="s">
        <v>37</v>
      </c>
    </row>
    <row r="2" spans="1:21" s="5" customFormat="1" x14ac:dyDescent="0.25">
      <c r="A2" s="5">
        <v>2031956661</v>
      </c>
      <c r="B2" s="5" t="s">
        <v>1198</v>
      </c>
      <c r="C2" s="5" t="s">
        <v>867</v>
      </c>
      <c r="D2" s="5" t="str">
        <f t="shared" ref="D2:D65" si="0">CONCATENATE(C2," ",B2)</f>
        <v>RACHEL GARZA</v>
      </c>
      <c r="E2" s="5" t="s">
        <v>102</v>
      </c>
      <c r="F2" s="5" t="s">
        <v>126</v>
      </c>
      <c r="G2" s="5" t="s">
        <v>132</v>
      </c>
      <c r="H2" s="5">
        <v>18828278</v>
      </c>
      <c r="I2" s="5" t="s">
        <v>504</v>
      </c>
      <c r="J2" s="5" t="s">
        <v>182</v>
      </c>
      <c r="K2" s="5" t="str">
        <f t="shared" ref="K2:K65" si="1">CONCATENATE(J2," ",I2)</f>
        <v>MICHAEL DUNAVANT</v>
      </c>
      <c r="L2" s="6">
        <v>46023</v>
      </c>
      <c r="M2" s="6">
        <v>46054</v>
      </c>
      <c r="N2" s="7">
        <v>-40.74</v>
      </c>
      <c r="O2" s="5">
        <f t="shared" ref="O2:O65" si="2">DATEDIF(L2,M2,"M")</f>
        <v>1</v>
      </c>
      <c r="P2" s="5" t="s">
        <v>1368</v>
      </c>
      <c r="Q2" s="8">
        <v>0.7</v>
      </c>
      <c r="R2" s="5" t="s">
        <v>83</v>
      </c>
      <c r="S2" s="5" t="s">
        <v>61</v>
      </c>
      <c r="T2" s="7">
        <v>-28.52</v>
      </c>
      <c r="U2" s="5" t="s">
        <v>132</v>
      </c>
    </row>
    <row r="3" spans="1:21" s="5" customFormat="1" x14ac:dyDescent="0.25">
      <c r="A3" s="5">
        <v>2031379410</v>
      </c>
      <c r="B3" s="5" t="s">
        <v>1170</v>
      </c>
      <c r="C3" s="5" t="s">
        <v>1171</v>
      </c>
      <c r="D3" s="5" t="str">
        <f t="shared" si="0"/>
        <v>SHIRLEY NELSON</v>
      </c>
      <c r="E3" s="5" t="s">
        <v>102</v>
      </c>
      <c r="F3" s="5" t="s">
        <v>169</v>
      </c>
      <c r="G3" s="5" t="s">
        <v>1275</v>
      </c>
      <c r="H3" s="5">
        <v>8325282</v>
      </c>
      <c r="I3" s="5" t="s">
        <v>117</v>
      </c>
      <c r="J3" s="5" t="s">
        <v>118</v>
      </c>
      <c r="K3" s="5" t="str">
        <f t="shared" si="1"/>
        <v>Dale Walenga</v>
      </c>
      <c r="L3" s="6">
        <v>45962</v>
      </c>
      <c r="M3" s="6">
        <v>46023</v>
      </c>
      <c r="N3" s="7">
        <v>5.95</v>
      </c>
      <c r="O3" s="5">
        <f t="shared" si="2"/>
        <v>2</v>
      </c>
      <c r="P3" s="5" t="s">
        <v>1368</v>
      </c>
      <c r="Q3" s="8">
        <v>0.51</v>
      </c>
      <c r="R3" s="5" t="s">
        <v>83</v>
      </c>
      <c r="S3" s="5" t="s">
        <v>61</v>
      </c>
      <c r="T3" s="7">
        <v>3.03</v>
      </c>
      <c r="U3" s="5" t="s">
        <v>1274</v>
      </c>
    </row>
    <row r="4" spans="1:21" s="5" customFormat="1" x14ac:dyDescent="0.25">
      <c r="A4" s="5">
        <v>2031615385</v>
      </c>
      <c r="B4" s="5" t="s">
        <v>1184</v>
      </c>
      <c r="C4" s="5" t="s">
        <v>1185</v>
      </c>
      <c r="D4" s="5" t="str">
        <f t="shared" si="0"/>
        <v>ROBIN CHRIST</v>
      </c>
      <c r="E4" s="5" t="s">
        <v>102</v>
      </c>
      <c r="F4" s="5" t="s">
        <v>169</v>
      </c>
      <c r="G4" s="5" t="s">
        <v>1275</v>
      </c>
      <c r="H4" s="5">
        <v>8325282</v>
      </c>
      <c r="I4" s="5" t="s">
        <v>117</v>
      </c>
      <c r="J4" s="5" t="s">
        <v>118</v>
      </c>
      <c r="K4" s="5" t="str">
        <f t="shared" si="1"/>
        <v>Dale Walenga</v>
      </c>
      <c r="L4" s="6">
        <v>45962</v>
      </c>
      <c r="M4" s="6">
        <v>46023</v>
      </c>
      <c r="N4" s="7">
        <v>5.95</v>
      </c>
      <c r="O4" s="5">
        <f t="shared" si="2"/>
        <v>2</v>
      </c>
      <c r="P4" s="5" t="s">
        <v>1368</v>
      </c>
      <c r="Q4" s="8">
        <v>0.51</v>
      </c>
      <c r="R4" s="5" t="s">
        <v>83</v>
      </c>
      <c r="S4" s="5" t="s">
        <v>61</v>
      </c>
      <c r="T4" s="7">
        <v>3.03</v>
      </c>
      <c r="U4" s="5" t="s">
        <v>1274</v>
      </c>
    </row>
    <row r="5" spans="1:21" s="5" customFormat="1" x14ac:dyDescent="0.25">
      <c r="A5" s="5">
        <v>2031379409</v>
      </c>
      <c r="B5" s="5" t="s">
        <v>1170</v>
      </c>
      <c r="C5" s="5" t="s">
        <v>1171</v>
      </c>
      <c r="D5" s="5" t="str">
        <f t="shared" si="0"/>
        <v>SHIRLEY NELSON</v>
      </c>
      <c r="E5" s="5" t="s">
        <v>102</v>
      </c>
      <c r="F5" s="5" t="s">
        <v>169</v>
      </c>
      <c r="G5" s="5" t="s">
        <v>1274</v>
      </c>
      <c r="H5" s="5">
        <v>8325282</v>
      </c>
      <c r="I5" s="5" t="s">
        <v>117</v>
      </c>
      <c r="J5" s="5" t="s">
        <v>118</v>
      </c>
      <c r="K5" s="5" t="str">
        <f t="shared" si="1"/>
        <v>Dale Walenga</v>
      </c>
      <c r="L5" s="6">
        <v>45962</v>
      </c>
      <c r="M5" s="6">
        <v>46023</v>
      </c>
      <c r="N5" s="7">
        <v>35.270000000000003</v>
      </c>
      <c r="O5" s="5">
        <f t="shared" si="2"/>
        <v>2</v>
      </c>
      <c r="P5" s="5" t="s">
        <v>1368</v>
      </c>
      <c r="Q5" s="8">
        <v>0.51</v>
      </c>
      <c r="R5" s="5" t="s">
        <v>83</v>
      </c>
      <c r="S5" s="5" t="s">
        <v>61</v>
      </c>
      <c r="T5" s="7">
        <v>17.989999999999998</v>
      </c>
      <c r="U5" s="5" t="s">
        <v>1274</v>
      </c>
    </row>
    <row r="6" spans="1:21" s="5" customFormat="1" x14ac:dyDescent="0.25">
      <c r="A6" s="5">
        <v>2031615384</v>
      </c>
      <c r="B6" s="5" t="s">
        <v>1184</v>
      </c>
      <c r="C6" s="5" t="s">
        <v>1185</v>
      </c>
      <c r="D6" s="5" t="str">
        <f t="shared" si="0"/>
        <v>ROBIN CHRIST</v>
      </c>
      <c r="E6" s="5" t="s">
        <v>102</v>
      </c>
      <c r="F6" s="5" t="s">
        <v>169</v>
      </c>
      <c r="G6" s="5" t="s">
        <v>1274</v>
      </c>
      <c r="H6" s="5">
        <v>8325282</v>
      </c>
      <c r="I6" s="5" t="s">
        <v>117</v>
      </c>
      <c r="J6" s="5" t="s">
        <v>118</v>
      </c>
      <c r="K6" s="5" t="str">
        <f t="shared" si="1"/>
        <v>Dale Walenga</v>
      </c>
      <c r="L6" s="6">
        <v>45962</v>
      </c>
      <c r="M6" s="6">
        <v>46023</v>
      </c>
      <c r="N6" s="7">
        <v>35.270000000000003</v>
      </c>
      <c r="O6" s="5">
        <f t="shared" si="2"/>
        <v>2</v>
      </c>
      <c r="P6" s="5" t="s">
        <v>1368</v>
      </c>
      <c r="Q6" s="8">
        <v>0.51</v>
      </c>
      <c r="R6" s="5" t="s">
        <v>83</v>
      </c>
      <c r="S6" s="5" t="s">
        <v>61</v>
      </c>
      <c r="T6" s="7">
        <v>17.989999999999998</v>
      </c>
      <c r="U6" s="5" t="s">
        <v>1274</v>
      </c>
    </row>
    <row r="7" spans="1:21" s="5" customFormat="1" x14ac:dyDescent="0.25">
      <c r="A7" s="5">
        <v>2031379411</v>
      </c>
      <c r="B7" s="5" t="s">
        <v>1170</v>
      </c>
      <c r="C7" s="5" t="s">
        <v>1171</v>
      </c>
      <c r="D7" s="5" t="str">
        <f t="shared" si="0"/>
        <v>SHIRLEY NELSON</v>
      </c>
      <c r="E7" s="5" t="s">
        <v>102</v>
      </c>
      <c r="F7" s="5" t="s">
        <v>126</v>
      </c>
      <c r="G7" s="5" t="s">
        <v>132</v>
      </c>
      <c r="H7" s="5">
        <v>8325282</v>
      </c>
      <c r="I7" s="5" t="s">
        <v>117</v>
      </c>
      <c r="J7" s="5" t="s">
        <v>118</v>
      </c>
      <c r="K7" s="5" t="str">
        <f t="shared" si="1"/>
        <v>Dale Walenga</v>
      </c>
      <c r="L7" s="6">
        <v>45962</v>
      </c>
      <c r="M7" s="6">
        <v>46023</v>
      </c>
      <c r="N7" s="7">
        <v>11.5</v>
      </c>
      <c r="O7" s="5">
        <f t="shared" si="2"/>
        <v>2</v>
      </c>
      <c r="P7" s="5" t="s">
        <v>1368</v>
      </c>
      <c r="Q7" s="8">
        <v>0.7</v>
      </c>
      <c r="R7" s="5" t="s">
        <v>83</v>
      </c>
      <c r="S7" s="5" t="s">
        <v>61</v>
      </c>
      <c r="T7" s="7">
        <v>8.0500000000000007</v>
      </c>
      <c r="U7" s="5" t="s">
        <v>132</v>
      </c>
    </row>
    <row r="8" spans="1:21" s="5" customFormat="1" x14ac:dyDescent="0.25">
      <c r="A8" s="5">
        <v>2031615386</v>
      </c>
      <c r="B8" s="5" t="s">
        <v>1184</v>
      </c>
      <c r="C8" s="5" t="s">
        <v>1185</v>
      </c>
      <c r="D8" s="5" t="str">
        <f t="shared" si="0"/>
        <v>ROBIN CHRIST</v>
      </c>
      <c r="E8" s="5" t="s">
        <v>102</v>
      </c>
      <c r="F8" s="5" t="s">
        <v>126</v>
      </c>
      <c r="G8" s="5" t="s">
        <v>132</v>
      </c>
      <c r="H8" s="5">
        <v>8325282</v>
      </c>
      <c r="I8" s="5" t="s">
        <v>117</v>
      </c>
      <c r="J8" s="5" t="s">
        <v>118</v>
      </c>
      <c r="K8" s="5" t="str">
        <f t="shared" si="1"/>
        <v>Dale Walenga</v>
      </c>
      <c r="L8" s="6">
        <v>45962</v>
      </c>
      <c r="M8" s="6">
        <v>46023</v>
      </c>
      <c r="N8" s="7">
        <v>11.5</v>
      </c>
      <c r="O8" s="5">
        <f t="shared" si="2"/>
        <v>2</v>
      </c>
      <c r="P8" s="5" t="s">
        <v>1368</v>
      </c>
      <c r="Q8" s="8">
        <v>0.7</v>
      </c>
      <c r="R8" s="5" t="s">
        <v>83</v>
      </c>
      <c r="S8" s="5" t="s">
        <v>61</v>
      </c>
      <c r="T8" s="7">
        <v>8.0500000000000007</v>
      </c>
      <c r="U8" s="5" t="s">
        <v>132</v>
      </c>
    </row>
    <row r="9" spans="1:21" s="5" customFormat="1" x14ac:dyDescent="0.25">
      <c r="A9" s="5">
        <v>2032021876</v>
      </c>
      <c r="B9" s="5" t="s">
        <v>934</v>
      </c>
      <c r="C9" s="5" t="s">
        <v>935</v>
      </c>
      <c r="D9" s="5" t="str">
        <f t="shared" si="0"/>
        <v>KATHERINE BARTLETT</v>
      </c>
      <c r="E9" s="5" t="s">
        <v>200</v>
      </c>
      <c r="F9" s="5" t="s">
        <v>75</v>
      </c>
      <c r="G9" s="5" t="s">
        <v>739</v>
      </c>
      <c r="H9" s="5">
        <v>16865615</v>
      </c>
      <c r="I9" s="5" t="s">
        <v>201</v>
      </c>
      <c r="J9" s="5" t="s">
        <v>202</v>
      </c>
      <c r="K9" s="5" t="str">
        <f t="shared" si="1"/>
        <v>Heather Geske</v>
      </c>
      <c r="L9" s="6">
        <v>45968</v>
      </c>
      <c r="M9" s="6">
        <v>46029</v>
      </c>
      <c r="N9" s="7">
        <v>72.03</v>
      </c>
      <c r="O9" s="5">
        <f t="shared" si="2"/>
        <v>2</v>
      </c>
      <c r="P9" s="5" t="s">
        <v>1368</v>
      </c>
      <c r="Q9" s="8">
        <v>0.65</v>
      </c>
      <c r="R9" s="5" t="s">
        <v>83</v>
      </c>
      <c r="S9" s="5" t="s">
        <v>61</v>
      </c>
      <c r="T9" s="7">
        <v>46.82</v>
      </c>
      <c r="U9" s="5" t="s">
        <v>1380</v>
      </c>
    </row>
    <row r="10" spans="1:21" s="5" customFormat="1" x14ac:dyDescent="0.25">
      <c r="A10" s="5">
        <v>2031690752</v>
      </c>
      <c r="B10" s="5" t="s">
        <v>614</v>
      </c>
      <c r="C10" s="5" t="s">
        <v>615</v>
      </c>
      <c r="D10" s="5" t="str">
        <f t="shared" si="0"/>
        <v>PAUL LEE</v>
      </c>
      <c r="E10" s="5" t="s">
        <v>200</v>
      </c>
      <c r="F10" s="5" t="s">
        <v>75</v>
      </c>
      <c r="G10" s="5" t="s">
        <v>243</v>
      </c>
      <c r="H10" s="5">
        <v>16865615</v>
      </c>
      <c r="I10" s="5" t="s">
        <v>201</v>
      </c>
      <c r="J10" s="5" t="s">
        <v>202</v>
      </c>
      <c r="K10" s="5" t="str">
        <f t="shared" si="1"/>
        <v>Heather Geske</v>
      </c>
      <c r="L10" s="6">
        <v>45948</v>
      </c>
      <c r="M10" s="6">
        <v>46009</v>
      </c>
      <c r="N10" s="7">
        <v>55.99</v>
      </c>
      <c r="O10" s="5">
        <f t="shared" si="2"/>
        <v>2</v>
      </c>
      <c r="P10" s="5" t="s">
        <v>1368</v>
      </c>
      <c r="Q10" s="8">
        <v>0.75</v>
      </c>
      <c r="R10" s="5" t="s">
        <v>83</v>
      </c>
      <c r="S10" s="5" t="s">
        <v>61</v>
      </c>
      <c r="T10" s="7">
        <v>41.99</v>
      </c>
      <c r="U10" s="5" t="s">
        <v>1371</v>
      </c>
    </row>
    <row r="11" spans="1:21" s="5" customFormat="1" x14ac:dyDescent="0.25">
      <c r="A11" s="5">
        <v>2032002153</v>
      </c>
      <c r="B11" s="5" t="s">
        <v>623</v>
      </c>
      <c r="C11" s="5" t="s">
        <v>624</v>
      </c>
      <c r="D11" s="5" t="str">
        <f t="shared" si="0"/>
        <v>BENJAMIN MOSHER</v>
      </c>
      <c r="E11" s="5" t="s">
        <v>200</v>
      </c>
      <c r="F11" s="5" t="s">
        <v>126</v>
      </c>
      <c r="G11" s="5" t="s">
        <v>132</v>
      </c>
      <c r="H11" s="5">
        <v>16865615</v>
      </c>
      <c r="I11" s="5" t="s">
        <v>201</v>
      </c>
      <c r="J11" s="5" t="s">
        <v>202</v>
      </c>
      <c r="K11" s="5" t="str">
        <f t="shared" si="1"/>
        <v>Heather Geske</v>
      </c>
      <c r="L11" s="6">
        <v>45967</v>
      </c>
      <c r="M11" s="6">
        <v>46028</v>
      </c>
      <c r="N11" s="7">
        <v>9.1</v>
      </c>
      <c r="O11" s="5">
        <f t="shared" si="2"/>
        <v>2</v>
      </c>
      <c r="P11" s="5" t="s">
        <v>1368</v>
      </c>
      <c r="Q11" s="8">
        <v>0.7</v>
      </c>
      <c r="R11" s="5" t="s">
        <v>83</v>
      </c>
      <c r="S11" s="5" t="s">
        <v>61</v>
      </c>
      <c r="T11" s="7">
        <v>6.37</v>
      </c>
      <c r="U11" s="5" t="s">
        <v>132</v>
      </c>
    </row>
    <row r="12" spans="1:21" s="5" customFormat="1" x14ac:dyDescent="0.25">
      <c r="A12" s="5">
        <v>2032021875</v>
      </c>
      <c r="B12" s="5" t="s">
        <v>934</v>
      </c>
      <c r="C12" s="5" t="s">
        <v>935</v>
      </c>
      <c r="D12" s="5" t="str">
        <f t="shared" si="0"/>
        <v>KATHERINE BARTLETT</v>
      </c>
      <c r="E12" s="5" t="s">
        <v>200</v>
      </c>
      <c r="F12" s="5" t="s">
        <v>126</v>
      </c>
      <c r="G12" s="5" t="s">
        <v>132</v>
      </c>
      <c r="H12" s="5">
        <v>16865615</v>
      </c>
      <c r="I12" s="5" t="s">
        <v>201</v>
      </c>
      <c r="J12" s="5" t="s">
        <v>202</v>
      </c>
      <c r="K12" s="5" t="str">
        <f t="shared" si="1"/>
        <v>Heather Geske</v>
      </c>
      <c r="L12" s="6">
        <v>45968</v>
      </c>
      <c r="M12" s="6">
        <v>46029</v>
      </c>
      <c r="N12" s="7">
        <v>9.1</v>
      </c>
      <c r="O12" s="5">
        <f t="shared" si="2"/>
        <v>2</v>
      </c>
      <c r="P12" s="5" t="s">
        <v>1368</v>
      </c>
      <c r="Q12" s="8">
        <v>0.7</v>
      </c>
      <c r="R12" s="5" t="s">
        <v>83</v>
      </c>
      <c r="S12" s="5" t="s">
        <v>61</v>
      </c>
      <c r="T12" s="7">
        <v>6.37</v>
      </c>
      <c r="U12" s="5" t="s">
        <v>132</v>
      </c>
    </row>
    <row r="13" spans="1:21" s="5" customFormat="1" x14ac:dyDescent="0.25">
      <c r="A13" s="5">
        <v>2031690751</v>
      </c>
      <c r="B13" s="5" t="s">
        <v>614</v>
      </c>
      <c r="C13" s="5" t="s">
        <v>615</v>
      </c>
      <c r="D13" s="5" t="str">
        <f t="shared" si="0"/>
        <v>PAUL LEE</v>
      </c>
      <c r="E13" s="5" t="s">
        <v>200</v>
      </c>
      <c r="F13" s="5" t="s">
        <v>126</v>
      </c>
      <c r="G13" s="5" t="s">
        <v>132</v>
      </c>
      <c r="H13" s="5">
        <v>16865615</v>
      </c>
      <c r="I13" s="5" t="s">
        <v>201</v>
      </c>
      <c r="J13" s="5" t="s">
        <v>202</v>
      </c>
      <c r="K13" s="5" t="str">
        <f t="shared" si="1"/>
        <v>Heather Geske</v>
      </c>
      <c r="L13" s="6">
        <v>45948</v>
      </c>
      <c r="M13" s="6">
        <v>46009</v>
      </c>
      <c r="N13" s="7">
        <v>8.49</v>
      </c>
      <c r="O13" s="5">
        <f t="shared" si="2"/>
        <v>2</v>
      </c>
      <c r="P13" s="5" t="s">
        <v>1368</v>
      </c>
      <c r="Q13" s="8">
        <v>0.7</v>
      </c>
      <c r="R13" s="5" t="s">
        <v>83</v>
      </c>
      <c r="S13" s="5" t="s">
        <v>61</v>
      </c>
      <c r="T13" s="7">
        <v>5.94</v>
      </c>
      <c r="U13" s="5" t="s">
        <v>132</v>
      </c>
    </row>
    <row r="14" spans="1:21" s="5" customFormat="1" x14ac:dyDescent="0.25">
      <c r="A14" s="5">
        <v>2031690750</v>
      </c>
      <c r="B14" s="5" t="s">
        <v>614</v>
      </c>
      <c r="C14" s="5" t="s">
        <v>615</v>
      </c>
      <c r="D14" s="5" t="str">
        <f t="shared" si="0"/>
        <v>PAUL LEE</v>
      </c>
      <c r="E14" s="5" t="s">
        <v>200</v>
      </c>
      <c r="F14" s="5" t="s">
        <v>86</v>
      </c>
      <c r="G14" s="5" t="s">
        <v>87</v>
      </c>
      <c r="H14" s="5">
        <v>16865615</v>
      </c>
      <c r="I14" s="5" t="s">
        <v>201</v>
      </c>
      <c r="J14" s="5" t="s">
        <v>202</v>
      </c>
      <c r="K14" s="5" t="str">
        <f t="shared" si="1"/>
        <v>Heather Geske</v>
      </c>
      <c r="L14" s="6">
        <v>45948</v>
      </c>
      <c r="M14" s="6">
        <v>46009</v>
      </c>
      <c r="N14" s="7">
        <v>71.760000000000005</v>
      </c>
      <c r="O14" s="5">
        <f t="shared" si="2"/>
        <v>2</v>
      </c>
      <c r="P14" s="5" t="s">
        <v>1368</v>
      </c>
      <c r="Q14" s="9">
        <v>0.375</v>
      </c>
      <c r="R14" s="5" t="s">
        <v>83</v>
      </c>
      <c r="S14" s="5" t="s">
        <v>61</v>
      </c>
      <c r="T14" s="7">
        <v>26.91</v>
      </c>
      <c r="U14" s="5" t="s">
        <v>87</v>
      </c>
    </row>
    <row r="15" spans="1:21" s="5" customFormat="1" x14ac:dyDescent="0.25">
      <c r="A15" s="5">
        <v>2032002154</v>
      </c>
      <c r="B15" s="5" t="s">
        <v>623</v>
      </c>
      <c r="C15" s="5" t="s">
        <v>624</v>
      </c>
      <c r="D15" s="5" t="str">
        <f t="shared" si="0"/>
        <v>BENJAMIN MOSHER</v>
      </c>
      <c r="E15" s="5" t="s">
        <v>200</v>
      </c>
      <c r="F15" s="5" t="s">
        <v>86</v>
      </c>
      <c r="G15" s="5" t="s">
        <v>87</v>
      </c>
      <c r="H15" s="5">
        <v>16865615</v>
      </c>
      <c r="I15" s="5" t="s">
        <v>201</v>
      </c>
      <c r="J15" s="5" t="s">
        <v>202</v>
      </c>
      <c r="K15" s="5" t="str">
        <f t="shared" si="1"/>
        <v>Heather Geske</v>
      </c>
      <c r="L15" s="6">
        <v>45967</v>
      </c>
      <c r="M15" s="6">
        <v>46028</v>
      </c>
      <c r="N15" s="7">
        <v>54.57</v>
      </c>
      <c r="O15" s="5">
        <f t="shared" si="2"/>
        <v>2</v>
      </c>
      <c r="P15" s="5" t="s">
        <v>1368</v>
      </c>
      <c r="Q15" s="9">
        <v>0.375</v>
      </c>
      <c r="R15" s="5" t="s">
        <v>83</v>
      </c>
      <c r="S15" s="5" t="s">
        <v>61</v>
      </c>
      <c r="T15" s="7">
        <v>20.46</v>
      </c>
      <c r="U15" s="5" t="s">
        <v>87</v>
      </c>
    </row>
    <row r="16" spans="1:21" s="5" customFormat="1" x14ac:dyDescent="0.25">
      <c r="A16" s="5">
        <v>2032099302</v>
      </c>
      <c r="B16" s="5" t="s">
        <v>938</v>
      </c>
      <c r="C16" s="5" t="s">
        <v>337</v>
      </c>
      <c r="D16" s="5" t="str">
        <f t="shared" si="0"/>
        <v>DEANNA LAFROMBOIS</v>
      </c>
      <c r="E16" s="5" t="s">
        <v>939</v>
      </c>
      <c r="F16" s="5" t="s">
        <v>75</v>
      </c>
      <c r="G16" s="5" t="s">
        <v>243</v>
      </c>
      <c r="H16" s="5">
        <v>18201929</v>
      </c>
      <c r="I16" s="5" t="s">
        <v>145</v>
      </c>
      <c r="J16" s="5" t="s">
        <v>146</v>
      </c>
      <c r="K16" s="5" t="str">
        <f t="shared" si="1"/>
        <v>Jake Shulman</v>
      </c>
      <c r="L16" s="6">
        <v>45972</v>
      </c>
      <c r="M16" s="6">
        <v>46033</v>
      </c>
      <c r="N16" s="7">
        <v>47.86</v>
      </c>
      <c r="O16" s="5">
        <f t="shared" si="2"/>
        <v>2</v>
      </c>
      <c r="P16" s="5" t="s">
        <v>1368</v>
      </c>
      <c r="Q16" s="8">
        <v>0.75</v>
      </c>
      <c r="R16" s="5" t="s">
        <v>83</v>
      </c>
      <c r="S16" s="5" t="s">
        <v>61</v>
      </c>
      <c r="T16" s="7">
        <v>35.9</v>
      </c>
      <c r="U16" s="5" t="s">
        <v>1371</v>
      </c>
    </row>
    <row r="17" spans="1:21" s="5" customFormat="1" x14ac:dyDescent="0.25">
      <c r="A17" s="5">
        <v>2032038860</v>
      </c>
      <c r="B17" s="5" t="s">
        <v>628</v>
      </c>
      <c r="C17" s="5" t="s">
        <v>204</v>
      </c>
      <c r="D17" s="5" t="str">
        <f t="shared" si="0"/>
        <v>KIMBERLY RUSSOW</v>
      </c>
      <c r="E17" s="5" t="s">
        <v>102</v>
      </c>
      <c r="F17" s="5" t="s">
        <v>126</v>
      </c>
      <c r="G17" s="5" t="s">
        <v>132</v>
      </c>
      <c r="H17" s="5">
        <v>17143996</v>
      </c>
      <c r="I17" s="5" t="s">
        <v>253</v>
      </c>
      <c r="J17" s="5" t="s">
        <v>254</v>
      </c>
      <c r="K17" s="5" t="str">
        <f t="shared" si="1"/>
        <v>James Allen</v>
      </c>
      <c r="L17" s="6">
        <v>45972</v>
      </c>
      <c r="M17" s="6">
        <v>46033</v>
      </c>
      <c r="N17" s="7">
        <v>27.5</v>
      </c>
      <c r="O17" s="5">
        <f t="shared" si="2"/>
        <v>2</v>
      </c>
      <c r="P17" s="5" t="s">
        <v>1368</v>
      </c>
      <c r="Q17" s="8">
        <v>0.7</v>
      </c>
      <c r="R17" s="5" t="s">
        <v>83</v>
      </c>
      <c r="S17" s="5" t="s">
        <v>61</v>
      </c>
      <c r="T17" s="7">
        <v>19.25</v>
      </c>
      <c r="U17" s="5" t="s">
        <v>132</v>
      </c>
    </row>
    <row r="18" spans="1:21" s="5" customFormat="1" x14ac:dyDescent="0.25">
      <c r="A18" s="5">
        <v>2032000756</v>
      </c>
      <c r="B18" s="5" t="s">
        <v>621</v>
      </c>
      <c r="C18" s="5" t="s">
        <v>622</v>
      </c>
      <c r="D18" s="5" t="str">
        <f t="shared" si="0"/>
        <v>PATTI GALEAZ</v>
      </c>
      <c r="E18" s="5" t="s">
        <v>102</v>
      </c>
      <c r="F18" s="5" t="s">
        <v>126</v>
      </c>
      <c r="G18" s="5" t="s">
        <v>132</v>
      </c>
      <c r="H18" s="5">
        <v>17143996</v>
      </c>
      <c r="I18" s="5" t="s">
        <v>253</v>
      </c>
      <c r="J18" s="5" t="s">
        <v>254</v>
      </c>
      <c r="K18" s="5" t="str">
        <f t="shared" si="1"/>
        <v>James Allen</v>
      </c>
      <c r="L18" s="6">
        <v>45968</v>
      </c>
      <c r="M18" s="6">
        <v>46029</v>
      </c>
      <c r="N18" s="7">
        <v>11.5</v>
      </c>
      <c r="O18" s="5">
        <f t="shared" si="2"/>
        <v>2</v>
      </c>
      <c r="P18" s="5" t="s">
        <v>1368</v>
      </c>
      <c r="Q18" s="8">
        <v>0.7</v>
      </c>
      <c r="R18" s="5" t="s">
        <v>83</v>
      </c>
      <c r="S18" s="5" t="s">
        <v>61</v>
      </c>
      <c r="T18" s="7">
        <v>8.0500000000000007</v>
      </c>
      <c r="U18" s="5" t="s">
        <v>132</v>
      </c>
    </row>
    <row r="19" spans="1:21" s="5" customFormat="1" x14ac:dyDescent="0.25">
      <c r="A19" s="5">
        <v>2032038861</v>
      </c>
      <c r="B19" s="5" t="s">
        <v>628</v>
      </c>
      <c r="C19" s="5" t="s">
        <v>204</v>
      </c>
      <c r="D19" s="5" t="str">
        <f t="shared" si="0"/>
        <v>KIMBERLY RUSSOW</v>
      </c>
      <c r="E19" s="5" t="s">
        <v>102</v>
      </c>
      <c r="F19" s="5" t="s">
        <v>86</v>
      </c>
      <c r="G19" s="5" t="s">
        <v>87</v>
      </c>
      <c r="H19" s="5">
        <v>17143996</v>
      </c>
      <c r="I19" s="5" t="s">
        <v>253</v>
      </c>
      <c r="J19" s="5" t="s">
        <v>254</v>
      </c>
      <c r="K19" s="5" t="str">
        <f t="shared" si="1"/>
        <v>James Allen</v>
      </c>
      <c r="L19" s="6">
        <v>45972</v>
      </c>
      <c r="M19" s="6">
        <v>46033</v>
      </c>
      <c r="N19" s="7">
        <v>109.28</v>
      </c>
      <c r="O19" s="5">
        <f t="shared" si="2"/>
        <v>2</v>
      </c>
      <c r="P19" s="5" t="s">
        <v>1368</v>
      </c>
      <c r="Q19" s="9">
        <v>0.375</v>
      </c>
      <c r="R19" s="5" t="s">
        <v>83</v>
      </c>
      <c r="S19" s="5" t="s">
        <v>61</v>
      </c>
      <c r="T19" s="7">
        <v>40.98</v>
      </c>
      <c r="U19" s="5" t="s">
        <v>87</v>
      </c>
    </row>
    <row r="20" spans="1:21" s="5" customFormat="1" x14ac:dyDescent="0.25">
      <c r="A20" s="5">
        <v>2032000757</v>
      </c>
      <c r="B20" s="5" t="s">
        <v>621</v>
      </c>
      <c r="C20" s="5" t="s">
        <v>622</v>
      </c>
      <c r="D20" s="5" t="str">
        <f t="shared" si="0"/>
        <v>PATTI GALEAZ</v>
      </c>
      <c r="E20" s="5" t="s">
        <v>102</v>
      </c>
      <c r="F20" s="5" t="s">
        <v>86</v>
      </c>
      <c r="G20" s="5" t="s">
        <v>87</v>
      </c>
      <c r="H20" s="5">
        <v>17143996</v>
      </c>
      <c r="I20" s="5" t="s">
        <v>253</v>
      </c>
      <c r="J20" s="5" t="s">
        <v>254</v>
      </c>
      <c r="K20" s="5" t="str">
        <f t="shared" si="1"/>
        <v>James Allen</v>
      </c>
      <c r="L20" s="6">
        <v>45968</v>
      </c>
      <c r="M20" s="6">
        <v>46029</v>
      </c>
      <c r="N20" s="7">
        <v>53.87</v>
      </c>
      <c r="O20" s="5">
        <f t="shared" si="2"/>
        <v>2</v>
      </c>
      <c r="P20" s="5" t="s">
        <v>1368</v>
      </c>
      <c r="Q20" s="9">
        <v>0.375</v>
      </c>
      <c r="R20" s="5" t="s">
        <v>83</v>
      </c>
      <c r="S20" s="5" t="s">
        <v>61</v>
      </c>
      <c r="T20" s="7">
        <v>20.2</v>
      </c>
      <c r="U20" s="5" t="s">
        <v>87</v>
      </c>
    </row>
    <row r="21" spans="1:21" s="5" customFormat="1" x14ac:dyDescent="0.25">
      <c r="A21" s="5">
        <v>2032111467</v>
      </c>
      <c r="B21" s="5" t="s">
        <v>629</v>
      </c>
      <c r="C21" s="5" t="s">
        <v>630</v>
      </c>
      <c r="D21" s="5" t="str">
        <f t="shared" si="0"/>
        <v>JOHNNA THOMPKINS</v>
      </c>
      <c r="E21" s="5" t="s">
        <v>125</v>
      </c>
      <c r="F21" s="5" t="s">
        <v>126</v>
      </c>
      <c r="G21" s="5" t="s">
        <v>132</v>
      </c>
      <c r="H21" s="5">
        <v>17740520</v>
      </c>
      <c r="I21" s="5" t="s">
        <v>467</v>
      </c>
      <c r="J21" s="5" t="s">
        <v>468</v>
      </c>
      <c r="K21" s="5" t="str">
        <f t="shared" si="1"/>
        <v>Jennifer Hess</v>
      </c>
      <c r="L21" s="6">
        <v>45973</v>
      </c>
      <c r="M21" s="6">
        <v>46034</v>
      </c>
      <c r="N21" s="7">
        <v>29.79</v>
      </c>
      <c r="O21" s="5">
        <f t="shared" si="2"/>
        <v>2</v>
      </c>
      <c r="P21" s="5" t="s">
        <v>1368</v>
      </c>
      <c r="Q21" s="8">
        <v>0.7</v>
      </c>
      <c r="R21" s="5" t="s">
        <v>83</v>
      </c>
      <c r="S21" s="5" t="s">
        <v>61</v>
      </c>
      <c r="T21" s="7">
        <v>20.85</v>
      </c>
      <c r="U21" s="5" t="s">
        <v>132</v>
      </c>
    </row>
    <row r="22" spans="1:21" s="5" customFormat="1" x14ac:dyDescent="0.25">
      <c r="A22" s="5">
        <v>2032111468</v>
      </c>
      <c r="B22" s="5" t="s">
        <v>629</v>
      </c>
      <c r="C22" s="5" t="s">
        <v>630</v>
      </c>
      <c r="D22" s="5" t="str">
        <f t="shared" si="0"/>
        <v>JOHNNA THOMPKINS</v>
      </c>
      <c r="E22" s="5" t="s">
        <v>125</v>
      </c>
      <c r="F22" s="5" t="s">
        <v>86</v>
      </c>
      <c r="G22" s="5" t="s">
        <v>87</v>
      </c>
      <c r="H22" s="5">
        <v>17740520</v>
      </c>
      <c r="I22" s="5" t="s">
        <v>467</v>
      </c>
      <c r="J22" s="5" t="s">
        <v>468</v>
      </c>
      <c r="K22" s="5" t="str">
        <f t="shared" si="1"/>
        <v>Jennifer Hess</v>
      </c>
      <c r="L22" s="6">
        <v>45973</v>
      </c>
      <c r="M22" s="6">
        <v>46034</v>
      </c>
      <c r="N22" s="7">
        <v>54.95</v>
      </c>
      <c r="O22" s="5">
        <f t="shared" si="2"/>
        <v>2</v>
      </c>
      <c r="P22" s="5" t="s">
        <v>1368</v>
      </c>
      <c r="Q22" s="9">
        <v>0.375</v>
      </c>
      <c r="R22" s="5" t="s">
        <v>83</v>
      </c>
      <c r="S22" s="5" t="s">
        <v>61</v>
      </c>
      <c r="T22" s="7">
        <v>20.61</v>
      </c>
      <c r="U22" s="5" t="s">
        <v>87</v>
      </c>
    </row>
    <row r="23" spans="1:21" s="5" customFormat="1" x14ac:dyDescent="0.25">
      <c r="A23" s="5">
        <v>2032038377</v>
      </c>
      <c r="B23" s="5" t="s">
        <v>1204</v>
      </c>
      <c r="C23" s="5" t="s">
        <v>1205</v>
      </c>
      <c r="D23" s="5" t="str">
        <f t="shared" si="0"/>
        <v>MARIANNE BOMMELMAN</v>
      </c>
      <c r="E23" s="5" t="s">
        <v>102</v>
      </c>
      <c r="F23" s="5" t="s">
        <v>126</v>
      </c>
      <c r="G23" s="5" t="s">
        <v>132</v>
      </c>
      <c r="H23" s="5">
        <v>21436172</v>
      </c>
      <c r="I23" s="5" t="s">
        <v>441</v>
      </c>
      <c r="J23" s="5" t="s">
        <v>442</v>
      </c>
      <c r="K23" s="5" t="str">
        <f t="shared" si="1"/>
        <v>Latesha Rose</v>
      </c>
      <c r="L23" s="6">
        <v>45968</v>
      </c>
      <c r="M23" s="6">
        <v>46029</v>
      </c>
      <c r="N23" s="7">
        <v>199.8</v>
      </c>
      <c r="O23" s="5">
        <f t="shared" si="2"/>
        <v>2</v>
      </c>
      <c r="P23" s="5" t="s">
        <v>1368</v>
      </c>
      <c r="Q23" s="8">
        <v>0.7</v>
      </c>
      <c r="R23" s="5" t="s">
        <v>83</v>
      </c>
      <c r="S23" s="5" t="s">
        <v>61</v>
      </c>
      <c r="T23" s="7">
        <v>139.86000000000001</v>
      </c>
      <c r="U23" s="5" t="s">
        <v>132</v>
      </c>
    </row>
    <row r="24" spans="1:21" s="5" customFormat="1" x14ac:dyDescent="0.25">
      <c r="A24" s="5">
        <v>2032114519</v>
      </c>
      <c r="B24" s="5" t="s">
        <v>1222</v>
      </c>
      <c r="C24" s="5" t="s">
        <v>582</v>
      </c>
      <c r="D24" s="5" t="str">
        <f t="shared" si="0"/>
        <v>SCOTT WILLSTEAD</v>
      </c>
      <c r="E24" s="5" t="s">
        <v>102</v>
      </c>
      <c r="F24" s="5" t="s">
        <v>126</v>
      </c>
      <c r="G24" s="5" t="s">
        <v>375</v>
      </c>
      <c r="H24" s="5">
        <v>8812322</v>
      </c>
      <c r="I24" s="5" t="s">
        <v>230</v>
      </c>
      <c r="J24" s="5" t="s">
        <v>231</v>
      </c>
      <c r="K24" s="5" t="str">
        <f t="shared" si="1"/>
        <v>Matthew Sherman</v>
      </c>
      <c r="L24" s="6">
        <v>45973</v>
      </c>
      <c r="M24" s="6">
        <v>46034</v>
      </c>
      <c r="N24" s="7">
        <v>56.75</v>
      </c>
      <c r="O24" s="5">
        <f t="shared" si="2"/>
        <v>2</v>
      </c>
      <c r="P24" s="5" t="s">
        <v>1368</v>
      </c>
      <c r="Q24" s="8">
        <v>0.9</v>
      </c>
      <c r="R24" s="5" t="s">
        <v>83</v>
      </c>
      <c r="S24" s="5" t="s">
        <v>61</v>
      </c>
      <c r="T24" s="7">
        <v>51.08</v>
      </c>
      <c r="U24" s="5" t="s">
        <v>375</v>
      </c>
    </row>
    <row r="25" spans="1:21" s="5" customFormat="1" x14ac:dyDescent="0.25">
      <c r="A25" s="5">
        <v>2032114433</v>
      </c>
      <c r="B25" s="5" t="s">
        <v>1222</v>
      </c>
      <c r="C25" s="5" t="s">
        <v>1223</v>
      </c>
      <c r="D25" s="5" t="str">
        <f t="shared" si="0"/>
        <v>KRISTY WILLSTEAD</v>
      </c>
      <c r="E25" s="5" t="s">
        <v>102</v>
      </c>
      <c r="F25" s="5" t="s">
        <v>126</v>
      </c>
      <c r="G25" s="5" t="s">
        <v>375</v>
      </c>
      <c r="H25" s="5">
        <v>8812322</v>
      </c>
      <c r="I25" s="5" t="s">
        <v>230</v>
      </c>
      <c r="J25" s="5" t="s">
        <v>231</v>
      </c>
      <c r="K25" s="5" t="str">
        <f t="shared" si="1"/>
        <v>Matthew Sherman</v>
      </c>
      <c r="L25" s="6">
        <v>45973</v>
      </c>
      <c r="M25" s="6">
        <v>46034</v>
      </c>
      <c r="N25" s="7">
        <v>41.75</v>
      </c>
      <c r="O25" s="5">
        <f t="shared" si="2"/>
        <v>2</v>
      </c>
      <c r="P25" s="5" t="s">
        <v>1368</v>
      </c>
      <c r="Q25" s="8">
        <v>0.9</v>
      </c>
      <c r="R25" s="5" t="s">
        <v>83</v>
      </c>
      <c r="S25" s="5" t="s">
        <v>61</v>
      </c>
      <c r="T25" s="7">
        <v>37.58</v>
      </c>
      <c r="U25" s="5" t="s">
        <v>375</v>
      </c>
    </row>
    <row r="26" spans="1:21" s="5" customFormat="1" x14ac:dyDescent="0.25">
      <c r="A26" s="5">
        <v>2032078824</v>
      </c>
      <c r="B26" s="5" t="s">
        <v>1219</v>
      </c>
      <c r="C26" s="5" t="s">
        <v>1220</v>
      </c>
      <c r="D26" s="5" t="str">
        <f t="shared" si="0"/>
        <v>GANSUKH YADAMSUREN</v>
      </c>
      <c r="E26" s="5" t="s">
        <v>102</v>
      </c>
      <c r="F26" s="5" t="s">
        <v>126</v>
      </c>
      <c r="G26" s="5" t="s">
        <v>132</v>
      </c>
      <c r="H26" s="5">
        <v>20220688</v>
      </c>
      <c r="I26" s="5" t="s">
        <v>418</v>
      </c>
      <c r="J26" s="5" t="s">
        <v>419</v>
      </c>
      <c r="K26" s="5" t="str">
        <f t="shared" si="1"/>
        <v>NASANDELGER ZANA</v>
      </c>
      <c r="L26" s="6">
        <v>45971</v>
      </c>
      <c r="M26" s="6">
        <v>46032</v>
      </c>
      <c r="N26" s="7">
        <v>142.22999999999999</v>
      </c>
      <c r="O26" s="5">
        <f t="shared" si="2"/>
        <v>2</v>
      </c>
      <c r="P26" s="5" t="s">
        <v>1368</v>
      </c>
      <c r="Q26" s="8">
        <v>0.7</v>
      </c>
      <c r="R26" s="5" t="s">
        <v>83</v>
      </c>
      <c r="S26" s="5" t="s">
        <v>61</v>
      </c>
      <c r="T26" s="7">
        <v>99.56</v>
      </c>
      <c r="U26" s="5" t="s">
        <v>132</v>
      </c>
    </row>
    <row r="27" spans="1:21" s="5" customFormat="1" x14ac:dyDescent="0.25">
      <c r="A27" s="5">
        <v>2031947513</v>
      </c>
      <c r="B27" s="5" t="s">
        <v>1194</v>
      </c>
      <c r="C27" s="5" t="s">
        <v>1195</v>
      </c>
      <c r="D27" s="5" t="str">
        <f t="shared" si="0"/>
        <v>ALTANTUYA SODNOMPIL</v>
      </c>
      <c r="E27" s="5" t="s">
        <v>102</v>
      </c>
      <c r="F27" s="5" t="s">
        <v>126</v>
      </c>
      <c r="G27" s="5" t="s">
        <v>132</v>
      </c>
      <c r="H27" s="5">
        <v>20220688</v>
      </c>
      <c r="I27" s="5" t="s">
        <v>418</v>
      </c>
      <c r="J27" s="5" t="s">
        <v>419</v>
      </c>
      <c r="K27" s="5" t="str">
        <f t="shared" si="1"/>
        <v>NASANDELGER ZANA</v>
      </c>
      <c r="L27" s="6">
        <v>45963</v>
      </c>
      <c r="M27" s="6">
        <v>46024</v>
      </c>
      <c r="N27" s="7">
        <v>66.36</v>
      </c>
      <c r="O27" s="5">
        <f t="shared" si="2"/>
        <v>2</v>
      </c>
      <c r="P27" s="5" t="s">
        <v>1368</v>
      </c>
      <c r="Q27" s="8">
        <v>0.7</v>
      </c>
      <c r="R27" s="5" t="s">
        <v>83</v>
      </c>
      <c r="S27" s="5" t="s">
        <v>61</v>
      </c>
      <c r="T27" s="7">
        <v>46.45</v>
      </c>
      <c r="U27" s="5" t="s">
        <v>132</v>
      </c>
    </row>
    <row r="28" spans="1:21" s="5" customFormat="1" x14ac:dyDescent="0.25">
      <c r="A28" s="5">
        <v>2032078149</v>
      </c>
      <c r="B28" s="5" t="s">
        <v>1217</v>
      </c>
      <c r="C28" s="5" t="s">
        <v>1218</v>
      </c>
      <c r="D28" s="5" t="str">
        <f t="shared" si="0"/>
        <v>TSOGZOLMAA NURZED</v>
      </c>
      <c r="E28" s="5" t="s">
        <v>102</v>
      </c>
      <c r="F28" s="5" t="s">
        <v>126</v>
      </c>
      <c r="G28" s="5" t="s">
        <v>132</v>
      </c>
      <c r="H28" s="5">
        <v>20220688</v>
      </c>
      <c r="I28" s="5" t="s">
        <v>418</v>
      </c>
      <c r="J28" s="5" t="s">
        <v>419</v>
      </c>
      <c r="K28" s="5" t="str">
        <f t="shared" si="1"/>
        <v>NASANDELGER ZANA</v>
      </c>
      <c r="L28" s="6">
        <v>45971</v>
      </c>
      <c r="M28" s="6">
        <v>46032</v>
      </c>
      <c r="N28" s="7">
        <v>27.5</v>
      </c>
      <c r="O28" s="5">
        <f t="shared" si="2"/>
        <v>2</v>
      </c>
      <c r="P28" s="5" t="s">
        <v>1368</v>
      </c>
      <c r="Q28" s="8">
        <v>0.7</v>
      </c>
      <c r="R28" s="5" t="s">
        <v>83</v>
      </c>
      <c r="S28" s="5" t="s">
        <v>61</v>
      </c>
      <c r="T28" s="7">
        <v>19.25</v>
      </c>
      <c r="U28" s="5" t="s">
        <v>132</v>
      </c>
    </row>
    <row r="29" spans="1:21" s="5" customFormat="1" x14ac:dyDescent="0.25">
      <c r="A29" s="5">
        <v>2032073740</v>
      </c>
      <c r="B29" s="5" t="s">
        <v>1211</v>
      </c>
      <c r="C29" s="5" t="s">
        <v>1212</v>
      </c>
      <c r="D29" s="5" t="str">
        <f t="shared" si="0"/>
        <v>VALERII LUBSANOV</v>
      </c>
      <c r="E29" s="5" t="s">
        <v>102</v>
      </c>
      <c r="F29" s="5" t="s">
        <v>126</v>
      </c>
      <c r="G29" s="5" t="s">
        <v>132</v>
      </c>
      <c r="H29" s="5">
        <v>20220688</v>
      </c>
      <c r="I29" s="5" t="s">
        <v>418</v>
      </c>
      <c r="J29" s="5" t="s">
        <v>419</v>
      </c>
      <c r="K29" s="5" t="str">
        <f t="shared" si="1"/>
        <v>NASANDELGER ZANA</v>
      </c>
      <c r="L29" s="6">
        <v>45970</v>
      </c>
      <c r="M29" s="6">
        <v>46031</v>
      </c>
      <c r="N29" s="7">
        <v>24.65</v>
      </c>
      <c r="O29" s="5">
        <f t="shared" si="2"/>
        <v>2</v>
      </c>
      <c r="P29" s="5" t="s">
        <v>1368</v>
      </c>
      <c r="Q29" s="8">
        <v>0.7</v>
      </c>
      <c r="R29" s="5" t="s">
        <v>83</v>
      </c>
      <c r="S29" s="5" t="s">
        <v>61</v>
      </c>
      <c r="T29" s="7">
        <v>17.260000000000002</v>
      </c>
      <c r="U29" s="5" t="s">
        <v>132</v>
      </c>
    </row>
    <row r="30" spans="1:21" s="5" customFormat="1" x14ac:dyDescent="0.25">
      <c r="A30" s="5">
        <v>2032063752</v>
      </c>
      <c r="B30" s="5" t="s">
        <v>1207</v>
      </c>
      <c r="C30" s="5" t="s">
        <v>1208</v>
      </c>
      <c r="D30" s="5" t="str">
        <f t="shared" si="0"/>
        <v>ERDENE NINA</v>
      </c>
      <c r="E30" s="5" t="s">
        <v>102</v>
      </c>
      <c r="F30" s="5" t="s">
        <v>126</v>
      </c>
      <c r="G30" s="5" t="s">
        <v>132</v>
      </c>
      <c r="H30" s="5">
        <v>20220688</v>
      </c>
      <c r="I30" s="5" t="s">
        <v>418</v>
      </c>
      <c r="J30" s="5" t="s">
        <v>419</v>
      </c>
      <c r="K30" s="5" t="str">
        <f t="shared" si="1"/>
        <v>NASANDELGER ZANA</v>
      </c>
      <c r="L30" s="6">
        <v>45969</v>
      </c>
      <c r="M30" s="6">
        <v>46030</v>
      </c>
      <c r="N30" s="7">
        <v>19</v>
      </c>
      <c r="O30" s="5">
        <f t="shared" si="2"/>
        <v>2</v>
      </c>
      <c r="P30" s="5" t="s">
        <v>1368</v>
      </c>
      <c r="Q30" s="8">
        <v>0.7</v>
      </c>
      <c r="R30" s="5" t="s">
        <v>83</v>
      </c>
      <c r="S30" s="5" t="s">
        <v>61</v>
      </c>
      <c r="T30" s="7">
        <v>13.3</v>
      </c>
      <c r="U30" s="5" t="s">
        <v>132</v>
      </c>
    </row>
    <row r="31" spans="1:21" s="5" customFormat="1" x14ac:dyDescent="0.25">
      <c r="A31" s="5">
        <v>2032075678</v>
      </c>
      <c r="B31" s="5" t="s">
        <v>1213</v>
      </c>
      <c r="C31" s="5" t="s">
        <v>1214</v>
      </c>
      <c r="D31" s="5" t="str">
        <f t="shared" si="0"/>
        <v>ENKHBOLORMAA SEDBAZAR</v>
      </c>
      <c r="E31" s="5" t="s">
        <v>102</v>
      </c>
      <c r="F31" s="5" t="s">
        <v>126</v>
      </c>
      <c r="G31" s="5" t="s">
        <v>132</v>
      </c>
      <c r="H31" s="5">
        <v>20220688</v>
      </c>
      <c r="I31" s="5" t="s">
        <v>418</v>
      </c>
      <c r="J31" s="5" t="s">
        <v>419</v>
      </c>
      <c r="K31" s="5" t="str">
        <f t="shared" si="1"/>
        <v>NASANDELGER ZANA</v>
      </c>
      <c r="L31" s="6">
        <v>45970</v>
      </c>
      <c r="M31" s="6">
        <v>46031</v>
      </c>
      <c r="N31" s="7">
        <v>11.5</v>
      </c>
      <c r="O31" s="5">
        <f t="shared" si="2"/>
        <v>2</v>
      </c>
      <c r="P31" s="5" t="s">
        <v>1368</v>
      </c>
      <c r="Q31" s="8">
        <v>0.7</v>
      </c>
      <c r="R31" s="5" t="s">
        <v>83</v>
      </c>
      <c r="S31" s="5" t="s">
        <v>61</v>
      </c>
      <c r="T31" s="7">
        <v>8.0500000000000007</v>
      </c>
      <c r="U31" s="5" t="s">
        <v>132</v>
      </c>
    </row>
    <row r="32" spans="1:21" s="5" customFormat="1" x14ac:dyDescent="0.25">
      <c r="A32" s="5">
        <v>2031645502</v>
      </c>
      <c r="B32" s="5" t="s">
        <v>1187</v>
      </c>
      <c r="C32" s="5" t="s">
        <v>1188</v>
      </c>
      <c r="D32" s="5" t="str">
        <f t="shared" si="0"/>
        <v>EDWARD LOPEZ</v>
      </c>
      <c r="E32" s="5" t="s">
        <v>79</v>
      </c>
      <c r="F32" s="5" t="s">
        <v>126</v>
      </c>
      <c r="G32" s="5" t="s">
        <v>132</v>
      </c>
      <c r="H32" s="5">
        <v>19200754</v>
      </c>
      <c r="I32" s="5" t="s">
        <v>151</v>
      </c>
      <c r="J32" s="5" t="s">
        <v>152</v>
      </c>
      <c r="K32" s="5" t="str">
        <f t="shared" si="1"/>
        <v>RICARDO SANTOS</v>
      </c>
      <c r="L32" s="6">
        <v>45946</v>
      </c>
      <c r="M32" s="6">
        <v>46007</v>
      </c>
      <c r="N32" s="7">
        <v>37.43</v>
      </c>
      <c r="O32" s="5">
        <f t="shared" si="2"/>
        <v>2</v>
      </c>
      <c r="P32" s="5" t="s">
        <v>1368</v>
      </c>
      <c r="Q32" s="8">
        <v>0.7</v>
      </c>
      <c r="R32" s="5" t="s">
        <v>83</v>
      </c>
      <c r="S32" s="5" t="s">
        <v>61</v>
      </c>
      <c r="T32" s="7">
        <v>26.2</v>
      </c>
      <c r="U32" s="5" t="s">
        <v>132</v>
      </c>
    </row>
    <row r="33" spans="1:21" s="5" customFormat="1" x14ac:dyDescent="0.25">
      <c r="A33" s="5">
        <v>2032063038</v>
      </c>
      <c r="B33" s="5" t="s">
        <v>878</v>
      </c>
      <c r="C33" s="5" t="s">
        <v>827</v>
      </c>
      <c r="D33" s="5" t="str">
        <f t="shared" si="0"/>
        <v>CHRISTOPHER DIXON</v>
      </c>
      <c r="E33" s="5" t="s">
        <v>357</v>
      </c>
      <c r="F33" s="5" t="s">
        <v>126</v>
      </c>
      <c r="G33" s="5" t="s">
        <v>375</v>
      </c>
      <c r="H33" s="5">
        <v>371819</v>
      </c>
      <c r="I33" s="5" t="s">
        <v>138</v>
      </c>
      <c r="J33" s="5" t="s">
        <v>107</v>
      </c>
      <c r="K33" s="5" t="str">
        <f t="shared" si="1"/>
        <v>THOMAS PARDUE</v>
      </c>
      <c r="L33" s="6">
        <v>45969</v>
      </c>
      <c r="M33" s="6">
        <v>46030</v>
      </c>
      <c r="N33" s="7">
        <v>98.58</v>
      </c>
      <c r="O33" s="5">
        <f t="shared" si="2"/>
        <v>2</v>
      </c>
      <c r="P33" s="5" t="s">
        <v>1368</v>
      </c>
      <c r="Q33" s="8">
        <v>0.9</v>
      </c>
      <c r="R33" s="5" t="s">
        <v>83</v>
      </c>
      <c r="S33" s="5" t="s">
        <v>61</v>
      </c>
      <c r="T33" s="7">
        <v>88.72</v>
      </c>
      <c r="U33" s="5" t="s">
        <v>375</v>
      </c>
    </row>
    <row r="34" spans="1:21" s="5" customFormat="1" x14ac:dyDescent="0.25">
      <c r="A34" s="5">
        <v>2031813173</v>
      </c>
      <c r="B34" s="5" t="s">
        <v>1191</v>
      </c>
      <c r="C34" s="5" t="s">
        <v>248</v>
      </c>
      <c r="D34" s="5" t="str">
        <f t="shared" si="0"/>
        <v>JESSIE MCFARLAND</v>
      </c>
      <c r="E34" s="5" t="s">
        <v>357</v>
      </c>
      <c r="F34" s="5" t="s">
        <v>126</v>
      </c>
      <c r="G34" s="5" t="s">
        <v>375</v>
      </c>
      <c r="H34" s="5">
        <v>371819</v>
      </c>
      <c r="I34" s="5" t="s">
        <v>138</v>
      </c>
      <c r="J34" s="5" t="s">
        <v>107</v>
      </c>
      <c r="K34" s="5" t="str">
        <f t="shared" si="1"/>
        <v>THOMAS PARDUE</v>
      </c>
      <c r="L34" s="6">
        <v>45965</v>
      </c>
      <c r="M34" s="6">
        <v>46026</v>
      </c>
      <c r="N34" s="7">
        <v>23.21</v>
      </c>
      <c r="O34" s="5">
        <f t="shared" si="2"/>
        <v>2</v>
      </c>
      <c r="P34" s="5" t="s">
        <v>1368</v>
      </c>
      <c r="Q34" s="8">
        <v>0.9</v>
      </c>
      <c r="R34" s="5" t="s">
        <v>83</v>
      </c>
      <c r="S34" s="5" t="s">
        <v>61</v>
      </c>
      <c r="T34" s="7">
        <v>20.89</v>
      </c>
      <c r="U34" s="5" t="s">
        <v>375</v>
      </c>
    </row>
    <row r="35" spans="1:21" s="5" customFormat="1" x14ac:dyDescent="0.25">
      <c r="A35" s="5">
        <v>2032033829</v>
      </c>
      <c r="B35" s="5" t="s">
        <v>1201</v>
      </c>
      <c r="C35" s="5" t="s">
        <v>137</v>
      </c>
      <c r="D35" s="5" t="str">
        <f t="shared" si="0"/>
        <v>JAMES GATES</v>
      </c>
      <c r="E35" s="5" t="s">
        <v>102</v>
      </c>
      <c r="F35" s="5" t="s">
        <v>126</v>
      </c>
      <c r="G35" s="5" t="s">
        <v>375</v>
      </c>
      <c r="H35" s="5">
        <v>20490188</v>
      </c>
      <c r="I35" s="5" t="s">
        <v>1202</v>
      </c>
      <c r="J35" s="5" t="s">
        <v>1203</v>
      </c>
      <c r="K35" s="5" t="str">
        <f t="shared" si="1"/>
        <v>Tom Serio</v>
      </c>
      <c r="L35" s="6">
        <v>45968</v>
      </c>
      <c r="M35" s="6">
        <v>46029</v>
      </c>
      <c r="N35" s="7">
        <v>112.92</v>
      </c>
      <c r="O35" s="5">
        <f t="shared" si="2"/>
        <v>2</v>
      </c>
      <c r="P35" s="5" t="s">
        <v>1368</v>
      </c>
      <c r="Q35" s="8">
        <v>0.9</v>
      </c>
      <c r="R35" s="5" t="s">
        <v>83</v>
      </c>
      <c r="S35" s="5" t="s">
        <v>61</v>
      </c>
      <c r="T35" s="7">
        <v>101.63</v>
      </c>
      <c r="U35" s="5" t="s">
        <v>375</v>
      </c>
    </row>
    <row r="36" spans="1:21" s="5" customFormat="1" x14ac:dyDescent="0.25">
      <c r="A36" s="5">
        <v>2032033581</v>
      </c>
      <c r="B36" s="5" t="s">
        <v>1201</v>
      </c>
      <c r="C36" s="5" t="s">
        <v>789</v>
      </c>
      <c r="D36" s="5" t="str">
        <f t="shared" si="0"/>
        <v>SARAH GATES</v>
      </c>
      <c r="E36" s="5" t="s">
        <v>102</v>
      </c>
      <c r="F36" s="5" t="s">
        <v>126</v>
      </c>
      <c r="G36" s="5" t="s">
        <v>375</v>
      </c>
      <c r="H36" s="5">
        <v>20490188</v>
      </c>
      <c r="I36" s="5" t="s">
        <v>1202</v>
      </c>
      <c r="J36" s="5" t="s">
        <v>1203</v>
      </c>
      <c r="K36" s="5" t="str">
        <f t="shared" si="1"/>
        <v>Tom Serio</v>
      </c>
      <c r="L36" s="6">
        <v>45968</v>
      </c>
      <c r="M36" s="6">
        <v>46029</v>
      </c>
      <c r="N36" s="7">
        <v>44.71</v>
      </c>
      <c r="O36" s="5">
        <f t="shared" si="2"/>
        <v>2</v>
      </c>
      <c r="P36" s="5" t="s">
        <v>1368</v>
      </c>
      <c r="Q36" s="8">
        <v>0.9</v>
      </c>
      <c r="R36" s="5" t="s">
        <v>83</v>
      </c>
      <c r="S36" s="5" t="s">
        <v>61</v>
      </c>
      <c r="T36" s="7">
        <v>40.24</v>
      </c>
      <c r="U36" s="5" t="s">
        <v>375</v>
      </c>
    </row>
    <row r="37" spans="1:21" s="5" customFormat="1" x14ac:dyDescent="0.25">
      <c r="A37" s="5">
        <v>2031501468</v>
      </c>
      <c r="B37" s="5" t="s">
        <v>1176</v>
      </c>
      <c r="C37" s="5" t="s">
        <v>530</v>
      </c>
      <c r="D37" s="5" t="str">
        <f t="shared" si="0"/>
        <v>NICOLE DENOFRIO</v>
      </c>
      <c r="E37" s="5" t="s">
        <v>102</v>
      </c>
      <c r="F37" s="5" t="s">
        <v>126</v>
      </c>
      <c r="G37" s="5" t="s">
        <v>132</v>
      </c>
      <c r="H37" s="5">
        <v>16912722</v>
      </c>
      <c r="I37" s="5" t="s">
        <v>206</v>
      </c>
      <c r="J37" s="5" t="s">
        <v>207</v>
      </c>
      <c r="K37" s="5" t="str">
        <f t="shared" si="1"/>
        <v>ANDREA PETRUNGARO</v>
      </c>
      <c r="L37" s="6">
        <v>45938</v>
      </c>
      <c r="M37" s="6">
        <v>46030</v>
      </c>
      <c r="N37" s="7">
        <v>96</v>
      </c>
      <c r="O37" s="5">
        <f t="shared" si="2"/>
        <v>3</v>
      </c>
      <c r="P37" s="5" t="s">
        <v>1368</v>
      </c>
      <c r="Q37" s="8">
        <v>0.7</v>
      </c>
      <c r="R37" s="5" t="s">
        <v>83</v>
      </c>
      <c r="S37" s="5" t="s">
        <v>61</v>
      </c>
      <c r="T37" s="7">
        <v>67.2</v>
      </c>
      <c r="U37" s="5" t="s">
        <v>132</v>
      </c>
    </row>
    <row r="38" spans="1:21" s="5" customFormat="1" x14ac:dyDescent="0.25">
      <c r="A38" s="5">
        <v>2031328823</v>
      </c>
      <c r="B38" s="5" t="s">
        <v>1169</v>
      </c>
      <c r="C38" s="5" t="s">
        <v>63</v>
      </c>
      <c r="D38" s="5" t="str">
        <f t="shared" si="0"/>
        <v>RICHARD BRUNNER</v>
      </c>
      <c r="E38" s="5" t="s">
        <v>102</v>
      </c>
      <c r="F38" s="5" t="s">
        <v>126</v>
      </c>
      <c r="G38" s="5" t="s">
        <v>132</v>
      </c>
      <c r="H38" s="5">
        <v>19586992</v>
      </c>
      <c r="I38" s="5" t="s">
        <v>92</v>
      </c>
      <c r="J38" s="5" t="s">
        <v>93</v>
      </c>
      <c r="K38" s="5" t="str">
        <f t="shared" si="1"/>
        <v>Barry Schumann</v>
      </c>
      <c r="L38" s="6">
        <v>45936</v>
      </c>
      <c r="M38" s="6">
        <v>46028</v>
      </c>
      <c r="N38" s="7">
        <v>212.26</v>
      </c>
      <c r="O38" s="5">
        <f t="shared" si="2"/>
        <v>3</v>
      </c>
      <c r="P38" s="5" t="s">
        <v>1368</v>
      </c>
      <c r="Q38" s="8">
        <v>0.7</v>
      </c>
      <c r="R38" s="5" t="s">
        <v>83</v>
      </c>
      <c r="S38" s="5" t="s">
        <v>61</v>
      </c>
      <c r="T38" s="7">
        <v>148.58000000000001</v>
      </c>
      <c r="U38" s="5" t="s">
        <v>132</v>
      </c>
    </row>
    <row r="39" spans="1:21" s="5" customFormat="1" x14ac:dyDescent="0.25">
      <c r="A39" s="5">
        <v>2031474832</v>
      </c>
      <c r="B39" s="5" t="s">
        <v>1174</v>
      </c>
      <c r="C39" s="5" t="s">
        <v>1175</v>
      </c>
      <c r="D39" s="5" t="str">
        <f t="shared" si="0"/>
        <v>GUADALUPE SANCHEZ</v>
      </c>
      <c r="E39" s="5" t="s">
        <v>102</v>
      </c>
      <c r="F39" s="5" t="s">
        <v>126</v>
      </c>
      <c r="G39" s="5" t="s">
        <v>132</v>
      </c>
      <c r="H39" s="5">
        <v>19586992</v>
      </c>
      <c r="I39" s="5" t="s">
        <v>92</v>
      </c>
      <c r="J39" s="5" t="s">
        <v>93</v>
      </c>
      <c r="K39" s="5" t="str">
        <f t="shared" si="1"/>
        <v>Barry Schumann</v>
      </c>
      <c r="L39" s="6">
        <v>45937</v>
      </c>
      <c r="M39" s="6">
        <v>46029</v>
      </c>
      <c r="N39" s="7">
        <v>42.36</v>
      </c>
      <c r="O39" s="5">
        <f t="shared" si="2"/>
        <v>3</v>
      </c>
      <c r="P39" s="5" t="s">
        <v>1368</v>
      </c>
      <c r="Q39" s="8">
        <v>0.7</v>
      </c>
      <c r="R39" s="5" t="s">
        <v>83</v>
      </c>
      <c r="S39" s="5" t="s">
        <v>61</v>
      </c>
      <c r="T39" s="7">
        <v>29.65</v>
      </c>
      <c r="U39" s="5" t="s">
        <v>132</v>
      </c>
    </row>
    <row r="40" spans="1:21" s="5" customFormat="1" x14ac:dyDescent="0.25">
      <c r="A40" s="5">
        <v>2031523386</v>
      </c>
      <c r="B40" s="5" t="s">
        <v>692</v>
      </c>
      <c r="C40" s="5" t="s">
        <v>279</v>
      </c>
      <c r="D40" s="5" t="str">
        <f t="shared" si="0"/>
        <v>ERIC GERMAIN</v>
      </c>
      <c r="E40" s="5" t="s">
        <v>200</v>
      </c>
      <c r="F40" s="5" t="s">
        <v>126</v>
      </c>
      <c r="G40" s="5" t="s">
        <v>164</v>
      </c>
      <c r="H40" s="5">
        <v>16865615</v>
      </c>
      <c r="I40" s="5" t="s">
        <v>201</v>
      </c>
      <c r="J40" s="5" t="s">
        <v>202</v>
      </c>
      <c r="K40" s="5" t="str">
        <f t="shared" si="1"/>
        <v>Heather Geske</v>
      </c>
      <c r="L40" s="6">
        <v>45939</v>
      </c>
      <c r="M40" s="6">
        <v>46031</v>
      </c>
      <c r="N40" s="7">
        <v>6.3</v>
      </c>
      <c r="O40" s="5">
        <f t="shared" si="2"/>
        <v>3</v>
      </c>
      <c r="P40" s="5" t="s">
        <v>1368</v>
      </c>
      <c r="Q40" s="8">
        <v>0.7</v>
      </c>
      <c r="R40" s="5" t="s">
        <v>83</v>
      </c>
      <c r="S40" s="5" t="s">
        <v>61</v>
      </c>
      <c r="T40" s="7">
        <v>4.41</v>
      </c>
      <c r="U40" s="5" t="s">
        <v>127</v>
      </c>
    </row>
    <row r="41" spans="1:21" s="5" customFormat="1" x14ac:dyDescent="0.25">
      <c r="A41" s="5">
        <v>2031523388</v>
      </c>
      <c r="B41" s="5" t="s">
        <v>692</v>
      </c>
      <c r="C41" s="5" t="s">
        <v>279</v>
      </c>
      <c r="D41" s="5" t="str">
        <f t="shared" si="0"/>
        <v>ERIC GERMAIN</v>
      </c>
      <c r="E41" s="5" t="s">
        <v>200</v>
      </c>
      <c r="F41" s="5" t="s">
        <v>365</v>
      </c>
      <c r="G41" s="5" t="s">
        <v>370</v>
      </c>
      <c r="H41" s="5">
        <v>16865615</v>
      </c>
      <c r="I41" s="5" t="s">
        <v>201</v>
      </c>
      <c r="J41" s="5" t="s">
        <v>202</v>
      </c>
      <c r="K41" s="5" t="str">
        <f t="shared" si="1"/>
        <v>Heather Geske</v>
      </c>
      <c r="L41" s="6">
        <v>45939</v>
      </c>
      <c r="M41" s="6">
        <v>46031</v>
      </c>
      <c r="N41" s="7">
        <v>432.86</v>
      </c>
      <c r="O41" s="5">
        <f t="shared" si="2"/>
        <v>3</v>
      </c>
      <c r="P41" s="5" t="s">
        <v>1368</v>
      </c>
      <c r="Q41" s="8">
        <v>0.38</v>
      </c>
      <c r="R41" s="5" t="s">
        <v>83</v>
      </c>
      <c r="S41" s="5" t="s">
        <v>61</v>
      </c>
      <c r="T41" s="7">
        <v>164.49</v>
      </c>
      <c r="U41" s="5" t="s">
        <v>370</v>
      </c>
    </row>
    <row r="42" spans="1:21" s="5" customFormat="1" x14ac:dyDescent="0.25">
      <c r="A42" s="5">
        <v>2031523387</v>
      </c>
      <c r="B42" s="5" t="s">
        <v>692</v>
      </c>
      <c r="C42" s="5" t="s">
        <v>279</v>
      </c>
      <c r="D42" s="5" t="str">
        <f t="shared" si="0"/>
        <v>ERIC GERMAIN</v>
      </c>
      <c r="E42" s="5" t="s">
        <v>200</v>
      </c>
      <c r="F42" s="5" t="s">
        <v>75</v>
      </c>
      <c r="G42" s="5" t="s">
        <v>739</v>
      </c>
      <c r="H42" s="5">
        <v>16865615</v>
      </c>
      <c r="I42" s="5" t="s">
        <v>201</v>
      </c>
      <c r="J42" s="5" t="s">
        <v>202</v>
      </c>
      <c r="K42" s="5" t="str">
        <f t="shared" si="1"/>
        <v>Heather Geske</v>
      </c>
      <c r="L42" s="6">
        <v>45939</v>
      </c>
      <c r="M42" s="6">
        <v>46031</v>
      </c>
      <c r="N42" s="7">
        <v>63.48</v>
      </c>
      <c r="O42" s="5">
        <f t="shared" si="2"/>
        <v>3</v>
      </c>
      <c r="P42" s="5" t="s">
        <v>1368</v>
      </c>
      <c r="Q42" s="8">
        <v>0.65</v>
      </c>
      <c r="R42" s="5" t="s">
        <v>83</v>
      </c>
      <c r="S42" s="5" t="s">
        <v>61</v>
      </c>
      <c r="T42" s="7">
        <v>41.26</v>
      </c>
      <c r="U42" s="5" t="s">
        <v>1380</v>
      </c>
    </row>
    <row r="43" spans="1:21" s="5" customFormat="1" x14ac:dyDescent="0.25">
      <c r="A43" s="5">
        <v>2031523389</v>
      </c>
      <c r="B43" s="5" t="s">
        <v>692</v>
      </c>
      <c r="C43" s="5" t="s">
        <v>279</v>
      </c>
      <c r="D43" s="5" t="str">
        <f t="shared" si="0"/>
        <v>ERIC GERMAIN</v>
      </c>
      <c r="E43" s="5" t="s">
        <v>200</v>
      </c>
      <c r="F43" s="5" t="s">
        <v>126</v>
      </c>
      <c r="G43" s="5" t="s">
        <v>132</v>
      </c>
      <c r="H43" s="5">
        <v>16865615</v>
      </c>
      <c r="I43" s="5" t="s">
        <v>201</v>
      </c>
      <c r="J43" s="5" t="s">
        <v>202</v>
      </c>
      <c r="K43" s="5" t="str">
        <f t="shared" si="1"/>
        <v>Heather Geske</v>
      </c>
      <c r="L43" s="6">
        <v>45939</v>
      </c>
      <c r="M43" s="6">
        <v>46031</v>
      </c>
      <c r="N43" s="7">
        <v>9.1</v>
      </c>
      <c r="O43" s="5">
        <f t="shared" si="2"/>
        <v>3</v>
      </c>
      <c r="P43" s="5" t="s">
        <v>1368</v>
      </c>
      <c r="Q43" s="8">
        <v>0.7</v>
      </c>
      <c r="R43" s="5" t="s">
        <v>83</v>
      </c>
      <c r="S43" s="5" t="s">
        <v>61</v>
      </c>
      <c r="T43" s="7">
        <v>6.37</v>
      </c>
      <c r="U43" s="5" t="s">
        <v>132</v>
      </c>
    </row>
    <row r="44" spans="1:21" s="5" customFormat="1" x14ac:dyDescent="0.25">
      <c r="A44" s="5">
        <v>2031569265</v>
      </c>
      <c r="B44" s="5" t="s">
        <v>1180</v>
      </c>
      <c r="C44" s="5" t="s">
        <v>1181</v>
      </c>
      <c r="D44" s="5" t="str">
        <f t="shared" si="0"/>
        <v>ETHAN LOIGEROT</v>
      </c>
      <c r="E44" s="5" t="s">
        <v>389</v>
      </c>
      <c r="F44" s="5" t="s">
        <v>126</v>
      </c>
      <c r="G44" s="5" t="s">
        <v>132</v>
      </c>
      <c r="H44" s="5" t="s">
        <v>1391</v>
      </c>
      <c r="I44" s="5" t="s">
        <v>145</v>
      </c>
      <c r="J44" s="5" t="s">
        <v>146</v>
      </c>
      <c r="K44" s="5" t="str">
        <f t="shared" si="1"/>
        <v>Jake Shulman</v>
      </c>
      <c r="L44" s="6">
        <v>45941</v>
      </c>
      <c r="M44" s="6">
        <v>46033</v>
      </c>
      <c r="N44" s="7">
        <v>56.5</v>
      </c>
      <c r="O44" s="5">
        <f t="shared" si="2"/>
        <v>3</v>
      </c>
      <c r="P44" s="5" t="s">
        <v>1368</v>
      </c>
      <c r="Q44" s="8">
        <v>0.7</v>
      </c>
      <c r="R44" s="5" t="s">
        <v>83</v>
      </c>
      <c r="S44" s="5" t="s">
        <v>61</v>
      </c>
      <c r="T44" s="7">
        <v>39.549999999999997</v>
      </c>
      <c r="U44" s="5" t="s">
        <v>132</v>
      </c>
    </row>
    <row r="45" spans="1:21" s="5" customFormat="1" x14ac:dyDescent="0.25">
      <c r="A45" s="5">
        <v>2031106354</v>
      </c>
      <c r="B45" s="5" t="s">
        <v>603</v>
      </c>
      <c r="C45" s="5" t="s">
        <v>604</v>
      </c>
      <c r="D45" s="5" t="str">
        <f t="shared" si="0"/>
        <v>DORCAS MATTHEW-GEORGE</v>
      </c>
      <c r="E45" s="5" t="s">
        <v>97</v>
      </c>
      <c r="F45" s="5" t="s">
        <v>86</v>
      </c>
      <c r="G45" s="5" t="s">
        <v>87</v>
      </c>
      <c r="H45" s="5">
        <v>21421111</v>
      </c>
      <c r="I45" s="5" t="s">
        <v>534</v>
      </c>
      <c r="J45" s="5" t="s">
        <v>535</v>
      </c>
      <c r="K45" s="5" t="str">
        <f t="shared" si="1"/>
        <v>Kirk Tigue</v>
      </c>
      <c r="L45" s="6">
        <v>45932</v>
      </c>
      <c r="M45" s="6">
        <v>46024</v>
      </c>
      <c r="N45" s="7">
        <v>33.39</v>
      </c>
      <c r="O45" s="5">
        <f t="shared" si="2"/>
        <v>3</v>
      </c>
      <c r="P45" s="5" t="s">
        <v>1368</v>
      </c>
      <c r="Q45" s="9">
        <v>0.375</v>
      </c>
      <c r="R45" s="5" t="s">
        <v>83</v>
      </c>
      <c r="S45" s="5" t="s">
        <v>61</v>
      </c>
      <c r="T45" s="7">
        <v>12.52</v>
      </c>
      <c r="U45" s="5" t="s">
        <v>87</v>
      </c>
    </row>
    <row r="46" spans="1:21" s="5" customFormat="1" x14ac:dyDescent="0.25">
      <c r="A46" s="5">
        <v>2031410719</v>
      </c>
      <c r="B46" s="5" t="s">
        <v>1334</v>
      </c>
      <c r="C46" s="5" t="s">
        <v>397</v>
      </c>
      <c r="D46" s="5" t="str">
        <f t="shared" si="0"/>
        <v>MATTHEW GOOTEE</v>
      </c>
      <c r="E46" s="5" t="s">
        <v>308</v>
      </c>
      <c r="F46" s="5" t="s">
        <v>169</v>
      </c>
      <c r="G46" s="5" t="s">
        <v>170</v>
      </c>
      <c r="H46" s="5">
        <v>20724564</v>
      </c>
      <c r="I46" s="5" t="s">
        <v>310</v>
      </c>
      <c r="J46" s="5" t="s">
        <v>311</v>
      </c>
      <c r="K46" s="5" t="str">
        <f t="shared" si="1"/>
        <v>Marsha Sanderock</v>
      </c>
      <c r="L46" s="6">
        <v>45933</v>
      </c>
      <c r="M46" s="6">
        <v>46025</v>
      </c>
      <c r="N46" s="7">
        <v>59.02</v>
      </c>
      <c r="O46" s="5">
        <f t="shared" si="2"/>
        <v>3</v>
      </c>
      <c r="P46" s="5" t="s">
        <v>1368</v>
      </c>
      <c r="Q46" s="8">
        <v>0.47</v>
      </c>
      <c r="R46" s="5" t="s">
        <v>83</v>
      </c>
      <c r="S46" s="5" t="s">
        <v>61</v>
      </c>
      <c r="T46" s="7">
        <v>27.74</v>
      </c>
      <c r="U46" s="5" t="s">
        <v>170</v>
      </c>
    </row>
    <row r="47" spans="1:21" s="5" customFormat="1" x14ac:dyDescent="0.25">
      <c r="A47" s="5">
        <v>2031526094</v>
      </c>
      <c r="B47" s="5" t="s">
        <v>612</v>
      </c>
      <c r="C47" s="5" t="s">
        <v>551</v>
      </c>
      <c r="D47" s="5" t="str">
        <f t="shared" si="0"/>
        <v>JENNIFER BRATTON</v>
      </c>
      <c r="E47" s="5" t="s">
        <v>308</v>
      </c>
      <c r="F47" s="5" t="s">
        <v>126</v>
      </c>
      <c r="G47" s="5" t="s">
        <v>132</v>
      </c>
      <c r="H47" s="5">
        <v>20724564</v>
      </c>
      <c r="I47" s="5" t="s">
        <v>310</v>
      </c>
      <c r="J47" s="5" t="s">
        <v>311</v>
      </c>
      <c r="K47" s="5" t="str">
        <f t="shared" si="1"/>
        <v>Marsha Sanderock</v>
      </c>
      <c r="L47" s="6">
        <v>45939</v>
      </c>
      <c r="M47" s="6">
        <v>46031</v>
      </c>
      <c r="N47" s="7">
        <v>3.52</v>
      </c>
      <c r="O47" s="5">
        <f t="shared" si="2"/>
        <v>3</v>
      </c>
      <c r="P47" s="5" t="s">
        <v>1368</v>
      </c>
      <c r="Q47" s="8">
        <v>0.7</v>
      </c>
      <c r="R47" s="5" t="s">
        <v>83</v>
      </c>
      <c r="S47" s="5" t="s">
        <v>61</v>
      </c>
      <c r="T47" s="7">
        <v>2.46</v>
      </c>
      <c r="U47" s="5" t="s">
        <v>132</v>
      </c>
    </row>
    <row r="48" spans="1:21" s="5" customFormat="1" x14ac:dyDescent="0.25">
      <c r="A48" s="5">
        <v>2031526095</v>
      </c>
      <c r="B48" s="5" t="s">
        <v>612</v>
      </c>
      <c r="C48" s="5" t="s">
        <v>551</v>
      </c>
      <c r="D48" s="5" t="str">
        <f t="shared" si="0"/>
        <v>JENNIFER BRATTON</v>
      </c>
      <c r="E48" s="5" t="s">
        <v>308</v>
      </c>
      <c r="F48" s="5" t="s">
        <v>86</v>
      </c>
      <c r="G48" s="5" t="s">
        <v>87</v>
      </c>
      <c r="H48" s="5">
        <v>20724564</v>
      </c>
      <c r="I48" s="5" t="s">
        <v>310</v>
      </c>
      <c r="J48" s="5" t="s">
        <v>311</v>
      </c>
      <c r="K48" s="5" t="str">
        <f t="shared" si="1"/>
        <v>Marsha Sanderock</v>
      </c>
      <c r="L48" s="6">
        <v>45939</v>
      </c>
      <c r="M48" s="6">
        <v>46031</v>
      </c>
      <c r="N48" s="7">
        <v>48.15</v>
      </c>
      <c r="O48" s="5">
        <f t="shared" si="2"/>
        <v>3</v>
      </c>
      <c r="P48" s="5" t="s">
        <v>1368</v>
      </c>
      <c r="Q48" s="9">
        <v>0.375</v>
      </c>
      <c r="R48" s="5" t="s">
        <v>83</v>
      </c>
      <c r="S48" s="5" t="s">
        <v>61</v>
      </c>
      <c r="T48" s="7">
        <v>18.059999999999999</v>
      </c>
      <c r="U48" s="5" t="s">
        <v>87</v>
      </c>
    </row>
    <row r="49" spans="1:21" s="5" customFormat="1" x14ac:dyDescent="0.25">
      <c r="A49" s="5">
        <v>2031568599</v>
      </c>
      <c r="B49" s="5" t="s">
        <v>1178</v>
      </c>
      <c r="C49" s="5" t="s">
        <v>1179</v>
      </c>
      <c r="D49" s="5" t="str">
        <f t="shared" si="0"/>
        <v>KHATANBAATAR OTGON</v>
      </c>
      <c r="E49" s="5" t="s">
        <v>102</v>
      </c>
      <c r="F49" s="5" t="s">
        <v>126</v>
      </c>
      <c r="G49" s="5" t="s">
        <v>132</v>
      </c>
      <c r="H49" s="5">
        <v>20220688</v>
      </c>
      <c r="I49" s="5" t="s">
        <v>418</v>
      </c>
      <c r="J49" s="5" t="s">
        <v>419</v>
      </c>
      <c r="K49" s="5" t="str">
        <f t="shared" si="1"/>
        <v>NASANDELGER ZANA</v>
      </c>
      <c r="L49" s="6">
        <v>45941</v>
      </c>
      <c r="M49" s="6">
        <v>46033</v>
      </c>
      <c r="N49" s="7">
        <v>95.92</v>
      </c>
      <c r="O49" s="5">
        <f t="shared" si="2"/>
        <v>3</v>
      </c>
      <c r="P49" s="5" t="s">
        <v>1368</v>
      </c>
      <c r="Q49" s="8">
        <v>0.7</v>
      </c>
      <c r="R49" s="5" t="s">
        <v>83</v>
      </c>
      <c r="S49" s="5" t="s">
        <v>61</v>
      </c>
      <c r="T49" s="7">
        <v>67.14</v>
      </c>
      <c r="U49" s="5" t="s">
        <v>132</v>
      </c>
    </row>
    <row r="50" spans="1:21" s="5" customFormat="1" x14ac:dyDescent="0.25">
      <c r="A50" s="5">
        <v>2031574197</v>
      </c>
      <c r="B50" s="5" t="s">
        <v>1182</v>
      </c>
      <c r="C50" s="5" t="s">
        <v>1183</v>
      </c>
      <c r="D50" s="5" t="str">
        <f t="shared" si="0"/>
        <v>NARMANDAKH BATTULGA</v>
      </c>
      <c r="E50" s="5" t="s">
        <v>102</v>
      </c>
      <c r="F50" s="5" t="s">
        <v>126</v>
      </c>
      <c r="G50" s="5" t="s">
        <v>132</v>
      </c>
      <c r="H50" s="5">
        <v>20220688</v>
      </c>
      <c r="I50" s="5" t="s">
        <v>418</v>
      </c>
      <c r="J50" s="5" t="s">
        <v>419</v>
      </c>
      <c r="K50" s="5" t="str">
        <f t="shared" si="1"/>
        <v>NASANDELGER ZANA</v>
      </c>
      <c r="L50" s="6">
        <v>45941</v>
      </c>
      <c r="M50" s="6">
        <v>46033</v>
      </c>
      <c r="N50" s="7">
        <v>42.36</v>
      </c>
      <c r="O50" s="5">
        <f t="shared" si="2"/>
        <v>3</v>
      </c>
      <c r="P50" s="5" t="s">
        <v>1368</v>
      </c>
      <c r="Q50" s="8">
        <v>0.7</v>
      </c>
      <c r="R50" s="5" t="s">
        <v>83</v>
      </c>
      <c r="S50" s="5" t="s">
        <v>61</v>
      </c>
      <c r="T50" s="7">
        <v>29.65</v>
      </c>
      <c r="U50" s="5" t="s">
        <v>132</v>
      </c>
    </row>
    <row r="51" spans="1:21" s="5" customFormat="1" x14ac:dyDescent="0.25">
      <c r="A51" s="5">
        <v>2031492464</v>
      </c>
      <c r="B51" s="5" t="s">
        <v>611</v>
      </c>
      <c r="C51" s="5" t="s">
        <v>328</v>
      </c>
      <c r="D51" s="5" t="str">
        <f t="shared" si="0"/>
        <v>SHARON MULLOY</v>
      </c>
      <c r="E51" s="5" t="s">
        <v>395</v>
      </c>
      <c r="F51" s="5" t="s">
        <v>75</v>
      </c>
      <c r="G51" s="5" t="s">
        <v>243</v>
      </c>
      <c r="H51" s="5">
        <v>16633294</v>
      </c>
      <c r="I51" s="5" t="s">
        <v>257</v>
      </c>
      <c r="J51" s="5" t="s">
        <v>258</v>
      </c>
      <c r="K51" s="5" t="str">
        <f t="shared" si="1"/>
        <v>Richard Yale</v>
      </c>
      <c r="L51" s="6">
        <v>45938</v>
      </c>
      <c r="M51" s="6">
        <v>46030</v>
      </c>
      <c r="N51" s="7">
        <v>71.63</v>
      </c>
      <c r="O51" s="5">
        <f t="shared" si="2"/>
        <v>3</v>
      </c>
      <c r="P51" s="5" t="s">
        <v>1368</v>
      </c>
      <c r="Q51" s="8">
        <v>0.75</v>
      </c>
      <c r="R51" s="5" t="s">
        <v>83</v>
      </c>
      <c r="S51" s="5" t="s">
        <v>61</v>
      </c>
      <c r="T51" s="7">
        <v>53.72</v>
      </c>
      <c r="U51" s="5" t="s">
        <v>1371</v>
      </c>
    </row>
    <row r="52" spans="1:21" s="5" customFormat="1" x14ac:dyDescent="0.25">
      <c r="A52" s="5">
        <v>2031492463</v>
      </c>
      <c r="B52" s="5" t="s">
        <v>611</v>
      </c>
      <c r="C52" s="5" t="s">
        <v>328</v>
      </c>
      <c r="D52" s="5" t="str">
        <f t="shared" si="0"/>
        <v>SHARON MULLOY</v>
      </c>
      <c r="E52" s="5" t="s">
        <v>395</v>
      </c>
      <c r="F52" s="5" t="s">
        <v>126</v>
      </c>
      <c r="G52" s="5" t="s">
        <v>132</v>
      </c>
      <c r="H52" s="5">
        <v>16633294</v>
      </c>
      <c r="I52" s="5" t="s">
        <v>257</v>
      </c>
      <c r="J52" s="5" t="s">
        <v>258</v>
      </c>
      <c r="K52" s="5" t="str">
        <f t="shared" si="1"/>
        <v>Richard Yale</v>
      </c>
      <c r="L52" s="6">
        <v>45938</v>
      </c>
      <c r="M52" s="6">
        <v>46030</v>
      </c>
      <c r="N52" s="7">
        <v>101.99</v>
      </c>
      <c r="O52" s="5">
        <f t="shared" si="2"/>
        <v>3</v>
      </c>
      <c r="P52" s="5" t="s">
        <v>1368</v>
      </c>
      <c r="Q52" s="8">
        <v>0.7</v>
      </c>
      <c r="R52" s="5" t="s">
        <v>83</v>
      </c>
      <c r="S52" s="5" t="s">
        <v>61</v>
      </c>
      <c r="T52" s="7">
        <v>71.39</v>
      </c>
      <c r="U52" s="5" t="s">
        <v>132</v>
      </c>
    </row>
    <row r="53" spans="1:21" s="5" customFormat="1" x14ac:dyDescent="0.25">
      <c r="A53" s="5">
        <v>2031492462</v>
      </c>
      <c r="B53" s="5" t="s">
        <v>611</v>
      </c>
      <c r="C53" s="5" t="s">
        <v>328</v>
      </c>
      <c r="D53" s="5" t="str">
        <f t="shared" si="0"/>
        <v>SHARON MULLOY</v>
      </c>
      <c r="E53" s="5" t="s">
        <v>395</v>
      </c>
      <c r="F53" s="5" t="s">
        <v>86</v>
      </c>
      <c r="G53" s="5" t="s">
        <v>87</v>
      </c>
      <c r="H53" s="5">
        <v>16633294</v>
      </c>
      <c r="I53" s="5" t="s">
        <v>257</v>
      </c>
      <c r="J53" s="5" t="s">
        <v>258</v>
      </c>
      <c r="K53" s="5" t="str">
        <f t="shared" si="1"/>
        <v>Richard Yale</v>
      </c>
      <c r="L53" s="6">
        <v>45938</v>
      </c>
      <c r="M53" s="6">
        <v>46030</v>
      </c>
      <c r="N53" s="7">
        <v>88.69</v>
      </c>
      <c r="O53" s="5">
        <f t="shared" si="2"/>
        <v>3</v>
      </c>
      <c r="P53" s="5" t="s">
        <v>1368</v>
      </c>
      <c r="Q53" s="9">
        <v>0.375</v>
      </c>
      <c r="R53" s="5" t="s">
        <v>83</v>
      </c>
      <c r="S53" s="5" t="s">
        <v>61</v>
      </c>
      <c r="T53" s="7">
        <v>33.26</v>
      </c>
      <c r="U53" s="5" t="s">
        <v>87</v>
      </c>
    </row>
    <row r="54" spans="1:21" s="5" customFormat="1" x14ac:dyDescent="0.25">
      <c r="A54" s="5">
        <v>2031361277</v>
      </c>
      <c r="B54" s="5" t="s">
        <v>100</v>
      </c>
      <c r="C54" s="5" t="s">
        <v>101</v>
      </c>
      <c r="D54" s="5" t="str">
        <f t="shared" si="0"/>
        <v>JULIE SOMMESE</v>
      </c>
      <c r="E54" s="5" t="s">
        <v>102</v>
      </c>
      <c r="F54" s="5" t="s">
        <v>126</v>
      </c>
      <c r="G54" s="5" t="s">
        <v>132</v>
      </c>
      <c r="H54" s="5">
        <v>17126004</v>
      </c>
      <c r="I54" s="5" t="s">
        <v>103</v>
      </c>
      <c r="J54" s="5" t="s">
        <v>104</v>
      </c>
      <c r="K54" s="5" t="str">
        <f t="shared" si="1"/>
        <v>Stephanie Drapac</v>
      </c>
      <c r="L54" s="6">
        <v>45931</v>
      </c>
      <c r="M54" s="6">
        <v>46023</v>
      </c>
      <c r="N54" s="7">
        <v>-88.96</v>
      </c>
      <c r="O54" s="5">
        <f t="shared" si="2"/>
        <v>3</v>
      </c>
      <c r="P54" s="5" t="s">
        <v>1368</v>
      </c>
      <c r="Q54" s="8">
        <v>0.7</v>
      </c>
      <c r="R54" s="5" t="s">
        <v>83</v>
      </c>
      <c r="S54" s="5" t="s">
        <v>61</v>
      </c>
      <c r="T54" s="7">
        <v>-62.27</v>
      </c>
      <c r="U54" s="5" t="s">
        <v>132</v>
      </c>
    </row>
    <row r="55" spans="1:21" s="5" customFormat="1" x14ac:dyDescent="0.25">
      <c r="A55" s="5">
        <v>2031361276</v>
      </c>
      <c r="B55" s="5" t="s">
        <v>100</v>
      </c>
      <c r="C55" s="5" t="s">
        <v>101</v>
      </c>
      <c r="D55" s="5" t="str">
        <f t="shared" si="0"/>
        <v>JULIE SOMMESE</v>
      </c>
      <c r="E55" s="5" t="s">
        <v>102</v>
      </c>
      <c r="F55" s="5" t="s">
        <v>86</v>
      </c>
      <c r="G55" s="5" t="s">
        <v>87</v>
      </c>
      <c r="H55" s="5">
        <v>17126004</v>
      </c>
      <c r="I55" s="5" t="s">
        <v>103</v>
      </c>
      <c r="J55" s="5" t="s">
        <v>104</v>
      </c>
      <c r="K55" s="5" t="str">
        <f t="shared" si="1"/>
        <v>Stephanie Drapac</v>
      </c>
      <c r="L55" s="6">
        <v>45931</v>
      </c>
      <c r="M55" s="6">
        <v>46023</v>
      </c>
      <c r="N55" s="7">
        <v>-53.87</v>
      </c>
      <c r="O55" s="5">
        <f t="shared" si="2"/>
        <v>3</v>
      </c>
      <c r="P55" s="5" t="s">
        <v>1368</v>
      </c>
      <c r="Q55" s="9">
        <v>0.375</v>
      </c>
      <c r="R55" s="5" t="s">
        <v>83</v>
      </c>
      <c r="S55" s="5" t="s">
        <v>61</v>
      </c>
      <c r="T55" s="7">
        <v>-20.2</v>
      </c>
      <c r="U55" s="5" t="s">
        <v>87</v>
      </c>
    </row>
    <row r="56" spans="1:21" s="5" customFormat="1" x14ac:dyDescent="0.25">
      <c r="A56" s="5">
        <v>2031463660</v>
      </c>
      <c r="B56" s="5" t="s">
        <v>484</v>
      </c>
      <c r="C56" s="5" t="s">
        <v>1053</v>
      </c>
      <c r="D56" s="5" t="str">
        <f t="shared" si="0"/>
        <v>RITA MOORE</v>
      </c>
      <c r="E56" s="5" t="s">
        <v>386</v>
      </c>
      <c r="F56" s="5" t="s">
        <v>126</v>
      </c>
      <c r="G56" s="5" t="s">
        <v>375</v>
      </c>
      <c r="H56" s="5">
        <v>21561165</v>
      </c>
      <c r="I56" s="5" t="s">
        <v>1172</v>
      </c>
      <c r="J56" s="5" t="s">
        <v>1173</v>
      </c>
      <c r="K56" s="5" t="str">
        <f t="shared" si="1"/>
        <v>Taliah Ferguson</v>
      </c>
      <c r="L56" s="6">
        <v>45940</v>
      </c>
      <c r="M56" s="6">
        <v>46032</v>
      </c>
      <c r="N56" s="7">
        <v>51.63</v>
      </c>
      <c r="O56" s="5">
        <f t="shared" si="2"/>
        <v>3</v>
      </c>
      <c r="P56" s="5" t="s">
        <v>1368</v>
      </c>
      <c r="Q56" s="8">
        <v>0.9</v>
      </c>
      <c r="R56" s="5" t="s">
        <v>83</v>
      </c>
      <c r="S56" s="5" t="s">
        <v>61</v>
      </c>
      <c r="T56" s="7">
        <v>46.47</v>
      </c>
      <c r="U56" s="5" t="s">
        <v>375</v>
      </c>
    </row>
    <row r="57" spans="1:21" s="5" customFormat="1" x14ac:dyDescent="0.25">
      <c r="A57" s="5">
        <v>2031534330</v>
      </c>
      <c r="B57" s="5" t="s">
        <v>1177</v>
      </c>
      <c r="C57" s="5" t="s">
        <v>827</v>
      </c>
      <c r="D57" s="5" t="str">
        <f t="shared" si="0"/>
        <v>CHRISTOPHER DOSSETT</v>
      </c>
      <c r="E57" s="5" t="s">
        <v>97</v>
      </c>
      <c r="F57" s="5" t="s">
        <v>126</v>
      </c>
      <c r="G57" s="5" t="s">
        <v>132</v>
      </c>
      <c r="H57" s="5">
        <v>371819</v>
      </c>
      <c r="I57" s="5" t="s">
        <v>138</v>
      </c>
      <c r="J57" s="5" t="s">
        <v>107</v>
      </c>
      <c r="K57" s="5" t="str">
        <f t="shared" si="1"/>
        <v>THOMAS PARDUE</v>
      </c>
      <c r="L57" s="6">
        <v>45940</v>
      </c>
      <c r="M57" s="6">
        <v>46032</v>
      </c>
      <c r="N57" s="7">
        <v>79.03</v>
      </c>
      <c r="O57" s="5">
        <f t="shared" si="2"/>
        <v>3</v>
      </c>
      <c r="P57" s="5" t="s">
        <v>1368</v>
      </c>
      <c r="Q57" s="8">
        <v>0.7</v>
      </c>
      <c r="R57" s="5" t="s">
        <v>83</v>
      </c>
      <c r="S57" s="5" t="s">
        <v>61</v>
      </c>
      <c r="T57" s="7">
        <v>55.32</v>
      </c>
      <c r="U57" s="5" t="s">
        <v>132</v>
      </c>
    </row>
    <row r="58" spans="1:21" s="5" customFormat="1" x14ac:dyDescent="0.25">
      <c r="A58" s="5">
        <v>2030896174</v>
      </c>
      <c r="B58" s="5" t="s">
        <v>688</v>
      </c>
      <c r="C58" s="5" t="s">
        <v>689</v>
      </c>
      <c r="D58" s="5" t="str">
        <f t="shared" si="0"/>
        <v>DENIE STOREY</v>
      </c>
      <c r="E58" s="5" t="s">
        <v>102</v>
      </c>
      <c r="F58" s="5" t="s">
        <v>365</v>
      </c>
      <c r="G58" s="5" t="s">
        <v>370</v>
      </c>
      <c r="H58" s="5">
        <v>8325282</v>
      </c>
      <c r="I58" s="5" t="s">
        <v>117</v>
      </c>
      <c r="J58" s="5" t="s">
        <v>118</v>
      </c>
      <c r="K58" s="5" t="str">
        <f t="shared" si="1"/>
        <v>Dale Walenga</v>
      </c>
      <c r="L58" s="6">
        <v>45906</v>
      </c>
      <c r="M58" s="6">
        <v>46028</v>
      </c>
      <c r="N58" s="7">
        <v>139</v>
      </c>
      <c r="O58" s="5">
        <f t="shared" si="2"/>
        <v>4</v>
      </c>
      <c r="P58" s="5" t="s">
        <v>1368</v>
      </c>
      <c r="Q58" s="8">
        <v>0.38</v>
      </c>
      <c r="R58" s="5" t="s">
        <v>83</v>
      </c>
      <c r="S58" s="5" t="s">
        <v>61</v>
      </c>
      <c r="T58" s="7">
        <v>52.82</v>
      </c>
      <c r="U58" s="5" t="s">
        <v>370</v>
      </c>
    </row>
    <row r="59" spans="1:21" s="5" customFormat="1" x14ac:dyDescent="0.25">
      <c r="A59" s="5">
        <v>2030896175</v>
      </c>
      <c r="B59" s="5" t="s">
        <v>688</v>
      </c>
      <c r="C59" s="5" t="s">
        <v>689</v>
      </c>
      <c r="D59" s="5" t="str">
        <f t="shared" si="0"/>
        <v>DENIE STOREY</v>
      </c>
      <c r="E59" s="5" t="s">
        <v>102</v>
      </c>
      <c r="F59" s="5" t="s">
        <v>365</v>
      </c>
      <c r="G59" s="5" t="s">
        <v>371</v>
      </c>
      <c r="H59" s="5">
        <v>8325282</v>
      </c>
      <c r="I59" s="5" t="s">
        <v>117</v>
      </c>
      <c r="J59" s="5" t="s">
        <v>118</v>
      </c>
      <c r="K59" s="5" t="str">
        <f t="shared" si="1"/>
        <v>Dale Walenga</v>
      </c>
      <c r="L59" s="6">
        <v>45906</v>
      </c>
      <c r="M59" s="6">
        <v>46028</v>
      </c>
      <c r="N59" s="7">
        <v>7.09</v>
      </c>
      <c r="O59" s="5">
        <f t="shared" si="2"/>
        <v>4</v>
      </c>
      <c r="P59" s="5" t="s">
        <v>1368</v>
      </c>
      <c r="Q59" s="8">
        <v>0.38</v>
      </c>
      <c r="R59" s="5" t="s">
        <v>83</v>
      </c>
      <c r="S59" s="5" t="s">
        <v>61</v>
      </c>
      <c r="T59" s="7">
        <v>2.69</v>
      </c>
      <c r="U59" s="5" t="s">
        <v>370</v>
      </c>
    </row>
    <row r="60" spans="1:21" s="5" customFormat="1" x14ac:dyDescent="0.25">
      <c r="A60" s="5">
        <v>2030945124</v>
      </c>
      <c r="B60" s="5" t="s">
        <v>653</v>
      </c>
      <c r="C60" s="5" t="s">
        <v>690</v>
      </c>
      <c r="D60" s="5" t="str">
        <f t="shared" si="0"/>
        <v>RENAE WILLIAMS</v>
      </c>
      <c r="E60" s="5" t="s">
        <v>102</v>
      </c>
      <c r="F60" s="5" t="s">
        <v>75</v>
      </c>
      <c r="G60" s="5" t="s">
        <v>243</v>
      </c>
      <c r="H60" s="5">
        <v>8325282</v>
      </c>
      <c r="I60" s="5" t="s">
        <v>117</v>
      </c>
      <c r="J60" s="5" t="s">
        <v>118</v>
      </c>
      <c r="K60" s="5" t="str">
        <f t="shared" si="1"/>
        <v>Dale Walenga</v>
      </c>
      <c r="L60" s="6">
        <v>45909</v>
      </c>
      <c r="M60" s="6">
        <v>46031</v>
      </c>
      <c r="N60" s="7">
        <v>47.13</v>
      </c>
      <c r="O60" s="5">
        <f t="shared" si="2"/>
        <v>4</v>
      </c>
      <c r="P60" s="5" t="s">
        <v>1368</v>
      </c>
      <c r="Q60" s="8">
        <v>0.75</v>
      </c>
      <c r="R60" s="5" t="s">
        <v>83</v>
      </c>
      <c r="S60" s="5" t="s">
        <v>61</v>
      </c>
      <c r="T60" s="7">
        <v>35.35</v>
      </c>
      <c r="U60" s="5" t="s">
        <v>1371</v>
      </c>
    </row>
    <row r="61" spans="1:21" s="5" customFormat="1" x14ac:dyDescent="0.25">
      <c r="A61" s="5">
        <v>2030945123</v>
      </c>
      <c r="B61" s="5" t="s">
        <v>653</v>
      </c>
      <c r="C61" s="5" t="s">
        <v>690</v>
      </c>
      <c r="D61" s="5" t="str">
        <f t="shared" si="0"/>
        <v>RENAE WILLIAMS</v>
      </c>
      <c r="E61" s="5" t="s">
        <v>102</v>
      </c>
      <c r="F61" s="5" t="s">
        <v>126</v>
      </c>
      <c r="G61" s="5" t="s">
        <v>402</v>
      </c>
      <c r="H61" s="5">
        <v>8325282</v>
      </c>
      <c r="I61" s="5" t="s">
        <v>117</v>
      </c>
      <c r="J61" s="5" t="s">
        <v>118</v>
      </c>
      <c r="K61" s="5" t="str">
        <f t="shared" si="1"/>
        <v>Dale Walenga</v>
      </c>
      <c r="L61" s="6">
        <v>45909</v>
      </c>
      <c r="M61" s="6">
        <v>46031</v>
      </c>
      <c r="N61" s="7">
        <v>25.08</v>
      </c>
      <c r="O61" s="5">
        <f t="shared" si="2"/>
        <v>4</v>
      </c>
      <c r="P61" s="5" t="s">
        <v>1368</v>
      </c>
      <c r="Q61" s="8">
        <v>0.42</v>
      </c>
      <c r="R61" s="5" t="s">
        <v>83</v>
      </c>
      <c r="S61" s="5" t="s">
        <v>61</v>
      </c>
      <c r="T61" s="7">
        <v>10.53</v>
      </c>
      <c r="U61" s="5" t="s">
        <v>402</v>
      </c>
    </row>
    <row r="62" spans="1:21" s="5" customFormat="1" x14ac:dyDescent="0.25">
      <c r="A62" s="5">
        <v>2030896176</v>
      </c>
      <c r="B62" s="5" t="s">
        <v>688</v>
      </c>
      <c r="C62" s="5" t="s">
        <v>689</v>
      </c>
      <c r="D62" s="5" t="str">
        <f t="shared" si="0"/>
        <v>DENIE STOREY</v>
      </c>
      <c r="E62" s="5" t="s">
        <v>102</v>
      </c>
      <c r="F62" s="5" t="s">
        <v>290</v>
      </c>
      <c r="G62" s="5" t="s">
        <v>298</v>
      </c>
      <c r="H62" s="5">
        <v>8325282</v>
      </c>
      <c r="I62" s="5" t="s">
        <v>117</v>
      </c>
      <c r="J62" s="5" t="s">
        <v>118</v>
      </c>
      <c r="K62" s="5" t="str">
        <f t="shared" si="1"/>
        <v>Dale Walenga</v>
      </c>
      <c r="L62" s="6">
        <v>45906</v>
      </c>
      <c r="M62" s="6">
        <v>46028</v>
      </c>
      <c r="N62" s="7">
        <v>15</v>
      </c>
      <c r="O62" s="5">
        <f t="shared" si="2"/>
        <v>4</v>
      </c>
      <c r="P62" s="5" t="s">
        <v>1368</v>
      </c>
      <c r="Q62" s="8">
        <v>0.38</v>
      </c>
      <c r="R62" s="5" t="s">
        <v>83</v>
      </c>
      <c r="S62" s="5" t="s">
        <v>61</v>
      </c>
      <c r="T62" s="7">
        <v>5.7</v>
      </c>
      <c r="U62" s="5" t="s">
        <v>298</v>
      </c>
    </row>
    <row r="63" spans="1:21" s="5" customFormat="1" x14ac:dyDescent="0.25">
      <c r="A63" s="5">
        <v>2030945125</v>
      </c>
      <c r="B63" s="5" t="s">
        <v>653</v>
      </c>
      <c r="C63" s="5" t="s">
        <v>690</v>
      </c>
      <c r="D63" s="5" t="str">
        <f t="shared" si="0"/>
        <v>RENAE WILLIAMS</v>
      </c>
      <c r="E63" s="5" t="s">
        <v>102</v>
      </c>
      <c r="F63" s="5" t="s">
        <v>290</v>
      </c>
      <c r="G63" s="5" t="s">
        <v>295</v>
      </c>
      <c r="H63" s="5">
        <v>8325282</v>
      </c>
      <c r="I63" s="5" t="s">
        <v>117</v>
      </c>
      <c r="J63" s="5" t="s">
        <v>118</v>
      </c>
      <c r="K63" s="5" t="str">
        <f t="shared" si="1"/>
        <v>Dale Walenga</v>
      </c>
      <c r="L63" s="6">
        <v>45909</v>
      </c>
      <c r="M63" s="6">
        <v>46031</v>
      </c>
      <c r="N63" s="7">
        <v>15</v>
      </c>
      <c r="O63" s="5">
        <f t="shared" si="2"/>
        <v>4</v>
      </c>
      <c r="P63" s="5" t="s">
        <v>1368</v>
      </c>
      <c r="Q63" s="8">
        <v>0.38</v>
      </c>
      <c r="R63" s="5" t="s">
        <v>83</v>
      </c>
      <c r="S63" s="5" t="s">
        <v>61</v>
      </c>
      <c r="T63" s="7">
        <v>5.7</v>
      </c>
      <c r="U63" s="5" t="s">
        <v>295</v>
      </c>
    </row>
    <row r="64" spans="1:21" s="5" customFormat="1" x14ac:dyDescent="0.25">
      <c r="A64" s="5">
        <v>2030945122</v>
      </c>
      <c r="B64" s="5" t="s">
        <v>653</v>
      </c>
      <c r="C64" s="5" t="s">
        <v>690</v>
      </c>
      <c r="D64" s="5" t="str">
        <f t="shared" si="0"/>
        <v>RENAE WILLIAMS</v>
      </c>
      <c r="E64" s="5" t="s">
        <v>102</v>
      </c>
      <c r="F64" s="5" t="s">
        <v>365</v>
      </c>
      <c r="G64" s="5" t="s">
        <v>366</v>
      </c>
      <c r="H64" s="5">
        <v>8325282</v>
      </c>
      <c r="I64" s="5" t="s">
        <v>117</v>
      </c>
      <c r="J64" s="5" t="s">
        <v>118</v>
      </c>
      <c r="K64" s="5" t="str">
        <f t="shared" si="1"/>
        <v>Dale Walenga</v>
      </c>
      <c r="L64" s="6">
        <v>45909</v>
      </c>
      <c r="M64" s="6">
        <v>46031</v>
      </c>
      <c r="N64" s="7">
        <v>19.48</v>
      </c>
      <c r="O64" s="5">
        <f t="shared" si="2"/>
        <v>4</v>
      </c>
      <c r="P64" s="5" t="s">
        <v>1368</v>
      </c>
      <c r="Q64" s="8">
        <v>0.38</v>
      </c>
      <c r="R64" s="5" t="s">
        <v>83</v>
      </c>
      <c r="S64" s="5" t="s">
        <v>61</v>
      </c>
      <c r="T64" s="7">
        <v>7.4</v>
      </c>
      <c r="U64" s="5" t="s">
        <v>366</v>
      </c>
    </row>
    <row r="65" spans="1:21" s="5" customFormat="1" x14ac:dyDescent="0.25">
      <c r="A65" s="5">
        <v>2030716398</v>
      </c>
      <c r="B65" s="5" t="s">
        <v>338</v>
      </c>
      <c r="C65" s="5" t="s">
        <v>999</v>
      </c>
      <c r="D65" s="5" t="str">
        <f t="shared" si="0"/>
        <v>BARBARA WOODS</v>
      </c>
      <c r="E65" s="5" t="s">
        <v>102</v>
      </c>
      <c r="F65" s="5" t="s">
        <v>169</v>
      </c>
      <c r="G65" s="5" t="s">
        <v>170</v>
      </c>
      <c r="H65" s="5">
        <v>8814784</v>
      </c>
      <c r="I65" s="5" t="s">
        <v>284</v>
      </c>
      <c r="J65" s="5" t="s">
        <v>285</v>
      </c>
      <c r="K65" s="5" t="str">
        <f t="shared" si="1"/>
        <v>FRANK LISKOVEC</v>
      </c>
      <c r="L65" s="6">
        <v>45901</v>
      </c>
      <c r="M65" s="6">
        <v>46023</v>
      </c>
      <c r="N65" s="7">
        <v>84.15</v>
      </c>
      <c r="O65" s="5">
        <f t="shared" si="2"/>
        <v>4</v>
      </c>
      <c r="P65" s="5" t="s">
        <v>1368</v>
      </c>
      <c r="Q65" s="8">
        <v>0.47</v>
      </c>
      <c r="R65" s="5" t="s">
        <v>83</v>
      </c>
      <c r="S65" s="5" t="s">
        <v>61</v>
      </c>
      <c r="T65" s="7">
        <v>39.549999999999997</v>
      </c>
      <c r="U65" s="5" t="s">
        <v>170</v>
      </c>
    </row>
    <row r="66" spans="1:21" s="5" customFormat="1" x14ac:dyDescent="0.25">
      <c r="A66" s="5">
        <v>2030775884</v>
      </c>
      <c r="B66" s="5" t="s">
        <v>481</v>
      </c>
      <c r="C66" s="5" t="s">
        <v>114</v>
      </c>
      <c r="D66" s="5" t="str">
        <f t="shared" ref="D66:D129" si="3">CONCATENATE(C66," ",B66)</f>
        <v>REYNOLDS KENNETH</v>
      </c>
      <c r="E66" s="5" t="s">
        <v>125</v>
      </c>
      <c r="F66" s="5" t="s">
        <v>169</v>
      </c>
      <c r="G66" s="5" t="s">
        <v>170</v>
      </c>
      <c r="H66" s="5">
        <v>17117649</v>
      </c>
      <c r="I66" s="5" t="s">
        <v>1158</v>
      </c>
      <c r="J66" s="5" t="s">
        <v>1159</v>
      </c>
      <c r="K66" s="5" t="str">
        <f t="shared" ref="K66:K129" si="4">CONCATENATE(J66," ",I66)</f>
        <v>Ines Berg</v>
      </c>
      <c r="L66" s="6">
        <v>45901</v>
      </c>
      <c r="M66" s="6">
        <v>46023</v>
      </c>
      <c r="N66" s="7">
        <v>210.43</v>
      </c>
      <c r="O66" s="5">
        <f t="shared" ref="O66:O129" si="5">DATEDIF(L66,M66,"M")</f>
        <v>4</v>
      </c>
      <c r="P66" s="5" t="s">
        <v>1368</v>
      </c>
      <c r="Q66" s="8">
        <v>0.47</v>
      </c>
      <c r="R66" s="5" t="s">
        <v>83</v>
      </c>
      <c r="S66" s="5" t="s">
        <v>61</v>
      </c>
      <c r="T66" s="7">
        <v>98.9</v>
      </c>
      <c r="U66" s="5" t="s">
        <v>170</v>
      </c>
    </row>
    <row r="67" spans="1:21" s="5" customFormat="1" x14ac:dyDescent="0.25">
      <c r="A67" s="5">
        <v>2030775883</v>
      </c>
      <c r="B67" s="5" t="s">
        <v>481</v>
      </c>
      <c r="C67" s="5" t="s">
        <v>114</v>
      </c>
      <c r="D67" s="5" t="str">
        <f t="shared" si="3"/>
        <v>REYNOLDS KENNETH</v>
      </c>
      <c r="E67" s="5" t="s">
        <v>125</v>
      </c>
      <c r="F67" s="5" t="s">
        <v>126</v>
      </c>
      <c r="G67" s="5" t="s">
        <v>132</v>
      </c>
      <c r="H67" s="5">
        <v>17117649</v>
      </c>
      <c r="I67" s="5" t="s">
        <v>1158</v>
      </c>
      <c r="J67" s="5" t="s">
        <v>1159</v>
      </c>
      <c r="K67" s="5" t="str">
        <f t="shared" si="4"/>
        <v>Ines Berg</v>
      </c>
      <c r="L67" s="6">
        <v>45901</v>
      </c>
      <c r="M67" s="6">
        <v>46023</v>
      </c>
      <c r="N67" s="7">
        <v>120.91</v>
      </c>
      <c r="O67" s="5">
        <f t="shared" si="5"/>
        <v>4</v>
      </c>
      <c r="P67" s="5" t="s">
        <v>1368</v>
      </c>
      <c r="Q67" s="8">
        <v>0.7</v>
      </c>
      <c r="R67" s="5" t="s">
        <v>83</v>
      </c>
      <c r="S67" s="5" t="s">
        <v>61</v>
      </c>
      <c r="T67" s="7">
        <v>84.64</v>
      </c>
      <c r="U67" s="5" t="s">
        <v>132</v>
      </c>
    </row>
    <row r="68" spans="1:21" s="5" customFormat="1" x14ac:dyDescent="0.25">
      <c r="A68" s="5">
        <v>2030954480</v>
      </c>
      <c r="B68" s="5" t="s">
        <v>691</v>
      </c>
      <c r="C68" s="5" t="s">
        <v>301</v>
      </c>
      <c r="D68" s="5" t="str">
        <f t="shared" si="3"/>
        <v>SAMUEL ISAACSON</v>
      </c>
      <c r="E68" s="5" t="s">
        <v>102</v>
      </c>
      <c r="F68" s="5" t="s">
        <v>365</v>
      </c>
      <c r="G68" s="5" t="s">
        <v>370</v>
      </c>
      <c r="H68" s="5" t="s">
        <v>1391</v>
      </c>
      <c r="I68" s="5" t="s">
        <v>145</v>
      </c>
      <c r="J68" s="5" t="s">
        <v>146</v>
      </c>
      <c r="K68" s="5" t="str">
        <f t="shared" si="4"/>
        <v>Jake Shulman</v>
      </c>
      <c r="L68" s="6">
        <v>45910</v>
      </c>
      <c r="M68" s="6">
        <v>46032</v>
      </c>
      <c r="N68" s="7">
        <v>122.45</v>
      </c>
      <c r="O68" s="5">
        <f t="shared" si="5"/>
        <v>4</v>
      </c>
      <c r="P68" s="5" t="s">
        <v>1368</v>
      </c>
      <c r="Q68" s="8">
        <v>0.38</v>
      </c>
      <c r="R68" s="5" t="s">
        <v>83</v>
      </c>
      <c r="S68" s="5" t="s">
        <v>61</v>
      </c>
      <c r="T68" s="7">
        <v>46.53</v>
      </c>
      <c r="U68" s="5" t="s">
        <v>370</v>
      </c>
    </row>
    <row r="69" spans="1:21" s="5" customFormat="1" x14ac:dyDescent="0.25">
      <c r="A69" s="5">
        <v>2030954481</v>
      </c>
      <c r="B69" s="5" t="s">
        <v>691</v>
      </c>
      <c r="C69" s="5" t="s">
        <v>301</v>
      </c>
      <c r="D69" s="5" t="str">
        <f t="shared" si="3"/>
        <v>SAMUEL ISAACSON</v>
      </c>
      <c r="E69" s="5" t="s">
        <v>102</v>
      </c>
      <c r="F69" s="5" t="s">
        <v>365</v>
      </c>
      <c r="G69" s="5" t="s">
        <v>371</v>
      </c>
      <c r="H69" s="5" t="s">
        <v>1391</v>
      </c>
      <c r="I69" s="5" t="s">
        <v>145</v>
      </c>
      <c r="J69" s="5" t="s">
        <v>146</v>
      </c>
      <c r="K69" s="5" t="str">
        <f t="shared" si="4"/>
        <v>Jake Shulman</v>
      </c>
      <c r="L69" s="6">
        <v>45910</v>
      </c>
      <c r="M69" s="6">
        <v>46032</v>
      </c>
      <c r="N69" s="7">
        <v>5.03</v>
      </c>
      <c r="O69" s="5">
        <f t="shared" si="5"/>
        <v>4</v>
      </c>
      <c r="P69" s="5" t="s">
        <v>1368</v>
      </c>
      <c r="Q69" s="8">
        <v>0.38</v>
      </c>
      <c r="R69" s="5" t="s">
        <v>83</v>
      </c>
      <c r="S69" s="5" t="s">
        <v>61</v>
      </c>
      <c r="T69" s="7">
        <v>1.91</v>
      </c>
      <c r="U69" s="5" t="s">
        <v>370</v>
      </c>
    </row>
    <row r="70" spans="1:21" s="5" customFormat="1" x14ac:dyDescent="0.25">
      <c r="A70" s="5">
        <v>2030954483</v>
      </c>
      <c r="B70" s="5" t="s">
        <v>691</v>
      </c>
      <c r="C70" s="5" t="s">
        <v>301</v>
      </c>
      <c r="D70" s="5" t="str">
        <f t="shared" si="3"/>
        <v>SAMUEL ISAACSON</v>
      </c>
      <c r="E70" s="5" t="s">
        <v>102</v>
      </c>
      <c r="F70" s="5" t="s">
        <v>290</v>
      </c>
      <c r="G70" s="5" t="s">
        <v>298</v>
      </c>
      <c r="H70" s="5" t="s">
        <v>1391</v>
      </c>
      <c r="I70" s="5" t="s">
        <v>145</v>
      </c>
      <c r="J70" s="5" t="s">
        <v>146</v>
      </c>
      <c r="K70" s="5" t="str">
        <f t="shared" si="4"/>
        <v>Jake Shulman</v>
      </c>
      <c r="L70" s="6">
        <v>45910</v>
      </c>
      <c r="M70" s="6">
        <v>46032</v>
      </c>
      <c r="N70" s="7">
        <v>10.65</v>
      </c>
      <c r="O70" s="5">
        <f t="shared" si="5"/>
        <v>4</v>
      </c>
      <c r="P70" s="5" t="s">
        <v>1368</v>
      </c>
      <c r="Q70" s="8">
        <v>0.38</v>
      </c>
      <c r="R70" s="5" t="s">
        <v>83</v>
      </c>
      <c r="S70" s="5" t="s">
        <v>61</v>
      </c>
      <c r="T70" s="7">
        <v>4.05</v>
      </c>
      <c r="U70" s="5" t="s">
        <v>298</v>
      </c>
    </row>
    <row r="71" spans="1:21" s="5" customFormat="1" x14ac:dyDescent="0.25">
      <c r="A71" s="5">
        <v>2030954482</v>
      </c>
      <c r="B71" s="5" t="s">
        <v>691</v>
      </c>
      <c r="C71" s="5" t="s">
        <v>301</v>
      </c>
      <c r="D71" s="5" t="str">
        <f t="shared" si="3"/>
        <v>SAMUEL ISAACSON</v>
      </c>
      <c r="E71" s="5" t="s">
        <v>102</v>
      </c>
      <c r="F71" s="5" t="s">
        <v>290</v>
      </c>
      <c r="G71" s="5" t="s">
        <v>954</v>
      </c>
      <c r="H71" s="5" t="s">
        <v>1391</v>
      </c>
      <c r="I71" s="5" t="s">
        <v>145</v>
      </c>
      <c r="J71" s="5" t="s">
        <v>146</v>
      </c>
      <c r="K71" s="5" t="str">
        <f t="shared" si="4"/>
        <v>Jake Shulman</v>
      </c>
      <c r="L71" s="6">
        <v>45910</v>
      </c>
      <c r="M71" s="6">
        <v>46032</v>
      </c>
      <c r="N71" s="7">
        <v>24.87</v>
      </c>
      <c r="O71" s="5">
        <f t="shared" si="5"/>
        <v>4</v>
      </c>
      <c r="P71" s="5" t="s">
        <v>1368</v>
      </c>
      <c r="Q71" s="8">
        <v>0.38</v>
      </c>
      <c r="R71" s="5" t="s">
        <v>83</v>
      </c>
      <c r="S71" s="5" t="s">
        <v>61</v>
      </c>
      <c r="T71" s="7">
        <v>9.4499999999999993</v>
      </c>
      <c r="U71" s="5" t="s">
        <v>298</v>
      </c>
    </row>
    <row r="72" spans="1:21" s="5" customFormat="1" x14ac:dyDescent="0.25">
      <c r="A72" s="5">
        <v>2030954164</v>
      </c>
      <c r="B72" s="5" t="s">
        <v>1164</v>
      </c>
      <c r="C72" s="5" t="s">
        <v>1165</v>
      </c>
      <c r="D72" s="5" t="str">
        <f t="shared" si="3"/>
        <v>TERRICA HENDRIX</v>
      </c>
      <c r="E72" s="5" t="s">
        <v>97</v>
      </c>
      <c r="F72" s="5" t="s">
        <v>126</v>
      </c>
      <c r="G72" s="5" t="s">
        <v>132</v>
      </c>
      <c r="H72" s="5">
        <v>21421111</v>
      </c>
      <c r="I72" s="5" t="s">
        <v>534</v>
      </c>
      <c r="J72" s="5" t="s">
        <v>535</v>
      </c>
      <c r="K72" s="5" t="str">
        <f t="shared" si="4"/>
        <v>Kirk Tigue</v>
      </c>
      <c r="L72" s="6">
        <v>45911</v>
      </c>
      <c r="M72" s="6">
        <v>46033</v>
      </c>
      <c r="N72" s="7">
        <v>28.38</v>
      </c>
      <c r="O72" s="5">
        <f t="shared" si="5"/>
        <v>4</v>
      </c>
      <c r="P72" s="5" t="s">
        <v>1368</v>
      </c>
      <c r="Q72" s="8">
        <v>0.7</v>
      </c>
      <c r="R72" s="5" t="s">
        <v>83</v>
      </c>
      <c r="S72" s="5" t="s">
        <v>61</v>
      </c>
      <c r="T72" s="7">
        <v>19.87</v>
      </c>
      <c r="U72" s="5" t="s">
        <v>132</v>
      </c>
    </row>
    <row r="73" spans="1:21" s="5" customFormat="1" x14ac:dyDescent="0.25">
      <c r="A73" s="5">
        <v>2030909014</v>
      </c>
      <c r="B73" s="5" t="s">
        <v>638</v>
      </c>
      <c r="C73" s="5" t="s">
        <v>324</v>
      </c>
      <c r="D73" s="5" t="str">
        <f t="shared" si="3"/>
        <v>KEVIN BROWN</v>
      </c>
      <c r="E73" s="5" t="s">
        <v>52</v>
      </c>
      <c r="F73" s="5" t="s">
        <v>53</v>
      </c>
      <c r="G73" s="5" t="s">
        <v>54</v>
      </c>
      <c r="H73" s="5">
        <v>16509456</v>
      </c>
      <c r="I73" s="5" t="s">
        <v>235</v>
      </c>
      <c r="J73" s="5" t="s">
        <v>236</v>
      </c>
      <c r="K73" s="5" t="str">
        <f t="shared" si="4"/>
        <v>PETER RICHTER</v>
      </c>
      <c r="L73" s="6">
        <v>45906</v>
      </c>
      <c r="M73" s="6">
        <v>46028</v>
      </c>
      <c r="N73" s="7">
        <v>52.69</v>
      </c>
      <c r="O73" s="5">
        <f t="shared" si="5"/>
        <v>4</v>
      </c>
      <c r="P73" s="5" t="s">
        <v>1368</v>
      </c>
      <c r="Q73" s="8">
        <v>0.6</v>
      </c>
      <c r="R73" s="5" t="s">
        <v>83</v>
      </c>
      <c r="S73" s="5" t="s">
        <v>61</v>
      </c>
      <c r="T73" s="7">
        <v>31.61</v>
      </c>
      <c r="U73" s="5" t="s">
        <v>54</v>
      </c>
    </row>
    <row r="74" spans="1:21" s="5" customFormat="1" x14ac:dyDescent="0.25">
      <c r="A74" s="5">
        <v>2030699504</v>
      </c>
      <c r="B74" s="5" t="s">
        <v>1156</v>
      </c>
      <c r="C74" s="5" t="s">
        <v>1157</v>
      </c>
      <c r="D74" s="5" t="str">
        <f t="shared" si="3"/>
        <v>CONLIN WYNNE</v>
      </c>
      <c r="E74" s="5" t="s">
        <v>102</v>
      </c>
      <c r="F74" s="5" t="s">
        <v>126</v>
      </c>
      <c r="G74" s="5" t="s">
        <v>132</v>
      </c>
      <c r="H74" s="5">
        <v>16633294</v>
      </c>
      <c r="I74" s="5" t="s">
        <v>257</v>
      </c>
      <c r="J74" s="5" t="s">
        <v>258</v>
      </c>
      <c r="K74" s="5" t="str">
        <f t="shared" si="4"/>
        <v>Richard Yale</v>
      </c>
      <c r="L74" s="6">
        <v>45909</v>
      </c>
      <c r="M74" s="6">
        <v>46031</v>
      </c>
      <c r="N74" s="7">
        <v>212.26</v>
      </c>
      <c r="O74" s="5">
        <f t="shared" si="5"/>
        <v>4</v>
      </c>
      <c r="P74" s="5" t="s">
        <v>1368</v>
      </c>
      <c r="Q74" s="8">
        <v>0.7</v>
      </c>
      <c r="R74" s="5" t="s">
        <v>83</v>
      </c>
      <c r="S74" s="5" t="s">
        <v>61</v>
      </c>
      <c r="T74" s="7">
        <v>148.58000000000001</v>
      </c>
      <c r="U74" s="5" t="s">
        <v>132</v>
      </c>
    </row>
    <row r="75" spans="1:21" s="5" customFormat="1" x14ac:dyDescent="0.25">
      <c r="A75" s="5">
        <v>2030966818</v>
      </c>
      <c r="B75" s="5" t="s">
        <v>600</v>
      </c>
      <c r="C75" s="5" t="s">
        <v>503</v>
      </c>
      <c r="D75" s="5" t="str">
        <f t="shared" si="3"/>
        <v>ANDREW BURLEY</v>
      </c>
      <c r="E75" s="5" t="s">
        <v>220</v>
      </c>
      <c r="F75" s="5" t="s">
        <v>126</v>
      </c>
      <c r="G75" s="5" t="s">
        <v>132</v>
      </c>
      <c r="H75" s="5">
        <v>16633294</v>
      </c>
      <c r="I75" s="5" t="s">
        <v>257</v>
      </c>
      <c r="J75" s="5" t="s">
        <v>258</v>
      </c>
      <c r="K75" s="5" t="str">
        <f t="shared" si="4"/>
        <v>Richard Yale</v>
      </c>
      <c r="L75" s="6">
        <v>45910</v>
      </c>
      <c r="M75" s="6">
        <v>46032</v>
      </c>
      <c r="N75" s="7">
        <v>18.57</v>
      </c>
      <c r="O75" s="5">
        <f t="shared" si="5"/>
        <v>4</v>
      </c>
      <c r="P75" s="5" t="s">
        <v>1368</v>
      </c>
      <c r="Q75" s="8">
        <v>0.7</v>
      </c>
      <c r="R75" s="5" t="s">
        <v>83</v>
      </c>
      <c r="S75" s="5" t="s">
        <v>61</v>
      </c>
      <c r="T75" s="7">
        <v>13</v>
      </c>
      <c r="U75" s="5" t="s">
        <v>132</v>
      </c>
    </row>
    <row r="76" spans="1:21" s="5" customFormat="1" x14ac:dyDescent="0.25">
      <c r="A76" s="5">
        <v>2030966817</v>
      </c>
      <c r="B76" s="5" t="s">
        <v>600</v>
      </c>
      <c r="C76" s="5" t="s">
        <v>503</v>
      </c>
      <c r="D76" s="5" t="str">
        <f t="shared" si="3"/>
        <v>ANDREW BURLEY</v>
      </c>
      <c r="E76" s="5" t="s">
        <v>220</v>
      </c>
      <c r="F76" s="5" t="s">
        <v>86</v>
      </c>
      <c r="G76" s="5" t="s">
        <v>87</v>
      </c>
      <c r="H76" s="5">
        <v>16633294</v>
      </c>
      <c r="I76" s="5" t="s">
        <v>257</v>
      </c>
      <c r="J76" s="5" t="s">
        <v>258</v>
      </c>
      <c r="K76" s="5" t="str">
        <f t="shared" si="4"/>
        <v>Richard Yale</v>
      </c>
      <c r="L76" s="6">
        <v>45910</v>
      </c>
      <c r="M76" s="6">
        <v>46032</v>
      </c>
      <c r="N76" s="7">
        <v>61.74</v>
      </c>
      <c r="O76" s="5">
        <f t="shared" si="5"/>
        <v>4</v>
      </c>
      <c r="P76" s="5" t="s">
        <v>1368</v>
      </c>
      <c r="Q76" s="9">
        <v>0.375</v>
      </c>
      <c r="R76" s="5" t="s">
        <v>83</v>
      </c>
      <c r="S76" s="5" t="s">
        <v>61</v>
      </c>
      <c r="T76" s="7">
        <v>23.15</v>
      </c>
      <c r="U76" s="5" t="s">
        <v>87</v>
      </c>
    </row>
    <row r="77" spans="1:21" s="5" customFormat="1" x14ac:dyDescent="0.25">
      <c r="A77" s="5">
        <v>2030399994</v>
      </c>
      <c r="B77" s="5" t="s">
        <v>685</v>
      </c>
      <c r="C77" s="5" t="s">
        <v>56</v>
      </c>
      <c r="D77" s="5" t="str">
        <f t="shared" si="3"/>
        <v>KELLY LOYD</v>
      </c>
      <c r="E77" s="5" t="s">
        <v>102</v>
      </c>
      <c r="F77" s="5" t="s">
        <v>365</v>
      </c>
      <c r="G77" s="5" t="s">
        <v>370</v>
      </c>
      <c r="H77" s="5">
        <v>7470776</v>
      </c>
      <c r="I77" s="5" t="s">
        <v>261</v>
      </c>
      <c r="J77" s="5" t="s">
        <v>262</v>
      </c>
      <c r="K77" s="5" t="str">
        <f t="shared" si="4"/>
        <v>Andrew Choi</v>
      </c>
      <c r="L77" s="6">
        <v>45878</v>
      </c>
      <c r="M77" s="6">
        <v>46031</v>
      </c>
      <c r="N77" s="7">
        <v>758.34</v>
      </c>
      <c r="O77" s="5">
        <f t="shared" si="5"/>
        <v>5</v>
      </c>
      <c r="P77" s="5" t="s">
        <v>1368</v>
      </c>
      <c r="Q77" s="8">
        <v>0.38</v>
      </c>
      <c r="R77" s="5" t="s">
        <v>83</v>
      </c>
      <c r="S77" s="5" t="s">
        <v>61</v>
      </c>
      <c r="T77" s="7">
        <v>288.17</v>
      </c>
      <c r="U77" s="5" t="s">
        <v>370</v>
      </c>
    </row>
    <row r="78" spans="1:21" s="5" customFormat="1" x14ac:dyDescent="0.25">
      <c r="A78" s="5">
        <v>2030399997</v>
      </c>
      <c r="B78" s="5" t="s">
        <v>685</v>
      </c>
      <c r="C78" s="5" t="s">
        <v>56</v>
      </c>
      <c r="D78" s="5" t="str">
        <f t="shared" si="3"/>
        <v>KELLY LOYD</v>
      </c>
      <c r="E78" s="5" t="s">
        <v>102</v>
      </c>
      <c r="F78" s="5" t="s">
        <v>365</v>
      </c>
      <c r="G78" s="5" t="s">
        <v>371</v>
      </c>
      <c r="H78" s="5">
        <v>7470776</v>
      </c>
      <c r="I78" s="5" t="s">
        <v>261</v>
      </c>
      <c r="J78" s="5" t="s">
        <v>262</v>
      </c>
      <c r="K78" s="5" t="str">
        <f t="shared" si="4"/>
        <v>Andrew Choi</v>
      </c>
      <c r="L78" s="6">
        <v>45878</v>
      </c>
      <c r="M78" s="6">
        <v>46031</v>
      </c>
      <c r="N78" s="7">
        <v>7.09</v>
      </c>
      <c r="O78" s="5">
        <f t="shared" si="5"/>
        <v>5</v>
      </c>
      <c r="P78" s="5" t="s">
        <v>1368</v>
      </c>
      <c r="Q78" s="8">
        <v>0.38</v>
      </c>
      <c r="R78" s="5" t="s">
        <v>83</v>
      </c>
      <c r="S78" s="5" t="s">
        <v>61</v>
      </c>
      <c r="T78" s="7">
        <v>2.69</v>
      </c>
      <c r="U78" s="5" t="s">
        <v>370</v>
      </c>
    </row>
    <row r="79" spans="1:21" s="5" customFormat="1" x14ac:dyDescent="0.25">
      <c r="A79" s="5">
        <v>2030399998</v>
      </c>
      <c r="B79" s="5" t="s">
        <v>685</v>
      </c>
      <c r="C79" s="5" t="s">
        <v>56</v>
      </c>
      <c r="D79" s="5" t="str">
        <f t="shared" si="3"/>
        <v>KELLY LOYD</v>
      </c>
      <c r="E79" s="5" t="s">
        <v>102</v>
      </c>
      <c r="F79" s="5" t="s">
        <v>290</v>
      </c>
      <c r="G79" s="5" t="s">
        <v>298</v>
      </c>
      <c r="H79" s="5">
        <v>7470776</v>
      </c>
      <c r="I79" s="5" t="s">
        <v>261</v>
      </c>
      <c r="J79" s="5" t="s">
        <v>262</v>
      </c>
      <c r="K79" s="5" t="str">
        <f t="shared" si="4"/>
        <v>Andrew Choi</v>
      </c>
      <c r="L79" s="6">
        <v>45878</v>
      </c>
      <c r="M79" s="6">
        <v>46031</v>
      </c>
      <c r="N79" s="7">
        <v>15</v>
      </c>
      <c r="O79" s="5">
        <f t="shared" si="5"/>
        <v>5</v>
      </c>
      <c r="P79" s="5" t="s">
        <v>1368</v>
      </c>
      <c r="Q79" s="8">
        <v>0.38</v>
      </c>
      <c r="R79" s="5" t="s">
        <v>83</v>
      </c>
      <c r="S79" s="5" t="s">
        <v>61</v>
      </c>
      <c r="T79" s="7">
        <v>5.7</v>
      </c>
      <c r="U79" s="5" t="s">
        <v>298</v>
      </c>
    </row>
    <row r="80" spans="1:21" s="5" customFormat="1" x14ac:dyDescent="0.25">
      <c r="A80" s="5">
        <v>2030399995</v>
      </c>
      <c r="B80" s="5" t="s">
        <v>685</v>
      </c>
      <c r="C80" s="5" t="s">
        <v>56</v>
      </c>
      <c r="D80" s="5" t="str">
        <f t="shared" si="3"/>
        <v>KELLY LOYD</v>
      </c>
      <c r="E80" s="5" t="s">
        <v>102</v>
      </c>
      <c r="F80" s="5" t="s">
        <v>126</v>
      </c>
      <c r="G80" s="5" t="s">
        <v>132</v>
      </c>
      <c r="H80" s="5">
        <v>7470776</v>
      </c>
      <c r="I80" s="5" t="s">
        <v>261</v>
      </c>
      <c r="J80" s="5" t="s">
        <v>262</v>
      </c>
      <c r="K80" s="5" t="str">
        <f t="shared" si="4"/>
        <v>Andrew Choi</v>
      </c>
      <c r="L80" s="6">
        <v>45878</v>
      </c>
      <c r="M80" s="6">
        <v>46031</v>
      </c>
      <c r="N80" s="7">
        <v>99.19</v>
      </c>
      <c r="O80" s="5">
        <f t="shared" si="5"/>
        <v>5</v>
      </c>
      <c r="P80" s="5" t="s">
        <v>1368</v>
      </c>
      <c r="Q80" s="8">
        <v>0.7</v>
      </c>
      <c r="R80" s="5" t="s">
        <v>83</v>
      </c>
      <c r="S80" s="5" t="s">
        <v>61</v>
      </c>
      <c r="T80" s="7">
        <v>69.430000000000007</v>
      </c>
      <c r="U80" s="5" t="s">
        <v>132</v>
      </c>
    </row>
    <row r="81" spans="1:21" s="5" customFormat="1" x14ac:dyDescent="0.25">
      <c r="A81" s="5">
        <v>2030399996</v>
      </c>
      <c r="B81" s="5" t="s">
        <v>685</v>
      </c>
      <c r="C81" s="5" t="s">
        <v>56</v>
      </c>
      <c r="D81" s="5" t="str">
        <f t="shared" si="3"/>
        <v>KELLY LOYD</v>
      </c>
      <c r="E81" s="5" t="s">
        <v>102</v>
      </c>
      <c r="F81" s="5" t="s">
        <v>126</v>
      </c>
      <c r="G81" s="5" t="s">
        <v>375</v>
      </c>
      <c r="H81" s="5">
        <v>7470776</v>
      </c>
      <c r="I81" s="5" t="s">
        <v>261</v>
      </c>
      <c r="J81" s="5" t="s">
        <v>262</v>
      </c>
      <c r="K81" s="5" t="str">
        <f t="shared" si="4"/>
        <v>Andrew Choi</v>
      </c>
      <c r="L81" s="6">
        <v>45878</v>
      </c>
      <c r="M81" s="6">
        <v>46031</v>
      </c>
      <c r="N81" s="7">
        <v>258.5</v>
      </c>
      <c r="O81" s="5">
        <f t="shared" si="5"/>
        <v>5</v>
      </c>
      <c r="P81" s="5" t="s">
        <v>1368</v>
      </c>
      <c r="Q81" s="8">
        <v>0.9</v>
      </c>
      <c r="R81" s="5" t="s">
        <v>83</v>
      </c>
      <c r="S81" s="5" t="s">
        <v>61</v>
      </c>
      <c r="T81" s="7">
        <v>232.65</v>
      </c>
      <c r="U81" s="5" t="s">
        <v>375</v>
      </c>
    </row>
    <row r="82" spans="1:21" s="5" customFormat="1" x14ac:dyDescent="0.25">
      <c r="A82" s="5">
        <v>2030427172</v>
      </c>
      <c r="B82" s="5" t="s">
        <v>1154</v>
      </c>
      <c r="C82" s="5" t="s">
        <v>293</v>
      </c>
      <c r="D82" s="5" t="str">
        <f t="shared" si="3"/>
        <v>JOHNSON CURTIS</v>
      </c>
      <c r="E82" s="5" t="s">
        <v>515</v>
      </c>
      <c r="F82" s="5" t="s">
        <v>126</v>
      </c>
      <c r="G82" s="5" t="s">
        <v>132</v>
      </c>
      <c r="H82" s="5">
        <v>19681796</v>
      </c>
      <c r="I82" s="5" t="s">
        <v>361</v>
      </c>
      <c r="J82" s="5" t="s">
        <v>362</v>
      </c>
      <c r="K82" s="5" t="str">
        <f t="shared" si="4"/>
        <v>CHRISTIAN TAUGNER</v>
      </c>
      <c r="L82" s="6">
        <v>45881</v>
      </c>
      <c r="M82" s="6">
        <v>46034</v>
      </c>
      <c r="N82" s="7">
        <v>69.06</v>
      </c>
      <c r="O82" s="5">
        <f t="shared" si="5"/>
        <v>5</v>
      </c>
      <c r="P82" s="5" t="s">
        <v>1368</v>
      </c>
      <c r="Q82" s="8">
        <v>0.7</v>
      </c>
      <c r="R82" s="5" t="s">
        <v>83</v>
      </c>
      <c r="S82" s="5" t="s">
        <v>61</v>
      </c>
      <c r="T82" s="7">
        <v>48.34</v>
      </c>
      <c r="U82" s="5" t="s">
        <v>132</v>
      </c>
    </row>
    <row r="83" spans="1:21" s="5" customFormat="1" x14ac:dyDescent="0.25">
      <c r="A83" s="5">
        <v>2030427171</v>
      </c>
      <c r="B83" s="5" t="s">
        <v>1154</v>
      </c>
      <c r="C83" s="5" t="s">
        <v>293</v>
      </c>
      <c r="D83" s="5" t="str">
        <f t="shared" si="3"/>
        <v>JOHNSON CURTIS</v>
      </c>
      <c r="E83" s="5" t="s">
        <v>515</v>
      </c>
      <c r="F83" s="5" t="s">
        <v>126</v>
      </c>
      <c r="G83" s="5" t="s">
        <v>375</v>
      </c>
      <c r="H83" s="5">
        <v>19681796</v>
      </c>
      <c r="I83" s="5" t="s">
        <v>361</v>
      </c>
      <c r="J83" s="5" t="s">
        <v>362</v>
      </c>
      <c r="K83" s="5" t="str">
        <f t="shared" si="4"/>
        <v>CHRISTIAN TAUGNER</v>
      </c>
      <c r="L83" s="6">
        <v>45881</v>
      </c>
      <c r="M83" s="6">
        <v>46034</v>
      </c>
      <c r="N83" s="7">
        <v>159.31</v>
      </c>
      <c r="O83" s="5">
        <f t="shared" si="5"/>
        <v>5</v>
      </c>
      <c r="P83" s="5" t="s">
        <v>1368</v>
      </c>
      <c r="Q83" s="8">
        <v>0.9</v>
      </c>
      <c r="R83" s="5" t="s">
        <v>83</v>
      </c>
      <c r="S83" s="5" t="s">
        <v>61</v>
      </c>
      <c r="T83" s="7">
        <v>143.38</v>
      </c>
      <c r="U83" s="5" t="s">
        <v>375</v>
      </c>
    </row>
    <row r="84" spans="1:21" s="5" customFormat="1" x14ac:dyDescent="0.25">
      <c r="A84" s="5">
        <v>2030376028</v>
      </c>
      <c r="B84" s="5" t="s">
        <v>1152</v>
      </c>
      <c r="C84" s="5" t="s">
        <v>1153</v>
      </c>
      <c r="D84" s="5" t="str">
        <f t="shared" si="3"/>
        <v>SKIPWORTH DONOVAN</v>
      </c>
      <c r="E84" s="5" t="s">
        <v>200</v>
      </c>
      <c r="F84" s="5" t="s">
        <v>126</v>
      </c>
      <c r="G84" s="5" t="s">
        <v>375</v>
      </c>
      <c r="H84" s="5">
        <v>16865615</v>
      </c>
      <c r="I84" s="5" t="s">
        <v>201</v>
      </c>
      <c r="J84" s="5" t="s">
        <v>202</v>
      </c>
      <c r="K84" s="5" t="str">
        <f t="shared" si="4"/>
        <v>Heather Geske</v>
      </c>
      <c r="L84" s="6">
        <v>45877</v>
      </c>
      <c r="M84" s="6">
        <v>46030</v>
      </c>
      <c r="N84" s="7">
        <v>73</v>
      </c>
      <c r="O84" s="5">
        <f t="shared" si="5"/>
        <v>5</v>
      </c>
      <c r="P84" s="5" t="s">
        <v>1368</v>
      </c>
      <c r="Q84" s="8">
        <v>0.9</v>
      </c>
      <c r="R84" s="5" t="s">
        <v>83</v>
      </c>
      <c r="S84" s="5" t="s">
        <v>61</v>
      </c>
      <c r="T84" s="7">
        <v>65.7</v>
      </c>
      <c r="U84" s="5" t="s">
        <v>375</v>
      </c>
    </row>
    <row r="85" spans="1:21" s="5" customFormat="1" x14ac:dyDescent="0.25">
      <c r="A85" s="5">
        <v>2030431358</v>
      </c>
      <c r="B85" s="5" t="s">
        <v>687</v>
      </c>
      <c r="C85" s="5" t="s">
        <v>882</v>
      </c>
      <c r="D85" s="5" t="str">
        <f t="shared" si="3"/>
        <v>HEINTZ BRETT</v>
      </c>
      <c r="E85" s="5" t="s">
        <v>200</v>
      </c>
      <c r="F85" s="5" t="s">
        <v>75</v>
      </c>
      <c r="G85" s="5" t="s">
        <v>243</v>
      </c>
      <c r="H85" s="5">
        <v>6634327</v>
      </c>
      <c r="I85" s="5" t="s">
        <v>566</v>
      </c>
      <c r="J85" s="5" t="s">
        <v>567</v>
      </c>
      <c r="K85" s="5" t="str">
        <f t="shared" si="4"/>
        <v>Joel Lee</v>
      </c>
      <c r="L85" s="6">
        <v>45881</v>
      </c>
      <c r="M85" s="6">
        <v>46034</v>
      </c>
      <c r="N85" s="7">
        <v>30.34</v>
      </c>
      <c r="O85" s="5">
        <f t="shared" si="5"/>
        <v>5</v>
      </c>
      <c r="P85" s="5" t="s">
        <v>1368</v>
      </c>
      <c r="Q85" s="8">
        <v>0.75</v>
      </c>
      <c r="R85" s="5" t="s">
        <v>83</v>
      </c>
      <c r="S85" s="5" t="s">
        <v>61</v>
      </c>
      <c r="T85" s="7">
        <v>22.76</v>
      </c>
      <c r="U85" s="5" t="s">
        <v>1371</v>
      </c>
    </row>
    <row r="86" spans="1:21" s="5" customFormat="1" x14ac:dyDescent="0.25">
      <c r="A86" s="5">
        <v>2030431357</v>
      </c>
      <c r="B86" s="5" t="s">
        <v>687</v>
      </c>
      <c r="C86" s="5" t="s">
        <v>882</v>
      </c>
      <c r="D86" s="5" t="str">
        <f t="shared" si="3"/>
        <v>HEINTZ BRETT</v>
      </c>
      <c r="E86" s="5" t="s">
        <v>200</v>
      </c>
      <c r="F86" s="5" t="s">
        <v>126</v>
      </c>
      <c r="G86" s="5" t="s">
        <v>132</v>
      </c>
      <c r="H86" s="5">
        <v>6634327</v>
      </c>
      <c r="I86" s="5" t="s">
        <v>566</v>
      </c>
      <c r="J86" s="5" t="s">
        <v>567</v>
      </c>
      <c r="K86" s="5" t="str">
        <f t="shared" si="4"/>
        <v>Joel Lee</v>
      </c>
      <c r="L86" s="6">
        <v>45881</v>
      </c>
      <c r="M86" s="6">
        <v>46034</v>
      </c>
      <c r="N86" s="7">
        <v>9.6999999999999993</v>
      </c>
      <c r="O86" s="5">
        <f t="shared" si="5"/>
        <v>5</v>
      </c>
      <c r="P86" s="5" t="s">
        <v>1368</v>
      </c>
      <c r="Q86" s="8">
        <v>0.7</v>
      </c>
      <c r="R86" s="5" t="s">
        <v>83</v>
      </c>
      <c r="S86" s="5" t="s">
        <v>61</v>
      </c>
      <c r="T86" s="7">
        <v>6.79</v>
      </c>
      <c r="U86" s="5" t="s">
        <v>132</v>
      </c>
    </row>
    <row r="87" spans="1:21" s="5" customFormat="1" x14ac:dyDescent="0.25">
      <c r="A87" s="5">
        <v>2030178517</v>
      </c>
      <c r="B87" s="5" t="s">
        <v>575</v>
      </c>
      <c r="C87" s="5" t="s">
        <v>576</v>
      </c>
      <c r="D87" s="5" t="str">
        <f t="shared" si="3"/>
        <v>RIVERA SARA</v>
      </c>
      <c r="E87" s="5" t="s">
        <v>515</v>
      </c>
      <c r="F87" s="5" t="s">
        <v>126</v>
      </c>
      <c r="G87" s="5" t="s">
        <v>132</v>
      </c>
      <c r="H87" s="5">
        <v>21421111</v>
      </c>
      <c r="I87" s="5" t="s">
        <v>534</v>
      </c>
      <c r="J87" s="5" t="s">
        <v>535</v>
      </c>
      <c r="K87" s="5" t="str">
        <f t="shared" si="4"/>
        <v>Kirk Tigue</v>
      </c>
      <c r="L87" s="6">
        <v>45867</v>
      </c>
      <c r="M87" s="6">
        <v>46020</v>
      </c>
      <c r="N87" s="7">
        <v>31.15</v>
      </c>
      <c r="O87" s="5">
        <f t="shared" si="5"/>
        <v>5</v>
      </c>
      <c r="P87" s="5" t="s">
        <v>1368</v>
      </c>
      <c r="Q87" s="8">
        <v>0.7</v>
      </c>
      <c r="R87" s="5" t="s">
        <v>83</v>
      </c>
      <c r="S87" s="5" t="s">
        <v>61</v>
      </c>
      <c r="T87" s="7">
        <v>21.8</v>
      </c>
      <c r="U87" s="5" t="s">
        <v>132</v>
      </c>
    </row>
    <row r="88" spans="1:21" s="5" customFormat="1" x14ac:dyDescent="0.25">
      <c r="A88" s="5">
        <v>2030404321</v>
      </c>
      <c r="B88" s="5" t="s">
        <v>588</v>
      </c>
      <c r="C88" s="5" t="s">
        <v>589</v>
      </c>
      <c r="D88" s="5" t="str">
        <f t="shared" si="3"/>
        <v>LUNDY SIDNEY</v>
      </c>
      <c r="E88" s="5" t="s">
        <v>357</v>
      </c>
      <c r="F88" s="5" t="s">
        <v>126</v>
      </c>
      <c r="G88" s="5" t="s">
        <v>132</v>
      </c>
      <c r="H88" s="5">
        <v>21421111</v>
      </c>
      <c r="I88" s="5" t="s">
        <v>534</v>
      </c>
      <c r="J88" s="5" t="s">
        <v>535</v>
      </c>
      <c r="K88" s="5" t="str">
        <f t="shared" si="4"/>
        <v>Kirk Tigue</v>
      </c>
      <c r="L88" s="6">
        <v>45878</v>
      </c>
      <c r="M88" s="6">
        <v>46031</v>
      </c>
      <c r="N88" s="7">
        <v>11.5</v>
      </c>
      <c r="O88" s="5">
        <f t="shared" si="5"/>
        <v>5</v>
      </c>
      <c r="P88" s="5" t="s">
        <v>1368</v>
      </c>
      <c r="Q88" s="8">
        <v>0.7</v>
      </c>
      <c r="R88" s="5" t="s">
        <v>83</v>
      </c>
      <c r="S88" s="5" t="s">
        <v>61</v>
      </c>
      <c r="T88" s="7">
        <v>8.0500000000000007</v>
      </c>
      <c r="U88" s="5" t="s">
        <v>132</v>
      </c>
    </row>
    <row r="89" spans="1:21" s="5" customFormat="1" x14ac:dyDescent="0.25">
      <c r="A89" s="5">
        <v>2030404320</v>
      </c>
      <c r="B89" s="5" t="s">
        <v>588</v>
      </c>
      <c r="C89" s="5" t="s">
        <v>589</v>
      </c>
      <c r="D89" s="5" t="str">
        <f t="shared" si="3"/>
        <v>LUNDY SIDNEY</v>
      </c>
      <c r="E89" s="5" t="s">
        <v>357</v>
      </c>
      <c r="F89" s="5" t="s">
        <v>86</v>
      </c>
      <c r="G89" s="5" t="s">
        <v>87</v>
      </c>
      <c r="H89" s="5">
        <v>21421111</v>
      </c>
      <c r="I89" s="5" t="s">
        <v>534</v>
      </c>
      <c r="J89" s="5" t="s">
        <v>535</v>
      </c>
      <c r="K89" s="5" t="str">
        <f t="shared" si="4"/>
        <v>Kirk Tigue</v>
      </c>
      <c r="L89" s="6">
        <v>45878</v>
      </c>
      <c r="M89" s="6">
        <v>46031</v>
      </c>
      <c r="N89" s="7">
        <v>44.56</v>
      </c>
      <c r="O89" s="5">
        <f t="shared" si="5"/>
        <v>5</v>
      </c>
      <c r="P89" s="5" t="s">
        <v>1368</v>
      </c>
      <c r="Q89" s="9">
        <v>0.375</v>
      </c>
      <c r="R89" s="5" t="s">
        <v>83</v>
      </c>
      <c r="S89" s="5" t="s">
        <v>61</v>
      </c>
      <c r="T89" s="7">
        <v>16.71</v>
      </c>
      <c r="U89" s="5" t="s">
        <v>87</v>
      </c>
    </row>
    <row r="90" spans="1:21" s="5" customFormat="1" x14ac:dyDescent="0.25">
      <c r="A90" s="5">
        <v>2030178516</v>
      </c>
      <c r="B90" s="5" t="s">
        <v>575</v>
      </c>
      <c r="C90" s="5" t="s">
        <v>576</v>
      </c>
      <c r="D90" s="5" t="str">
        <f t="shared" si="3"/>
        <v>RIVERA SARA</v>
      </c>
      <c r="E90" s="5" t="s">
        <v>515</v>
      </c>
      <c r="F90" s="5" t="s">
        <v>86</v>
      </c>
      <c r="G90" s="5" t="s">
        <v>87</v>
      </c>
      <c r="H90" s="5">
        <v>21421111</v>
      </c>
      <c r="I90" s="5" t="s">
        <v>534</v>
      </c>
      <c r="J90" s="5" t="s">
        <v>535</v>
      </c>
      <c r="K90" s="5" t="str">
        <f t="shared" si="4"/>
        <v>Kirk Tigue</v>
      </c>
      <c r="L90" s="6">
        <v>45867</v>
      </c>
      <c r="M90" s="6">
        <v>46020</v>
      </c>
      <c r="N90" s="7">
        <v>23.34</v>
      </c>
      <c r="O90" s="5">
        <f t="shared" si="5"/>
        <v>5</v>
      </c>
      <c r="P90" s="5" t="s">
        <v>1368</v>
      </c>
      <c r="Q90" s="9">
        <v>0.375</v>
      </c>
      <c r="R90" s="5" t="s">
        <v>83</v>
      </c>
      <c r="S90" s="5" t="s">
        <v>61</v>
      </c>
      <c r="T90" s="7">
        <v>8.75</v>
      </c>
      <c r="U90" s="5" t="s">
        <v>87</v>
      </c>
    </row>
    <row r="91" spans="1:21" s="5" customFormat="1" x14ac:dyDescent="0.25">
      <c r="A91" s="5">
        <v>2030375984</v>
      </c>
      <c r="B91" s="5" t="s">
        <v>279</v>
      </c>
      <c r="C91" s="5" t="s">
        <v>950</v>
      </c>
      <c r="D91" s="5" t="str">
        <f t="shared" si="3"/>
        <v>MOENKHAUS ERIC</v>
      </c>
      <c r="E91" s="5" t="s">
        <v>308</v>
      </c>
      <c r="F91" s="5" t="s">
        <v>290</v>
      </c>
      <c r="G91" s="5" t="s">
        <v>309</v>
      </c>
      <c r="H91" s="5">
        <v>20724564</v>
      </c>
      <c r="I91" s="5" t="s">
        <v>310</v>
      </c>
      <c r="J91" s="5" t="s">
        <v>311</v>
      </c>
      <c r="K91" s="5" t="str">
        <f t="shared" si="4"/>
        <v>Marsha Sanderock</v>
      </c>
      <c r="L91" s="6">
        <v>45877</v>
      </c>
      <c r="M91" s="6">
        <v>46030</v>
      </c>
      <c r="N91" s="7">
        <v>15</v>
      </c>
      <c r="O91" s="5">
        <f t="shared" si="5"/>
        <v>5</v>
      </c>
      <c r="P91" s="5" t="s">
        <v>1368</v>
      </c>
      <c r="Q91" s="8">
        <v>0.19</v>
      </c>
      <c r="R91" s="5" t="s">
        <v>83</v>
      </c>
      <c r="S91" s="5" t="s">
        <v>61</v>
      </c>
      <c r="T91" s="7">
        <v>2.85</v>
      </c>
      <c r="U91" s="5" t="s">
        <v>309</v>
      </c>
    </row>
    <row r="92" spans="1:21" s="5" customFormat="1" x14ac:dyDescent="0.25">
      <c r="A92" s="5">
        <v>2030107691</v>
      </c>
      <c r="B92" s="5" t="s">
        <v>204</v>
      </c>
      <c r="C92" s="5" t="s">
        <v>1324</v>
      </c>
      <c r="D92" s="5" t="str">
        <f t="shared" si="3"/>
        <v>WALLS KIMBERLY</v>
      </c>
      <c r="E92" s="5" t="s">
        <v>308</v>
      </c>
      <c r="F92" s="5" t="s">
        <v>169</v>
      </c>
      <c r="G92" s="5" t="s">
        <v>170</v>
      </c>
      <c r="H92" s="5">
        <v>20724564</v>
      </c>
      <c r="I92" s="5" t="s">
        <v>310</v>
      </c>
      <c r="J92" s="5" t="s">
        <v>311</v>
      </c>
      <c r="K92" s="5" t="str">
        <f t="shared" si="4"/>
        <v>Marsha Sanderock</v>
      </c>
      <c r="L92" s="6">
        <v>45870</v>
      </c>
      <c r="M92" s="6">
        <v>46023</v>
      </c>
      <c r="N92" s="7">
        <v>133.13</v>
      </c>
      <c r="O92" s="5">
        <f t="shared" si="5"/>
        <v>5</v>
      </c>
      <c r="P92" s="5" t="s">
        <v>1368</v>
      </c>
      <c r="Q92" s="8">
        <v>0.47</v>
      </c>
      <c r="R92" s="5" t="s">
        <v>83</v>
      </c>
      <c r="S92" s="5" t="s">
        <v>61</v>
      </c>
      <c r="T92" s="7">
        <v>62.57</v>
      </c>
      <c r="U92" s="5" t="s">
        <v>170</v>
      </c>
    </row>
    <row r="93" spans="1:21" s="5" customFormat="1" x14ac:dyDescent="0.25">
      <c r="A93" s="5">
        <v>2030359699</v>
      </c>
      <c r="B93" s="5" t="s">
        <v>1150</v>
      </c>
      <c r="C93" s="5" t="s">
        <v>1151</v>
      </c>
      <c r="D93" s="5" t="str">
        <f t="shared" si="3"/>
        <v>GERELTOGTOKH CHOINDONJAMTS</v>
      </c>
      <c r="E93" s="5" t="s">
        <v>102</v>
      </c>
      <c r="F93" s="5" t="s">
        <v>126</v>
      </c>
      <c r="G93" s="5" t="s">
        <v>132</v>
      </c>
      <c r="H93" s="5">
        <v>20220688</v>
      </c>
      <c r="I93" s="5" t="s">
        <v>418</v>
      </c>
      <c r="J93" s="5" t="s">
        <v>419</v>
      </c>
      <c r="K93" s="5" t="str">
        <f t="shared" si="4"/>
        <v>NASANDELGER ZANA</v>
      </c>
      <c r="L93" s="6">
        <v>45876</v>
      </c>
      <c r="M93" s="6">
        <v>46029</v>
      </c>
      <c r="N93" s="7">
        <v>58.24</v>
      </c>
      <c r="O93" s="5">
        <f t="shared" si="5"/>
        <v>5</v>
      </c>
      <c r="P93" s="5" t="s">
        <v>1368</v>
      </c>
      <c r="Q93" s="8">
        <v>0.7</v>
      </c>
      <c r="R93" s="5" t="s">
        <v>83</v>
      </c>
      <c r="S93" s="5" t="s">
        <v>61</v>
      </c>
      <c r="T93" s="7">
        <v>40.770000000000003</v>
      </c>
      <c r="U93" s="5" t="s">
        <v>132</v>
      </c>
    </row>
    <row r="94" spans="1:21" s="5" customFormat="1" x14ac:dyDescent="0.25">
      <c r="A94" s="5">
        <v>2030339441</v>
      </c>
      <c r="B94" s="5" t="s">
        <v>1146</v>
      </c>
      <c r="C94" s="5" t="s">
        <v>1147</v>
      </c>
      <c r="D94" s="5" t="str">
        <f t="shared" si="3"/>
        <v>NYAMBAATAR ALTANSOR</v>
      </c>
      <c r="E94" s="5" t="s">
        <v>102</v>
      </c>
      <c r="F94" s="5" t="s">
        <v>126</v>
      </c>
      <c r="G94" s="5" t="s">
        <v>132</v>
      </c>
      <c r="H94" s="5">
        <v>20220688</v>
      </c>
      <c r="I94" s="5" t="s">
        <v>418</v>
      </c>
      <c r="J94" s="5" t="s">
        <v>419</v>
      </c>
      <c r="K94" s="5" t="str">
        <f t="shared" si="4"/>
        <v>NASANDELGER ZANA</v>
      </c>
      <c r="L94" s="6">
        <v>45875</v>
      </c>
      <c r="M94" s="6">
        <v>46028</v>
      </c>
      <c r="N94" s="7">
        <v>49.8</v>
      </c>
      <c r="O94" s="5">
        <f t="shared" si="5"/>
        <v>5</v>
      </c>
      <c r="P94" s="5" t="s">
        <v>1368</v>
      </c>
      <c r="Q94" s="8">
        <v>0.7</v>
      </c>
      <c r="R94" s="5" t="s">
        <v>83</v>
      </c>
      <c r="S94" s="5" t="s">
        <v>61</v>
      </c>
      <c r="T94" s="7">
        <v>34.86</v>
      </c>
      <c r="U94" s="5" t="s">
        <v>132</v>
      </c>
    </row>
    <row r="95" spans="1:21" s="5" customFormat="1" x14ac:dyDescent="0.25">
      <c r="A95" s="5">
        <v>2030341641</v>
      </c>
      <c r="B95" s="5" t="s">
        <v>579</v>
      </c>
      <c r="C95" s="5" t="s">
        <v>580</v>
      </c>
      <c r="D95" s="5" t="str">
        <f t="shared" si="3"/>
        <v>INGABIRE ROSINE</v>
      </c>
      <c r="E95" s="5" t="s">
        <v>52</v>
      </c>
      <c r="F95" s="5" t="s">
        <v>86</v>
      </c>
      <c r="G95" s="5" t="s">
        <v>87</v>
      </c>
      <c r="H95" s="5">
        <v>8971826</v>
      </c>
      <c r="I95" s="5" t="s">
        <v>581</v>
      </c>
      <c r="J95" s="5" t="s">
        <v>582</v>
      </c>
      <c r="K95" s="5" t="str">
        <f t="shared" si="4"/>
        <v>SCOTT AGUGLIA</v>
      </c>
      <c r="L95" s="6">
        <v>45875</v>
      </c>
      <c r="M95" s="6">
        <v>46028</v>
      </c>
      <c r="N95" s="7">
        <v>30.12</v>
      </c>
      <c r="O95" s="5">
        <f t="shared" si="5"/>
        <v>5</v>
      </c>
      <c r="P95" s="5" t="s">
        <v>1368</v>
      </c>
      <c r="Q95" s="9">
        <v>0.375</v>
      </c>
      <c r="R95" s="5" t="s">
        <v>83</v>
      </c>
      <c r="S95" s="5" t="s">
        <v>61</v>
      </c>
      <c r="T95" s="7">
        <v>11.3</v>
      </c>
      <c r="U95" s="5" t="s">
        <v>87</v>
      </c>
    </row>
    <row r="96" spans="1:21" s="5" customFormat="1" x14ac:dyDescent="0.25">
      <c r="A96" s="5">
        <v>2030359370</v>
      </c>
      <c r="B96" s="5" t="s">
        <v>1148</v>
      </c>
      <c r="C96" s="5" t="s">
        <v>1149</v>
      </c>
      <c r="D96" s="5" t="str">
        <f t="shared" si="3"/>
        <v>PLAINFEATHER LUJUANA</v>
      </c>
      <c r="E96" s="5" t="s">
        <v>389</v>
      </c>
      <c r="F96" s="5" t="s">
        <v>126</v>
      </c>
      <c r="G96" s="5" t="s">
        <v>402</v>
      </c>
      <c r="H96" s="5">
        <v>371819</v>
      </c>
      <c r="I96" s="5" t="s">
        <v>138</v>
      </c>
      <c r="J96" s="5" t="s">
        <v>107</v>
      </c>
      <c r="K96" s="5" t="str">
        <f t="shared" si="4"/>
        <v>THOMAS PARDUE</v>
      </c>
      <c r="L96" s="6">
        <v>45879</v>
      </c>
      <c r="M96" s="6">
        <v>46032</v>
      </c>
      <c r="N96" s="7">
        <v>15.73</v>
      </c>
      <c r="O96" s="5">
        <f t="shared" si="5"/>
        <v>5</v>
      </c>
      <c r="P96" s="5" t="s">
        <v>1368</v>
      </c>
      <c r="Q96" s="8">
        <v>0.42</v>
      </c>
      <c r="R96" s="5" t="s">
        <v>83</v>
      </c>
      <c r="S96" s="5" t="s">
        <v>61</v>
      </c>
      <c r="T96" s="7">
        <v>6.61</v>
      </c>
      <c r="U96" s="5" t="s">
        <v>402</v>
      </c>
    </row>
    <row r="97" spans="1:21" s="5" customFormat="1" x14ac:dyDescent="0.25">
      <c r="A97" s="5">
        <v>2030312965</v>
      </c>
      <c r="B97" s="5" t="s">
        <v>1328</v>
      </c>
      <c r="C97" s="5" t="s">
        <v>1282</v>
      </c>
      <c r="D97" s="5" t="str">
        <f t="shared" si="3"/>
        <v>DAVIS LOWELL</v>
      </c>
      <c r="E97" s="5" t="s">
        <v>357</v>
      </c>
      <c r="F97" s="5" t="s">
        <v>169</v>
      </c>
      <c r="G97" s="5" t="s">
        <v>170</v>
      </c>
      <c r="H97" s="5">
        <v>371819</v>
      </c>
      <c r="I97" s="5" t="s">
        <v>138</v>
      </c>
      <c r="J97" s="5" t="s">
        <v>107</v>
      </c>
      <c r="K97" s="5" t="str">
        <f t="shared" si="4"/>
        <v>THOMAS PARDUE</v>
      </c>
      <c r="L97" s="6">
        <v>45874</v>
      </c>
      <c r="M97" s="6">
        <v>46027</v>
      </c>
      <c r="N97" s="7">
        <v>29.97</v>
      </c>
      <c r="O97" s="5">
        <f t="shared" si="5"/>
        <v>5</v>
      </c>
      <c r="P97" s="5" t="s">
        <v>1368</v>
      </c>
      <c r="Q97" s="8">
        <v>0.47</v>
      </c>
      <c r="R97" s="5" t="s">
        <v>83</v>
      </c>
      <c r="S97" s="5" t="s">
        <v>61</v>
      </c>
      <c r="T97" s="7">
        <v>14.09</v>
      </c>
      <c r="U97" s="5" t="s">
        <v>170</v>
      </c>
    </row>
    <row r="98" spans="1:21" s="5" customFormat="1" x14ac:dyDescent="0.25">
      <c r="A98" s="5">
        <v>2030359371</v>
      </c>
      <c r="B98" s="5" t="s">
        <v>1148</v>
      </c>
      <c r="C98" s="5" t="s">
        <v>1149</v>
      </c>
      <c r="D98" s="5" t="str">
        <f t="shared" si="3"/>
        <v>PLAINFEATHER LUJUANA</v>
      </c>
      <c r="E98" s="5" t="s">
        <v>389</v>
      </c>
      <c r="F98" s="5" t="s">
        <v>126</v>
      </c>
      <c r="G98" s="5" t="s">
        <v>375</v>
      </c>
      <c r="H98" s="5">
        <v>371819</v>
      </c>
      <c r="I98" s="5" t="s">
        <v>138</v>
      </c>
      <c r="J98" s="5" t="s">
        <v>107</v>
      </c>
      <c r="K98" s="5" t="str">
        <f t="shared" si="4"/>
        <v>THOMAS PARDUE</v>
      </c>
      <c r="L98" s="6">
        <v>45879</v>
      </c>
      <c r="M98" s="6">
        <v>46032</v>
      </c>
      <c r="N98" s="7">
        <v>37.42</v>
      </c>
      <c r="O98" s="5">
        <f t="shared" si="5"/>
        <v>5</v>
      </c>
      <c r="P98" s="5" t="s">
        <v>1368</v>
      </c>
      <c r="Q98" s="8">
        <v>0.9</v>
      </c>
      <c r="R98" s="5" t="s">
        <v>83</v>
      </c>
      <c r="S98" s="5" t="s">
        <v>61</v>
      </c>
      <c r="T98" s="7">
        <v>33.68</v>
      </c>
      <c r="U98" s="5" t="s">
        <v>375</v>
      </c>
    </row>
    <row r="99" spans="1:21" s="5" customFormat="1" x14ac:dyDescent="0.25">
      <c r="A99" s="5">
        <v>2030244414</v>
      </c>
      <c r="B99" s="5" t="s">
        <v>1144</v>
      </c>
      <c r="C99" s="5" t="s">
        <v>817</v>
      </c>
      <c r="D99" s="5" t="str">
        <f t="shared" si="3"/>
        <v>LEWIS GHESSICA</v>
      </c>
      <c r="E99" s="5" t="s">
        <v>357</v>
      </c>
      <c r="F99" s="5" t="s">
        <v>126</v>
      </c>
      <c r="G99" s="5" t="s">
        <v>375</v>
      </c>
      <c r="H99" s="5">
        <v>371819</v>
      </c>
      <c r="I99" s="5" t="s">
        <v>138</v>
      </c>
      <c r="J99" s="5" t="s">
        <v>107</v>
      </c>
      <c r="K99" s="5" t="str">
        <f t="shared" si="4"/>
        <v>THOMAS PARDUE</v>
      </c>
      <c r="L99" s="6">
        <v>45870</v>
      </c>
      <c r="M99" s="6">
        <v>46023</v>
      </c>
      <c r="N99" s="7">
        <v>34.75</v>
      </c>
      <c r="O99" s="5">
        <f t="shared" si="5"/>
        <v>5</v>
      </c>
      <c r="P99" s="5" t="s">
        <v>1368</v>
      </c>
      <c r="Q99" s="8">
        <v>0.9</v>
      </c>
      <c r="R99" s="5" t="s">
        <v>83</v>
      </c>
      <c r="S99" s="5" t="s">
        <v>61</v>
      </c>
      <c r="T99" s="7">
        <v>31.28</v>
      </c>
      <c r="U99" s="5" t="s">
        <v>375</v>
      </c>
    </row>
    <row r="100" spans="1:21" s="5" customFormat="1" x14ac:dyDescent="0.25">
      <c r="A100" s="5">
        <v>2030406801</v>
      </c>
      <c r="B100" s="5" t="s">
        <v>590</v>
      </c>
      <c r="C100" s="5" t="s">
        <v>591</v>
      </c>
      <c r="D100" s="5" t="str">
        <f t="shared" si="3"/>
        <v>FARRIS KRISTYN</v>
      </c>
      <c r="E100" s="5" t="s">
        <v>200</v>
      </c>
      <c r="F100" s="5" t="s">
        <v>75</v>
      </c>
      <c r="G100" s="5" t="s">
        <v>243</v>
      </c>
      <c r="H100" s="5">
        <v>21313588</v>
      </c>
      <c r="I100" s="5" t="s">
        <v>344</v>
      </c>
      <c r="J100" s="5" t="s">
        <v>260</v>
      </c>
      <c r="K100" s="5" t="str">
        <f t="shared" si="4"/>
        <v>WILLIAM GESKE</v>
      </c>
      <c r="L100" s="6">
        <v>45878</v>
      </c>
      <c r="M100" s="6">
        <v>46031</v>
      </c>
      <c r="N100" s="7">
        <v>27.28</v>
      </c>
      <c r="O100" s="5">
        <f t="shared" si="5"/>
        <v>5</v>
      </c>
      <c r="P100" s="5" t="s">
        <v>1368</v>
      </c>
      <c r="Q100" s="8">
        <v>0.75</v>
      </c>
      <c r="R100" s="5" t="s">
        <v>83</v>
      </c>
      <c r="S100" s="5" t="s">
        <v>61</v>
      </c>
      <c r="T100" s="7">
        <v>20.46</v>
      </c>
      <c r="U100" s="5" t="s">
        <v>1371</v>
      </c>
    </row>
    <row r="101" spans="1:21" s="5" customFormat="1" x14ac:dyDescent="0.25">
      <c r="A101" s="5">
        <v>2030395014</v>
      </c>
      <c r="B101" s="5" t="s">
        <v>683</v>
      </c>
      <c r="C101" s="5" t="s">
        <v>684</v>
      </c>
      <c r="D101" s="5" t="str">
        <f t="shared" si="3"/>
        <v>KINNEY ERIN</v>
      </c>
      <c r="E101" s="5" t="s">
        <v>200</v>
      </c>
      <c r="F101" s="5" t="s">
        <v>365</v>
      </c>
      <c r="G101" s="5" t="s">
        <v>366</v>
      </c>
      <c r="H101" s="5">
        <v>21313588</v>
      </c>
      <c r="I101" s="5" t="s">
        <v>344</v>
      </c>
      <c r="J101" s="5" t="s">
        <v>260</v>
      </c>
      <c r="K101" s="5" t="str">
        <f t="shared" si="4"/>
        <v>WILLIAM GESKE</v>
      </c>
      <c r="L101" s="6">
        <v>45878</v>
      </c>
      <c r="M101" s="6">
        <v>46031</v>
      </c>
      <c r="N101" s="7">
        <v>23.69</v>
      </c>
      <c r="O101" s="5">
        <f t="shared" si="5"/>
        <v>5</v>
      </c>
      <c r="P101" s="5" t="s">
        <v>1368</v>
      </c>
      <c r="Q101" s="8">
        <v>0.38</v>
      </c>
      <c r="R101" s="5" t="s">
        <v>83</v>
      </c>
      <c r="S101" s="5" t="s">
        <v>61</v>
      </c>
      <c r="T101" s="7">
        <v>9</v>
      </c>
      <c r="U101" s="5" t="s">
        <v>366</v>
      </c>
    </row>
    <row r="102" spans="1:21" s="5" customFormat="1" x14ac:dyDescent="0.25">
      <c r="A102" s="5">
        <v>2030395015</v>
      </c>
      <c r="B102" s="5" t="s">
        <v>683</v>
      </c>
      <c r="C102" s="5" t="s">
        <v>684</v>
      </c>
      <c r="D102" s="5" t="str">
        <f t="shared" si="3"/>
        <v>KINNEY ERIN</v>
      </c>
      <c r="E102" s="5" t="s">
        <v>200</v>
      </c>
      <c r="F102" s="5" t="s">
        <v>126</v>
      </c>
      <c r="G102" s="5" t="s">
        <v>132</v>
      </c>
      <c r="H102" s="5">
        <v>21313588</v>
      </c>
      <c r="I102" s="5" t="s">
        <v>344</v>
      </c>
      <c r="J102" s="5" t="s">
        <v>260</v>
      </c>
      <c r="K102" s="5" t="str">
        <f t="shared" si="4"/>
        <v>WILLIAM GESKE</v>
      </c>
      <c r="L102" s="6">
        <v>45878</v>
      </c>
      <c r="M102" s="6">
        <v>46031</v>
      </c>
      <c r="N102" s="7">
        <v>9.1</v>
      </c>
      <c r="O102" s="5">
        <f t="shared" si="5"/>
        <v>5</v>
      </c>
      <c r="P102" s="5" t="s">
        <v>1368</v>
      </c>
      <c r="Q102" s="8">
        <v>0.7</v>
      </c>
      <c r="R102" s="5" t="s">
        <v>83</v>
      </c>
      <c r="S102" s="5" t="s">
        <v>61</v>
      </c>
      <c r="T102" s="7">
        <v>6.37</v>
      </c>
      <c r="U102" s="5" t="s">
        <v>132</v>
      </c>
    </row>
    <row r="103" spans="1:21" s="5" customFormat="1" x14ac:dyDescent="0.25">
      <c r="A103" s="5">
        <v>2030406800</v>
      </c>
      <c r="B103" s="5" t="s">
        <v>590</v>
      </c>
      <c r="C103" s="5" t="s">
        <v>591</v>
      </c>
      <c r="D103" s="5" t="str">
        <f t="shared" si="3"/>
        <v>FARRIS KRISTYN</v>
      </c>
      <c r="E103" s="5" t="s">
        <v>200</v>
      </c>
      <c r="F103" s="5" t="s">
        <v>126</v>
      </c>
      <c r="G103" s="5" t="s">
        <v>132</v>
      </c>
      <c r="H103" s="5">
        <v>21313588</v>
      </c>
      <c r="I103" s="5" t="s">
        <v>344</v>
      </c>
      <c r="J103" s="5" t="s">
        <v>260</v>
      </c>
      <c r="K103" s="5" t="str">
        <f t="shared" si="4"/>
        <v>WILLIAM GESKE</v>
      </c>
      <c r="L103" s="6">
        <v>45878</v>
      </c>
      <c r="M103" s="6">
        <v>46031</v>
      </c>
      <c r="N103" s="7">
        <v>9.1</v>
      </c>
      <c r="O103" s="5">
        <f t="shared" si="5"/>
        <v>5</v>
      </c>
      <c r="P103" s="5" t="s">
        <v>1368</v>
      </c>
      <c r="Q103" s="8">
        <v>0.7</v>
      </c>
      <c r="R103" s="5" t="s">
        <v>83</v>
      </c>
      <c r="S103" s="5" t="s">
        <v>61</v>
      </c>
      <c r="T103" s="7">
        <v>6.37</v>
      </c>
      <c r="U103" s="5" t="s">
        <v>132</v>
      </c>
    </row>
    <row r="104" spans="1:21" s="5" customFormat="1" x14ac:dyDescent="0.25">
      <c r="A104" s="5">
        <v>2030406802</v>
      </c>
      <c r="B104" s="5" t="s">
        <v>590</v>
      </c>
      <c r="C104" s="5" t="s">
        <v>591</v>
      </c>
      <c r="D104" s="5" t="str">
        <f t="shared" si="3"/>
        <v>FARRIS KRISTYN</v>
      </c>
      <c r="E104" s="5" t="s">
        <v>200</v>
      </c>
      <c r="F104" s="5" t="s">
        <v>86</v>
      </c>
      <c r="G104" s="5" t="s">
        <v>87</v>
      </c>
      <c r="H104" s="5">
        <v>21313588</v>
      </c>
      <c r="I104" s="5" t="s">
        <v>344</v>
      </c>
      <c r="J104" s="5" t="s">
        <v>260</v>
      </c>
      <c r="K104" s="5" t="str">
        <f t="shared" si="4"/>
        <v>WILLIAM GESKE</v>
      </c>
      <c r="L104" s="6">
        <v>45878</v>
      </c>
      <c r="M104" s="6">
        <v>46031</v>
      </c>
      <c r="N104" s="7">
        <v>47.28</v>
      </c>
      <c r="O104" s="5">
        <f t="shared" si="5"/>
        <v>5</v>
      </c>
      <c r="P104" s="5" t="s">
        <v>1368</v>
      </c>
      <c r="Q104" s="9">
        <v>0.375</v>
      </c>
      <c r="R104" s="5" t="s">
        <v>83</v>
      </c>
      <c r="S104" s="5" t="s">
        <v>61</v>
      </c>
      <c r="T104" s="7">
        <v>17.73</v>
      </c>
      <c r="U104" s="5" t="s">
        <v>87</v>
      </c>
    </row>
    <row r="105" spans="1:21" s="5" customFormat="1" x14ac:dyDescent="0.25">
      <c r="A105" s="5">
        <v>2029844784</v>
      </c>
      <c r="B105" s="5" t="s">
        <v>678</v>
      </c>
      <c r="C105" s="5" t="s">
        <v>679</v>
      </c>
      <c r="D105" s="5" t="str">
        <f t="shared" si="3"/>
        <v>CAMPANELLA ANTHONY</v>
      </c>
      <c r="E105" s="5" t="s">
        <v>102</v>
      </c>
      <c r="F105" s="5" t="s">
        <v>365</v>
      </c>
      <c r="G105" s="5" t="s">
        <v>370</v>
      </c>
      <c r="H105" s="5">
        <v>16912722</v>
      </c>
      <c r="I105" s="5" t="s">
        <v>206</v>
      </c>
      <c r="J105" s="5" t="s">
        <v>207</v>
      </c>
      <c r="K105" s="5" t="str">
        <f t="shared" si="4"/>
        <v>ANDREA PETRUNGARO</v>
      </c>
      <c r="L105" s="6">
        <v>45849</v>
      </c>
      <c r="M105" s="6">
        <v>46033</v>
      </c>
      <c r="N105" s="7">
        <v>455.99</v>
      </c>
      <c r="O105" s="5">
        <f t="shared" si="5"/>
        <v>6</v>
      </c>
      <c r="P105" s="5" t="s">
        <v>1370</v>
      </c>
      <c r="Q105" s="8">
        <v>0.38</v>
      </c>
      <c r="R105" s="5" t="s">
        <v>83</v>
      </c>
      <c r="S105" s="5" t="s">
        <v>61</v>
      </c>
      <c r="T105" s="7">
        <v>173.27</v>
      </c>
      <c r="U105" s="5" t="s">
        <v>370</v>
      </c>
    </row>
    <row r="106" spans="1:21" s="5" customFormat="1" x14ac:dyDescent="0.25">
      <c r="A106" s="5">
        <v>2029844785</v>
      </c>
      <c r="B106" s="5" t="s">
        <v>678</v>
      </c>
      <c r="C106" s="5" t="s">
        <v>679</v>
      </c>
      <c r="D106" s="5" t="str">
        <f t="shared" si="3"/>
        <v>CAMPANELLA ANTHONY</v>
      </c>
      <c r="E106" s="5" t="s">
        <v>102</v>
      </c>
      <c r="F106" s="5" t="s">
        <v>365</v>
      </c>
      <c r="G106" s="5" t="s">
        <v>371</v>
      </c>
      <c r="H106" s="5">
        <v>16912722</v>
      </c>
      <c r="I106" s="5" t="s">
        <v>206</v>
      </c>
      <c r="J106" s="5" t="s">
        <v>207</v>
      </c>
      <c r="K106" s="5" t="str">
        <f t="shared" si="4"/>
        <v>ANDREA PETRUNGARO</v>
      </c>
      <c r="L106" s="6">
        <v>45849</v>
      </c>
      <c r="M106" s="6">
        <v>46033</v>
      </c>
      <c r="N106" s="7">
        <v>7.09</v>
      </c>
      <c r="O106" s="5">
        <f t="shared" si="5"/>
        <v>6</v>
      </c>
      <c r="P106" s="5" t="s">
        <v>1370</v>
      </c>
      <c r="Q106" s="8">
        <v>0.38</v>
      </c>
      <c r="R106" s="5" t="s">
        <v>83</v>
      </c>
      <c r="S106" s="5" t="s">
        <v>61</v>
      </c>
      <c r="T106" s="7">
        <v>2.69</v>
      </c>
      <c r="U106" s="5" t="s">
        <v>370</v>
      </c>
    </row>
    <row r="107" spans="1:21" s="5" customFormat="1" x14ac:dyDescent="0.25">
      <c r="A107" s="5">
        <v>2029844786</v>
      </c>
      <c r="B107" s="5" t="s">
        <v>678</v>
      </c>
      <c r="C107" s="5" t="s">
        <v>679</v>
      </c>
      <c r="D107" s="5" t="str">
        <f t="shared" si="3"/>
        <v>CAMPANELLA ANTHONY</v>
      </c>
      <c r="E107" s="5" t="s">
        <v>102</v>
      </c>
      <c r="F107" s="5" t="s">
        <v>290</v>
      </c>
      <c r="G107" s="5" t="s">
        <v>298</v>
      </c>
      <c r="H107" s="5">
        <v>16912722</v>
      </c>
      <c r="I107" s="5" t="s">
        <v>206</v>
      </c>
      <c r="J107" s="5" t="s">
        <v>207</v>
      </c>
      <c r="K107" s="5" t="str">
        <f t="shared" si="4"/>
        <v>ANDREA PETRUNGARO</v>
      </c>
      <c r="L107" s="6">
        <v>45849</v>
      </c>
      <c r="M107" s="6">
        <v>46033</v>
      </c>
      <c r="N107" s="7">
        <v>15</v>
      </c>
      <c r="O107" s="5">
        <f t="shared" si="5"/>
        <v>6</v>
      </c>
      <c r="P107" s="5" t="s">
        <v>1370</v>
      </c>
      <c r="Q107" s="8">
        <v>0.38</v>
      </c>
      <c r="R107" s="5" t="s">
        <v>83</v>
      </c>
      <c r="S107" s="5" t="s">
        <v>61</v>
      </c>
      <c r="T107" s="7">
        <v>5.7</v>
      </c>
      <c r="U107" s="5" t="s">
        <v>298</v>
      </c>
    </row>
    <row r="108" spans="1:21" s="5" customFormat="1" x14ac:dyDescent="0.25">
      <c r="A108" s="5">
        <v>2029844783</v>
      </c>
      <c r="B108" s="5" t="s">
        <v>678</v>
      </c>
      <c r="C108" s="5" t="s">
        <v>679</v>
      </c>
      <c r="D108" s="5" t="str">
        <f t="shared" si="3"/>
        <v>CAMPANELLA ANTHONY</v>
      </c>
      <c r="E108" s="5" t="s">
        <v>102</v>
      </c>
      <c r="F108" s="5" t="s">
        <v>126</v>
      </c>
      <c r="G108" s="5" t="s">
        <v>132</v>
      </c>
      <c r="H108" s="5">
        <v>16912722</v>
      </c>
      <c r="I108" s="5" t="s">
        <v>206</v>
      </c>
      <c r="J108" s="5" t="s">
        <v>207</v>
      </c>
      <c r="K108" s="5" t="str">
        <f t="shared" si="4"/>
        <v>ANDREA PETRUNGARO</v>
      </c>
      <c r="L108" s="6">
        <v>45849</v>
      </c>
      <c r="M108" s="6">
        <v>46033</v>
      </c>
      <c r="N108" s="7">
        <v>126.92</v>
      </c>
      <c r="O108" s="5">
        <f t="shared" si="5"/>
        <v>6</v>
      </c>
      <c r="P108" s="5" t="s">
        <v>1370</v>
      </c>
      <c r="Q108" s="8">
        <v>0.7</v>
      </c>
      <c r="R108" s="5" t="s">
        <v>83</v>
      </c>
      <c r="S108" s="5" t="s">
        <v>61</v>
      </c>
      <c r="T108" s="7">
        <v>88.84</v>
      </c>
      <c r="U108" s="5" t="s">
        <v>132</v>
      </c>
    </row>
    <row r="109" spans="1:21" s="5" customFormat="1" x14ac:dyDescent="0.25">
      <c r="A109" s="5">
        <v>2029838335</v>
      </c>
      <c r="B109" s="5" t="s">
        <v>676</v>
      </c>
      <c r="C109" s="5" t="s">
        <v>677</v>
      </c>
      <c r="D109" s="5" t="str">
        <f t="shared" si="3"/>
        <v>DIECKMANN LYNSEY</v>
      </c>
      <c r="E109" s="5" t="s">
        <v>102</v>
      </c>
      <c r="F109" s="5" t="s">
        <v>365</v>
      </c>
      <c r="G109" s="5" t="s">
        <v>370</v>
      </c>
      <c r="H109" s="5">
        <v>7146581</v>
      </c>
      <c r="I109" s="5" t="s">
        <v>525</v>
      </c>
      <c r="J109" s="5" t="s">
        <v>526</v>
      </c>
      <c r="K109" s="5" t="str">
        <f t="shared" si="4"/>
        <v>Anthony Hunsberger</v>
      </c>
      <c r="L109" s="6">
        <v>45846</v>
      </c>
      <c r="M109" s="6">
        <v>46030</v>
      </c>
      <c r="N109" s="7">
        <v>181.4</v>
      </c>
      <c r="O109" s="5">
        <f t="shared" si="5"/>
        <v>6</v>
      </c>
      <c r="P109" s="5" t="s">
        <v>1370</v>
      </c>
      <c r="Q109" s="8">
        <v>0.38</v>
      </c>
      <c r="R109" s="5" t="s">
        <v>83</v>
      </c>
      <c r="S109" s="5" t="s">
        <v>61</v>
      </c>
      <c r="T109" s="7">
        <v>68.930000000000007</v>
      </c>
      <c r="U109" s="5" t="s">
        <v>370</v>
      </c>
    </row>
    <row r="110" spans="1:21" s="5" customFormat="1" x14ac:dyDescent="0.25">
      <c r="A110" s="5">
        <v>2029838336</v>
      </c>
      <c r="B110" s="5" t="s">
        <v>676</v>
      </c>
      <c r="C110" s="5" t="s">
        <v>677</v>
      </c>
      <c r="D110" s="5" t="str">
        <f t="shared" si="3"/>
        <v>DIECKMANN LYNSEY</v>
      </c>
      <c r="E110" s="5" t="s">
        <v>102</v>
      </c>
      <c r="F110" s="5" t="s">
        <v>75</v>
      </c>
      <c r="G110" s="5" t="s">
        <v>243</v>
      </c>
      <c r="H110" s="5">
        <v>7146581</v>
      </c>
      <c r="I110" s="5" t="s">
        <v>525</v>
      </c>
      <c r="J110" s="5" t="s">
        <v>526</v>
      </c>
      <c r="K110" s="5" t="str">
        <f t="shared" si="4"/>
        <v>Anthony Hunsberger</v>
      </c>
      <c r="L110" s="6">
        <v>45846</v>
      </c>
      <c r="M110" s="6">
        <v>46030</v>
      </c>
      <c r="N110" s="7">
        <v>20.6</v>
      </c>
      <c r="O110" s="5">
        <f t="shared" si="5"/>
        <v>6</v>
      </c>
      <c r="P110" s="5" t="s">
        <v>1370</v>
      </c>
      <c r="Q110" s="8">
        <v>0.75</v>
      </c>
      <c r="R110" s="5" t="s">
        <v>83</v>
      </c>
      <c r="S110" s="5" t="s">
        <v>61</v>
      </c>
      <c r="T110" s="7">
        <v>15.45</v>
      </c>
      <c r="U110" s="5" t="s">
        <v>1371</v>
      </c>
    </row>
    <row r="111" spans="1:21" s="5" customFormat="1" x14ac:dyDescent="0.25">
      <c r="A111" s="5">
        <v>2029838337</v>
      </c>
      <c r="B111" s="5" t="s">
        <v>676</v>
      </c>
      <c r="C111" s="5" t="s">
        <v>677</v>
      </c>
      <c r="D111" s="5" t="str">
        <f t="shared" si="3"/>
        <v>DIECKMANN LYNSEY</v>
      </c>
      <c r="E111" s="5" t="s">
        <v>102</v>
      </c>
      <c r="F111" s="5" t="s">
        <v>290</v>
      </c>
      <c r="G111" s="5" t="s">
        <v>298</v>
      </c>
      <c r="H111" s="5">
        <v>7146581</v>
      </c>
      <c r="I111" s="5" t="s">
        <v>525</v>
      </c>
      <c r="J111" s="5" t="s">
        <v>526</v>
      </c>
      <c r="K111" s="5" t="str">
        <f t="shared" si="4"/>
        <v>Anthony Hunsberger</v>
      </c>
      <c r="L111" s="6">
        <v>45846</v>
      </c>
      <c r="M111" s="6">
        <v>46030</v>
      </c>
      <c r="N111" s="7">
        <v>15</v>
      </c>
      <c r="O111" s="5">
        <f t="shared" si="5"/>
        <v>6</v>
      </c>
      <c r="P111" s="5" t="s">
        <v>1370</v>
      </c>
      <c r="Q111" s="8">
        <v>0.38</v>
      </c>
      <c r="R111" s="5" t="s">
        <v>83</v>
      </c>
      <c r="S111" s="5" t="s">
        <v>61</v>
      </c>
      <c r="T111" s="7">
        <v>5.7</v>
      </c>
      <c r="U111" s="5" t="s">
        <v>298</v>
      </c>
    </row>
    <row r="112" spans="1:21" s="5" customFormat="1" ht="15.75" customHeight="1" x14ac:dyDescent="0.25">
      <c r="A112" s="5">
        <v>2029838334</v>
      </c>
      <c r="B112" s="5" t="s">
        <v>676</v>
      </c>
      <c r="C112" s="5" t="s">
        <v>677</v>
      </c>
      <c r="D112" s="5" t="str">
        <f t="shared" si="3"/>
        <v>DIECKMANN LYNSEY</v>
      </c>
      <c r="E112" s="5" t="s">
        <v>102</v>
      </c>
      <c r="F112" s="5" t="s">
        <v>126</v>
      </c>
      <c r="G112" s="5" t="s">
        <v>132</v>
      </c>
      <c r="H112" s="5">
        <v>7146581</v>
      </c>
      <c r="I112" s="5" t="s">
        <v>525</v>
      </c>
      <c r="J112" s="5" t="s">
        <v>526</v>
      </c>
      <c r="K112" s="5" t="str">
        <f t="shared" si="4"/>
        <v>Anthony Hunsberger</v>
      </c>
      <c r="L112" s="6">
        <v>45846</v>
      </c>
      <c r="M112" s="6">
        <v>46030</v>
      </c>
      <c r="N112" s="7">
        <v>56.5</v>
      </c>
      <c r="O112" s="5">
        <f t="shared" si="5"/>
        <v>6</v>
      </c>
      <c r="P112" s="5" t="s">
        <v>1370</v>
      </c>
      <c r="Q112" s="8">
        <v>0.7</v>
      </c>
      <c r="R112" s="5" t="s">
        <v>83</v>
      </c>
      <c r="S112" s="5" t="s">
        <v>61</v>
      </c>
      <c r="T112" s="7">
        <v>39.549999999999997</v>
      </c>
      <c r="U112" s="5" t="s">
        <v>132</v>
      </c>
    </row>
    <row r="113" spans="1:21" s="5" customFormat="1" x14ac:dyDescent="0.25">
      <c r="A113" s="5">
        <v>2029910891</v>
      </c>
      <c r="B113" s="5" t="s">
        <v>573</v>
      </c>
      <c r="C113" s="5" t="s">
        <v>574</v>
      </c>
      <c r="D113" s="5" t="str">
        <f t="shared" si="3"/>
        <v>LINN ZABRINA</v>
      </c>
      <c r="E113" s="5" t="s">
        <v>97</v>
      </c>
      <c r="F113" s="5" t="s">
        <v>126</v>
      </c>
      <c r="G113" s="5" t="s">
        <v>132</v>
      </c>
      <c r="H113" s="5" t="s">
        <v>1391</v>
      </c>
      <c r="I113" s="5" t="s">
        <v>145</v>
      </c>
      <c r="J113" s="5" t="s">
        <v>146</v>
      </c>
      <c r="K113" s="5" t="str">
        <f t="shared" si="4"/>
        <v>Jake Shulman</v>
      </c>
      <c r="L113" s="6">
        <v>45850</v>
      </c>
      <c r="M113" s="6">
        <v>46034</v>
      </c>
      <c r="N113" s="7">
        <v>44.15</v>
      </c>
      <c r="O113" s="5">
        <f t="shared" si="5"/>
        <v>6</v>
      </c>
      <c r="P113" s="5" t="s">
        <v>1370</v>
      </c>
      <c r="Q113" s="8">
        <v>0.7</v>
      </c>
      <c r="R113" s="5" t="s">
        <v>83</v>
      </c>
      <c r="S113" s="5" t="s">
        <v>61</v>
      </c>
      <c r="T113" s="7">
        <v>30.9</v>
      </c>
      <c r="U113" s="5" t="s">
        <v>132</v>
      </c>
    </row>
    <row r="114" spans="1:21" s="5" customFormat="1" x14ac:dyDescent="0.25">
      <c r="A114" s="5">
        <v>2029910892</v>
      </c>
      <c r="B114" s="5" t="s">
        <v>573</v>
      </c>
      <c r="C114" s="5" t="s">
        <v>574</v>
      </c>
      <c r="D114" s="5" t="str">
        <f t="shared" si="3"/>
        <v>LINN ZABRINA</v>
      </c>
      <c r="E114" s="5" t="s">
        <v>97</v>
      </c>
      <c r="F114" s="5" t="s">
        <v>86</v>
      </c>
      <c r="G114" s="5" t="s">
        <v>87</v>
      </c>
      <c r="H114" s="5" t="s">
        <v>1391</v>
      </c>
      <c r="I114" s="5" t="s">
        <v>145</v>
      </c>
      <c r="J114" s="5" t="s">
        <v>146</v>
      </c>
      <c r="K114" s="5" t="str">
        <f t="shared" si="4"/>
        <v>Jake Shulman</v>
      </c>
      <c r="L114" s="6">
        <v>45850</v>
      </c>
      <c r="M114" s="6">
        <v>46034</v>
      </c>
      <c r="N114" s="7">
        <v>28.38</v>
      </c>
      <c r="O114" s="5">
        <f t="shared" si="5"/>
        <v>6</v>
      </c>
      <c r="P114" s="5" t="s">
        <v>1370</v>
      </c>
      <c r="Q114" s="9">
        <v>0.375</v>
      </c>
      <c r="R114" s="5" t="s">
        <v>83</v>
      </c>
      <c r="S114" s="5" t="s">
        <v>61</v>
      </c>
      <c r="T114" s="7">
        <v>10.64</v>
      </c>
      <c r="U114" s="5" t="s">
        <v>87</v>
      </c>
    </row>
    <row r="115" spans="1:21" s="5" customFormat="1" x14ac:dyDescent="0.25">
      <c r="A115" s="5">
        <v>2029877306</v>
      </c>
      <c r="B115" s="5" t="s">
        <v>564</v>
      </c>
      <c r="C115" s="5" t="s">
        <v>565</v>
      </c>
      <c r="D115" s="5" t="str">
        <f t="shared" si="3"/>
        <v>SULLIVAN JONAS</v>
      </c>
      <c r="E115" s="5" t="s">
        <v>200</v>
      </c>
      <c r="F115" s="5" t="s">
        <v>86</v>
      </c>
      <c r="G115" s="5" t="s">
        <v>87</v>
      </c>
      <c r="H115" s="5">
        <v>6634327</v>
      </c>
      <c r="I115" s="5" t="s">
        <v>566</v>
      </c>
      <c r="J115" s="5" t="s">
        <v>567</v>
      </c>
      <c r="K115" s="5" t="str">
        <f t="shared" si="4"/>
        <v>Joel Lee</v>
      </c>
      <c r="L115" s="6">
        <v>45848</v>
      </c>
      <c r="M115" s="6">
        <v>46032</v>
      </c>
      <c r="N115" s="7">
        <v>189.23</v>
      </c>
      <c r="O115" s="5">
        <f t="shared" si="5"/>
        <v>6</v>
      </c>
      <c r="P115" s="5" t="s">
        <v>1370</v>
      </c>
      <c r="Q115" s="9">
        <v>0.375</v>
      </c>
      <c r="R115" s="5" t="s">
        <v>83</v>
      </c>
      <c r="S115" s="5" t="s">
        <v>61</v>
      </c>
      <c r="T115" s="7">
        <v>70.959999999999994</v>
      </c>
      <c r="U115" s="5" t="s">
        <v>87</v>
      </c>
    </row>
    <row r="116" spans="1:21" s="5" customFormat="1" x14ac:dyDescent="0.25">
      <c r="A116" s="5">
        <v>2029894409</v>
      </c>
      <c r="B116" s="5" t="s">
        <v>71</v>
      </c>
      <c r="C116" s="5" t="s">
        <v>570</v>
      </c>
      <c r="D116" s="5" t="str">
        <f t="shared" si="3"/>
        <v>DEBELLIS JOHN</v>
      </c>
      <c r="E116" s="5" t="s">
        <v>308</v>
      </c>
      <c r="F116" s="5" t="s">
        <v>126</v>
      </c>
      <c r="G116" s="5" t="s">
        <v>132</v>
      </c>
      <c r="H116" s="5">
        <v>20724564</v>
      </c>
      <c r="I116" s="5" t="s">
        <v>310</v>
      </c>
      <c r="J116" s="5" t="s">
        <v>311</v>
      </c>
      <c r="K116" s="5" t="str">
        <f t="shared" si="4"/>
        <v>Marsha Sanderock</v>
      </c>
      <c r="L116" s="6">
        <v>45849</v>
      </c>
      <c r="M116" s="6">
        <v>46033</v>
      </c>
      <c r="N116" s="7">
        <v>4.7699999999999996</v>
      </c>
      <c r="O116" s="5">
        <f t="shared" si="5"/>
        <v>6</v>
      </c>
      <c r="P116" s="5" t="s">
        <v>1370</v>
      </c>
      <c r="Q116" s="8">
        <v>0.7</v>
      </c>
      <c r="R116" s="5" t="s">
        <v>83</v>
      </c>
      <c r="S116" s="5" t="s">
        <v>61</v>
      </c>
      <c r="T116" s="7">
        <v>3.33</v>
      </c>
      <c r="U116" s="5" t="s">
        <v>132</v>
      </c>
    </row>
    <row r="117" spans="1:21" s="5" customFormat="1" x14ac:dyDescent="0.25">
      <c r="A117" s="5">
        <v>2029894410</v>
      </c>
      <c r="B117" s="5" t="s">
        <v>71</v>
      </c>
      <c r="C117" s="5" t="s">
        <v>570</v>
      </c>
      <c r="D117" s="5" t="str">
        <f t="shared" si="3"/>
        <v>DEBELLIS JOHN</v>
      </c>
      <c r="E117" s="5" t="s">
        <v>308</v>
      </c>
      <c r="F117" s="5" t="s">
        <v>86</v>
      </c>
      <c r="G117" s="5" t="s">
        <v>87</v>
      </c>
      <c r="H117" s="5">
        <v>20724564</v>
      </c>
      <c r="I117" s="5" t="s">
        <v>310</v>
      </c>
      <c r="J117" s="5" t="s">
        <v>311</v>
      </c>
      <c r="K117" s="5" t="str">
        <f t="shared" si="4"/>
        <v>Marsha Sanderock</v>
      </c>
      <c r="L117" s="6">
        <v>45849</v>
      </c>
      <c r="M117" s="6">
        <v>46033</v>
      </c>
      <c r="N117" s="7">
        <v>189.28</v>
      </c>
      <c r="O117" s="5">
        <f t="shared" si="5"/>
        <v>6</v>
      </c>
      <c r="P117" s="5" t="s">
        <v>1370</v>
      </c>
      <c r="Q117" s="9">
        <v>0.375</v>
      </c>
      <c r="R117" s="5" t="s">
        <v>83</v>
      </c>
      <c r="S117" s="5" t="s">
        <v>61</v>
      </c>
      <c r="T117" s="7">
        <v>70.98</v>
      </c>
      <c r="U117" s="5" t="s">
        <v>87</v>
      </c>
    </row>
    <row r="118" spans="1:21" s="5" customFormat="1" x14ac:dyDescent="0.25">
      <c r="A118" s="5">
        <v>2029907849</v>
      </c>
      <c r="B118" s="5" t="s">
        <v>101</v>
      </c>
      <c r="C118" s="5" t="s">
        <v>1141</v>
      </c>
      <c r="D118" s="5" t="str">
        <f t="shared" si="3"/>
        <v>JENSEN JULIE</v>
      </c>
      <c r="E118" s="5" t="s">
        <v>308</v>
      </c>
      <c r="F118" s="5" t="s">
        <v>126</v>
      </c>
      <c r="G118" s="5" t="s">
        <v>375</v>
      </c>
      <c r="H118" s="5">
        <v>20724564</v>
      </c>
      <c r="I118" s="5" t="s">
        <v>310</v>
      </c>
      <c r="J118" s="5" t="s">
        <v>311</v>
      </c>
      <c r="K118" s="5" t="str">
        <f t="shared" si="4"/>
        <v>Marsha Sanderock</v>
      </c>
      <c r="L118" s="6">
        <v>45850</v>
      </c>
      <c r="M118" s="6">
        <v>46034</v>
      </c>
      <c r="N118" s="7">
        <v>14.75</v>
      </c>
      <c r="O118" s="5">
        <f t="shared" si="5"/>
        <v>6</v>
      </c>
      <c r="P118" s="5" t="s">
        <v>1370</v>
      </c>
      <c r="Q118" s="8">
        <v>0.9</v>
      </c>
      <c r="R118" s="5" t="s">
        <v>83</v>
      </c>
      <c r="S118" s="5" t="s">
        <v>61</v>
      </c>
      <c r="T118" s="7">
        <v>13.26</v>
      </c>
      <c r="U118" s="5" t="s">
        <v>375</v>
      </c>
    </row>
    <row r="119" spans="1:21" s="5" customFormat="1" x14ac:dyDescent="0.25">
      <c r="A119" s="5">
        <v>2029880677</v>
      </c>
      <c r="B119" s="5" t="s">
        <v>568</v>
      </c>
      <c r="C119" s="5" t="s">
        <v>569</v>
      </c>
      <c r="D119" s="5" t="str">
        <f t="shared" si="3"/>
        <v>GARCIA FLORDELIZA</v>
      </c>
      <c r="E119" s="5" t="s">
        <v>102</v>
      </c>
      <c r="F119" s="5" t="s">
        <v>126</v>
      </c>
      <c r="G119" s="5" t="s">
        <v>132</v>
      </c>
      <c r="H119" s="5">
        <v>19200754</v>
      </c>
      <c r="I119" s="5" t="s">
        <v>151</v>
      </c>
      <c r="J119" s="5" t="s">
        <v>152</v>
      </c>
      <c r="K119" s="5" t="str">
        <f t="shared" si="4"/>
        <v>RICARDO SANTOS</v>
      </c>
      <c r="L119" s="6">
        <v>45848</v>
      </c>
      <c r="M119" s="6">
        <v>46032</v>
      </c>
      <c r="N119" s="7">
        <v>88.96</v>
      </c>
      <c r="O119" s="5">
        <f t="shared" si="5"/>
        <v>6</v>
      </c>
      <c r="P119" s="5" t="s">
        <v>1370</v>
      </c>
      <c r="Q119" s="8">
        <v>0.7</v>
      </c>
      <c r="R119" s="5" t="s">
        <v>83</v>
      </c>
      <c r="S119" s="5" t="s">
        <v>61</v>
      </c>
      <c r="T119" s="7">
        <v>62.27</v>
      </c>
      <c r="U119" s="5" t="s">
        <v>132</v>
      </c>
    </row>
    <row r="120" spans="1:21" s="5" customFormat="1" x14ac:dyDescent="0.25">
      <c r="A120" s="5">
        <v>2029872568</v>
      </c>
      <c r="B120" s="5" t="s">
        <v>1139</v>
      </c>
      <c r="C120" s="5" t="s">
        <v>524</v>
      </c>
      <c r="D120" s="5" t="str">
        <f t="shared" si="3"/>
        <v>MARIA FUSILERO</v>
      </c>
      <c r="E120" s="5" t="s">
        <v>102</v>
      </c>
      <c r="F120" s="5" t="s">
        <v>126</v>
      </c>
      <c r="G120" s="5" t="s">
        <v>132</v>
      </c>
      <c r="H120" s="5">
        <v>19200754</v>
      </c>
      <c r="I120" s="5" t="s">
        <v>151</v>
      </c>
      <c r="J120" s="5" t="s">
        <v>152</v>
      </c>
      <c r="K120" s="5" t="str">
        <f t="shared" si="4"/>
        <v>RICARDO SANTOS</v>
      </c>
      <c r="L120" s="6">
        <v>45848</v>
      </c>
      <c r="M120" s="6">
        <v>46032</v>
      </c>
      <c r="N120" s="7">
        <v>30</v>
      </c>
      <c r="O120" s="5">
        <f t="shared" si="5"/>
        <v>6</v>
      </c>
      <c r="P120" s="5" t="s">
        <v>1370</v>
      </c>
      <c r="Q120" s="8">
        <v>0.7</v>
      </c>
      <c r="R120" s="5" t="s">
        <v>83</v>
      </c>
      <c r="S120" s="5" t="s">
        <v>61</v>
      </c>
      <c r="T120" s="7">
        <v>21</v>
      </c>
      <c r="U120" s="5" t="s">
        <v>132</v>
      </c>
    </row>
    <row r="121" spans="1:21" s="5" customFormat="1" x14ac:dyDescent="0.25">
      <c r="A121" s="5">
        <v>2029880676</v>
      </c>
      <c r="B121" s="5" t="s">
        <v>568</v>
      </c>
      <c r="C121" s="5" t="s">
        <v>569</v>
      </c>
      <c r="D121" s="5" t="str">
        <f t="shared" si="3"/>
        <v>GARCIA FLORDELIZA</v>
      </c>
      <c r="E121" s="5" t="s">
        <v>102</v>
      </c>
      <c r="F121" s="5" t="s">
        <v>86</v>
      </c>
      <c r="G121" s="5" t="s">
        <v>87</v>
      </c>
      <c r="H121" s="5">
        <v>19200754</v>
      </c>
      <c r="I121" s="5" t="s">
        <v>151</v>
      </c>
      <c r="J121" s="5" t="s">
        <v>152</v>
      </c>
      <c r="K121" s="5" t="str">
        <f t="shared" si="4"/>
        <v>RICARDO SANTOS</v>
      </c>
      <c r="L121" s="6">
        <v>45848</v>
      </c>
      <c r="M121" s="6">
        <v>46032</v>
      </c>
      <c r="N121" s="7">
        <v>77.48</v>
      </c>
      <c r="O121" s="5">
        <f t="shared" si="5"/>
        <v>6</v>
      </c>
      <c r="P121" s="5" t="s">
        <v>1370</v>
      </c>
      <c r="Q121" s="9">
        <v>0.375</v>
      </c>
      <c r="R121" s="5" t="s">
        <v>83</v>
      </c>
      <c r="S121" s="5" t="s">
        <v>61</v>
      </c>
      <c r="T121" s="7">
        <v>29.04</v>
      </c>
      <c r="U121" s="5" t="s">
        <v>87</v>
      </c>
    </row>
    <row r="122" spans="1:21" s="5" customFormat="1" x14ac:dyDescent="0.25">
      <c r="A122" s="5">
        <v>2029502682</v>
      </c>
      <c r="B122" s="5" t="s">
        <v>557</v>
      </c>
      <c r="C122" s="5" t="s">
        <v>324</v>
      </c>
      <c r="D122" s="5" t="str">
        <f t="shared" si="3"/>
        <v>KEVIN VANRIXEL</v>
      </c>
      <c r="E122" s="5" t="s">
        <v>383</v>
      </c>
      <c r="F122" s="5" t="s">
        <v>365</v>
      </c>
      <c r="G122" s="5" t="s">
        <v>370</v>
      </c>
      <c r="H122" s="5">
        <v>16633294</v>
      </c>
      <c r="I122" s="5" t="s">
        <v>257</v>
      </c>
      <c r="J122" s="5" t="s">
        <v>258</v>
      </c>
      <c r="K122" s="5" t="str">
        <f t="shared" si="4"/>
        <v>Richard Yale</v>
      </c>
      <c r="L122" s="6">
        <v>45829</v>
      </c>
      <c r="M122" s="6">
        <v>46012</v>
      </c>
      <c r="N122" s="7">
        <v>326.14</v>
      </c>
      <c r="O122" s="5">
        <f t="shared" si="5"/>
        <v>6</v>
      </c>
      <c r="P122" s="5" t="s">
        <v>1370</v>
      </c>
      <c r="Q122" s="8">
        <v>0.38</v>
      </c>
      <c r="R122" s="5" t="s">
        <v>83</v>
      </c>
      <c r="S122" s="5" t="s">
        <v>61</v>
      </c>
      <c r="T122" s="7">
        <v>123.93</v>
      </c>
      <c r="U122" s="5" t="s">
        <v>370</v>
      </c>
    </row>
    <row r="123" spans="1:21" s="5" customFormat="1" x14ac:dyDescent="0.25">
      <c r="A123" s="5">
        <v>2029502683</v>
      </c>
      <c r="B123" s="5" t="s">
        <v>557</v>
      </c>
      <c r="C123" s="5" t="s">
        <v>324</v>
      </c>
      <c r="D123" s="5" t="str">
        <f t="shared" si="3"/>
        <v>KEVIN VANRIXEL</v>
      </c>
      <c r="E123" s="5" t="s">
        <v>383</v>
      </c>
      <c r="F123" s="5" t="s">
        <v>365</v>
      </c>
      <c r="G123" s="5" t="s">
        <v>371</v>
      </c>
      <c r="H123" s="5">
        <v>16633294</v>
      </c>
      <c r="I123" s="5" t="s">
        <v>257</v>
      </c>
      <c r="J123" s="5" t="s">
        <v>258</v>
      </c>
      <c r="K123" s="5" t="str">
        <f t="shared" si="4"/>
        <v>Richard Yale</v>
      </c>
      <c r="L123" s="6">
        <v>45829</v>
      </c>
      <c r="M123" s="6">
        <v>46012</v>
      </c>
      <c r="N123" s="7">
        <v>7.09</v>
      </c>
      <c r="O123" s="5">
        <f t="shared" si="5"/>
        <v>6</v>
      </c>
      <c r="P123" s="5" t="s">
        <v>1370</v>
      </c>
      <c r="Q123" s="8">
        <v>0.38</v>
      </c>
      <c r="R123" s="5" t="s">
        <v>83</v>
      </c>
      <c r="S123" s="5" t="s">
        <v>61</v>
      </c>
      <c r="T123" s="7">
        <v>2.69</v>
      </c>
      <c r="U123" s="5" t="s">
        <v>370</v>
      </c>
    </row>
    <row r="124" spans="1:21" s="5" customFormat="1" x14ac:dyDescent="0.25">
      <c r="A124" s="5">
        <v>2029502684</v>
      </c>
      <c r="B124" s="5" t="s">
        <v>557</v>
      </c>
      <c r="C124" s="5" t="s">
        <v>324</v>
      </c>
      <c r="D124" s="5" t="str">
        <f t="shared" si="3"/>
        <v>KEVIN VANRIXEL</v>
      </c>
      <c r="E124" s="5" t="s">
        <v>383</v>
      </c>
      <c r="F124" s="5" t="s">
        <v>86</v>
      </c>
      <c r="G124" s="5" t="s">
        <v>87</v>
      </c>
      <c r="H124" s="5">
        <v>16633294</v>
      </c>
      <c r="I124" s="5" t="s">
        <v>257</v>
      </c>
      <c r="J124" s="5" t="s">
        <v>258</v>
      </c>
      <c r="K124" s="5" t="str">
        <f t="shared" si="4"/>
        <v>Richard Yale</v>
      </c>
      <c r="L124" s="6">
        <v>45829</v>
      </c>
      <c r="M124" s="6">
        <v>46012</v>
      </c>
      <c r="N124" s="7">
        <v>78.41</v>
      </c>
      <c r="O124" s="5">
        <f t="shared" si="5"/>
        <v>6</v>
      </c>
      <c r="P124" s="5" t="s">
        <v>1370</v>
      </c>
      <c r="Q124" s="9">
        <v>0.375</v>
      </c>
      <c r="R124" s="5" t="s">
        <v>83</v>
      </c>
      <c r="S124" s="5" t="s">
        <v>61</v>
      </c>
      <c r="T124" s="7">
        <v>29.4</v>
      </c>
      <c r="U124" s="5" t="s">
        <v>87</v>
      </c>
    </row>
    <row r="125" spans="1:21" s="5" customFormat="1" x14ac:dyDescent="0.25">
      <c r="A125" s="5">
        <v>2029877132</v>
      </c>
      <c r="B125" s="5" t="s">
        <v>483</v>
      </c>
      <c r="C125" s="5" t="s">
        <v>1140</v>
      </c>
      <c r="D125" s="5" t="str">
        <f t="shared" si="3"/>
        <v>SANTIAGO JOSE</v>
      </c>
      <c r="E125" s="5" t="s">
        <v>102</v>
      </c>
      <c r="F125" s="5" t="s">
        <v>126</v>
      </c>
      <c r="G125" s="5" t="s">
        <v>132</v>
      </c>
      <c r="H125" s="5">
        <v>371819</v>
      </c>
      <c r="I125" s="5" t="s">
        <v>138</v>
      </c>
      <c r="J125" s="5" t="s">
        <v>107</v>
      </c>
      <c r="K125" s="5" t="str">
        <f t="shared" si="4"/>
        <v>THOMAS PARDUE</v>
      </c>
      <c r="L125" s="6">
        <v>45848</v>
      </c>
      <c r="M125" s="6">
        <v>46032</v>
      </c>
      <c r="N125" s="7">
        <v>96</v>
      </c>
      <c r="O125" s="5">
        <f t="shared" si="5"/>
        <v>6</v>
      </c>
      <c r="P125" s="5" t="s">
        <v>1370</v>
      </c>
      <c r="Q125" s="8">
        <v>0.7</v>
      </c>
      <c r="R125" s="5" t="s">
        <v>83</v>
      </c>
      <c r="S125" s="5" t="s">
        <v>61</v>
      </c>
      <c r="T125" s="7">
        <v>67.2</v>
      </c>
      <c r="U125" s="5" t="s">
        <v>132</v>
      </c>
    </row>
    <row r="126" spans="1:21" s="5" customFormat="1" x14ac:dyDescent="0.25">
      <c r="A126" s="5">
        <v>2029869955</v>
      </c>
      <c r="B126" s="5" t="s">
        <v>561</v>
      </c>
      <c r="C126" s="5" t="s">
        <v>562</v>
      </c>
      <c r="D126" s="5" t="str">
        <f t="shared" si="3"/>
        <v>ROMYN DESARAE</v>
      </c>
      <c r="E126" s="5" t="s">
        <v>563</v>
      </c>
      <c r="F126" s="5" t="s">
        <v>86</v>
      </c>
      <c r="G126" s="5" t="s">
        <v>87</v>
      </c>
      <c r="H126" s="5">
        <v>371819</v>
      </c>
      <c r="I126" s="5" t="s">
        <v>138</v>
      </c>
      <c r="J126" s="5" t="s">
        <v>107</v>
      </c>
      <c r="K126" s="5" t="str">
        <f t="shared" si="4"/>
        <v>THOMAS PARDUE</v>
      </c>
      <c r="L126" s="6">
        <v>45848</v>
      </c>
      <c r="M126" s="6">
        <v>46032</v>
      </c>
      <c r="N126" s="7">
        <v>28.86</v>
      </c>
      <c r="O126" s="5">
        <f t="shared" si="5"/>
        <v>6</v>
      </c>
      <c r="P126" s="5" t="s">
        <v>1370</v>
      </c>
      <c r="Q126" s="9">
        <v>0.375</v>
      </c>
      <c r="R126" s="5" t="s">
        <v>83</v>
      </c>
      <c r="S126" s="5" t="s">
        <v>61</v>
      </c>
      <c r="T126" s="7">
        <v>10.82</v>
      </c>
      <c r="U126" s="5" t="s">
        <v>87</v>
      </c>
    </row>
    <row r="127" spans="1:21" s="5" customFormat="1" x14ac:dyDescent="0.25">
      <c r="A127" s="5">
        <v>2029494259</v>
      </c>
      <c r="B127" s="5" t="s">
        <v>153</v>
      </c>
      <c r="C127" s="5" t="s">
        <v>154</v>
      </c>
      <c r="D127" s="5" t="str">
        <f t="shared" si="3"/>
        <v>CRUZ HOSMAN</v>
      </c>
      <c r="E127" s="5" t="s">
        <v>74</v>
      </c>
      <c r="F127" s="5" t="s">
        <v>126</v>
      </c>
      <c r="G127" s="5" t="s">
        <v>132</v>
      </c>
      <c r="H127" s="5" t="s">
        <v>1367</v>
      </c>
      <c r="I127" s="5" t="s">
        <v>155</v>
      </c>
      <c r="J127" s="5" t="s">
        <v>156</v>
      </c>
      <c r="K127" s="5" t="str">
        <f t="shared" si="4"/>
        <v>VICTOR FUENTES</v>
      </c>
      <c r="L127" s="6">
        <v>45839</v>
      </c>
      <c r="M127" s="6">
        <v>46023</v>
      </c>
      <c r="N127" s="7">
        <v>46.14</v>
      </c>
      <c r="O127" s="5">
        <f t="shared" si="5"/>
        <v>6</v>
      </c>
      <c r="P127" s="5" t="s">
        <v>1370</v>
      </c>
      <c r="Q127" s="8">
        <v>0.7</v>
      </c>
      <c r="R127" s="5" t="s">
        <v>83</v>
      </c>
      <c r="S127" s="5" t="s">
        <v>61</v>
      </c>
      <c r="T127" s="7">
        <v>32.299999999999997</v>
      </c>
      <c r="U127" s="5" t="s">
        <v>132</v>
      </c>
    </row>
    <row r="128" spans="1:21" s="5" customFormat="1" x14ac:dyDescent="0.25">
      <c r="A128" s="5">
        <v>2029494258</v>
      </c>
      <c r="B128" s="5" t="s">
        <v>153</v>
      </c>
      <c r="C128" s="5" t="s">
        <v>154</v>
      </c>
      <c r="D128" s="5" t="str">
        <f t="shared" si="3"/>
        <v>CRUZ HOSMAN</v>
      </c>
      <c r="E128" s="5" t="s">
        <v>74</v>
      </c>
      <c r="F128" s="5" t="s">
        <v>86</v>
      </c>
      <c r="G128" s="5" t="s">
        <v>87</v>
      </c>
      <c r="H128" s="5" t="s">
        <v>1367</v>
      </c>
      <c r="I128" s="5" t="s">
        <v>155</v>
      </c>
      <c r="J128" s="5" t="s">
        <v>156</v>
      </c>
      <c r="K128" s="5" t="str">
        <f t="shared" si="4"/>
        <v>VICTOR FUENTES</v>
      </c>
      <c r="L128" s="6">
        <v>45839</v>
      </c>
      <c r="M128" s="6">
        <v>46023</v>
      </c>
      <c r="N128" s="7">
        <v>72.37</v>
      </c>
      <c r="O128" s="5">
        <f t="shared" si="5"/>
        <v>6</v>
      </c>
      <c r="P128" s="5" t="s">
        <v>1370</v>
      </c>
      <c r="Q128" s="9">
        <v>0.375</v>
      </c>
      <c r="R128" s="5" t="s">
        <v>83</v>
      </c>
      <c r="S128" s="5" t="s">
        <v>61</v>
      </c>
      <c r="T128" s="7">
        <v>27.13</v>
      </c>
      <c r="U128" s="5" t="s">
        <v>87</v>
      </c>
    </row>
    <row r="129" spans="1:21" s="5" customFormat="1" x14ac:dyDescent="0.25">
      <c r="A129" s="5">
        <v>2029275522</v>
      </c>
      <c r="B129" s="5" t="s">
        <v>550</v>
      </c>
      <c r="C129" s="5" t="s">
        <v>551</v>
      </c>
      <c r="D129" s="5" t="str">
        <f t="shared" si="3"/>
        <v>JENNIFER QUESINBERRY</v>
      </c>
      <c r="E129" s="5" t="s">
        <v>102</v>
      </c>
      <c r="F129" s="5" t="s">
        <v>75</v>
      </c>
      <c r="G129" s="5" t="s">
        <v>76</v>
      </c>
      <c r="H129" s="5">
        <v>19586992</v>
      </c>
      <c r="I129" s="5" t="s">
        <v>92</v>
      </c>
      <c r="J129" s="5" t="s">
        <v>93</v>
      </c>
      <c r="K129" s="5" t="str">
        <f t="shared" si="4"/>
        <v>Barry Schumann</v>
      </c>
      <c r="L129" s="6">
        <v>45815</v>
      </c>
      <c r="M129" s="6">
        <v>46029</v>
      </c>
      <c r="N129" s="7">
        <v>76.8</v>
      </c>
      <c r="O129" s="5">
        <f t="shared" si="5"/>
        <v>7</v>
      </c>
      <c r="P129" s="5" t="s">
        <v>1370</v>
      </c>
      <c r="Q129" s="8">
        <v>0.75</v>
      </c>
      <c r="R129" s="5" t="s">
        <v>83</v>
      </c>
      <c r="S129" s="5" t="s">
        <v>61</v>
      </c>
      <c r="T129" s="7">
        <v>57.6</v>
      </c>
      <c r="U129" s="5" t="s">
        <v>1371</v>
      </c>
    </row>
    <row r="130" spans="1:21" s="5" customFormat="1" x14ac:dyDescent="0.25">
      <c r="A130" s="5">
        <v>2029275521</v>
      </c>
      <c r="B130" s="5" t="s">
        <v>550</v>
      </c>
      <c r="C130" s="5" t="s">
        <v>551</v>
      </c>
      <c r="D130" s="5" t="str">
        <f t="shared" ref="D130:D193" si="6">CONCATENATE(C130," ",B130)</f>
        <v>JENNIFER QUESINBERRY</v>
      </c>
      <c r="E130" s="5" t="s">
        <v>102</v>
      </c>
      <c r="F130" s="5" t="s">
        <v>126</v>
      </c>
      <c r="G130" s="5" t="s">
        <v>132</v>
      </c>
      <c r="H130" s="5">
        <v>19586992</v>
      </c>
      <c r="I130" s="5" t="s">
        <v>92</v>
      </c>
      <c r="J130" s="5" t="s">
        <v>93</v>
      </c>
      <c r="K130" s="5" t="str">
        <f t="shared" ref="K130:K193" si="7">CONCATENATE(J130," ",I130)</f>
        <v>Barry Schumann</v>
      </c>
      <c r="L130" s="6">
        <v>45815</v>
      </c>
      <c r="M130" s="6">
        <v>46029</v>
      </c>
      <c r="N130" s="7">
        <v>341.13</v>
      </c>
      <c r="O130" s="5">
        <f t="shared" ref="O130:O193" si="8">DATEDIF(L130,M130,"M")</f>
        <v>7</v>
      </c>
      <c r="P130" s="5" t="s">
        <v>1370</v>
      </c>
      <c r="Q130" s="8">
        <v>0.7</v>
      </c>
      <c r="R130" s="5" t="s">
        <v>83</v>
      </c>
      <c r="S130" s="5" t="s">
        <v>61</v>
      </c>
      <c r="T130" s="7">
        <v>238.79</v>
      </c>
      <c r="U130" s="5" t="s">
        <v>132</v>
      </c>
    </row>
    <row r="131" spans="1:21" s="5" customFormat="1" x14ac:dyDescent="0.25">
      <c r="A131" s="5">
        <v>2029275519</v>
      </c>
      <c r="B131" s="5" t="s">
        <v>550</v>
      </c>
      <c r="C131" s="5" t="s">
        <v>551</v>
      </c>
      <c r="D131" s="5" t="str">
        <f t="shared" si="6"/>
        <v>JENNIFER QUESINBERRY</v>
      </c>
      <c r="E131" s="5" t="s">
        <v>102</v>
      </c>
      <c r="F131" s="5" t="s">
        <v>86</v>
      </c>
      <c r="G131" s="5" t="s">
        <v>87</v>
      </c>
      <c r="H131" s="5">
        <v>19586992</v>
      </c>
      <c r="I131" s="5" t="s">
        <v>92</v>
      </c>
      <c r="J131" s="5" t="s">
        <v>93</v>
      </c>
      <c r="K131" s="5" t="str">
        <f t="shared" si="7"/>
        <v>Barry Schumann</v>
      </c>
      <c r="L131" s="6">
        <v>45815</v>
      </c>
      <c r="M131" s="6">
        <v>46029</v>
      </c>
      <c r="N131" s="7">
        <v>156.16</v>
      </c>
      <c r="O131" s="5">
        <f t="shared" si="8"/>
        <v>7</v>
      </c>
      <c r="P131" s="5" t="s">
        <v>1370</v>
      </c>
      <c r="Q131" s="9">
        <v>0.375</v>
      </c>
      <c r="R131" s="5" t="s">
        <v>83</v>
      </c>
      <c r="S131" s="5" t="s">
        <v>61</v>
      </c>
      <c r="T131" s="7">
        <v>58.56</v>
      </c>
      <c r="U131" s="5" t="s">
        <v>87</v>
      </c>
    </row>
    <row r="132" spans="1:21" s="5" customFormat="1" x14ac:dyDescent="0.25">
      <c r="A132" s="5">
        <v>2029275520</v>
      </c>
      <c r="B132" s="5" t="s">
        <v>550</v>
      </c>
      <c r="C132" s="5" t="s">
        <v>551</v>
      </c>
      <c r="D132" s="5" t="str">
        <f t="shared" si="6"/>
        <v>JENNIFER QUESINBERRY</v>
      </c>
      <c r="E132" s="5" t="s">
        <v>102</v>
      </c>
      <c r="F132" s="5" t="s">
        <v>126</v>
      </c>
      <c r="G132" s="5" t="s">
        <v>375</v>
      </c>
      <c r="H132" s="5">
        <v>19586992</v>
      </c>
      <c r="I132" s="5" t="s">
        <v>92</v>
      </c>
      <c r="J132" s="5" t="s">
        <v>93</v>
      </c>
      <c r="K132" s="5" t="str">
        <f t="shared" si="7"/>
        <v>Barry Schumann</v>
      </c>
      <c r="L132" s="6">
        <v>45815</v>
      </c>
      <c r="M132" s="6">
        <v>46029</v>
      </c>
      <c r="N132" s="7">
        <v>75.75</v>
      </c>
      <c r="O132" s="5">
        <f t="shared" si="8"/>
        <v>7</v>
      </c>
      <c r="P132" s="5" t="s">
        <v>1370</v>
      </c>
      <c r="Q132" s="8">
        <v>0.9</v>
      </c>
      <c r="R132" s="5" t="s">
        <v>83</v>
      </c>
      <c r="S132" s="5" t="s">
        <v>61</v>
      </c>
      <c r="T132" s="7">
        <v>68.180000000000007</v>
      </c>
      <c r="U132" s="5" t="s">
        <v>375</v>
      </c>
    </row>
    <row r="133" spans="1:21" s="5" customFormat="1" x14ac:dyDescent="0.25">
      <c r="A133" s="5">
        <v>2029103669</v>
      </c>
      <c r="B133" s="5" t="s">
        <v>1322</v>
      </c>
      <c r="C133" s="5" t="s">
        <v>279</v>
      </c>
      <c r="D133" s="5" t="str">
        <f t="shared" si="6"/>
        <v>ERIC GOTTUNG</v>
      </c>
      <c r="E133" s="5" t="s">
        <v>102</v>
      </c>
      <c r="F133" s="5" t="s">
        <v>169</v>
      </c>
      <c r="G133" s="5" t="s">
        <v>170</v>
      </c>
      <c r="H133" s="5">
        <v>19681796</v>
      </c>
      <c r="I133" s="5" t="s">
        <v>361</v>
      </c>
      <c r="J133" s="5" t="s">
        <v>362</v>
      </c>
      <c r="K133" s="5" t="str">
        <f t="shared" si="7"/>
        <v>CHRISTIAN TAUGNER</v>
      </c>
      <c r="L133" s="6">
        <v>45809</v>
      </c>
      <c r="M133" s="6">
        <v>46023</v>
      </c>
      <c r="N133" s="7">
        <v>92.39</v>
      </c>
      <c r="O133" s="5">
        <f t="shared" si="8"/>
        <v>7</v>
      </c>
      <c r="P133" s="5" t="s">
        <v>1370</v>
      </c>
      <c r="Q133" s="8">
        <v>0.47</v>
      </c>
      <c r="R133" s="5" t="s">
        <v>83</v>
      </c>
      <c r="S133" s="5" t="s">
        <v>61</v>
      </c>
      <c r="T133" s="7">
        <v>43.42</v>
      </c>
      <c r="U133" s="5" t="s">
        <v>170</v>
      </c>
    </row>
    <row r="134" spans="1:21" s="5" customFormat="1" x14ac:dyDescent="0.25">
      <c r="A134" s="5">
        <v>2029313140</v>
      </c>
      <c r="B134" s="5" t="s">
        <v>1133</v>
      </c>
      <c r="C134" s="5" t="s">
        <v>635</v>
      </c>
      <c r="D134" s="5" t="str">
        <f t="shared" si="6"/>
        <v>NANCY MOSINSKI</v>
      </c>
      <c r="E134" s="5" t="s">
        <v>102</v>
      </c>
      <c r="F134" s="5" t="s">
        <v>126</v>
      </c>
      <c r="G134" s="5" t="s">
        <v>132</v>
      </c>
      <c r="H134" s="5">
        <v>19681796</v>
      </c>
      <c r="I134" s="5" t="s">
        <v>361</v>
      </c>
      <c r="J134" s="5" t="s">
        <v>362</v>
      </c>
      <c r="K134" s="5" t="str">
        <f t="shared" si="7"/>
        <v>CHRISTIAN TAUGNER</v>
      </c>
      <c r="L134" s="6">
        <v>45814</v>
      </c>
      <c r="M134" s="6">
        <v>46028</v>
      </c>
      <c r="N134" s="7">
        <v>80.16</v>
      </c>
      <c r="O134" s="5">
        <f t="shared" si="8"/>
        <v>7</v>
      </c>
      <c r="P134" s="5" t="s">
        <v>1370</v>
      </c>
      <c r="Q134" s="8">
        <v>0.7</v>
      </c>
      <c r="R134" s="5" t="s">
        <v>83</v>
      </c>
      <c r="S134" s="5" t="s">
        <v>61</v>
      </c>
      <c r="T134" s="7">
        <v>56.11</v>
      </c>
      <c r="U134" s="5" t="s">
        <v>132</v>
      </c>
    </row>
    <row r="135" spans="1:21" s="5" customFormat="1" x14ac:dyDescent="0.25">
      <c r="A135" s="5">
        <v>2029398822</v>
      </c>
      <c r="B135" s="5" t="s">
        <v>1138</v>
      </c>
      <c r="C135" s="5" t="s">
        <v>175</v>
      </c>
      <c r="D135" s="5" t="str">
        <f t="shared" si="6"/>
        <v>LISA BOWSER</v>
      </c>
      <c r="E135" s="5" t="s">
        <v>939</v>
      </c>
      <c r="F135" s="5" t="s">
        <v>126</v>
      </c>
      <c r="G135" s="5" t="s">
        <v>402</v>
      </c>
      <c r="H135" s="5" t="s">
        <v>1391</v>
      </c>
      <c r="I135" s="5" t="s">
        <v>145</v>
      </c>
      <c r="J135" s="5" t="s">
        <v>146</v>
      </c>
      <c r="K135" s="5" t="str">
        <f t="shared" si="7"/>
        <v>Jake Shulman</v>
      </c>
      <c r="L135" s="6">
        <v>45819</v>
      </c>
      <c r="M135" s="6">
        <v>46033</v>
      </c>
      <c r="N135" s="7">
        <v>12.83</v>
      </c>
      <c r="O135" s="5">
        <f t="shared" si="8"/>
        <v>7</v>
      </c>
      <c r="P135" s="5" t="s">
        <v>1370</v>
      </c>
      <c r="Q135" s="8">
        <v>0.42</v>
      </c>
      <c r="R135" s="5" t="s">
        <v>83</v>
      </c>
      <c r="S135" s="5" t="s">
        <v>61</v>
      </c>
      <c r="T135" s="7">
        <v>5.39</v>
      </c>
      <c r="U135" s="5" t="s">
        <v>402</v>
      </c>
    </row>
    <row r="136" spans="1:21" s="5" customFormat="1" x14ac:dyDescent="0.25">
      <c r="A136" s="5">
        <v>2029319950</v>
      </c>
      <c r="B136" s="5" t="s">
        <v>1134</v>
      </c>
      <c r="C136" s="5" t="s">
        <v>1135</v>
      </c>
      <c r="D136" s="5" t="str">
        <f t="shared" si="6"/>
        <v>OYUNCHIMEG BALDAN</v>
      </c>
      <c r="E136" s="5" t="s">
        <v>102</v>
      </c>
      <c r="F136" s="5" t="s">
        <v>126</v>
      </c>
      <c r="G136" s="5" t="s">
        <v>132</v>
      </c>
      <c r="H136" s="5">
        <v>20220688</v>
      </c>
      <c r="I136" s="5" t="s">
        <v>418</v>
      </c>
      <c r="J136" s="5" t="s">
        <v>419</v>
      </c>
      <c r="K136" s="5" t="str">
        <f t="shared" si="7"/>
        <v>NASANDELGER ZANA</v>
      </c>
      <c r="L136" s="6">
        <v>45814</v>
      </c>
      <c r="M136" s="6">
        <v>46028</v>
      </c>
      <c r="N136" s="7">
        <v>37.18</v>
      </c>
      <c r="O136" s="5">
        <f t="shared" si="8"/>
        <v>7</v>
      </c>
      <c r="P136" s="5" t="s">
        <v>1370</v>
      </c>
      <c r="Q136" s="8">
        <v>0.7</v>
      </c>
      <c r="R136" s="5" t="s">
        <v>83</v>
      </c>
      <c r="S136" s="5" t="s">
        <v>61</v>
      </c>
      <c r="T136" s="7">
        <v>26.03</v>
      </c>
      <c r="U136" s="5" t="s">
        <v>132</v>
      </c>
    </row>
    <row r="137" spans="1:21" s="5" customFormat="1" x14ac:dyDescent="0.25">
      <c r="A137" s="5">
        <v>2029378057</v>
      </c>
      <c r="B137" s="5" t="s">
        <v>552</v>
      </c>
      <c r="C137" s="5" t="s">
        <v>553</v>
      </c>
      <c r="D137" s="5" t="str">
        <f t="shared" si="6"/>
        <v>CLIFTON THOMPSON</v>
      </c>
      <c r="E137" s="5" t="s">
        <v>97</v>
      </c>
      <c r="F137" s="5" t="s">
        <v>126</v>
      </c>
      <c r="G137" s="5" t="s">
        <v>132</v>
      </c>
      <c r="H137" s="5">
        <v>16633294</v>
      </c>
      <c r="I137" s="5" t="s">
        <v>257</v>
      </c>
      <c r="J137" s="5" t="s">
        <v>258</v>
      </c>
      <c r="K137" s="5" t="str">
        <f t="shared" si="7"/>
        <v>Richard Yale</v>
      </c>
      <c r="L137" s="6">
        <v>45820</v>
      </c>
      <c r="M137" s="6">
        <v>46034</v>
      </c>
      <c r="N137" s="7">
        <v>261</v>
      </c>
      <c r="O137" s="5">
        <f t="shared" si="8"/>
        <v>7</v>
      </c>
      <c r="P137" s="5" t="s">
        <v>1370</v>
      </c>
      <c r="Q137" s="8">
        <v>0.7</v>
      </c>
      <c r="R137" s="5" t="s">
        <v>83</v>
      </c>
      <c r="S137" s="5" t="s">
        <v>61</v>
      </c>
      <c r="T137" s="7">
        <v>182.7</v>
      </c>
      <c r="U137" s="5" t="s">
        <v>132</v>
      </c>
    </row>
    <row r="138" spans="1:21" s="5" customFormat="1" x14ac:dyDescent="0.25">
      <c r="A138" s="5">
        <v>2029413864</v>
      </c>
      <c r="B138" s="5" t="s">
        <v>280</v>
      </c>
      <c r="C138" s="5" t="s">
        <v>556</v>
      </c>
      <c r="D138" s="5" t="str">
        <f t="shared" si="6"/>
        <v>MARTHA HERNANDEZ</v>
      </c>
      <c r="E138" s="5" t="s">
        <v>97</v>
      </c>
      <c r="F138" s="5" t="s">
        <v>126</v>
      </c>
      <c r="G138" s="5" t="s">
        <v>132</v>
      </c>
      <c r="H138" s="5">
        <v>16633294</v>
      </c>
      <c r="I138" s="5" t="s">
        <v>257</v>
      </c>
      <c r="J138" s="5" t="s">
        <v>258</v>
      </c>
      <c r="K138" s="5" t="str">
        <f t="shared" si="7"/>
        <v>Richard Yale</v>
      </c>
      <c r="L138" s="6">
        <v>45820</v>
      </c>
      <c r="M138" s="6">
        <v>46034</v>
      </c>
      <c r="N138" s="7">
        <v>13</v>
      </c>
      <c r="O138" s="5">
        <f t="shared" si="8"/>
        <v>7</v>
      </c>
      <c r="P138" s="5" t="s">
        <v>1370</v>
      </c>
      <c r="Q138" s="8">
        <v>0.7</v>
      </c>
      <c r="R138" s="5" t="s">
        <v>83</v>
      </c>
      <c r="S138" s="5" t="s">
        <v>61</v>
      </c>
      <c r="T138" s="7">
        <v>9.1</v>
      </c>
      <c r="U138" s="5" t="s">
        <v>132</v>
      </c>
    </row>
    <row r="139" spans="1:21" s="5" customFormat="1" x14ac:dyDescent="0.25">
      <c r="A139" s="5">
        <v>2029413863</v>
      </c>
      <c r="B139" s="5" t="s">
        <v>280</v>
      </c>
      <c r="C139" s="5" t="s">
        <v>556</v>
      </c>
      <c r="D139" s="5" t="str">
        <f t="shared" si="6"/>
        <v>MARTHA HERNANDEZ</v>
      </c>
      <c r="E139" s="5" t="s">
        <v>97</v>
      </c>
      <c r="F139" s="5" t="s">
        <v>86</v>
      </c>
      <c r="G139" s="5" t="s">
        <v>87</v>
      </c>
      <c r="H139" s="5">
        <v>16633294</v>
      </c>
      <c r="I139" s="5" t="s">
        <v>257</v>
      </c>
      <c r="J139" s="5" t="s">
        <v>258</v>
      </c>
      <c r="K139" s="5" t="str">
        <f t="shared" si="7"/>
        <v>Richard Yale</v>
      </c>
      <c r="L139" s="6">
        <v>45820</v>
      </c>
      <c r="M139" s="6">
        <v>46034</v>
      </c>
      <c r="N139" s="7">
        <v>68.19</v>
      </c>
      <c r="O139" s="5">
        <f t="shared" si="8"/>
        <v>7</v>
      </c>
      <c r="P139" s="5" t="s">
        <v>1370</v>
      </c>
      <c r="Q139" s="9">
        <v>0.375</v>
      </c>
      <c r="R139" s="5" t="s">
        <v>83</v>
      </c>
      <c r="S139" s="5" t="s">
        <v>61</v>
      </c>
      <c r="T139" s="7">
        <v>25.56</v>
      </c>
      <c r="U139" s="5" t="s">
        <v>87</v>
      </c>
    </row>
    <row r="140" spans="1:21" s="5" customFormat="1" x14ac:dyDescent="0.25">
      <c r="A140" s="5">
        <v>2029378056</v>
      </c>
      <c r="B140" s="5" t="s">
        <v>552</v>
      </c>
      <c r="C140" s="5" t="s">
        <v>553</v>
      </c>
      <c r="D140" s="5" t="str">
        <f t="shared" si="6"/>
        <v>CLIFTON THOMPSON</v>
      </c>
      <c r="E140" s="5" t="s">
        <v>97</v>
      </c>
      <c r="F140" s="5" t="s">
        <v>86</v>
      </c>
      <c r="G140" s="5" t="s">
        <v>87</v>
      </c>
      <c r="H140" s="5">
        <v>16633294</v>
      </c>
      <c r="I140" s="5" t="s">
        <v>257</v>
      </c>
      <c r="J140" s="5" t="s">
        <v>258</v>
      </c>
      <c r="K140" s="5" t="str">
        <f t="shared" si="7"/>
        <v>Richard Yale</v>
      </c>
      <c r="L140" s="6">
        <v>45820</v>
      </c>
      <c r="M140" s="6">
        <v>46034</v>
      </c>
      <c r="N140" s="7">
        <v>117.83</v>
      </c>
      <c r="O140" s="5">
        <f t="shared" si="8"/>
        <v>7</v>
      </c>
      <c r="P140" s="5" t="s">
        <v>1370</v>
      </c>
      <c r="Q140" s="9">
        <v>0.375</v>
      </c>
      <c r="R140" s="5" t="s">
        <v>83</v>
      </c>
      <c r="S140" s="5" t="s">
        <v>61</v>
      </c>
      <c r="T140" s="7">
        <v>44.19</v>
      </c>
      <c r="U140" s="5" t="s">
        <v>87</v>
      </c>
    </row>
    <row r="141" spans="1:21" s="5" customFormat="1" x14ac:dyDescent="0.25">
      <c r="A141" s="5">
        <v>2029378058</v>
      </c>
      <c r="B141" s="5" t="s">
        <v>552</v>
      </c>
      <c r="C141" s="5" t="s">
        <v>553</v>
      </c>
      <c r="D141" s="5" t="str">
        <f t="shared" si="6"/>
        <v>CLIFTON THOMPSON</v>
      </c>
      <c r="E141" s="5" t="s">
        <v>97</v>
      </c>
      <c r="F141" s="5" t="s">
        <v>126</v>
      </c>
      <c r="G141" s="5" t="s">
        <v>375</v>
      </c>
      <c r="H141" s="5">
        <v>16633294</v>
      </c>
      <c r="I141" s="5" t="s">
        <v>257</v>
      </c>
      <c r="J141" s="5" t="s">
        <v>258</v>
      </c>
      <c r="K141" s="5" t="str">
        <f t="shared" si="7"/>
        <v>Richard Yale</v>
      </c>
      <c r="L141" s="6">
        <v>45820</v>
      </c>
      <c r="M141" s="6">
        <v>46034</v>
      </c>
      <c r="N141" s="7">
        <v>103.75</v>
      </c>
      <c r="O141" s="5">
        <f t="shared" si="8"/>
        <v>7</v>
      </c>
      <c r="P141" s="5" t="s">
        <v>1370</v>
      </c>
      <c r="Q141" s="8">
        <v>0.9</v>
      </c>
      <c r="R141" s="5" t="s">
        <v>83</v>
      </c>
      <c r="S141" s="5" t="s">
        <v>61</v>
      </c>
      <c r="T141" s="7">
        <v>93.38</v>
      </c>
      <c r="U141" s="5" t="s">
        <v>375</v>
      </c>
    </row>
    <row r="142" spans="1:21" s="5" customFormat="1" x14ac:dyDescent="0.25">
      <c r="A142" s="5">
        <v>2029192286</v>
      </c>
      <c r="B142" s="5" t="s">
        <v>1132</v>
      </c>
      <c r="C142" s="5" t="s">
        <v>1045</v>
      </c>
      <c r="D142" s="5" t="str">
        <f t="shared" si="6"/>
        <v>CONNIE MOONEY</v>
      </c>
      <c r="E142" s="5" t="s">
        <v>97</v>
      </c>
      <c r="F142" s="5" t="s">
        <v>126</v>
      </c>
      <c r="G142" s="5" t="s">
        <v>132</v>
      </c>
      <c r="H142" s="5" t="s">
        <v>1367</v>
      </c>
      <c r="I142" s="5" t="s">
        <v>155</v>
      </c>
      <c r="J142" s="5" t="s">
        <v>156</v>
      </c>
      <c r="K142" s="5" t="str">
        <f t="shared" si="7"/>
        <v>VICTOR FUENTES</v>
      </c>
      <c r="L142" s="6">
        <v>45815</v>
      </c>
      <c r="M142" s="6">
        <v>46029</v>
      </c>
      <c r="N142" s="7">
        <v>68.61</v>
      </c>
      <c r="O142" s="5">
        <f t="shared" si="8"/>
        <v>7</v>
      </c>
      <c r="P142" s="5" t="s">
        <v>1370</v>
      </c>
      <c r="Q142" s="8">
        <v>0.7</v>
      </c>
      <c r="R142" s="5" t="s">
        <v>83</v>
      </c>
      <c r="S142" s="5" t="s">
        <v>61</v>
      </c>
      <c r="T142" s="7">
        <v>48.03</v>
      </c>
      <c r="U142" s="5" t="s">
        <v>132</v>
      </c>
    </row>
    <row r="143" spans="1:21" s="5" customFormat="1" x14ac:dyDescent="0.25">
      <c r="A143" s="5">
        <v>2028421977</v>
      </c>
      <c r="B143" s="5" t="s">
        <v>1320</v>
      </c>
      <c r="C143" s="5" t="s">
        <v>1188</v>
      </c>
      <c r="D143" s="5" t="str">
        <f t="shared" si="6"/>
        <v>EDWARD LISBERG</v>
      </c>
      <c r="E143" s="5" t="s">
        <v>102</v>
      </c>
      <c r="F143" s="5" t="s">
        <v>169</v>
      </c>
      <c r="G143" s="5" t="s">
        <v>170</v>
      </c>
      <c r="H143" s="5">
        <v>7470776</v>
      </c>
      <c r="I143" s="5" t="s">
        <v>261</v>
      </c>
      <c r="J143" s="5" t="s">
        <v>262</v>
      </c>
      <c r="K143" s="5" t="str">
        <f t="shared" si="7"/>
        <v>Andrew Choi</v>
      </c>
      <c r="L143" s="6">
        <v>45778</v>
      </c>
      <c r="M143" s="6">
        <v>46023</v>
      </c>
      <c r="N143" s="7">
        <v>73.39</v>
      </c>
      <c r="O143" s="5">
        <f t="shared" si="8"/>
        <v>8</v>
      </c>
      <c r="P143" s="5" t="s">
        <v>1370</v>
      </c>
      <c r="Q143" s="8">
        <v>0.47</v>
      </c>
      <c r="R143" s="5" t="s">
        <v>83</v>
      </c>
      <c r="S143" s="5" t="s">
        <v>61</v>
      </c>
      <c r="T143" s="7">
        <v>34.49</v>
      </c>
      <c r="U143" s="5" t="s">
        <v>170</v>
      </c>
    </row>
    <row r="144" spans="1:21" s="5" customFormat="1" x14ac:dyDescent="0.25">
      <c r="A144" s="5">
        <v>2028582349</v>
      </c>
      <c r="B144" s="5" t="s">
        <v>484</v>
      </c>
      <c r="C144" s="5" t="s">
        <v>1127</v>
      </c>
      <c r="D144" s="5" t="str">
        <f t="shared" si="6"/>
        <v>BRITT MOORE</v>
      </c>
      <c r="E144" s="5" t="s">
        <v>102</v>
      </c>
      <c r="F144" s="5" t="s">
        <v>126</v>
      </c>
      <c r="G144" s="5" t="s">
        <v>132</v>
      </c>
      <c r="H144" s="5">
        <v>19586992</v>
      </c>
      <c r="I144" s="5" t="s">
        <v>92</v>
      </c>
      <c r="J144" s="5" t="s">
        <v>93</v>
      </c>
      <c r="K144" s="5" t="str">
        <f t="shared" si="7"/>
        <v>Barry Schumann</v>
      </c>
      <c r="L144" s="6">
        <v>45784</v>
      </c>
      <c r="M144" s="6">
        <v>46029</v>
      </c>
      <c r="N144" s="7">
        <v>77.52</v>
      </c>
      <c r="O144" s="5">
        <f t="shared" si="8"/>
        <v>8</v>
      </c>
      <c r="P144" s="5" t="s">
        <v>1370</v>
      </c>
      <c r="Q144" s="8">
        <v>0.7</v>
      </c>
      <c r="R144" s="5" t="s">
        <v>83</v>
      </c>
      <c r="S144" s="5" t="s">
        <v>61</v>
      </c>
      <c r="T144" s="7">
        <v>54.26</v>
      </c>
      <c r="U144" s="5" t="s">
        <v>132</v>
      </c>
    </row>
    <row r="145" spans="1:21" s="5" customFormat="1" x14ac:dyDescent="0.25">
      <c r="A145" s="5">
        <v>2028166815</v>
      </c>
      <c r="B145" s="5" t="s">
        <v>119</v>
      </c>
      <c r="C145" s="5" t="s">
        <v>120</v>
      </c>
      <c r="D145" s="5" t="str">
        <f t="shared" si="6"/>
        <v>ALAN BAIN</v>
      </c>
      <c r="E145" s="5" t="s">
        <v>102</v>
      </c>
      <c r="F145" s="5" t="s">
        <v>108</v>
      </c>
      <c r="G145" s="5" t="s">
        <v>116</v>
      </c>
      <c r="H145" s="5">
        <v>8325282</v>
      </c>
      <c r="I145" s="5" t="s">
        <v>117</v>
      </c>
      <c r="J145" s="5" t="s">
        <v>118</v>
      </c>
      <c r="K145" s="5" t="str">
        <f t="shared" si="7"/>
        <v>Dale Walenga</v>
      </c>
      <c r="L145" s="6">
        <v>45778</v>
      </c>
      <c r="M145" s="6">
        <v>46023</v>
      </c>
      <c r="N145" s="7">
        <v>106.67</v>
      </c>
      <c r="O145" s="5">
        <f t="shared" si="8"/>
        <v>8</v>
      </c>
      <c r="P145" s="5" t="s">
        <v>1370</v>
      </c>
      <c r="Q145" s="8">
        <v>0.28000000000000003</v>
      </c>
      <c r="R145" s="5" t="s">
        <v>83</v>
      </c>
      <c r="S145" s="5" t="s">
        <v>61</v>
      </c>
      <c r="T145" s="7">
        <v>29.87</v>
      </c>
      <c r="U145" s="5" t="s">
        <v>1006</v>
      </c>
    </row>
    <row r="146" spans="1:21" s="5" customFormat="1" x14ac:dyDescent="0.25">
      <c r="A146" s="5">
        <v>2028361729</v>
      </c>
      <c r="B146" s="5" t="s">
        <v>1029</v>
      </c>
      <c r="C146" s="5" t="s">
        <v>233</v>
      </c>
      <c r="D146" s="5" t="str">
        <f t="shared" si="6"/>
        <v>GARY MICHELSEN</v>
      </c>
      <c r="E146" s="5" t="s">
        <v>102</v>
      </c>
      <c r="F146" s="5" t="s">
        <v>108</v>
      </c>
      <c r="G146" s="5" t="s">
        <v>116</v>
      </c>
      <c r="H146" s="5">
        <v>8325282</v>
      </c>
      <c r="I146" s="5" t="s">
        <v>117</v>
      </c>
      <c r="J146" s="5" t="s">
        <v>118</v>
      </c>
      <c r="K146" s="5" t="str">
        <f t="shared" si="7"/>
        <v>Dale Walenga</v>
      </c>
      <c r="L146" s="6">
        <v>45778</v>
      </c>
      <c r="M146" s="6">
        <v>46023</v>
      </c>
      <c r="N146" s="7">
        <v>112.21</v>
      </c>
      <c r="O146" s="5">
        <f t="shared" si="8"/>
        <v>8</v>
      </c>
      <c r="P146" s="5" t="s">
        <v>1370</v>
      </c>
      <c r="Q146" s="8">
        <v>0.28000000000000003</v>
      </c>
      <c r="R146" s="5" t="s">
        <v>83</v>
      </c>
      <c r="S146" s="5" t="s">
        <v>61</v>
      </c>
      <c r="T146" s="7">
        <v>31.42</v>
      </c>
      <c r="U146" s="5" t="s">
        <v>1006</v>
      </c>
    </row>
    <row r="147" spans="1:21" s="5" customFormat="1" x14ac:dyDescent="0.25">
      <c r="A147" s="5">
        <v>2028422101</v>
      </c>
      <c r="B147" s="5" t="s">
        <v>1029</v>
      </c>
      <c r="C147" s="5" t="s">
        <v>1030</v>
      </c>
      <c r="D147" s="5" t="str">
        <f t="shared" si="6"/>
        <v>SUSAN MICHELSEN</v>
      </c>
      <c r="E147" s="5" t="s">
        <v>102</v>
      </c>
      <c r="F147" s="5" t="s">
        <v>108</v>
      </c>
      <c r="G147" s="5" t="s">
        <v>116</v>
      </c>
      <c r="H147" s="5">
        <v>8325282</v>
      </c>
      <c r="I147" s="5" t="s">
        <v>117</v>
      </c>
      <c r="J147" s="5" t="s">
        <v>118</v>
      </c>
      <c r="K147" s="5" t="str">
        <f t="shared" si="7"/>
        <v>Dale Walenga</v>
      </c>
      <c r="L147" s="6">
        <v>45778</v>
      </c>
      <c r="M147" s="6">
        <v>46023</v>
      </c>
      <c r="N147" s="7">
        <v>143.93</v>
      </c>
      <c r="O147" s="5">
        <f t="shared" si="8"/>
        <v>8</v>
      </c>
      <c r="P147" s="5" t="s">
        <v>1370</v>
      </c>
      <c r="Q147" s="8">
        <v>0.28000000000000003</v>
      </c>
      <c r="R147" s="5" t="s">
        <v>83</v>
      </c>
      <c r="S147" s="5" t="s">
        <v>61</v>
      </c>
      <c r="T147" s="7">
        <v>40.299999999999997</v>
      </c>
      <c r="U147" s="5" t="s">
        <v>1006</v>
      </c>
    </row>
    <row r="148" spans="1:21" s="5" customFormat="1" x14ac:dyDescent="0.25">
      <c r="A148" s="5">
        <v>2028777168</v>
      </c>
      <c r="B148" s="5" t="s">
        <v>848</v>
      </c>
      <c r="C148" s="5" t="s">
        <v>849</v>
      </c>
      <c r="D148" s="5" t="str">
        <f t="shared" si="6"/>
        <v>CASIE CARNAHAN</v>
      </c>
      <c r="E148" s="5" t="s">
        <v>200</v>
      </c>
      <c r="F148" s="5" t="s">
        <v>75</v>
      </c>
      <c r="G148" s="5" t="s">
        <v>739</v>
      </c>
      <c r="H148" s="5">
        <v>16865615</v>
      </c>
      <c r="I148" s="5" t="s">
        <v>201</v>
      </c>
      <c r="J148" s="5" t="s">
        <v>202</v>
      </c>
      <c r="K148" s="5" t="str">
        <f t="shared" si="7"/>
        <v>Heather Geske</v>
      </c>
      <c r="L148" s="6">
        <v>45783</v>
      </c>
      <c r="M148" s="6">
        <v>46028</v>
      </c>
      <c r="N148" s="7">
        <v>142.03</v>
      </c>
      <c r="O148" s="5">
        <f t="shared" si="8"/>
        <v>8</v>
      </c>
      <c r="P148" s="5" t="s">
        <v>1370</v>
      </c>
      <c r="Q148" s="8">
        <v>0.65</v>
      </c>
      <c r="R148" s="5" t="s">
        <v>83</v>
      </c>
      <c r="S148" s="5" t="s">
        <v>61</v>
      </c>
      <c r="T148" s="7">
        <v>92.32</v>
      </c>
      <c r="U148" s="5" t="s">
        <v>1380</v>
      </c>
    </row>
    <row r="149" spans="1:21" s="5" customFormat="1" x14ac:dyDescent="0.25">
      <c r="A149" s="5">
        <v>2028777167</v>
      </c>
      <c r="B149" s="5" t="s">
        <v>848</v>
      </c>
      <c r="C149" s="5" t="s">
        <v>849</v>
      </c>
      <c r="D149" s="5" t="str">
        <f t="shared" si="6"/>
        <v>CASIE CARNAHAN</v>
      </c>
      <c r="E149" s="5" t="s">
        <v>200</v>
      </c>
      <c r="F149" s="5" t="s">
        <v>126</v>
      </c>
      <c r="G149" s="5" t="s">
        <v>132</v>
      </c>
      <c r="H149" s="5">
        <v>16865615</v>
      </c>
      <c r="I149" s="5" t="s">
        <v>201</v>
      </c>
      <c r="J149" s="5" t="s">
        <v>202</v>
      </c>
      <c r="K149" s="5" t="str">
        <f t="shared" si="7"/>
        <v>Heather Geske</v>
      </c>
      <c r="L149" s="6">
        <v>45783</v>
      </c>
      <c r="M149" s="6">
        <v>46028</v>
      </c>
      <c r="N149" s="7">
        <v>18.2</v>
      </c>
      <c r="O149" s="5">
        <f t="shared" si="8"/>
        <v>8</v>
      </c>
      <c r="P149" s="5" t="s">
        <v>1370</v>
      </c>
      <c r="Q149" s="8">
        <v>0.7</v>
      </c>
      <c r="R149" s="5" t="s">
        <v>83</v>
      </c>
      <c r="S149" s="5" t="s">
        <v>61</v>
      </c>
      <c r="T149" s="7">
        <v>12.74</v>
      </c>
      <c r="U149" s="5" t="s">
        <v>132</v>
      </c>
    </row>
    <row r="150" spans="1:21" s="5" customFormat="1" x14ac:dyDescent="0.25">
      <c r="A150" s="5">
        <v>2028831848</v>
      </c>
      <c r="B150" s="5" t="s">
        <v>547</v>
      </c>
      <c r="C150" s="5" t="s">
        <v>548</v>
      </c>
      <c r="D150" s="5" t="str">
        <f t="shared" si="6"/>
        <v>COLEEN VELMS</v>
      </c>
      <c r="E150" s="5" t="s">
        <v>125</v>
      </c>
      <c r="F150" s="5" t="s">
        <v>86</v>
      </c>
      <c r="G150" s="5" t="s">
        <v>87</v>
      </c>
      <c r="H150" s="5" t="s">
        <v>1391</v>
      </c>
      <c r="I150" s="5" t="s">
        <v>145</v>
      </c>
      <c r="J150" s="5" t="s">
        <v>146</v>
      </c>
      <c r="K150" s="5" t="str">
        <f t="shared" si="7"/>
        <v>Jake Shulman</v>
      </c>
      <c r="L150" s="6">
        <v>45786</v>
      </c>
      <c r="M150" s="6">
        <v>46031</v>
      </c>
      <c r="N150" s="7">
        <v>43.68</v>
      </c>
      <c r="O150" s="5">
        <f t="shared" si="8"/>
        <v>8</v>
      </c>
      <c r="P150" s="5" t="s">
        <v>1370</v>
      </c>
      <c r="Q150" s="9">
        <v>0.375</v>
      </c>
      <c r="R150" s="5" t="s">
        <v>83</v>
      </c>
      <c r="S150" s="5" t="s">
        <v>61</v>
      </c>
      <c r="T150" s="7">
        <v>16.38</v>
      </c>
      <c r="U150" s="5" t="s">
        <v>87</v>
      </c>
    </row>
    <row r="151" spans="1:21" s="5" customFormat="1" x14ac:dyDescent="0.25">
      <c r="A151" s="5">
        <v>2028775018</v>
      </c>
      <c r="B151" s="5" t="s">
        <v>539</v>
      </c>
      <c r="C151" s="5" t="s">
        <v>540</v>
      </c>
      <c r="D151" s="5" t="str">
        <f t="shared" si="6"/>
        <v>AMBER RASMUSSEN</v>
      </c>
      <c r="E151" s="5" t="s">
        <v>102</v>
      </c>
      <c r="F151" s="5" t="s">
        <v>86</v>
      </c>
      <c r="G151" s="5" t="s">
        <v>87</v>
      </c>
      <c r="H151" s="5" t="s">
        <v>1391</v>
      </c>
      <c r="I151" s="5" t="s">
        <v>145</v>
      </c>
      <c r="J151" s="5" t="s">
        <v>146</v>
      </c>
      <c r="K151" s="5" t="str">
        <f t="shared" si="7"/>
        <v>Jake Shulman</v>
      </c>
      <c r="L151" s="6">
        <v>45783</v>
      </c>
      <c r="M151" s="6">
        <v>46028</v>
      </c>
      <c r="N151" s="7">
        <v>22.52</v>
      </c>
      <c r="O151" s="5">
        <f t="shared" si="8"/>
        <v>8</v>
      </c>
      <c r="P151" s="5" t="s">
        <v>1370</v>
      </c>
      <c r="Q151" s="9">
        <v>0.375</v>
      </c>
      <c r="R151" s="5" t="s">
        <v>83</v>
      </c>
      <c r="S151" s="5" t="s">
        <v>61</v>
      </c>
      <c r="T151" s="7">
        <v>8.44</v>
      </c>
      <c r="U151" s="5" t="s">
        <v>87</v>
      </c>
    </row>
    <row r="152" spans="1:21" s="5" customFormat="1" x14ac:dyDescent="0.25">
      <c r="A152" s="5">
        <v>2028775533</v>
      </c>
      <c r="B152" s="5" t="s">
        <v>541</v>
      </c>
      <c r="C152" s="5" t="s">
        <v>542</v>
      </c>
      <c r="D152" s="5" t="str">
        <f t="shared" si="6"/>
        <v>KALINA KIRILOVA</v>
      </c>
      <c r="E152" s="5" t="s">
        <v>102</v>
      </c>
      <c r="F152" s="5" t="s">
        <v>86</v>
      </c>
      <c r="G152" s="5" t="s">
        <v>87</v>
      </c>
      <c r="H152" s="5" t="s">
        <v>1391</v>
      </c>
      <c r="I152" s="5" t="s">
        <v>145</v>
      </c>
      <c r="J152" s="5" t="s">
        <v>146</v>
      </c>
      <c r="K152" s="5" t="str">
        <f t="shared" si="7"/>
        <v>Jake Shulman</v>
      </c>
      <c r="L152" s="6">
        <v>45783</v>
      </c>
      <c r="M152" s="6">
        <v>46028</v>
      </c>
      <c r="N152" s="7">
        <v>22.52</v>
      </c>
      <c r="O152" s="5">
        <f t="shared" si="8"/>
        <v>8</v>
      </c>
      <c r="P152" s="5" t="s">
        <v>1370</v>
      </c>
      <c r="Q152" s="9">
        <v>0.375</v>
      </c>
      <c r="R152" s="5" t="s">
        <v>83</v>
      </c>
      <c r="S152" s="5" t="s">
        <v>61</v>
      </c>
      <c r="T152" s="7">
        <v>8.44</v>
      </c>
      <c r="U152" s="5" t="s">
        <v>87</v>
      </c>
    </row>
    <row r="153" spans="1:21" s="5" customFormat="1" x14ac:dyDescent="0.25">
      <c r="A153" s="5">
        <v>2028792969</v>
      </c>
      <c r="B153" s="5" t="s">
        <v>504</v>
      </c>
      <c r="C153" s="5" t="s">
        <v>182</v>
      </c>
      <c r="D153" s="5" t="str">
        <f t="shared" si="6"/>
        <v>MICHAEL DUNAVANT</v>
      </c>
      <c r="E153" s="5" t="s">
        <v>102</v>
      </c>
      <c r="F153" s="5" t="s">
        <v>75</v>
      </c>
      <c r="G153" s="5" t="s">
        <v>76</v>
      </c>
      <c r="H153" s="5">
        <v>18828278</v>
      </c>
      <c r="I153" s="5" t="s">
        <v>504</v>
      </c>
      <c r="J153" s="5" t="s">
        <v>182</v>
      </c>
      <c r="K153" s="5" t="str">
        <f t="shared" si="7"/>
        <v>MICHAEL DUNAVANT</v>
      </c>
      <c r="L153" s="6">
        <v>45784</v>
      </c>
      <c r="M153" s="6">
        <v>46029</v>
      </c>
      <c r="N153" s="7">
        <v>18.05</v>
      </c>
      <c r="O153" s="5">
        <f t="shared" si="8"/>
        <v>8</v>
      </c>
      <c r="P153" s="5" t="s">
        <v>1370</v>
      </c>
      <c r="Q153" s="8">
        <v>0.75</v>
      </c>
      <c r="R153" s="5" t="s">
        <v>83</v>
      </c>
      <c r="S153" s="5" t="s">
        <v>61</v>
      </c>
      <c r="T153" s="7">
        <v>13.54</v>
      </c>
      <c r="U153" s="5" t="s">
        <v>1371</v>
      </c>
    </row>
    <row r="154" spans="1:21" s="5" customFormat="1" x14ac:dyDescent="0.25">
      <c r="A154" s="5">
        <v>2028792968</v>
      </c>
      <c r="B154" s="5" t="s">
        <v>504</v>
      </c>
      <c r="C154" s="5" t="s">
        <v>182</v>
      </c>
      <c r="D154" s="5" t="str">
        <f t="shared" si="6"/>
        <v>MICHAEL DUNAVANT</v>
      </c>
      <c r="E154" s="5" t="s">
        <v>102</v>
      </c>
      <c r="F154" s="5" t="s">
        <v>126</v>
      </c>
      <c r="G154" s="5" t="s">
        <v>132</v>
      </c>
      <c r="H154" s="5">
        <v>18828278</v>
      </c>
      <c r="I154" s="5" t="s">
        <v>504</v>
      </c>
      <c r="J154" s="5" t="s">
        <v>182</v>
      </c>
      <c r="K154" s="5" t="str">
        <f t="shared" si="7"/>
        <v>MICHAEL DUNAVANT</v>
      </c>
      <c r="L154" s="6">
        <v>45784</v>
      </c>
      <c r="M154" s="6">
        <v>46029</v>
      </c>
      <c r="N154" s="7">
        <v>33.119999999999997</v>
      </c>
      <c r="O154" s="5">
        <f t="shared" si="8"/>
        <v>8</v>
      </c>
      <c r="P154" s="5" t="s">
        <v>1370</v>
      </c>
      <c r="Q154" s="8">
        <v>0.7</v>
      </c>
      <c r="R154" s="5" t="s">
        <v>83</v>
      </c>
      <c r="S154" s="5" t="s">
        <v>61</v>
      </c>
      <c r="T154" s="7">
        <v>23.18</v>
      </c>
      <c r="U154" s="5" t="s">
        <v>132</v>
      </c>
    </row>
    <row r="155" spans="1:21" s="5" customFormat="1" x14ac:dyDescent="0.25">
      <c r="A155" s="5">
        <v>2028781143</v>
      </c>
      <c r="B155" s="5" t="s">
        <v>1128</v>
      </c>
      <c r="C155" s="5" t="s">
        <v>1129</v>
      </c>
      <c r="D155" s="5" t="str">
        <f t="shared" si="6"/>
        <v>TSERENBAT BATDELGER</v>
      </c>
      <c r="E155" s="5" t="s">
        <v>102</v>
      </c>
      <c r="F155" s="5" t="s">
        <v>126</v>
      </c>
      <c r="G155" s="5" t="s">
        <v>375</v>
      </c>
      <c r="H155" s="5">
        <v>20220688</v>
      </c>
      <c r="I155" s="5" t="s">
        <v>418</v>
      </c>
      <c r="J155" s="5" t="s">
        <v>419</v>
      </c>
      <c r="K155" s="5" t="str">
        <f t="shared" si="7"/>
        <v>NASANDELGER ZANA</v>
      </c>
      <c r="L155" s="6">
        <v>45783</v>
      </c>
      <c r="M155" s="6">
        <v>46028</v>
      </c>
      <c r="N155" s="7">
        <v>25.29</v>
      </c>
      <c r="O155" s="5">
        <f t="shared" si="8"/>
        <v>8</v>
      </c>
      <c r="P155" s="5" t="s">
        <v>1370</v>
      </c>
      <c r="Q155" s="8">
        <v>0.9</v>
      </c>
      <c r="R155" s="5" t="s">
        <v>83</v>
      </c>
      <c r="S155" s="5" t="s">
        <v>61</v>
      </c>
      <c r="T155" s="7">
        <v>22.76</v>
      </c>
      <c r="U155" s="5" t="s">
        <v>375</v>
      </c>
    </row>
    <row r="156" spans="1:21" s="5" customFormat="1" x14ac:dyDescent="0.25">
      <c r="A156" s="5">
        <v>2028803972</v>
      </c>
      <c r="B156" s="5" t="s">
        <v>552</v>
      </c>
      <c r="C156" s="5" t="s">
        <v>850</v>
      </c>
      <c r="D156" s="5" t="str">
        <f t="shared" si="6"/>
        <v>LATONYA THOMPSON</v>
      </c>
      <c r="E156" s="5" t="s">
        <v>97</v>
      </c>
      <c r="F156" s="5" t="s">
        <v>75</v>
      </c>
      <c r="G156" s="5" t="s">
        <v>80</v>
      </c>
      <c r="H156" s="5">
        <v>371819</v>
      </c>
      <c r="I156" s="5" t="s">
        <v>138</v>
      </c>
      <c r="J156" s="5" t="s">
        <v>107</v>
      </c>
      <c r="K156" s="5" t="str">
        <f t="shared" si="7"/>
        <v>THOMAS PARDUE</v>
      </c>
      <c r="L156" s="6">
        <v>45784</v>
      </c>
      <c r="M156" s="6">
        <v>46029</v>
      </c>
      <c r="N156" s="7">
        <v>205.42</v>
      </c>
      <c r="O156" s="5">
        <f t="shared" si="8"/>
        <v>8</v>
      </c>
      <c r="P156" s="5" t="s">
        <v>1370</v>
      </c>
      <c r="Q156" s="8">
        <v>0.9</v>
      </c>
      <c r="R156" s="5" t="s">
        <v>83</v>
      </c>
      <c r="S156" s="5" t="s">
        <v>61</v>
      </c>
      <c r="T156" s="7">
        <v>184.88</v>
      </c>
      <c r="U156" s="5" t="s">
        <v>1372</v>
      </c>
    </row>
    <row r="157" spans="1:21" s="5" customFormat="1" x14ac:dyDescent="0.25">
      <c r="A157" s="5">
        <v>2027922861</v>
      </c>
      <c r="B157" s="5" t="s">
        <v>205</v>
      </c>
      <c r="C157" s="5" t="s">
        <v>142</v>
      </c>
      <c r="D157" s="5" t="str">
        <f t="shared" si="6"/>
        <v>BRIAN BOWIE</v>
      </c>
      <c r="E157" s="5" t="s">
        <v>102</v>
      </c>
      <c r="F157" s="5" t="s">
        <v>169</v>
      </c>
      <c r="G157" s="5" t="s">
        <v>170</v>
      </c>
      <c r="H157" s="5">
        <v>16912722</v>
      </c>
      <c r="I157" s="5" t="s">
        <v>206</v>
      </c>
      <c r="J157" s="5" t="s">
        <v>207</v>
      </c>
      <c r="K157" s="5" t="str">
        <f t="shared" si="7"/>
        <v>ANDREA PETRUNGARO</v>
      </c>
      <c r="L157" s="6">
        <v>45748</v>
      </c>
      <c r="M157" s="6">
        <v>46023</v>
      </c>
      <c r="N157" s="7">
        <v>112.33</v>
      </c>
      <c r="O157" s="5">
        <f t="shared" si="8"/>
        <v>9</v>
      </c>
      <c r="P157" s="5" t="s">
        <v>1370</v>
      </c>
      <c r="Q157" s="8">
        <v>0.47</v>
      </c>
      <c r="R157" s="5" t="s">
        <v>83</v>
      </c>
      <c r="S157" s="5" t="s">
        <v>61</v>
      </c>
      <c r="T157" s="7">
        <v>52.8</v>
      </c>
      <c r="U157" s="5" t="s">
        <v>170</v>
      </c>
    </row>
    <row r="158" spans="1:21" s="5" customFormat="1" x14ac:dyDescent="0.25">
      <c r="A158" s="5">
        <v>2027712448</v>
      </c>
      <c r="B158" s="5" t="s">
        <v>679</v>
      </c>
      <c r="C158" s="5" t="s">
        <v>182</v>
      </c>
      <c r="D158" s="5" t="str">
        <f t="shared" si="6"/>
        <v>MICHAEL CAMPANELLA</v>
      </c>
      <c r="E158" s="5" t="s">
        <v>102</v>
      </c>
      <c r="F158" s="5" t="s">
        <v>169</v>
      </c>
      <c r="G158" s="5" t="s">
        <v>170</v>
      </c>
      <c r="H158" s="5">
        <v>16912722</v>
      </c>
      <c r="I158" s="5" t="s">
        <v>206</v>
      </c>
      <c r="J158" s="5" t="s">
        <v>207</v>
      </c>
      <c r="K158" s="5" t="str">
        <f t="shared" si="7"/>
        <v>ANDREA PETRUNGARO</v>
      </c>
      <c r="L158" s="6">
        <v>45748</v>
      </c>
      <c r="M158" s="6">
        <v>46023</v>
      </c>
      <c r="N158" s="7">
        <v>126.91</v>
      </c>
      <c r="O158" s="5">
        <f t="shared" si="8"/>
        <v>9</v>
      </c>
      <c r="P158" s="5" t="s">
        <v>1370</v>
      </c>
      <c r="Q158" s="8">
        <v>0.47</v>
      </c>
      <c r="R158" s="5" t="s">
        <v>83</v>
      </c>
      <c r="S158" s="5" t="s">
        <v>61</v>
      </c>
      <c r="T158" s="7">
        <v>59.65</v>
      </c>
      <c r="U158" s="5" t="s">
        <v>170</v>
      </c>
    </row>
    <row r="159" spans="1:21" s="5" customFormat="1" x14ac:dyDescent="0.25">
      <c r="A159" s="5">
        <v>2027712447</v>
      </c>
      <c r="B159" s="5" t="s">
        <v>679</v>
      </c>
      <c r="C159" s="5" t="s">
        <v>182</v>
      </c>
      <c r="D159" s="5" t="str">
        <f t="shared" si="6"/>
        <v>MICHAEL CAMPANELLA</v>
      </c>
      <c r="E159" s="5" t="s">
        <v>102</v>
      </c>
      <c r="F159" s="5" t="s">
        <v>108</v>
      </c>
      <c r="G159" s="5" t="s">
        <v>1002</v>
      </c>
      <c r="H159" s="5">
        <v>16912722</v>
      </c>
      <c r="I159" s="5" t="s">
        <v>206</v>
      </c>
      <c r="J159" s="5" t="s">
        <v>207</v>
      </c>
      <c r="K159" s="5" t="str">
        <f t="shared" si="7"/>
        <v>ANDREA PETRUNGARO</v>
      </c>
      <c r="L159" s="6">
        <v>45748</v>
      </c>
      <c r="M159" s="6">
        <v>46023</v>
      </c>
      <c r="N159" s="7">
        <v>132.22</v>
      </c>
      <c r="O159" s="5">
        <f t="shared" si="8"/>
        <v>9</v>
      </c>
      <c r="P159" s="5" t="s">
        <v>1370</v>
      </c>
      <c r="Q159" s="8">
        <v>0.26</v>
      </c>
      <c r="R159" s="5" t="s">
        <v>83</v>
      </c>
      <c r="S159" s="5" t="s">
        <v>61</v>
      </c>
      <c r="T159" s="7">
        <v>34.380000000000003</v>
      </c>
      <c r="U159" s="5" t="s">
        <v>1384</v>
      </c>
    </row>
    <row r="160" spans="1:21" s="5" customFormat="1" x14ac:dyDescent="0.25">
      <c r="A160" s="5">
        <v>2027889499</v>
      </c>
      <c r="B160" s="5" t="s">
        <v>1027</v>
      </c>
      <c r="C160" s="5" t="s">
        <v>1028</v>
      </c>
      <c r="D160" s="5" t="str">
        <f t="shared" si="6"/>
        <v>ALEX DIVITO</v>
      </c>
      <c r="E160" s="5" t="s">
        <v>102</v>
      </c>
      <c r="F160" s="5" t="s">
        <v>108</v>
      </c>
      <c r="G160" s="5" t="s">
        <v>1002</v>
      </c>
      <c r="H160" s="5">
        <v>16912722</v>
      </c>
      <c r="I160" s="5" t="s">
        <v>206</v>
      </c>
      <c r="J160" s="5" t="s">
        <v>207</v>
      </c>
      <c r="K160" s="5" t="str">
        <f t="shared" si="7"/>
        <v>ANDREA PETRUNGARO</v>
      </c>
      <c r="L160" s="6">
        <v>45748</v>
      </c>
      <c r="M160" s="6">
        <v>46023</v>
      </c>
      <c r="N160" s="7">
        <v>132.22</v>
      </c>
      <c r="O160" s="5">
        <f t="shared" si="8"/>
        <v>9</v>
      </c>
      <c r="P160" s="5" t="s">
        <v>1370</v>
      </c>
      <c r="Q160" s="8">
        <v>0.26</v>
      </c>
      <c r="R160" s="5" t="s">
        <v>83</v>
      </c>
      <c r="S160" s="5" t="s">
        <v>61</v>
      </c>
      <c r="T160" s="7">
        <v>34.380000000000003</v>
      </c>
      <c r="U160" s="5" t="s">
        <v>1384</v>
      </c>
    </row>
    <row r="161" spans="1:21" s="5" customFormat="1" x14ac:dyDescent="0.25">
      <c r="A161" s="5">
        <v>2027922845</v>
      </c>
      <c r="B161" s="5" t="s">
        <v>205</v>
      </c>
      <c r="C161" s="5" t="s">
        <v>872</v>
      </c>
      <c r="D161" s="5" t="str">
        <f t="shared" si="6"/>
        <v>SANDRA BOWIE</v>
      </c>
      <c r="E161" s="5" t="s">
        <v>102</v>
      </c>
      <c r="F161" s="5" t="s">
        <v>108</v>
      </c>
      <c r="G161" s="5" t="s">
        <v>1002</v>
      </c>
      <c r="H161" s="5">
        <v>16912722</v>
      </c>
      <c r="I161" s="5" t="s">
        <v>206</v>
      </c>
      <c r="J161" s="5" t="s">
        <v>207</v>
      </c>
      <c r="K161" s="5" t="str">
        <f t="shared" si="7"/>
        <v>ANDREA PETRUNGARO</v>
      </c>
      <c r="L161" s="6">
        <v>45748</v>
      </c>
      <c r="M161" s="6">
        <v>46023</v>
      </c>
      <c r="N161" s="7">
        <v>123.21</v>
      </c>
      <c r="O161" s="5">
        <f t="shared" si="8"/>
        <v>9</v>
      </c>
      <c r="P161" s="5" t="s">
        <v>1370</v>
      </c>
      <c r="Q161" s="8">
        <v>0.26</v>
      </c>
      <c r="R161" s="5" t="s">
        <v>83</v>
      </c>
      <c r="S161" s="5" t="s">
        <v>61</v>
      </c>
      <c r="T161" s="7">
        <v>32.03</v>
      </c>
      <c r="U161" s="5" t="s">
        <v>1384</v>
      </c>
    </row>
    <row r="162" spans="1:21" s="5" customFormat="1" x14ac:dyDescent="0.25">
      <c r="A162" s="5">
        <v>2027922860</v>
      </c>
      <c r="B162" s="5" t="s">
        <v>205</v>
      </c>
      <c r="C162" s="5" t="s">
        <v>142</v>
      </c>
      <c r="D162" s="5" t="str">
        <f t="shared" si="6"/>
        <v>BRIAN BOWIE</v>
      </c>
      <c r="E162" s="5" t="s">
        <v>102</v>
      </c>
      <c r="F162" s="5" t="s">
        <v>108</v>
      </c>
      <c r="G162" s="5" t="s">
        <v>1002</v>
      </c>
      <c r="H162" s="5">
        <v>16912722</v>
      </c>
      <c r="I162" s="5" t="s">
        <v>206</v>
      </c>
      <c r="J162" s="5" t="s">
        <v>207</v>
      </c>
      <c r="K162" s="5" t="str">
        <f t="shared" si="7"/>
        <v>ANDREA PETRUNGARO</v>
      </c>
      <c r="L162" s="6">
        <v>45748</v>
      </c>
      <c r="M162" s="6">
        <v>46023</v>
      </c>
      <c r="N162" s="7">
        <v>139.18</v>
      </c>
      <c r="O162" s="5">
        <f t="shared" si="8"/>
        <v>9</v>
      </c>
      <c r="P162" s="5" t="s">
        <v>1370</v>
      </c>
      <c r="Q162" s="8">
        <v>0.26</v>
      </c>
      <c r="R162" s="5" t="s">
        <v>83</v>
      </c>
      <c r="S162" s="5" t="s">
        <v>61</v>
      </c>
      <c r="T162" s="7">
        <v>36.19</v>
      </c>
      <c r="U162" s="5" t="s">
        <v>1384</v>
      </c>
    </row>
    <row r="163" spans="1:21" s="5" customFormat="1" x14ac:dyDescent="0.25">
      <c r="A163" s="5">
        <v>2027922888</v>
      </c>
      <c r="B163" s="5" t="s">
        <v>1027</v>
      </c>
      <c r="C163" s="5" t="s">
        <v>662</v>
      </c>
      <c r="D163" s="5" t="str">
        <f t="shared" si="6"/>
        <v>LINDA DIVITO</v>
      </c>
      <c r="E163" s="5" t="s">
        <v>102</v>
      </c>
      <c r="F163" s="5" t="s">
        <v>108</v>
      </c>
      <c r="G163" s="5" t="s">
        <v>1002</v>
      </c>
      <c r="H163" s="5">
        <v>16912722</v>
      </c>
      <c r="I163" s="5" t="s">
        <v>206</v>
      </c>
      <c r="J163" s="5" t="s">
        <v>207</v>
      </c>
      <c r="K163" s="5" t="str">
        <f t="shared" si="7"/>
        <v>ANDREA PETRUNGARO</v>
      </c>
      <c r="L163" s="6">
        <v>45748</v>
      </c>
      <c r="M163" s="6">
        <v>46023</v>
      </c>
      <c r="N163" s="7">
        <v>117.05</v>
      </c>
      <c r="O163" s="5">
        <f t="shared" si="8"/>
        <v>9</v>
      </c>
      <c r="P163" s="5" t="s">
        <v>1370</v>
      </c>
      <c r="Q163" s="8">
        <v>0.26</v>
      </c>
      <c r="R163" s="5" t="s">
        <v>83</v>
      </c>
      <c r="S163" s="5" t="s">
        <v>61</v>
      </c>
      <c r="T163" s="7">
        <v>30.43</v>
      </c>
      <c r="U163" s="5" t="s">
        <v>1384</v>
      </c>
    </row>
    <row r="164" spans="1:21" s="5" customFormat="1" x14ac:dyDescent="0.25">
      <c r="A164" s="5">
        <v>2028192005</v>
      </c>
      <c r="B164" s="5" t="s">
        <v>523</v>
      </c>
      <c r="C164" s="5" t="s">
        <v>524</v>
      </c>
      <c r="D164" s="5" t="str">
        <f t="shared" si="6"/>
        <v>MARIA CARR</v>
      </c>
      <c r="E164" s="5" t="s">
        <v>102</v>
      </c>
      <c r="F164" s="5" t="s">
        <v>126</v>
      </c>
      <c r="G164" s="5" t="s">
        <v>132</v>
      </c>
      <c r="H164" s="5">
        <v>7146581</v>
      </c>
      <c r="I164" s="5" t="s">
        <v>525</v>
      </c>
      <c r="J164" s="5" t="s">
        <v>526</v>
      </c>
      <c r="K164" s="5" t="str">
        <f t="shared" si="7"/>
        <v>Anthony Hunsberger</v>
      </c>
      <c r="L164" s="6">
        <v>45755</v>
      </c>
      <c r="M164" s="6">
        <v>46030</v>
      </c>
      <c r="N164" s="7">
        <v>15.75</v>
      </c>
      <c r="O164" s="5">
        <f t="shared" si="8"/>
        <v>9</v>
      </c>
      <c r="P164" s="5" t="s">
        <v>1370</v>
      </c>
      <c r="Q164" s="8">
        <v>0.7</v>
      </c>
      <c r="R164" s="5" t="s">
        <v>83</v>
      </c>
      <c r="S164" s="5" t="s">
        <v>61</v>
      </c>
      <c r="T164" s="7">
        <v>11.02</v>
      </c>
      <c r="U164" s="5" t="s">
        <v>132</v>
      </c>
    </row>
    <row r="165" spans="1:21" s="5" customFormat="1" x14ac:dyDescent="0.25">
      <c r="A165" s="5">
        <v>2028192004</v>
      </c>
      <c r="B165" s="5" t="s">
        <v>523</v>
      </c>
      <c r="C165" s="5" t="s">
        <v>524</v>
      </c>
      <c r="D165" s="5" t="str">
        <f t="shared" si="6"/>
        <v>MARIA CARR</v>
      </c>
      <c r="E165" s="5" t="s">
        <v>102</v>
      </c>
      <c r="F165" s="5" t="s">
        <v>86</v>
      </c>
      <c r="G165" s="5" t="s">
        <v>87</v>
      </c>
      <c r="H165" s="5">
        <v>7146581</v>
      </c>
      <c r="I165" s="5" t="s">
        <v>525</v>
      </c>
      <c r="J165" s="5" t="s">
        <v>526</v>
      </c>
      <c r="K165" s="5" t="str">
        <f t="shared" si="7"/>
        <v>Anthony Hunsberger</v>
      </c>
      <c r="L165" s="6">
        <v>45755</v>
      </c>
      <c r="M165" s="6">
        <v>46030</v>
      </c>
      <c r="N165" s="7">
        <v>129.41</v>
      </c>
      <c r="O165" s="5">
        <f t="shared" si="8"/>
        <v>9</v>
      </c>
      <c r="P165" s="5" t="s">
        <v>1370</v>
      </c>
      <c r="Q165" s="9">
        <v>0.375</v>
      </c>
      <c r="R165" s="5" t="s">
        <v>83</v>
      </c>
      <c r="S165" s="5" t="s">
        <v>61</v>
      </c>
      <c r="T165" s="7">
        <v>48.53</v>
      </c>
      <c r="U165" s="5" t="s">
        <v>87</v>
      </c>
    </row>
    <row r="166" spans="1:21" s="5" customFormat="1" x14ac:dyDescent="0.25">
      <c r="A166" s="5">
        <v>2028000460</v>
      </c>
      <c r="B166" s="5" t="s">
        <v>114</v>
      </c>
      <c r="C166" s="5" t="s">
        <v>115</v>
      </c>
      <c r="D166" s="5" t="str">
        <f t="shared" si="6"/>
        <v>STEPHEN REYNOLDS</v>
      </c>
      <c r="E166" s="5" t="s">
        <v>102</v>
      </c>
      <c r="F166" s="5" t="s">
        <v>108</v>
      </c>
      <c r="G166" s="5" t="s">
        <v>116</v>
      </c>
      <c r="H166" s="5">
        <v>8325282</v>
      </c>
      <c r="I166" s="5" t="s">
        <v>117</v>
      </c>
      <c r="J166" s="5" t="s">
        <v>118</v>
      </c>
      <c r="K166" s="5" t="str">
        <f t="shared" si="7"/>
        <v>Dale Walenga</v>
      </c>
      <c r="L166" s="6">
        <v>45748</v>
      </c>
      <c r="M166" s="6">
        <v>46023</v>
      </c>
      <c r="N166" s="7">
        <v>114.69</v>
      </c>
      <c r="O166" s="5">
        <f t="shared" si="8"/>
        <v>9</v>
      </c>
      <c r="P166" s="5" t="s">
        <v>1370</v>
      </c>
      <c r="Q166" s="8">
        <v>0.28000000000000003</v>
      </c>
      <c r="R166" s="5" t="s">
        <v>83</v>
      </c>
      <c r="S166" s="5" t="s">
        <v>61</v>
      </c>
      <c r="T166" s="7">
        <v>32.11</v>
      </c>
      <c r="U166" s="5" t="s">
        <v>1006</v>
      </c>
    </row>
    <row r="167" spans="1:21" s="5" customFormat="1" x14ac:dyDescent="0.25">
      <c r="A167" s="5">
        <v>2028025305</v>
      </c>
      <c r="B167" s="5" t="s">
        <v>944</v>
      </c>
      <c r="C167" s="5" t="s">
        <v>199</v>
      </c>
      <c r="D167" s="5" t="str">
        <f t="shared" si="6"/>
        <v>CRAIG COOK</v>
      </c>
      <c r="E167" s="5" t="s">
        <v>102</v>
      </c>
      <c r="F167" s="5" t="s">
        <v>169</v>
      </c>
      <c r="G167" s="5" t="s">
        <v>1275</v>
      </c>
      <c r="H167" s="5">
        <v>8814784</v>
      </c>
      <c r="I167" s="5" t="s">
        <v>284</v>
      </c>
      <c r="J167" s="5" t="s">
        <v>285</v>
      </c>
      <c r="K167" s="5" t="str">
        <f t="shared" si="7"/>
        <v>FRANK LISKOVEC</v>
      </c>
      <c r="L167" s="6">
        <v>45748</v>
      </c>
      <c r="M167" s="6">
        <v>46023</v>
      </c>
      <c r="N167" s="7">
        <v>14.95</v>
      </c>
      <c r="O167" s="5">
        <f t="shared" si="8"/>
        <v>9</v>
      </c>
      <c r="P167" s="5" t="s">
        <v>1370</v>
      </c>
      <c r="Q167" s="8">
        <v>0.51</v>
      </c>
      <c r="R167" s="5" t="s">
        <v>83</v>
      </c>
      <c r="S167" s="5" t="s">
        <v>61</v>
      </c>
      <c r="T167" s="7">
        <v>7.62</v>
      </c>
      <c r="U167" s="5" t="s">
        <v>1274</v>
      </c>
    </row>
    <row r="168" spans="1:21" s="5" customFormat="1" x14ac:dyDescent="0.25">
      <c r="A168" s="5">
        <v>2028025304</v>
      </c>
      <c r="B168" s="5" t="s">
        <v>944</v>
      </c>
      <c r="C168" s="5" t="s">
        <v>199</v>
      </c>
      <c r="D168" s="5" t="str">
        <f t="shared" si="6"/>
        <v>CRAIG COOK</v>
      </c>
      <c r="E168" s="5" t="s">
        <v>102</v>
      </c>
      <c r="F168" s="5" t="s">
        <v>169</v>
      </c>
      <c r="G168" s="5" t="s">
        <v>1274</v>
      </c>
      <c r="H168" s="5">
        <v>8814784</v>
      </c>
      <c r="I168" s="5" t="s">
        <v>284</v>
      </c>
      <c r="J168" s="5" t="s">
        <v>285</v>
      </c>
      <c r="K168" s="5" t="str">
        <f t="shared" si="7"/>
        <v>FRANK LISKOVEC</v>
      </c>
      <c r="L168" s="6">
        <v>45748</v>
      </c>
      <c r="M168" s="6">
        <v>46023</v>
      </c>
      <c r="N168" s="7">
        <v>104.53</v>
      </c>
      <c r="O168" s="5">
        <f t="shared" si="8"/>
        <v>9</v>
      </c>
      <c r="P168" s="5" t="s">
        <v>1370</v>
      </c>
      <c r="Q168" s="8">
        <v>0.51</v>
      </c>
      <c r="R168" s="5" t="s">
        <v>83</v>
      </c>
      <c r="S168" s="5" t="s">
        <v>61</v>
      </c>
      <c r="T168" s="7">
        <v>53.31</v>
      </c>
      <c r="U168" s="5" t="s">
        <v>1274</v>
      </c>
    </row>
    <row r="169" spans="1:21" s="5" customFormat="1" x14ac:dyDescent="0.25">
      <c r="A169" s="5">
        <v>2028281147</v>
      </c>
      <c r="B169" s="5" t="s">
        <v>531</v>
      </c>
      <c r="C169" s="5" t="s">
        <v>65</v>
      </c>
      <c r="D169" s="5" t="str">
        <f t="shared" si="6"/>
        <v>JASON BOWLES</v>
      </c>
      <c r="E169" s="5" t="s">
        <v>200</v>
      </c>
      <c r="F169" s="5" t="s">
        <v>126</v>
      </c>
      <c r="G169" s="5" t="s">
        <v>132</v>
      </c>
      <c r="H169" s="5">
        <v>16865615</v>
      </c>
      <c r="I169" s="5" t="s">
        <v>201</v>
      </c>
      <c r="J169" s="5" t="s">
        <v>202</v>
      </c>
      <c r="K169" s="5" t="str">
        <f t="shared" si="7"/>
        <v>Heather Geske</v>
      </c>
      <c r="L169" s="6">
        <v>45755</v>
      </c>
      <c r="M169" s="6">
        <v>46030</v>
      </c>
      <c r="N169" s="7">
        <v>18.2</v>
      </c>
      <c r="O169" s="5">
        <f t="shared" si="8"/>
        <v>9</v>
      </c>
      <c r="P169" s="5" t="s">
        <v>1370</v>
      </c>
      <c r="Q169" s="8">
        <v>0.7</v>
      </c>
      <c r="R169" s="5" t="s">
        <v>83</v>
      </c>
      <c r="S169" s="5" t="s">
        <v>61</v>
      </c>
      <c r="T169" s="7">
        <v>12.74</v>
      </c>
      <c r="U169" s="5" t="s">
        <v>132</v>
      </c>
    </row>
    <row r="170" spans="1:21" s="5" customFormat="1" x14ac:dyDescent="0.25">
      <c r="A170" s="5">
        <v>2028281146</v>
      </c>
      <c r="B170" s="5" t="s">
        <v>531</v>
      </c>
      <c r="C170" s="5" t="s">
        <v>65</v>
      </c>
      <c r="D170" s="5" t="str">
        <f t="shared" si="6"/>
        <v>JASON BOWLES</v>
      </c>
      <c r="E170" s="5" t="s">
        <v>200</v>
      </c>
      <c r="F170" s="5" t="s">
        <v>86</v>
      </c>
      <c r="G170" s="5" t="s">
        <v>87</v>
      </c>
      <c r="H170" s="5">
        <v>16865615</v>
      </c>
      <c r="I170" s="5" t="s">
        <v>201</v>
      </c>
      <c r="J170" s="5" t="s">
        <v>202</v>
      </c>
      <c r="K170" s="5" t="str">
        <f t="shared" si="7"/>
        <v>Heather Geske</v>
      </c>
      <c r="L170" s="6">
        <v>45755</v>
      </c>
      <c r="M170" s="6">
        <v>46030</v>
      </c>
      <c r="N170" s="7">
        <v>120.25</v>
      </c>
      <c r="O170" s="5">
        <f t="shared" si="8"/>
        <v>9</v>
      </c>
      <c r="P170" s="5" t="s">
        <v>1370</v>
      </c>
      <c r="Q170" s="9">
        <v>0.375</v>
      </c>
      <c r="R170" s="5" t="s">
        <v>83</v>
      </c>
      <c r="S170" s="5" t="s">
        <v>61</v>
      </c>
      <c r="T170" s="7">
        <v>45.09</v>
      </c>
      <c r="U170" s="5" t="s">
        <v>87</v>
      </c>
    </row>
    <row r="171" spans="1:21" s="5" customFormat="1" x14ac:dyDescent="0.25">
      <c r="A171" s="5">
        <v>2028271608</v>
      </c>
      <c r="B171" s="5" t="s">
        <v>527</v>
      </c>
      <c r="C171" s="5" t="s">
        <v>528</v>
      </c>
      <c r="D171" s="5" t="str">
        <f t="shared" si="6"/>
        <v>MAHMOUD KASDI</v>
      </c>
      <c r="E171" s="5" t="s">
        <v>102</v>
      </c>
      <c r="F171" s="5" t="s">
        <v>86</v>
      </c>
      <c r="G171" s="5" t="s">
        <v>87</v>
      </c>
      <c r="H171" s="5" t="s">
        <v>1391</v>
      </c>
      <c r="I171" s="5" t="s">
        <v>145</v>
      </c>
      <c r="J171" s="5" t="s">
        <v>146</v>
      </c>
      <c r="K171" s="5" t="str">
        <f t="shared" si="7"/>
        <v>Jake Shulman</v>
      </c>
      <c r="L171" s="6">
        <v>45755</v>
      </c>
      <c r="M171" s="6">
        <v>46030</v>
      </c>
      <c r="N171" s="7">
        <v>81.94</v>
      </c>
      <c r="O171" s="5">
        <f t="shared" si="8"/>
        <v>9</v>
      </c>
      <c r="P171" s="5" t="s">
        <v>1370</v>
      </c>
      <c r="Q171" s="9">
        <v>0.375</v>
      </c>
      <c r="R171" s="5" t="s">
        <v>83</v>
      </c>
      <c r="S171" s="5" t="s">
        <v>61</v>
      </c>
      <c r="T171" s="7">
        <v>30.73</v>
      </c>
      <c r="U171" s="5" t="s">
        <v>87</v>
      </c>
    </row>
    <row r="172" spans="1:21" s="5" customFormat="1" x14ac:dyDescent="0.25">
      <c r="A172" s="5">
        <v>2027980063</v>
      </c>
      <c r="B172" s="5" t="s">
        <v>143</v>
      </c>
      <c r="C172" s="5" t="s">
        <v>144</v>
      </c>
      <c r="D172" s="5" t="str">
        <f t="shared" si="6"/>
        <v>STEVEN MARVIN</v>
      </c>
      <c r="E172" s="5" t="s">
        <v>102</v>
      </c>
      <c r="F172" s="5" t="s">
        <v>126</v>
      </c>
      <c r="G172" s="5" t="s">
        <v>132</v>
      </c>
      <c r="H172" s="5" t="s">
        <v>1391</v>
      </c>
      <c r="I172" s="5" t="s">
        <v>145</v>
      </c>
      <c r="J172" s="5" t="s">
        <v>146</v>
      </c>
      <c r="K172" s="5" t="str">
        <f t="shared" si="7"/>
        <v>Jake Shulman</v>
      </c>
      <c r="L172" s="6">
        <v>45748</v>
      </c>
      <c r="M172" s="6">
        <v>46023</v>
      </c>
      <c r="N172" s="7">
        <v>31.6</v>
      </c>
      <c r="O172" s="5">
        <f t="shared" si="8"/>
        <v>9</v>
      </c>
      <c r="P172" s="5" t="s">
        <v>1370</v>
      </c>
      <c r="Q172" s="8">
        <v>0.7</v>
      </c>
      <c r="R172" s="5" t="s">
        <v>83</v>
      </c>
      <c r="S172" s="5" t="s">
        <v>61</v>
      </c>
      <c r="T172" s="7">
        <v>22.12</v>
      </c>
      <c r="U172" s="5" t="s">
        <v>132</v>
      </c>
    </row>
    <row r="173" spans="1:21" s="5" customFormat="1" x14ac:dyDescent="0.25">
      <c r="A173" s="5">
        <v>2027980064</v>
      </c>
      <c r="B173" s="5" t="s">
        <v>143</v>
      </c>
      <c r="C173" s="5" t="s">
        <v>144</v>
      </c>
      <c r="D173" s="5" t="str">
        <f t="shared" si="6"/>
        <v>STEVEN MARVIN</v>
      </c>
      <c r="E173" s="5" t="s">
        <v>102</v>
      </c>
      <c r="F173" s="5" t="s">
        <v>86</v>
      </c>
      <c r="G173" s="5" t="s">
        <v>87</v>
      </c>
      <c r="H173" s="5" t="s">
        <v>1391</v>
      </c>
      <c r="I173" s="5" t="s">
        <v>145</v>
      </c>
      <c r="J173" s="5" t="s">
        <v>146</v>
      </c>
      <c r="K173" s="5" t="str">
        <f t="shared" si="7"/>
        <v>Jake Shulman</v>
      </c>
      <c r="L173" s="6">
        <v>45748</v>
      </c>
      <c r="M173" s="6">
        <v>46023</v>
      </c>
      <c r="N173" s="7">
        <v>48.61</v>
      </c>
      <c r="O173" s="5">
        <f t="shared" si="8"/>
        <v>9</v>
      </c>
      <c r="P173" s="5" t="s">
        <v>1370</v>
      </c>
      <c r="Q173" s="9">
        <v>0.375</v>
      </c>
      <c r="R173" s="5" t="s">
        <v>83</v>
      </c>
      <c r="S173" s="5" t="s">
        <v>61</v>
      </c>
      <c r="T173" s="7">
        <v>18.23</v>
      </c>
      <c r="U173" s="5" t="s">
        <v>87</v>
      </c>
    </row>
    <row r="174" spans="1:21" s="5" customFormat="1" x14ac:dyDescent="0.25">
      <c r="A174" s="5">
        <v>2028174266</v>
      </c>
      <c r="B174" s="5" t="s">
        <v>266</v>
      </c>
      <c r="C174" s="5" t="s">
        <v>522</v>
      </c>
      <c r="D174" s="5" t="str">
        <f t="shared" si="6"/>
        <v>TAMEKA HOWARD</v>
      </c>
      <c r="E174" s="5" t="s">
        <v>102</v>
      </c>
      <c r="F174" s="5" t="s">
        <v>126</v>
      </c>
      <c r="G174" s="5" t="s">
        <v>132</v>
      </c>
      <c r="H174" s="5">
        <v>17143996</v>
      </c>
      <c r="I174" s="5" t="s">
        <v>253</v>
      </c>
      <c r="J174" s="5" t="s">
        <v>254</v>
      </c>
      <c r="K174" s="5" t="str">
        <f t="shared" si="7"/>
        <v>James Allen</v>
      </c>
      <c r="L174" s="6">
        <v>45758</v>
      </c>
      <c r="M174" s="6">
        <v>46033</v>
      </c>
      <c r="N174" s="7">
        <v>19</v>
      </c>
      <c r="O174" s="5">
        <f t="shared" si="8"/>
        <v>9</v>
      </c>
      <c r="P174" s="5" t="s">
        <v>1370</v>
      </c>
      <c r="Q174" s="8">
        <v>0.7</v>
      </c>
      <c r="R174" s="5" t="s">
        <v>83</v>
      </c>
      <c r="S174" s="5" t="s">
        <v>61</v>
      </c>
      <c r="T174" s="7">
        <v>13.3</v>
      </c>
      <c r="U174" s="5" t="s">
        <v>132</v>
      </c>
    </row>
    <row r="175" spans="1:21" s="5" customFormat="1" x14ac:dyDescent="0.25">
      <c r="A175" s="5">
        <v>2028174265</v>
      </c>
      <c r="B175" s="5" t="s">
        <v>266</v>
      </c>
      <c r="C175" s="5" t="s">
        <v>522</v>
      </c>
      <c r="D175" s="5" t="str">
        <f t="shared" si="6"/>
        <v>TAMEKA HOWARD</v>
      </c>
      <c r="E175" s="5" t="s">
        <v>102</v>
      </c>
      <c r="F175" s="5" t="s">
        <v>86</v>
      </c>
      <c r="G175" s="5" t="s">
        <v>87</v>
      </c>
      <c r="H175" s="5">
        <v>17143996</v>
      </c>
      <c r="I175" s="5" t="s">
        <v>253</v>
      </c>
      <c r="J175" s="5" t="s">
        <v>254</v>
      </c>
      <c r="K175" s="5" t="str">
        <f t="shared" si="7"/>
        <v>James Allen</v>
      </c>
      <c r="L175" s="6">
        <v>45758</v>
      </c>
      <c r="M175" s="6">
        <v>46033</v>
      </c>
      <c r="N175" s="7">
        <v>32.67</v>
      </c>
      <c r="O175" s="5">
        <f t="shared" si="8"/>
        <v>9</v>
      </c>
      <c r="P175" s="5" t="s">
        <v>1370</v>
      </c>
      <c r="Q175" s="9">
        <v>0.375</v>
      </c>
      <c r="R175" s="5" t="s">
        <v>83</v>
      </c>
      <c r="S175" s="5" t="s">
        <v>61</v>
      </c>
      <c r="T175" s="7">
        <v>12.25</v>
      </c>
      <c r="U175" s="5" t="s">
        <v>87</v>
      </c>
    </row>
    <row r="176" spans="1:21" s="5" customFormat="1" x14ac:dyDescent="0.25">
      <c r="A176" s="5">
        <v>2028297704</v>
      </c>
      <c r="B176" s="5" t="s">
        <v>532</v>
      </c>
      <c r="C176" s="5" t="s">
        <v>533</v>
      </c>
      <c r="D176" s="5" t="str">
        <f t="shared" si="6"/>
        <v>DARCY KOMEN</v>
      </c>
      <c r="E176" s="5" t="s">
        <v>79</v>
      </c>
      <c r="F176" s="5" t="s">
        <v>126</v>
      </c>
      <c r="G176" s="5" t="s">
        <v>132</v>
      </c>
      <c r="H176" s="5">
        <v>21421111</v>
      </c>
      <c r="I176" s="5" t="s">
        <v>534</v>
      </c>
      <c r="J176" s="5" t="s">
        <v>535</v>
      </c>
      <c r="K176" s="5" t="str">
        <f t="shared" si="7"/>
        <v>Kirk Tigue</v>
      </c>
      <c r="L176" s="6">
        <v>45756</v>
      </c>
      <c r="M176" s="6">
        <v>46031</v>
      </c>
      <c r="N176" s="7">
        <v>33.54</v>
      </c>
      <c r="O176" s="5">
        <f t="shared" si="8"/>
        <v>9</v>
      </c>
      <c r="P176" s="5" t="s">
        <v>1370</v>
      </c>
      <c r="Q176" s="8">
        <v>0.7</v>
      </c>
      <c r="R176" s="5" t="s">
        <v>83</v>
      </c>
      <c r="S176" s="5" t="s">
        <v>61</v>
      </c>
      <c r="T176" s="7">
        <v>23.48</v>
      </c>
      <c r="U176" s="5" t="s">
        <v>132</v>
      </c>
    </row>
    <row r="177" spans="1:21" s="5" customFormat="1" x14ac:dyDescent="0.25">
      <c r="A177" s="5">
        <v>2028297703</v>
      </c>
      <c r="B177" s="5" t="s">
        <v>532</v>
      </c>
      <c r="C177" s="5" t="s">
        <v>533</v>
      </c>
      <c r="D177" s="5" t="str">
        <f t="shared" si="6"/>
        <v>DARCY KOMEN</v>
      </c>
      <c r="E177" s="5" t="s">
        <v>79</v>
      </c>
      <c r="F177" s="5" t="s">
        <v>86</v>
      </c>
      <c r="G177" s="5" t="s">
        <v>87</v>
      </c>
      <c r="H177" s="5">
        <v>21421111</v>
      </c>
      <c r="I177" s="5" t="s">
        <v>534</v>
      </c>
      <c r="J177" s="5" t="s">
        <v>535</v>
      </c>
      <c r="K177" s="5" t="str">
        <f t="shared" si="7"/>
        <v>Kirk Tigue</v>
      </c>
      <c r="L177" s="6">
        <v>45756</v>
      </c>
      <c r="M177" s="6">
        <v>46031</v>
      </c>
      <c r="N177" s="7">
        <v>18.62</v>
      </c>
      <c r="O177" s="5">
        <f t="shared" si="8"/>
        <v>9</v>
      </c>
      <c r="P177" s="5" t="s">
        <v>1370</v>
      </c>
      <c r="Q177" s="9">
        <v>0.375</v>
      </c>
      <c r="R177" s="5" t="s">
        <v>83</v>
      </c>
      <c r="S177" s="5" t="s">
        <v>61</v>
      </c>
      <c r="T177" s="7">
        <v>6.98</v>
      </c>
      <c r="U177" s="5" t="s">
        <v>87</v>
      </c>
    </row>
    <row r="178" spans="1:21" s="5" customFormat="1" x14ac:dyDescent="0.25">
      <c r="A178" s="5">
        <v>2028286563</v>
      </c>
      <c r="B178" s="5" t="s">
        <v>1123</v>
      </c>
      <c r="C178" s="5" t="s">
        <v>1124</v>
      </c>
      <c r="D178" s="5" t="str">
        <f t="shared" si="6"/>
        <v>NARANZUL BUYANTOGTOKH</v>
      </c>
      <c r="E178" s="5" t="s">
        <v>102</v>
      </c>
      <c r="F178" s="5" t="s">
        <v>126</v>
      </c>
      <c r="G178" s="5" t="s">
        <v>132</v>
      </c>
      <c r="H178" s="5">
        <v>20220688</v>
      </c>
      <c r="I178" s="5" t="s">
        <v>418</v>
      </c>
      <c r="J178" s="5" t="s">
        <v>419</v>
      </c>
      <c r="K178" s="5" t="str">
        <f t="shared" si="7"/>
        <v>NASANDELGER ZANA</v>
      </c>
      <c r="L178" s="6">
        <v>45755</v>
      </c>
      <c r="M178" s="6">
        <v>46030</v>
      </c>
      <c r="N178" s="7">
        <v>56.5</v>
      </c>
      <c r="O178" s="5">
        <f t="shared" si="8"/>
        <v>9</v>
      </c>
      <c r="P178" s="5" t="s">
        <v>1370</v>
      </c>
      <c r="Q178" s="8">
        <v>0.7</v>
      </c>
      <c r="R178" s="5" t="s">
        <v>83</v>
      </c>
      <c r="S178" s="5" t="s">
        <v>61</v>
      </c>
      <c r="T178" s="7">
        <v>39.549999999999997</v>
      </c>
      <c r="U178" s="5" t="s">
        <v>132</v>
      </c>
    </row>
    <row r="179" spans="1:21" s="5" customFormat="1" x14ac:dyDescent="0.25">
      <c r="A179" s="5">
        <v>2028248959</v>
      </c>
      <c r="B179" s="5" t="s">
        <v>1122</v>
      </c>
      <c r="C179" s="5" t="s">
        <v>63</v>
      </c>
      <c r="D179" s="5" t="str">
        <f t="shared" si="6"/>
        <v>RICHARD SECHSER</v>
      </c>
      <c r="E179" s="5" t="s">
        <v>97</v>
      </c>
      <c r="F179" s="5" t="s">
        <v>126</v>
      </c>
      <c r="G179" s="5" t="s">
        <v>375</v>
      </c>
      <c r="H179" s="5">
        <v>371819</v>
      </c>
      <c r="I179" s="5" t="s">
        <v>138</v>
      </c>
      <c r="J179" s="5" t="s">
        <v>107</v>
      </c>
      <c r="K179" s="5" t="str">
        <f t="shared" si="7"/>
        <v>THOMAS PARDUE</v>
      </c>
      <c r="L179" s="6">
        <v>45753</v>
      </c>
      <c r="M179" s="6">
        <v>46028</v>
      </c>
      <c r="N179" s="7">
        <v>20.399999999999999</v>
      </c>
      <c r="O179" s="5">
        <f t="shared" si="8"/>
        <v>9</v>
      </c>
      <c r="P179" s="5" t="s">
        <v>1370</v>
      </c>
      <c r="Q179" s="8">
        <v>0.9</v>
      </c>
      <c r="R179" s="5" t="s">
        <v>83</v>
      </c>
      <c r="S179" s="5" t="s">
        <v>61</v>
      </c>
      <c r="T179" s="7">
        <v>18.36</v>
      </c>
      <c r="U179" s="5" t="s">
        <v>375</v>
      </c>
    </row>
    <row r="180" spans="1:21" s="5" customFormat="1" x14ac:dyDescent="0.25">
      <c r="A180" s="5">
        <v>2027085370</v>
      </c>
      <c r="B180" s="5" t="s">
        <v>1311</v>
      </c>
      <c r="C180" s="5" t="s">
        <v>730</v>
      </c>
      <c r="D180" s="5" t="str">
        <f t="shared" si="6"/>
        <v>JOANNE HRONOPOULOS</v>
      </c>
      <c r="E180" s="5" t="s">
        <v>102</v>
      </c>
      <c r="F180" s="5" t="s">
        <v>169</v>
      </c>
      <c r="G180" s="5" t="s">
        <v>170</v>
      </c>
      <c r="H180" s="5">
        <v>16912722</v>
      </c>
      <c r="I180" s="5" t="s">
        <v>206</v>
      </c>
      <c r="J180" s="5" t="s">
        <v>207</v>
      </c>
      <c r="K180" s="5" t="str">
        <f t="shared" si="7"/>
        <v>ANDREA PETRUNGARO</v>
      </c>
      <c r="L180" s="6">
        <v>45717</v>
      </c>
      <c r="M180" s="6">
        <v>46023</v>
      </c>
      <c r="N180" s="7">
        <v>49.02</v>
      </c>
      <c r="O180" s="5">
        <f t="shared" si="8"/>
        <v>10</v>
      </c>
      <c r="P180" s="5" t="s">
        <v>1370</v>
      </c>
      <c r="Q180" s="8">
        <v>0.47</v>
      </c>
      <c r="R180" s="5" t="s">
        <v>83</v>
      </c>
      <c r="S180" s="5" t="s">
        <v>61</v>
      </c>
      <c r="T180" s="7">
        <v>23.04</v>
      </c>
      <c r="U180" s="5" t="s">
        <v>170</v>
      </c>
    </row>
    <row r="181" spans="1:21" s="5" customFormat="1" x14ac:dyDescent="0.25">
      <c r="A181" s="5">
        <v>2027706490</v>
      </c>
      <c r="B181" s="5" t="s">
        <v>516</v>
      </c>
      <c r="C181" s="5" t="s">
        <v>517</v>
      </c>
      <c r="D181" s="5" t="str">
        <f t="shared" si="6"/>
        <v>TIMOTHY HUDZIK</v>
      </c>
      <c r="E181" s="5" t="s">
        <v>102</v>
      </c>
      <c r="F181" s="5" t="s">
        <v>126</v>
      </c>
      <c r="G181" s="5" t="s">
        <v>132</v>
      </c>
      <c r="H181" s="5">
        <v>16912722</v>
      </c>
      <c r="I181" s="5" t="s">
        <v>206</v>
      </c>
      <c r="J181" s="5" t="s">
        <v>207</v>
      </c>
      <c r="K181" s="5" t="str">
        <f t="shared" si="7"/>
        <v>ANDREA PETRUNGARO</v>
      </c>
      <c r="L181" s="6">
        <v>45727</v>
      </c>
      <c r="M181" s="6">
        <v>46033</v>
      </c>
      <c r="N181" s="7">
        <v>145.41999999999999</v>
      </c>
      <c r="O181" s="5">
        <f t="shared" si="8"/>
        <v>10</v>
      </c>
      <c r="P181" s="5" t="s">
        <v>1370</v>
      </c>
      <c r="Q181" s="8">
        <v>0.7</v>
      </c>
      <c r="R181" s="5" t="s">
        <v>83</v>
      </c>
      <c r="S181" s="5" t="s">
        <v>61</v>
      </c>
      <c r="T181" s="7">
        <v>101.79</v>
      </c>
      <c r="U181" s="5" t="s">
        <v>132</v>
      </c>
    </row>
    <row r="182" spans="1:21" s="5" customFormat="1" x14ac:dyDescent="0.25">
      <c r="A182" s="5">
        <v>2027721564</v>
      </c>
      <c r="B182" s="5" t="s">
        <v>1115</v>
      </c>
      <c r="C182" s="5" t="s">
        <v>1116</v>
      </c>
      <c r="D182" s="5" t="str">
        <f t="shared" si="6"/>
        <v>MANJIT KAUR</v>
      </c>
      <c r="E182" s="5" t="s">
        <v>102</v>
      </c>
      <c r="F182" s="5" t="s">
        <v>126</v>
      </c>
      <c r="G182" s="5" t="s">
        <v>132</v>
      </c>
      <c r="H182" s="5">
        <v>16912722</v>
      </c>
      <c r="I182" s="5" t="s">
        <v>206</v>
      </c>
      <c r="J182" s="5" t="s">
        <v>207</v>
      </c>
      <c r="K182" s="5" t="str">
        <f t="shared" si="7"/>
        <v>ANDREA PETRUNGARO</v>
      </c>
      <c r="L182" s="6">
        <v>45727</v>
      </c>
      <c r="M182" s="6">
        <v>46033</v>
      </c>
      <c r="N182" s="7">
        <v>145.41999999999999</v>
      </c>
      <c r="O182" s="5">
        <f t="shared" si="8"/>
        <v>10</v>
      </c>
      <c r="P182" s="5" t="s">
        <v>1370</v>
      </c>
      <c r="Q182" s="8">
        <v>0.7</v>
      </c>
      <c r="R182" s="5" t="s">
        <v>83</v>
      </c>
      <c r="S182" s="5" t="s">
        <v>61</v>
      </c>
      <c r="T182" s="7">
        <v>101.79</v>
      </c>
      <c r="U182" s="5" t="s">
        <v>132</v>
      </c>
    </row>
    <row r="183" spans="1:21" s="5" customFormat="1" x14ac:dyDescent="0.25">
      <c r="A183" s="5">
        <v>2027706491</v>
      </c>
      <c r="B183" s="5" t="s">
        <v>516</v>
      </c>
      <c r="C183" s="5" t="s">
        <v>517</v>
      </c>
      <c r="D183" s="5" t="str">
        <f t="shared" si="6"/>
        <v>TIMOTHY HUDZIK</v>
      </c>
      <c r="E183" s="5" t="s">
        <v>102</v>
      </c>
      <c r="F183" s="5" t="s">
        <v>86</v>
      </c>
      <c r="G183" s="5" t="s">
        <v>87</v>
      </c>
      <c r="H183" s="5">
        <v>16912722</v>
      </c>
      <c r="I183" s="5" t="s">
        <v>206</v>
      </c>
      <c r="J183" s="5" t="s">
        <v>207</v>
      </c>
      <c r="K183" s="5" t="str">
        <f t="shared" si="7"/>
        <v>ANDREA PETRUNGARO</v>
      </c>
      <c r="L183" s="6">
        <v>45727</v>
      </c>
      <c r="M183" s="6">
        <v>46033</v>
      </c>
      <c r="N183" s="7">
        <v>103.42</v>
      </c>
      <c r="O183" s="5">
        <f t="shared" si="8"/>
        <v>10</v>
      </c>
      <c r="P183" s="5" t="s">
        <v>1370</v>
      </c>
      <c r="Q183" s="9">
        <v>0.375</v>
      </c>
      <c r="R183" s="5" t="s">
        <v>83</v>
      </c>
      <c r="S183" s="5" t="s">
        <v>61</v>
      </c>
      <c r="T183" s="7">
        <v>38.78</v>
      </c>
      <c r="U183" s="5" t="s">
        <v>87</v>
      </c>
    </row>
    <row r="184" spans="1:21" s="5" customFormat="1" x14ac:dyDescent="0.25">
      <c r="A184" s="5">
        <v>2027605652</v>
      </c>
      <c r="B184" s="5" t="s">
        <v>1317</v>
      </c>
      <c r="C184" s="5" t="s">
        <v>1318</v>
      </c>
      <c r="D184" s="5" t="str">
        <f t="shared" si="6"/>
        <v>EMMA VALE</v>
      </c>
      <c r="E184" s="5" t="s">
        <v>102</v>
      </c>
      <c r="F184" s="5" t="s">
        <v>169</v>
      </c>
      <c r="G184" s="5" t="s">
        <v>170</v>
      </c>
      <c r="H184" s="5">
        <v>17301495</v>
      </c>
      <c r="I184" s="5" t="s">
        <v>494</v>
      </c>
      <c r="J184" s="5" t="s">
        <v>475</v>
      </c>
      <c r="K184" s="5" t="str">
        <f t="shared" si="7"/>
        <v>ESTHER HERRERA-LARSEN</v>
      </c>
      <c r="L184" s="6">
        <v>45722</v>
      </c>
      <c r="M184" s="6">
        <v>46028</v>
      </c>
      <c r="N184" s="7">
        <v>83.39</v>
      </c>
      <c r="O184" s="5">
        <f t="shared" si="8"/>
        <v>10</v>
      </c>
      <c r="P184" s="5" t="s">
        <v>1370</v>
      </c>
      <c r="Q184" s="8">
        <v>0.47</v>
      </c>
      <c r="R184" s="5" t="s">
        <v>83</v>
      </c>
      <c r="S184" s="5" t="s">
        <v>61</v>
      </c>
      <c r="T184" s="7">
        <v>39.19</v>
      </c>
      <c r="U184" s="5" t="s">
        <v>170</v>
      </c>
    </row>
    <row r="185" spans="1:21" s="5" customFormat="1" x14ac:dyDescent="0.25">
      <c r="A185" s="5">
        <v>2027492024</v>
      </c>
      <c r="B185" s="5" t="s">
        <v>1313</v>
      </c>
      <c r="C185" s="5" t="s">
        <v>1314</v>
      </c>
      <c r="D185" s="5" t="str">
        <f t="shared" si="6"/>
        <v>WILLIE WELLS</v>
      </c>
      <c r="E185" s="5" t="s">
        <v>102</v>
      </c>
      <c r="F185" s="5" t="s">
        <v>169</v>
      </c>
      <c r="G185" s="5" t="s">
        <v>1275</v>
      </c>
      <c r="H185" s="5">
        <v>8814784</v>
      </c>
      <c r="I185" s="5" t="s">
        <v>284</v>
      </c>
      <c r="J185" s="5" t="s">
        <v>285</v>
      </c>
      <c r="K185" s="5" t="str">
        <f t="shared" si="7"/>
        <v>FRANK LISKOVEC</v>
      </c>
      <c r="L185" s="6">
        <v>45717</v>
      </c>
      <c r="M185" s="6">
        <v>46023</v>
      </c>
      <c r="N185" s="7">
        <v>14.95</v>
      </c>
      <c r="O185" s="5">
        <f t="shared" si="8"/>
        <v>10</v>
      </c>
      <c r="P185" s="5" t="s">
        <v>1370</v>
      </c>
      <c r="Q185" s="8">
        <v>0.51</v>
      </c>
      <c r="R185" s="5" t="s">
        <v>83</v>
      </c>
      <c r="S185" s="5" t="s">
        <v>61</v>
      </c>
      <c r="T185" s="7">
        <v>7.62</v>
      </c>
      <c r="U185" s="5" t="s">
        <v>1274</v>
      </c>
    </row>
    <row r="186" spans="1:21" s="5" customFormat="1" x14ac:dyDescent="0.25">
      <c r="A186" s="5">
        <v>2027492023</v>
      </c>
      <c r="B186" s="5" t="s">
        <v>1313</v>
      </c>
      <c r="C186" s="5" t="s">
        <v>1314</v>
      </c>
      <c r="D186" s="5" t="str">
        <f t="shared" si="6"/>
        <v>WILLIE WELLS</v>
      </c>
      <c r="E186" s="5" t="s">
        <v>102</v>
      </c>
      <c r="F186" s="5" t="s">
        <v>169</v>
      </c>
      <c r="G186" s="5" t="s">
        <v>1274</v>
      </c>
      <c r="H186" s="5">
        <v>8814784</v>
      </c>
      <c r="I186" s="5" t="s">
        <v>284</v>
      </c>
      <c r="J186" s="5" t="s">
        <v>285</v>
      </c>
      <c r="K186" s="5" t="str">
        <f t="shared" si="7"/>
        <v>FRANK LISKOVEC</v>
      </c>
      <c r="L186" s="6">
        <v>45717</v>
      </c>
      <c r="M186" s="6">
        <v>46023</v>
      </c>
      <c r="N186" s="7">
        <v>52.26</v>
      </c>
      <c r="O186" s="5">
        <f t="shared" si="8"/>
        <v>10</v>
      </c>
      <c r="P186" s="5" t="s">
        <v>1370</v>
      </c>
      <c r="Q186" s="8">
        <v>0.51</v>
      </c>
      <c r="R186" s="5" t="s">
        <v>83</v>
      </c>
      <c r="S186" s="5" t="s">
        <v>61</v>
      </c>
      <c r="T186" s="7">
        <v>26.65</v>
      </c>
      <c r="U186" s="5" t="s">
        <v>1274</v>
      </c>
    </row>
    <row r="187" spans="1:21" s="5" customFormat="1" x14ac:dyDescent="0.25">
      <c r="A187" s="5">
        <v>2027606915</v>
      </c>
      <c r="B187" s="5" t="s">
        <v>284</v>
      </c>
      <c r="C187" s="5" t="s">
        <v>285</v>
      </c>
      <c r="D187" s="5" t="str">
        <f t="shared" si="6"/>
        <v>FRANK LISKOVEC</v>
      </c>
      <c r="E187" s="5" t="s">
        <v>102</v>
      </c>
      <c r="F187" s="5" t="s">
        <v>126</v>
      </c>
      <c r="G187" s="5" t="s">
        <v>132</v>
      </c>
      <c r="H187" s="5">
        <v>8814784</v>
      </c>
      <c r="I187" s="5" t="s">
        <v>284</v>
      </c>
      <c r="J187" s="5" t="s">
        <v>285</v>
      </c>
      <c r="K187" s="5" t="str">
        <f t="shared" si="7"/>
        <v>FRANK LISKOVEC</v>
      </c>
      <c r="L187" s="6">
        <v>45722</v>
      </c>
      <c r="M187" s="6">
        <v>46028</v>
      </c>
      <c r="N187" s="7">
        <v>11.5</v>
      </c>
      <c r="O187" s="5">
        <f t="shared" si="8"/>
        <v>10</v>
      </c>
      <c r="P187" s="5" t="s">
        <v>1370</v>
      </c>
      <c r="Q187" s="8">
        <v>0.7</v>
      </c>
      <c r="R187" s="5" t="s">
        <v>83</v>
      </c>
      <c r="S187" s="5" t="s">
        <v>61</v>
      </c>
      <c r="T187" s="7">
        <v>8.0500000000000007</v>
      </c>
      <c r="U187" s="5" t="s">
        <v>132</v>
      </c>
    </row>
    <row r="188" spans="1:21" s="5" customFormat="1" x14ac:dyDescent="0.25">
      <c r="A188" s="5">
        <v>2027604739</v>
      </c>
      <c r="B188" s="5" t="s">
        <v>1315</v>
      </c>
      <c r="C188" s="5" t="s">
        <v>1316</v>
      </c>
      <c r="D188" s="5" t="str">
        <f t="shared" si="6"/>
        <v>EVELYN BENDER</v>
      </c>
      <c r="E188" s="5" t="s">
        <v>648</v>
      </c>
      <c r="F188" s="5" t="s">
        <v>169</v>
      </c>
      <c r="G188" s="5" t="s">
        <v>170</v>
      </c>
      <c r="H188" s="5">
        <v>17094718</v>
      </c>
      <c r="I188" s="5" t="s">
        <v>1026</v>
      </c>
      <c r="J188" s="5" t="s">
        <v>247</v>
      </c>
      <c r="K188" s="5" t="str">
        <f t="shared" si="7"/>
        <v>GREGORY HANSFORD</v>
      </c>
      <c r="L188" s="6">
        <v>45723</v>
      </c>
      <c r="M188" s="6">
        <v>46029</v>
      </c>
      <c r="N188" s="7">
        <v>51.04</v>
      </c>
      <c r="O188" s="5">
        <f t="shared" si="8"/>
        <v>10</v>
      </c>
      <c r="P188" s="5" t="s">
        <v>1370</v>
      </c>
      <c r="Q188" s="8">
        <v>0.47</v>
      </c>
      <c r="R188" s="5" t="s">
        <v>83</v>
      </c>
      <c r="S188" s="5" t="s">
        <v>61</v>
      </c>
      <c r="T188" s="7">
        <v>23.99</v>
      </c>
      <c r="U188" s="5" t="s">
        <v>170</v>
      </c>
    </row>
    <row r="189" spans="1:21" s="5" customFormat="1" x14ac:dyDescent="0.25">
      <c r="A189" s="5">
        <v>2027391406</v>
      </c>
      <c r="B189" s="5" t="s">
        <v>1024</v>
      </c>
      <c r="C189" s="5" t="s">
        <v>1025</v>
      </c>
      <c r="D189" s="5" t="str">
        <f t="shared" si="6"/>
        <v>JUDITH BOVA</v>
      </c>
      <c r="E189" s="5" t="s">
        <v>102</v>
      </c>
      <c r="F189" s="5" t="s">
        <v>108</v>
      </c>
      <c r="G189" s="5" t="s">
        <v>1002</v>
      </c>
      <c r="H189" s="5">
        <v>17094718</v>
      </c>
      <c r="I189" s="5" t="s">
        <v>1026</v>
      </c>
      <c r="J189" s="5" t="s">
        <v>247</v>
      </c>
      <c r="K189" s="5" t="str">
        <f t="shared" si="7"/>
        <v>GREGORY HANSFORD</v>
      </c>
      <c r="L189" s="6">
        <v>45717</v>
      </c>
      <c r="M189" s="6">
        <v>46023</v>
      </c>
      <c r="N189" s="7">
        <v>130.76</v>
      </c>
      <c r="O189" s="5">
        <f t="shared" si="8"/>
        <v>10</v>
      </c>
      <c r="P189" s="5" t="s">
        <v>1370</v>
      </c>
      <c r="Q189" s="8">
        <v>0.26</v>
      </c>
      <c r="R189" s="5" t="s">
        <v>83</v>
      </c>
      <c r="S189" s="5" t="s">
        <v>61</v>
      </c>
      <c r="T189" s="7">
        <v>34</v>
      </c>
      <c r="U189" s="5" t="s">
        <v>1384</v>
      </c>
    </row>
    <row r="190" spans="1:21" s="5" customFormat="1" x14ac:dyDescent="0.25">
      <c r="A190" s="5">
        <v>2027253361</v>
      </c>
      <c r="B190" s="5" t="s">
        <v>1021</v>
      </c>
      <c r="C190" s="5" t="s">
        <v>137</v>
      </c>
      <c r="D190" s="5" t="str">
        <f t="shared" si="6"/>
        <v>JAMES COMBS</v>
      </c>
      <c r="E190" s="5" t="s">
        <v>200</v>
      </c>
      <c r="F190" s="5" t="s">
        <v>108</v>
      </c>
      <c r="G190" s="5" t="s">
        <v>1022</v>
      </c>
      <c r="H190" s="5">
        <v>16865615</v>
      </c>
      <c r="I190" s="5" t="s">
        <v>201</v>
      </c>
      <c r="J190" s="5" t="s">
        <v>202</v>
      </c>
      <c r="K190" s="5" t="str">
        <f t="shared" si="7"/>
        <v>Heather Geske</v>
      </c>
      <c r="L190" s="6">
        <v>45717</v>
      </c>
      <c r="M190" s="6">
        <v>46023</v>
      </c>
      <c r="N190" s="7">
        <v>136.72</v>
      </c>
      <c r="O190" s="5">
        <f t="shared" si="8"/>
        <v>10</v>
      </c>
      <c r="P190" s="5" t="s">
        <v>1370</v>
      </c>
      <c r="Q190" s="8">
        <v>0.26</v>
      </c>
      <c r="R190" s="5" t="s">
        <v>83</v>
      </c>
      <c r="S190" s="5" t="s">
        <v>61</v>
      </c>
      <c r="T190" s="7">
        <v>35.549999999999997</v>
      </c>
      <c r="U190" s="5" t="s">
        <v>1384</v>
      </c>
    </row>
    <row r="191" spans="1:21" s="5" customFormat="1" x14ac:dyDescent="0.25">
      <c r="A191" s="5">
        <v>2027625564</v>
      </c>
      <c r="B191" s="5" t="s">
        <v>1111</v>
      </c>
      <c r="C191" s="5" t="s">
        <v>1112</v>
      </c>
      <c r="D191" s="5" t="str">
        <f t="shared" si="6"/>
        <v>TUNGALAG AYUSH</v>
      </c>
      <c r="E191" s="5" t="s">
        <v>102</v>
      </c>
      <c r="F191" s="5" t="s">
        <v>126</v>
      </c>
      <c r="G191" s="5" t="s">
        <v>132</v>
      </c>
      <c r="H191" s="5">
        <v>20999157</v>
      </c>
      <c r="I191" s="5" t="s">
        <v>1113</v>
      </c>
      <c r="J191" s="5" t="s">
        <v>1114</v>
      </c>
      <c r="K191" s="5" t="str">
        <f t="shared" si="7"/>
        <v>ODMAA ENKHTUR</v>
      </c>
      <c r="L191" s="6">
        <v>45725</v>
      </c>
      <c r="M191" s="6">
        <v>46031</v>
      </c>
      <c r="N191" s="7">
        <v>19</v>
      </c>
      <c r="O191" s="5">
        <f t="shared" si="8"/>
        <v>10</v>
      </c>
      <c r="P191" s="5" t="s">
        <v>1370</v>
      </c>
      <c r="Q191" s="8">
        <v>0.7</v>
      </c>
      <c r="R191" s="5" t="s">
        <v>83</v>
      </c>
      <c r="S191" s="5" t="s">
        <v>61</v>
      </c>
      <c r="T191" s="7">
        <v>13.3</v>
      </c>
      <c r="U191" s="5" t="s">
        <v>132</v>
      </c>
    </row>
    <row r="192" spans="1:21" s="5" customFormat="1" x14ac:dyDescent="0.25">
      <c r="A192" s="5">
        <v>2027738389</v>
      </c>
      <c r="B192" s="5" t="s">
        <v>1117</v>
      </c>
      <c r="C192" s="5" t="s">
        <v>1118</v>
      </c>
      <c r="D192" s="5" t="str">
        <f t="shared" si="6"/>
        <v>FERNANDO MARRUFO</v>
      </c>
      <c r="E192" s="5" t="s">
        <v>357</v>
      </c>
      <c r="F192" s="5" t="s">
        <v>126</v>
      </c>
      <c r="G192" s="5" t="s">
        <v>132</v>
      </c>
      <c r="H192" s="5">
        <v>371819</v>
      </c>
      <c r="I192" s="5" t="s">
        <v>138</v>
      </c>
      <c r="J192" s="5" t="s">
        <v>107</v>
      </c>
      <c r="K192" s="5" t="str">
        <f t="shared" si="7"/>
        <v>THOMAS PARDUE</v>
      </c>
      <c r="L192" s="6">
        <v>45728</v>
      </c>
      <c r="M192" s="6">
        <v>46034</v>
      </c>
      <c r="N192" s="7">
        <v>77.48</v>
      </c>
      <c r="O192" s="5">
        <f t="shared" si="8"/>
        <v>10</v>
      </c>
      <c r="P192" s="5" t="s">
        <v>1370</v>
      </c>
      <c r="Q192" s="8">
        <v>0.7</v>
      </c>
      <c r="R192" s="5" t="s">
        <v>83</v>
      </c>
      <c r="S192" s="5" t="s">
        <v>61</v>
      </c>
      <c r="T192" s="7">
        <v>54.24</v>
      </c>
      <c r="U192" s="5" t="s">
        <v>132</v>
      </c>
    </row>
    <row r="193" spans="1:21" s="5" customFormat="1" x14ac:dyDescent="0.25">
      <c r="A193" s="5">
        <v>2027738390</v>
      </c>
      <c r="B193" s="5" t="s">
        <v>1117</v>
      </c>
      <c r="C193" s="5" t="s">
        <v>1118</v>
      </c>
      <c r="D193" s="5" t="str">
        <f t="shared" si="6"/>
        <v>FERNANDO MARRUFO</v>
      </c>
      <c r="E193" s="5" t="s">
        <v>357</v>
      </c>
      <c r="F193" s="5" t="s">
        <v>126</v>
      </c>
      <c r="G193" s="5" t="s">
        <v>375</v>
      </c>
      <c r="H193" s="5">
        <v>371819</v>
      </c>
      <c r="I193" s="5" t="s">
        <v>138</v>
      </c>
      <c r="J193" s="5" t="s">
        <v>107</v>
      </c>
      <c r="K193" s="5" t="str">
        <f t="shared" si="7"/>
        <v>THOMAS PARDUE</v>
      </c>
      <c r="L193" s="6">
        <v>45728</v>
      </c>
      <c r="M193" s="6">
        <v>46034</v>
      </c>
      <c r="N193" s="7">
        <v>30.83</v>
      </c>
      <c r="O193" s="5">
        <f t="shared" si="8"/>
        <v>10</v>
      </c>
      <c r="P193" s="5" t="s">
        <v>1370</v>
      </c>
      <c r="Q193" s="8">
        <v>0.9</v>
      </c>
      <c r="R193" s="5" t="s">
        <v>83</v>
      </c>
      <c r="S193" s="5" t="s">
        <v>61</v>
      </c>
      <c r="T193" s="7">
        <v>27.75</v>
      </c>
      <c r="U193" s="5" t="s">
        <v>375</v>
      </c>
    </row>
    <row r="194" spans="1:21" s="5" customFormat="1" x14ac:dyDescent="0.25">
      <c r="A194" s="5">
        <v>2026978805</v>
      </c>
      <c r="B194" s="5" t="s">
        <v>495</v>
      </c>
      <c r="C194" s="5" t="s">
        <v>496</v>
      </c>
      <c r="D194" s="5" t="str">
        <f t="shared" ref="D194:D257" si="9">CONCATENATE(C194," ",B194)</f>
        <v>MAGDALENA SCIUPIDER</v>
      </c>
      <c r="E194" s="5" t="s">
        <v>102</v>
      </c>
      <c r="F194" s="5" t="s">
        <v>126</v>
      </c>
      <c r="G194" s="5" t="s">
        <v>132</v>
      </c>
      <c r="H194" s="5">
        <v>7470776</v>
      </c>
      <c r="I194" s="5" t="s">
        <v>261</v>
      </c>
      <c r="J194" s="5" t="s">
        <v>262</v>
      </c>
      <c r="K194" s="5" t="str">
        <f t="shared" ref="K194:K257" si="10">CONCATENATE(J194," ",I194)</f>
        <v>Andrew Choi</v>
      </c>
      <c r="L194" s="6">
        <v>45695</v>
      </c>
      <c r="M194" s="6">
        <v>46029</v>
      </c>
      <c r="N194" s="7">
        <v>15.75</v>
      </c>
      <c r="O194" s="5">
        <f t="shared" ref="O194:O257" si="11">DATEDIF(L194,M194,"M")</f>
        <v>11</v>
      </c>
      <c r="P194" s="5" t="s">
        <v>1370</v>
      </c>
      <c r="Q194" s="8">
        <v>0.7</v>
      </c>
      <c r="R194" s="5" t="s">
        <v>83</v>
      </c>
      <c r="S194" s="5" t="s">
        <v>61</v>
      </c>
      <c r="T194" s="7">
        <v>11.02</v>
      </c>
      <c r="U194" s="5" t="s">
        <v>132</v>
      </c>
    </row>
    <row r="195" spans="1:21" s="5" customFormat="1" x14ac:dyDescent="0.25">
      <c r="A195" s="5">
        <v>2027059396</v>
      </c>
      <c r="B195" s="5" t="s">
        <v>506</v>
      </c>
      <c r="C195" s="5" t="s">
        <v>507</v>
      </c>
      <c r="D195" s="5" t="str">
        <f t="shared" si="9"/>
        <v>VAN NGUYEN</v>
      </c>
      <c r="E195" s="5" t="s">
        <v>102</v>
      </c>
      <c r="F195" s="5" t="s">
        <v>126</v>
      </c>
      <c r="G195" s="5" t="s">
        <v>132</v>
      </c>
      <c r="H195" s="5">
        <v>7470776</v>
      </c>
      <c r="I195" s="5" t="s">
        <v>261</v>
      </c>
      <c r="J195" s="5" t="s">
        <v>262</v>
      </c>
      <c r="K195" s="5" t="str">
        <f t="shared" si="10"/>
        <v>Andrew Choi</v>
      </c>
      <c r="L195" s="6">
        <v>45700</v>
      </c>
      <c r="M195" s="6">
        <v>46034</v>
      </c>
      <c r="N195" s="7">
        <v>41.5</v>
      </c>
      <c r="O195" s="5">
        <f t="shared" si="11"/>
        <v>11</v>
      </c>
      <c r="P195" s="5" t="s">
        <v>1370</v>
      </c>
      <c r="Q195" s="8">
        <v>0.7</v>
      </c>
      <c r="R195" s="5" t="s">
        <v>83</v>
      </c>
      <c r="S195" s="5" t="s">
        <v>61</v>
      </c>
      <c r="T195" s="7">
        <v>29.05</v>
      </c>
      <c r="U195" s="5" t="s">
        <v>132</v>
      </c>
    </row>
    <row r="196" spans="1:21" s="5" customFormat="1" x14ac:dyDescent="0.25">
      <c r="A196" s="5">
        <v>2026978806</v>
      </c>
      <c r="B196" s="5" t="s">
        <v>495</v>
      </c>
      <c r="C196" s="5" t="s">
        <v>496</v>
      </c>
      <c r="D196" s="5" t="str">
        <f t="shared" si="9"/>
        <v>MAGDALENA SCIUPIDER</v>
      </c>
      <c r="E196" s="5" t="s">
        <v>102</v>
      </c>
      <c r="F196" s="5" t="s">
        <v>86</v>
      </c>
      <c r="G196" s="5" t="s">
        <v>87</v>
      </c>
      <c r="H196" s="5">
        <v>7470776</v>
      </c>
      <c r="I196" s="5" t="s">
        <v>261</v>
      </c>
      <c r="J196" s="5" t="s">
        <v>262</v>
      </c>
      <c r="K196" s="5" t="str">
        <f t="shared" si="10"/>
        <v>Andrew Choi</v>
      </c>
      <c r="L196" s="6">
        <v>45695</v>
      </c>
      <c r="M196" s="6">
        <v>46029</v>
      </c>
      <c r="N196" s="7">
        <v>112.85</v>
      </c>
      <c r="O196" s="5">
        <f t="shared" si="11"/>
        <v>11</v>
      </c>
      <c r="P196" s="5" t="s">
        <v>1370</v>
      </c>
      <c r="Q196" s="9">
        <v>0.375</v>
      </c>
      <c r="R196" s="5" t="s">
        <v>83</v>
      </c>
      <c r="S196" s="5" t="s">
        <v>61</v>
      </c>
      <c r="T196" s="7">
        <v>42.32</v>
      </c>
      <c r="U196" s="5" t="s">
        <v>87</v>
      </c>
    </row>
    <row r="197" spans="1:21" s="5" customFormat="1" x14ac:dyDescent="0.25">
      <c r="A197" s="5">
        <v>2027059395</v>
      </c>
      <c r="B197" s="5" t="s">
        <v>506</v>
      </c>
      <c r="C197" s="5" t="s">
        <v>507</v>
      </c>
      <c r="D197" s="5" t="str">
        <f t="shared" si="9"/>
        <v>VAN NGUYEN</v>
      </c>
      <c r="E197" s="5" t="s">
        <v>102</v>
      </c>
      <c r="F197" s="5" t="s">
        <v>86</v>
      </c>
      <c r="G197" s="5" t="s">
        <v>87</v>
      </c>
      <c r="H197" s="5">
        <v>7470776</v>
      </c>
      <c r="I197" s="5" t="s">
        <v>261</v>
      </c>
      <c r="J197" s="5" t="s">
        <v>262</v>
      </c>
      <c r="K197" s="5" t="str">
        <f t="shared" si="10"/>
        <v>Andrew Choi</v>
      </c>
      <c r="L197" s="6">
        <v>45700</v>
      </c>
      <c r="M197" s="6">
        <v>46034</v>
      </c>
      <c r="N197" s="7">
        <v>64.760000000000005</v>
      </c>
      <c r="O197" s="5">
        <f t="shared" si="11"/>
        <v>11</v>
      </c>
      <c r="P197" s="5" t="s">
        <v>1370</v>
      </c>
      <c r="Q197" s="9">
        <v>0.375</v>
      </c>
      <c r="R197" s="5" t="s">
        <v>83</v>
      </c>
      <c r="S197" s="5" t="s">
        <v>61</v>
      </c>
      <c r="T197" s="7">
        <v>24.28</v>
      </c>
      <c r="U197" s="5" t="s">
        <v>87</v>
      </c>
    </row>
    <row r="198" spans="1:21" s="5" customFormat="1" x14ac:dyDescent="0.25">
      <c r="A198" s="5">
        <v>2026718142</v>
      </c>
      <c r="B198" s="5" t="s">
        <v>139</v>
      </c>
      <c r="C198" s="5" t="s">
        <v>140</v>
      </c>
      <c r="D198" s="5" t="str">
        <f t="shared" si="9"/>
        <v>DOUGLAS JONES</v>
      </c>
      <c r="E198" s="5" t="s">
        <v>102</v>
      </c>
      <c r="F198" s="5" t="s">
        <v>126</v>
      </c>
      <c r="G198" s="5" t="s">
        <v>132</v>
      </c>
      <c r="H198" s="5">
        <v>21104854</v>
      </c>
      <c r="I198" s="5" t="s">
        <v>141</v>
      </c>
      <c r="J198" s="5" t="s">
        <v>142</v>
      </c>
      <c r="K198" s="5" t="str">
        <f t="shared" si="10"/>
        <v>BRIAN STROHMAN</v>
      </c>
      <c r="L198" s="6">
        <v>45689</v>
      </c>
      <c r="M198" s="6">
        <v>46023</v>
      </c>
      <c r="N198" s="7">
        <v>284.54000000000002</v>
      </c>
      <c r="O198" s="5">
        <f t="shared" si="11"/>
        <v>11</v>
      </c>
      <c r="P198" s="5" t="s">
        <v>1370</v>
      </c>
      <c r="Q198" s="8">
        <v>0.7</v>
      </c>
      <c r="R198" s="5" t="s">
        <v>83</v>
      </c>
      <c r="S198" s="5" t="s">
        <v>61</v>
      </c>
      <c r="T198" s="7">
        <v>199.18</v>
      </c>
      <c r="U198" s="5" t="s">
        <v>132</v>
      </c>
    </row>
    <row r="199" spans="1:21" s="5" customFormat="1" x14ac:dyDescent="0.25">
      <c r="A199" s="5">
        <v>2027035340</v>
      </c>
      <c r="B199" s="5" t="s">
        <v>361</v>
      </c>
      <c r="C199" s="5" t="s">
        <v>668</v>
      </c>
      <c r="D199" s="5" t="str">
        <f t="shared" si="9"/>
        <v>CHRIS TAUGNER</v>
      </c>
      <c r="E199" s="5" t="s">
        <v>383</v>
      </c>
      <c r="F199" s="5" t="s">
        <v>365</v>
      </c>
      <c r="G199" s="5" t="s">
        <v>366</v>
      </c>
      <c r="H199" s="5">
        <v>19681796</v>
      </c>
      <c r="I199" s="5" t="s">
        <v>361</v>
      </c>
      <c r="J199" s="5" t="s">
        <v>362</v>
      </c>
      <c r="K199" s="5" t="str">
        <f t="shared" si="10"/>
        <v>CHRISTIAN TAUGNER</v>
      </c>
      <c r="L199" s="6">
        <v>45698</v>
      </c>
      <c r="M199" s="6">
        <v>46032</v>
      </c>
      <c r="N199" s="7">
        <v>60.11</v>
      </c>
      <c r="O199" s="5">
        <f t="shared" si="11"/>
        <v>11</v>
      </c>
      <c r="P199" s="5" t="s">
        <v>1370</v>
      </c>
      <c r="Q199" s="8">
        <v>0.38</v>
      </c>
      <c r="R199" s="5" t="s">
        <v>83</v>
      </c>
      <c r="S199" s="5" t="s">
        <v>61</v>
      </c>
      <c r="T199" s="7">
        <v>22.84</v>
      </c>
      <c r="U199" s="5" t="s">
        <v>366</v>
      </c>
    </row>
    <row r="200" spans="1:21" s="5" customFormat="1" x14ac:dyDescent="0.25">
      <c r="A200" s="5">
        <v>2026958511</v>
      </c>
      <c r="B200" s="5" t="s">
        <v>1108</v>
      </c>
      <c r="C200" s="5" t="s">
        <v>753</v>
      </c>
      <c r="D200" s="5" t="str">
        <f t="shared" si="9"/>
        <v>BRYAN TIJERINA</v>
      </c>
      <c r="E200" s="5" t="s">
        <v>383</v>
      </c>
      <c r="F200" s="5" t="s">
        <v>126</v>
      </c>
      <c r="G200" s="5" t="s">
        <v>132</v>
      </c>
      <c r="H200" s="5">
        <v>19681796</v>
      </c>
      <c r="I200" s="5" t="s">
        <v>361</v>
      </c>
      <c r="J200" s="5" t="s">
        <v>362</v>
      </c>
      <c r="K200" s="5" t="str">
        <f t="shared" si="10"/>
        <v>CHRISTIAN TAUGNER</v>
      </c>
      <c r="L200" s="6">
        <v>45694</v>
      </c>
      <c r="M200" s="6">
        <v>46028</v>
      </c>
      <c r="N200" s="7">
        <v>89.95</v>
      </c>
      <c r="O200" s="5">
        <f t="shared" si="11"/>
        <v>11</v>
      </c>
      <c r="P200" s="5" t="s">
        <v>1370</v>
      </c>
      <c r="Q200" s="8">
        <v>0.7</v>
      </c>
      <c r="R200" s="5" t="s">
        <v>83</v>
      </c>
      <c r="S200" s="5" t="s">
        <v>61</v>
      </c>
      <c r="T200" s="7">
        <v>62.96</v>
      </c>
      <c r="U200" s="5" t="s">
        <v>132</v>
      </c>
    </row>
    <row r="201" spans="1:21" s="5" customFormat="1" x14ac:dyDescent="0.25">
      <c r="A201" s="5">
        <v>2027035339</v>
      </c>
      <c r="B201" s="5" t="s">
        <v>361</v>
      </c>
      <c r="C201" s="5" t="s">
        <v>668</v>
      </c>
      <c r="D201" s="5" t="str">
        <f t="shared" si="9"/>
        <v>CHRIS TAUGNER</v>
      </c>
      <c r="E201" s="5" t="s">
        <v>383</v>
      </c>
      <c r="F201" s="5" t="s">
        <v>126</v>
      </c>
      <c r="G201" s="5" t="s">
        <v>132</v>
      </c>
      <c r="H201" s="5">
        <v>19681796</v>
      </c>
      <c r="I201" s="5" t="s">
        <v>361</v>
      </c>
      <c r="J201" s="5" t="s">
        <v>362</v>
      </c>
      <c r="K201" s="5" t="str">
        <f t="shared" si="10"/>
        <v>CHRISTIAN TAUGNER</v>
      </c>
      <c r="L201" s="6">
        <v>45698</v>
      </c>
      <c r="M201" s="6">
        <v>46032</v>
      </c>
      <c r="N201" s="7">
        <v>39.25</v>
      </c>
      <c r="O201" s="5">
        <f t="shared" si="11"/>
        <v>11</v>
      </c>
      <c r="P201" s="5" t="s">
        <v>1370</v>
      </c>
      <c r="Q201" s="8">
        <v>0.7</v>
      </c>
      <c r="R201" s="5" t="s">
        <v>83</v>
      </c>
      <c r="S201" s="5" t="s">
        <v>61</v>
      </c>
      <c r="T201" s="7">
        <v>27.48</v>
      </c>
      <c r="U201" s="5" t="s">
        <v>132</v>
      </c>
    </row>
    <row r="202" spans="1:21" s="5" customFormat="1" x14ac:dyDescent="0.25">
      <c r="A202" s="5">
        <v>2026862484</v>
      </c>
      <c r="B202" s="5" t="s">
        <v>492</v>
      </c>
      <c r="C202" s="5" t="s">
        <v>493</v>
      </c>
      <c r="D202" s="5" t="str">
        <f t="shared" si="9"/>
        <v>REBECCA RICE</v>
      </c>
      <c r="E202" s="5" t="s">
        <v>102</v>
      </c>
      <c r="F202" s="5" t="s">
        <v>126</v>
      </c>
      <c r="G202" s="5" t="s">
        <v>132</v>
      </c>
      <c r="H202" s="5">
        <v>17301495</v>
      </c>
      <c r="I202" s="5" t="s">
        <v>494</v>
      </c>
      <c r="J202" s="5" t="s">
        <v>475</v>
      </c>
      <c r="K202" s="5" t="str">
        <f t="shared" si="10"/>
        <v>ESTHER HERRERA-LARSEN</v>
      </c>
      <c r="L202" s="6">
        <v>45694</v>
      </c>
      <c r="M202" s="6">
        <v>46028</v>
      </c>
      <c r="N202" s="7">
        <v>11.5</v>
      </c>
      <c r="O202" s="5">
        <f t="shared" si="11"/>
        <v>11</v>
      </c>
      <c r="P202" s="5" t="s">
        <v>1370</v>
      </c>
      <c r="Q202" s="8">
        <v>0.7</v>
      </c>
      <c r="R202" s="5" t="s">
        <v>83</v>
      </c>
      <c r="S202" s="5" t="s">
        <v>61</v>
      </c>
      <c r="T202" s="7">
        <v>8.0500000000000007</v>
      </c>
      <c r="U202" s="5" t="s">
        <v>132</v>
      </c>
    </row>
    <row r="203" spans="1:21" s="5" customFormat="1" x14ac:dyDescent="0.25">
      <c r="A203" s="5">
        <v>2026862483</v>
      </c>
      <c r="B203" s="5" t="s">
        <v>492</v>
      </c>
      <c r="C203" s="5" t="s">
        <v>493</v>
      </c>
      <c r="D203" s="5" t="str">
        <f t="shared" si="9"/>
        <v>REBECCA RICE</v>
      </c>
      <c r="E203" s="5" t="s">
        <v>102</v>
      </c>
      <c r="F203" s="5" t="s">
        <v>86</v>
      </c>
      <c r="G203" s="5" t="s">
        <v>87</v>
      </c>
      <c r="H203" s="5">
        <v>17301495</v>
      </c>
      <c r="I203" s="5" t="s">
        <v>494</v>
      </c>
      <c r="J203" s="5" t="s">
        <v>475</v>
      </c>
      <c r="K203" s="5" t="str">
        <f t="shared" si="10"/>
        <v>ESTHER HERRERA-LARSEN</v>
      </c>
      <c r="L203" s="6">
        <v>45694</v>
      </c>
      <c r="M203" s="6">
        <v>46028</v>
      </c>
      <c r="N203" s="7">
        <v>64.760000000000005</v>
      </c>
      <c r="O203" s="5">
        <f t="shared" si="11"/>
        <v>11</v>
      </c>
      <c r="P203" s="5" t="s">
        <v>1370</v>
      </c>
      <c r="Q203" s="9">
        <v>0.375</v>
      </c>
      <c r="R203" s="5" t="s">
        <v>83</v>
      </c>
      <c r="S203" s="5" t="s">
        <v>61</v>
      </c>
      <c r="T203" s="7">
        <v>24.28</v>
      </c>
      <c r="U203" s="5" t="s">
        <v>87</v>
      </c>
    </row>
    <row r="204" spans="1:21" s="5" customFormat="1" x14ac:dyDescent="0.25">
      <c r="A204" s="5">
        <v>2027003322</v>
      </c>
      <c r="B204" s="5" t="s">
        <v>828</v>
      </c>
      <c r="C204" s="5" t="s">
        <v>829</v>
      </c>
      <c r="D204" s="5" t="str">
        <f t="shared" si="9"/>
        <v>ANNA SUSSMAN</v>
      </c>
      <c r="E204" s="5" t="s">
        <v>200</v>
      </c>
      <c r="F204" s="5" t="s">
        <v>126</v>
      </c>
      <c r="G204" s="5" t="s">
        <v>127</v>
      </c>
      <c r="H204" s="5">
        <v>16865615</v>
      </c>
      <c r="I204" s="5" t="s">
        <v>201</v>
      </c>
      <c r="J204" s="5" t="s">
        <v>202</v>
      </c>
      <c r="K204" s="5" t="str">
        <f t="shared" si="10"/>
        <v>Heather Geske</v>
      </c>
      <c r="L204" s="6">
        <v>45696</v>
      </c>
      <c r="M204" s="6">
        <v>46030</v>
      </c>
      <c r="N204" s="7">
        <v>20.95</v>
      </c>
      <c r="O204" s="5">
        <f t="shared" si="11"/>
        <v>11</v>
      </c>
      <c r="P204" s="5" t="s">
        <v>1370</v>
      </c>
      <c r="Q204" s="8">
        <v>0.7</v>
      </c>
      <c r="R204" s="5" t="s">
        <v>83</v>
      </c>
      <c r="S204" s="5" t="s">
        <v>61</v>
      </c>
      <c r="T204" s="7">
        <v>14.66</v>
      </c>
      <c r="U204" s="5" t="s">
        <v>127</v>
      </c>
    </row>
    <row r="205" spans="1:21" s="5" customFormat="1" x14ac:dyDescent="0.25">
      <c r="A205" s="5">
        <v>2027010993</v>
      </c>
      <c r="B205" s="5" t="s">
        <v>293</v>
      </c>
      <c r="C205" s="5" t="s">
        <v>305</v>
      </c>
      <c r="D205" s="5" t="str">
        <f t="shared" si="9"/>
        <v>KURT JOHNSON</v>
      </c>
      <c r="E205" s="5" t="s">
        <v>200</v>
      </c>
      <c r="F205" s="5" t="s">
        <v>126</v>
      </c>
      <c r="G205" s="5" t="s">
        <v>127</v>
      </c>
      <c r="H205" s="5">
        <v>16865615</v>
      </c>
      <c r="I205" s="5" t="s">
        <v>201</v>
      </c>
      <c r="J205" s="5" t="s">
        <v>202</v>
      </c>
      <c r="K205" s="5" t="str">
        <f t="shared" si="10"/>
        <v>Heather Geske</v>
      </c>
      <c r="L205" s="6">
        <v>45697</v>
      </c>
      <c r="M205" s="6">
        <v>46031</v>
      </c>
      <c r="N205" s="7">
        <v>6.3</v>
      </c>
      <c r="O205" s="5">
        <f t="shared" si="11"/>
        <v>11</v>
      </c>
      <c r="P205" s="5" t="s">
        <v>1370</v>
      </c>
      <c r="Q205" s="8">
        <v>0.7</v>
      </c>
      <c r="R205" s="5" t="s">
        <v>83</v>
      </c>
      <c r="S205" s="5" t="s">
        <v>61</v>
      </c>
      <c r="T205" s="7">
        <v>4.41</v>
      </c>
      <c r="U205" s="5" t="s">
        <v>127</v>
      </c>
    </row>
    <row r="206" spans="1:21" s="5" customFormat="1" x14ac:dyDescent="0.25">
      <c r="A206" s="5">
        <v>2027003323</v>
      </c>
      <c r="B206" s="5" t="s">
        <v>828</v>
      </c>
      <c r="C206" s="5" t="s">
        <v>829</v>
      </c>
      <c r="D206" s="5" t="str">
        <f t="shared" si="9"/>
        <v>ANNA SUSSMAN</v>
      </c>
      <c r="E206" s="5" t="s">
        <v>200</v>
      </c>
      <c r="F206" s="5" t="s">
        <v>75</v>
      </c>
      <c r="G206" s="5" t="s">
        <v>739</v>
      </c>
      <c r="H206" s="5">
        <v>16865615</v>
      </c>
      <c r="I206" s="5" t="s">
        <v>201</v>
      </c>
      <c r="J206" s="5" t="s">
        <v>202</v>
      </c>
      <c r="K206" s="5" t="str">
        <f t="shared" si="10"/>
        <v>Heather Geske</v>
      </c>
      <c r="L206" s="6">
        <v>45696</v>
      </c>
      <c r="M206" s="6">
        <v>46030</v>
      </c>
      <c r="N206" s="7">
        <v>133.63</v>
      </c>
      <c r="O206" s="5">
        <f t="shared" si="11"/>
        <v>11</v>
      </c>
      <c r="P206" s="5" t="s">
        <v>1370</v>
      </c>
      <c r="Q206" s="8">
        <v>0.65</v>
      </c>
      <c r="R206" s="5" t="s">
        <v>83</v>
      </c>
      <c r="S206" s="5" t="s">
        <v>61</v>
      </c>
      <c r="T206" s="7">
        <v>86.86</v>
      </c>
      <c r="U206" s="5" t="s">
        <v>1380</v>
      </c>
    </row>
    <row r="207" spans="1:21" s="5" customFormat="1" x14ac:dyDescent="0.25">
      <c r="A207" s="5">
        <v>2027003554</v>
      </c>
      <c r="B207" s="5" t="s">
        <v>665</v>
      </c>
      <c r="C207" s="5" t="s">
        <v>517</v>
      </c>
      <c r="D207" s="5" t="str">
        <f t="shared" si="9"/>
        <v>TIMOTHY GOLAY</v>
      </c>
      <c r="E207" s="5" t="s">
        <v>200</v>
      </c>
      <c r="F207" s="5" t="s">
        <v>75</v>
      </c>
      <c r="G207" s="5" t="s">
        <v>739</v>
      </c>
      <c r="H207" s="5">
        <v>16865615</v>
      </c>
      <c r="I207" s="5" t="s">
        <v>201</v>
      </c>
      <c r="J207" s="5" t="s">
        <v>202</v>
      </c>
      <c r="K207" s="5" t="str">
        <f t="shared" si="10"/>
        <v>Heather Geske</v>
      </c>
      <c r="L207" s="6">
        <v>45698</v>
      </c>
      <c r="M207" s="6">
        <v>46032</v>
      </c>
      <c r="N207" s="7">
        <v>50.23</v>
      </c>
      <c r="O207" s="5">
        <f t="shared" si="11"/>
        <v>11</v>
      </c>
      <c r="P207" s="5" t="s">
        <v>1370</v>
      </c>
      <c r="Q207" s="8">
        <v>0.65</v>
      </c>
      <c r="R207" s="5" t="s">
        <v>83</v>
      </c>
      <c r="S207" s="5" t="s">
        <v>61</v>
      </c>
      <c r="T207" s="7">
        <v>32.65</v>
      </c>
      <c r="U207" s="5" t="s">
        <v>1380</v>
      </c>
    </row>
    <row r="208" spans="1:21" s="5" customFormat="1" x14ac:dyDescent="0.25">
      <c r="A208" s="5">
        <v>2027010992</v>
      </c>
      <c r="B208" s="5" t="s">
        <v>293</v>
      </c>
      <c r="C208" s="5" t="s">
        <v>305</v>
      </c>
      <c r="D208" s="5" t="str">
        <f t="shared" si="9"/>
        <v>KURT JOHNSON</v>
      </c>
      <c r="E208" s="5" t="s">
        <v>200</v>
      </c>
      <c r="F208" s="5" t="s">
        <v>75</v>
      </c>
      <c r="G208" s="5" t="s">
        <v>739</v>
      </c>
      <c r="H208" s="5">
        <v>16865615</v>
      </c>
      <c r="I208" s="5" t="s">
        <v>201</v>
      </c>
      <c r="J208" s="5" t="s">
        <v>202</v>
      </c>
      <c r="K208" s="5" t="str">
        <f t="shared" si="10"/>
        <v>Heather Geske</v>
      </c>
      <c r="L208" s="6">
        <v>45697</v>
      </c>
      <c r="M208" s="6">
        <v>46031</v>
      </c>
      <c r="N208" s="7">
        <v>47.01</v>
      </c>
      <c r="O208" s="5">
        <f t="shared" si="11"/>
        <v>11</v>
      </c>
      <c r="P208" s="5" t="s">
        <v>1370</v>
      </c>
      <c r="Q208" s="8">
        <v>0.65</v>
      </c>
      <c r="R208" s="5" t="s">
        <v>83</v>
      </c>
      <c r="S208" s="5" t="s">
        <v>61</v>
      </c>
      <c r="T208" s="7">
        <v>30.56</v>
      </c>
      <c r="U208" s="5" t="s">
        <v>1380</v>
      </c>
    </row>
    <row r="209" spans="1:21" s="5" customFormat="1" x14ac:dyDescent="0.25">
      <c r="A209" s="5">
        <v>2027001809</v>
      </c>
      <c r="B209" s="5" t="s">
        <v>499</v>
      </c>
      <c r="C209" s="5" t="s">
        <v>500</v>
      </c>
      <c r="D209" s="5" t="str">
        <f t="shared" si="9"/>
        <v>HEIDI SINKLIER</v>
      </c>
      <c r="E209" s="5" t="s">
        <v>200</v>
      </c>
      <c r="F209" s="5" t="s">
        <v>75</v>
      </c>
      <c r="G209" s="5" t="s">
        <v>80</v>
      </c>
      <c r="H209" s="5">
        <v>16865615</v>
      </c>
      <c r="I209" s="5" t="s">
        <v>201</v>
      </c>
      <c r="J209" s="5" t="s">
        <v>202</v>
      </c>
      <c r="K209" s="5" t="str">
        <f t="shared" si="10"/>
        <v>Heather Geske</v>
      </c>
      <c r="L209" s="6">
        <v>45698</v>
      </c>
      <c r="M209" s="6">
        <v>46032</v>
      </c>
      <c r="N209" s="7">
        <v>57.08</v>
      </c>
      <c r="O209" s="5">
        <f t="shared" si="11"/>
        <v>11</v>
      </c>
      <c r="P209" s="5" t="s">
        <v>1370</v>
      </c>
      <c r="Q209" s="8">
        <v>0.9</v>
      </c>
      <c r="R209" s="5" t="s">
        <v>83</v>
      </c>
      <c r="S209" s="5" t="s">
        <v>61</v>
      </c>
      <c r="T209" s="7">
        <v>51.37</v>
      </c>
      <c r="U209" s="5" t="s">
        <v>1372</v>
      </c>
    </row>
    <row r="210" spans="1:21" s="5" customFormat="1" x14ac:dyDescent="0.25">
      <c r="A210" s="5">
        <v>2026760350</v>
      </c>
      <c r="B210" s="5" t="s">
        <v>198</v>
      </c>
      <c r="C210" s="5" t="s">
        <v>199</v>
      </c>
      <c r="D210" s="5" t="str">
        <f t="shared" si="9"/>
        <v>CRAIG DEAN</v>
      </c>
      <c r="E210" s="5" t="s">
        <v>200</v>
      </c>
      <c r="F210" s="5" t="s">
        <v>169</v>
      </c>
      <c r="G210" s="5" t="s">
        <v>170</v>
      </c>
      <c r="H210" s="5">
        <v>16865615</v>
      </c>
      <c r="I210" s="5" t="s">
        <v>201</v>
      </c>
      <c r="J210" s="5" t="s">
        <v>202</v>
      </c>
      <c r="K210" s="5" t="str">
        <f t="shared" si="10"/>
        <v>Heather Geske</v>
      </c>
      <c r="L210" s="6">
        <v>45689</v>
      </c>
      <c r="M210" s="6">
        <v>46023</v>
      </c>
      <c r="N210" s="7">
        <v>76.209999999999994</v>
      </c>
      <c r="O210" s="5">
        <f t="shared" si="11"/>
        <v>11</v>
      </c>
      <c r="P210" s="5" t="s">
        <v>1370</v>
      </c>
      <c r="Q210" s="8">
        <v>0.47</v>
      </c>
      <c r="R210" s="5" t="s">
        <v>83</v>
      </c>
      <c r="S210" s="5" t="s">
        <v>61</v>
      </c>
      <c r="T210" s="7">
        <v>35.82</v>
      </c>
      <c r="U210" s="5" t="s">
        <v>170</v>
      </c>
    </row>
    <row r="211" spans="1:21" s="5" customFormat="1" x14ac:dyDescent="0.25">
      <c r="A211" s="5">
        <v>2027003553</v>
      </c>
      <c r="B211" s="5" t="s">
        <v>665</v>
      </c>
      <c r="C211" s="5" t="s">
        <v>517</v>
      </c>
      <c r="D211" s="5" t="str">
        <f t="shared" si="9"/>
        <v>TIMOTHY GOLAY</v>
      </c>
      <c r="E211" s="5" t="s">
        <v>200</v>
      </c>
      <c r="F211" s="5" t="s">
        <v>365</v>
      </c>
      <c r="G211" s="5" t="s">
        <v>366</v>
      </c>
      <c r="H211" s="5">
        <v>16865615</v>
      </c>
      <c r="I211" s="5" t="s">
        <v>201</v>
      </c>
      <c r="J211" s="5" t="s">
        <v>202</v>
      </c>
      <c r="K211" s="5" t="str">
        <f t="shared" si="10"/>
        <v>Heather Geske</v>
      </c>
      <c r="L211" s="6">
        <v>45698</v>
      </c>
      <c r="M211" s="6">
        <v>46032</v>
      </c>
      <c r="N211" s="7">
        <v>60.5</v>
      </c>
      <c r="O211" s="5">
        <f t="shared" si="11"/>
        <v>11</v>
      </c>
      <c r="P211" s="5" t="s">
        <v>1370</v>
      </c>
      <c r="Q211" s="8">
        <v>0.38</v>
      </c>
      <c r="R211" s="5" t="s">
        <v>83</v>
      </c>
      <c r="S211" s="5" t="s">
        <v>61</v>
      </c>
      <c r="T211" s="7">
        <v>22.99</v>
      </c>
      <c r="U211" s="5" t="s">
        <v>366</v>
      </c>
    </row>
    <row r="212" spans="1:21" s="5" customFormat="1" x14ac:dyDescent="0.25">
      <c r="A212" s="5">
        <v>2027010990</v>
      </c>
      <c r="B212" s="5" t="s">
        <v>293</v>
      </c>
      <c r="C212" s="5" t="s">
        <v>305</v>
      </c>
      <c r="D212" s="5" t="str">
        <f t="shared" si="9"/>
        <v>KURT JOHNSON</v>
      </c>
      <c r="E212" s="5" t="s">
        <v>200</v>
      </c>
      <c r="F212" s="5" t="s">
        <v>365</v>
      </c>
      <c r="G212" s="5" t="s">
        <v>366</v>
      </c>
      <c r="H212" s="5">
        <v>16865615</v>
      </c>
      <c r="I212" s="5" t="s">
        <v>201</v>
      </c>
      <c r="J212" s="5" t="s">
        <v>202</v>
      </c>
      <c r="K212" s="5" t="str">
        <f t="shared" si="10"/>
        <v>Heather Geske</v>
      </c>
      <c r="L212" s="6">
        <v>45697</v>
      </c>
      <c r="M212" s="6">
        <v>46031</v>
      </c>
      <c r="N212" s="7">
        <v>29.31</v>
      </c>
      <c r="O212" s="5">
        <f t="shared" si="11"/>
        <v>11</v>
      </c>
      <c r="P212" s="5" t="s">
        <v>1370</v>
      </c>
      <c r="Q212" s="8">
        <v>0.38</v>
      </c>
      <c r="R212" s="5" t="s">
        <v>83</v>
      </c>
      <c r="S212" s="5" t="s">
        <v>61</v>
      </c>
      <c r="T212" s="7">
        <v>11.14</v>
      </c>
      <c r="U212" s="5" t="s">
        <v>366</v>
      </c>
    </row>
    <row r="213" spans="1:21" s="5" customFormat="1" x14ac:dyDescent="0.25">
      <c r="A213" s="5">
        <v>2027001808</v>
      </c>
      <c r="B213" s="5" t="s">
        <v>499</v>
      </c>
      <c r="C213" s="5" t="s">
        <v>500</v>
      </c>
      <c r="D213" s="5" t="str">
        <f t="shared" si="9"/>
        <v>HEIDI SINKLIER</v>
      </c>
      <c r="E213" s="5" t="s">
        <v>200</v>
      </c>
      <c r="F213" s="5" t="s">
        <v>126</v>
      </c>
      <c r="G213" s="5" t="s">
        <v>132</v>
      </c>
      <c r="H213" s="5">
        <v>16865615</v>
      </c>
      <c r="I213" s="5" t="s">
        <v>201</v>
      </c>
      <c r="J213" s="5" t="s">
        <v>202</v>
      </c>
      <c r="K213" s="5" t="str">
        <f t="shared" si="10"/>
        <v>Heather Geske</v>
      </c>
      <c r="L213" s="6">
        <v>45698</v>
      </c>
      <c r="M213" s="6">
        <v>46032</v>
      </c>
      <c r="N213" s="7">
        <v>7.11</v>
      </c>
      <c r="O213" s="5">
        <f t="shared" si="11"/>
        <v>11</v>
      </c>
      <c r="P213" s="5" t="s">
        <v>1370</v>
      </c>
      <c r="Q213" s="8">
        <v>0.7</v>
      </c>
      <c r="R213" s="5" t="s">
        <v>83</v>
      </c>
      <c r="S213" s="5" t="s">
        <v>61</v>
      </c>
      <c r="T213" s="7">
        <v>4.9800000000000004</v>
      </c>
      <c r="U213" s="5" t="s">
        <v>132</v>
      </c>
    </row>
    <row r="214" spans="1:21" s="5" customFormat="1" x14ac:dyDescent="0.25">
      <c r="A214" s="5">
        <v>2027003321</v>
      </c>
      <c r="B214" s="5" t="s">
        <v>828</v>
      </c>
      <c r="C214" s="5" t="s">
        <v>829</v>
      </c>
      <c r="D214" s="5" t="str">
        <f t="shared" si="9"/>
        <v>ANNA SUSSMAN</v>
      </c>
      <c r="E214" s="5" t="s">
        <v>200</v>
      </c>
      <c r="F214" s="5" t="s">
        <v>126</v>
      </c>
      <c r="G214" s="5" t="s">
        <v>132</v>
      </c>
      <c r="H214" s="5">
        <v>16865615</v>
      </c>
      <c r="I214" s="5" t="s">
        <v>201</v>
      </c>
      <c r="J214" s="5" t="s">
        <v>202</v>
      </c>
      <c r="K214" s="5" t="str">
        <f t="shared" si="10"/>
        <v>Heather Geske</v>
      </c>
      <c r="L214" s="6">
        <v>45696</v>
      </c>
      <c r="M214" s="6">
        <v>46030</v>
      </c>
      <c r="N214" s="7">
        <v>29.2</v>
      </c>
      <c r="O214" s="5">
        <f t="shared" si="11"/>
        <v>11</v>
      </c>
      <c r="P214" s="5" t="s">
        <v>1370</v>
      </c>
      <c r="Q214" s="8">
        <v>0.7</v>
      </c>
      <c r="R214" s="5" t="s">
        <v>83</v>
      </c>
      <c r="S214" s="5" t="s">
        <v>61</v>
      </c>
      <c r="T214" s="7">
        <v>20.440000000000001</v>
      </c>
      <c r="U214" s="5" t="s">
        <v>132</v>
      </c>
    </row>
    <row r="215" spans="1:21" s="5" customFormat="1" x14ac:dyDescent="0.25">
      <c r="A215" s="5">
        <v>2027003552</v>
      </c>
      <c r="B215" s="5" t="s">
        <v>665</v>
      </c>
      <c r="C215" s="5" t="s">
        <v>517</v>
      </c>
      <c r="D215" s="5" t="str">
        <f t="shared" si="9"/>
        <v>TIMOTHY GOLAY</v>
      </c>
      <c r="E215" s="5" t="s">
        <v>200</v>
      </c>
      <c r="F215" s="5" t="s">
        <v>126</v>
      </c>
      <c r="G215" s="5" t="s">
        <v>132</v>
      </c>
      <c r="H215" s="5">
        <v>16865615</v>
      </c>
      <c r="I215" s="5" t="s">
        <v>201</v>
      </c>
      <c r="J215" s="5" t="s">
        <v>202</v>
      </c>
      <c r="K215" s="5" t="str">
        <f t="shared" si="10"/>
        <v>Heather Geske</v>
      </c>
      <c r="L215" s="6">
        <v>45698</v>
      </c>
      <c r="M215" s="6">
        <v>46032</v>
      </c>
      <c r="N215" s="7">
        <v>27.38</v>
      </c>
      <c r="O215" s="5">
        <f t="shared" si="11"/>
        <v>11</v>
      </c>
      <c r="P215" s="5" t="s">
        <v>1370</v>
      </c>
      <c r="Q215" s="8">
        <v>0.7</v>
      </c>
      <c r="R215" s="5" t="s">
        <v>83</v>
      </c>
      <c r="S215" s="5" t="s">
        <v>61</v>
      </c>
      <c r="T215" s="7">
        <v>19.170000000000002</v>
      </c>
      <c r="U215" s="5" t="s">
        <v>132</v>
      </c>
    </row>
    <row r="216" spans="1:21" s="5" customFormat="1" x14ac:dyDescent="0.25">
      <c r="A216" s="5">
        <v>2027010991</v>
      </c>
      <c r="B216" s="5" t="s">
        <v>293</v>
      </c>
      <c r="C216" s="5" t="s">
        <v>305</v>
      </c>
      <c r="D216" s="5" t="str">
        <f t="shared" si="9"/>
        <v>KURT JOHNSON</v>
      </c>
      <c r="E216" s="5" t="s">
        <v>200</v>
      </c>
      <c r="F216" s="5" t="s">
        <v>126</v>
      </c>
      <c r="G216" s="5" t="s">
        <v>132</v>
      </c>
      <c r="H216" s="5">
        <v>16865615</v>
      </c>
      <c r="I216" s="5" t="s">
        <v>201</v>
      </c>
      <c r="J216" s="5" t="s">
        <v>202</v>
      </c>
      <c r="K216" s="5" t="str">
        <f t="shared" si="10"/>
        <v>Heather Geske</v>
      </c>
      <c r="L216" s="6">
        <v>45697</v>
      </c>
      <c r="M216" s="6">
        <v>46031</v>
      </c>
      <c r="N216" s="7">
        <v>9.6999999999999993</v>
      </c>
      <c r="O216" s="5">
        <f t="shared" si="11"/>
        <v>11</v>
      </c>
      <c r="P216" s="5" t="s">
        <v>1370</v>
      </c>
      <c r="Q216" s="8">
        <v>0.7</v>
      </c>
      <c r="R216" s="5" t="s">
        <v>83</v>
      </c>
      <c r="S216" s="5" t="s">
        <v>61</v>
      </c>
      <c r="T216" s="7">
        <v>6.79</v>
      </c>
      <c r="U216" s="5" t="s">
        <v>132</v>
      </c>
    </row>
    <row r="217" spans="1:21" s="5" customFormat="1" x14ac:dyDescent="0.25">
      <c r="A217" s="5">
        <v>2027055700</v>
      </c>
      <c r="B217" s="5" t="s">
        <v>505</v>
      </c>
      <c r="C217" s="5" t="s">
        <v>229</v>
      </c>
      <c r="D217" s="5" t="str">
        <f t="shared" si="9"/>
        <v>AARON HEGARTY</v>
      </c>
      <c r="E217" s="5" t="s">
        <v>200</v>
      </c>
      <c r="F217" s="5" t="s">
        <v>126</v>
      </c>
      <c r="G217" s="5" t="s">
        <v>132</v>
      </c>
      <c r="H217" s="5">
        <v>16865615</v>
      </c>
      <c r="I217" s="5" t="s">
        <v>201</v>
      </c>
      <c r="J217" s="5" t="s">
        <v>202</v>
      </c>
      <c r="K217" s="5" t="str">
        <f t="shared" si="10"/>
        <v>Heather Geske</v>
      </c>
      <c r="L217" s="6">
        <v>45699</v>
      </c>
      <c r="M217" s="6">
        <v>46033</v>
      </c>
      <c r="N217" s="7">
        <v>9.1</v>
      </c>
      <c r="O217" s="5">
        <f t="shared" si="11"/>
        <v>11</v>
      </c>
      <c r="P217" s="5" t="s">
        <v>1370</v>
      </c>
      <c r="Q217" s="8">
        <v>0.7</v>
      </c>
      <c r="R217" s="5" t="s">
        <v>83</v>
      </c>
      <c r="S217" s="5" t="s">
        <v>61</v>
      </c>
      <c r="T217" s="7">
        <v>6.37</v>
      </c>
      <c r="U217" s="5" t="s">
        <v>132</v>
      </c>
    </row>
    <row r="218" spans="1:21" s="5" customFormat="1" x14ac:dyDescent="0.25">
      <c r="A218" s="5">
        <v>2027001807</v>
      </c>
      <c r="B218" s="5" t="s">
        <v>499</v>
      </c>
      <c r="C218" s="5" t="s">
        <v>500</v>
      </c>
      <c r="D218" s="5" t="str">
        <f t="shared" si="9"/>
        <v>HEIDI SINKLIER</v>
      </c>
      <c r="E218" s="5" t="s">
        <v>200</v>
      </c>
      <c r="F218" s="5" t="s">
        <v>86</v>
      </c>
      <c r="G218" s="5" t="s">
        <v>87</v>
      </c>
      <c r="H218" s="5">
        <v>16865615</v>
      </c>
      <c r="I218" s="5" t="s">
        <v>201</v>
      </c>
      <c r="J218" s="5" t="s">
        <v>202</v>
      </c>
      <c r="K218" s="5" t="str">
        <f t="shared" si="10"/>
        <v>Heather Geske</v>
      </c>
      <c r="L218" s="6">
        <v>45698</v>
      </c>
      <c r="M218" s="6">
        <v>46032</v>
      </c>
      <c r="N218" s="7">
        <v>53.08</v>
      </c>
      <c r="O218" s="5">
        <f t="shared" si="11"/>
        <v>11</v>
      </c>
      <c r="P218" s="5" t="s">
        <v>1370</v>
      </c>
      <c r="Q218" s="9">
        <v>0.375</v>
      </c>
      <c r="R218" s="5" t="s">
        <v>83</v>
      </c>
      <c r="S218" s="5" t="s">
        <v>61</v>
      </c>
      <c r="T218" s="7">
        <v>19.899999999999999</v>
      </c>
      <c r="U218" s="5" t="s">
        <v>87</v>
      </c>
    </row>
    <row r="219" spans="1:21" s="5" customFormat="1" x14ac:dyDescent="0.25">
      <c r="A219" s="5">
        <v>2027055699</v>
      </c>
      <c r="B219" s="5" t="s">
        <v>505</v>
      </c>
      <c r="C219" s="5" t="s">
        <v>229</v>
      </c>
      <c r="D219" s="5" t="str">
        <f t="shared" si="9"/>
        <v>AARON HEGARTY</v>
      </c>
      <c r="E219" s="5" t="s">
        <v>200</v>
      </c>
      <c r="F219" s="5" t="s">
        <v>86</v>
      </c>
      <c r="G219" s="5" t="s">
        <v>87</v>
      </c>
      <c r="H219" s="5">
        <v>16865615</v>
      </c>
      <c r="I219" s="5" t="s">
        <v>201</v>
      </c>
      <c r="J219" s="5" t="s">
        <v>202</v>
      </c>
      <c r="K219" s="5" t="str">
        <f t="shared" si="10"/>
        <v>Heather Geske</v>
      </c>
      <c r="L219" s="6">
        <v>45699</v>
      </c>
      <c r="M219" s="6">
        <v>46033</v>
      </c>
      <c r="N219" s="7">
        <v>53.08</v>
      </c>
      <c r="O219" s="5">
        <f t="shared" si="11"/>
        <v>11</v>
      </c>
      <c r="P219" s="5" t="s">
        <v>1370</v>
      </c>
      <c r="Q219" s="9">
        <v>0.375</v>
      </c>
      <c r="R219" s="5" t="s">
        <v>83</v>
      </c>
      <c r="S219" s="5" t="s">
        <v>61</v>
      </c>
      <c r="T219" s="7">
        <v>19.899999999999999</v>
      </c>
      <c r="U219" s="5" t="s">
        <v>87</v>
      </c>
    </row>
    <row r="220" spans="1:21" s="5" customFormat="1" x14ac:dyDescent="0.25">
      <c r="A220" s="5">
        <v>2027025172</v>
      </c>
      <c r="B220" s="5" t="s">
        <v>666</v>
      </c>
      <c r="C220" s="5" t="s">
        <v>667</v>
      </c>
      <c r="D220" s="5" t="str">
        <f t="shared" si="9"/>
        <v>SHAWN LAWVER</v>
      </c>
      <c r="E220" s="5" t="s">
        <v>200</v>
      </c>
      <c r="F220" s="5" t="s">
        <v>75</v>
      </c>
      <c r="G220" s="5" t="s">
        <v>739</v>
      </c>
      <c r="H220" s="5">
        <v>6634327</v>
      </c>
      <c r="I220" s="5" t="s">
        <v>566</v>
      </c>
      <c r="J220" s="5" t="s">
        <v>567</v>
      </c>
      <c r="K220" s="5" t="str">
        <f t="shared" si="10"/>
        <v>Joel Lee</v>
      </c>
      <c r="L220" s="6">
        <v>45697</v>
      </c>
      <c r="M220" s="6">
        <v>46031</v>
      </c>
      <c r="N220" s="7">
        <v>65.08</v>
      </c>
      <c r="O220" s="5">
        <f t="shared" si="11"/>
        <v>11</v>
      </c>
      <c r="P220" s="5" t="s">
        <v>1370</v>
      </c>
      <c r="Q220" s="8">
        <v>0.65</v>
      </c>
      <c r="R220" s="5" t="s">
        <v>83</v>
      </c>
      <c r="S220" s="5" t="s">
        <v>61</v>
      </c>
      <c r="T220" s="7">
        <v>42.3</v>
      </c>
      <c r="U220" s="5" t="s">
        <v>1380</v>
      </c>
    </row>
    <row r="221" spans="1:21" s="5" customFormat="1" x14ac:dyDescent="0.25">
      <c r="A221" s="5">
        <v>2027025173</v>
      </c>
      <c r="B221" s="5" t="s">
        <v>666</v>
      </c>
      <c r="C221" s="5" t="s">
        <v>667</v>
      </c>
      <c r="D221" s="5" t="str">
        <f t="shared" si="9"/>
        <v>SHAWN LAWVER</v>
      </c>
      <c r="E221" s="5" t="s">
        <v>200</v>
      </c>
      <c r="F221" s="5" t="s">
        <v>365</v>
      </c>
      <c r="G221" s="5" t="s">
        <v>366</v>
      </c>
      <c r="H221" s="5">
        <v>6634327</v>
      </c>
      <c r="I221" s="5" t="s">
        <v>566</v>
      </c>
      <c r="J221" s="5" t="s">
        <v>567</v>
      </c>
      <c r="K221" s="5" t="str">
        <f t="shared" si="10"/>
        <v>Joel Lee</v>
      </c>
      <c r="L221" s="6">
        <v>45697</v>
      </c>
      <c r="M221" s="6">
        <v>46031</v>
      </c>
      <c r="N221" s="7">
        <v>70.599999999999994</v>
      </c>
      <c r="O221" s="5">
        <f t="shared" si="11"/>
        <v>11</v>
      </c>
      <c r="P221" s="5" t="s">
        <v>1370</v>
      </c>
      <c r="Q221" s="8">
        <v>0.38</v>
      </c>
      <c r="R221" s="5" t="s">
        <v>83</v>
      </c>
      <c r="S221" s="5" t="s">
        <v>61</v>
      </c>
      <c r="T221" s="7">
        <v>26.83</v>
      </c>
      <c r="U221" s="5" t="s">
        <v>366</v>
      </c>
    </row>
    <row r="222" spans="1:21" s="5" customFormat="1" x14ac:dyDescent="0.25">
      <c r="A222" s="5">
        <v>2027025171</v>
      </c>
      <c r="B222" s="5" t="s">
        <v>666</v>
      </c>
      <c r="C222" s="5" t="s">
        <v>667</v>
      </c>
      <c r="D222" s="5" t="str">
        <f t="shared" si="9"/>
        <v>SHAWN LAWVER</v>
      </c>
      <c r="E222" s="5" t="s">
        <v>200</v>
      </c>
      <c r="F222" s="5" t="s">
        <v>126</v>
      </c>
      <c r="G222" s="5" t="s">
        <v>132</v>
      </c>
      <c r="H222" s="5">
        <v>6634327</v>
      </c>
      <c r="I222" s="5" t="s">
        <v>566</v>
      </c>
      <c r="J222" s="5" t="s">
        <v>567</v>
      </c>
      <c r="K222" s="5" t="str">
        <f t="shared" si="10"/>
        <v>Joel Lee</v>
      </c>
      <c r="L222" s="6">
        <v>45697</v>
      </c>
      <c r="M222" s="6">
        <v>46031</v>
      </c>
      <c r="N222" s="7">
        <v>29.2</v>
      </c>
      <c r="O222" s="5">
        <f t="shared" si="11"/>
        <v>11</v>
      </c>
      <c r="P222" s="5" t="s">
        <v>1370</v>
      </c>
      <c r="Q222" s="8">
        <v>0.7</v>
      </c>
      <c r="R222" s="5" t="s">
        <v>83</v>
      </c>
      <c r="S222" s="5" t="s">
        <v>61</v>
      </c>
      <c r="T222" s="7">
        <v>20.440000000000001</v>
      </c>
      <c r="U222" s="5" t="s">
        <v>132</v>
      </c>
    </row>
    <row r="223" spans="1:21" s="5" customFormat="1" x14ac:dyDescent="0.25">
      <c r="A223" s="5">
        <v>2027052528</v>
      </c>
      <c r="B223" s="5" t="s">
        <v>502</v>
      </c>
      <c r="C223" s="5" t="s">
        <v>503</v>
      </c>
      <c r="D223" s="5" t="str">
        <f t="shared" si="9"/>
        <v>ANDREW RECTOR</v>
      </c>
      <c r="E223" s="5" t="s">
        <v>102</v>
      </c>
      <c r="F223" s="5" t="s">
        <v>126</v>
      </c>
      <c r="G223" s="5" t="s">
        <v>132</v>
      </c>
      <c r="H223" s="5">
        <v>18828278</v>
      </c>
      <c r="I223" s="5" t="s">
        <v>504</v>
      </c>
      <c r="J223" s="5" t="s">
        <v>182</v>
      </c>
      <c r="K223" s="5" t="str">
        <f t="shared" si="10"/>
        <v>MICHAEL DUNAVANT</v>
      </c>
      <c r="L223" s="6">
        <v>45699</v>
      </c>
      <c r="M223" s="6">
        <v>46033</v>
      </c>
      <c r="N223" s="7">
        <v>11.5</v>
      </c>
      <c r="O223" s="5">
        <f t="shared" si="11"/>
        <v>11</v>
      </c>
      <c r="P223" s="5" t="s">
        <v>1370</v>
      </c>
      <c r="Q223" s="8">
        <v>0.7</v>
      </c>
      <c r="R223" s="5" t="s">
        <v>83</v>
      </c>
      <c r="S223" s="5" t="s">
        <v>61</v>
      </c>
      <c r="T223" s="7">
        <v>8.0500000000000007</v>
      </c>
      <c r="U223" s="5" t="s">
        <v>132</v>
      </c>
    </row>
    <row r="224" spans="1:21" s="5" customFormat="1" x14ac:dyDescent="0.25">
      <c r="A224" s="5">
        <v>2027052527</v>
      </c>
      <c r="B224" s="5" t="s">
        <v>502</v>
      </c>
      <c r="C224" s="5" t="s">
        <v>503</v>
      </c>
      <c r="D224" s="5" t="str">
        <f t="shared" si="9"/>
        <v>ANDREW RECTOR</v>
      </c>
      <c r="E224" s="5" t="s">
        <v>102</v>
      </c>
      <c r="F224" s="5" t="s">
        <v>86</v>
      </c>
      <c r="G224" s="5" t="s">
        <v>87</v>
      </c>
      <c r="H224" s="5">
        <v>18828278</v>
      </c>
      <c r="I224" s="5" t="s">
        <v>504</v>
      </c>
      <c r="J224" s="5" t="s">
        <v>182</v>
      </c>
      <c r="K224" s="5" t="str">
        <f t="shared" si="10"/>
        <v>MICHAEL DUNAVANT</v>
      </c>
      <c r="L224" s="6">
        <v>45699</v>
      </c>
      <c r="M224" s="6">
        <v>46033</v>
      </c>
      <c r="N224" s="7">
        <v>48.61</v>
      </c>
      <c r="O224" s="5">
        <f t="shared" si="11"/>
        <v>11</v>
      </c>
      <c r="P224" s="5" t="s">
        <v>1370</v>
      </c>
      <c r="Q224" s="9">
        <v>0.375</v>
      </c>
      <c r="R224" s="5" t="s">
        <v>83</v>
      </c>
      <c r="S224" s="5" t="s">
        <v>61</v>
      </c>
      <c r="T224" s="7">
        <v>18.23</v>
      </c>
      <c r="U224" s="5" t="s">
        <v>87</v>
      </c>
    </row>
    <row r="225" spans="1:21" s="5" customFormat="1" x14ac:dyDescent="0.25">
      <c r="A225" s="5">
        <v>2026978414</v>
      </c>
      <c r="B225" s="5" t="s">
        <v>1109</v>
      </c>
      <c r="C225" s="5" t="s">
        <v>162</v>
      </c>
      <c r="D225" s="5" t="str">
        <f t="shared" si="9"/>
        <v>EVAN GARRETSON</v>
      </c>
      <c r="E225" s="5" t="s">
        <v>102</v>
      </c>
      <c r="F225" s="5" t="s">
        <v>126</v>
      </c>
      <c r="G225" s="5" t="s">
        <v>132</v>
      </c>
      <c r="H225" s="5">
        <v>8244481</v>
      </c>
      <c r="I225" s="5" t="s">
        <v>1110</v>
      </c>
      <c r="J225" s="5" t="s">
        <v>659</v>
      </c>
      <c r="K225" s="5" t="str">
        <f t="shared" si="10"/>
        <v>PAMELA DEATON</v>
      </c>
      <c r="L225" s="6">
        <v>45695</v>
      </c>
      <c r="M225" s="6">
        <v>46029</v>
      </c>
      <c r="N225" s="7">
        <v>56.5</v>
      </c>
      <c r="O225" s="5">
        <f t="shared" si="11"/>
        <v>11</v>
      </c>
      <c r="P225" s="5" t="s">
        <v>1370</v>
      </c>
      <c r="Q225" s="8">
        <v>0.7</v>
      </c>
      <c r="R225" s="5" t="s">
        <v>83</v>
      </c>
      <c r="S225" s="5" t="s">
        <v>61</v>
      </c>
      <c r="T225" s="7">
        <v>39.549999999999997</v>
      </c>
      <c r="U225" s="5" t="s">
        <v>132</v>
      </c>
    </row>
    <row r="226" spans="1:21" s="5" customFormat="1" x14ac:dyDescent="0.25">
      <c r="A226" s="5">
        <v>2026898523</v>
      </c>
      <c r="B226" s="5" t="s">
        <v>695</v>
      </c>
      <c r="C226" s="5" t="s">
        <v>696</v>
      </c>
      <c r="D226" s="5" t="str">
        <f t="shared" si="9"/>
        <v>KHANTHONG PHOOSRISOM</v>
      </c>
      <c r="E226" s="5" t="s">
        <v>102</v>
      </c>
      <c r="F226" s="5" t="s">
        <v>697</v>
      </c>
      <c r="G226" s="5" t="s">
        <v>698</v>
      </c>
      <c r="H226" s="5">
        <v>8405446</v>
      </c>
      <c r="I226" s="5" t="s">
        <v>699</v>
      </c>
      <c r="J226" s="5" t="s">
        <v>700</v>
      </c>
      <c r="K226" s="5" t="str">
        <f t="shared" si="10"/>
        <v>PATSAMON THANADABOUTH</v>
      </c>
      <c r="L226" s="6">
        <v>45691</v>
      </c>
      <c r="M226" s="6">
        <v>46025</v>
      </c>
      <c r="N226" s="7">
        <v>289.33</v>
      </c>
      <c r="O226" s="5">
        <f t="shared" si="11"/>
        <v>11</v>
      </c>
      <c r="P226" s="5" t="s">
        <v>1370</v>
      </c>
      <c r="Q226" s="8">
        <v>0.96</v>
      </c>
      <c r="R226" s="5" t="s">
        <v>83</v>
      </c>
      <c r="S226" s="5" t="s">
        <v>61</v>
      </c>
      <c r="T226" s="7">
        <v>277.76</v>
      </c>
      <c r="U226" s="5" t="s">
        <v>1382</v>
      </c>
    </row>
    <row r="227" spans="1:21" s="5" customFormat="1" x14ac:dyDescent="0.25">
      <c r="A227" s="5">
        <v>2026569744</v>
      </c>
      <c r="B227" s="5" t="s">
        <v>136</v>
      </c>
      <c r="C227" s="5" t="s">
        <v>137</v>
      </c>
      <c r="D227" s="5" t="str">
        <f t="shared" si="9"/>
        <v>JAMES GIILESPIE</v>
      </c>
      <c r="E227" s="5" t="s">
        <v>125</v>
      </c>
      <c r="F227" s="5" t="s">
        <v>169</v>
      </c>
      <c r="G227" s="5" t="s">
        <v>170</v>
      </c>
      <c r="H227" s="5">
        <v>371819</v>
      </c>
      <c r="I227" s="5" t="s">
        <v>138</v>
      </c>
      <c r="J227" s="5" t="s">
        <v>107</v>
      </c>
      <c r="K227" s="5" t="str">
        <f t="shared" si="10"/>
        <v>THOMAS PARDUE</v>
      </c>
      <c r="L227" s="6">
        <v>45689</v>
      </c>
      <c r="M227" s="6">
        <v>46023</v>
      </c>
      <c r="N227" s="7">
        <v>47.6</v>
      </c>
      <c r="O227" s="5">
        <f t="shared" si="11"/>
        <v>11</v>
      </c>
      <c r="P227" s="5" t="s">
        <v>1370</v>
      </c>
      <c r="Q227" s="8">
        <v>0.47</v>
      </c>
      <c r="R227" s="5" t="s">
        <v>83</v>
      </c>
      <c r="S227" s="5" t="s">
        <v>61</v>
      </c>
      <c r="T227" s="7">
        <v>22.37</v>
      </c>
      <c r="U227" s="5" t="s">
        <v>170</v>
      </c>
    </row>
    <row r="228" spans="1:21" s="5" customFormat="1" x14ac:dyDescent="0.25">
      <c r="A228" s="5">
        <v>2026569743</v>
      </c>
      <c r="B228" s="5" t="s">
        <v>136</v>
      </c>
      <c r="C228" s="5" t="s">
        <v>137</v>
      </c>
      <c r="D228" s="5" t="str">
        <f t="shared" si="9"/>
        <v>JAMES GIILESPIE</v>
      </c>
      <c r="E228" s="5" t="s">
        <v>125</v>
      </c>
      <c r="F228" s="5" t="s">
        <v>126</v>
      </c>
      <c r="G228" s="5" t="s">
        <v>132</v>
      </c>
      <c r="H228" s="5">
        <v>371819</v>
      </c>
      <c r="I228" s="5" t="s">
        <v>138</v>
      </c>
      <c r="J228" s="5" t="s">
        <v>107</v>
      </c>
      <c r="K228" s="5" t="str">
        <f t="shared" si="10"/>
        <v>THOMAS PARDUE</v>
      </c>
      <c r="L228" s="6">
        <v>45689</v>
      </c>
      <c r="M228" s="6">
        <v>46023</v>
      </c>
      <c r="N228" s="7">
        <v>10.75</v>
      </c>
      <c r="O228" s="5">
        <f t="shared" si="11"/>
        <v>11</v>
      </c>
      <c r="P228" s="5" t="s">
        <v>1370</v>
      </c>
      <c r="Q228" s="8">
        <v>0.7</v>
      </c>
      <c r="R228" s="5" t="s">
        <v>83</v>
      </c>
      <c r="S228" s="5" t="s">
        <v>61</v>
      </c>
      <c r="T228" s="7">
        <v>7.52</v>
      </c>
      <c r="U228" s="5" t="s">
        <v>132</v>
      </c>
    </row>
    <row r="229" spans="1:21" s="5" customFormat="1" x14ac:dyDescent="0.25">
      <c r="A229" s="5">
        <v>2027001684</v>
      </c>
      <c r="B229" s="5" t="s">
        <v>497</v>
      </c>
      <c r="C229" s="5" t="s">
        <v>498</v>
      </c>
      <c r="D229" s="5" t="str">
        <f t="shared" si="9"/>
        <v>LOUISA KPOGO</v>
      </c>
      <c r="E229" s="5" t="s">
        <v>357</v>
      </c>
      <c r="F229" s="5" t="s">
        <v>86</v>
      </c>
      <c r="G229" s="5" t="s">
        <v>87</v>
      </c>
      <c r="H229" s="5">
        <v>371819</v>
      </c>
      <c r="I229" s="5" t="s">
        <v>138</v>
      </c>
      <c r="J229" s="5" t="s">
        <v>107</v>
      </c>
      <c r="K229" s="5" t="str">
        <f t="shared" si="10"/>
        <v>THOMAS PARDUE</v>
      </c>
      <c r="L229" s="6">
        <v>45696</v>
      </c>
      <c r="M229" s="6">
        <v>46030</v>
      </c>
      <c r="N229" s="7">
        <v>77.2</v>
      </c>
      <c r="O229" s="5">
        <f t="shared" si="11"/>
        <v>11</v>
      </c>
      <c r="P229" s="5" t="s">
        <v>1370</v>
      </c>
      <c r="Q229" s="9">
        <v>0.375</v>
      </c>
      <c r="R229" s="5" t="s">
        <v>83</v>
      </c>
      <c r="S229" s="5" t="s">
        <v>61</v>
      </c>
      <c r="T229" s="7">
        <v>28.95</v>
      </c>
      <c r="U229" s="5" t="s">
        <v>87</v>
      </c>
    </row>
    <row r="230" spans="1:21" s="5" customFormat="1" x14ac:dyDescent="0.25">
      <c r="A230" s="5">
        <v>2026515689</v>
      </c>
      <c r="B230" s="5" t="s">
        <v>1058</v>
      </c>
      <c r="C230" s="5" t="s">
        <v>1096</v>
      </c>
      <c r="D230" s="5" t="str">
        <f t="shared" si="9"/>
        <v>LONNA WILSON</v>
      </c>
      <c r="E230" s="5" t="s">
        <v>52</v>
      </c>
      <c r="F230" s="5" t="s">
        <v>126</v>
      </c>
      <c r="G230" s="5" t="s">
        <v>375</v>
      </c>
      <c r="H230" s="5">
        <v>8971826</v>
      </c>
      <c r="I230" s="5" t="s">
        <v>581</v>
      </c>
      <c r="J230" s="5" t="s">
        <v>582</v>
      </c>
      <c r="K230" s="5" t="str">
        <f t="shared" si="10"/>
        <v>SCOTT AGUGLIA</v>
      </c>
      <c r="L230" s="6">
        <v>45666</v>
      </c>
      <c r="M230" s="6">
        <v>46031</v>
      </c>
      <c r="N230" s="7">
        <v>99.25</v>
      </c>
      <c r="O230" s="5">
        <f t="shared" si="11"/>
        <v>12</v>
      </c>
      <c r="P230" s="5" t="s">
        <v>1370</v>
      </c>
      <c r="Q230" s="8">
        <v>0.9</v>
      </c>
      <c r="R230" s="5" t="s">
        <v>83</v>
      </c>
      <c r="S230" s="5" t="s">
        <v>61</v>
      </c>
      <c r="T230" s="7">
        <v>89.32</v>
      </c>
      <c r="U230" s="5" t="s">
        <v>375</v>
      </c>
    </row>
    <row r="231" spans="1:21" s="5" customFormat="1" x14ac:dyDescent="0.25">
      <c r="A231" s="5">
        <v>2026492383</v>
      </c>
      <c r="B231" s="5" t="s">
        <v>1013</v>
      </c>
      <c r="C231" s="5" t="s">
        <v>421</v>
      </c>
      <c r="D231" s="5" t="str">
        <f t="shared" si="9"/>
        <v>DEBRA KAHLER</v>
      </c>
      <c r="E231" s="5" t="s">
        <v>308</v>
      </c>
      <c r="F231" s="5" t="s">
        <v>108</v>
      </c>
      <c r="G231" s="5" t="s">
        <v>1014</v>
      </c>
      <c r="H231" s="5">
        <v>19645587</v>
      </c>
      <c r="I231" s="5" t="s">
        <v>401</v>
      </c>
      <c r="J231" s="5" t="s">
        <v>272</v>
      </c>
      <c r="K231" s="5" t="str">
        <f t="shared" si="10"/>
        <v>STACEY PORTUGAL</v>
      </c>
      <c r="L231" s="6">
        <v>45665</v>
      </c>
      <c r="M231" s="6">
        <v>46030</v>
      </c>
      <c r="N231" s="7">
        <v>105.97</v>
      </c>
      <c r="O231" s="5">
        <f t="shared" si="11"/>
        <v>12</v>
      </c>
      <c r="P231" s="5" t="s">
        <v>1370</v>
      </c>
      <c r="Q231" s="9">
        <v>0.255</v>
      </c>
      <c r="R231" s="5" t="s">
        <v>83</v>
      </c>
      <c r="S231" s="5" t="s">
        <v>61</v>
      </c>
      <c r="T231" s="7">
        <v>27.02</v>
      </c>
      <c r="U231" s="5" t="s">
        <v>1386</v>
      </c>
    </row>
    <row r="232" spans="1:21" s="5" customFormat="1" x14ac:dyDescent="0.25">
      <c r="A232" s="5">
        <v>2026539798</v>
      </c>
      <c r="B232" s="5" t="s">
        <v>1097</v>
      </c>
      <c r="C232" s="5" t="s">
        <v>1098</v>
      </c>
      <c r="D232" s="5" t="str">
        <f t="shared" si="9"/>
        <v>GABRIELLA NOBILE</v>
      </c>
      <c r="E232" s="5" t="s">
        <v>125</v>
      </c>
      <c r="F232" s="5" t="s">
        <v>126</v>
      </c>
      <c r="G232" s="5" t="s">
        <v>132</v>
      </c>
      <c r="H232" s="5">
        <v>19481808</v>
      </c>
      <c r="I232" s="5" t="s">
        <v>1099</v>
      </c>
      <c r="J232" s="5" t="s">
        <v>144</v>
      </c>
      <c r="K232" s="5" t="str">
        <f t="shared" si="10"/>
        <v>STEVEN WERNER</v>
      </c>
      <c r="L232" s="6">
        <v>45668</v>
      </c>
      <c r="M232" s="6">
        <v>46033</v>
      </c>
      <c r="N232" s="7">
        <v>25.97</v>
      </c>
      <c r="O232" s="5">
        <f t="shared" si="11"/>
        <v>12</v>
      </c>
      <c r="P232" s="5" t="s">
        <v>1370</v>
      </c>
      <c r="Q232" s="8">
        <v>0.7</v>
      </c>
      <c r="R232" s="5" t="s">
        <v>83</v>
      </c>
      <c r="S232" s="5" t="s">
        <v>61</v>
      </c>
      <c r="T232" s="7">
        <v>18.18</v>
      </c>
      <c r="U232" s="5" t="s">
        <v>132</v>
      </c>
    </row>
    <row r="233" spans="1:21" s="5" customFormat="1" x14ac:dyDescent="0.25">
      <c r="A233" s="5">
        <v>2025991920</v>
      </c>
      <c r="B233" s="5" t="s">
        <v>1011</v>
      </c>
      <c r="C233" s="5" t="s">
        <v>1012</v>
      </c>
      <c r="D233" s="5" t="str">
        <f t="shared" si="9"/>
        <v>YOUSRI ALI</v>
      </c>
      <c r="E233" s="5" t="s">
        <v>102</v>
      </c>
      <c r="F233" s="5" t="s">
        <v>108</v>
      </c>
      <c r="G233" s="5" t="s">
        <v>1002</v>
      </c>
      <c r="H233" s="5">
        <v>19681796</v>
      </c>
      <c r="I233" s="5" t="s">
        <v>361</v>
      </c>
      <c r="J233" s="5" t="s">
        <v>362</v>
      </c>
      <c r="K233" s="5" t="str">
        <f t="shared" si="10"/>
        <v>CHRISTIAN TAUGNER</v>
      </c>
      <c r="L233" s="6">
        <v>45627</v>
      </c>
      <c r="M233" s="6">
        <v>46023</v>
      </c>
      <c r="N233" s="7">
        <v>129.44</v>
      </c>
      <c r="O233" s="5">
        <f t="shared" si="11"/>
        <v>13</v>
      </c>
      <c r="P233" s="5" t="s">
        <v>1370</v>
      </c>
      <c r="Q233" s="8">
        <v>0.26</v>
      </c>
      <c r="R233" s="5" t="s">
        <v>60</v>
      </c>
      <c r="S233" s="5" t="s">
        <v>61</v>
      </c>
      <c r="T233" s="7">
        <v>33.65</v>
      </c>
      <c r="U233" s="5" t="s">
        <v>1384</v>
      </c>
    </row>
    <row r="234" spans="1:21" s="5" customFormat="1" x14ac:dyDescent="0.25">
      <c r="A234" s="5">
        <v>2026133999</v>
      </c>
      <c r="B234" s="5" t="s">
        <v>344</v>
      </c>
      <c r="C234" s="5" t="s">
        <v>803</v>
      </c>
      <c r="D234" s="5" t="str">
        <f t="shared" si="9"/>
        <v>HEATHER GESKE</v>
      </c>
      <c r="E234" s="5" t="s">
        <v>200</v>
      </c>
      <c r="F234" s="5" t="s">
        <v>75</v>
      </c>
      <c r="G234" s="5" t="s">
        <v>739</v>
      </c>
      <c r="H234" s="5">
        <v>16865615</v>
      </c>
      <c r="I234" s="5" t="s">
        <v>201</v>
      </c>
      <c r="J234" s="5" t="s">
        <v>202</v>
      </c>
      <c r="K234" s="5" t="str">
        <f t="shared" si="10"/>
        <v>Heather Geske</v>
      </c>
      <c r="L234" s="6">
        <v>45638</v>
      </c>
      <c r="M234" s="6">
        <v>46034</v>
      </c>
      <c r="N234" s="7">
        <v>100.33</v>
      </c>
      <c r="O234" s="5">
        <f t="shared" si="11"/>
        <v>13</v>
      </c>
      <c r="P234" s="5" t="s">
        <v>1370</v>
      </c>
      <c r="Q234" s="8">
        <v>0.1</v>
      </c>
      <c r="R234" s="5" t="s">
        <v>60</v>
      </c>
      <c r="S234" s="5" t="s">
        <v>61</v>
      </c>
      <c r="T234" s="7">
        <v>10.029999999999999</v>
      </c>
      <c r="U234" s="5" t="s">
        <v>1380</v>
      </c>
    </row>
    <row r="235" spans="1:21" s="5" customFormat="1" x14ac:dyDescent="0.25">
      <c r="A235" s="5">
        <v>2026133998</v>
      </c>
      <c r="B235" s="5" t="s">
        <v>344</v>
      </c>
      <c r="C235" s="5" t="s">
        <v>803</v>
      </c>
      <c r="D235" s="5" t="str">
        <f t="shared" si="9"/>
        <v>HEATHER GESKE</v>
      </c>
      <c r="E235" s="5" t="s">
        <v>200</v>
      </c>
      <c r="F235" s="5" t="s">
        <v>126</v>
      </c>
      <c r="G235" s="5" t="s">
        <v>132</v>
      </c>
      <c r="H235" s="5">
        <v>16865615</v>
      </c>
      <c r="I235" s="5" t="s">
        <v>201</v>
      </c>
      <c r="J235" s="5" t="s">
        <v>202</v>
      </c>
      <c r="K235" s="5" t="str">
        <f t="shared" si="10"/>
        <v>Heather Geske</v>
      </c>
      <c r="L235" s="6">
        <v>45638</v>
      </c>
      <c r="M235" s="6">
        <v>46034</v>
      </c>
      <c r="N235" s="7">
        <v>18.2</v>
      </c>
      <c r="O235" s="5">
        <f t="shared" si="11"/>
        <v>13</v>
      </c>
      <c r="P235" s="5" t="s">
        <v>1370</v>
      </c>
      <c r="Q235" s="8">
        <v>0.15</v>
      </c>
      <c r="R235" s="5" t="s">
        <v>60</v>
      </c>
      <c r="S235" s="5" t="s">
        <v>61</v>
      </c>
      <c r="T235" s="7">
        <v>2.73</v>
      </c>
      <c r="U235" s="5" t="s">
        <v>132</v>
      </c>
    </row>
    <row r="236" spans="1:21" s="5" customFormat="1" x14ac:dyDescent="0.25">
      <c r="A236" s="5">
        <v>2026057641</v>
      </c>
      <c r="B236" s="5" t="s">
        <v>479</v>
      </c>
      <c r="C236" s="5" t="s">
        <v>96</v>
      </c>
      <c r="D236" s="5" t="str">
        <f t="shared" si="9"/>
        <v>MICHELLE ESCALANTE</v>
      </c>
      <c r="E236" s="5" t="s">
        <v>97</v>
      </c>
      <c r="F236" s="5" t="s">
        <v>86</v>
      </c>
      <c r="G236" s="5" t="s">
        <v>87</v>
      </c>
      <c r="H236" s="5">
        <v>371819</v>
      </c>
      <c r="I236" s="5" t="s">
        <v>138</v>
      </c>
      <c r="J236" s="5" t="s">
        <v>107</v>
      </c>
      <c r="K236" s="5" t="str">
        <f t="shared" si="10"/>
        <v>THOMAS PARDUE</v>
      </c>
      <c r="L236" s="6">
        <v>45632</v>
      </c>
      <c r="M236" s="6">
        <v>46028</v>
      </c>
      <c r="N236" s="7">
        <v>32.380000000000003</v>
      </c>
      <c r="O236" s="5">
        <f t="shared" si="11"/>
        <v>13</v>
      </c>
      <c r="P236" s="5" t="s">
        <v>1370</v>
      </c>
      <c r="Q236" s="8">
        <v>0.06</v>
      </c>
      <c r="R236" s="5" t="s">
        <v>60</v>
      </c>
      <c r="S236" s="5" t="s">
        <v>61</v>
      </c>
      <c r="T236" s="7">
        <v>1.94</v>
      </c>
      <c r="U236" s="5" t="s">
        <v>87</v>
      </c>
    </row>
    <row r="237" spans="1:21" s="5" customFormat="1" x14ac:dyDescent="0.25">
      <c r="A237" s="5">
        <v>2026050471</v>
      </c>
      <c r="B237" s="5" t="s">
        <v>795</v>
      </c>
      <c r="C237" s="5" t="s">
        <v>71</v>
      </c>
      <c r="D237" s="5" t="str">
        <f t="shared" si="9"/>
        <v>JOHN GRIGSBY</v>
      </c>
      <c r="E237" s="5" t="s">
        <v>200</v>
      </c>
      <c r="F237" s="5" t="s">
        <v>75</v>
      </c>
      <c r="G237" s="5" t="s">
        <v>80</v>
      </c>
      <c r="H237" s="5">
        <v>21313588</v>
      </c>
      <c r="I237" s="5" t="s">
        <v>344</v>
      </c>
      <c r="J237" s="5" t="s">
        <v>260</v>
      </c>
      <c r="K237" s="5" t="str">
        <f t="shared" si="10"/>
        <v>WILLIAM GESKE</v>
      </c>
      <c r="L237" s="6">
        <v>45632</v>
      </c>
      <c r="M237" s="6">
        <v>46028</v>
      </c>
      <c r="N237" s="7">
        <v>66.75</v>
      </c>
      <c r="O237" s="5">
        <f t="shared" si="11"/>
        <v>13</v>
      </c>
      <c r="P237" s="5" t="s">
        <v>1370</v>
      </c>
      <c r="Q237" s="8">
        <v>0.1</v>
      </c>
      <c r="R237" s="5" t="s">
        <v>60</v>
      </c>
      <c r="S237" s="5" t="s">
        <v>61</v>
      </c>
      <c r="T237" s="7">
        <v>6.68</v>
      </c>
      <c r="U237" s="5" t="s">
        <v>1372</v>
      </c>
    </row>
    <row r="238" spans="1:21" s="5" customFormat="1" x14ac:dyDescent="0.25">
      <c r="A238" s="5">
        <v>2026050470</v>
      </c>
      <c r="B238" s="5" t="s">
        <v>795</v>
      </c>
      <c r="C238" s="5" t="s">
        <v>71</v>
      </c>
      <c r="D238" s="5" t="str">
        <f t="shared" si="9"/>
        <v>JOHN GRIGSBY</v>
      </c>
      <c r="E238" s="5" t="s">
        <v>200</v>
      </c>
      <c r="F238" s="5" t="s">
        <v>126</v>
      </c>
      <c r="G238" s="5" t="s">
        <v>132</v>
      </c>
      <c r="H238" s="5">
        <v>21313588</v>
      </c>
      <c r="I238" s="5" t="s">
        <v>344</v>
      </c>
      <c r="J238" s="5" t="s">
        <v>260</v>
      </c>
      <c r="K238" s="5" t="str">
        <f t="shared" si="10"/>
        <v>WILLIAM GESKE</v>
      </c>
      <c r="L238" s="6">
        <v>45632</v>
      </c>
      <c r="M238" s="6">
        <v>46028</v>
      </c>
      <c r="N238" s="7">
        <v>9.6999999999999993</v>
      </c>
      <c r="O238" s="5">
        <f t="shared" si="11"/>
        <v>13</v>
      </c>
      <c r="P238" s="5" t="s">
        <v>1370</v>
      </c>
      <c r="Q238" s="8">
        <v>0.15</v>
      </c>
      <c r="R238" s="5" t="s">
        <v>60</v>
      </c>
      <c r="S238" s="5" t="s">
        <v>61</v>
      </c>
      <c r="T238" s="7">
        <v>1.46</v>
      </c>
      <c r="U238" s="5" t="s">
        <v>132</v>
      </c>
    </row>
    <row r="239" spans="1:21" s="5" customFormat="1" x14ac:dyDescent="0.25">
      <c r="A239" s="5">
        <v>2025991920</v>
      </c>
      <c r="B239" s="5" t="s">
        <v>1011</v>
      </c>
      <c r="C239" s="5" t="s">
        <v>1012</v>
      </c>
      <c r="D239" s="5" t="str">
        <f t="shared" si="9"/>
        <v>YOUSRI ALI</v>
      </c>
      <c r="E239" s="5" t="s">
        <v>102</v>
      </c>
      <c r="F239" s="5" t="s">
        <v>108</v>
      </c>
      <c r="G239" s="5" t="s">
        <v>1002</v>
      </c>
      <c r="H239" s="5">
        <v>19681796</v>
      </c>
      <c r="I239" s="5" t="s">
        <v>361</v>
      </c>
      <c r="J239" s="5" t="s">
        <v>362</v>
      </c>
      <c r="K239" s="5" t="str">
        <f t="shared" si="10"/>
        <v>CHRISTIAN TAUGNER</v>
      </c>
      <c r="L239" s="6">
        <v>45627</v>
      </c>
      <c r="M239" s="6">
        <v>46054</v>
      </c>
      <c r="N239" s="7">
        <v>129.44</v>
      </c>
      <c r="O239" s="5">
        <f t="shared" si="11"/>
        <v>14</v>
      </c>
      <c r="P239" s="5" t="s">
        <v>1370</v>
      </c>
      <c r="Q239" s="8">
        <v>0.26</v>
      </c>
      <c r="R239" s="5" t="s">
        <v>60</v>
      </c>
      <c r="S239" s="5" t="s">
        <v>61</v>
      </c>
      <c r="T239" s="7">
        <v>33.65</v>
      </c>
      <c r="U239" s="5" t="s">
        <v>1384</v>
      </c>
    </row>
    <row r="240" spans="1:21" s="5" customFormat="1" x14ac:dyDescent="0.25">
      <c r="A240" s="5">
        <v>2025627646</v>
      </c>
      <c r="B240" s="5" t="s">
        <v>1070</v>
      </c>
      <c r="C240" s="5" t="s">
        <v>769</v>
      </c>
      <c r="D240" s="5" t="str">
        <f t="shared" si="9"/>
        <v>NATHAN PECK</v>
      </c>
      <c r="E240" s="5" t="s">
        <v>102</v>
      </c>
      <c r="F240" s="5" t="s">
        <v>126</v>
      </c>
      <c r="G240" s="5" t="s">
        <v>132</v>
      </c>
      <c r="H240" s="5">
        <v>17094718</v>
      </c>
      <c r="I240" s="5" t="s">
        <v>1026</v>
      </c>
      <c r="J240" s="5" t="s">
        <v>247</v>
      </c>
      <c r="K240" s="5" t="str">
        <f t="shared" si="10"/>
        <v>GREGORY HANSFORD</v>
      </c>
      <c r="L240" s="6">
        <v>45602</v>
      </c>
      <c r="M240" s="6">
        <v>46028</v>
      </c>
      <c r="N240" s="7">
        <v>46.46</v>
      </c>
      <c r="O240" s="5">
        <f t="shared" si="11"/>
        <v>14</v>
      </c>
      <c r="P240" s="5" t="s">
        <v>1370</v>
      </c>
      <c r="Q240" s="8">
        <v>0.15</v>
      </c>
      <c r="R240" s="5" t="s">
        <v>60</v>
      </c>
      <c r="S240" s="5" t="s">
        <v>61</v>
      </c>
      <c r="T240" s="7">
        <v>6.97</v>
      </c>
      <c r="U240" s="5" t="s">
        <v>132</v>
      </c>
    </row>
    <row r="241" spans="1:21" s="5" customFormat="1" x14ac:dyDescent="0.25">
      <c r="A241" s="5">
        <v>2025677957</v>
      </c>
      <c r="B241" s="5" t="s">
        <v>988</v>
      </c>
      <c r="C241" s="5" t="s">
        <v>989</v>
      </c>
      <c r="D241" s="5" t="str">
        <f t="shared" si="9"/>
        <v>MARTA ROE</v>
      </c>
      <c r="E241" s="5" t="s">
        <v>357</v>
      </c>
      <c r="F241" s="5" t="s">
        <v>86</v>
      </c>
      <c r="G241" s="5" t="s">
        <v>87</v>
      </c>
      <c r="H241" s="5">
        <v>371819</v>
      </c>
      <c r="I241" s="5" t="s">
        <v>138</v>
      </c>
      <c r="J241" s="5" t="s">
        <v>107</v>
      </c>
      <c r="K241" s="5" t="str">
        <f t="shared" si="10"/>
        <v>THOMAS PARDUE</v>
      </c>
      <c r="L241" s="6">
        <v>45604</v>
      </c>
      <c r="M241" s="6">
        <v>46030</v>
      </c>
      <c r="N241" s="7">
        <v>24.36</v>
      </c>
      <c r="O241" s="5">
        <f t="shared" si="11"/>
        <v>14</v>
      </c>
      <c r="P241" s="5" t="s">
        <v>1370</v>
      </c>
      <c r="Q241" s="8">
        <v>0.06</v>
      </c>
      <c r="R241" s="5" t="s">
        <v>60</v>
      </c>
      <c r="S241" s="5" t="s">
        <v>61</v>
      </c>
      <c r="T241" s="7">
        <v>1.46</v>
      </c>
      <c r="U241" s="5" t="s">
        <v>87</v>
      </c>
    </row>
    <row r="242" spans="1:21" s="5" customFormat="1" x14ac:dyDescent="0.25">
      <c r="A242" s="5">
        <v>2025687269</v>
      </c>
      <c r="B242" s="5" t="s">
        <v>990</v>
      </c>
      <c r="C242" s="5" t="s">
        <v>991</v>
      </c>
      <c r="D242" s="5" t="str">
        <f t="shared" si="9"/>
        <v>JAN BRANDI</v>
      </c>
      <c r="E242" s="5" t="s">
        <v>125</v>
      </c>
      <c r="F242" s="5" t="s">
        <v>86</v>
      </c>
      <c r="G242" s="5" t="s">
        <v>87</v>
      </c>
      <c r="H242" s="5">
        <v>371819</v>
      </c>
      <c r="I242" s="5" t="s">
        <v>138</v>
      </c>
      <c r="J242" s="5" t="s">
        <v>107</v>
      </c>
      <c r="K242" s="5" t="str">
        <f t="shared" si="10"/>
        <v>THOMAS PARDUE</v>
      </c>
      <c r="L242" s="6">
        <v>45605</v>
      </c>
      <c r="M242" s="6">
        <v>46031</v>
      </c>
      <c r="N242" s="7">
        <v>28.87</v>
      </c>
      <c r="O242" s="5">
        <f t="shared" si="11"/>
        <v>14</v>
      </c>
      <c r="P242" s="5" t="s">
        <v>1370</v>
      </c>
      <c r="Q242" s="8">
        <v>0.06</v>
      </c>
      <c r="R242" s="5" t="s">
        <v>60</v>
      </c>
      <c r="S242" s="5" t="s">
        <v>61</v>
      </c>
      <c r="T242" s="7">
        <v>1.73</v>
      </c>
      <c r="U242" s="5" t="s">
        <v>87</v>
      </c>
    </row>
    <row r="243" spans="1:21" s="5" customFormat="1" x14ac:dyDescent="0.25">
      <c r="A243" s="5">
        <v>2025703126</v>
      </c>
      <c r="B243" s="5" t="s">
        <v>992</v>
      </c>
      <c r="C243" s="5" t="s">
        <v>993</v>
      </c>
      <c r="D243" s="5" t="str">
        <f t="shared" si="9"/>
        <v>ANGEL REILLY</v>
      </c>
      <c r="E243" s="5" t="s">
        <v>79</v>
      </c>
      <c r="F243" s="5" t="s">
        <v>86</v>
      </c>
      <c r="G243" s="5" t="s">
        <v>87</v>
      </c>
      <c r="H243" s="5">
        <v>371819</v>
      </c>
      <c r="I243" s="5" t="s">
        <v>138</v>
      </c>
      <c r="J243" s="5" t="s">
        <v>107</v>
      </c>
      <c r="K243" s="5" t="str">
        <f t="shared" si="10"/>
        <v>THOMAS PARDUE</v>
      </c>
      <c r="L243" s="6">
        <v>45606</v>
      </c>
      <c r="M243" s="6">
        <v>46032</v>
      </c>
      <c r="N243" s="7">
        <v>21.47</v>
      </c>
      <c r="O243" s="5">
        <f t="shared" si="11"/>
        <v>14</v>
      </c>
      <c r="P243" s="5" t="s">
        <v>1370</v>
      </c>
      <c r="Q243" s="8">
        <v>0.06</v>
      </c>
      <c r="R243" s="5" t="s">
        <v>60</v>
      </c>
      <c r="S243" s="5" t="s">
        <v>61</v>
      </c>
      <c r="T243" s="7">
        <v>1.29</v>
      </c>
      <c r="U243" s="5" t="s">
        <v>87</v>
      </c>
    </row>
    <row r="244" spans="1:21" s="5" customFormat="1" x14ac:dyDescent="0.25">
      <c r="A244" s="5">
        <v>2025677958</v>
      </c>
      <c r="B244" s="5" t="s">
        <v>988</v>
      </c>
      <c r="C244" s="5" t="s">
        <v>989</v>
      </c>
      <c r="D244" s="5" t="str">
        <f t="shared" si="9"/>
        <v>MARTA ROE</v>
      </c>
      <c r="E244" s="5" t="s">
        <v>357</v>
      </c>
      <c r="F244" s="5" t="s">
        <v>126</v>
      </c>
      <c r="G244" s="5" t="s">
        <v>375</v>
      </c>
      <c r="H244" s="5">
        <v>371819</v>
      </c>
      <c r="I244" s="5" t="s">
        <v>138</v>
      </c>
      <c r="J244" s="5" t="s">
        <v>107</v>
      </c>
      <c r="K244" s="5" t="str">
        <f t="shared" si="10"/>
        <v>THOMAS PARDUE</v>
      </c>
      <c r="L244" s="6">
        <v>45604</v>
      </c>
      <c r="M244" s="6">
        <v>46030</v>
      </c>
      <c r="N244" s="7">
        <v>31.08</v>
      </c>
      <c r="O244" s="5">
        <f t="shared" si="11"/>
        <v>14</v>
      </c>
      <c r="P244" s="5" t="s">
        <v>1370</v>
      </c>
      <c r="Q244" s="8">
        <v>0.1</v>
      </c>
      <c r="R244" s="5" t="s">
        <v>60</v>
      </c>
      <c r="S244" s="5" t="s">
        <v>61</v>
      </c>
      <c r="T244" s="7">
        <v>3.11</v>
      </c>
      <c r="U244" s="5" t="s">
        <v>375</v>
      </c>
    </row>
    <row r="245" spans="1:21" s="5" customFormat="1" x14ac:dyDescent="0.25">
      <c r="A245" s="5">
        <v>2025684074</v>
      </c>
      <c r="B245" s="5" t="s">
        <v>155</v>
      </c>
      <c r="C245" s="5" t="s">
        <v>1071</v>
      </c>
      <c r="D245" s="5" t="str">
        <f t="shared" si="9"/>
        <v>MARCO FUENTES</v>
      </c>
      <c r="E245" s="5" t="s">
        <v>102</v>
      </c>
      <c r="F245" s="5" t="s">
        <v>126</v>
      </c>
      <c r="G245" s="5" t="s">
        <v>132</v>
      </c>
      <c r="H245" s="5" t="s">
        <v>1367</v>
      </c>
      <c r="I245" s="5" t="s">
        <v>155</v>
      </c>
      <c r="J245" s="5" t="s">
        <v>156</v>
      </c>
      <c r="K245" s="5" t="str">
        <f t="shared" si="10"/>
        <v>VICTOR FUENTES</v>
      </c>
      <c r="L245" s="6">
        <v>45604</v>
      </c>
      <c r="M245" s="6">
        <v>46030</v>
      </c>
      <c r="N245" s="7">
        <v>86.25</v>
      </c>
      <c r="O245" s="5">
        <f t="shared" si="11"/>
        <v>14</v>
      </c>
      <c r="P245" s="5" t="s">
        <v>1370</v>
      </c>
      <c r="Q245" s="8">
        <v>0.15</v>
      </c>
      <c r="R245" s="5" t="s">
        <v>60</v>
      </c>
      <c r="S245" s="5" t="s">
        <v>61</v>
      </c>
      <c r="T245" s="7">
        <v>12.94</v>
      </c>
      <c r="U245" s="5" t="s">
        <v>132</v>
      </c>
    </row>
    <row r="246" spans="1:21" s="5" customFormat="1" x14ac:dyDescent="0.25">
      <c r="A246" s="5">
        <v>2025721594</v>
      </c>
      <c r="B246" s="5" t="s">
        <v>788</v>
      </c>
      <c r="C246" s="5" t="s">
        <v>789</v>
      </c>
      <c r="D246" s="5" t="str">
        <f t="shared" si="9"/>
        <v>SARAH KONKOL</v>
      </c>
      <c r="E246" s="5" t="s">
        <v>200</v>
      </c>
      <c r="F246" s="5" t="s">
        <v>126</v>
      </c>
      <c r="G246" s="5" t="s">
        <v>127</v>
      </c>
      <c r="H246" s="5">
        <v>21313588</v>
      </c>
      <c r="I246" s="5" t="s">
        <v>344</v>
      </c>
      <c r="J246" s="5" t="s">
        <v>260</v>
      </c>
      <c r="K246" s="5" t="str">
        <f t="shared" si="10"/>
        <v>WILLIAM GESKE</v>
      </c>
      <c r="L246" s="6">
        <v>45608</v>
      </c>
      <c r="M246" s="6">
        <v>46034</v>
      </c>
      <c r="N246" s="7">
        <v>20.95</v>
      </c>
      <c r="O246" s="5">
        <f t="shared" si="11"/>
        <v>14</v>
      </c>
      <c r="P246" s="5" t="s">
        <v>1370</v>
      </c>
      <c r="Q246" s="8">
        <v>0.15</v>
      </c>
      <c r="R246" s="5" t="s">
        <v>60</v>
      </c>
      <c r="S246" s="5" t="s">
        <v>61</v>
      </c>
      <c r="T246" s="7">
        <v>3.14</v>
      </c>
      <c r="U246" s="5" t="s">
        <v>127</v>
      </c>
    </row>
    <row r="247" spans="1:21" s="5" customFormat="1" x14ac:dyDescent="0.25">
      <c r="A247" s="5">
        <v>2025721592</v>
      </c>
      <c r="B247" s="5" t="s">
        <v>788</v>
      </c>
      <c r="C247" s="5" t="s">
        <v>789</v>
      </c>
      <c r="D247" s="5" t="str">
        <f t="shared" si="9"/>
        <v>SARAH KONKOL</v>
      </c>
      <c r="E247" s="5" t="s">
        <v>200</v>
      </c>
      <c r="F247" s="5" t="s">
        <v>75</v>
      </c>
      <c r="G247" s="5" t="s">
        <v>739</v>
      </c>
      <c r="H247" s="5">
        <v>21313588</v>
      </c>
      <c r="I247" s="5" t="s">
        <v>344</v>
      </c>
      <c r="J247" s="5" t="s">
        <v>260</v>
      </c>
      <c r="K247" s="5" t="str">
        <f t="shared" si="10"/>
        <v>WILLIAM GESKE</v>
      </c>
      <c r="L247" s="6">
        <v>45608</v>
      </c>
      <c r="M247" s="6">
        <v>46034</v>
      </c>
      <c r="N247" s="7">
        <v>56.03</v>
      </c>
      <c r="O247" s="5">
        <f t="shared" si="11"/>
        <v>14</v>
      </c>
      <c r="P247" s="5" t="s">
        <v>1370</v>
      </c>
      <c r="Q247" s="8">
        <v>0.1</v>
      </c>
      <c r="R247" s="5" t="s">
        <v>60</v>
      </c>
      <c r="S247" s="5" t="s">
        <v>61</v>
      </c>
      <c r="T247" s="7">
        <v>5.6</v>
      </c>
      <c r="U247" s="5" t="s">
        <v>1380</v>
      </c>
    </row>
    <row r="248" spans="1:21" s="5" customFormat="1" x14ac:dyDescent="0.25">
      <c r="A248" s="5">
        <v>2025727309</v>
      </c>
      <c r="B248" s="5" t="s">
        <v>661</v>
      </c>
      <c r="C248" s="5" t="s">
        <v>662</v>
      </c>
      <c r="D248" s="5" t="str">
        <f t="shared" si="9"/>
        <v>LINDA ELLIS</v>
      </c>
      <c r="E248" s="5" t="s">
        <v>200</v>
      </c>
      <c r="F248" s="5" t="s">
        <v>75</v>
      </c>
      <c r="G248" s="5" t="s">
        <v>739</v>
      </c>
      <c r="H248" s="5">
        <v>21313588</v>
      </c>
      <c r="I248" s="5" t="s">
        <v>344</v>
      </c>
      <c r="J248" s="5" t="s">
        <v>260</v>
      </c>
      <c r="K248" s="5" t="str">
        <f t="shared" si="10"/>
        <v>WILLIAM GESKE</v>
      </c>
      <c r="L248" s="6">
        <v>45608</v>
      </c>
      <c r="M248" s="6">
        <v>46034</v>
      </c>
      <c r="N248" s="7">
        <v>42.13</v>
      </c>
      <c r="O248" s="5">
        <f t="shared" si="11"/>
        <v>14</v>
      </c>
      <c r="P248" s="5" t="s">
        <v>1370</v>
      </c>
      <c r="Q248" s="8">
        <v>0.1</v>
      </c>
      <c r="R248" s="5" t="s">
        <v>60</v>
      </c>
      <c r="S248" s="5" t="s">
        <v>61</v>
      </c>
      <c r="T248" s="7">
        <v>4.21</v>
      </c>
      <c r="U248" s="5" t="s">
        <v>1380</v>
      </c>
    </row>
    <row r="249" spans="1:21" s="5" customFormat="1" x14ac:dyDescent="0.25">
      <c r="A249" s="5">
        <v>2025727307</v>
      </c>
      <c r="B249" s="5" t="s">
        <v>661</v>
      </c>
      <c r="C249" s="5" t="s">
        <v>662</v>
      </c>
      <c r="D249" s="5" t="str">
        <f t="shared" si="9"/>
        <v>LINDA ELLIS</v>
      </c>
      <c r="E249" s="5" t="s">
        <v>200</v>
      </c>
      <c r="F249" s="5" t="s">
        <v>365</v>
      </c>
      <c r="G249" s="5" t="s">
        <v>366</v>
      </c>
      <c r="H249" s="5">
        <v>21313588</v>
      </c>
      <c r="I249" s="5" t="s">
        <v>344</v>
      </c>
      <c r="J249" s="5" t="s">
        <v>260</v>
      </c>
      <c r="K249" s="5" t="str">
        <f t="shared" si="10"/>
        <v>WILLIAM GESKE</v>
      </c>
      <c r="L249" s="6">
        <v>45608</v>
      </c>
      <c r="M249" s="6">
        <v>46034</v>
      </c>
      <c r="N249" s="7">
        <v>53.62</v>
      </c>
      <c r="O249" s="5">
        <f t="shared" si="11"/>
        <v>14</v>
      </c>
      <c r="P249" s="5" t="s">
        <v>1370</v>
      </c>
      <c r="Q249" s="8">
        <v>0.1</v>
      </c>
      <c r="R249" s="5" t="s">
        <v>60</v>
      </c>
      <c r="S249" s="5" t="s">
        <v>61</v>
      </c>
      <c r="T249" s="7">
        <v>5.36</v>
      </c>
      <c r="U249" s="5" t="s">
        <v>366</v>
      </c>
    </row>
    <row r="250" spans="1:21" s="5" customFormat="1" x14ac:dyDescent="0.25">
      <c r="A250" s="5">
        <v>2025721593</v>
      </c>
      <c r="B250" s="5" t="s">
        <v>788</v>
      </c>
      <c r="C250" s="5" t="s">
        <v>789</v>
      </c>
      <c r="D250" s="5" t="str">
        <f t="shared" si="9"/>
        <v>SARAH KONKOL</v>
      </c>
      <c r="E250" s="5" t="s">
        <v>200</v>
      </c>
      <c r="F250" s="5" t="s">
        <v>126</v>
      </c>
      <c r="G250" s="5" t="s">
        <v>132</v>
      </c>
      <c r="H250" s="5">
        <v>21313588</v>
      </c>
      <c r="I250" s="5" t="s">
        <v>344</v>
      </c>
      <c r="J250" s="5" t="s">
        <v>260</v>
      </c>
      <c r="K250" s="5" t="str">
        <f t="shared" si="10"/>
        <v>WILLIAM GESKE</v>
      </c>
      <c r="L250" s="6">
        <v>45608</v>
      </c>
      <c r="M250" s="6">
        <v>46034</v>
      </c>
      <c r="N250" s="7">
        <v>27.38</v>
      </c>
      <c r="O250" s="5">
        <f t="shared" si="11"/>
        <v>14</v>
      </c>
      <c r="P250" s="5" t="s">
        <v>1370</v>
      </c>
      <c r="Q250" s="8">
        <v>0.15</v>
      </c>
      <c r="R250" s="5" t="s">
        <v>60</v>
      </c>
      <c r="S250" s="5" t="s">
        <v>61</v>
      </c>
      <c r="T250" s="7">
        <v>4.1100000000000003</v>
      </c>
      <c r="U250" s="5" t="s">
        <v>132</v>
      </c>
    </row>
    <row r="251" spans="1:21" s="5" customFormat="1" x14ac:dyDescent="0.25">
      <c r="A251" s="5">
        <v>2025727308</v>
      </c>
      <c r="B251" s="5" t="s">
        <v>661</v>
      </c>
      <c r="C251" s="5" t="s">
        <v>662</v>
      </c>
      <c r="D251" s="5" t="str">
        <f t="shared" si="9"/>
        <v>LINDA ELLIS</v>
      </c>
      <c r="E251" s="5" t="s">
        <v>200</v>
      </c>
      <c r="F251" s="5" t="s">
        <v>126</v>
      </c>
      <c r="G251" s="5" t="s">
        <v>132</v>
      </c>
      <c r="H251" s="5">
        <v>21313588</v>
      </c>
      <c r="I251" s="5" t="s">
        <v>344</v>
      </c>
      <c r="J251" s="5" t="s">
        <v>260</v>
      </c>
      <c r="K251" s="5" t="str">
        <f t="shared" si="10"/>
        <v>WILLIAM GESKE</v>
      </c>
      <c r="L251" s="6">
        <v>45608</v>
      </c>
      <c r="M251" s="6">
        <v>46034</v>
      </c>
      <c r="N251" s="7">
        <v>9.1</v>
      </c>
      <c r="O251" s="5">
        <f t="shared" si="11"/>
        <v>14</v>
      </c>
      <c r="P251" s="5" t="s">
        <v>1370</v>
      </c>
      <c r="Q251" s="8">
        <v>0.15</v>
      </c>
      <c r="R251" s="5" t="s">
        <v>60</v>
      </c>
      <c r="S251" s="5" t="s">
        <v>61</v>
      </c>
      <c r="T251" s="7">
        <v>1.36</v>
      </c>
      <c r="U251" s="5" t="s">
        <v>132</v>
      </c>
    </row>
    <row r="252" spans="1:21" s="5" customFormat="1" x14ac:dyDescent="0.25">
      <c r="A252" s="5">
        <v>2025991920</v>
      </c>
      <c r="B252" s="5" t="s">
        <v>1011</v>
      </c>
      <c r="C252" s="5" t="s">
        <v>1012</v>
      </c>
      <c r="D252" s="5" t="str">
        <f t="shared" si="9"/>
        <v>YOUSRI ALI</v>
      </c>
      <c r="E252" s="5" t="s">
        <v>102</v>
      </c>
      <c r="F252" s="5" t="s">
        <v>108</v>
      </c>
      <c r="G252" s="5" t="s">
        <v>1002</v>
      </c>
      <c r="H252" s="5">
        <v>19681796</v>
      </c>
      <c r="I252" s="5" t="s">
        <v>361</v>
      </c>
      <c r="J252" s="5" t="s">
        <v>362</v>
      </c>
      <c r="K252" s="5" t="str">
        <f t="shared" si="10"/>
        <v>CHRISTIAN TAUGNER</v>
      </c>
      <c r="L252" s="6">
        <v>45627</v>
      </c>
      <c r="M252" s="6">
        <v>46082</v>
      </c>
      <c r="N252" s="7">
        <v>129.44</v>
      </c>
      <c r="O252" s="5">
        <f t="shared" si="11"/>
        <v>15</v>
      </c>
      <c r="P252" s="5" t="s">
        <v>1370</v>
      </c>
      <c r="Q252" s="8">
        <v>0.26</v>
      </c>
      <c r="R252" s="5" t="s">
        <v>60</v>
      </c>
      <c r="S252" s="5" t="s">
        <v>61</v>
      </c>
      <c r="T252" s="7">
        <v>33.65</v>
      </c>
      <c r="U252" s="5" t="s">
        <v>1384</v>
      </c>
    </row>
    <row r="253" spans="1:21" s="5" customFormat="1" x14ac:dyDescent="0.25">
      <c r="A253" s="5">
        <v>2024961805</v>
      </c>
      <c r="B253" s="5" t="s">
        <v>1064</v>
      </c>
      <c r="C253" s="5" t="s">
        <v>1065</v>
      </c>
      <c r="D253" s="5" t="str">
        <f t="shared" si="9"/>
        <v>LANCE SPIEKER</v>
      </c>
      <c r="E253" s="5" t="s">
        <v>102</v>
      </c>
      <c r="F253" s="5" t="s">
        <v>126</v>
      </c>
      <c r="G253" s="5" t="s">
        <v>132</v>
      </c>
      <c r="H253" s="5">
        <v>18828278</v>
      </c>
      <c r="I253" s="5" t="s">
        <v>504</v>
      </c>
      <c r="J253" s="5" t="s">
        <v>182</v>
      </c>
      <c r="K253" s="5" t="str">
        <f t="shared" si="10"/>
        <v>MICHAEL DUNAVANT</v>
      </c>
      <c r="L253" s="6">
        <v>45571</v>
      </c>
      <c r="M253" s="6">
        <v>46028</v>
      </c>
      <c r="N253" s="7">
        <v>34.68</v>
      </c>
      <c r="O253" s="5">
        <f t="shared" si="11"/>
        <v>15</v>
      </c>
      <c r="P253" s="5" t="s">
        <v>1370</v>
      </c>
      <c r="Q253" s="8">
        <v>0.15</v>
      </c>
      <c r="R253" s="5" t="s">
        <v>60</v>
      </c>
      <c r="S253" s="5" t="s">
        <v>61</v>
      </c>
      <c r="T253" s="7">
        <v>5.2</v>
      </c>
      <c r="U253" s="5" t="s">
        <v>132</v>
      </c>
    </row>
    <row r="254" spans="1:21" s="5" customFormat="1" x14ac:dyDescent="0.25">
      <c r="A254" s="5">
        <v>2025031269</v>
      </c>
      <c r="B254" s="5" t="s">
        <v>983</v>
      </c>
      <c r="C254" s="5" t="s">
        <v>984</v>
      </c>
      <c r="D254" s="5" t="str">
        <f t="shared" si="9"/>
        <v>ANDRII KHOLODOVICH</v>
      </c>
      <c r="E254" s="5" t="s">
        <v>102</v>
      </c>
      <c r="F254" s="5" t="s">
        <v>126</v>
      </c>
      <c r="G254" s="5" t="s">
        <v>132</v>
      </c>
      <c r="H254" s="5">
        <v>18828278</v>
      </c>
      <c r="I254" s="5" t="s">
        <v>504</v>
      </c>
      <c r="J254" s="5" t="s">
        <v>182</v>
      </c>
      <c r="K254" s="5" t="str">
        <f t="shared" si="10"/>
        <v>MICHAEL DUNAVANT</v>
      </c>
      <c r="L254" s="6">
        <v>45571</v>
      </c>
      <c r="M254" s="6">
        <v>46028</v>
      </c>
      <c r="N254" s="7">
        <v>11.5</v>
      </c>
      <c r="O254" s="5">
        <f t="shared" si="11"/>
        <v>15</v>
      </c>
      <c r="P254" s="5" t="s">
        <v>1370</v>
      </c>
      <c r="Q254" s="8">
        <v>0.15</v>
      </c>
      <c r="R254" s="5" t="s">
        <v>60</v>
      </c>
      <c r="S254" s="5" t="s">
        <v>61</v>
      </c>
      <c r="T254" s="7">
        <v>1.72</v>
      </c>
      <c r="U254" s="5" t="s">
        <v>132</v>
      </c>
    </row>
    <row r="255" spans="1:21" s="5" customFormat="1" x14ac:dyDescent="0.25">
      <c r="A255" s="5">
        <v>2025031268</v>
      </c>
      <c r="B255" s="5" t="s">
        <v>983</v>
      </c>
      <c r="C255" s="5" t="s">
        <v>984</v>
      </c>
      <c r="D255" s="5" t="str">
        <f t="shared" si="9"/>
        <v>ANDRII KHOLODOVICH</v>
      </c>
      <c r="E255" s="5" t="s">
        <v>102</v>
      </c>
      <c r="F255" s="5" t="s">
        <v>86</v>
      </c>
      <c r="G255" s="5" t="s">
        <v>87</v>
      </c>
      <c r="H255" s="5">
        <v>18828278</v>
      </c>
      <c r="I255" s="5" t="s">
        <v>504</v>
      </c>
      <c r="J255" s="5" t="s">
        <v>182</v>
      </c>
      <c r="K255" s="5" t="str">
        <f t="shared" si="10"/>
        <v>MICHAEL DUNAVANT</v>
      </c>
      <c r="L255" s="6">
        <v>45571</v>
      </c>
      <c r="M255" s="6">
        <v>46028</v>
      </c>
      <c r="N255" s="7">
        <v>47.56</v>
      </c>
      <c r="O255" s="5">
        <f t="shared" si="11"/>
        <v>15</v>
      </c>
      <c r="P255" s="5" t="s">
        <v>1370</v>
      </c>
      <c r="Q255" s="8">
        <v>0.06</v>
      </c>
      <c r="R255" s="5" t="s">
        <v>60</v>
      </c>
      <c r="S255" s="5" t="s">
        <v>61</v>
      </c>
      <c r="T255" s="7">
        <v>2.85</v>
      </c>
      <c r="U255" s="5" t="s">
        <v>87</v>
      </c>
    </row>
    <row r="256" spans="1:21" s="5" customFormat="1" x14ac:dyDescent="0.25">
      <c r="A256" s="5">
        <v>2025254892</v>
      </c>
      <c r="B256" s="5" t="s">
        <v>779</v>
      </c>
      <c r="C256" s="5" t="s">
        <v>780</v>
      </c>
      <c r="D256" s="5" t="str">
        <f t="shared" si="9"/>
        <v>KRISTIN DICKINSON</v>
      </c>
      <c r="E256" s="5" t="s">
        <v>386</v>
      </c>
      <c r="F256" s="5" t="s">
        <v>75</v>
      </c>
      <c r="G256" s="5" t="s">
        <v>76</v>
      </c>
      <c r="H256" s="5">
        <v>371819</v>
      </c>
      <c r="I256" s="5" t="s">
        <v>138</v>
      </c>
      <c r="J256" s="5" t="s">
        <v>107</v>
      </c>
      <c r="K256" s="5" t="str">
        <f t="shared" si="10"/>
        <v>THOMAS PARDUE</v>
      </c>
      <c r="L256" s="6">
        <v>45576</v>
      </c>
      <c r="M256" s="6">
        <v>46033</v>
      </c>
      <c r="N256" s="7">
        <v>48.79</v>
      </c>
      <c r="O256" s="5">
        <f t="shared" si="11"/>
        <v>15</v>
      </c>
      <c r="P256" s="5" t="s">
        <v>1370</v>
      </c>
      <c r="Q256" s="8">
        <v>0.1</v>
      </c>
      <c r="R256" s="5" t="s">
        <v>60</v>
      </c>
      <c r="S256" s="5" t="s">
        <v>61</v>
      </c>
      <c r="T256" s="7">
        <v>4.88</v>
      </c>
      <c r="U256" s="5" t="s">
        <v>1371</v>
      </c>
    </row>
    <row r="257" spans="1:21" s="5" customFormat="1" x14ac:dyDescent="0.25">
      <c r="A257" s="5">
        <v>2025287065</v>
      </c>
      <c r="B257" s="5" t="s">
        <v>782</v>
      </c>
      <c r="C257" s="5" t="s">
        <v>783</v>
      </c>
      <c r="D257" s="5" t="str">
        <f t="shared" si="9"/>
        <v>ZARIYAH JEFFRIES</v>
      </c>
      <c r="E257" s="5" t="s">
        <v>79</v>
      </c>
      <c r="F257" s="5" t="s">
        <v>75</v>
      </c>
      <c r="G257" s="5" t="s">
        <v>80</v>
      </c>
      <c r="H257" s="5">
        <v>371819</v>
      </c>
      <c r="I257" s="5" t="s">
        <v>138</v>
      </c>
      <c r="J257" s="5" t="s">
        <v>107</v>
      </c>
      <c r="K257" s="5" t="str">
        <f t="shared" si="10"/>
        <v>THOMAS PARDUE</v>
      </c>
      <c r="L257" s="6">
        <v>45577</v>
      </c>
      <c r="M257" s="6">
        <v>46034</v>
      </c>
      <c r="N257" s="7">
        <v>13.92</v>
      </c>
      <c r="O257" s="5">
        <f t="shared" si="11"/>
        <v>15</v>
      </c>
      <c r="P257" s="5" t="s">
        <v>1370</v>
      </c>
      <c r="Q257" s="8">
        <v>0.1</v>
      </c>
      <c r="R257" s="5" t="s">
        <v>60</v>
      </c>
      <c r="S257" s="5" t="s">
        <v>61</v>
      </c>
      <c r="T257" s="7">
        <v>1.39</v>
      </c>
      <c r="U257" s="5" t="s">
        <v>1372</v>
      </c>
    </row>
    <row r="258" spans="1:21" s="5" customFormat="1" x14ac:dyDescent="0.25">
      <c r="A258" s="5">
        <v>2025254890</v>
      </c>
      <c r="B258" s="5" t="s">
        <v>779</v>
      </c>
      <c r="C258" s="5" t="s">
        <v>780</v>
      </c>
      <c r="D258" s="5" t="str">
        <f t="shared" ref="D258:D321" si="12">CONCATENATE(C258," ",B258)</f>
        <v>KRISTIN DICKINSON</v>
      </c>
      <c r="E258" s="5" t="s">
        <v>386</v>
      </c>
      <c r="F258" s="5" t="s">
        <v>126</v>
      </c>
      <c r="G258" s="5" t="s">
        <v>132</v>
      </c>
      <c r="H258" s="5">
        <v>371819</v>
      </c>
      <c r="I258" s="5" t="s">
        <v>138</v>
      </c>
      <c r="J258" s="5" t="s">
        <v>107</v>
      </c>
      <c r="K258" s="5" t="str">
        <f t="shared" ref="K258:K321" si="13">CONCATENATE(J258," ",I258)</f>
        <v>THOMAS PARDUE</v>
      </c>
      <c r="L258" s="6">
        <v>45576</v>
      </c>
      <c r="M258" s="6">
        <v>46033</v>
      </c>
      <c r="N258" s="7">
        <v>35.04</v>
      </c>
      <c r="O258" s="5">
        <f t="shared" ref="O258:O321" si="14">DATEDIF(L258,M258,"M")</f>
        <v>15</v>
      </c>
      <c r="P258" s="5" t="s">
        <v>1370</v>
      </c>
      <c r="Q258" s="8">
        <v>0.15</v>
      </c>
      <c r="R258" s="5" t="s">
        <v>60</v>
      </c>
      <c r="S258" s="5" t="s">
        <v>61</v>
      </c>
      <c r="T258" s="7">
        <v>5.26</v>
      </c>
      <c r="U258" s="5" t="s">
        <v>132</v>
      </c>
    </row>
    <row r="259" spans="1:21" s="5" customFormat="1" x14ac:dyDescent="0.25">
      <c r="A259" s="5">
        <v>2025286363</v>
      </c>
      <c r="B259" s="5" t="s">
        <v>1069</v>
      </c>
      <c r="C259" s="5" t="s">
        <v>500</v>
      </c>
      <c r="D259" s="5" t="str">
        <f t="shared" si="12"/>
        <v>HEIDI VOLBRECHT</v>
      </c>
      <c r="E259" s="5" t="s">
        <v>383</v>
      </c>
      <c r="F259" s="5" t="s">
        <v>126</v>
      </c>
      <c r="G259" s="5" t="s">
        <v>132</v>
      </c>
      <c r="H259" s="5">
        <v>371819</v>
      </c>
      <c r="I259" s="5" t="s">
        <v>138</v>
      </c>
      <c r="J259" s="5" t="s">
        <v>107</v>
      </c>
      <c r="K259" s="5" t="str">
        <f t="shared" si="13"/>
        <v>THOMAS PARDUE</v>
      </c>
      <c r="L259" s="6">
        <v>45577</v>
      </c>
      <c r="M259" s="6">
        <v>46034</v>
      </c>
      <c r="N259" s="7">
        <v>31.88</v>
      </c>
      <c r="O259" s="5">
        <f t="shared" si="14"/>
        <v>15</v>
      </c>
      <c r="P259" s="5" t="s">
        <v>1370</v>
      </c>
      <c r="Q259" s="8">
        <v>0.15</v>
      </c>
      <c r="R259" s="5" t="s">
        <v>60</v>
      </c>
      <c r="S259" s="5" t="s">
        <v>61</v>
      </c>
      <c r="T259" s="7">
        <v>4.78</v>
      </c>
      <c r="U259" s="5" t="s">
        <v>132</v>
      </c>
    </row>
    <row r="260" spans="1:21" s="5" customFormat="1" x14ac:dyDescent="0.25">
      <c r="A260" s="5">
        <v>2025287066</v>
      </c>
      <c r="B260" s="5" t="s">
        <v>782</v>
      </c>
      <c r="C260" s="5" t="s">
        <v>783</v>
      </c>
      <c r="D260" s="5" t="str">
        <f t="shared" si="12"/>
        <v>ZARIYAH JEFFRIES</v>
      </c>
      <c r="E260" s="5" t="s">
        <v>79</v>
      </c>
      <c r="F260" s="5" t="s">
        <v>126</v>
      </c>
      <c r="G260" s="5" t="s">
        <v>132</v>
      </c>
      <c r="H260" s="5">
        <v>371819</v>
      </c>
      <c r="I260" s="5" t="s">
        <v>138</v>
      </c>
      <c r="J260" s="5" t="s">
        <v>107</v>
      </c>
      <c r="K260" s="5" t="str">
        <f t="shared" si="13"/>
        <v>THOMAS PARDUE</v>
      </c>
      <c r="L260" s="6">
        <v>45577</v>
      </c>
      <c r="M260" s="6">
        <v>46034</v>
      </c>
      <c r="N260" s="7">
        <v>26.73</v>
      </c>
      <c r="O260" s="5">
        <f t="shared" si="14"/>
        <v>15</v>
      </c>
      <c r="P260" s="5" t="s">
        <v>1370</v>
      </c>
      <c r="Q260" s="8">
        <v>0.15</v>
      </c>
      <c r="R260" s="5" t="s">
        <v>60</v>
      </c>
      <c r="S260" s="5" t="s">
        <v>61</v>
      </c>
      <c r="T260" s="7">
        <v>4.01</v>
      </c>
      <c r="U260" s="5" t="s">
        <v>132</v>
      </c>
    </row>
    <row r="261" spans="1:21" s="5" customFormat="1" x14ac:dyDescent="0.25">
      <c r="A261" s="5">
        <v>2025287064</v>
      </c>
      <c r="B261" s="5" t="s">
        <v>782</v>
      </c>
      <c r="C261" s="5" t="s">
        <v>783</v>
      </c>
      <c r="D261" s="5" t="str">
        <f t="shared" si="12"/>
        <v>ZARIYAH JEFFRIES</v>
      </c>
      <c r="E261" s="5" t="s">
        <v>79</v>
      </c>
      <c r="F261" s="5" t="s">
        <v>86</v>
      </c>
      <c r="G261" s="5" t="s">
        <v>87</v>
      </c>
      <c r="H261" s="5">
        <v>371819</v>
      </c>
      <c r="I261" s="5" t="s">
        <v>138</v>
      </c>
      <c r="J261" s="5" t="s">
        <v>107</v>
      </c>
      <c r="K261" s="5" t="str">
        <f t="shared" si="13"/>
        <v>THOMAS PARDUE</v>
      </c>
      <c r="L261" s="6">
        <v>45577</v>
      </c>
      <c r="M261" s="6">
        <v>46034</v>
      </c>
      <c r="N261" s="7">
        <v>18.25</v>
      </c>
      <c r="O261" s="5">
        <f t="shared" si="14"/>
        <v>15</v>
      </c>
      <c r="P261" s="5" t="s">
        <v>1370</v>
      </c>
      <c r="Q261" s="8">
        <v>0.06</v>
      </c>
      <c r="R261" s="5" t="s">
        <v>60</v>
      </c>
      <c r="S261" s="5" t="s">
        <v>61</v>
      </c>
      <c r="T261" s="7">
        <v>1.1000000000000001</v>
      </c>
      <c r="U261" s="5" t="s">
        <v>87</v>
      </c>
    </row>
    <row r="262" spans="1:21" s="5" customFormat="1" x14ac:dyDescent="0.25">
      <c r="A262" s="5">
        <v>2025254891</v>
      </c>
      <c r="B262" s="5" t="s">
        <v>779</v>
      </c>
      <c r="C262" s="5" t="s">
        <v>780</v>
      </c>
      <c r="D262" s="5" t="str">
        <f t="shared" si="12"/>
        <v>KRISTIN DICKINSON</v>
      </c>
      <c r="E262" s="5" t="s">
        <v>386</v>
      </c>
      <c r="F262" s="5" t="s">
        <v>126</v>
      </c>
      <c r="G262" s="5" t="s">
        <v>375</v>
      </c>
      <c r="H262" s="5">
        <v>371819</v>
      </c>
      <c r="I262" s="5" t="s">
        <v>138</v>
      </c>
      <c r="J262" s="5" t="s">
        <v>107</v>
      </c>
      <c r="K262" s="5" t="str">
        <f t="shared" si="13"/>
        <v>THOMAS PARDUE</v>
      </c>
      <c r="L262" s="6">
        <v>45576</v>
      </c>
      <c r="M262" s="6">
        <v>46033</v>
      </c>
      <c r="N262" s="7">
        <v>19.28</v>
      </c>
      <c r="O262" s="5">
        <f t="shared" si="14"/>
        <v>15</v>
      </c>
      <c r="P262" s="5" t="s">
        <v>1370</v>
      </c>
      <c r="Q262" s="8">
        <v>0.1</v>
      </c>
      <c r="R262" s="5" t="s">
        <v>60</v>
      </c>
      <c r="S262" s="5" t="s">
        <v>61</v>
      </c>
      <c r="T262" s="7">
        <v>1.93</v>
      </c>
      <c r="U262" s="5" t="s">
        <v>375</v>
      </c>
    </row>
    <row r="263" spans="1:21" s="5" customFormat="1" x14ac:dyDescent="0.25">
      <c r="A263" s="5">
        <v>2025265220</v>
      </c>
      <c r="B263" s="5" t="s">
        <v>293</v>
      </c>
      <c r="C263" s="5" t="s">
        <v>1068</v>
      </c>
      <c r="D263" s="5" t="str">
        <f t="shared" si="12"/>
        <v>LYNNA JOHNSON</v>
      </c>
      <c r="E263" s="5" t="s">
        <v>97</v>
      </c>
      <c r="F263" s="5" t="s">
        <v>126</v>
      </c>
      <c r="G263" s="5" t="s">
        <v>375</v>
      </c>
      <c r="H263" s="5">
        <v>371819</v>
      </c>
      <c r="I263" s="5" t="s">
        <v>138</v>
      </c>
      <c r="J263" s="5" t="s">
        <v>107</v>
      </c>
      <c r="K263" s="5" t="str">
        <f t="shared" si="13"/>
        <v>THOMAS PARDUE</v>
      </c>
      <c r="L263" s="6">
        <v>45576</v>
      </c>
      <c r="M263" s="6">
        <v>46033</v>
      </c>
      <c r="N263" s="7">
        <v>27.81</v>
      </c>
      <c r="O263" s="5">
        <f t="shared" si="14"/>
        <v>15</v>
      </c>
      <c r="P263" s="5" t="s">
        <v>1370</v>
      </c>
      <c r="Q263" s="8">
        <v>0.1</v>
      </c>
      <c r="R263" s="5" t="s">
        <v>60</v>
      </c>
      <c r="S263" s="5" t="s">
        <v>61</v>
      </c>
      <c r="T263" s="7">
        <v>2.78</v>
      </c>
      <c r="U263" s="5" t="s">
        <v>375</v>
      </c>
    </row>
    <row r="264" spans="1:21" s="5" customFormat="1" x14ac:dyDescent="0.25">
      <c r="A264" s="5">
        <v>2025265267</v>
      </c>
      <c r="B264" s="5" t="s">
        <v>735</v>
      </c>
      <c r="C264" s="5" t="s">
        <v>510</v>
      </c>
      <c r="D264" s="5" t="str">
        <f t="shared" si="12"/>
        <v>AUSTIN BAKER</v>
      </c>
      <c r="E264" s="5" t="s">
        <v>97</v>
      </c>
      <c r="F264" s="5" t="s">
        <v>126</v>
      </c>
      <c r="G264" s="5" t="s">
        <v>375</v>
      </c>
      <c r="H264" s="5">
        <v>371819</v>
      </c>
      <c r="I264" s="5" t="s">
        <v>138</v>
      </c>
      <c r="J264" s="5" t="s">
        <v>107</v>
      </c>
      <c r="K264" s="5" t="str">
        <f t="shared" si="13"/>
        <v>THOMAS PARDUE</v>
      </c>
      <c r="L264" s="6">
        <v>45576</v>
      </c>
      <c r="M264" s="6">
        <v>46033</v>
      </c>
      <c r="N264" s="7">
        <v>10.31</v>
      </c>
      <c r="O264" s="5">
        <f t="shared" si="14"/>
        <v>15</v>
      </c>
      <c r="P264" s="5" t="s">
        <v>1370</v>
      </c>
      <c r="Q264" s="8">
        <v>0.1</v>
      </c>
      <c r="R264" s="5" t="s">
        <v>60</v>
      </c>
      <c r="S264" s="5" t="s">
        <v>61</v>
      </c>
      <c r="T264" s="7">
        <v>1.03</v>
      </c>
      <c r="U264" s="5" t="s">
        <v>375</v>
      </c>
    </row>
    <row r="265" spans="1:21" s="5" customFormat="1" x14ac:dyDescent="0.25">
      <c r="A265" s="5">
        <v>2025262311</v>
      </c>
      <c r="B265" s="5" t="s">
        <v>533</v>
      </c>
      <c r="C265" s="5" t="s">
        <v>71</v>
      </c>
      <c r="D265" s="5" t="str">
        <f t="shared" si="12"/>
        <v>JOHN DARCY</v>
      </c>
      <c r="E265" s="5" t="s">
        <v>200</v>
      </c>
      <c r="F265" s="5" t="s">
        <v>126</v>
      </c>
      <c r="G265" s="5" t="s">
        <v>127</v>
      </c>
      <c r="H265" s="5">
        <v>21313588</v>
      </c>
      <c r="I265" s="5" t="s">
        <v>344</v>
      </c>
      <c r="J265" s="5" t="s">
        <v>260</v>
      </c>
      <c r="K265" s="5" t="str">
        <f t="shared" si="13"/>
        <v>WILLIAM GESKE</v>
      </c>
      <c r="L265" s="6">
        <v>45576</v>
      </c>
      <c r="M265" s="6">
        <v>46033</v>
      </c>
      <c r="N265" s="7">
        <v>6.3</v>
      </c>
      <c r="O265" s="5">
        <f t="shared" si="14"/>
        <v>15</v>
      </c>
      <c r="P265" s="5" t="s">
        <v>1370</v>
      </c>
      <c r="Q265" s="8">
        <v>0.15</v>
      </c>
      <c r="R265" s="5" t="s">
        <v>60</v>
      </c>
      <c r="S265" s="5" t="s">
        <v>61</v>
      </c>
      <c r="T265" s="7">
        <v>0.94</v>
      </c>
      <c r="U265" s="5" t="s">
        <v>127</v>
      </c>
    </row>
    <row r="266" spans="1:21" s="5" customFormat="1" x14ac:dyDescent="0.25">
      <c r="A266" s="5">
        <v>2025262312</v>
      </c>
      <c r="B266" s="5" t="s">
        <v>533</v>
      </c>
      <c r="C266" s="5" t="s">
        <v>71</v>
      </c>
      <c r="D266" s="5" t="str">
        <f t="shared" si="12"/>
        <v>JOHN DARCY</v>
      </c>
      <c r="E266" s="5" t="s">
        <v>200</v>
      </c>
      <c r="F266" s="5" t="s">
        <v>75</v>
      </c>
      <c r="G266" s="5" t="s">
        <v>739</v>
      </c>
      <c r="H266" s="5">
        <v>21313588</v>
      </c>
      <c r="I266" s="5" t="s">
        <v>344</v>
      </c>
      <c r="J266" s="5" t="s">
        <v>260</v>
      </c>
      <c r="K266" s="5" t="str">
        <f t="shared" si="13"/>
        <v>WILLIAM GESKE</v>
      </c>
      <c r="L266" s="6">
        <v>45576</v>
      </c>
      <c r="M266" s="6">
        <v>46033</v>
      </c>
      <c r="N266" s="7">
        <v>22.71</v>
      </c>
      <c r="O266" s="5">
        <f t="shared" si="14"/>
        <v>15</v>
      </c>
      <c r="P266" s="5" t="s">
        <v>1370</v>
      </c>
      <c r="Q266" s="8">
        <v>0.1</v>
      </c>
      <c r="R266" s="5" t="s">
        <v>60</v>
      </c>
      <c r="S266" s="5" t="s">
        <v>61</v>
      </c>
      <c r="T266" s="7">
        <v>2.27</v>
      </c>
      <c r="U266" s="5" t="s">
        <v>1380</v>
      </c>
    </row>
    <row r="267" spans="1:21" s="5" customFormat="1" x14ac:dyDescent="0.25">
      <c r="A267" s="5">
        <v>2025262310</v>
      </c>
      <c r="B267" s="5" t="s">
        <v>533</v>
      </c>
      <c r="C267" s="5" t="s">
        <v>71</v>
      </c>
      <c r="D267" s="5" t="str">
        <f t="shared" si="12"/>
        <v>JOHN DARCY</v>
      </c>
      <c r="E267" s="5" t="s">
        <v>200</v>
      </c>
      <c r="F267" s="5" t="s">
        <v>126</v>
      </c>
      <c r="G267" s="5" t="s">
        <v>132</v>
      </c>
      <c r="H267" s="5">
        <v>21313588</v>
      </c>
      <c r="I267" s="5" t="s">
        <v>344</v>
      </c>
      <c r="J267" s="5" t="s">
        <v>260</v>
      </c>
      <c r="K267" s="5" t="str">
        <f t="shared" si="13"/>
        <v>WILLIAM GESKE</v>
      </c>
      <c r="L267" s="6">
        <v>45576</v>
      </c>
      <c r="M267" s="6">
        <v>46033</v>
      </c>
      <c r="N267" s="7">
        <v>9.6999999999999993</v>
      </c>
      <c r="O267" s="5">
        <f t="shared" si="14"/>
        <v>15</v>
      </c>
      <c r="P267" s="5" t="s">
        <v>1370</v>
      </c>
      <c r="Q267" s="8">
        <v>0.15</v>
      </c>
      <c r="R267" s="5" t="s">
        <v>60</v>
      </c>
      <c r="S267" s="5" t="s">
        <v>61</v>
      </c>
      <c r="T267" s="7">
        <v>1.46</v>
      </c>
      <c r="U267" s="5" t="s">
        <v>132</v>
      </c>
    </row>
    <row r="268" spans="1:21" s="5" customFormat="1" x14ac:dyDescent="0.25">
      <c r="A268" s="5">
        <v>2025991920</v>
      </c>
      <c r="B268" s="5" t="s">
        <v>1011</v>
      </c>
      <c r="C268" s="5" t="s">
        <v>1012</v>
      </c>
      <c r="D268" s="5" t="str">
        <f t="shared" si="12"/>
        <v>YOUSRI ALI</v>
      </c>
      <c r="E268" s="5" t="s">
        <v>102</v>
      </c>
      <c r="F268" s="5" t="s">
        <v>108</v>
      </c>
      <c r="G268" s="5" t="s">
        <v>1002</v>
      </c>
      <c r="H268" s="5">
        <v>19681796</v>
      </c>
      <c r="I268" s="5" t="s">
        <v>361</v>
      </c>
      <c r="J268" s="5" t="s">
        <v>362</v>
      </c>
      <c r="K268" s="5" t="str">
        <f t="shared" si="13"/>
        <v>CHRISTIAN TAUGNER</v>
      </c>
      <c r="L268" s="6">
        <v>45627</v>
      </c>
      <c r="M268" s="6">
        <v>46113</v>
      </c>
      <c r="N268" s="7">
        <v>129.44</v>
      </c>
      <c r="O268" s="5">
        <f t="shared" si="14"/>
        <v>16</v>
      </c>
      <c r="P268" s="5" t="s">
        <v>1370</v>
      </c>
      <c r="Q268" s="8">
        <v>0.26</v>
      </c>
      <c r="R268" s="5" t="s">
        <v>60</v>
      </c>
      <c r="S268" s="5" t="s">
        <v>61</v>
      </c>
      <c r="T268" s="7">
        <v>33.65</v>
      </c>
      <c r="U268" s="5" t="s">
        <v>1384</v>
      </c>
    </row>
    <row r="269" spans="1:21" s="5" customFormat="1" x14ac:dyDescent="0.25">
      <c r="A269" s="5">
        <v>2024197970</v>
      </c>
      <c r="B269" s="5" t="s">
        <v>973</v>
      </c>
      <c r="C269" s="5" t="s">
        <v>974</v>
      </c>
      <c r="D269" s="5" t="str">
        <f t="shared" si="12"/>
        <v>BREE ABBOTT</v>
      </c>
      <c r="E269" s="5" t="s">
        <v>102</v>
      </c>
      <c r="F269" s="5" t="s">
        <v>126</v>
      </c>
      <c r="G269" s="5" t="s">
        <v>132</v>
      </c>
      <c r="H269" s="5">
        <v>18828278</v>
      </c>
      <c r="I269" s="5" t="s">
        <v>504</v>
      </c>
      <c r="J269" s="5" t="s">
        <v>182</v>
      </c>
      <c r="K269" s="5" t="str">
        <f t="shared" si="13"/>
        <v>MICHAEL DUNAVANT</v>
      </c>
      <c r="L269" s="6">
        <v>45541</v>
      </c>
      <c r="M269" s="6">
        <v>46028</v>
      </c>
      <c r="N269" s="7">
        <v>11.5</v>
      </c>
      <c r="O269" s="5">
        <f t="shared" si="14"/>
        <v>16</v>
      </c>
      <c r="P269" s="5" t="s">
        <v>1370</v>
      </c>
      <c r="Q269" s="8">
        <v>0.15</v>
      </c>
      <c r="R269" s="5" t="s">
        <v>60</v>
      </c>
      <c r="S269" s="5" t="s">
        <v>61</v>
      </c>
      <c r="T269" s="7">
        <v>1.72</v>
      </c>
      <c r="U269" s="5" t="s">
        <v>132</v>
      </c>
    </row>
    <row r="270" spans="1:21" s="5" customFormat="1" x14ac:dyDescent="0.25">
      <c r="A270" s="5">
        <v>2024202345</v>
      </c>
      <c r="B270" s="5" t="s">
        <v>1059</v>
      </c>
      <c r="C270" s="5" t="s">
        <v>405</v>
      </c>
      <c r="D270" s="5" t="str">
        <f t="shared" si="12"/>
        <v>DAVID HAMM</v>
      </c>
      <c r="E270" s="5" t="s">
        <v>102</v>
      </c>
      <c r="F270" s="5" t="s">
        <v>126</v>
      </c>
      <c r="G270" s="5" t="s">
        <v>132</v>
      </c>
      <c r="H270" s="5">
        <v>18828278</v>
      </c>
      <c r="I270" s="5" t="s">
        <v>504</v>
      </c>
      <c r="J270" s="5" t="s">
        <v>182</v>
      </c>
      <c r="K270" s="5" t="str">
        <f t="shared" si="13"/>
        <v>MICHAEL DUNAVANT</v>
      </c>
      <c r="L270" s="6">
        <v>45541</v>
      </c>
      <c r="M270" s="6">
        <v>46028</v>
      </c>
      <c r="N270" s="7">
        <v>130.72</v>
      </c>
      <c r="O270" s="5">
        <f t="shared" si="14"/>
        <v>16</v>
      </c>
      <c r="P270" s="5" t="s">
        <v>1370</v>
      </c>
      <c r="Q270" s="8">
        <v>0.15</v>
      </c>
      <c r="R270" s="5" t="s">
        <v>60</v>
      </c>
      <c r="S270" s="5" t="s">
        <v>61</v>
      </c>
      <c r="T270" s="7">
        <v>19.61</v>
      </c>
      <c r="U270" s="5" t="s">
        <v>132</v>
      </c>
    </row>
    <row r="271" spans="1:21" s="5" customFormat="1" x14ac:dyDescent="0.25">
      <c r="A271" s="5">
        <v>2024526717</v>
      </c>
      <c r="B271" s="5" t="s">
        <v>1060</v>
      </c>
      <c r="C271" s="5" t="s">
        <v>747</v>
      </c>
      <c r="D271" s="5" t="str">
        <f t="shared" si="12"/>
        <v>KYLE WOOD</v>
      </c>
      <c r="E271" s="5" t="s">
        <v>102</v>
      </c>
      <c r="F271" s="5" t="s">
        <v>126</v>
      </c>
      <c r="G271" s="5" t="s">
        <v>132</v>
      </c>
      <c r="H271" s="5">
        <v>18828278</v>
      </c>
      <c r="I271" s="5" t="s">
        <v>504</v>
      </c>
      <c r="J271" s="5" t="s">
        <v>182</v>
      </c>
      <c r="K271" s="5" t="str">
        <f t="shared" si="13"/>
        <v>MICHAEL DUNAVANT</v>
      </c>
      <c r="L271" s="6">
        <v>45541</v>
      </c>
      <c r="M271" s="6">
        <v>46028</v>
      </c>
      <c r="N271" s="7">
        <v>57.03</v>
      </c>
      <c r="O271" s="5">
        <f t="shared" si="14"/>
        <v>16</v>
      </c>
      <c r="P271" s="5" t="s">
        <v>1370</v>
      </c>
      <c r="Q271" s="8">
        <v>0.15</v>
      </c>
      <c r="R271" s="5" t="s">
        <v>60</v>
      </c>
      <c r="S271" s="5" t="s">
        <v>61</v>
      </c>
      <c r="T271" s="7">
        <v>8.5500000000000007</v>
      </c>
      <c r="U271" s="5" t="s">
        <v>132</v>
      </c>
    </row>
    <row r="272" spans="1:21" s="5" customFormat="1" x14ac:dyDescent="0.25">
      <c r="A272" s="5">
        <v>2024630488</v>
      </c>
      <c r="B272" s="5" t="s">
        <v>975</v>
      </c>
      <c r="C272" s="5" t="s">
        <v>264</v>
      </c>
      <c r="D272" s="5" t="str">
        <f t="shared" si="12"/>
        <v>ASHLEY BOEYEN</v>
      </c>
      <c r="E272" s="5" t="s">
        <v>102</v>
      </c>
      <c r="F272" s="5" t="s">
        <v>126</v>
      </c>
      <c r="G272" s="5" t="s">
        <v>132</v>
      </c>
      <c r="H272" s="5">
        <v>18828278</v>
      </c>
      <c r="I272" s="5" t="s">
        <v>504</v>
      </c>
      <c r="J272" s="5" t="s">
        <v>182</v>
      </c>
      <c r="K272" s="5" t="str">
        <f t="shared" si="13"/>
        <v>MICHAEL DUNAVANT</v>
      </c>
      <c r="L272" s="6">
        <v>45541</v>
      </c>
      <c r="M272" s="6">
        <v>46028</v>
      </c>
      <c r="N272" s="7">
        <v>15.75</v>
      </c>
      <c r="O272" s="5">
        <f t="shared" si="14"/>
        <v>16</v>
      </c>
      <c r="P272" s="5" t="s">
        <v>1370</v>
      </c>
      <c r="Q272" s="8">
        <v>0.15</v>
      </c>
      <c r="R272" s="5" t="s">
        <v>60</v>
      </c>
      <c r="S272" s="5" t="s">
        <v>61</v>
      </c>
      <c r="T272" s="7">
        <v>2.36</v>
      </c>
      <c r="U272" s="5" t="s">
        <v>132</v>
      </c>
    </row>
    <row r="273" spans="1:21" s="5" customFormat="1" x14ac:dyDescent="0.25">
      <c r="A273" s="5">
        <v>2024197969</v>
      </c>
      <c r="B273" s="5" t="s">
        <v>973</v>
      </c>
      <c r="C273" s="5" t="s">
        <v>974</v>
      </c>
      <c r="D273" s="5" t="str">
        <f t="shared" si="12"/>
        <v>BREE ABBOTT</v>
      </c>
      <c r="E273" s="5" t="s">
        <v>102</v>
      </c>
      <c r="F273" s="5" t="s">
        <v>86</v>
      </c>
      <c r="G273" s="5" t="s">
        <v>87</v>
      </c>
      <c r="H273" s="5">
        <v>18828278</v>
      </c>
      <c r="I273" s="5" t="s">
        <v>504</v>
      </c>
      <c r="J273" s="5" t="s">
        <v>182</v>
      </c>
      <c r="K273" s="5" t="str">
        <f t="shared" si="13"/>
        <v>MICHAEL DUNAVANT</v>
      </c>
      <c r="L273" s="6">
        <v>45541</v>
      </c>
      <c r="M273" s="6">
        <v>46028</v>
      </c>
      <c r="N273" s="7">
        <v>18.72</v>
      </c>
      <c r="O273" s="5">
        <f t="shared" si="14"/>
        <v>16</v>
      </c>
      <c r="P273" s="5" t="s">
        <v>1370</v>
      </c>
      <c r="Q273" s="8">
        <v>0.06</v>
      </c>
      <c r="R273" s="5" t="s">
        <v>60</v>
      </c>
      <c r="S273" s="5" t="s">
        <v>61</v>
      </c>
      <c r="T273" s="7">
        <v>1.1200000000000001</v>
      </c>
      <c r="U273" s="5" t="s">
        <v>87</v>
      </c>
    </row>
    <row r="274" spans="1:21" s="5" customFormat="1" x14ac:dyDescent="0.25">
      <c r="A274" s="5">
        <v>2024630487</v>
      </c>
      <c r="B274" s="5" t="s">
        <v>975</v>
      </c>
      <c r="C274" s="5" t="s">
        <v>264</v>
      </c>
      <c r="D274" s="5" t="str">
        <f t="shared" si="12"/>
        <v>ASHLEY BOEYEN</v>
      </c>
      <c r="E274" s="5" t="s">
        <v>102</v>
      </c>
      <c r="F274" s="5" t="s">
        <v>86</v>
      </c>
      <c r="G274" s="5" t="s">
        <v>87</v>
      </c>
      <c r="H274" s="5">
        <v>18828278</v>
      </c>
      <c r="I274" s="5" t="s">
        <v>504</v>
      </c>
      <c r="J274" s="5" t="s">
        <v>182</v>
      </c>
      <c r="K274" s="5" t="str">
        <f t="shared" si="13"/>
        <v>MICHAEL DUNAVANT</v>
      </c>
      <c r="L274" s="6">
        <v>45541</v>
      </c>
      <c r="M274" s="6">
        <v>46028</v>
      </c>
      <c r="N274" s="7">
        <v>90.98</v>
      </c>
      <c r="O274" s="5">
        <f t="shared" si="14"/>
        <v>16</v>
      </c>
      <c r="P274" s="5" t="s">
        <v>1370</v>
      </c>
      <c r="Q274" s="8">
        <v>0.06</v>
      </c>
      <c r="R274" s="5" t="s">
        <v>60</v>
      </c>
      <c r="S274" s="5" t="s">
        <v>61</v>
      </c>
      <c r="T274" s="7">
        <v>5.46</v>
      </c>
      <c r="U274" s="5" t="s">
        <v>87</v>
      </c>
    </row>
    <row r="275" spans="1:21" s="5" customFormat="1" x14ac:dyDescent="0.25">
      <c r="A275" s="5">
        <v>2024789928</v>
      </c>
      <c r="B275" s="5" t="s">
        <v>778</v>
      </c>
      <c r="C275" s="5" t="s">
        <v>264</v>
      </c>
      <c r="D275" s="5" t="str">
        <f t="shared" si="12"/>
        <v>ASHLEY TOKAS</v>
      </c>
      <c r="E275" s="5" t="s">
        <v>125</v>
      </c>
      <c r="F275" s="5" t="s">
        <v>75</v>
      </c>
      <c r="G275" s="5" t="s">
        <v>739</v>
      </c>
      <c r="H275" s="5">
        <v>371819</v>
      </c>
      <c r="I275" s="5" t="s">
        <v>138</v>
      </c>
      <c r="J275" s="5" t="s">
        <v>107</v>
      </c>
      <c r="K275" s="5" t="str">
        <f t="shared" si="13"/>
        <v>THOMAS PARDUE</v>
      </c>
      <c r="L275" s="6">
        <v>45545</v>
      </c>
      <c r="M275" s="6">
        <v>46032</v>
      </c>
      <c r="N275" s="7">
        <v>27.12</v>
      </c>
      <c r="O275" s="5">
        <f t="shared" si="14"/>
        <v>16</v>
      </c>
      <c r="P275" s="5" t="s">
        <v>1370</v>
      </c>
      <c r="Q275" s="8">
        <v>0.1</v>
      </c>
      <c r="R275" s="5" t="s">
        <v>60</v>
      </c>
      <c r="S275" s="5" t="s">
        <v>61</v>
      </c>
      <c r="T275" s="7">
        <v>2.71</v>
      </c>
      <c r="U275" s="5" t="s">
        <v>1380</v>
      </c>
    </row>
    <row r="276" spans="1:21" s="5" customFormat="1" x14ac:dyDescent="0.25">
      <c r="A276" s="5">
        <v>2024789926</v>
      </c>
      <c r="B276" s="5" t="s">
        <v>778</v>
      </c>
      <c r="C276" s="5" t="s">
        <v>264</v>
      </c>
      <c r="D276" s="5" t="str">
        <f t="shared" si="12"/>
        <v>ASHLEY TOKAS</v>
      </c>
      <c r="E276" s="5" t="s">
        <v>125</v>
      </c>
      <c r="F276" s="5" t="s">
        <v>126</v>
      </c>
      <c r="G276" s="5" t="s">
        <v>132</v>
      </c>
      <c r="H276" s="5">
        <v>371819</v>
      </c>
      <c r="I276" s="5" t="s">
        <v>138</v>
      </c>
      <c r="J276" s="5" t="s">
        <v>107</v>
      </c>
      <c r="K276" s="5" t="str">
        <f t="shared" si="13"/>
        <v>THOMAS PARDUE</v>
      </c>
      <c r="L276" s="6">
        <v>45545</v>
      </c>
      <c r="M276" s="6">
        <v>46032</v>
      </c>
      <c r="N276" s="7">
        <v>18.920000000000002</v>
      </c>
      <c r="O276" s="5">
        <f t="shared" si="14"/>
        <v>16</v>
      </c>
      <c r="P276" s="5" t="s">
        <v>1370</v>
      </c>
      <c r="Q276" s="8">
        <v>0.15</v>
      </c>
      <c r="R276" s="5" t="s">
        <v>60</v>
      </c>
      <c r="S276" s="5" t="s">
        <v>61</v>
      </c>
      <c r="T276" s="7">
        <v>2.84</v>
      </c>
      <c r="U276" s="5" t="s">
        <v>132</v>
      </c>
    </row>
    <row r="277" spans="1:21" s="5" customFormat="1" x14ac:dyDescent="0.25">
      <c r="A277" s="5">
        <v>2024754200</v>
      </c>
      <c r="B277" s="5" t="s">
        <v>139</v>
      </c>
      <c r="C277" s="5" t="s">
        <v>1061</v>
      </c>
      <c r="D277" s="5" t="str">
        <f t="shared" si="12"/>
        <v>DEREK JONES</v>
      </c>
      <c r="E277" s="5" t="s">
        <v>97</v>
      </c>
      <c r="F277" s="5" t="s">
        <v>126</v>
      </c>
      <c r="G277" s="5" t="s">
        <v>375</v>
      </c>
      <c r="H277" s="5">
        <v>371819</v>
      </c>
      <c r="I277" s="5" t="s">
        <v>138</v>
      </c>
      <c r="J277" s="5" t="s">
        <v>107</v>
      </c>
      <c r="K277" s="5" t="str">
        <f t="shared" si="13"/>
        <v>THOMAS PARDUE</v>
      </c>
      <c r="L277" s="6">
        <v>45542</v>
      </c>
      <c r="M277" s="6">
        <v>46029</v>
      </c>
      <c r="N277" s="7">
        <v>29.25</v>
      </c>
      <c r="O277" s="5">
        <f t="shared" si="14"/>
        <v>16</v>
      </c>
      <c r="P277" s="5" t="s">
        <v>1370</v>
      </c>
      <c r="Q277" s="8">
        <v>0.1</v>
      </c>
      <c r="R277" s="5" t="s">
        <v>60</v>
      </c>
      <c r="S277" s="5" t="s">
        <v>61</v>
      </c>
      <c r="T277" s="7">
        <v>2.92</v>
      </c>
      <c r="U277" s="5" t="s">
        <v>375</v>
      </c>
    </row>
    <row r="278" spans="1:21" s="5" customFormat="1" x14ac:dyDescent="0.25">
      <c r="A278" s="5">
        <v>2024789927</v>
      </c>
      <c r="B278" s="5" t="s">
        <v>778</v>
      </c>
      <c r="C278" s="5" t="s">
        <v>264</v>
      </c>
      <c r="D278" s="5" t="str">
        <f t="shared" si="12"/>
        <v>ASHLEY TOKAS</v>
      </c>
      <c r="E278" s="5" t="s">
        <v>125</v>
      </c>
      <c r="F278" s="5" t="s">
        <v>126</v>
      </c>
      <c r="G278" s="5" t="s">
        <v>375</v>
      </c>
      <c r="H278" s="5">
        <v>371819</v>
      </c>
      <c r="I278" s="5" t="s">
        <v>138</v>
      </c>
      <c r="J278" s="5" t="s">
        <v>107</v>
      </c>
      <c r="K278" s="5" t="str">
        <f t="shared" si="13"/>
        <v>THOMAS PARDUE</v>
      </c>
      <c r="L278" s="6">
        <v>45545</v>
      </c>
      <c r="M278" s="6">
        <v>46032</v>
      </c>
      <c r="N278" s="7">
        <v>18.23</v>
      </c>
      <c r="O278" s="5">
        <f t="shared" si="14"/>
        <v>16</v>
      </c>
      <c r="P278" s="5" t="s">
        <v>1370</v>
      </c>
      <c r="Q278" s="8">
        <v>0.1</v>
      </c>
      <c r="R278" s="5" t="s">
        <v>60</v>
      </c>
      <c r="S278" s="5" t="s">
        <v>61</v>
      </c>
      <c r="T278" s="7">
        <v>1.82</v>
      </c>
      <c r="U278" s="5" t="s">
        <v>375</v>
      </c>
    </row>
    <row r="279" spans="1:21" s="5" customFormat="1" x14ac:dyDescent="0.25">
      <c r="A279" s="5">
        <v>2023921112</v>
      </c>
      <c r="B279" s="5" t="s">
        <v>998</v>
      </c>
      <c r="C279" s="5" t="s">
        <v>999</v>
      </c>
      <c r="D279" s="5" t="str">
        <f t="shared" si="12"/>
        <v>BARBARA BRABEC</v>
      </c>
      <c r="E279" s="5" t="s">
        <v>102</v>
      </c>
      <c r="F279" s="5" t="s">
        <v>108</v>
      </c>
      <c r="G279" s="5" t="s">
        <v>1000</v>
      </c>
      <c r="H279" s="5">
        <v>16912722</v>
      </c>
      <c r="I279" s="5" t="s">
        <v>206</v>
      </c>
      <c r="J279" s="5" t="s">
        <v>207</v>
      </c>
      <c r="K279" s="5" t="str">
        <f t="shared" si="13"/>
        <v>ANDREA PETRUNGARO</v>
      </c>
      <c r="L279" s="6">
        <v>45505</v>
      </c>
      <c r="M279" s="6">
        <v>46023</v>
      </c>
      <c r="N279" s="7">
        <v>218.74</v>
      </c>
      <c r="O279" s="5">
        <f t="shared" si="14"/>
        <v>17</v>
      </c>
      <c r="P279" s="5" t="s">
        <v>1370</v>
      </c>
      <c r="Q279" s="8">
        <v>0.13</v>
      </c>
      <c r="R279" s="5" t="s">
        <v>60</v>
      </c>
      <c r="S279" s="5" t="s">
        <v>61</v>
      </c>
      <c r="T279" s="7">
        <v>28.44</v>
      </c>
      <c r="U279" s="5" t="s">
        <v>1385</v>
      </c>
    </row>
    <row r="280" spans="1:21" s="5" customFormat="1" x14ac:dyDescent="0.25">
      <c r="A280" s="5">
        <v>2023981104</v>
      </c>
      <c r="B280" s="5" t="s">
        <v>1001</v>
      </c>
      <c r="C280" s="5" t="s">
        <v>89</v>
      </c>
      <c r="D280" s="5" t="str">
        <f t="shared" si="12"/>
        <v>CAROL LU</v>
      </c>
      <c r="E280" s="5" t="s">
        <v>102</v>
      </c>
      <c r="F280" s="5" t="s">
        <v>108</v>
      </c>
      <c r="G280" s="5" t="s">
        <v>1002</v>
      </c>
      <c r="H280" s="5">
        <v>16912722</v>
      </c>
      <c r="I280" s="5" t="s">
        <v>206</v>
      </c>
      <c r="J280" s="5" t="s">
        <v>207</v>
      </c>
      <c r="K280" s="5" t="str">
        <f t="shared" si="13"/>
        <v>ANDREA PETRUNGARO</v>
      </c>
      <c r="L280" s="6">
        <v>45505</v>
      </c>
      <c r="M280" s="6">
        <v>46023</v>
      </c>
      <c r="N280" s="7">
        <v>132.85</v>
      </c>
      <c r="O280" s="5">
        <f t="shared" si="14"/>
        <v>17</v>
      </c>
      <c r="P280" s="5" t="s">
        <v>1370</v>
      </c>
      <c r="Q280" s="8">
        <v>0.26</v>
      </c>
      <c r="R280" s="5" t="s">
        <v>60</v>
      </c>
      <c r="S280" s="5" t="s">
        <v>61</v>
      </c>
      <c r="T280" s="7">
        <v>34.54</v>
      </c>
      <c r="U280" s="5" t="s">
        <v>1384</v>
      </c>
    </row>
    <row r="281" spans="1:21" s="5" customFormat="1" x14ac:dyDescent="0.25">
      <c r="A281" s="5">
        <v>2025991920</v>
      </c>
      <c r="B281" s="5" t="s">
        <v>1011</v>
      </c>
      <c r="C281" s="5" t="s">
        <v>1012</v>
      </c>
      <c r="D281" s="5" t="str">
        <f t="shared" si="12"/>
        <v>YOUSRI ALI</v>
      </c>
      <c r="E281" s="5" t="s">
        <v>102</v>
      </c>
      <c r="F281" s="5" t="s">
        <v>108</v>
      </c>
      <c r="G281" s="5" t="s">
        <v>1002</v>
      </c>
      <c r="H281" s="5">
        <v>19681796</v>
      </c>
      <c r="I281" s="5" t="s">
        <v>361</v>
      </c>
      <c r="J281" s="5" t="s">
        <v>362</v>
      </c>
      <c r="K281" s="5" t="str">
        <f t="shared" si="13"/>
        <v>CHRISTIAN TAUGNER</v>
      </c>
      <c r="L281" s="6">
        <v>45627</v>
      </c>
      <c r="M281" s="6">
        <v>46143</v>
      </c>
      <c r="N281" s="7">
        <v>129.44</v>
      </c>
      <c r="O281" s="5">
        <f t="shared" si="14"/>
        <v>17</v>
      </c>
      <c r="P281" s="5" t="s">
        <v>1370</v>
      </c>
      <c r="Q281" s="8">
        <v>0.26</v>
      </c>
      <c r="R281" s="5" t="s">
        <v>60</v>
      </c>
      <c r="S281" s="5" t="s">
        <v>61</v>
      </c>
      <c r="T281" s="7">
        <v>33.65</v>
      </c>
      <c r="U281" s="5" t="s">
        <v>1384</v>
      </c>
    </row>
    <row r="282" spans="1:21" s="5" customFormat="1" x14ac:dyDescent="0.25">
      <c r="A282" s="5">
        <v>2024000491</v>
      </c>
      <c r="B282" s="5" t="s">
        <v>1054</v>
      </c>
      <c r="C282" s="5" t="s">
        <v>1055</v>
      </c>
      <c r="D282" s="5" t="str">
        <f t="shared" si="12"/>
        <v>BILLIE PARROTT</v>
      </c>
      <c r="E282" s="5" t="s">
        <v>102</v>
      </c>
      <c r="F282" s="5" t="s">
        <v>126</v>
      </c>
      <c r="G282" s="5" t="s">
        <v>132</v>
      </c>
      <c r="H282" s="5">
        <v>18828278</v>
      </c>
      <c r="I282" s="5" t="s">
        <v>504</v>
      </c>
      <c r="J282" s="5" t="s">
        <v>182</v>
      </c>
      <c r="K282" s="5" t="str">
        <f t="shared" si="13"/>
        <v>MICHAEL DUNAVANT</v>
      </c>
      <c r="L282" s="6">
        <v>45510</v>
      </c>
      <c r="M282" s="6">
        <v>46028</v>
      </c>
      <c r="N282" s="7">
        <v>49.92</v>
      </c>
      <c r="O282" s="5">
        <f t="shared" si="14"/>
        <v>17</v>
      </c>
      <c r="P282" s="5" t="s">
        <v>1370</v>
      </c>
      <c r="Q282" s="8">
        <v>0.15</v>
      </c>
      <c r="R282" s="5" t="s">
        <v>60</v>
      </c>
      <c r="S282" s="5" t="s">
        <v>61</v>
      </c>
      <c r="T282" s="7">
        <v>7.49</v>
      </c>
      <c r="U282" s="5" t="s">
        <v>132</v>
      </c>
    </row>
    <row r="283" spans="1:21" s="5" customFormat="1" x14ac:dyDescent="0.25">
      <c r="A283" s="5">
        <v>2024027343</v>
      </c>
      <c r="B283" s="5" t="s">
        <v>1056</v>
      </c>
      <c r="C283" s="5" t="s">
        <v>421</v>
      </c>
      <c r="D283" s="5" t="str">
        <f t="shared" si="12"/>
        <v>DEBRA SCHUMANN</v>
      </c>
      <c r="E283" s="5" t="s">
        <v>102</v>
      </c>
      <c r="F283" s="5" t="s">
        <v>126</v>
      </c>
      <c r="G283" s="5" t="s">
        <v>132</v>
      </c>
      <c r="H283" s="5">
        <v>18828278</v>
      </c>
      <c r="I283" s="5" t="s">
        <v>504</v>
      </c>
      <c r="J283" s="5" t="s">
        <v>182</v>
      </c>
      <c r="K283" s="5" t="str">
        <f t="shared" si="13"/>
        <v>MICHAEL DUNAVANT</v>
      </c>
      <c r="L283" s="6">
        <v>45510</v>
      </c>
      <c r="M283" s="6">
        <v>46028</v>
      </c>
      <c r="N283" s="7">
        <v>110.16</v>
      </c>
      <c r="O283" s="5">
        <f t="shared" si="14"/>
        <v>17</v>
      </c>
      <c r="P283" s="5" t="s">
        <v>1370</v>
      </c>
      <c r="Q283" s="8">
        <v>0.15</v>
      </c>
      <c r="R283" s="5" t="s">
        <v>60</v>
      </c>
      <c r="S283" s="5" t="s">
        <v>61</v>
      </c>
      <c r="T283" s="7">
        <v>16.52</v>
      </c>
      <c r="U283" s="5" t="s">
        <v>132</v>
      </c>
    </row>
    <row r="284" spans="1:21" s="5" customFormat="1" x14ac:dyDescent="0.25">
      <c r="A284" s="5">
        <v>2024178503</v>
      </c>
      <c r="B284" s="5" t="s">
        <v>971</v>
      </c>
      <c r="C284" s="5" t="s">
        <v>972</v>
      </c>
      <c r="D284" s="5" t="str">
        <f t="shared" si="12"/>
        <v>SAMANTHA WOLDEN</v>
      </c>
      <c r="E284" s="5" t="s">
        <v>102</v>
      </c>
      <c r="F284" s="5" t="s">
        <v>86</v>
      </c>
      <c r="G284" s="5" t="s">
        <v>87</v>
      </c>
      <c r="H284" s="5">
        <v>18828278</v>
      </c>
      <c r="I284" s="5" t="s">
        <v>504</v>
      </c>
      <c r="J284" s="5" t="s">
        <v>182</v>
      </c>
      <c r="K284" s="5" t="str">
        <f t="shared" si="13"/>
        <v>MICHAEL DUNAVANT</v>
      </c>
      <c r="L284" s="6">
        <v>45510</v>
      </c>
      <c r="M284" s="6">
        <v>46028</v>
      </c>
      <c r="N284" s="7">
        <v>80.16</v>
      </c>
      <c r="O284" s="5">
        <f t="shared" si="14"/>
        <v>17</v>
      </c>
      <c r="P284" s="5" t="s">
        <v>1370</v>
      </c>
      <c r="Q284" s="8">
        <v>0.06</v>
      </c>
      <c r="R284" s="5" t="s">
        <v>60</v>
      </c>
      <c r="S284" s="5" t="s">
        <v>61</v>
      </c>
      <c r="T284" s="7">
        <v>4.8099999999999996</v>
      </c>
      <c r="U284" s="5" t="s">
        <v>87</v>
      </c>
    </row>
    <row r="285" spans="1:21" s="5" customFormat="1" x14ac:dyDescent="0.25">
      <c r="A285" s="5">
        <v>2024314175</v>
      </c>
      <c r="B285" s="5" t="s">
        <v>774</v>
      </c>
      <c r="C285" s="5" t="s">
        <v>775</v>
      </c>
      <c r="D285" s="5" t="str">
        <f t="shared" si="12"/>
        <v>MANUELA YOUMBI</v>
      </c>
      <c r="E285" s="5" t="s">
        <v>357</v>
      </c>
      <c r="F285" s="5" t="s">
        <v>75</v>
      </c>
      <c r="G285" s="5" t="s">
        <v>80</v>
      </c>
      <c r="H285" s="5">
        <v>371819</v>
      </c>
      <c r="I285" s="5" t="s">
        <v>138</v>
      </c>
      <c r="J285" s="5" t="s">
        <v>107</v>
      </c>
      <c r="K285" s="5" t="str">
        <f t="shared" si="13"/>
        <v>THOMAS PARDUE</v>
      </c>
      <c r="L285" s="6">
        <v>45514</v>
      </c>
      <c r="M285" s="6">
        <v>46032</v>
      </c>
      <c r="N285" s="7">
        <v>15.23</v>
      </c>
      <c r="O285" s="5">
        <f t="shared" si="14"/>
        <v>17</v>
      </c>
      <c r="P285" s="5" t="s">
        <v>1370</v>
      </c>
      <c r="Q285" s="8">
        <v>0.1</v>
      </c>
      <c r="R285" s="5" t="s">
        <v>60</v>
      </c>
      <c r="S285" s="5" t="s">
        <v>61</v>
      </c>
      <c r="T285" s="7">
        <v>1.52</v>
      </c>
      <c r="U285" s="5" t="s">
        <v>1372</v>
      </c>
    </row>
    <row r="286" spans="1:21" s="5" customFormat="1" x14ac:dyDescent="0.25">
      <c r="A286" s="5">
        <v>2024314176</v>
      </c>
      <c r="B286" s="5" t="s">
        <v>774</v>
      </c>
      <c r="C286" s="5" t="s">
        <v>775</v>
      </c>
      <c r="D286" s="5" t="str">
        <f t="shared" si="12"/>
        <v>MANUELA YOUMBI</v>
      </c>
      <c r="E286" s="5" t="s">
        <v>357</v>
      </c>
      <c r="F286" s="5" t="s">
        <v>126</v>
      </c>
      <c r="G286" s="5" t="s">
        <v>132</v>
      </c>
      <c r="H286" s="5">
        <v>371819</v>
      </c>
      <c r="I286" s="5" t="s">
        <v>138</v>
      </c>
      <c r="J286" s="5" t="s">
        <v>107</v>
      </c>
      <c r="K286" s="5" t="str">
        <f t="shared" si="13"/>
        <v>THOMAS PARDUE</v>
      </c>
      <c r="L286" s="6">
        <v>45514</v>
      </c>
      <c r="M286" s="6">
        <v>46032</v>
      </c>
      <c r="N286" s="7">
        <v>15.75</v>
      </c>
      <c r="O286" s="5">
        <f t="shared" si="14"/>
        <v>17</v>
      </c>
      <c r="P286" s="5" t="s">
        <v>1370</v>
      </c>
      <c r="Q286" s="8">
        <v>0.15</v>
      </c>
      <c r="R286" s="5" t="s">
        <v>60</v>
      </c>
      <c r="S286" s="5" t="s">
        <v>61</v>
      </c>
      <c r="T286" s="7">
        <v>2.36</v>
      </c>
      <c r="U286" s="5" t="s">
        <v>132</v>
      </c>
    </row>
    <row r="287" spans="1:21" s="5" customFormat="1" x14ac:dyDescent="0.25">
      <c r="A287" s="5">
        <v>2025991920</v>
      </c>
      <c r="B287" s="5" t="s">
        <v>1011</v>
      </c>
      <c r="C287" s="5" t="s">
        <v>1012</v>
      </c>
      <c r="D287" s="5" t="str">
        <f t="shared" si="12"/>
        <v>YOUSRI ALI</v>
      </c>
      <c r="E287" s="5" t="s">
        <v>102</v>
      </c>
      <c r="F287" s="5" t="s">
        <v>108</v>
      </c>
      <c r="G287" s="5" t="s">
        <v>1002</v>
      </c>
      <c r="H287" s="5">
        <v>19681796</v>
      </c>
      <c r="I287" s="5" t="s">
        <v>361</v>
      </c>
      <c r="J287" s="5" t="s">
        <v>362</v>
      </c>
      <c r="K287" s="5" t="str">
        <f t="shared" si="13"/>
        <v>CHRISTIAN TAUGNER</v>
      </c>
      <c r="L287" s="6">
        <v>45627</v>
      </c>
      <c r="M287" s="6">
        <v>46174</v>
      </c>
      <c r="N287" s="7">
        <v>129.44</v>
      </c>
      <c r="O287" s="5">
        <f t="shared" si="14"/>
        <v>18</v>
      </c>
      <c r="P287" s="5" t="s">
        <v>1370</v>
      </c>
      <c r="Q287" s="8">
        <v>0.26</v>
      </c>
      <c r="R287" s="5" t="s">
        <v>60</v>
      </c>
      <c r="S287" s="5" t="s">
        <v>61</v>
      </c>
      <c r="T287" s="7">
        <v>33.65</v>
      </c>
      <c r="U287" s="5" t="s">
        <v>1384</v>
      </c>
    </row>
    <row r="288" spans="1:21" s="5" customFormat="1" x14ac:dyDescent="0.25">
      <c r="A288" s="5">
        <v>2023849739</v>
      </c>
      <c r="B288" s="5" t="s">
        <v>770</v>
      </c>
      <c r="C288" s="5" t="s">
        <v>771</v>
      </c>
      <c r="D288" s="5" t="str">
        <f t="shared" si="12"/>
        <v>TERI FOSTER</v>
      </c>
      <c r="E288" s="5" t="s">
        <v>102</v>
      </c>
      <c r="F288" s="5" t="s">
        <v>75</v>
      </c>
      <c r="G288" s="5" t="s">
        <v>76</v>
      </c>
      <c r="H288" s="5">
        <v>20098658</v>
      </c>
      <c r="I288" s="5" t="s">
        <v>770</v>
      </c>
      <c r="J288" s="5" t="s">
        <v>771</v>
      </c>
      <c r="K288" s="5" t="str">
        <f t="shared" si="13"/>
        <v>TERI FOSTER</v>
      </c>
      <c r="L288" s="6">
        <v>45482</v>
      </c>
      <c r="M288" s="6">
        <v>46031</v>
      </c>
      <c r="N288" s="7">
        <v>99.45</v>
      </c>
      <c r="O288" s="5">
        <f t="shared" si="14"/>
        <v>18</v>
      </c>
      <c r="P288" s="5" t="s">
        <v>1370</v>
      </c>
      <c r="Q288" s="8">
        <v>0.1</v>
      </c>
      <c r="R288" s="5" t="s">
        <v>60</v>
      </c>
      <c r="S288" s="5" t="s">
        <v>61</v>
      </c>
      <c r="T288" s="7">
        <v>9.94</v>
      </c>
      <c r="U288" s="5" t="s">
        <v>1371</v>
      </c>
    </row>
    <row r="289" spans="1:21" s="5" customFormat="1" x14ac:dyDescent="0.25">
      <c r="A289" s="5">
        <v>2025991920</v>
      </c>
      <c r="B289" s="5" t="s">
        <v>1011</v>
      </c>
      <c r="C289" s="5" t="s">
        <v>1012</v>
      </c>
      <c r="D289" s="5" t="str">
        <f t="shared" si="12"/>
        <v>YOUSRI ALI</v>
      </c>
      <c r="E289" s="5" t="s">
        <v>102</v>
      </c>
      <c r="F289" s="5" t="s">
        <v>108</v>
      </c>
      <c r="G289" s="5" t="s">
        <v>1002</v>
      </c>
      <c r="H289" s="5">
        <v>19681796</v>
      </c>
      <c r="I289" s="5" t="s">
        <v>361</v>
      </c>
      <c r="J289" s="5" t="s">
        <v>362</v>
      </c>
      <c r="K289" s="5" t="str">
        <f t="shared" si="13"/>
        <v>CHRISTIAN TAUGNER</v>
      </c>
      <c r="L289" s="6">
        <v>45627</v>
      </c>
      <c r="M289" s="6">
        <v>46204</v>
      </c>
      <c r="N289" s="7">
        <v>129.44</v>
      </c>
      <c r="O289" s="5">
        <f t="shared" si="14"/>
        <v>19</v>
      </c>
      <c r="P289" s="5" t="s">
        <v>1370</v>
      </c>
      <c r="Q289" s="8">
        <v>0.26</v>
      </c>
      <c r="R289" s="5" t="s">
        <v>60</v>
      </c>
      <c r="S289" s="5" t="s">
        <v>61</v>
      </c>
      <c r="T289" s="7">
        <v>33.65</v>
      </c>
      <c r="U289" s="5" t="s">
        <v>1384</v>
      </c>
    </row>
    <row r="290" spans="1:21" s="5" customFormat="1" x14ac:dyDescent="0.25">
      <c r="A290" s="5">
        <v>2025991920</v>
      </c>
      <c r="B290" s="5" t="s">
        <v>1011</v>
      </c>
      <c r="C290" s="5" t="s">
        <v>1012</v>
      </c>
      <c r="D290" s="5" t="str">
        <f t="shared" si="12"/>
        <v>YOUSRI ALI</v>
      </c>
      <c r="E290" s="5" t="s">
        <v>102</v>
      </c>
      <c r="F290" s="5" t="s">
        <v>108</v>
      </c>
      <c r="G290" s="5" t="s">
        <v>1002</v>
      </c>
      <c r="H290" s="5">
        <v>19681796</v>
      </c>
      <c r="I290" s="5" t="s">
        <v>361</v>
      </c>
      <c r="J290" s="5" t="s">
        <v>362</v>
      </c>
      <c r="K290" s="5" t="str">
        <f t="shared" si="13"/>
        <v>CHRISTIAN TAUGNER</v>
      </c>
      <c r="L290" s="6">
        <v>45627</v>
      </c>
      <c r="M290" s="6">
        <v>46235</v>
      </c>
      <c r="N290" s="7">
        <v>129.44</v>
      </c>
      <c r="O290" s="5">
        <f t="shared" si="14"/>
        <v>20</v>
      </c>
      <c r="P290" s="5" t="s">
        <v>1370</v>
      </c>
      <c r="Q290" s="8">
        <v>0.26</v>
      </c>
      <c r="R290" s="5" t="s">
        <v>60</v>
      </c>
      <c r="S290" s="5" t="s">
        <v>61</v>
      </c>
      <c r="T290" s="7">
        <v>33.65</v>
      </c>
      <c r="U290" s="5" t="s">
        <v>1384</v>
      </c>
    </row>
    <row r="291" spans="1:21" s="5" customFormat="1" x14ac:dyDescent="0.25">
      <c r="A291" s="5">
        <v>2025991920</v>
      </c>
      <c r="B291" s="5" t="s">
        <v>1011</v>
      </c>
      <c r="C291" s="5" t="s">
        <v>1012</v>
      </c>
      <c r="D291" s="5" t="str">
        <f t="shared" si="12"/>
        <v>YOUSRI ALI</v>
      </c>
      <c r="E291" s="5" t="s">
        <v>102</v>
      </c>
      <c r="F291" s="5" t="s">
        <v>108</v>
      </c>
      <c r="G291" s="5" t="s">
        <v>1002</v>
      </c>
      <c r="H291" s="5">
        <v>19681796</v>
      </c>
      <c r="I291" s="5" t="s">
        <v>361</v>
      </c>
      <c r="J291" s="5" t="s">
        <v>362</v>
      </c>
      <c r="K291" s="5" t="str">
        <f t="shared" si="13"/>
        <v>CHRISTIAN TAUGNER</v>
      </c>
      <c r="L291" s="6">
        <v>45627</v>
      </c>
      <c r="M291" s="6">
        <v>46266</v>
      </c>
      <c r="N291" s="7">
        <v>129.44</v>
      </c>
      <c r="O291" s="5">
        <f t="shared" si="14"/>
        <v>21</v>
      </c>
      <c r="P291" s="5" t="s">
        <v>1370</v>
      </c>
      <c r="Q291" s="8">
        <v>0.26</v>
      </c>
      <c r="R291" s="5" t="s">
        <v>60</v>
      </c>
      <c r="S291" s="5" t="s">
        <v>61</v>
      </c>
      <c r="T291" s="7">
        <v>33.65</v>
      </c>
      <c r="U291" s="5" t="s">
        <v>1384</v>
      </c>
    </row>
    <row r="292" spans="1:21" s="5" customFormat="1" x14ac:dyDescent="0.25">
      <c r="A292" s="5">
        <v>2025991920</v>
      </c>
      <c r="B292" s="5" t="s">
        <v>1011</v>
      </c>
      <c r="C292" s="5" t="s">
        <v>1012</v>
      </c>
      <c r="D292" s="5" t="str">
        <f t="shared" si="12"/>
        <v>YOUSRI ALI</v>
      </c>
      <c r="E292" s="5" t="s">
        <v>102</v>
      </c>
      <c r="F292" s="5" t="s">
        <v>108</v>
      </c>
      <c r="G292" s="5" t="s">
        <v>1002</v>
      </c>
      <c r="H292" s="5">
        <v>19681796</v>
      </c>
      <c r="I292" s="5" t="s">
        <v>361</v>
      </c>
      <c r="J292" s="5" t="s">
        <v>362</v>
      </c>
      <c r="K292" s="5" t="str">
        <f t="shared" si="13"/>
        <v>CHRISTIAN TAUGNER</v>
      </c>
      <c r="L292" s="6">
        <v>45627</v>
      </c>
      <c r="M292" s="6">
        <v>46296</v>
      </c>
      <c r="N292" s="7">
        <v>129.44</v>
      </c>
      <c r="O292" s="5">
        <f t="shared" si="14"/>
        <v>22</v>
      </c>
      <c r="P292" s="5" t="s">
        <v>1370</v>
      </c>
      <c r="Q292" s="8">
        <v>0.26</v>
      </c>
      <c r="R292" s="5" t="s">
        <v>60</v>
      </c>
      <c r="S292" s="5" t="s">
        <v>61</v>
      </c>
      <c r="T292" s="7">
        <v>33.65</v>
      </c>
      <c r="U292" s="5" t="s">
        <v>1384</v>
      </c>
    </row>
    <row r="293" spans="1:21" s="5" customFormat="1" x14ac:dyDescent="0.25">
      <c r="A293" s="5">
        <v>2025991920</v>
      </c>
      <c r="B293" s="5" t="s">
        <v>1011</v>
      </c>
      <c r="C293" s="5" t="s">
        <v>1012</v>
      </c>
      <c r="D293" s="5" t="str">
        <f t="shared" si="12"/>
        <v>YOUSRI ALI</v>
      </c>
      <c r="E293" s="5" t="s">
        <v>102</v>
      </c>
      <c r="F293" s="5" t="s">
        <v>108</v>
      </c>
      <c r="G293" s="5" t="s">
        <v>1002</v>
      </c>
      <c r="H293" s="5">
        <v>19681796</v>
      </c>
      <c r="I293" s="5" t="s">
        <v>361</v>
      </c>
      <c r="J293" s="5" t="s">
        <v>362</v>
      </c>
      <c r="K293" s="5" t="str">
        <f t="shared" si="13"/>
        <v>CHRISTIAN TAUGNER</v>
      </c>
      <c r="L293" s="6">
        <v>45627</v>
      </c>
      <c r="M293" s="6">
        <v>46327</v>
      </c>
      <c r="N293" s="7">
        <v>129.44</v>
      </c>
      <c r="O293" s="5">
        <f t="shared" si="14"/>
        <v>23</v>
      </c>
      <c r="P293" s="5" t="s">
        <v>1370</v>
      </c>
      <c r="Q293" s="8">
        <v>0.26</v>
      </c>
      <c r="R293" s="5" t="s">
        <v>60</v>
      </c>
      <c r="S293" s="5" t="s">
        <v>61</v>
      </c>
      <c r="T293" s="7">
        <v>33.65</v>
      </c>
      <c r="U293" s="5" t="s">
        <v>1384</v>
      </c>
    </row>
    <row r="294" spans="1:21" s="5" customFormat="1" x14ac:dyDescent="0.25">
      <c r="A294" s="5">
        <v>2025991920</v>
      </c>
      <c r="B294" s="5" t="s">
        <v>1011</v>
      </c>
      <c r="C294" s="5" t="s">
        <v>1012</v>
      </c>
      <c r="D294" s="5" t="str">
        <f t="shared" si="12"/>
        <v>YOUSRI ALI</v>
      </c>
      <c r="E294" s="5" t="s">
        <v>102</v>
      </c>
      <c r="F294" s="5" t="s">
        <v>108</v>
      </c>
      <c r="G294" s="5" t="s">
        <v>1002</v>
      </c>
      <c r="H294" s="5">
        <v>19681796</v>
      </c>
      <c r="I294" s="5" t="s">
        <v>361</v>
      </c>
      <c r="J294" s="5" t="s">
        <v>362</v>
      </c>
      <c r="K294" s="5" t="str">
        <f t="shared" si="13"/>
        <v>CHRISTIAN TAUGNER</v>
      </c>
      <c r="L294" s="6">
        <v>45627</v>
      </c>
      <c r="M294" s="6">
        <v>46357</v>
      </c>
      <c r="N294" s="7">
        <v>129.44</v>
      </c>
      <c r="O294" s="5">
        <f t="shared" si="14"/>
        <v>24</v>
      </c>
      <c r="P294" s="5" t="s">
        <v>1370</v>
      </c>
      <c r="Q294" s="8">
        <v>0.26</v>
      </c>
      <c r="R294" s="5" t="s">
        <v>60</v>
      </c>
      <c r="S294" s="5" t="s">
        <v>61</v>
      </c>
      <c r="T294" s="7">
        <v>33.65</v>
      </c>
      <c r="U294" s="5" t="s">
        <v>1384</v>
      </c>
    </row>
    <row r="295" spans="1:21" s="5" customFormat="1" x14ac:dyDescent="0.25">
      <c r="A295" s="5">
        <v>2020623230</v>
      </c>
      <c r="B295" s="5" t="s">
        <v>1251</v>
      </c>
      <c r="C295" s="5" t="s">
        <v>583</v>
      </c>
      <c r="D295" s="5" t="str">
        <f t="shared" si="12"/>
        <v>CHARLES WOLF</v>
      </c>
      <c r="E295" s="5" t="s">
        <v>52</v>
      </c>
      <c r="F295" s="5" t="s">
        <v>169</v>
      </c>
      <c r="G295" s="5" t="s">
        <v>170</v>
      </c>
      <c r="H295" s="5">
        <v>19562245</v>
      </c>
      <c r="I295" s="5" t="s">
        <v>55</v>
      </c>
      <c r="J295" s="5" t="s">
        <v>56</v>
      </c>
      <c r="K295" s="5" t="str">
        <f t="shared" si="13"/>
        <v>KELLY CARRYER</v>
      </c>
      <c r="L295" s="6">
        <v>45292</v>
      </c>
      <c r="M295" s="6">
        <v>46023</v>
      </c>
      <c r="N295" s="7">
        <v>43.59</v>
      </c>
      <c r="O295" s="5">
        <f t="shared" si="14"/>
        <v>24</v>
      </c>
      <c r="P295" s="5" t="s">
        <v>1370</v>
      </c>
      <c r="Q295" s="9">
        <v>5.2499999999999998E-2</v>
      </c>
      <c r="R295" s="5" t="s">
        <v>60</v>
      </c>
      <c r="S295" s="5" t="s">
        <v>61</v>
      </c>
      <c r="T295" s="7">
        <v>2.29</v>
      </c>
      <c r="U295" s="5" t="s">
        <v>170</v>
      </c>
    </row>
    <row r="296" spans="1:21" s="5" customFormat="1" x14ac:dyDescent="0.25">
      <c r="A296" s="5">
        <v>2020799011</v>
      </c>
      <c r="B296" s="5" t="s">
        <v>1253</v>
      </c>
      <c r="C296" s="5" t="s">
        <v>180</v>
      </c>
      <c r="D296" s="5" t="str">
        <f t="shared" si="12"/>
        <v>DONNA BATTAGLIA</v>
      </c>
      <c r="E296" s="5" t="s">
        <v>52</v>
      </c>
      <c r="F296" s="5" t="s">
        <v>169</v>
      </c>
      <c r="G296" s="5" t="s">
        <v>170</v>
      </c>
      <c r="H296" s="5">
        <v>19562245</v>
      </c>
      <c r="I296" s="5" t="s">
        <v>55</v>
      </c>
      <c r="J296" s="5" t="s">
        <v>56</v>
      </c>
      <c r="K296" s="5" t="str">
        <f t="shared" si="13"/>
        <v>KELLY CARRYER</v>
      </c>
      <c r="L296" s="6">
        <v>45292</v>
      </c>
      <c r="M296" s="6">
        <v>46023</v>
      </c>
      <c r="N296" s="7">
        <v>104.08</v>
      </c>
      <c r="O296" s="5">
        <f t="shared" si="14"/>
        <v>24</v>
      </c>
      <c r="P296" s="5" t="s">
        <v>1370</v>
      </c>
      <c r="Q296" s="9">
        <v>5.2499999999999998E-2</v>
      </c>
      <c r="R296" s="5" t="s">
        <v>60</v>
      </c>
      <c r="S296" s="5" t="s">
        <v>61</v>
      </c>
      <c r="T296" s="7">
        <v>5.46</v>
      </c>
      <c r="U296" s="5" t="s">
        <v>170</v>
      </c>
    </row>
    <row r="297" spans="1:21" s="5" customFormat="1" x14ac:dyDescent="0.25">
      <c r="A297" s="5">
        <v>2021350310</v>
      </c>
      <c r="B297" s="5" t="s">
        <v>968</v>
      </c>
      <c r="C297" s="5" t="s">
        <v>519</v>
      </c>
      <c r="D297" s="5" t="str">
        <f t="shared" si="12"/>
        <v>ANTONIO MASSIMINO</v>
      </c>
      <c r="E297" s="5" t="s">
        <v>52</v>
      </c>
      <c r="F297" s="5" t="s">
        <v>86</v>
      </c>
      <c r="G297" s="5" t="s">
        <v>87</v>
      </c>
      <c r="H297" s="5">
        <v>19562245</v>
      </c>
      <c r="I297" s="5" t="s">
        <v>55</v>
      </c>
      <c r="J297" s="5" t="s">
        <v>56</v>
      </c>
      <c r="K297" s="5" t="str">
        <f t="shared" si="13"/>
        <v>KELLY CARRYER</v>
      </c>
      <c r="L297" s="6">
        <v>45301</v>
      </c>
      <c r="M297" s="6">
        <v>46032</v>
      </c>
      <c r="N297" s="7">
        <v>49.98</v>
      </c>
      <c r="O297" s="5">
        <f t="shared" si="14"/>
        <v>24</v>
      </c>
      <c r="P297" s="5" t="s">
        <v>1370</v>
      </c>
      <c r="Q297" s="8">
        <v>0.06</v>
      </c>
      <c r="R297" s="5" t="s">
        <v>60</v>
      </c>
      <c r="S297" s="5" t="s">
        <v>61</v>
      </c>
      <c r="T297" s="7">
        <v>3</v>
      </c>
      <c r="U297" s="5" t="s">
        <v>87</v>
      </c>
    </row>
    <row r="298" spans="1:21" s="5" customFormat="1" x14ac:dyDescent="0.25">
      <c r="A298" s="5">
        <v>2020472287</v>
      </c>
      <c r="B298" s="5" t="s">
        <v>1083</v>
      </c>
      <c r="C298" s="5" t="s">
        <v>999</v>
      </c>
      <c r="D298" s="5" t="str">
        <f t="shared" si="12"/>
        <v>BARBARA BOYD</v>
      </c>
      <c r="E298" s="5" t="s">
        <v>52</v>
      </c>
      <c r="F298" s="5" t="s">
        <v>169</v>
      </c>
      <c r="G298" s="5" t="s">
        <v>170</v>
      </c>
      <c r="H298" s="5">
        <v>19562245</v>
      </c>
      <c r="I298" s="5" t="s">
        <v>55</v>
      </c>
      <c r="J298" s="5" t="s">
        <v>56</v>
      </c>
      <c r="K298" s="5" t="str">
        <f t="shared" si="13"/>
        <v>KELLY CARRYER</v>
      </c>
      <c r="L298" s="6">
        <v>45261</v>
      </c>
      <c r="M298" s="6">
        <v>46023</v>
      </c>
      <c r="N298" s="7">
        <v>33.590000000000003</v>
      </c>
      <c r="O298" s="5">
        <f t="shared" si="14"/>
        <v>25</v>
      </c>
      <c r="P298" s="5" t="s">
        <v>1370</v>
      </c>
      <c r="Q298" s="9">
        <v>5.2499999999999998E-2</v>
      </c>
      <c r="R298" s="5" t="s">
        <v>60</v>
      </c>
      <c r="S298" s="5" t="s">
        <v>61</v>
      </c>
      <c r="T298" s="7">
        <v>1.76</v>
      </c>
      <c r="U298" s="5" t="s">
        <v>170</v>
      </c>
    </row>
    <row r="299" spans="1:21" s="5" customFormat="1" x14ac:dyDescent="0.25">
      <c r="A299" s="5">
        <v>2020478111</v>
      </c>
      <c r="B299" s="5" t="s">
        <v>1249</v>
      </c>
      <c r="C299" s="5" t="s">
        <v>1250</v>
      </c>
      <c r="D299" s="5" t="str">
        <f t="shared" si="12"/>
        <v>JANINE RAUBAUGH</v>
      </c>
      <c r="E299" s="5" t="s">
        <v>52</v>
      </c>
      <c r="F299" s="5" t="s">
        <v>169</v>
      </c>
      <c r="G299" s="5" t="s">
        <v>170</v>
      </c>
      <c r="H299" s="5">
        <v>19562245</v>
      </c>
      <c r="I299" s="5" t="s">
        <v>55</v>
      </c>
      <c r="J299" s="5" t="s">
        <v>56</v>
      </c>
      <c r="K299" s="5" t="str">
        <f t="shared" si="13"/>
        <v>KELLY CARRYER</v>
      </c>
      <c r="L299" s="6">
        <v>45231</v>
      </c>
      <c r="M299" s="6">
        <v>46023</v>
      </c>
      <c r="N299" s="7">
        <v>43.59</v>
      </c>
      <c r="O299" s="5">
        <f t="shared" si="14"/>
        <v>26</v>
      </c>
      <c r="P299" s="5" t="s">
        <v>1370</v>
      </c>
      <c r="Q299" s="9">
        <v>5.2499999999999998E-2</v>
      </c>
      <c r="R299" s="5" t="s">
        <v>60</v>
      </c>
      <c r="S299" s="5" t="s">
        <v>61</v>
      </c>
      <c r="T299" s="7">
        <v>2.29</v>
      </c>
      <c r="U299" s="5" t="s">
        <v>170</v>
      </c>
    </row>
    <row r="300" spans="1:21" s="5" customFormat="1" x14ac:dyDescent="0.25">
      <c r="A300" s="5">
        <v>2020685017</v>
      </c>
      <c r="B300" s="5" t="s">
        <v>965</v>
      </c>
      <c r="C300" s="5" t="s">
        <v>966</v>
      </c>
      <c r="D300" s="5" t="str">
        <f t="shared" si="12"/>
        <v>SHILOH SOMOGIE</v>
      </c>
      <c r="E300" s="5" t="s">
        <v>52</v>
      </c>
      <c r="F300" s="5" t="s">
        <v>86</v>
      </c>
      <c r="G300" s="5" t="s">
        <v>87</v>
      </c>
      <c r="H300" s="5">
        <v>8971826</v>
      </c>
      <c r="I300" s="5" t="s">
        <v>581</v>
      </c>
      <c r="J300" s="5" t="s">
        <v>582</v>
      </c>
      <c r="K300" s="5" t="str">
        <f t="shared" si="13"/>
        <v>SCOTT AGUGLIA</v>
      </c>
      <c r="L300" s="6">
        <v>45237</v>
      </c>
      <c r="M300" s="6">
        <v>46029</v>
      </c>
      <c r="N300" s="7">
        <v>57.29</v>
      </c>
      <c r="O300" s="5">
        <f t="shared" si="14"/>
        <v>26</v>
      </c>
      <c r="P300" s="5" t="s">
        <v>1370</v>
      </c>
      <c r="Q300" s="8">
        <v>0.06</v>
      </c>
      <c r="R300" s="5" t="s">
        <v>60</v>
      </c>
      <c r="S300" s="5" t="s">
        <v>61</v>
      </c>
      <c r="T300" s="7">
        <v>3.44</v>
      </c>
      <c r="U300" s="5" t="s">
        <v>87</v>
      </c>
    </row>
    <row r="301" spans="1:21" s="5" customFormat="1" x14ac:dyDescent="0.25">
      <c r="A301" s="5">
        <v>2020737470</v>
      </c>
      <c r="B301" s="5" t="s">
        <v>1046</v>
      </c>
      <c r="C301" s="5" t="s">
        <v>63</v>
      </c>
      <c r="D301" s="5" t="str">
        <f t="shared" si="12"/>
        <v>RICHARD VULJANIC</v>
      </c>
      <c r="E301" s="5" t="s">
        <v>52</v>
      </c>
      <c r="F301" s="5" t="s">
        <v>126</v>
      </c>
      <c r="G301" s="5" t="s">
        <v>375</v>
      </c>
      <c r="H301" s="5">
        <v>8971826</v>
      </c>
      <c r="I301" s="5" t="s">
        <v>581</v>
      </c>
      <c r="J301" s="5" t="s">
        <v>582</v>
      </c>
      <c r="K301" s="5" t="str">
        <f t="shared" si="13"/>
        <v>SCOTT AGUGLIA</v>
      </c>
      <c r="L301" s="6">
        <v>45240</v>
      </c>
      <c r="M301" s="6">
        <v>46032</v>
      </c>
      <c r="N301" s="7">
        <v>123.44</v>
      </c>
      <c r="O301" s="5">
        <f t="shared" si="14"/>
        <v>26</v>
      </c>
      <c r="P301" s="5" t="s">
        <v>1370</v>
      </c>
      <c r="Q301" s="8">
        <v>0.1</v>
      </c>
      <c r="R301" s="5" t="s">
        <v>60</v>
      </c>
      <c r="S301" s="5" t="s">
        <v>61</v>
      </c>
      <c r="T301" s="7">
        <v>12.34</v>
      </c>
      <c r="U301" s="5" t="s">
        <v>375</v>
      </c>
    </row>
    <row r="302" spans="1:21" s="5" customFormat="1" x14ac:dyDescent="0.25">
      <c r="A302" s="5">
        <v>2020148911</v>
      </c>
      <c r="B302" s="5" t="s">
        <v>1247</v>
      </c>
      <c r="C302" s="5" t="s">
        <v>872</v>
      </c>
      <c r="D302" s="5" t="str">
        <f t="shared" si="12"/>
        <v>SANDRA KLINE</v>
      </c>
      <c r="E302" s="5" t="s">
        <v>52</v>
      </c>
      <c r="F302" s="5" t="s">
        <v>169</v>
      </c>
      <c r="G302" s="5" t="s">
        <v>170</v>
      </c>
      <c r="H302" s="5">
        <v>19562245</v>
      </c>
      <c r="I302" s="5" t="s">
        <v>55</v>
      </c>
      <c r="J302" s="5" t="s">
        <v>56</v>
      </c>
      <c r="K302" s="5" t="str">
        <f t="shared" si="13"/>
        <v>KELLY CARRYER</v>
      </c>
      <c r="L302" s="6">
        <v>45200</v>
      </c>
      <c r="M302" s="6">
        <v>46023</v>
      </c>
      <c r="N302" s="7">
        <v>30.23</v>
      </c>
      <c r="O302" s="5">
        <f t="shared" si="14"/>
        <v>27</v>
      </c>
      <c r="P302" s="5" t="s">
        <v>1370</v>
      </c>
      <c r="Q302" s="9">
        <v>5.2499999999999998E-2</v>
      </c>
      <c r="R302" s="5" t="s">
        <v>60</v>
      </c>
      <c r="S302" s="5" t="s">
        <v>61</v>
      </c>
      <c r="T302" s="7">
        <v>1.59</v>
      </c>
      <c r="U302" s="5" t="s">
        <v>170</v>
      </c>
    </row>
    <row r="303" spans="1:21" s="5" customFormat="1" x14ac:dyDescent="0.25">
      <c r="A303" s="5">
        <v>2019958314</v>
      </c>
      <c r="B303" s="5" t="s">
        <v>963</v>
      </c>
      <c r="C303" s="5" t="s">
        <v>964</v>
      </c>
      <c r="D303" s="5" t="str">
        <f t="shared" si="12"/>
        <v>NIKKI SPALARIS</v>
      </c>
      <c r="E303" s="5" t="s">
        <v>52</v>
      </c>
      <c r="F303" s="5" t="s">
        <v>86</v>
      </c>
      <c r="G303" s="5" t="s">
        <v>87</v>
      </c>
      <c r="H303" s="5">
        <v>19562245</v>
      </c>
      <c r="I303" s="5" t="s">
        <v>55</v>
      </c>
      <c r="J303" s="5" t="s">
        <v>56</v>
      </c>
      <c r="K303" s="5" t="str">
        <f t="shared" si="13"/>
        <v>KELLY CARRYER</v>
      </c>
      <c r="L303" s="6">
        <v>45175</v>
      </c>
      <c r="M303" s="6">
        <v>46028</v>
      </c>
      <c r="N303" s="7">
        <v>49.12</v>
      </c>
      <c r="O303" s="5">
        <f t="shared" si="14"/>
        <v>28</v>
      </c>
      <c r="P303" s="5" t="s">
        <v>1370</v>
      </c>
      <c r="Q303" s="8">
        <v>0.06</v>
      </c>
      <c r="R303" s="5" t="s">
        <v>60</v>
      </c>
      <c r="S303" s="5" t="s">
        <v>61</v>
      </c>
      <c r="T303" s="7">
        <v>2.95</v>
      </c>
      <c r="U303" s="5" t="s">
        <v>87</v>
      </c>
    </row>
    <row r="304" spans="1:21" s="5" customFormat="1" x14ac:dyDescent="0.25">
      <c r="A304" s="5">
        <v>2018908125</v>
      </c>
      <c r="B304" s="5" t="s">
        <v>1240</v>
      </c>
      <c r="C304" s="5" t="s">
        <v>500</v>
      </c>
      <c r="D304" s="5" t="str">
        <f t="shared" si="12"/>
        <v>HEIDI RUEFENACHT</v>
      </c>
      <c r="E304" s="5" t="s">
        <v>52</v>
      </c>
      <c r="F304" s="5" t="s">
        <v>169</v>
      </c>
      <c r="G304" s="5" t="s">
        <v>170</v>
      </c>
      <c r="H304" s="5">
        <v>19562245</v>
      </c>
      <c r="I304" s="5" t="s">
        <v>55</v>
      </c>
      <c r="J304" s="5" t="s">
        <v>56</v>
      </c>
      <c r="K304" s="5" t="str">
        <f t="shared" si="13"/>
        <v>KELLY CARRYER</v>
      </c>
      <c r="L304" s="6">
        <v>45108</v>
      </c>
      <c r="M304" s="6">
        <v>46023</v>
      </c>
      <c r="N304" s="7">
        <v>48.22</v>
      </c>
      <c r="O304" s="5">
        <f t="shared" si="14"/>
        <v>30</v>
      </c>
      <c r="P304" s="5" t="s">
        <v>1370</v>
      </c>
      <c r="Q304" s="9">
        <v>5.2499999999999998E-2</v>
      </c>
      <c r="R304" s="5" t="s">
        <v>60</v>
      </c>
      <c r="S304" s="5" t="s">
        <v>61</v>
      </c>
      <c r="T304" s="7">
        <v>2.5299999999999998</v>
      </c>
      <c r="U304" s="5" t="s">
        <v>170</v>
      </c>
    </row>
    <row r="305" spans="1:21" s="5" customFormat="1" x14ac:dyDescent="0.25">
      <c r="A305" s="5">
        <v>2019101129</v>
      </c>
      <c r="B305" s="5" t="s">
        <v>931</v>
      </c>
      <c r="C305" s="5" t="s">
        <v>137</v>
      </c>
      <c r="D305" s="5" t="str">
        <f t="shared" si="12"/>
        <v>JAMES MILLER</v>
      </c>
      <c r="E305" s="5" t="s">
        <v>52</v>
      </c>
      <c r="F305" s="5" t="s">
        <v>169</v>
      </c>
      <c r="G305" s="5" t="s">
        <v>170</v>
      </c>
      <c r="H305" s="5">
        <v>19562245</v>
      </c>
      <c r="I305" s="5" t="s">
        <v>55</v>
      </c>
      <c r="J305" s="5" t="s">
        <v>56</v>
      </c>
      <c r="K305" s="5" t="str">
        <f t="shared" si="13"/>
        <v>KELLY CARRYER</v>
      </c>
      <c r="L305" s="6">
        <v>45108</v>
      </c>
      <c r="M305" s="6">
        <v>46023</v>
      </c>
      <c r="N305" s="7">
        <v>43.59</v>
      </c>
      <c r="O305" s="5">
        <f t="shared" si="14"/>
        <v>30</v>
      </c>
      <c r="P305" s="5" t="s">
        <v>1370</v>
      </c>
      <c r="Q305" s="9">
        <v>5.2499999999999998E-2</v>
      </c>
      <c r="R305" s="5" t="s">
        <v>60</v>
      </c>
      <c r="S305" s="5" t="s">
        <v>61</v>
      </c>
      <c r="T305" s="7">
        <v>2.29</v>
      </c>
      <c r="U305" s="5" t="s">
        <v>170</v>
      </c>
    </row>
    <row r="306" spans="1:21" s="5" customFormat="1" x14ac:dyDescent="0.25">
      <c r="A306" s="5">
        <v>2018439351</v>
      </c>
      <c r="B306" s="5" t="s">
        <v>49</v>
      </c>
      <c r="C306" s="5" t="s">
        <v>50</v>
      </c>
      <c r="D306" s="5" t="str">
        <f t="shared" si="12"/>
        <v>BILL PIENIADZ</v>
      </c>
      <c r="E306" s="5" t="s">
        <v>52</v>
      </c>
      <c r="F306" s="5" t="s">
        <v>169</v>
      </c>
      <c r="G306" s="5" t="s">
        <v>170</v>
      </c>
      <c r="H306" s="5">
        <v>19562245</v>
      </c>
      <c r="I306" s="5" t="s">
        <v>55</v>
      </c>
      <c r="J306" s="5" t="s">
        <v>56</v>
      </c>
      <c r="K306" s="5" t="str">
        <f t="shared" si="13"/>
        <v>KELLY CARRYER</v>
      </c>
      <c r="L306" s="6">
        <v>45047</v>
      </c>
      <c r="M306" s="6">
        <v>46023</v>
      </c>
      <c r="N306" s="7">
        <v>92.61</v>
      </c>
      <c r="O306" s="5">
        <f t="shared" si="14"/>
        <v>32</v>
      </c>
      <c r="P306" s="5" t="s">
        <v>1370</v>
      </c>
      <c r="Q306" s="9">
        <v>5.2499999999999998E-2</v>
      </c>
      <c r="R306" s="5" t="s">
        <v>60</v>
      </c>
      <c r="S306" s="5" t="s">
        <v>61</v>
      </c>
      <c r="T306" s="7">
        <v>4.8600000000000003</v>
      </c>
      <c r="U306" s="5" t="s">
        <v>170</v>
      </c>
    </row>
    <row r="307" spans="1:21" s="5" customFormat="1" x14ac:dyDescent="0.25">
      <c r="A307" s="5">
        <v>2018472291</v>
      </c>
      <c r="B307" s="5" t="s">
        <v>727</v>
      </c>
      <c r="C307" s="5" t="s">
        <v>393</v>
      </c>
      <c r="D307" s="5" t="str">
        <f t="shared" si="12"/>
        <v>KATHY POPA</v>
      </c>
      <c r="E307" s="5" t="s">
        <v>52</v>
      </c>
      <c r="F307" s="5" t="s">
        <v>169</v>
      </c>
      <c r="G307" s="5" t="s">
        <v>170</v>
      </c>
      <c r="H307" s="5">
        <v>19562245</v>
      </c>
      <c r="I307" s="5" t="s">
        <v>55</v>
      </c>
      <c r="J307" s="5" t="s">
        <v>56</v>
      </c>
      <c r="K307" s="5" t="str">
        <f t="shared" si="13"/>
        <v>KELLY CARRYER</v>
      </c>
      <c r="L307" s="6">
        <v>45047</v>
      </c>
      <c r="M307" s="6">
        <v>46023</v>
      </c>
      <c r="N307" s="7">
        <v>87.31</v>
      </c>
      <c r="O307" s="5">
        <f t="shared" si="14"/>
        <v>32</v>
      </c>
      <c r="P307" s="5" t="s">
        <v>1370</v>
      </c>
      <c r="Q307" s="9">
        <v>5.2499999999999998E-2</v>
      </c>
      <c r="R307" s="5" t="s">
        <v>60</v>
      </c>
      <c r="S307" s="5" t="s">
        <v>61</v>
      </c>
      <c r="T307" s="7">
        <v>4.58</v>
      </c>
      <c r="U307" s="5" t="s">
        <v>170</v>
      </c>
    </row>
    <row r="308" spans="1:21" s="5" customFormat="1" x14ac:dyDescent="0.25">
      <c r="A308" s="5">
        <v>2018522516</v>
      </c>
      <c r="B308" s="5" t="s">
        <v>1094</v>
      </c>
      <c r="C308" s="5" t="s">
        <v>1238</v>
      </c>
      <c r="D308" s="5" t="str">
        <f t="shared" si="12"/>
        <v>LAWRENCE III</v>
      </c>
      <c r="E308" s="5" t="s">
        <v>52</v>
      </c>
      <c r="F308" s="5" t="s">
        <v>169</v>
      </c>
      <c r="G308" s="5" t="s">
        <v>170</v>
      </c>
      <c r="H308" s="5">
        <v>19562245</v>
      </c>
      <c r="I308" s="5" t="s">
        <v>55</v>
      </c>
      <c r="J308" s="5" t="s">
        <v>56</v>
      </c>
      <c r="K308" s="5" t="str">
        <f t="shared" si="13"/>
        <v>KELLY CARRYER</v>
      </c>
      <c r="L308" s="6">
        <v>45048</v>
      </c>
      <c r="M308" s="6">
        <v>46024</v>
      </c>
      <c r="N308" s="7">
        <v>50.6</v>
      </c>
      <c r="O308" s="5">
        <f t="shared" si="14"/>
        <v>32</v>
      </c>
      <c r="P308" s="5" t="s">
        <v>1370</v>
      </c>
      <c r="Q308" s="9">
        <v>5.2499999999999998E-2</v>
      </c>
      <c r="R308" s="5" t="s">
        <v>60</v>
      </c>
      <c r="S308" s="5" t="s">
        <v>61</v>
      </c>
      <c r="T308" s="7">
        <v>2.66</v>
      </c>
      <c r="U308" s="5" t="s">
        <v>170</v>
      </c>
    </row>
    <row r="309" spans="1:21" s="5" customFormat="1" x14ac:dyDescent="0.25">
      <c r="A309" s="5">
        <v>2018472292</v>
      </c>
      <c r="B309" s="5" t="s">
        <v>727</v>
      </c>
      <c r="C309" s="5" t="s">
        <v>393</v>
      </c>
      <c r="D309" s="5" t="str">
        <f t="shared" si="12"/>
        <v>KATHY POPA</v>
      </c>
      <c r="E309" s="5" t="s">
        <v>52</v>
      </c>
      <c r="F309" s="5" t="s">
        <v>53</v>
      </c>
      <c r="G309" s="5" t="s">
        <v>726</v>
      </c>
      <c r="H309" s="5">
        <v>19562245</v>
      </c>
      <c r="I309" s="5" t="s">
        <v>55</v>
      </c>
      <c r="J309" s="5" t="s">
        <v>56</v>
      </c>
      <c r="K309" s="5" t="str">
        <f t="shared" si="13"/>
        <v>KELLY CARRYER</v>
      </c>
      <c r="L309" s="6">
        <v>45047</v>
      </c>
      <c r="M309" s="6">
        <v>46023</v>
      </c>
      <c r="N309" s="7">
        <v>97.45</v>
      </c>
      <c r="O309" s="5">
        <f t="shared" si="14"/>
        <v>32</v>
      </c>
      <c r="P309" s="5" t="s">
        <v>1370</v>
      </c>
      <c r="Q309" s="9">
        <v>6.5000000000000002E-2</v>
      </c>
      <c r="R309" s="5" t="s">
        <v>60</v>
      </c>
      <c r="S309" s="5" t="s">
        <v>61</v>
      </c>
      <c r="T309" s="7">
        <v>6.33</v>
      </c>
      <c r="U309" s="5" t="s">
        <v>726</v>
      </c>
    </row>
    <row r="310" spans="1:21" s="5" customFormat="1" x14ac:dyDescent="0.25">
      <c r="A310" s="5">
        <v>2018439352</v>
      </c>
      <c r="B310" s="5" t="s">
        <v>49</v>
      </c>
      <c r="C310" s="5" t="s">
        <v>50</v>
      </c>
      <c r="D310" s="5" t="str">
        <f t="shared" si="12"/>
        <v>BILL PIENIADZ</v>
      </c>
      <c r="E310" s="5" t="s">
        <v>52</v>
      </c>
      <c r="F310" s="5" t="s">
        <v>53</v>
      </c>
      <c r="G310" s="5" t="s">
        <v>54</v>
      </c>
      <c r="H310" s="5">
        <v>19562245</v>
      </c>
      <c r="I310" s="5" t="s">
        <v>55</v>
      </c>
      <c r="J310" s="5" t="s">
        <v>56</v>
      </c>
      <c r="K310" s="5" t="str">
        <f t="shared" si="13"/>
        <v>KELLY CARRYER</v>
      </c>
      <c r="L310" s="6">
        <v>45047</v>
      </c>
      <c r="M310" s="6">
        <v>46023</v>
      </c>
      <c r="N310" s="7">
        <v>75.75</v>
      </c>
      <c r="O310" s="5">
        <f t="shared" si="14"/>
        <v>32</v>
      </c>
      <c r="P310" s="5" t="s">
        <v>1370</v>
      </c>
      <c r="Q310" s="9">
        <v>6.5000000000000002E-2</v>
      </c>
      <c r="R310" s="5" t="s">
        <v>60</v>
      </c>
      <c r="S310" s="5" t="s">
        <v>61</v>
      </c>
      <c r="T310" s="7">
        <v>4.92</v>
      </c>
      <c r="U310" s="5" t="s">
        <v>54</v>
      </c>
    </row>
    <row r="311" spans="1:21" s="5" customFormat="1" x14ac:dyDescent="0.25">
      <c r="A311" s="5">
        <v>2017624589</v>
      </c>
      <c r="B311" s="5" t="s">
        <v>725</v>
      </c>
      <c r="C311" s="5" t="s">
        <v>137</v>
      </c>
      <c r="D311" s="5" t="str">
        <f t="shared" si="12"/>
        <v>JAMES LIPPOLIS</v>
      </c>
      <c r="E311" s="5" t="s">
        <v>52</v>
      </c>
      <c r="F311" s="5" t="s">
        <v>86</v>
      </c>
      <c r="G311" s="5" t="s">
        <v>87</v>
      </c>
      <c r="H311" s="5">
        <v>16509456</v>
      </c>
      <c r="I311" s="5" t="s">
        <v>235</v>
      </c>
      <c r="J311" s="5" t="s">
        <v>236</v>
      </c>
      <c r="K311" s="5" t="str">
        <f t="shared" si="13"/>
        <v>PETER RICHTER</v>
      </c>
      <c r="L311" s="6">
        <v>44967</v>
      </c>
      <c r="M311" s="6">
        <v>46032</v>
      </c>
      <c r="N311" s="7">
        <v>53.08</v>
      </c>
      <c r="O311" s="5">
        <f t="shared" si="14"/>
        <v>35</v>
      </c>
      <c r="P311" s="5" t="s">
        <v>1370</v>
      </c>
      <c r="Q311" s="8">
        <v>0.06</v>
      </c>
      <c r="R311" s="5" t="s">
        <v>60</v>
      </c>
      <c r="S311" s="5" t="s">
        <v>61</v>
      </c>
      <c r="T311" s="7">
        <v>3.18</v>
      </c>
      <c r="U311" s="5" t="s">
        <v>87</v>
      </c>
    </row>
    <row r="312" spans="1:21" s="5" customFormat="1" x14ac:dyDescent="0.25">
      <c r="A312" s="5">
        <v>2017624587</v>
      </c>
      <c r="B312" s="5" t="s">
        <v>725</v>
      </c>
      <c r="C312" s="5" t="s">
        <v>137</v>
      </c>
      <c r="D312" s="5" t="str">
        <f t="shared" si="12"/>
        <v>JAMES LIPPOLIS</v>
      </c>
      <c r="E312" s="5" t="s">
        <v>52</v>
      </c>
      <c r="F312" s="5" t="s">
        <v>53</v>
      </c>
      <c r="G312" s="5" t="s">
        <v>726</v>
      </c>
      <c r="H312" s="5">
        <v>16509456</v>
      </c>
      <c r="I312" s="5" t="s">
        <v>235</v>
      </c>
      <c r="J312" s="5" t="s">
        <v>236</v>
      </c>
      <c r="K312" s="5" t="str">
        <f t="shared" si="13"/>
        <v>PETER RICHTER</v>
      </c>
      <c r="L312" s="6">
        <v>44967</v>
      </c>
      <c r="M312" s="6">
        <v>46032</v>
      </c>
      <c r="N312" s="7">
        <v>61.81</v>
      </c>
      <c r="O312" s="5">
        <f t="shared" si="14"/>
        <v>35</v>
      </c>
      <c r="P312" s="5" t="s">
        <v>1370</v>
      </c>
      <c r="Q312" s="9">
        <v>6.5000000000000002E-2</v>
      </c>
      <c r="R312" s="5" t="s">
        <v>60</v>
      </c>
      <c r="S312" s="5" t="s">
        <v>61</v>
      </c>
      <c r="T312" s="7">
        <v>4.0199999999999996</v>
      </c>
      <c r="U312" s="5" t="s">
        <v>726</v>
      </c>
    </row>
    <row r="313" spans="1:21" s="5" customFormat="1" x14ac:dyDescent="0.25">
      <c r="A313" s="5">
        <v>2017003447</v>
      </c>
      <c r="B313" s="5" t="s">
        <v>959</v>
      </c>
      <c r="C313" s="5" t="s">
        <v>71</v>
      </c>
      <c r="D313" s="5" t="str">
        <f t="shared" si="12"/>
        <v>JOHN ROGALSKY</v>
      </c>
      <c r="E313" s="5" t="s">
        <v>52</v>
      </c>
      <c r="F313" s="5" t="s">
        <v>86</v>
      </c>
      <c r="G313" s="5" t="s">
        <v>87</v>
      </c>
      <c r="H313" s="5">
        <v>16509456</v>
      </c>
      <c r="I313" s="5" t="s">
        <v>235</v>
      </c>
      <c r="J313" s="5" t="s">
        <v>236</v>
      </c>
      <c r="K313" s="5" t="str">
        <f t="shared" si="13"/>
        <v>PETER RICHTER</v>
      </c>
      <c r="L313" s="6">
        <v>44902</v>
      </c>
      <c r="M313" s="6">
        <v>46029</v>
      </c>
      <c r="N313" s="7">
        <v>39.979999999999997</v>
      </c>
      <c r="O313" s="5">
        <f t="shared" si="14"/>
        <v>37</v>
      </c>
      <c r="P313" s="5" t="s">
        <v>1370</v>
      </c>
      <c r="Q313" s="8">
        <v>0.06</v>
      </c>
      <c r="R313" s="5" t="s">
        <v>60</v>
      </c>
      <c r="S313" s="5" t="s">
        <v>61</v>
      </c>
      <c r="T313" s="7">
        <v>2.4</v>
      </c>
      <c r="U313" s="5" t="s">
        <v>87</v>
      </c>
    </row>
    <row r="314" spans="1:21" x14ac:dyDescent="0.25">
      <c r="A314">
        <v>2032389017</v>
      </c>
      <c r="B314" t="s">
        <v>631</v>
      </c>
      <c r="C314" t="s">
        <v>175</v>
      </c>
      <c r="D314" t="str">
        <f t="shared" si="12"/>
        <v>LISA BLASSINGALE</v>
      </c>
      <c r="E314" t="s">
        <v>52</v>
      </c>
      <c r="F314" t="s">
        <v>365</v>
      </c>
      <c r="G314" t="s">
        <v>366</v>
      </c>
      <c r="H314">
        <v>17425766</v>
      </c>
      <c r="I314" t="s">
        <v>88</v>
      </c>
      <c r="J314" t="s">
        <v>89</v>
      </c>
      <c r="K314" t="str">
        <f t="shared" si="13"/>
        <v>CAROL FOLEY</v>
      </c>
      <c r="L314" s="1">
        <v>46023</v>
      </c>
      <c r="M314" s="1">
        <v>46054</v>
      </c>
      <c r="N314" s="2">
        <v>-53.16</v>
      </c>
      <c r="O314">
        <f t="shared" si="14"/>
        <v>1</v>
      </c>
      <c r="P314" t="s">
        <v>1370</v>
      </c>
      <c r="Q314" s="4">
        <v>0.38</v>
      </c>
      <c r="R314" t="s">
        <v>83</v>
      </c>
      <c r="S314" t="s">
        <v>61</v>
      </c>
      <c r="T314" s="2">
        <v>-20.2</v>
      </c>
      <c r="U314" t="s">
        <v>366</v>
      </c>
    </row>
    <row r="315" spans="1:21" x14ac:dyDescent="0.25">
      <c r="A315">
        <v>2032389018</v>
      </c>
      <c r="B315" t="s">
        <v>631</v>
      </c>
      <c r="C315" t="s">
        <v>175</v>
      </c>
      <c r="D315" t="str">
        <f t="shared" si="12"/>
        <v>LISA BLASSINGALE</v>
      </c>
      <c r="E315" t="s">
        <v>52</v>
      </c>
      <c r="F315" t="s">
        <v>86</v>
      </c>
      <c r="G315" t="s">
        <v>87</v>
      </c>
      <c r="H315">
        <v>17425766</v>
      </c>
      <c r="I315" t="s">
        <v>88</v>
      </c>
      <c r="J315" t="s">
        <v>89</v>
      </c>
      <c r="K315" t="str">
        <f t="shared" si="13"/>
        <v>CAROL FOLEY</v>
      </c>
      <c r="L315" s="1">
        <v>46023</v>
      </c>
      <c r="M315" s="1">
        <v>46054</v>
      </c>
      <c r="N315" s="2">
        <v>-45.42</v>
      </c>
      <c r="O315">
        <f t="shared" si="14"/>
        <v>1</v>
      </c>
      <c r="P315" t="s">
        <v>1370</v>
      </c>
      <c r="Q315" s="3">
        <v>0.375</v>
      </c>
      <c r="R315" t="s">
        <v>83</v>
      </c>
      <c r="S315" t="s">
        <v>61</v>
      </c>
      <c r="T315" s="2">
        <v>-17.03</v>
      </c>
      <c r="U315" t="s">
        <v>87</v>
      </c>
    </row>
    <row r="316" spans="1:21" x14ac:dyDescent="0.25">
      <c r="A316">
        <v>2032018945</v>
      </c>
      <c r="B316" t="s">
        <v>737</v>
      </c>
      <c r="C316" t="s">
        <v>738</v>
      </c>
      <c r="D316" t="str">
        <f t="shared" si="12"/>
        <v>MELINDA BERZONSKI</v>
      </c>
      <c r="E316" t="s">
        <v>52</v>
      </c>
      <c r="F316" t="s">
        <v>53</v>
      </c>
      <c r="G316" t="s">
        <v>54</v>
      </c>
      <c r="H316">
        <v>20411454</v>
      </c>
      <c r="I316" t="s">
        <v>358</v>
      </c>
      <c r="J316" t="s">
        <v>231</v>
      </c>
      <c r="K316" t="s">
        <v>1377</v>
      </c>
      <c r="L316" s="1">
        <v>45968</v>
      </c>
      <c r="M316" s="1">
        <v>46029</v>
      </c>
      <c r="N316" s="2">
        <v>8.49</v>
      </c>
      <c r="O316">
        <f t="shared" si="14"/>
        <v>2</v>
      </c>
      <c r="P316" t="s">
        <v>1370</v>
      </c>
      <c r="Q316" s="4">
        <v>0.2</v>
      </c>
      <c r="R316" t="s">
        <v>83</v>
      </c>
      <c r="S316" t="s">
        <v>61</v>
      </c>
      <c r="T316" s="2">
        <v>8.49</v>
      </c>
      <c r="U316" t="s">
        <v>1376</v>
      </c>
    </row>
    <row r="317" spans="1:21" x14ac:dyDescent="0.25">
      <c r="A317">
        <v>2031949601</v>
      </c>
      <c r="B317" t="s">
        <v>1196</v>
      </c>
      <c r="C317" t="s">
        <v>1197</v>
      </c>
      <c r="D317" t="str">
        <f t="shared" si="12"/>
        <v>DESEREE PADILLA</v>
      </c>
      <c r="E317" t="s">
        <v>97</v>
      </c>
      <c r="F317" t="s">
        <v>126</v>
      </c>
      <c r="G317" t="s">
        <v>402</v>
      </c>
      <c r="H317">
        <v>21435997</v>
      </c>
      <c r="I317" t="s">
        <v>224</v>
      </c>
      <c r="J317" t="s">
        <v>225</v>
      </c>
      <c r="K317" t="str">
        <f t="shared" ref="K317:K380" si="15">CONCATENATE(J317," ",I317)</f>
        <v>Christopher Brousseau</v>
      </c>
      <c r="L317" s="1">
        <v>45969</v>
      </c>
      <c r="M317" s="1">
        <v>46030</v>
      </c>
      <c r="N317" s="2">
        <v>13.18</v>
      </c>
      <c r="O317">
        <f t="shared" si="14"/>
        <v>2</v>
      </c>
      <c r="P317" t="s">
        <v>1370</v>
      </c>
      <c r="Q317" s="4">
        <v>0.42</v>
      </c>
      <c r="R317" t="s">
        <v>83</v>
      </c>
      <c r="S317" t="s">
        <v>61</v>
      </c>
      <c r="T317" s="2">
        <v>5.54</v>
      </c>
      <c r="U317" t="s">
        <v>402</v>
      </c>
    </row>
    <row r="318" spans="1:21" x14ac:dyDescent="0.25">
      <c r="A318">
        <v>2032071365</v>
      </c>
      <c r="B318" t="s">
        <v>1209</v>
      </c>
      <c r="C318" t="s">
        <v>1210</v>
      </c>
      <c r="D318" t="str">
        <f t="shared" si="12"/>
        <v>JONATHAN LIGHTFOOT</v>
      </c>
      <c r="E318" t="s">
        <v>97</v>
      </c>
      <c r="F318" t="s">
        <v>126</v>
      </c>
      <c r="G318" t="s">
        <v>132</v>
      </c>
      <c r="H318">
        <v>21435997</v>
      </c>
      <c r="I318" t="s">
        <v>224</v>
      </c>
      <c r="J318" t="s">
        <v>225</v>
      </c>
      <c r="K318" t="str">
        <f t="shared" si="15"/>
        <v>Christopher Brousseau</v>
      </c>
      <c r="L318" s="1">
        <v>45972</v>
      </c>
      <c r="M318" s="1">
        <v>46033</v>
      </c>
      <c r="N318" s="2">
        <v>89.52</v>
      </c>
      <c r="O318">
        <f t="shared" si="14"/>
        <v>2</v>
      </c>
      <c r="P318" t="s">
        <v>1370</v>
      </c>
      <c r="Q318" s="4">
        <v>0.7</v>
      </c>
      <c r="R318" t="s">
        <v>83</v>
      </c>
      <c r="S318" t="s">
        <v>61</v>
      </c>
      <c r="T318" s="2">
        <v>62.66</v>
      </c>
      <c r="U318" t="s">
        <v>132</v>
      </c>
    </row>
    <row r="319" spans="1:21" x14ac:dyDescent="0.25">
      <c r="A319">
        <v>2032077734</v>
      </c>
      <c r="B319" t="s">
        <v>1215</v>
      </c>
      <c r="C319" t="s">
        <v>1216</v>
      </c>
      <c r="D319" t="str">
        <f t="shared" si="12"/>
        <v>CHRISTY DALY</v>
      </c>
      <c r="E319" t="s">
        <v>97</v>
      </c>
      <c r="F319" t="s">
        <v>126</v>
      </c>
      <c r="G319" t="s">
        <v>132</v>
      </c>
      <c r="H319">
        <v>21435997</v>
      </c>
      <c r="I319" t="s">
        <v>224</v>
      </c>
      <c r="J319" t="s">
        <v>225</v>
      </c>
      <c r="K319" t="str">
        <f t="shared" si="15"/>
        <v>Christopher Brousseau</v>
      </c>
      <c r="L319" s="1">
        <v>45972</v>
      </c>
      <c r="M319" s="1">
        <v>46033</v>
      </c>
      <c r="N319" s="2">
        <v>89.52</v>
      </c>
      <c r="O319">
        <f t="shared" si="14"/>
        <v>2</v>
      </c>
      <c r="P319" t="s">
        <v>1370</v>
      </c>
      <c r="Q319" s="4">
        <v>0.7</v>
      </c>
      <c r="R319" t="s">
        <v>83</v>
      </c>
      <c r="S319" t="s">
        <v>61</v>
      </c>
      <c r="T319" s="2">
        <v>62.66</v>
      </c>
      <c r="U319" t="s">
        <v>132</v>
      </c>
    </row>
    <row r="320" spans="1:21" x14ac:dyDescent="0.25">
      <c r="A320">
        <v>2031949600</v>
      </c>
      <c r="B320" t="s">
        <v>1196</v>
      </c>
      <c r="C320" t="s">
        <v>1197</v>
      </c>
      <c r="D320" t="str">
        <f t="shared" si="12"/>
        <v>DESEREE PADILLA</v>
      </c>
      <c r="E320" t="s">
        <v>97</v>
      </c>
      <c r="F320" t="s">
        <v>126</v>
      </c>
      <c r="G320" t="s">
        <v>132</v>
      </c>
      <c r="H320">
        <v>21435997</v>
      </c>
      <c r="I320" t="s">
        <v>224</v>
      </c>
      <c r="J320" t="s">
        <v>225</v>
      </c>
      <c r="K320" t="str">
        <f t="shared" si="15"/>
        <v>Christopher Brousseau</v>
      </c>
      <c r="L320" s="1">
        <v>45969</v>
      </c>
      <c r="M320" s="1">
        <v>46030</v>
      </c>
      <c r="N320" s="2">
        <v>28.38</v>
      </c>
      <c r="O320">
        <f t="shared" si="14"/>
        <v>2</v>
      </c>
      <c r="P320" t="s">
        <v>1370</v>
      </c>
      <c r="Q320" s="4">
        <v>0.7</v>
      </c>
      <c r="R320" t="s">
        <v>83</v>
      </c>
      <c r="S320" t="s">
        <v>61</v>
      </c>
      <c r="T320" s="2">
        <v>19.87</v>
      </c>
      <c r="U320" t="s">
        <v>132</v>
      </c>
    </row>
    <row r="321" spans="1:21" x14ac:dyDescent="0.25">
      <c r="A321">
        <v>2032009822</v>
      </c>
      <c r="B321" t="s">
        <v>293</v>
      </c>
      <c r="C321" t="s">
        <v>932</v>
      </c>
      <c r="D321" t="str">
        <f t="shared" si="12"/>
        <v>SETH JOHNSON</v>
      </c>
      <c r="E321" t="s">
        <v>386</v>
      </c>
      <c r="F321" t="s">
        <v>75</v>
      </c>
      <c r="G321" t="s">
        <v>243</v>
      </c>
      <c r="H321">
        <v>3333476</v>
      </c>
      <c r="I321" t="s">
        <v>340</v>
      </c>
      <c r="J321" t="s">
        <v>341</v>
      </c>
      <c r="K321" t="str">
        <f t="shared" si="15"/>
        <v>Colleen Jerger</v>
      </c>
      <c r="L321" s="1">
        <v>45967</v>
      </c>
      <c r="M321" s="1">
        <v>46028</v>
      </c>
      <c r="N321" s="2">
        <v>24.1</v>
      </c>
      <c r="O321">
        <f t="shared" si="14"/>
        <v>2</v>
      </c>
      <c r="P321" t="s">
        <v>1370</v>
      </c>
      <c r="Q321" s="4">
        <v>0.75</v>
      </c>
      <c r="R321" t="s">
        <v>83</v>
      </c>
      <c r="S321" t="s">
        <v>61</v>
      </c>
      <c r="T321" s="2">
        <v>18.079999999999998</v>
      </c>
      <c r="U321" t="s">
        <v>1371</v>
      </c>
    </row>
    <row r="322" spans="1:21" x14ac:dyDescent="0.25">
      <c r="A322">
        <v>2032009821</v>
      </c>
      <c r="B322" t="s">
        <v>293</v>
      </c>
      <c r="C322" t="s">
        <v>932</v>
      </c>
      <c r="D322" t="str">
        <f t="shared" ref="D322:D385" si="16">CONCATENATE(C322," ",B322)</f>
        <v>SETH JOHNSON</v>
      </c>
      <c r="E322" t="s">
        <v>386</v>
      </c>
      <c r="F322" t="s">
        <v>126</v>
      </c>
      <c r="G322" t="s">
        <v>132</v>
      </c>
      <c r="H322">
        <v>3333476</v>
      </c>
      <c r="I322" t="s">
        <v>340</v>
      </c>
      <c r="J322" t="s">
        <v>341</v>
      </c>
      <c r="K322" t="str">
        <f t="shared" si="15"/>
        <v>Colleen Jerger</v>
      </c>
      <c r="L322" s="1">
        <v>45967</v>
      </c>
      <c r="M322" s="1">
        <v>46028</v>
      </c>
      <c r="N322" s="2">
        <v>72.48</v>
      </c>
      <c r="O322">
        <f t="shared" ref="O322:O385" si="17">DATEDIF(L322,M322,"M")</f>
        <v>2</v>
      </c>
      <c r="P322" t="s">
        <v>1370</v>
      </c>
      <c r="Q322" s="4">
        <v>0.7</v>
      </c>
      <c r="R322" t="s">
        <v>83</v>
      </c>
      <c r="S322" t="s">
        <v>61</v>
      </c>
      <c r="T322" s="2">
        <v>50.74</v>
      </c>
      <c r="U322" t="s">
        <v>132</v>
      </c>
    </row>
    <row r="323" spans="1:21" x14ac:dyDescent="0.25">
      <c r="A323">
        <v>2032009823</v>
      </c>
      <c r="B323" t="s">
        <v>293</v>
      </c>
      <c r="C323" t="s">
        <v>932</v>
      </c>
      <c r="D323" t="str">
        <f t="shared" si="16"/>
        <v>SETH JOHNSON</v>
      </c>
      <c r="E323" t="s">
        <v>386</v>
      </c>
      <c r="F323" t="s">
        <v>126</v>
      </c>
      <c r="G323" t="s">
        <v>375</v>
      </c>
      <c r="H323">
        <v>3333476</v>
      </c>
      <c r="I323" t="s">
        <v>340</v>
      </c>
      <c r="J323" t="s">
        <v>341</v>
      </c>
      <c r="K323" t="str">
        <f t="shared" si="15"/>
        <v>Colleen Jerger</v>
      </c>
      <c r="L323" s="1">
        <v>45967</v>
      </c>
      <c r="M323" s="1">
        <v>46028</v>
      </c>
      <c r="N323" s="2">
        <v>16.93</v>
      </c>
      <c r="O323">
        <f t="shared" si="17"/>
        <v>2</v>
      </c>
      <c r="P323" t="s">
        <v>1370</v>
      </c>
      <c r="Q323" s="4">
        <v>0.9</v>
      </c>
      <c r="R323" t="s">
        <v>83</v>
      </c>
      <c r="S323" t="s">
        <v>61</v>
      </c>
      <c r="T323" s="2">
        <v>15.24</v>
      </c>
      <c r="U323" t="s">
        <v>375</v>
      </c>
    </row>
    <row r="324" spans="1:21" x14ac:dyDescent="0.25">
      <c r="A324">
        <v>2032021962</v>
      </c>
      <c r="B324" t="s">
        <v>625</v>
      </c>
      <c r="C324" t="s">
        <v>583</v>
      </c>
      <c r="D324" t="str">
        <f t="shared" si="16"/>
        <v>CHARLES MININGER</v>
      </c>
      <c r="E324" t="s">
        <v>52</v>
      </c>
      <c r="F324" t="s">
        <v>126</v>
      </c>
      <c r="G324" t="s">
        <v>164</v>
      </c>
      <c r="H324">
        <v>21605264</v>
      </c>
      <c r="I324" t="s">
        <v>626</v>
      </c>
      <c r="J324" t="s">
        <v>627</v>
      </c>
      <c r="K324" t="str">
        <f t="shared" si="15"/>
        <v>Erica Solivan</v>
      </c>
      <c r="L324" s="1">
        <v>45968</v>
      </c>
      <c r="M324" s="1">
        <v>46029</v>
      </c>
      <c r="N324" s="2">
        <v>25.73</v>
      </c>
      <c r="O324">
        <f t="shared" si="17"/>
        <v>2</v>
      </c>
      <c r="P324" t="s">
        <v>1370</v>
      </c>
      <c r="Q324" s="4">
        <v>0.7</v>
      </c>
      <c r="R324" t="s">
        <v>83</v>
      </c>
      <c r="S324" t="s">
        <v>61</v>
      </c>
      <c r="T324" s="2">
        <v>18.010000000000002</v>
      </c>
      <c r="U324" t="s">
        <v>127</v>
      </c>
    </row>
    <row r="325" spans="1:21" x14ac:dyDescent="0.25">
      <c r="A325">
        <v>2032021961</v>
      </c>
      <c r="B325" t="s">
        <v>625</v>
      </c>
      <c r="C325" t="s">
        <v>583</v>
      </c>
      <c r="D325" t="str">
        <f t="shared" si="16"/>
        <v>CHARLES MININGER</v>
      </c>
      <c r="E325" t="s">
        <v>52</v>
      </c>
      <c r="F325" t="s">
        <v>86</v>
      </c>
      <c r="G325" t="s">
        <v>87</v>
      </c>
      <c r="H325">
        <v>21605264</v>
      </c>
      <c r="I325" t="s">
        <v>626</v>
      </c>
      <c r="J325" t="s">
        <v>627</v>
      </c>
      <c r="K325" t="str">
        <f t="shared" si="15"/>
        <v>Erica Solivan</v>
      </c>
      <c r="L325" s="1">
        <v>45968</v>
      </c>
      <c r="M325" s="1">
        <v>46029</v>
      </c>
      <c r="N325" s="2">
        <v>15.88</v>
      </c>
      <c r="O325">
        <f t="shared" si="17"/>
        <v>2</v>
      </c>
      <c r="P325" t="s">
        <v>1370</v>
      </c>
      <c r="Q325" s="3">
        <v>0.375</v>
      </c>
      <c r="R325" t="s">
        <v>83</v>
      </c>
      <c r="S325" t="s">
        <v>61</v>
      </c>
      <c r="T325" s="2">
        <v>5.96</v>
      </c>
      <c r="U325" t="s">
        <v>87</v>
      </c>
    </row>
    <row r="326" spans="1:21" x14ac:dyDescent="0.25">
      <c r="A326">
        <v>2032057066</v>
      </c>
      <c r="B326" t="s">
        <v>1206</v>
      </c>
      <c r="C326" t="s">
        <v>1125</v>
      </c>
      <c r="D326" t="str">
        <f t="shared" si="16"/>
        <v>REGAN FINLAY</v>
      </c>
      <c r="E326" t="s">
        <v>308</v>
      </c>
      <c r="F326" t="s">
        <v>126</v>
      </c>
      <c r="G326" t="s">
        <v>132</v>
      </c>
      <c r="H326">
        <v>9213293</v>
      </c>
      <c r="I326" t="s">
        <v>401</v>
      </c>
      <c r="J326" t="s">
        <v>233</v>
      </c>
      <c r="K326" t="str">
        <f t="shared" si="15"/>
        <v>GARY PORTUGAL</v>
      </c>
      <c r="L326" s="1">
        <v>45969</v>
      </c>
      <c r="M326" s="1">
        <v>46030</v>
      </c>
      <c r="N326" s="2">
        <v>17.899999999999999</v>
      </c>
      <c r="O326">
        <f t="shared" si="17"/>
        <v>2</v>
      </c>
      <c r="P326" t="s">
        <v>1370</v>
      </c>
      <c r="Q326" s="4">
        <v>0.7</v>
      </c>
      <c r="R326" t="s">
        <v>83</v>
      </c>
      <c r="S326" t="s">
        <v>61</v>
      </c>
      <c r="T326" s="2">
        <v>12.53</v>
      </c>
      <c r="U326" t="s">
        <v>132</v>
      </c>
    </row>
    <row r="327" spans="1:21" x14ac:dyDescent="0.25">
      <c r="A327">
        <v>2031961862</v>
      </c>
      <c r="B327" t="s">
        <v>931</v>
      </c>
      <c r="C327" t="s">
        <v>63</v>
      </c>
      <c r="D327" t="str">
        <f t="shared" si="16"/>
        <v>RICHARD MILLER</v>
      </c>
      <c r="E327" t="s">
        <v>256</v>
      </c>
      <c r="F327" t="s">
        <v>126</v>
      </c>
      <c r="G327" t="s">
        <v>164</v>
      </c>
      <c r="H327">
        <v>8307933</v>
      </c>
      <c r="I327" t="s">
        <v>246</v>
      </c>
      <c r="J327" t="s">
        <v>247</v>
      </c>
      <c r="K327" t="str">
        <f t="shared" si="15"/>
        <v>GREGORY TEIPEL</v>
      </c>
      <c r="L327" s="1">
        <v>45967</v>
      </c>
      <c r="M327" s="1">
        <v>46028</v>
      </c>
      <c r="N327" s="2">
        <v>21.44</v>
      </c>
      <c r="O327">
        <f t="shared" si="17"/>
        <v>2</v>
      </c>
      <c r="P327" t="s">
        <v>1370</v>
      </c>
      <c r="Q327" s="4">
        <v>0.7</v>
      </c>
      <c r="R327" t="s">
        <v>83</v>
      </c>
      <c r="S327" t="s">
        <v>61</v>
      </c>
      <c r="T327" s="2">
        <v>15.01</v>
      </c>
      <c r="U327" t="s">
        <v>127</v>
      </c>
    </row>
    <row r="328" spans="1:21" x14ac:dyDescent="0.25">
      <c r="A328">
        <v>2031825054</v>
      </c>
      <c r="B328" t="s">
        <v>929</v>
      </c>
      <c r="C328" t="s">
        <v>824</v>
      </c>
      <c r="D328" t="str">
        <f t="shared" si="16"/>
        <v>ANGELA HARRIS</v>
      </c>
      <c r="E328" t="s">
        <v>447</v>
      </c>
      <c r="F328" t="s">
        <v>75</v>
      </c>
      <c r="G328" t="s">
        <v>76</v>
      </c>
      <c r="H328">
        <v>8307933</v>
      </c>
      <c r="I328" t="s">
        <v>246</v>
      </c>
      <c r="J328" t="s">
        <v>247</v>
      </c>
      <c r="K328" t="str">
        <f t="shared" si="15"/>
        <v>GREGORY TEIPEL</v>
      </c>
      <c r="L328" s="1">
        <v>45967</v>
      </c>
      <c r="M328" s="1">
        <v>46028</v>
      </c>
      <c r="N328" s="2">
        <v>108.2</v>
      </c>
      <c r="O328">
        <f t="shared" si="17"/>
        <v>2</v>
      </c>
      <c r="P328" t="s">
        <v>1370</v>
      </c>
      <c r="Q328" s="4">
        <v>0.75</v>
      </c>
      <c r="R328" t="s">
        <v>83</v>
      </c>
      <c r="S328" t="s">
        <v>61</v>
      </c>
      <c r="T328" s="2">
        <v>81.150000000000006</v>
      </c>
      <c r="U328" t="s">
        <v>1371</v>
      </c>
    </row>
    <row r="329" spans="1:21" x14ac:dyDescent="0.25">
      <c r="A329">
        <v>2031824950</v>
      </c>
      <c r="B329" t="s">
        <v>618</v>
      </c>
      <c r="C329" t="s">
        <v>619</v>
      </c>
      <c r="D329" t="str">
        <f t="shared" si="16"/>
        <v>KATHLEEN LEONHARDT</v>
      </c>
      <c r="E329" t="s">
        <v>620</v>
      </c>
      <c r="F329" t="s">
        <v>75</v>
      </c>
      <c r="G329" t="s">
        <v>76</v>
      </c>
      <c r="H329">
        <v>8307933</v>
      </c>
      <c r="I329" t="s">
        <v>246</v>
      </c>
      <c r="J329" t="s">
        <v>247</v>
      </c>
      <c r="K329" t="str">
        <f t="shared" si="15"/>
        <v>GREGORY TEIPEL</v>
      </c>
      <c r="L329" s="1">
        <v>45967</v>
      </c>
      <c r="M329" s="1">
        <v>46028</v>
      </c>
      <c r="N329" s="2">
        <v>89.6</v>
      </c>
      <c r="O329">
        <f t="shared" si="17"/>
        <v>2</v>
      </c>
      <c r="P329" t="s">
        <v>1370</v>
      </c>
      <c r="Q329" s="4">
        <v>0.75</v>
      </c>
      <c r="R329" t="s">
        <v>83</v>
      </c>
      <c r="S329" t="s">
        <v>61</v>
      </c>
      <c r="T329" s="2">
        <v>67.2</v>
      </c>
      <c r="U329" t="s">
        <v>1371</v>
      </c>
    </row>
    <row r="330" spans="1:21" x14ac:dyDescent="0.25">
      <c r="A330">
        <v>2031523856</v>
      </c>
      <c r="B330" t="s">
        <v>919</v>
      </c>
      <c r="C330" t="s">
        <v>920</v>
      </c>
      <c r="D330" t="str">
        <f t="shared" si="16"/>
        <v>CHAD COWAN</v>
      </c>
      <c r="E330" t="s">
        <v>97</v>
      </c>
      <c r="F330" t="s">
        <v>75</v>
      </c>
      <c r="G330" t="s">
        <v>76</v>
      </c>
      <c r="H330">
        <v>8307933</v>
      </c>
      <c r="I330" t="s">
        <v>246</v>
      </c>
      <c r="J330" t="s">
        <v>247</v>
      </c>
      <c r="K330" t="str">
        <f t="shared" si="15"/>
        <v>GREGORY TEIPEL</v>
      </c>
      <c r="L330" s="1">
        <v>45967</v>
      </c>
      <c r="M330" s="1">
        <v>46028</v>
      </c>
      <c r="N330" s="2">
        <v>78.78</v>
      </c>
      <c r="O330">
        <f t="shared" si="17"/>
        <v>2</v>
      </c>
      <c r="P330" t="s">
        <v>1370</v>
      </c>
      <c r="Q330" s="4">
        <v>0.75</v>
      </c>
      <c r="R330" t="s">
        <v>83</v>
      </c>
      <c r="S330" t="s">
        <v>61</v>
      </c>
      <c r="T330" s="2">
        <v>59.08</v>
      </c>
      <c r="U330" t="s">
        <v>1371</v>
      </c>
    </row>
    <row r="331" spans="1:21" x14ac:dyDescent="0.25">
      <c r="A331">
        <v>2031479693</v>
      </c>
      <c r="B331" t="s">
        <v>161</v>
      </c>
      <c r="C331" t="s">
        <v>918</v>
      </c>
      <c r="D331" t="str">
        <f t="shared" si="16"/>
        <v>SAVANNAH SMITH</v>
      </c>
      <c r="E331" t="s">
        <v>374</v>
      </c>
      <c r="F331" t="s">
        <v>75</v>
      </c>
      <c r="G331" t="s">
        <v>76</v>
      </c>
      <c r="H331">
        <v>8307933</v>
      </c>
      <c r="I331" t="s">
        <v>246</v>
      </c>
      <c r="J331" t="s">
        <v>247</v>
      </c>
      <c r="K331" t="str">
        <f t="shared" si="15"/>
        <v>GREGORY TEIPEL</v>
      </c>
      <c r="L331" s="1">
        <v>45967</v>
      </c>
      <c r="M331" s="1">
        <v>46028</v>
      </c>
      <c r="N331" s="2">
        <v>36.93</v>
      </c>
      <c r="O331">
        <f t="shared" si="17"/>
        <v>2</v>
      </c>
      <c r="P331" t="s">
        <v>1370</v>
      </c>
      <c r="Q331" s="4">
        <v>0.75</v>
      </c>
      <c r="R331" t="s">
        <v>83</v>
      </c>
      <c r="S331" t="s">
        <v>61</v>
      </c>
      <c r="T331" s="2">
        <v>27.7</v>
      </c>
      <c r="U331" t="s">
        <v>1371</v>
      </c>
    </row>
    <row r="332" spans="1:21" x14ac:dyDescent="0.25">
      <c r="A332">
        <v>2031755482</v>
      </c>
      <c r="B332" t="s">
        <v>616</v>
      </c>
      <c r="C332" t="s">
        <v>617</v>
      </c>
      <c r="D332" t="str">
        <f t="shared" si="16"/>
        <v>HANNAH BEEHLER</v>
      </c>
      <c r="E332" t="s">
        <v>220</v>
      </c>
      <c r="F332" t="s">
        <v>75</v>
      </c>
      <c r="G332" t="s">
        <v>739</v>
      </c>
      <c r="H332">
        <v>8307933</v>
      </c>
      <c r="I332" t="s">
        <v>246</v>
      </c>
      <c r="J332" t="s">
        <v>247</v>
      </c>
      <c r="K332" t="str">
        <f t="shared" si="15"/>
        <v>GREGORY TEIPEL</v>
      </c>
      <c r="L332" s="1">
        <v>45967</v>
      </c>
      <c r="M332" s="1">
        <v>46028</v>
      </c>
      <c r="N332" s="2">
        <v>25.23</v>
      </c>
      <c r="O332">
        <f t="shared" si="17"/>
        <v>2</v>
      </c>
      <c r="P332" t="s">
        <v>1370</v>
      </c>
      <c r="Q332" s="4">
        <v>0.65</v>
      </c>
      <c r="R332" t="s">
        <v>83</v>
      </c>
      <c r="S332" t="s">
        <v>61</v>
      </c>
      <c r="T332" s="2">
        <v>16.399999999999999</v>
      </c>
      <c r="U332" t="s">
        <v>1380</v>
      </c>
    </row>
    <row r="333" spans="1:21" x14ac:dyDescent="0.25">
      <c r="A333">
        <v>2031778697</v>
      </c>
      <c r="B333" t="s">
        <v>927</v>
      </c>
      <c r="C333" t="s">
        <v>928</v>
      </c>
      <c r="D333" t="str">
        <f t="shared" si="16"/>
        <v>MARGARET KUTZLER</v>
      </c>
      <c r="E333" t="s">
        <v>102</v>
      </c>
      <c r="F333" t="s">
        <v>75</v>
      </c>
      <c r="G333" t="s">
        <v>243</v>
      </c>
      <c r="H333">
        <v>8307933</v>
      </c>
      <c r="I333" t="s">
        <v>246</v>
      </c>
      <c r="J333" t="s">
        <v>247</v>
      </c>
      <c r="K333" t="str">
        <f t="shared" si="15"/>
        <v>GREGORY TEIPEL</v>
      </c>
      <c r="L333" s="1">
        <v>45967</v>
      </c>
      <c r="M333" s="1">
        <v>46028</v>
      </c>
      <c r="N333" s="2">
        <v>72.73</v>
      </c>
      <c r="O333">
        <f t="shared" si="17"/>
        <v>2</v>
      </c>
      <c r="P333" t="s">
        <v>1370</v>
      </c>
      <c r="Q333" s="4">
        <v>0.75</v>
      </c>
      <c r="R333" t="s">
        <v>83</v>
      </c>
      <c r="S333" t="s">
        <v>61</v>
      </c>
      <c r="T333" s="2">
        <v>54.55</v>
      </c>
      <c r="U333" t="s">
        <v>1371</v>
      </c>
    </row>
    <row r="334" spans="1:21" x14ac:dyDescent="0.25">
      <c r="A334">
        <v>2031620271</v>
      </c>
      <c r="B334" t="s">
        <v>923</v>
      </c>
      <c r="C334" t="s">
        <v>924</v>
      </c>
      <c r="D334" t="str">
        <f t="shared" si="16"/>
        <v>NIKO PICKENS</v>
      </c>
      <c r="E334" t="s">
        <v>97</v>
      </c>
      <c r="F334" t="s">
        <v>75</v>
      </c>
      <c r="G334" t="s">
        <v>243</v>
      </c>
      <c r="H334">
        <v>8307933</v>
      </c>
      <c r="I334" t="s">
        <v>246</v>
      </c>
      <c r="J334" t="s">
        <v>247</v>
      </c>
      <c r="K334" t="str">
        <f t="shared" si="15"/>
        <v>GREGORY TEIPEL</v>
      </c>
      <c r="L334" s="1">
        <v>45971</v>
      </c>
      <c r="M334" s="1">
        <v>46032</v>
      </c>
      <c r="N334" s="2">
        <v>60.28</v>
      </c>
      <c r="O334">
        <f t="shared" si="17"/>
        <v>2</v>
      </c>
      <c r="P334" t="s">
        <v>1370</v>
      </c>
      <c r="Q334" s="4">
        <v>0.75</v>
      </c>
      <c r="R334" t="s">
        <v>83</v>
      </c>
      <c r="S334" t="s">
        <v>61</v>
      </c>
      <c r="T334" s="2">
        <v>45.21</v>
      </c>
      <c r="U334" t="s">
        <v>1371</v>
      </c>
    </row>
    <row r="335" spans="1:21" x14ac:dyDescent="0.25">
      <c r="A335">
        <v>2031418071</v>
      </c>
      <c r="B335" t="s">
        <v>917</v>
      </c>
      <c r="C335" t="s">
        <v>397</v>
      </c>
      <c r="D335" t="str">
        <f t="shared" si="16"/>
        <v>MATTHEW ARPS</v>
      </c>
      <c r="E335" t="s">
        <v>256</v>
      </c>
      <c r="F335" t="s">
        <v>75</v>
      </c>
      <c r="G335" t="s">
        <v>80</v>
      </c>
      <c r="H335">
        <v>8307933</v>
      </c>
      <c r="I335" t="s">
        <v>246</v>
      </c>
      <c r="J335" t="s">
        <v>247</v>
      </c>
      <c r="K335" t="str">
        <f t="shared" si="15"/>
        <v>GREGORY TEIPEL</v>
      </c>
      <c r="L335" s="1">
        <v>45971</v>
      </c>
      <c r="M335" s="1">
        <v>46032</v>
      </c>
      <c r="N335" s="2">
        <v>178.58</v>
      </c>
      <c r="O335">
        <f t="shared" si="17"/>
        <v>2</v>
      </c>
      <c r="P335" t="s">
        <v>1370</v>
      </c>
      <c r="Q335" s="4">
        <v>0.9</v>
      </c>
      <c r="R335" t="s">
        <v>83</v>
      </c>
      <c r="S335" t="s">
        <v>61</v>
      </c>
      <c r="T335" s="2">
        <v>160.72</v>
      </c>
      <c r="U335" t="s">
        <v>1372</v>
      </c>
    </row>
    <row r="336" spans="1:21" x14ac:dyDescent="0.25">
      <c r="A336">
        <v>2031961860</v>
      </c>
      <c r="B336" t="s">
        <v>931</v>
      </c>
      <c r="C336" t="s">
        <v>63</v>
      </c>
      <c r="D336" t="str">
        <f t="shared" si="16"/>
        <v>RICHARD MILLER</v>
      </c>
      <c r="E336" t="s">
        <v>256</v>
      </c>
      <c r="F336" t="s">
        <v>75</v>
      </c>
      <c r="G336" t="s">
        <v>80</v>
      </c>
      <c r="H336">
        <v>8307933</v>
      </c>
      <c r="I336" t="s">
        <v>246</v>
      </c>
      <c r="J336" t="s">
        <v>247</v>
      </c>
      <c r="K336" t="str">
        <f t="shared" si="15"/>
        <v>GREGORY TEIPEL</v>
      </c>
      <c r="L336" s="1">
        <v>45967</v>
      </c>
      <c r="M336" s="1">
        <v>46028</v>
      </c>
      <c r="N336" s="2">
        <v>152.29</v>
      </c>
      <c r="O336">
        <f t="shared" si="17"/>
        <v>2</v>
      </c>
      <c r="P336" t="s">
        <v>1370</v>
      </c>
      <c r="Q336" s="4">
        <v>0.9</v>
      </c>
      <c r="R336" t="s">
        <v>83</v>
      </c>
      <c r="S336" t="s">
        <v>61</v>
      </c>
      <c r="T336" s="2">
        <v>137.06</v>
      </c>
      <c r="U336" t="s">
        <v>1372</v>
      </c>
    </row>
    <row r="337" spans="1:21" x14ac:dyDescent="0.25">
      <c r="A337">
        <v>2031525342</v>
      </c>
      <c r="B337" t="s">
        <v>921</v>
      </c>
      <c r="C337" t="s">
        <v>922</v>
      </c>
      <c r="D337" t="str">
        <f t="shared" si="16"/>
        <v>DESTANIE SANTILLAN</v>
      </c>
      <c r="E337" t="s">
        <v>97</v>
      </c>
      <c r="F337" t="s">
        <v>75</v>
      </c>
      <c r="G337" t="s">
        <v>80</v>
      </c>
      <c r="H337">
        <v>8307933</v>
      </c>
      <c r="I337" t="s">
        <v>246</v>
      </c>
      <c r="J337" t="s">
        <v>247</v>
      </c>
      <c r="K337" t="str">
        <f t="shared" si="15"/>
        <v>GREGORY TEIPEL</v>
      </c>
      <c r="L337" s="1">
        <v>45967</v>
      </c>
      <c r="M337" s="1">
        <v>46028</v>
      </c>
      <c r="N337" s="2">
        <v>48.91</v>
      </c>
      <c r="O337">
        <f t="shared" si="17"/>
        <v>2</v>
      </c>
      <c r="P337" t="s">
        <v>1370</v>
      </c>
      <c r="Q337" s="4">
        <v>0.9</v>
      </c>
      <c r="R337" t="s">
        <v>83</v>
      </c>
      <c r="S337" t="s">
        <v>61</v>
      </c>
      <c r="T337" s="2">
        <v>44.02</v>
      </c>
      <c r="U337" t="s">
        <v>1372</v>
      </c>
    </row>
    <row r="338" spans="1:21" x14ac:dyDescent="0.25">
      <c r="A338">
        <v>2031755481</v>
      </c>
      <c r="B338" t="s">
        <v>616</v>
      </c>
      <c r="C338" t="s">
        <v>617</v>
      </c>
      <c r="D338" t="str">
        <f t="shared" si="16"/>
        <v>HANNAH BEEHLER</v>
      </c>
      <c r="E338" t="s">
        <v>220</v>
      </c>
      <c r="F338" t="s">
        <v>75</v>
      </c>
      <c r="G338" t="s">
        <v>80</v>
      </c>
      <c r="H338">
        <v>8307933</v>
      </c>
      <c r="I338" t="s">
        <v>246</v>
      </c>
      <c r="J338" t="s">
        <v>247</v>
      </c>
      <c r="K338" t="str">
        <f t="shared" si="15"/>
        <v>GREGORY TEIPEL</v>
      </c>
      <c r="L338" s="1">
        <v>45967</v>
      </c>
      <c r="M338" s="1">
        <v>46028</v>
      </c>
      <c r="N338" s="2">
        <v>25.42</v>
      </c>
      <c r="O338">
        <f t="shared" si="17"/>
        <v>2</v>
      </c>
      <c r="P338" t="s">
        <v>1370</v>
      </c>
      <c r="Q338" s="4">
        <v>0.9</v>
      </c>
      <c r="R338" t="s">
        <v>83</v>
      </c>
      <c r="S338" t="s">
        <v>61</v>
      </c>
      <c r="T338" s="2">
        <v>22.88</v>
      </c>
      <c r="U338" t="s">
        <v>1372</v>
      </c>
    </row>
    <row r="339" spans="1:21" x14ac:dyDescent="0.25">
      <c r="A339">
        <v>2031848857</v>
      </c>
      <c r="B339" t="s">
        <v>1192</v>
      </c>
      <c r="C339" t="s">
        <v>1193</v>
      </c>
      <c r="D339" t="str">
        <f t="shared" si="16"/>
        <v>RENEE RITCHEY</v>
      </c>
      <c r="E339" t="s">
        <v>97</v>
      </c>
      <c r="F339" t="s">
        <v>169</v>
      </c>
      <c r="G339" t="s">
        <v>1275</v>
      </c>
      <c r="H339">
        <v>8307933</v>
      </c>
      <c r="I339" t="s">
        <v>246</v>
      </c>
      <c r="J339" t="s">
        <v>247</v>
      </c>
      <c r="K339" t="str">
        <f t="shared" si="15"/>
        <v>GREGORY TEIPEL</v>
      </c>
      <c r="L339" s="1">
        <v>45967</v>
      </c>
      <c r="M339" s="1">
        <v>46028</v>
      </c>
      <c r="N339" s="2">
        <v>5.95</v>
      </c>
      <c r="O339">
        <f t="shared" si="17"/>
        <v>2</v>
      </c>
      <c r="P339" t="s">
        <v>1370</v>
      </c>
      <c r="Q339" s="4">
        <v>0.51</v>
      </c>
      <c r="R339" t="s">
        <v>83</v>
      </c>
      <c r="S339" t="s">
        <v>61</v>
      </c>
      <c r="T339" s="2">
        <v>3.03</v>
      </c>
      <c r="U339" t="s">
        <v>1274</v>
      </c>
    </row>
    <row r="340" spans="1:21" x14ac:dyDescent="0.25">
      <c r="A340">
        <v>2031959148</v>
      </c>
      <c r="B340" t="s">
        <v>244</v>
      </c>
      <c r="C340" t="s">
        <v>704</v>
      </c>
      <c r="D340" t="str">
        <f t="shared" si="16"/>
        <v>RONNA MORRIS</v>
      </c>
      <c r="E340" t="s">
        <v>102</v>
      </c>
      <c r="F340" t="s">
        <v>697</v>
      </c>
      <c r="G340" t="s">
        <v>703</v>
      </c>
      <c r="H340">
        <v>8307933</v>
      </c>
      <c r="I340" t="s">
        <v>246</v>
      </c>
      <c r="J340" t="s">
        <v>247</v>
      </c>
      <c r="K340" t="str">
        <f t="shared" si="15"/>
        <v>GREGORY TEIPEL</v>
      </c>
      <c r="L340" s="1">
        <v>45966</v>
      </c>
      <c r="M340" s="1">
        <v>46027</v>
      </c>
      <c r="N340" s="2">
        <v>218.93</v>
      </c>
      <c r="O340">
        <f t="shared" si="17"/>
        <v>2</v>
      </c>
      <c r="P340" t="s">
        <v>1370</v>
      </c>
      <c r="Q340" s="4">
        <v>1.3</v>
      </c>
      <c r="R340" t="s">
        <v>83</v>
      </c>
      <c r="S340" t="s">
        <v>61</v>
      </c>
      <c r="T340" s="2">
        <v>284.61</v>
      </c>
      <c r="U340" t="s">
        <v>1383</v>
      </c>
    </row>
    <row r="341" spans="1:21" x14ac:dyDescent="0.25">
      <c r="A341">
        <v>2031848856</v>
      </c>
      <c r="B341" t="s">
        <v>1192</v>
      </c>
      <c r="C341" t="s">
        <v>1193</v>
      </c>
      <c r="D341" t="str">
        <f t="shared" si="16"/>
        <v>RENEE RITCHEY</v>
      </c>
      <c r="E341" t="s">
        <v>97</v>
      </c>
      <c r="F341" t="s">
        <v>169</v>
      </c>
      <c r="G341" t="s">
        <v>1274</v>
      </c>
      <c r="H341">
        <v>8307933</v>
      </c>
      <c r="I341" t="s">
        <v>246</v>
      </c>
      <c r="J341" t="s">
        <v>247</v>
      </c>
      <c r="K341" t="str">
        <f t="shared" si="15"/>
        <v>GREGORY TEIPEL</v>
      </c>
      <c r="L341" s="1">
        <v>45967</v>
      </c>
      <c r="M341" s="1">
        <v>46028</v>
      </c>
      <c r="N341" s="2">
        <v>132.28</v>
      </c>
      <c r="O341">
        <f t="shared" si="17"/>
        <v>2</v>
      </c>
      <c r="P341" t="s">
        <v>1370</v>
      </c>
      <c r="Q341" s="4">
        <v>0.51</v>
      </c>
      <c r="R341" t="s">
        <v>83</v>
      </c>
      <c r="S341" t="s">
        <v>61</v>
      </c>
      <c r="T341" s="2">
        <v>67.459999999999994</v>
      </c>
      <c r="U341" t="s">
        <v>1274</v>
      </c>
    </row>
    <row r="342" spans="1:21" x14ac:dyDescent="0.25">
      <c r="A342">
        <v>2031778696</v>
      </c>
      <c r="B342" t="s">
        <v>927</v>
      </c>
      <c r="C342" t="s">
        <v>928</v>
      </c>
      <c r="D342" t="str">
        <f t="shared" si="16"/>
        <v>MARGARET KUTZLER</v>
      </c>
      <c r="E342" t="s">
        <v>102</v>
      </c>
      <c r="F342" t="s">
        <v>126</v>
      </c>
      <c r="G342" t="s">
        <v>132</v>
      </c>
      <c r="H342">
        <v>8307933</v>
      </c>
      <c r="I342" t="s">
        <v>246</v>
      </c>
      <c r="J342" t="s">
        <v>247</v>
      </c>
      <c r="K342" t="str">
        <f t="shared" si="15"/>
        <v>GREGORY TEIPEL</v>
      </c>
      <c r="L342" s="1">
        <v>45967</v>
      </c>
      <c r="M342" s="1">
        <v>46028</v>
      </c>
      <c r="N342" s="2">
        <v>124.72</v>
      </c>
      <c r="O342">
        <f t="shared" si="17"/>
        <v>2</v>
      </c>
      <c r="P342" t="s">
        <v>1370</v>
      </c>
      <c r="Q342" s="4">
        <v>0.7</v>
      </c>
      <c r="R342" t="s">
        <v>83</v>
      </c>
      <c r="S342" t="s">
        <v>61</v>
      </c>
      <c r="T342" s="2">
        <v>87.3</v>
      </c>
      <c r="U342" t="s">
        <v>132</v>
      </c>
    </row>
    <row r="343" spans="1:21" x14ac:dyDescent="0.25">
      <c r="A343">
        <v>2031523855</v>
      </c>
      <c r="B343" t="s">
        <v>919</v>
      </c>
      <c r="C343" t="s">
        <v>920</v>
      </c>
      <c r="D343" t="str">
        <f t="shared" si="16"/>
        <v>CHAD COWAN</v>
      </c>
      <c r="E343" t="s">
        <v>97</v>
      </c>
      <c r="F343" t="s">
        <v>126</v>
      </c>
      <c r="G343" t="s">
        <v>132</v>
      </c>
      <c r="H343">
        <v>8307933</v>
      </c>
      <c r="I343" t="s">
        <v>246</v>
      </c>
      <c r="J343" t="s">
        <v>247</v>
      </c>
      <c r="K343" t="str">
        <f t="shared" si="15"/>
        <v>GREGORY TEIPEL</v>
      </c>
      <c r="L343" s="1">
        <v>45967</v>
      </c>
      <c r="M343" s="1">
        <v>46028</v>
      </c>
      <c r="N343" s="2">
        <v>92.47</v>
      </c>
      <c r="O343">
        <f t="shared" si="17"/>
        <v>2</v>
      </c>
      <c r="P343" t="s">
        <v>1370</v>
      </c>
      <c r="Q343" s="4">
        <v>0.7</v>
      </c>
      <c r="R343" t="s">
        <v>83</v>
      </c>
      <c r="S343" t="s">
        <v>61</v>
      </c>
      <c r="T343" s="2">
        <v>64.73</v>
      </c>
      <c r="U343" t="s">
        <v>132</v>
      </c>
    </row>
    <row r="344" spans="1:21" x14ac:dyDescent="0.25">
      <c r="A344">
        <v>2031620270</v>
      </c>
      <c r="B344" t="s">
        <v>923</v>
      </c>
      <c r="C344" t="s">
        <v>924</v>
      </c>
      <c r="D344" t="str">
        <f t="shared" si="16"/>
        <v>NIKO PICKENS</v>
      </c>
      <c r="E344" t="s">
        <v>97</v>
      </c>
      <c r="F344" t="s">
        <v>126</v>
      </c>
      <c r="G344" t="s">
        <v>132</v>
      </c>
      <c r="H344">
        <v>8307933</v>
      </c>
      <c r="I344" t="s">
        <v>246</v>
      </c>
      <c r="J344" t="s">
        <v>247</v>
      </c>
      <c r="K344" t="str">
        <f t="shared" si="15"/>
        <v>GREGORY TEIPEL</v>
      </c>
      <c r="L344" s="1">
        <v>45971</v>
      </c>
      <c r="M344" s="1">
        <v>46032</v>
      </c>
      <c r="N344" s="2">
        <v>89.52</v>
      </c>
      <c r="O344">
        <f t="shared" si="17"/>
        <v>2</v>
      </c>
      <c r="P344" t="s">
        <v>1370</v>
      </c>
      <c r="Q344" s="4">
        <v>0.7</v>
      </c>
      <c r="R344" t="s">
        <v>83</v>
      </c>
      <c r="S344" t="s">
        <v>61</v>
      </c>
      <c r="T344" s="2">
        <v>62.66</v>
      </c>
      <c r="U344" t="s">
        <v>132</v>
      </c>
    </row>
    <row r="345" spans="1:21" x14ac:dyDescent="0.25">
      <c r="A345">
        <v>2031825053</v>
      </c>
      <c r="B345" t="s">
        <v>929</v>
      </c>
      <c r="C345" t="s">
        <v>824</v>
      </c>
      <c r="D345" t="str">
        <f t="shared" si="16"/>
        <v>ANGELA HARRIS</v>
      </c>
      <c r="E345" t="s">
        <v>447</v>
      </c>
      <c r="F345" t="s">
        <v>126</v>
      </c>
      <c r="G345" t="s">
        <v>132</v>
      </c>
      <c r="H345">
        <v>8307933</v>
      </c>
      <c r="I345" t="s">
        <v>246</v>
      </c>
      <c r="J345" t="s">
        <v>247</v>
      </c>
      <c r="K345" t="str">
        <f t="shared" si="15"/>
        <v>GREGORY TEIPEL</v>
      </c>
      <c r="L345" s="1">
        <v>45967</v>
      </c>
      <c r="M345" s="1">
        <v>46028</v>
      </c>
      <c r="N345" s="2">
        <v>72.790000000000006</v>
      </c>
      <c r="O345">
        <f t="shared" si="17"/>
        <v>2</v>
      </c>
      <c r="P345" t="s">
        <v>1370</v>
      </c>
      <c r="Q345" s="4">
        <v>0.7</v>
      </c>
      <c r="R345" t="s">
        <v>83</v>
      </c>
      <c r="S345" t="s">
        <v>61</v>
      </c>
      <c r="T345" s="2">
        <v>50.95</v>
      </c>
      <c r="U345" t="s">
        <v>132</v>
      </c>
    </row>
    <row r="346" spans="1:21" x14ac:dyDescent="0.25">
      <c r="A346">
        <v>2031479692</v>
      </c>
      <c r="B346" t="s">
        <v>161</v>
      </c>
      <c r="C346" t="s">
        <v>918</v>
      </c>
      <c r="D346" t="str">
        <f t="shared" si="16"/>
        <v>SAVANNAH SMITH</v>
      </c>
      <c r="E346" t="s">
        <v>374</v>
      </c>
      <c r="F346" t="s">
        <v>126</v>
      </c>
      <c r="G346" t="s">
        <v>132</v>
      </c>
      <c r="H346">
        <v>8307933</v>
      </c>
      <c r="I346" t="s">
        <v>246</v>
      </c>
      <c r="J346" t="s">
        <v>247</v>
      </c>
      <c r="K346" t="str">
        <f t="shared" si="15"/>
        <v>GREGORY TEIPEL</v>
      </c>
      <c r="L346" s="1">
        <v>45967</v>
      </c>
      <c r="M346" s="1">
        <v>46028</v>
      </c>
      <c r="N346" s="2">
        <v>57.68</v>
      </c>
      <c r="O346">
        <f t="shared" si="17"/>
        <v>2</v>
      </c>
      <c r="P346" t="s">
        <v>1370</v>
      </c>
      <c r="Q346" s="4">
        <v>0.7</v>
      </c>
      <c r="R346" t="s">
        <v>83</v>
      </c>
      <c r="S346" t="s">
        <v>61</v>
      </c>
      <c r="T346" s="2">
        <v>40.380000000000003</v>
      </c>
      <c r="U346" t="s">
        <v>132</v>
      </c>
    </row>
    <row r="347" spans="1:21" x14ac:dyDescent="0.25">
      <c r="A347">
        <v>2031824949</v>
      </c>
      <c r="B347" t="s">
        <v>618</v>
      </c>
      <c r="C347" t="s">
        <v>619</v>
      </c>
      <c r="D347" t="str">
        <f t="shared" si="16"/>
        <v>KATHLEEN LEONHARDT</v>
      </c>
      <c r="E347" t="s">
        <v>620</v>
      </c>
      <c r="F347" t="s">
        <v>126</v>
      </c>
      <c r="G347" t="s">
        <v>132</v>
      </c>
      <c r="H347">
        <v>8307933</v>
      </c>
      <c r="I347" t="s">
        <v>246</v>
      </c>
      <c r="J347" t="s">
        <v>247</v>
      </c>
      <c r="K347" t="str">
        <f t="shared" si="15"/>
        <v>GREGORY TEIPEL</v>
      </c>
      <c r="L347" s="1">
        <v>45967</v>
      </c>
      <c r="M347" s="1">
        <v>46028</v>
      </c>
      <c r="N347" s="2">
        <v>31</v>
      </c>
      <c r="O347">
        <f t="shared" si="17"/>
        <v>2</v>
      </c>
      <c r="P347" t="s">
        <v>1370</v>
      </c>
      <c r="Q347" s="4">
        <v>0.7</v>
      </c>
      <c r="R347" t="s">
        <v>83</v>
      </c>
      <c r="S347" t="s">
        <v>61</v>
      </c>
      <c r="T347" s="2">
        <v>21.7</v>
      </c>
      <c r="U347" t="s">
        <v>132</v>
      </c>
    </row>
    <row r="348" spans="1:21" x14ac:dyDescent="0.25">
      <c r="A348">
        <v>2031755480</v>
      </c>
      <c r="B348" t="s">
        <v>616</v>
      </c>
      <c r="C348" t="s">
        <v>617</v>
      </c>
      <c r="D348" t="str">
        <f t="shared" si="16"/>
        <v>HANNAH BEEHLER</v>
      </c>
      <c r="E348" t="s">
        <v>220</v>
      </c>
      <c r="F348" t="s">
        <v>126</v>
      </c>
      <c r="G348" t="s">
        <v>132</v>
      </c>
      <c r="H348">
        <v>8307933</v>
      </c>
      <c r="I348" t="s">
        <v>246</v>
      </c>
      <c r="J348" t="s">
        <v>247</v>
      </c>
      <c r="K348" t="str">
        <f t="shared" si="15"/>
        <v>GREGORY TEIPEL</v>
      </c>
      <c r="L348" s="1">
        <v>45967</v>
      </c>
      <c r="M348" s="1">
        <v>46028</v>
      </c>
      <c r="N348" s="2">
        <v>30.93</v>
      </c>
      <c r="O348">
        <f t="shared" si="17"/>
        <v>2</v>
      </c>
      <c r="P348" t="s">
        <v>1370</v>
      </c>
      <c r="Q348" s="4">
        <v>0.7</v>
      </c>
      <c r="R348" t="s">
        <v>83</v>
      </c>
      <c r="S348" t="s">
        <v>61</v>
      </c>
      <c r="T348" s="2">
        <v>21.65</v>
      </c>
      <c r="U348" t="s">
        <v>132</v>
      </c>
    </row>
    <row r="349" spans="1:21" x14ac:dyDescent="0.25">
      <c r="A349">
        <v>2031848858</v>
      </c>
      <c r="B349" t="s">
        <v>1192</v>
      </c>
      <c r="C349" t="s">
        <v>1193</v>
      </c>
      <c r="D349" t="str">
        <f t="shared" si="16"/>
        <v>RENEE RITCHEY</v>
      </c>
      <c r="E349" t="s">
        <v>97</v>
      </c>
      <c r="F349" t="s">
        <v>126</v>
      </c>
      <c r="G349" t="s">
        <v>132</v>
      </c>
      <c r="H349">
        <v>8307933</v>
      </c>
      <c r="I349" t="s">
        <v>246</v>
      </c>
      <c r="J349" t="s">
        <v>247</v>
      </c>
      <c r="K349" t="str">
        <f t="shared" si="15"/>
        <v>GREGORY TEIPEL</v>
      </c>
      <c r="L349" s="1">
        <v>45967</v>
      </c>
      <c r="M349" s="1">
        <v>46028</v>
      </c>
      <c r="N349" s="2">
        <v>13</v>
      </c>
      <c r="O349">
        <f t="shared" si="17"/>
        <v>2</v>
      </c>
      <c r="P349" t="s">
        <v>1370</v>
      </c>
      <c r="Q349" s="4">
        <v>0.7</v>
      </c>
      <c r="R349" t="s">
        <v>83</v>
      </c>
      <c r="S349" t="s">
        <v>61</v>
      </c>
      <c r="T349" s="2">
        <v>9.1</v>
      </c>
      <c r="U349" t="s">
        <v>132</v>
      </c>
    </row>
    <row r="350" spans="1:21" x14ac:dyDescent="0.25">
      <c r="A350">
        <v>2031755483</v>
      </c>
      <c r="B350" t="s">
        <v>616</v>
      </c>
      <c r="C350" t="s">
        <v>617</v>
      </c>
      <c r="D350" t="str">
        <f t="shared" si="16"/>
        <v>HANNAH BEEHLER</v>
      </c>
      <c r="E350" t="s">
        <v>220</v>
      </c>
      <c r="F350" t="s">
        <v>86</v>
      </c>
      <c r="G350" t="s">
        <v>87</v>
      </c>
      <c r="H350">
        <v>8307933</v>
      </c>
      <c r="I350" t="s">
        <v>246</v>
      </c>
      <c r="J350" t="s">
        <v>247</v>
      </c>
      <c r="K350" t="str">
        <f t="shared" si="15"/>
        <v>GREGORY TEIPEL</v>
      </c>
      <c r="L350" s="1">
        <v>45967</v>
      </c>
      <c r="M350" s="1">
        <v>46028</v>
      </c>
      <c r="N350" s="2">
        <v>76.31</v>
      </c>
      <c r="O350">
        <f t="shared" si="17"/>
        <v>2</v>
      </c>
      <c r="P350" t="s">
        <v>1370</v>
      </c>
      <c r="Q350" s="3">
        <v>0.375</v>
      </c>
      <c r="R350" t="s">
        <v>83</v>
      </c>
      <c r="S350" t="s">
        <v>61</v>
      </c>
      <c r="T350" s="2">
        <v>28.62</v>
      </c>
      <c r="U350" t="s">
        <v>87</v>
      </c>
    </row>
    <row r="351" spans="1:21" x14ac:dyDescent="0.25">
      <c r="A351">
        <v>2031824951</v>
      </c>
      <c r="B351" t="s">
        <v>618</v>
      </c>
      <c r="C351" t="s">
        <v>619</v>
      </c>
      <c r="D351" t="str">
        <f t="shared" si="16"/>
        <v>KATHLEEN LEONHARDT</v>
      </c>
      <c r="E351" t="s">
        <v>620</v>
      </c>
      <c r="F351" t="s">
        <v>86</v>
      </c>
      <c r="G351" t="s">
        <v>87</v>
      </c>
      <c r="H351">
        <v>8307933</v>
      </c>
      <c r="I351" t="s">
        <v>246</v>
      </c>
      <c r="J351" t="s">
        <v>247</v>
      </c>
      <c r="K351" t="str">
        <f t="shared" si="15"/>
        <v>GREGORY TEIPEL</v>
      </c>
      <c r="L351" s="1">
        <v>45967</v>
      </c>
      <c r="M351" s="1">
        <v>46028</v>
      </c>
      <c r="N351" s="2">
        <v>61.93</v>
      </c>
      <c r="O351">
        <f t="shared" si="17"/>
        <v>2</v>
      </c>
      <c r="P351" t="s">
        <v>1370</v>
      </c>
      <c r="Q351" s="3">
        <v>0.375</v>
      </c>
      <c r="R351" t="s">
        <v>83</v>
      </c>
      <c r="S351" t="s">
        <v>61</v>
      </c>
      <c r="T351" s="2">
        <v>23.22</v>
      </c>
      <c r="U351" t="s">
        <v>87</v>
      </c>
    </row>
    <row r="352" spans="1:21" x14ac:dyDescent="0.25">
      <c r="A352">
        <v>2031523857</v>
      </c>
      <c r="B352" t="s">
        <v>919</v>
      </c>
      <c r="C352" t="s">
        <v>920</v>
      </c>
      <c r="D352" t="str">
        <f t="shared" si="16"/>
        <v>CHAD COWAN</v>
      </c>
      <c r="E352" t="s">
        <v>97</v>
      </c>
      <c r="F352" t="s">
        <v>126</v>
      </c>
      <c r="G352" t="s">
        <v>375</v>
      </c>
      <c r="H352">
        <v>8307933</v>
      </c>
      <c r="I352" t="s">
        <v>246</v>
      </c>
      <c r="J352" t="s">
        <v>247</v>
      </c>
      <c r="K352" t="str">
        <f t="shared" si="15"/>
        <v>GREGORY TEIPEL</v>
      </c>
      <c r="L352" s="1">
        <v>45967</v>
      </c>
      <c r="M352" s="1">
        <v>46028</v>
      </c>
      <c r="N352" s="2">
        <v>71.75</v>
      </c>
      <c r="O352">
        <f t="shared" si="17"/>
        <v>2</v>
      </c>
      <c r="P352" t="s">
        <v>1370</v>
      </c>
      <c r="Q352" s="4">
        <v>0.9</v>
      </c>
      <c r="R352" t="s">
        <v>83</v>
      </c>
      <c r="S352" t="s">
        <v>61</v>
      </c>
      <c r="T352" s="2">
        <v>64.58</v>
      </c>
      <c r="U352" t="s">
        <v>375</v>
      </c>
    </row>
    <row r="353" spans="1:21" x14ac:dyDescent="0.25">
      <c r="A353">
        <v>2031961861</v>
      </c>
      <c r="B353" t="s">
        <v>931</v>
      </c>
      <c r="C353" t="s">
        <v>63</v>
      </c>
      <c r="D353" t="str">
        <f t="shared" si="16"/>
        <v>RICHARD MILLER</v>
      </c>
      <c r="E353" t="s">
        <v>256</v>
      </c>
      <c r="F353" t="s">
        <v>126</v>
      </c>
      <c r="G353" t="s">
        <v>375</v>
      </c>
      <c r="H353">
        <v>8307933</v>
      </c>
      <c r="I353" t="s">
        <v>246</v>
      </c>
      <c r="J353" t="s">
        <v>247</v>
      </c>
      <c r="K353" t="str">
        <f t="shared" si="15"/>
        <v>GREGORY TEIPEL</v>
      </c>
      <c r="L353" s="1">
        <v>45967</v>
      </c>
      <c r="M353" s="1">
        <v>46028</v>
      </c>
      <c r="N353" s="2">
        <v>49.54</v>
      </c>
      <c r="O353">
        <f t="shared" si="17"/>
        <v>2</v>
      </c>
      <c r="P353" t="s">
        <v>1370</v>
      </c>
      <c r="Q353" s="4">
        <v>0.9</v>
      </c>
      <c r="R353" t="s">
        <v>83</v>
      </c>
      <c r="S353" t="s">
        <v>61</v>
      </c>
      <c r="T353" s="2">
        <v>44.59</v>
      </c>
      <c r="U353" t="s">
        <v>375</v>
      </c>
    </row>
    <row r="354" spans="1:21" x14ac:dyDescent="0.25">
      <c r="A354">
        <v>2031934790</v>
      </c>
      <c r="B354" t="s">
        <v>569</v>
      </c>
      <c r="C354" t="s">
        <v>1188</v>
      </c>
      <c r="D354" t="str">
        <f t="shared" si="16"/>
        <v>EDWARD GARCIA</v>
      </c>
      <c r="E354" t="s">
        <v>102</v>
      </c>
      <c r="F354" t="s">
        <v>169</v>
      </c>
      <c r="G354" t="s">
        <v>170</v>
      </c>
      <c r="H354">
        <v>18754354</v>
      </c>
      <c r="I354" t="s">
        <v>159</v>
      </c>
      <c r="J354" t="s">
        <v>160</v>
      </c>
      <c r="K354" t="str">
        <f t="shared" si="15"/>
        <v>JACOB YALE</v>
      </c>
      <c r="L354" s="1">
        <v>45962</v>
      </c>
      <c r="M354" s="1">
        <v>46023</v>
      </c>
      <c r="N354" s="2">
        <v>66.28</v>
      </c>
      <c r="O354">
        <f t="shared" si="17"/>
        <v>2</v>
      </c>
      <c r="P354" t="s">
        <v>1370</v>
      </c>
      <c r="Q354" s="4">
        <v>0.47</v>
      </c>
      <c r="R354" t="s">
        <v>83</v>
      </c>
      <c r="S354" t="s">
        <v>61</v>
      </c>
      <c r="T354" s="2">
        <v>31.15</v>
      </c>
      <c r="U354" t="s">
        <v>170</v>
      </c>
    </row>
    <row r="355" spans="1:21" x14ac:dyDescent="0.25">
      <c r="A355">
        <v>2031620461</v>
      </c>
      <c r="B355" t="s">
        <v>1186</v>
      </c>
      <c r="C355" t="s">
        <v>707</v>
      </c>
      <c r="D355" t="str">
        <f t="shared" si="16"/>
        <v>CYNTHIA NAVA</v>
      </c>
      <c r="E355" t="s">
        <v>563</v>
      </c>
      <c r="F355" t="s">
        <v>126</v>
      </c>
      <c r="G355" t="s">
        <v>132</v>
      </c>
      <c r="H355">
        <v>1706194</v>
      </c>
      <c r="I355" t="s">
        <v>396</v>
      </c>
      <c r="J355" t="s">
        <v>397</v>
      </c>
      <c r="K355" t="str">
        <f t="shared" si="15"/>
        <v>MATTHEW DAUGHERTY</v>
      </c>
      <c r="L355" s="1">
        <v>45962</v>
      </c>
      <c r="M355" s="1">
        <v>46023</v>
      </c>
      <c r="N355" s="2">
        <v>-26.73</v>
      </c>
      <c r="O355">
        <f t="shared" si="17"/>
        <v>2</v>
      </c>
      <c r="P355" t="s">
        <v>1370</v>
      </c>
      <c r="Q355" s="4">
        <v>0.7</v>
      </c>
      <c r="R355" t="s">
        <v>83</v>
      </c>
      <c r="S355" t="s">
        <v>61</v>
      </c>
      <c r="T355" s="2">
        <v>-18.71</v>
      </c>
      <c r="U355" t="s">
        <v>132</v>
      </c>
    </row>
    <row r="356" spans="1:21" x14ac:dyDescent="0.25">
      <c r="A356">
        <v>2031845018</v>
      </c>
      <c r="B356" t="s">
        <v>930</v>
      </c>
      <c r="C356" t="s">
        <v>883</v>
      </c>
      <c r="D356" t="str">
        <f t="shared" si="16"/>
        <v>DAKOTA RILEY</v>
      </c>
      <c r="E356" t="s">
        <v>163</v>
      </c>
      <c r="F356" t="s">
        <v>75</v>
      </c>
      <c r="G356" t="s">
        <v>80</v>
      </c>
      <c r="H356">
        <v>21222981</v>
      </c>
      <c r="I356" t="s">
        <v>606</v>
      </c>
      <c r="J356" t="s">
        <v>607</v>
      </c>
      <c r="K356" t="str">
        <f t="shared" si="15"/>
        <v>Michael Garnett</v>
      </c>
      <c r="L356" s="1">
        <v>45962</v>
      </c>
      <c r="M356" s="1">
        <v>46023</v>
      </c>
      <c r="N356" s="2">
        <v>67.63</v>
      </c>
      <c r="O356">
        <f t="shared" si="17"/>
        <v>2</v>
      </c>
      <c r="P356" t="s">
        <v>1370</v>
      </c>
      <c r="Q356" s="4">
        <v>0.9</v>
      </c>
      <c r="R356" t="s">
        <v>83</v>
      </c>
      <c r="S356" t="s">
        <v>61</v>
      </c>
      <c r="T356" s="2">
        <v>60.87</v>
      </c>
      <c r="U356" t="s">
        <v>1372</v>
      </c>
    </row>
    <row r="357" spans="1:21" x14ac:dyDescent="0.25">
      <c r="A357">
        <v>2032043243</v>
      </c>
      <c r="B357" t="s">
        <v>936</v>
      </c>
      <c r="C357" t="s">
        <v>937</v>
      </c>
      <c r="D357" t="str">
        <f t="shared" si="16"/>
        <v>DERON MOBLEY</v>
      </c>
      <c r="E357" t="s">
        <v>163</v>
      </c>
      <c r="F357" t="s">
        <v>75</v>
      </c>
      <c r="G357" t="s">
        <v>80</v>
      </c>
      <c r="H357">
        <v>21222981</v>
      </c>
      <c r="I357" t="s">
        <v>606</v>
      </c>
      <c r="J357" t="s">
        <v>607</v>
      </c>
      <c r="K357" t="str">
        <f t="shared" si="15"/>
        <v>Michael Garnett</v>
      </c>
      <c r="L357" s="1">
        <v>45969</v>
      </c>
      <c r="M357" s="1">
        <v>46030</v>
      </c>
      <c r="N357" s="2">
        <v>26.98</v>
      </c>
      <c r="O357">
        <f t="shared" si="17"/>
        <v>2</v>
      </c>
      <c r="P357" t="s">
        <v>1370</v>
      </c>
      <c r="Q357" s="4">
        <v>0.9</v>
      </c>
      <c r="R357" t="s">
        <v>83</v>
      </c>
      <c r="S357" t="s">
        <v>61</v>
      </c>
      <c r="T357" s="2">
        <v>24.28</v>
      </c>
      <c r="U357" t="s">
        <v>1372</v>
      </c>
    </row>
    <row r="358" spans="1:21" x14ac:dyDescent="0.25">
      <c r="A358">
        <v>2031713685</v>
      </c>
      <c r="B358" t="s">
        <v>925</v>
      </c>
      <c r="C358" t="s">
        <v>926</v>
      </c>
      <c r="D358" t="str">
        <f t="shared" si="16"/>
        <v>JA'NET RANDALL</v>
      </c>
      <c r="E358" t="s">
        <v>163</v>
      </c>
      <c r="F358" t="s">
        <v>126</v>
      </c>
      <c r="G358" t="s">
        <v>164</v>
      </c>
      <c r="H358">
        <v>5442438</v>
      </c>
      <c r="I358" t="s">
        <v>165</v>
      </c>
      <c r="J358" t="s">
        <v>166</v>
      </c>
      <c r="K358" t="str">
        <f t="shared" si="15"/>
        <v>Ronald Max</v>
      </c>
      <c r="L358" s="1">
        <v>45969</v>
      </c>
      <c r="M358" s="1">
        <v>46030</v>
      </c>
      <c r="N358" s="2">
        <v>24.61</v>
      </c>
      <c r="O358">
        <f t="shared" si="17"/>
        <v>2</v>
      </c>
      <c r="P358" t="s">
        <v>1370</v>
      </c>
      <c r="Q358" s="4">
        <v>0.7</v>
      </c>
      <c r="R358" t="s">
        <v>83</v>
      </c>
      <c r="S358" t="s">
        <v>61</v>
      </c>
      <c r="T358" s="2">
        <v>17.23</v>
      </c>
      <c r="U358" t="s">
        <v>127</v>
      </c>
    </row>
    <row r="359" spans="1:21" x14ac:dyDescent="0.25">
      <c r="A359">
        <v>2031658338</v>
      </c>
      <c r="B359" t="s">
        <v>161</v>
      </c>
      <c r="C359" t="s">
        <v>162</v>
      </c>
      <c r="D359" t="str">
        <f t="shared" si="16"/>
        <v>EVAN SMITH</v>
      </c>
      <c r="E359" t="s">
        <v>163</v>
      </c>
      <c r="F359" t="s">
        <v>126</v>
      </c>
      <c r="G359" t="s">
        <v>164</v>
      </c>
      <c r="H359">
        <v>5442438</v>
      </c>
      <c r="I359" t="s">
        <v>165</v>
      </c>
      <c r="J359" t="s">
        <v>166</v>
      </c>
      <c r="K359" t="str">
        <f t="shared" si="15"/>
        <v>Ronald Max</v>
      </c>
      <c r="L359" s="1">
        <v>45962</v>
      </c>
      <c r="M359" s="1">
        <v>46023</v>
      </c>
      <c r="N359" s="2">
        <v>-55.58</v>
      </c>
      <c r="O359">
        <f t="shared" si="17"/>
        <v>2</v>
      </c>
      <c r="P359" t="s">
        <v>1370</v>
      </c>
      <c r="Q359" s="4">
        <v>0.7</v>
      </c>
      <c r="R359" t="s">
        <v>83</v>
      </c>
      <c r="S359" t="s">
        <v>61</v>
      </c>
      <c r="T359" s="2">
        <v>-38.909999999999997</v>
      </c>
      <c r="U359" t="s">
        <v>127</v>
      </c>
    </row>
    <row r="360" spans="1:21" x14ac:dyDescent="0.25">
      <c r="A360">
        <v>2031713686</v>
      </c>
      <c r="B360" t="s">
        <v>925</v>
      </c>
      <c r="C360" t="s">
        <v>926</v>
      </c>
      <c r="D360" t="str">
        <f t="shared" si="16"/>
        <v>JA'NET RANDALL</v>
      </c>
      <c r="E360" t="s">
        <v>163</v>
      </c>
      <c r="F360" t="s">
        <v>75</v>
      </c>
      <c r="G360" t="s">
        <v>80</v>
      </c>
      <c r="H360">
        <v>5442438</v>
      </c>
      <c r="I360" t="s">
        <v>165</v>
      </c>
      <c r="J360" t="s">
        <v>166</v>
      </c>
      <c r="K360" t="str">
        <f t="shared" si="15"/>
        <v>Ronald Max</v>
      </c>
      <c r="L360" s="1">
        <v>45969</v>
      </c>
      <c r="M360" s="1">
        <v>46030</v>
      </c>
      <c r="N360" s="2">
        <v>119.44</v>
      </c>
      <c r="O360">
        <f t="shared" si="17"/>
        <v>2</v>
      </c>
      <c r="P360" t="s">
        <v>1370</v>
      </c>
      <c r="Q360" s="4">
        <v>0.9</v>
      </c>
      <c r="R360" t="s">
        <v>83</v>
      </c>
      <c r="S360" t="s">
        <v>61</v>
      </c>
      <c r="T360" s="2">
        <v>107.5</v>
      </c>
      <c r="U360" t="s">
        <v>1372</v>
      </c>
    </row>
    <row r="361" spans="1:21" x14ac:dyDescent="0.25">
      <c r="A361">
        <v>2031658339</v>
      </c>
      <c r="B361" t="s">
        <v>161</v>
      </c>
      <c r="C361" t="s">
        <v>162</v>
      </c>
      <c r="D361" t="str">
        <f t="shared" si="16"/>
        <v>EVAN SMITH</v>
      </c>
      <c r="E361" t="s">
        <v>163</v>
      </c>
      <c r="F361" t="s">
        <v>75</v>
      </c>
      <c r="G361" t="s">
        <v>80</v>
      </c>
      <c r="H361">
        <v>5442438</v>
      </c>
      <c r="I361" t="s">
        <v>165</v>
      </c>
      <c r="J361" t="s">
        <v>166</v>
      </c>
      <c r="K361" t="str">
        <f t="shared" si="15"/>
        <v>Ronald Max</v>
      </c>
      <c r="L361" s="1">
        <v>45962</v>
      </c>
      <c r="M361" s="1">
        <v>46023</v>
      </c>
      <c r="N361" s="2">
        <v>-118.88</v>
      </c>
      <c r="O361">
        <f t="shared" si="17"/>
        <v>2</v>
      </c>
      <c r="P361" t="s">
        <v>1370</v>
      </c>
      <c r="Q361" s="4">
        <v>0.9</v>
      </c>
      <c r="R361" t="s">
        <v>83</v>
      </c>
      <c r="S361" t="s">
        <v>61</v>
      </c>
      <c r="T361" s="2">
        <v>-106.99</v>
      </c>
      <c r="U361" t="s">
        <v>1372</v>
      </c>
    </row>
    <row r="362" spans="1:21" x14ac:dyDescent="0.25">
      <c r="A362">
        <v>2031713984</v>
      </c>
      <c r="B362" t="s">
        <v>1189</v>
      </c>
      <c r="C362" t="s">
        <v>1190</v>
      </c>
      <c r="D362" t="str">
        <f t="shared" si="16"/>
        <v>DWAYNE WILLAMS</v>
      </c>
      <c r="E362" t="s">
        <v>163</v>
      </c>
      <c r="F362" t="s">
        <v>126</v>
      </c>
      <c r="G362" t="s">
        <v>375</v>
      </c>
      <c r="H362">
        <v>5442438</v>
      </c>
      <c r="I362" t="s">
        <v>165</v>
      </c>
      <c r="J362" t="s">
        <v>166</v>
      </c>
      <c r="K362" t="str">
        <f t="shared" si="15"/>
        <v>Ronald Max</v>
      </c>
      <c r="L362" s="1">
        <v>45969</v>
      </c>
      <c r="M362" s="1">
        <v>46030</v>
      </c>
      <c r="N362" s="2">
        <v>80.83</v>
      </c>
      <c r="O362">
        <f t="shared" si="17"/>
        <v>2</v>
      </c>
      <c r="P362" t="s">
        <v>1370</v>
      </c>
      <c r="Q362" s="4">
        <v>0.9</v>
      </c>
      <c r="R362" t="s">
        <v>83</v>
      </c>
      <c r="S362" t="s">
        <v>61</v>
      </c>
      <c r="T362" s="2">
        <v>72.75</v>
      </c>
      <c r="U362" t="s">
        <v>375</v>
      </c>
    </row>
    <row r="363" spans="1:21" x14ac:dyDescent="0.25">
      <c r="A363">
        <v>2032010096</v>
      </c>
      <c r="B363" t="s">
        <v>933</v>
      </c>
      <c r="C363" t="s">
        <v>305</v>
      </c>
      <c r="D363" t="str">
        <f t="shared" si="16"/>
        <v>KURT OLSZEWSKI</v>
      </c>
      <c r="E363" t="s">
        <v>102</v>
      </c>
      <c r="F363" t="s">
        <v>75</v>
      </c>
      <c r="G363" t="s">
        <v>243</v>
      </c>
      <c r="H363">
        <v>8977234</v>
      </c>
      <c r="I363" t="s">
        <v>81</v>
      </c>
      <c r="J363" t="s">
        <v>82</v>
      </c>
      <c r="K363" t="str">
        <f t="shared" si="15"/>
        <v>RYAN CALTAGIRONE</v>
      </c>
      <c r="L363" s="1">
        <v>45967</v>
      </c>
      <c r="M363" s="1">
        <v>46028</v>
      </c>
      <c r="N363" s="2">
        <v>108.28</v>
      </c>
      <c r="O363">
        <f t="shared" si="17"/>
        <v>2</v>
      </c>
      <c r="P363" t="s">
        <v>1370</v>
      </c>
      <c r="Q363" s="4">
        <v>0.75</v>
      </c>
      <c r="R363" t="s">
        <v>83</v>
      </c>
      <c r="S363" t="s">
        <v>61</v>
      </c>
      <c r="T363" s="2">
        <v>81.209999999999994</v>
      </c>
      <c r="U363" t="s">
        <v>1371</v>
      </c>
    </row>
    <row r="364" spans="1:21" x14ac:dyDescent="0.25">
      <c r="A364">
        <v>2031795974</v>
      </c>
      <c r="B364" t="s">
        <v>396</v>
      </c>
      <c r="C364" t="s">
        <v>182</v>
      </c>
      <c r="D364" t="str">
        <f t="shared" si="16"/>
        <v>MICHAEL DAUGHERTY</v>
      </c>
      <c r="E364" t="s">
        <v>210</v>
      </c>
      <c r="F364" t="s">
        <v>169</v>
      </c>
      <c r="G364" t="s">
        <v>170</v>
      </c>
      <c r="H364">
        <v>8977234</v>
      </c>
      <c r="I364" t="s">
        <v>81</v>
      </c>
      <c r="J364" t="s">
        <v>82</v>
      </c>
      <c r="K364" t="str">
        <f t="shared" si="15"/>
        <v>RYAN CALTAGIRONE</v>
      </c>
      <c r="L364" s="1">
        <v>45962</v>
      </c>
      <c r="M364" s="1">
        <v>46023</v>
      </c>
      <c r="N364" s="2">
        <v>72.2</v>
      </c>
      <c r="O364">
        <f t="shared" si="17"/>
        <v>2</v>
      </c>
      <c r="P364" t="s">
        <v>1370</v>
      </c>
      <c r="Q364" s="4">
        <v>0.47</v>
      </c>
      <c r="R364" t="s">
        <v>83</v>
      </c>
      <c r="S364" t="s">
        <v>61</v>
      </c>
      <c r="T364" s="2">
        <v>33.93</v>
      </c>
      <c r="U364" t="s">
        <v>170</v>
      </c>
    </row>
    <row r="365" spans="1:21" x14ac:dyDescent="0.25">
      <c r="A365">
        <v>2031796085</v>
      </c>
      <c r="B365" t="s">
        <v>1335</v>
      </c>
      <c r="C365" t="s">
        <v>428</v>
      </c>
      <c r="D365" t="str">
        <f t="shared" si="16"/>
        <v>RENITA CHARRLIN</v>
      </c>
      <c r="E365" t="s">
        <v>210</v>
      </c>
      <c r="F365" t="s">
        <v>169</v>
      </c>
      <c r="G365" t="s">
        <v>170</v>
      </c>
      <c r="H365">
        <v>8977234</v>
      </c>
      <c r="I365" t="s">
        <v>81</v>
      </c>
      <c r="J365" t="s">
        <v>82</v>
      </c>
      <c r="K365" t="str">
        <f t="shared" si="15"/>
        <v>RYAN CALTAGIRONE</v>
      </c>
      <c r="L365" s="1">
        <v>45962</v>
      </c>
      <c r="M365" s="1">
        <v>46023</v>
      </c>
      <c r="N365" s="2">
        <v>52.01</v>
      </c>
      <c r="O365">
        <f t="shared" si="17"/>
        <v>2</v>
      </c>
      <c r="P365" t="s">
        <v>1370</v>
      </c>
      <c r="Q365" s="4">
        <v>0.47</v>
      </c>
      <c r="R365" t="s">
        <v>83</v>
      </c>
      <c r="S365" t="s">
        <v>61</v>
      </c>
      <c r="T365" s="2">
        <v>24.44</v>
      </c>
      <c r="U365" t="s">
        <v>170</v>
      </c>
    </row>
    <row r="366" spans="1:21" x14ac:dyDescent="0.25">
      <c r="A366">
        <v>2032010095</v>
      </c>
      <c r="B366" t="s">
        <v>933</v>
      </c>
      <c r="C366" t="s">
        <v>305</v>
      </c>
      <c r="D366" t="str">
        <f t="shared" si="16"/>
        <v>KURT OLSZEWSKI</v>
      </c>
      <c r="E366" t="s">
        <v>102</v>
      </c>
      <c r="F366" t="s">
        <v>126</v>
      </c>
      <c r="G366" t="s">
        <v>132</v>
      </c>
      <c r="H366">
        <v>8977234</v>
      </c>
      <c r="I366" t="s">
        <v>81</v>
      </c>
      <c r="J366" t="s">
        <v>82</v>
      </c>
      <c r="K366" t="str">
        <f t="shared" si="15"/>
        <v>RYAN CALTAGIRONE</v>
      </c>
      <c r="L366" s="1">
        <v>45967</v>
      </c>
      <c r="M366" s="1">
        <v>46028</v>
      </c>
      <c r="N366" s="2">
        <v>95.54</v>
      </c>
      <c r="O366">
        <f t="shared" si="17"/>
        <v>2</v>
      </c>
      <c r="P366" t="s">
        <v>1370</v>
      </c>
      <c r="Q366" s="4">
        <v>0.7</v>
      </c>
      <c r="R366" t="s">
        <v>83</v>
      </c>
      <c r="S366" t="s">
        <v>61</v>
      </c>
      <c r="T366" s="2">
        <v>66.88</v>
      </c>
      <c r="U366" t="s">
        <v>132</v>
      </c>
    </row>
    <row r="367" spans="1:21" x14ac:dyDescent="0.25">
      <c r="A367">
        <v>2031999765</v>
      </c>
      <c r="B367" t="s">
        <v>1199</v>
      </c>
      <c r="C367" t="s">
        <v>1200</v>
      </c>
      <c r="D367" t="str">
        <f t="shared" si="16"/>
        <v>THERESE CLUCAS</v>
      </c>
      <c r="E367" t="s">
        <v>102</v>
      </c>
      <c r="F367" t="s">
        <v>126</v>
      </c>
      <c r="G367" t="s">
        <v>132</v>
      </c>
      <c r="H367">
        <v>19396223</v>
      </c>
      <c r="I367" t="s">
        <v>213</v>
      </c>
      <c r="J367" t="s">
        <v>214</v>
      </c>
      <c r="K367" t="str">
        <f t="shared" si="15"/>
        <v>Saadia Abdul</v>
      </c>
      <c r="L367" s="1">
        <v>45967</v>
      </c>
      <c r="M367" s="1">
        <v>46028</v>
      </c>
      <c r="N367" s="2">
        <v>59.4</v>
      </c>
      <c r="O367">
        <f t="shared" si="17"/>
        <v>2</v>
      </c>
      <c r="P367" t="s">
        <v>1370</v>
      </c>
      <c r="Q367" s="4">
        <v>0.7</v>
      </c>
      <c r="R367" t="s">
        <v>83</v>
      </c>
      <c r="S367" t="s">
        <v>61</v>
      </c>
      <c r="T367" s="2">
        <v>41.58</v>
      </c>
      <c r="U367" t="s">
        <v>132</v>
      </c>
    </row>
    <row r="368" spans="1:21" x14ac:dyDescent="0.25">
      <c r="A368">
        <v>2032095170</v>
      </c>
      <c r="B368" t="s">
        <v>1221</v>
      </c>
      <c r="C368" t="s">
        <v>530</v>
      </c>
      <c r="D368" t="str">
        <f t="shared" si="16"/>
        <v>NICOLE PITZAFERRO</v>
      </c>
      <c r="E368" t="s">
        <v>102</v>
      </c>
      <c r="F368" t="s">
        <v>126</v>
      </c>
      <c r="G368" t="s">
        <v>132</v>
      </c>
      <c r="H368">
        <v>19396223</v>
      </c>
      <c r="I368" t="s">
        <v>213</v>
      </c>
      <c r="J368" t="s">
        <v>214</v>
      </c>
      <c r="K368" t="str">
        <f t="shared" si="15"/>
        <v>Saadia Abdul</v>
      </c>
      <c r="L368" s="1">
        <v>45972</v>
      </c>
      <c r="M368" s="1">
        <v>46033</v>
      </c>
      <c r="N368" s="2">
        <v>59.4</v>
      </c>
      <c r="O368">
        <f t="shared" si="17"/>
        <v>2</v>
      </c>
      <c r="P368" t="s">
        <v>1370</v>
      </c>
      <c r="Q368" s="4">
        <v>0.7</v>
      </c>
      <c r="R368" t="s">
        <v>83</v>
      </c>
      <c r="S368" t="s">
        <v>61</v>
      </c>
      <c r="T368" s="2">
        <v>41.58</v>
      </c>
      <c r="U368" t="s">
        <v>132</v>
      </c>
    </row>
    <row r="369" spans="1:21" x14ac:dyDescent="0.25">
      <c r="A369">
        <v>2030820657</v>
      </c>
      <c r="B369" t="s">
        <v>1333</v>
      </c>
      <c r="C369" t="s">
        <v>71</v>
      </c>
      <c r="D369" t="str">
        <f t="shared" si="16"/>
        <v>JOHN MCADOO</v>
      </c>
      <c r="E369" t="s">
        <v>52</v>
      </c>
      <c r="F369" t="s">
        <v>169</v>
      </c>
      <c r="G369" t="s">
        <v>170</v>
      </c>
      <c r="H369" t="s">
        <v>1390</v>
      </c>
      <c r="I369" t="s">
        <v>183</v>
      </c>
      <c r="J369" t="s">
        <v>184</v>
      </c>
      <c r="K369" t="str">
        <f t="shared" si="15"/>
        <v>DEBORAH INSKIPT</v>
      </c>
      <c r="L369" s="1">
        <v>45931</v>
      </c>
      <c r="M369" s="1">
        <v>46023</v>
      </c>
      <c r="N369" s="2">
        <v>33.590000000000003</v>
      </c>
      <c r="O369">
        <f t="shared" si="17"/>
        <v>3</v>
      </c>
      <c r="P369" t="s">
        <v>1370</v>
      </c>
      <c r="Q369" s="4">
        <v>0.47</v>
      </c>
      <c r="R369" t="s">
        <v>83</v>
      </c>
      <c r="S369" t="s">
        <v>61</v>
      </c>
      <c r="T369" s="2">
        <v>15.79</v>
      </c>
      <c r="U369" t="s">
        <v>170</v>
      </c>
    </row>
    <row r="370" spans="1:21" x14ac:dyDescent="0.25">
      <c r="A370">
        <v>2031320896</v>
      </c>
      <c r="B370" t="s">
        <v>915</v>
      </c>
      <c r="C370" t="s">
        <v>96</v>
      </c>
      <c r="D370" t="str">
        <f t="shared" si="16"/>
        <v>MICHELLE SONTERRE</v>
      </c>
      <c r="E370" t="s">
        <v>389</v>
      </c>
      <c r="F370" t="s">
        <v>75</v>
      </c>
      <c r="G370" t="s">
        <v>76</v>
      </c>
      <c r="H370">
        <v>8307933</v>
      </c>
      <c r="I370" t="s">
        <v>246</v>
      </c>
      <c r="J370" t="s">
        <v>247</v>
      </c>
      <c r="K370" t="str">
        <f t="shared" si="15"/>
        <v>GREGORY TEIPEL</v>
      </c>
      <c r="L370" s="1">
        <v>45936</v>
      </c>
      <c r="M370" s="1">
        <v>46028</v>
      </c>
      <c r="N370" s="2">
        <v>125.45</v>
      </c>
      <c r="O370">
        <f t="shared" si="17"/>
        <v>3</v>
      </c>
      <c r="P370" t="s">
        <v>1370</v>
      </c>
      <c r="Q370" s="4">
        <v>0.75</v>
      </c>
      <c r="R370" t="s">
        <v>83</v>
      </c>
      <c r="S370" t="s">
        <v>61</v>
      </c>
      <c r="T370" s="2">
        <v>94.09</v>
      </c>
      <c r="U370" t="s">
        <v>1371</v>
      </c>
    </row>
    <row r="371" spans="1:21" x14ac:dyDescent="0.25">
      <c r="A371">
        <v>2031014066</v>
      </c>
      <c r="B371" t="s">
        <v>601</v>
      </c>
      <c r="C371" t="s">
        <v>602</v>
      </c>
      <c r="D371" t="str">
        <f t="shared" si="16"/>
        <v>ANNE BOYLE</v>
      </c>
      <c r="E371" t="s">
        <v>447</v>
      </c>
      <c r="F371" t="s">
        <v>75</v>
      </c>
      <c r="G371" t="s">
        <v>76</v>
      </c>
      <c r="H371">
        <v>8307933</v>
      </c>
      <c r="I371" t="s">
        <v>246</v>
      </c>
      <c r="J371" t="s">
        <v>247</v>
      </c>
      <c r="K371" t="str">
        <f t="shared" si="15"/>
        <v>GREGORY TEIPEL</v>
      </c>
      <c r="L371" s="1">
        <v>45936</v>
      </c>
      <c r="M371" s="1">
        <v>46028</v>
      </c>
      <c r="N371" s="2">
        <v>118.83</v>
      </c>
      <c r="O371">
        <f t="shared" si="17"/>
        <v>3</v>
      </c>
      <c r="P371" t="s">
        <v>1370</v>
      </c>
      <c r="Q371" s="4">
        <v>0.75</v>
      </c>
      <c r="R371" t="s">
        <v>83</v>
      </c>
      <c r="S371" t="s">
        <v>61</v>
      </c>
      <c r="T371" s="2">
        <v>89.12</v>
      </c>
      <c r="U371" t="s">
        <v>1371</v>
      </c>
    </row>
    <row r="372" spans="1:21" x14ac:dyDescent="0.25">
      <c r="A372">
        <v>2030816919</v>
      </c>
      <c r="B372" t="s">
        <v>896</v>
      </c>
      <c r="C372" t="s">
        <v>897</v>
      </c>
      <c r="D372" t="str">
        <f t="shared" si="16"/>
        <v>GRACE NISWANGER</v>
      </c>
      <c r="E372" t="s">
        <v>389</v>
      </c>
      <c r="F372" t="s">
        <v>75</v>
      </c>
      <c r="G372" t="s">
        <v>76</v>
      </c>
      <c r="H372">
        <v>8307933</v>
      </c>
      <c r="I372" t="s">
        <v>246</v>
      </c>
      <c r="J372" t="s">
        <v>247</v>
      </c>
      <c r="K372" t="str">
        <f t="shared" si="15"/>
        <v>GREGORY TEIPEL</v>
      </c>
      <c r="L372" s="1">
        <v>45936</v>
      </c>
      <c r="M372" s="1">
        <v>46028</v>
      </c>
      <c r="N372" s="2">
        <v>43.75</v>
      </c>
      <c r="O372">
        <f t="shared" si="17"/>
        <v>3</v>
      </c>
      <c r="P372" t="s">
        <v>1370</v>
      </c>
      <c r="Q372" s="4">
        <v>0.75</v>
      </c>
      <c r="R372" t="s">
        <v>83</v>
      </c>
      <c r="S372" t="s">
        <v>61</v>
      </c>
      <c r="T372" s="2">
        <v>32.81</v>
      </c>
      <c r="U372" t="s">
        <v>1371</v>
      </c>
    </row>
    <row r="373" spans="1:21" x14ac:dyDescent="0.25">
      <c r="A373">
        <v>2030806602</v>
      </c>
      <c r="B373" t="s">
        <v>147</v>
      </c>
      <c r="C373" t="s">
        <v>803</v>
      </c>
      <c r="D373" t="str">
        <f t="shared" si="16"/>
        <v>HEATHER MARTIN</v>
      </c>
      <c r="E373" t="s">
        <v>447</v>
      </c>
      <c r="F373" t="s">
        <v>75</v>
      </c>
      <c r="G373" t="s">
        <v>76</v>
      </c>
      <c r="H373">
        <v>8307933</v>
      </c>
      <c r="I373" t="s">
        <v>246</v>
      </c>
      <c r="J373" t="s">
        <v>247</v>
      </c>
      <c r="K373" t="str">
        <f t="shared" si="15"/>
        <v>GREGORY TEIPEL</v>
      </c>
      <c r="L373" s="1">
        <v>45936</v>
      </c>
      <c r="M373" s="1">
        <v>46028</v>
      </c>
      <c r="N373" s="2">
        <v>26.73</v>
      </c>
      <c r="O373">
        <f t="shared" si="17"/>
        <v>3</v>
      </c>
      <c r="P373" t="s">
        <v>1370</v>
      </c>
      <c r="Q373" s="4">
        <v>0.75</v>
      </c>
      <c r="R373" t="s">
        <v>83</v>
      </c>
      <c r="S373" t="s">
        <v>61</v>
      </c>
      <c r="T373" s="2">
        <v>20.05</v>
      </c>
      <c r="U373" t="s">
        <v>1371</v>
      </c>
    </row>
    <row r="374" spans="1:21" x14ac:dyDescent="0.25">
      <c r="A374">
        <v>2031270408</v>
      </c>
      <c r="B374" t="s">
        <v>912</v>
      </c>
      <c r="C374" t="s">
        <v>913</v>
      </c>
      <c r="D374" t="str">
        <f t="shared" si="16"/>
        <v>SHEILA REUTER</v>
      </c>
      <c r="E374" t="s">
        <v>389</v>
      </c>
      <c r="F374" t="s">
        <v>75</v>
      </c>
      <c r="G374" t="s">
        <v>243</v>
      </c>
      <c r="H374">
        <v>8307933</v>
      </c>
      <c r="I374" t="s">
        <v>246</v>
      </c>
      <c r="J374" t="s">
        <v>247</v>
      </c>
      <c r="K374" t="str">
        <f t="shared" si="15"/>
        <v>GREGORY TEIPEL</v>
      </c>
      <c r="L374" s="1">
        <v>45941</v>
      </c>
      <c r="M374" s="1">
        <v>46033</v>
      </c>
      <c r="N374" s="2">
        <v>85.15</v>
      </c>
      <c r="O374">
        <f t="shared" si="17"/>
        <v>3</v>
      </c>
      <c r="P374" t="s">
        <v>1370</v>
      </c>
      <c r="Q374" s="4">
        <v>0.75</v>
      </c>
      <c r="R374" t="s">
        <v>83</v>
      </c>
      <c r="S374" t="s">
        <v>61</v>
      </c>
      <c r="T374" s="2">
        <v>63.86</v>
      </c>
      <c r="U374" t="s">
        <v>1371</v>
      </c>
    </row>
    <row r="375" spans="1:21" x14ac:dyDescent="0.25">
      <c r="A375">
        <v>2031290289</v>
      </c>
      <c r="B375" t="s">
        <v>244</v>
      </c>
      <c r="C375" t="s">
        <v>914</v>
      </c>
      <c r="D375" t="str">
        <f t="shared" si="16"/>
        <v>RODGER MORRIS</v>
      </c>
      <c r="E375" t="s">
        <v>102</v>
      </c>
      <c r="F375" t="s">
        <v>75</v>
      </c>
      <c r="G375" t="s">
        <v>80</v>
      </c>
      <c r="H375">
        <v>8307933</v>
      </c>
      <c r="I375" t="s">
        <v>246</v>
      </c>
      <c r="J375" t="s">
        <v>247</v>
      </c>
      <c r="K375" t="str">
        <f t="shared" si="15"/>
        <v>GREGORY TEIPEL</v>
      </c>
      <c r="L375" s="1">
        <v>45936</v>
      </c>
      <c r="M375" s="1">
        <v>46028</v>
      </c>
      <c r="N375" s="2">
        <v>260.01</v>
      </c>
      <c r="O375">
        <f t="shared" si="17"/>
        <v>3</v>
      </c>
      <c r="P375" t="s">
        <v>1370</v>
      </c>
      <c r="Q375" s="4">
        <v>0.9</v>
      </c>
      <c r="R375" t="s">
        <v>83</v>
      </c>
      <c r="S375" t="s">
        <v>61</v>
      </c>
      <c r="T375" s="2">
        <v>234.01</v>
      </c>
      <c r="U375" t="s">
        <v>1372</v>
      </c>
    </row>
    <row r="376" spans="1:21" x14ac:dyDescent="0.25">
      <c r="A376">
        <v>2031192062</v>
      </c>
      <c r="B376" t="s">
        <v>909</v>
      </c>
      <c r="C376" t="s">
        <v>786</v>
      </c>
      <c r="D376" t="str">
        <f t="shared" si="16"/>
        <v>TAMMY WOODFIN</v>
      </c>
      <c r="E376" t="s">
        <v>256</v>
      </c>
      <c r="F376" t="s">
        <v>75</v>
      </c>
      <c r="G376" t="s">
        <v>80</v>
      </c>
      <c r="H376">
        <v>8307933</v>
      </c>
      <c r="I376" t="s">
        <v>246</v>
      </c>
      <c r="J376" t="s">
        <v>247</v>
      </c>
      <c r="K376" t="str">
        <f t="shared" si="15"/>
        <v>GREGORY TEIPEL</v>
      </c>
      <c r="L376" s="1">
        <v>45936</v>
      </c>
      <c r="M376" s="1">
        <v>46028</v>
      </c>
      <c r="N376" s="2">
        <v>240.76</v>
      </c>
      <c r="O376">
        <f t="shared" si="17"/>
        <v>3</v>
      </c>
      <c r="P376" t="s">
        <v>1370</v>
      </c>
      <c r="Q376" s="4">
        <v>0.9</v>
      </c>
      <c r="R376" t="s">
        <v>83</v>
      </c>
      <c r="S376" t="s">
        <v>61</v>
      </c>
      <c r="T376" s="2">
        <v>216.68</v>
      </c>
      <c r="U376" t="s">
        <v>1372</v>
      </c>
    </row>
    <row r="377" spans="1:21" x14ac:dyDescent="0.25">
      <c r="A377">
        <v>2030948466</v>
      </c>
      <c r="B377" t="s">
        <v>905</v>
      </c>
      <c r="C377" t="s">
        <v>906</v>
      </c>
      <c r="D377" t="str">
        <f t="shared" si="16"/>
        <v>TINA BURKS</v>
      </c>
      <c r="E377" t="s">
        <v>97</v>
      </c>
      <c r="F377" t="s">
        <v>75</v>
      </c>
      <c r="G377" t="s">
        <v>80</v>
      </c>
      <c r="H377">
        <v>8307933</v>
      </c>
      <c r="I377" t="s">
        <v>246</v>
      </c>
      <c r="J377" t="s">
        <v>247</v>
      </c>
      <c r="K377" t="str">
        <f t="shared" si="15"/>
        <v>GREGORY TEIPEL</v>
      </c>
      <c r="L377" s="1">
        <v>45936</v>
      </c>
      <c r="M377" s="1">
        <v>46028</v>
      </c>
      <c r="N377" s="2">
        <v>180.92</v>
      </c>
      <c r="O377">
        <f t="shared" si="17"/>
        <v>3</v>
      </c>
      <c r="P377" t="s">
        <v>1370</v>
      </c>
      <c r="Q377" s="4">
        <v>0.9</v>
      </c>
      <c r="R377" t="s">
        <v>83</v>
      </c>
      <c r="S377" t="s">
        <v>61</v>
      </c>
      <c r="T377" s="2">
        <v>162.83000000000001</v>
      </c>
      <c r="U377" t="s">
        <v>1372</v>
      </c>
    </row>
    <row r="378" spans="1:21" x14ac:dyDescent="0.25">
      <c r="A378">
        <v>2031247582</v>
      </c>
      <c r="B378" t="s">
        <v>610</v>
      </c>
      <c r="C378" t="s">
        <v>285</v>
      </c>
      <c r="D378" t="str">
        <f t="shared" si="16"/>
        <v>FRANK CARIOTI</v>
      </c>
      <c r="E378" t="s">
        <v>102</v>
      </c>
      <c r="F378" t="s">
        <v>75</v>
      </c>
      <c r="G378" t="s">
        <v>80</v>
      </c>
      <c r="H378">
        <v>8307933</v>
      </c>
      <c r="I378" t="s">
        <v>246</v>
      </c>
      <c r="J378" t="s">
        <v>247</v>
      </c>
      <c r="K378" t="str">
        <f t="shared" si="15"/>
        <v>GREGORY TEIPEL</v>
      </c>
      <c r="L378" s="1">
        <v>45936</v>
      </c>
      <c r="M378" s="1">
        <v>46028</v>
      </c>
      <c r="N378" s="2">
        <v>135.33000000000001</v>
      </c>
      <c r="O378">
        <f t="shared" si="17"/>
        <v>3</v>
      </c>
      <c r="P378" t="s">
        <v>1370</v>
      </c>
      <c r="Q378" s="4">
        <v>0.9</v>
      </c>
      <c r="R378" t="s">
        <v>83</v>
      </c>
      <c r="S378" t="s">
        <v>61</v>
      </c>
      <c r="T378" s="2">
        <v>121.8</v>
      </c>
      <c r="U378" t="s">
        <v>1372</v>
      </c>
    </row>
    <row r="379" spans="1:21" x14ac:dyDescent="0.25">
      <c r="A379">
        <v>2031246838</v>
      </c>
      <c r="B379" t="s">
        <v>608</v>
      </c>
      <c r="C379" t="s">
        <v>609</v>
      </c>
      <c r="D379" t="str">
        <f t="shared" si="16"/>
        <v>SUZANNE HACKLEMAN</v>
      </c>
      <c r="E379" t="s">
        <v>256</v>
      </c>
      <c r="F379" t="s">
        <v>75</v>
      </c>
      <c r="G379" t="s">
        <v>80</v>
      </c>
      <c r="H379">
        <v>8307933</v>
      </c>
      <c r="I379" t="s">
        <v>246</v>
      </c>
      <c r="J379" t="s">
        <v>247</v>
      </c>
      <c r="K379" t="str">
        <f t="shared" si="15"/>
        <v>GREGORY TEIPEL</v>
      </c>
      <c r="L379" s="1">
        <v>45936</v>
      </c>
      <c r="M379" s="1">
        <v>46028</v>
      </c>
      <c r="N379" s="2">
        <v>121.41</v>
      </c>
      <c r="O379">
        <f t="shared" si="17"/>
        <v>3</v>
      </c>
      <c r="P379" t="s">
        <v>1370</v>
      </c>
      <c r="Q379" s="4">
        <v>0.9</v>
      </c>
      <c r="R379" t="s">
        <v>83</v>
      </c>
      <c r="S379" t="s">
        <v>61</v>
      </c>
      <c r="T379" s="2">
        <v>109.27</v>
      </c>
      <c r="U379" t="s">
        <v>1372</v>
      </c>
    </row>
    <row r="380" spans="1:21" x14ac:dyDescent="0.25">
      <c r="A380">
        <v>2030820713</v>
      </c>
      <c r="B380" t="s">
        <v>898</v>
      </c>
      <c r="C380" t="s">
        <v>899</v>
      </c>
      <c r="D380" t="str">
        <f t="shared" si="16"/>
        <v>KYLER GABBARD</v>
      </c>
      <c r="E380" t="s">
        <v>267</v>
      </c>
      <c r="F380" t="s">
        <v>75</v>
      </c>
      <c r="G380" t="s">
        <v>80</v>
      </c>
      <c r="H380">
        <v>8307933</v>
      </c>
      <c r="I380" t="s">
        <v>246</v>
      </c>
      <c r="J380" t="s">
        <v>247</v>
      </c>
      <c r="K380" t="str">
        <f t="shared" si="15"/>
        <v>GREGORY TEIPEL</v>
      </c>
      <c r="L380" s="1">
        <v>45936</v>
      </c>
      <c r="M380" s="1">
        <v>46028</v>
      </c>
      <c r="N380" s="2">
        <v>61.25</v>
      </c>
      <c r="O380">
        <f t="shared" si="17"/>
        <v>3</v>
      </c>
      <c r="P380" t="s">
        <v>1370</v>
      </c>
      <c r="Q380" s="4">
        <v>0.9</v>
      </c>
      <c r="R380" t="s">
        <v>83</v>
      </c>
      <c r="S380" t="s">
        <v>61</v>
      </c>
      <c r="T380" s="2">
        <v>55.12</v>
      </c>
      <c r="U380" t="s">
        <v>1372</v>
      </c>
    </row>
    <row r="381" spans="1:21" x14ac:dyDescent="0.25">
      <c r="A381">
        <v>2030977481</v>
      </c>
      <c r="B381" t="s">
        <v>1166</v>
      </c>
      <c r="C381" t="s">
        <v>152</v>
      </c>
      <c r="D381" t="str">
        <f t="shared" si="16"/>
        <v>RICARDO ORTIZ</v>
      </c>
      <c r="E381" t="s">
        <v>620</v>
      </c>
      <c r="F381" t="s">
        <v>126</v>
      </c>
      <c r="G381" t="s">
        <v>132</v>
      </c>
      <c r="H381">
        <v>8307933</v>
      </c>
      <c r="I381" t="s">
        <v>246</v>
      </c>
      <c r="J381" t="s">
        <v>247</v>
      </c>
      <c r="K381" t="str">
        <f t="shared" ref="K381:K444" si="18">CONCATENATE(J381," ",I381)</f>
        <v>GREGORY TEIPEL</v>
      </c>
      <c r="L381" s="1">
        <v>45936</v>
      </c>
      <c r="M381" s="1">
        <v>46028</v>
      </c>
      <c r="N381" s="2">
        <v>228.99</v>
      </c>
      <c r="O381">
        <f t="shared" si="17"/>
        <v>3</v>
      </c>
      <c r="P381" t="s">
        <v>1370</v>
      </c>
      <c r="Q381" s="4">
        <v>0.7</v>
      </c>
      <c r="R381" t="s">
        <v>83</v>
      </c>
      <c r="S381" t="s">
        <v>61</v>
      </c>
      <c r="T381" s="2">
        <v>160.29</v>
      </c>
      <c r="U381" t="s">
        <v>132</v>
      </c>
    </row>
    <row r="382" spans="1:21" x14ac:dyDescent="0.25">
      <c r="A382">
        <v>2031247581</v>
      </c>
      <c r="B382" t="s">
        <v>610</v>
      </c>
      <c r="C382" t="s">
        <v>285</v>
      </c>
      <c r="D382" t="str">
        <f t="shared" si="16"/>
        <v>FRANK CARIOTI</v>
      </c>
      <c r="E382" t="s">
        <v>102</v>
      </c>
      <c r="F382" t="s">
        <v>126</v>
      </c>
      <c r="G382" t="s">
        <v>132</v>
      </c>
      <c r="H382">
        <v>8307933</v>
      </c>
      <c r="I382" t="s">
        <v>246</v>
      </c>
      <c r="J382" t="s">
        <v>247</v>
      </c>
      <c r="K382" t="str">
        <f t="shared" si="18"/>
        <v>GREGORY TEIPEL</v>
      </c>
      <c r="L382" s="1">
        <v>45936</v>
      </c>
      <c r="M382" s="1">
        <v>46028</v>
      </c>
      <c r="N382" s="2">
        <v>105.02</v>
      </c>
      <c r="O382">
        <f t="shared" si="17"/>
        <v>3</v>
      </c>
      <c r="P382" t="s">
        <v>1370</v>
      </c>
      <c r="Q382" s="4">
        <v>0.7</v>
      </c>
      <c r="R382" t="s">
        <v>83</v>
      </c>
      <c r="S382" t="s">
        <v>61</v>
      </c>
      <c r="T382" s="2">
        <v>73.510000000000005</v>
      </c>
      <c r="U382" t="s">
        <v>132</v>
      </c>
    </row>
    <row r="383" spans="1:21" x14ac:dyDescent="0.25">
      <c r="A383">
        <v>2030806601</v>
      </c>
      <c r="B383" t="s">
        <v>147</v>
      </c>
      <c r="C383" t="s">
        <v>803</v>
      </c>
      <c r="D383" t="str">
        <f t="shared" si="16"/>
        <v>HEATHER MARTIN</v>
      </c>
      <c r="E383" t="s">
        <v>447</v>
      </c>
      <c r="F383" t="s">
        <v>126</v>
      </c>
      <c r="G383" t="s">
        <v>132</v>
      </c>
      <c r="H383">
        <v>8307933</v>
      </c>
      <c r="I383" t="s">
        <v>246</v>
      </c>
      <c r="J383" t="s">
        <v>247</v>
      </c>
      <c r="K383" t="str">
        <f t="shared" si="18"/>
        <v>GREGORY TEIPEL</v>
      </c>
      <c r="L383" s="1">
        <v>45936</v>
      </c>
      <c r="M383" s="1">
        <v>46028</v>
      </c>
      <c r="N383" s="2">
        <v>49.46</v>
      </c>
      <c r="O383">
        <f t="shared" si="17"/>
        <v>3</v>
      </c>
      <c r="P383" t="s">
        <v>1370</v>
      </c>
      <c r="Q383" s="4">
        <v>0.7</v>
      </c>
      <c r="R383" t="s">
        <v>83</v>
      </c>
      <c r="S383" t="s">
        <v>61</v>
      </c>
      <c r="T383" s="2">
        <v>34.619999999999997</v>
      </c>
      <c r="U383" t="s">
        <v>132</v>
      </c>
    </row>
    <row r="384" spans="1:21" x14ac:dyDescent="0.25">
      <c r="A384">
        <v>2030816918</v>
      </c>
      <c r="B384" t="s">
        <v>896</v>
      </c>
      <c r="C384" t="s">
        <v>897</v>
      </c>
      <c r="D384" t="str">
        <f t="shared" si="16"/>
        <v>GRACE NISWANGER</v>
      </c>
      <c r="E384" t="s">
        <v>389</v>
      </c>
      <c r="F384" t="s">
        <v>126</v>
      </c>
      <c r="G384" t="s">
        <v>132</v>
      </c>
      <c r="H384">
        <v>8307933</v>
      </c>
      <c r="I384" t="s">
        <v>246</v>
      </c>
      <c r="J384" t="s">
        <v>247</v>
      </c>
      <c r="K384" t="str">
        <f t="shared" si="18"/>
        <v>GREGORY TEIPEL</v>
      </c>
      <c r="L384" s="1">
        <v>45936</v>
      </c>
      <c r="M384" s="1">
        <v>46028</v>
      </c>
      <c r="N384" s="2">
        <v>34</v>
      </c>
      <c r="O384">
        <f t="shared" si="17"/>
        <v>3</v>
      </c>
      <c r="P384" t="s">
        <v>1370</v>
      </c>
      <c r="Q384" s="4">
        <v>0.7</v>
      </c>
      <c r="R384" t="s">
        <v>83</v>
      </c>
      <c r="S384" t="s">
        <v>61</v>
      </c>
      <c r="T384" s="2">
        <v>23.8</v>
      </c>
      <c r="U384" t="s">
        <v>132</v>
      </c>
    </row>
    <row r="385" spans="1:21" x14ac:dyDescent="0.25">
      <c r="A385">
        <v>2030820712</v>
      </c>
      <c r="B385" t="s">
        <v>898</v>
      </c>
      <c r="C385" t="s">
        <v>899</v>
      </c>
      <c r="D385" t="str">
        <f t="shared" si="16"/>
        <v>KYLER GABBARD</v>
      </c>
      <c r="E385" t="s">
        <v>267</v>
      </c>
      <c r="F385" t="s">
        <v>126</v>
      </c>
      <c r="G385" t="s">
        <v>132</v>
      </c>
      <c r="H385">
        <v>8307933</v>
      </c>
      <c r="I385" t="s">
        <v>246</v>
      </c>
      <c r="J385" t="s">
        <v>247</v>
      </c>
      <c r="K385" t="str">
        <f t="shared" si="18"/>
        <v>GREGORY TEIPEL</v>
      </c>
      <c r="L385" s="1">
        <v>45936</v>
      </c>
      <c r="M385" s="1">
        <v>46028</v>
      </c>
      <c r="N385" s="2">
        <v>31.28</v>
      </c>
      <c r="O385">
        <f t="shared" si="17"/>
        <v>3</v>
      </c>
      <c r="P385" t="s">
        <v>1370</v>
      </c>
      <c r="Q385" s="4">
        <v>0.7</v>
      </c>
      <c r="R385" t="s">
        <v>83</v>
      </c>
      <c r="S385" t="s">
        <v>61</v>
      </c>
      <c r="T385" s="2">
        <v>21.9</v>
      </c>
      <c r="U385" t="s">
        <v>132</v>
      </c>
    </row>
    <row r="386" spans="1:21" x14ac:dyDescent="0.25">
      <c r="A386">
        <v>2031014065</v>
      </c>
      <c r="B386" t="s">
        <v>601</v>
      </c>
      <c r="C386" t="s">
        <v>602</v>
      </c>
      <c r="D386" t="str">
        <f t="shared" ref="D386:D449" si="19">CONCATENATE(C386," ",B386)</f>
        <v>ANNE BOYLE</v>
      </c>
      <c r="E386" t="s">
        <v>447</v>
      </c>
      <c r="F386" t="s">
        <v>126</v>
      </c>
      <c r="G386" t="s">
        <v>132</v>
      </c>
      <c r="H386">
        <v>8307933</v>
      </c>
      <c r="I386" t="s">
        <v>246</v>
      </c>
      <c r="J386" t="s">
        <v>247</v>
      </c>
      <c r="K386" t="str">
        <f t="shared" si="18"/>
        <v>GREGORY TEIPEL</v>
      </c>
      <c r="L386" s="1">
        <v>45936</v>
      </c>
      <c r="M386" s="1">
        <v>46028</v>
      </c>
      <c r="N386" s="2">
        <v>29.6</v>
      </c>
      <c r="O386">
        <f t="shared" ref="O386:O449" si="20">DATEDIF(L386,M386,"M")</f>
        <v>3</v>
      </c>
      <c r="P386" t="s">
        <v>1370</v>
      </c>
      <c r="Q386" s="4">
        <v>0.7</v>
      </c>
      <c r="R386" t="s">
        <v>83</v>
      </c>
      <c r="S386" t="s">
        <v>61</v>
      </c>
      <c r="T386" s="2">
        <v>20.72</v>
      </c>
      <c r="U386" t="s">
        <v>132</v>
      </c>
    </row>
    <row r="387" spans="1:21" x14ac:dyDescent="0.25">
      <c r="A387">
        <v>2031320895</v>
      </c>
      <c r="B387" t="s">
        <v>915</v>
      </c>
      <c r="C387" t="s">
        <v>96</v>
      </c>
      <c r="D387" t="str">
        <f t="shared" si="19"/>
        <v>MICHELLE SONTERRE</v>
      </c>
      <c r="E387" t="s">
        <v>389</v>
      </c>
      <c r="F387" t="s">
        <v>126</v>
      </c>
      <c r="G387" t="s">
        <v>132</v>
      </c>
      <c r="H387">
        <v>8307933</v>
      </c>
      <c r="I387" t="s">
        <v>246</v>
      </c>
      <c r="J387" t="s">
        <v>247</v>
      </c>
      <c r="K387" t="str">
        <f t="shared" si="18"/>
        <v>GREGORY TEIPEL</v>
      </c>
      <c r="L387" s="1">
        <v>45936</v>
      </c>
      <c r="M387" s="1">
        <v>46028</v>
      </c>
      <c r="N387" s="2">
        <v>11.5</v>
      </c>
      <c r="O387">
        <f t="shared" si="20"/>
        <v>3</v>
      </c>
      <c r="P387" t="s">
        <v>1370</v>
      </c>
      <c r="Q387" s="4">
        <v>0.7</v>
      </c>
      <c r="R387" t="s">
        <v>83</v>
      </c>
      <c r="S387" t="s">
        <v>61</v>
      </c>
      <c r="T387" s="2">
        <v>8.0500000000000007</v>
      </c>
      <c r="U387" t="s">
        <v>132</v>
      </c>
    </row>
    <row r="388" spans="1:21" x14ac:dyDescent="0.25">
      <c r="A388">
        <v>2031247583</v>
      </c>
      <c r="B388" t="s">
        <v>610</v>
      </c>
      <c r="C388" t="s">
        <v>285</v>
      </c>
      <c r="D388" t="str">
        <f t="shared" si="19"/>
        <v>FRANK CARIOTI</v>
      </c>
      <c r="E388" t="s">
        <v>102</v>
      </c>
      <c r="F388" t="s">
        <v>86</v>
      </c>
      <c r="G388" t="s">
        <v>87</v>
      </c>
      <c r="H388">
        <v>8307933</v>
      </c>
      <c r="I388" t="s">
        <v>246</v>
      </c>
      <c r="J388" t="s">
        <v>247</v>
      </c>
      <c r="K388" t="str">
        <f t="shared" si="18"/>
        <v>GREGORY TEIPEL</v>
      </c>
      <c r="L388" s="1">
        <v>45936</v>
      </c>
      <c r="M388" s="1">
        <v>46028</v>
      </c>
      <c r="N388" s="2">
        <v>149.87</v>
      </c>
      <c r="O388">
        <f t="shared" si="20"/>
        <v>3</v>
      </c>
      <c r="P388" t="s">
        <v>1370</v>
      </c>
      <c r="Q388" s="3">
        <v>0.375</v>
      </c>
      <c r="R388" t="s">
        <v>83</v>
      </c>
      <c r="S388" t="s">
        <v>61</v>
      </c>
      <c r="T388" s="2">
        <v>56.2</v>
      </c>
      <c r="U388" t="s">
        <v>87</v>
      </c>
    </row>
    <row r="389" spans="1:21" x14ac:dyDescent="0.25">
      <c r="A389">
        <v>2031014067</v>
      </c>
      <c r="B389" t="s">
        <v>601</v>
      </c>
      <c r="C389" t="s">
        <v>602</v>
      </c>
      <c r="D389" t="str">
        <f t="shared" si="19"/>
        <v>ANNE BOYLE</v>
      </c>
      <c r="E389" t="s">
        <v>447</v>
      </c>
      <c r="F389" t="s">
        <v>86</v>
      </c>
      <c r="G389" t="s">
        <v>87</v>
      </c>
      <c r="H389">
        <v>8307933</v>
      </c>
      <c r="I389" t="s">
        <v>246</v>
      </c>
      <c r="J389" t="s">
        <v>247</v>
      </c>
      <c r="K389" t="str">
        <f t="shared" si="18"/>
        <v>GREGORY TEIPEL</v>
      </c>
      <c r="L389" s="1">
        <v>45936</v>
      </c>
      <c r="M389" s="1">
        <v>46028</v>
      </c>
      <c r="N389" s="2">
        <v>99.05</v>
      </c>
      <c r="O389">
        <f t="shared" si="20"/>
        <v>3</v>
      </c>
      <c r="P389" t="s">
        <v>1370</v>
      </c>
      <c r="Q389" s="3">
        <v>0.375</v>
      </c>
      <c r="R389" t="s">
        <v>83</v>
      </c>
      <c r="S389" t="s">
        <v>61</v>
      </c>
      <c r="T389" s="2">
        <v>37.14</v>
      </c>
      <c r="U389" t="s">
        <v>87</v>
      </c>
    </row>
    <row r="390" spans="1:21" x14ac:dyDescent="0.25">
      <c r="A390">
        <v>2031246839</v>
      </c>
      <c r="B390" t="s">
        <v>608</v>
      </c>
      <c r="C390" t="s">
        <v>609</v>
      </c>
      <c r="D390" t="str">
        <f t="shared" si="19"/>
        <v>SUZANNE HACKLEMAN</v>
      </c>
      <c r="E390" t="s">
        <v>256</v>
      </c>
      <c r="F390" t="s">
        <v>86</v>
      </c>
      <c r="G390" t="s">
        <v>87</v>
      </c>
      <c r="H390">
        <v>8307933</v>
      </c>
      <c r="I390" t="s">
        <v>246</v>
      </c>
      <c r="J390" t="s">
        <v>247</v>
      </c>
      <c r="K390" t="str">
        <f t="shared" si="18"/>
        <v>GREGORY TEIPEL</v>
      </c>
      <c r="L390" s="1">
        <v>45936</v>
      </c>
      <c r="M390" s="1">
        <v>46028</v>
      </c>
      <c r="N390" s="2">
        <v>84.44</v>
      </c>
      <c r="O390">
        <f t="shared" si="20"/>
        <v>3</v>
      </c>
      <c r="P390" t="s">
        <v>1370</v>
      </c>
      <c r="Q390" s="3">
        <v>0.375</v>
      </c>
      <c r="R390" t="s">
        <v>83</v>
      </c>
      <c r="S390" t="s">
        <v>61</v>
      </c>
      <c r="T390" s="2">
        <v>31.66</v>
      </c>
      <c r="U390" t="s">
        <v>87</v>
      </c>
    </row>
    <row r="391" spans="1:21" x14ac:dyDescent="0.25">
      <c r="A391">
        <v>2031290288</v>
      </c>
      <c r="B391" t="s">
        <v>244</v>
      </c>
      <c r="C391" t="s">
        <v>914</v>
      </c>
      <c r="D391" t="str">
        <f t="shared" si="19"/>
        <v>RODGER MORRIS</v>
      </c>
      <c r="E391" t="s">
        <v>102</v>
      </c>
      <c r="F391" t="s">
        <v>126</v>
      </c>
      <c r="G391" t="s">
        <v>375</v>
      </c>
      <c r="H391">
        <v>8307933</v>
      </c>
      <c r="I391" t="s">
        <v>246</v>
      </c>
      <c r="J391" t="s">
        <v>247</v>
      </c>
      <c r="K391" t="str">
        <f t="shared" si="18"/>
        <v>GREGORY TEIPEL</v>
      </c>
      <c r="L391" s="1">
        <v>45936</v>
      </c>
      <c r="M391" s="1">
        <v>46028</v>
      </c>
      <c r="N391" s="2">
        <v>163.25</v>
      </c>
      <c r="O391">
        <f t="shared" si="20"/>
        <v>3</v>
      </c>
      <c r="P391" t="s">
        <v>1370</v>
      </c>
      <c r="Q391" s="4">
        <v>0.9</v>
      </c>
      <c r="R391" t="s">
        <v>83</v>
      </c>
      <c r="S391" t="s">
        <v>61</v>
      </c>
      <c r="T391" s="2">
        <v>146.91999999999999</v>
      </c>
      <c r="U391" t="s">
        <v>375</v>
      </c>
    </row>
    <row r="392" spans="1:21" x14ac:dyDescent="0.25">
      <c r="A392">
        <v>2031160015</v>
      </c>
      <c r="B392" t="s">
        <v>1167</v>
      </c>
      <c r="C392" t="s">
        <v>1168</v>
      </c>
      <c r="D392" t="str">
        <f t="shared" si="19"/>
        <v>TONY VILHAUER</v>
      </c>
      <c r="E392" t="s">
        <v>256</v>
      </c>
      <c r="F392" t="s">
        <v>126</v>
      </c>
      <c r="G392" t="s">
        <v>375</v>
      </c>
      <c r="H392">
        <v>8307933</v>
      </c>
      <c r="I392" t="s">
        <v>246</v>
      </c>
      <c r="J392" t="s">
        <v>247</v>
      </c>
      <c r="K392" t="str">
        <f t="shared" si="18"/>
        <v>GREGORY TEIPEL</v>
      </c>
      <c r="L392" s="1">
        <v>45936</v>
      </c>
      <c r="M392" s="1">
        <v>46028</v>
      </c>
      <c r="N392" s="2">
        <v>95.38</v>
      </c>
      <c r="O392">
        <f t="shared" si="20"/>
        <v>3</v>
      </c>
      <c r="P392" t="s">
        <v>1370</v>
      </c>
      <c r="Q392" s="4">
        <v>0.9</v>
      </c>
      <c r="R392" t="s">
        <v>83</v>
      </c>
      <c r="S392" t="s">
        <v>61</v>
      </c>
      <c r="T392" s="2">
        <v>85.84</v>
      </c>
      <c r="U392" t="s">
        <v>375</v>
      </c>
    </row>
    <row r="393" spans="1:21" x14ac:dyDescent="0.25">
      <c r="A393">
        <v>2030822622</v>
      </c>
      <c r="B393" t="s">
        <v>1160</v>
      </c>
      <c r="C393" t="s">
        <v>405</v>
      </c>
      <c r="D393" t="str">
        <f t="shared" si="19"/>
        <v>DAVID KEMPKER</v>
      </c>
      <c r="E393" t="s">
        <v>267</v>
      </c>
      <c r="F393" t="s">
        <v>126</v>
      </c>
      <c r="G393" t="s">
        <v>375</v>
      </c>
      <c r="H393">
        <v>8307933</v>
      </c>
      <c r="I393" t="s">
        <v>246</v>
      </c>
      <c r="J393" t="s">
        <v>247</v>
      </c>
      <c r="K393" t="str">
        <f t="shared" si="18"/>
        <v>GREGORY TEIPEL</v>
      </c>
      <c r="L393" s="1">
        <v>45936</v>
      </c>
      <c r="M393" s="1">
        <v>46028</v>
      </c>
      <c r="N393" s="2">
        <v>83.63</v>
      </c>
      <c r="O393">
        <f t="shared" si="20"/>
        <v>3</v>
      </c>
      <c r="P393" t="s">
        <v>1370</v>
      </c>
      <c r="Q393" s="4">
        <v>0.9</v>
      </c>
      <c r="R393" t="s">
        <v>83</v>
      </c>
      <c r="S393" t="s">
        <v>61</v>
      </c>
      <c r="T393" s="2">
        <v>75.27</v>
      </c>
      <c r="U393" t="s">
        <v>375</v>
      </c>
    </row>
    <row r="394" spans="1:21" x14ac:dyDescent="0.25">
      <c r="A394">
        <v>2031270409</v>
      </c>
      <c r="B394" t="s">
        <v>912</v>
      </c>
      <c r="C394" t="s">
        <v>913</v>
      </c>
      <c r="D394" t="str">
        <f t="shared" si="19"/>
        <v>SHEILA REUTER</v>
      </c>
      <c r="E394" t="s">
        <v>389</v>
      </c>
      <c r="F394" t="s">
        <v>126</v>
      </c>
      <c r="G394" t="s">
        <v>375</v>
      </c>
      <c r="H394">
        <v>8307933</v>
      </c>
      <c r="I394" t="s">
        <v>246</v>
      </c>
      <c r="J394" t="s">
        <v>247</v>
      </c>
      <c r="K394" t="str">
        <f t="shared" si="18"/>
        <v>GREGORY TEIPEL</v>
      </c>
      <c r="L394" s="1">
        <v>45941</v>
      </c>
      <c r="M394" s="1">
        <v>46033</v>
      </c>
      <c r="N394" s="2">
        <v>37.42</v>
      </c>
      <c r="O394">
        <f t="shared" si="20"/>
        <v>3</v>
      </c>
      <c r="P394" t="s">
        <v>1370</v>
      </c>
      <c r="Q394" s="4">
        <v>0.9</v>
      </c>
      <c r="R394" t="s">
        <v>83</v>
      </c>
      <c r="S394" t="s">
        <v>61</v>
      </c>
      <c r="T394" s="2">
        <v>33.68</v>
      </c>
      <c r="U394" t="s">
        <v>375</v>
      </c>
    </row>
    <row r="395" spans="1:21" x14ac:dyDescent="0.25">
      <c r="A395">
        <v>2030948467</v>
      </c>
      <c r="B395" t="s">
        <v>905</v>
      </c>
      <c r="C395" t="s">
        <v>906</v>
      </c>
      <c r="D395" t="str">
        <f t="shared" si="19"/>
        <v>TINA BURKS</v>
      </c>
      <c r="E395" t="s">
        <v>97</v>
      </c>
      <c r="F395" t="s">
        <v>126</v>
      </c>
      <c r="G395" t="s">
        <v>375</v>
      </c>
      <c r="H395">
        <v>8307933</v>
      </c>
      <c r="I395" t="s">
        <v>246</v>
      </c>
      <c r="J395" t="s">
        <v>247</v>
      </c>
      <c r="K395" t="str">
        <f t="shared" si="18"/>
        <v>GREGORY TEIPEL</v>
      </c>
      <c r="L395" s="1">
        <v>45936</v>
      </c>
      <c r="M395" s="1">
        <v>46028</v>
      </c>
      <c r="N395" s="2">
        <v>31.08</v>
      </c>
      <c r="O395">
        <f t="shared" si="20"/>
        <v>3</v>
      </c>
      <c r="P395" t="s">
        <v>1370</v>
      </c>
      <c r="Q395" s="4">
        <v>0.9</v>
      </c>
      <c r="R395" t="s">
        <v>83</v>
      </c>
      <c r="S395" t="s">
        <v>61</v>
      </c>
      <c r="T395" s="2">
        <v>27.97</v>
      </c>
      <c r="U395" t="s">
        <v>375</v>
      </c>
    </row>
    <row r="396" spans="1:21" x14ac:dyDescent="0.25">
      <c r="A396">
        <v>2030816920</v>
      </c>
      <c r="B396" t="s">
        <v>896</v>
      </c>
      <c r="C396" t="s">
        <v>897</v>
      </c>
      <c r="D396" t="str">
        <f t="shared" si="19"/>
        <v>GRACE NISWANGER</v>
      </c>
      <c r="E396" t="s">
        <v>389</v>
      </c>
      <c r="F396" t="s">
        <v>126</v>
      </c>
      <c r="G396" t="s">
        <v>375</v>
      </c>
      <c r="H396">
        <v>8307933</v>
      </c>
      <c r="I396" t="s">
        <v>246</v>
      </c>
      <c r="J396" t="s">
        <v>247</v>
      </c>
      <c r="K396" t="str">
        <f t="shared" si="18"/>
        <v>GREGORY TEIPEL</v>
      </c>
      <c r="L396" s="1">
        <v>45936</v>
      </c>
      <c r="M396" s="1">
        <v>46028</v>
      </c>
      <c r="N396" s="2">
        <v>15.83</v>
      </c>
      <c r="O396">
        <f t="shared" si="20"/>
        <v>3</v>
      </c>
      <c r="P396" t="s">
        <v>1370</v>
      </c>
      <c r="Q396" s="4">
        <v>0.9</v>
      </c>
      <c r="R396" t="s">
        <v>83</v>
      </c>
      <c r="S396" t="s">
        <v>61</v>
      </c>
      <c r="T396" s="2">
        <v>14.25</v>
      </c>
      <c r="U396" t="s">
        <v>375</v>
      </c>
    </row>
    <row r="397" spans="1:21" x14ac:dyDescent="0.25">
      <c r="A397">
        <v>2031581265</v>
      </c>
      <c r="B397" t="s">
        <v>955</v>
      </c>
      <c r="C397" t="s">
        <v>932</v>
      </c>
      <c r="D397" t="str">
        <f t="shared" si="19"/>
        <v>SETH PAGET</v>
      </c>
      <c r="E397" t="s">
        <v>79</v>
      </c>
      <c r="F397" t="s">
        <v>290</v>
      </c>
      <c r="G397" t="s">
        <v>291</v>
      </c>
      <c r="H397">
        <v>8046194</v>
      </c>
      <c r="I397" t="s">
        <v>956</v>
      </c>
      <c r="J397" t="s">
        <v>957</v>
      </c>
      <c r="K397" t="str">
        <f t="shared" si="18"/>
        <v>H Allan</v>
      </c>
      <c r="L397" s="1">
        <v>45942</v>
      </c>
      <c r="M397" s="1">
        <v>46034</v>
      </c>
      <c r="N397" s="2">
        <v>15</v>
      </c>
      <c r="O397">
        <f t="shared" si="20"/>
        <v>3</v>
      </c>
      <c r="P397" t="s">
        <v>1370</v>
      </c>
      <c r="Q397" s="4">
        <v>0.28999999999999998</v>
      </c>
      <c r="R397" t="s">
        <v>83</v>
      </c>
      <c r="S397" t="s">
        <v>61</v>
      </c>
      <c r="T397" s="2">
        <v>4.3499999999999996</v>
      </c>
      <c r="U397" t="s">
        <v>470</v>
      </c>
    </row>
    <row r="398" spans="1:21" x14ac:dyDescent="0.25">
      <c r="A398">
        <v>2031581263</v>
      </c>
      <c r="B398" t="s">
        <v>955</v>
      </c>
      <c r="C398" t="s">
        <v>932</v>
      </c>
      <c r="D398" t="str">
        <f t="shared" si="19"/>
        <v>SETH PAGET</v>
      </c>
      <c r="E398" t="s">
        <v>79</v>
      </c>
      <c r="F398" t="s">
        <v>469</v>
      </c>
      <c r="G398" t="s">
        <v>470</v>
      </c>
      <c r="H398">
        <v>8046194</v>
      </c>
      <c r="I398" t="s">
        <v>956</v>
      </c>
      <c r="J398" t="s">
        <v>957</v>
      </c>
      <c r="K398" t="str">
        <f t="shared" si="18"/>
        <v>H Allan</v>
      </c>
      <c r="L398" s="1">
        <v>45942</v>
      </c>
      <c r="M398" s="1">
        <v>46034</v>
      </c>
      <c r="N398" s="2">
        <v>285.18</v>
      </c>
      <c r="O398">
        <f t="shared" si="20"/>
        <v>3</v>
      </c>
      <c r="P398" t="s">
        <v>1370</v>
      </c>
      <c r="Q398" s="4">
        <v>0.28999999999999998</v>
      </c>
      <c r="R398" t="s">
        <v>83</v>
      </c>
      <c r="S398" t="s">
        <v>61</v>
      </c>
      <c r="T398" s="2">
        <v>82.7</v>
      </c>
      <c r="U398" t="s">
        <v>470</v>
      </c>
    </row>
    <row r="399" spans="1:21" x14ac:dyDescent="0.25">
      <c r="A399">
        <v>2031581264</v>
      </c>
      <c r="B399" t="s">
        <v>955</v>
      </c>
      <c r="C399" t="s">
        <v>932</v>
      </c>
      <c r="D399" t="str">
        <f t="shared" si="19"/>
        <v>SETH PAGET</v>
      </c>
      <c r="E399" t="s">
        <v>79</v>
      </c>
      <c r="F399" t="s">
        <v>469</v>
      </c>
      <c r="G399" t="s">
        <v>476</v>
      </c>
      <c r="H399">
        <v>8046194</v>
      </c>
      <c r="I399" t="s">
        <v>956</v>
      </c>
      <c r="J399" t="s">
        <v>957</v>
      </c>
      <c r="K399" t="str">
        <f t="shared" si="18"/>
        <v>H Allan</v>
      </c>
      <c r="L399" s="1">
        <v>45942</v>
      </c>
      <c r="M399" s="1">
        <v>46034</v>
      </c>
      <c r="N399" s="2">
        <v>9.9499999999999993</v>
      </c>
      <c r="O399">
        <f t="shared" si="20"/>
        <v>3</v>
      </c>
      <c r="P399" t="s">
        <v>1370</v>
      </c>
      <c r="Q399" s="4">
        <v>0.28999999999999998</v>
      </c>
      <c r="R399" t="s">
        <v>83</v>
      </c>
      <c r="S399" t="s">
        <v>61</v>
      </c>
      <c r="T399" s="2">
        <v>2.89</v>
      </c>
      <c r="U399" t="s">
        <v>470</v>
      </c>
    </row>
    <row r="400" spans="1:21" x14ac:dyDescent="0.25">
      <c r="A400">
        <v>2030983565</v>
      </c>
      <c r="B400" t="s">
        <v>215</v>
      </c>
      <c r="C400" t="s">
        <v>216</v>
      </c>
      <c r="D400" t="str">
        <f t="shared" si="19"/>
        <v>PEGGY MATHENY</v>
      </c>
      <c r="E400" t="s">
        <v>210</v>
      </c>
      <c r="F400" t="s">
        <v>169</v>
      </c>
      <c r="G400" t="s">
        <v>170</v>
      </c>
      <c r="H400">
        <v>18142208</v>
      </c>
      <c r="I400" t="s">
        <v>217</v>
      </c>
      <c r="J400" t="s">
        <v>218</v>
      </c>
      <c r="K400" t="str">
        <f t="shared" si="18"/>
        <v>Jill Shepard</v>
      </c>
      <c r="L400" s="1">
        <v>45931</v>
      </c>
      <c r="M400" s="1">
        <v>46023</v>
      </c>
      <c r="N400" s="2">
        <v>65.680000000000007</v>
      </c>
      <c r="O400">
        <f t="shared" si="20"/>
        <v>3</v>
      </c>
      <c r="P400" t="s">
        <v>1370</v>
      </c>
      <c r="Q400" s="4">
        <v>0.47</v>
      </c>
      <c r="R400" t="s">
        <v>83</v>
      </c>
      <c r="S400" t="s">
        <v>61</v>
      </c>
      <c r="T400" s="2">
        <v>30.87</v>
      </c>
      <c r="U400" t="s">
        <v>170</v>
      </c>
    </row>
    <row r="401" spans="1:51" x14ac:dyDescent="0.25">
      <c r="A401">
        <v>2031195331</v>
      </c>
      <c r="B401" t="s">
        <v>605</v>
      </c>
      <c r="C401" t="s">
        <v>71</v>
      </c>
      <c r="D401" t="str">
        <f t="shared" si="19"/>
        <v>JOHN HARPER</v>
      </c>
      <c r="E401" t="s">
        <v>97</v>
      </c>
      <c r="F401" t="s">
        <v>126</v>
      </c>
      <c r="G401" t="s">
        <v>164</v>
      </c>
      <c r="H401">
        <v>21222981</v>
      </c>
      <c r="I401" t="s">
        <v>606</v>
      </c>
      <c r="J401" t="s">
        <v>607</v>
      </c>
      <c r="K401" t="str">
        <f t="shared" si="18"/>
        <v>Michael Garnett</v>
      </c>
      <c r="L401" s="1">
        <v>45939</v>
      </c>
      <c r="M401" s="1">
        <v>46031</v>
      </c>
      <c r="N401" s="2">
        <v>25.73</v>
      </c>
      <c r="O401">
        <f t="shared" si="20"/>
        <v>3</v>
      </c>
      <c r="P401" t="s">
        <v>1370</v>
      </c>
      <c r="Q401" s="4">
        <v>0.7</v>
      </c>
      <c r="R401" t="s">
        <v>83</v>
      </c>
      <c r="S401" t="s">
        <v>61</v>
      </c>
      <c r="T401" s="2">
        <v>18.010000000000002</v>
      </c>
      <c r="U401" t="s">
        <v>127</v>
      </c>
    </row>
    <row r="402" spans="1:51" x14ac:dyDescent="0.25">
      <c r="A402">
        <v>2031195330</v>
      </c>
      <c r="B402" t="s">
        <v>605</v>
      </c>
      <c r="C402" t="s">
        <v>71</v>
      </c>
      <c r="D402" t="str">
        <f t="shared" si="19"/>
        <v>JOHN HARPER</v>
      </c>
      <c r="E402" t="s">
        <v>97</v>
      </c>
      <c r="F402" t="s">
        <v>86</v>
      </c>
      <c r="G402" t="s">
        <v>87</v>
      </c>
      <c r="H402">
        <v>21222981</v>
      </c>
      <c r="I402" t="s">
        <v>606</v>
      </c>
      <c r="J402" t="s">
        <v>607</v>
      </c>
      <c r="K402" t="str">
        <f t="shared" si="18"/>
        <v>Michael Garnett</v>
      </c>
      <c r="L402" s="1">
        <v>45939</v>
      </c>
      <c r="M402" s="1">
        <v>46031</v>
      </c>
      <c r="N402" s="2">
        <v>28.38</v>
      </c>
      <c r="O402">
        <f t="shared" si="20"/>
        <v>3</v>
      </c>
      <c r="P402" t="s">
        <v>1370</v>
      </c>
      <c r="Q402" s="3">
        <v>0.375</v>
      </c>
      <c r="R402" t="s">
        <v>83</v>
      </c>
      <c r="S402" t="s">
        <v>61</v>
      </c>
      <c r="T402" s="2">
        <v>10.64</v>
      </c>
      <c r="U402" t="s">
        <v>87</v>
      </c>
    </row>
    <row r="403" spans="1:51" x14ac:dyDescent="0.25">
      <c r="A403">
        <v>2031383608</v>
      </c>
      <c r="B403" t="s">
        <v>916</v>
      </c>
      <c r="C403" t="s">
        <v>142</v>
      </c>
      <c r="D403" t="str">
        <f t="shared" si="19"/>
        <v>BRIAN HOTT</v>
      </c>
      <c r="E403" t="s">
        <v>163</v>
      </c>
      <c r="F403" t="s">
        <v>126</v>
      </c>
      <c r="G403" t="s">
        <v>164</v>
      </c>
      <c r="H403">
        <v>5442438</v>
      </c>
      <c r="I403" t="s">
        <v>165</v>
      </c>
      <c r="J403" t="s">
        <v>166</v>
      </c>
      <c r="K403" t="str">
        <f t="shared" si="18"/>
        <v>Ronald Max</v>
      </c>
      <c r="L403" s="1">
        <v>45942</v>
      </c>
      <c r="M403" s="1">
        <v>46034</v>
      </c>
      <c r="N403" s="2">
        <v>24.61</v>
      </c>
      <c r="O403">
        <f t="shared" si="20"/>
        <v>3</v>
      </c>
      <c r="P403" t="s">
        <v>1370</v>
      </c>
      <c r="Q403" s="4">
        <v>0.7</v>
      </c>
      <c r="R403" t="s">
        <v>83</v>
      </c>
      <c r="S403" t="s">
        <v>61</v>
      </c>
      <c r="T403" s="2">
        <v>17.23</v>
      </c>
      <c r="U403" t="s">
        <v>127</v>
      </c>
    </row>
    <row r="404" spans="1:51" x14ac:dyDescent="0.25">
      <c r="A404">
        <v>2031383607</v>
      </c>
      <c r="B404" t="s">
        <v>916</v>
      </c>
      <c r="C404" t="s">
        <v>142</v>
      </c>
      <c r="D404" t="str">
        <f t="shared" si="19"/>
        <v>BRIAN HOTT</v>
      </c>
      <c r="E404" t="s">
        <v>163</v>
      </c>
      <c r="F404" t="s">
        <v>75</v>
      </c>
      <c r="G404" t="s">
        <v>80</v>
      </c>
      <c r="H404">
        <v>5442438</v>
      </c>
      <c r="I404" t="s">
        <v>165</v>
      </c>
      <c r="J404" t="s">
        <v>166</v>
      </c>
      <c r="K404" t="str">
        <f t="shared" si="18"/>
        <v>Ronald Max</v>
      </c>
      <c r="L404" s="1">
        <v>45942</v>
      </c>
      <c r="M404" s="1">
        <v>46034</v>
      </c>
      <c r="N404" s="2">
        <v>68.11</v>
      </c>
      <c r="O404">
        <f t="shared" si="20"/>
        <v>3</v>
      </c>
      <c r="P404" t="s">
        <v>1370</v>
      </c>
      <c r="Q404" s="4">
        <v>0.9</v>
      </c>
      <c r="R404" t="s">
        <v>83</v>
      </c>
      <c r="S404" t="s">
        <v>61</v>
      </c>
      <c r="T404" s="2">
        <v>61.3</v>
      </c>
      <c r="U404" t="s">
        <v>1372</v>
      </c>
    </row>
    <row r="405" spans="1:51" x14ac:dyDescent="0.25">
      <c r="A405">
        <v>2031383606</v>
      </c>
      <c r="B405" t="s">
        <v>916</v>
      </c>
      <c r="C405" t="s">
        <v>142</v>
      </c>
      <c r="D405" t="str">
        <f t="shared" si="19"/>
        <v>BRIAN HOTT</v>
      </c>
      <c r="E405" t="s">
        <v>163</v>
      </c>
      <c r="F405" t="s">
        <v>126</v>
      </c>
      <c r="G405" t="s">
        <v>402</v>
      </c>
      <c r="H405">
        <v>5442438</v>
      </c>
      <c r="I405" t="s">
        <v>165</v>
      </c>
      <c r="J405" t="s">
        <v>166</v>
      </c>
      <c r="K405" t="str">
        <f t="shared" si="18"/>
        <v>Ronald Max</v>
      </c>
      <c r="L405" s="1">
        <v>45942</v>
      </c>
      <c r="M405" s="1">
        <v>46034</v>
      </c>
      <c r="N405" s="2">
        <v>21.08</v>
      </c>
      <c r="O405">
        <f t="shared" si="20"/>
        <v>3</v>
      </c>
      <c r="P405" t="s">
        <v>1370</v>
      </c>
      <c r="Q405" s="4">
        <v>0.42</v>
      </c>
      <c r="R405" t="s">
        <v>83</v>
      </c>
      <c r="S405" t="s">
        <v>61</v>
      </c>
      <c r="T405" s="2">
        <v>8.85</v>
      </c>
      <c r="U405" t="s">
        <v>402</v>
      </c>
    </row>
    <row r="406" spans="1:51" x14ac:dyDescent="0.25">
      <c r="A406">
        <v>2031070229</v>
      </c>
      <c r="B406" t="s">
        <v>614</v>
      </c>
      <c r="C406" t="s">
        <v>328</v>
      </c>
      <c r="D406" t="str">
        <f t="shared" si="19"/>
        <v>SHARON LEE</v>
      </c>
      <c r="E406" t="s">
        <v>79</v>
      </c>
      <c r="F406" t="s">
        <v>126</v>
      </c>
      <c r="G406" t="s">
        <v>132</v>
      </c>
      <c r="H406">
        <v>8977234</v>
      </c>
      <c r="I406" t="s">
        <v>81</v>
      </c>
      <c r="J406" t="s">
        <v>82</v>
      </c>
      <c r="K406" t="str">
        <f t="shared" si="18"/>
        <v>RYAN CALTAGIRONE</v>
      </c>
      <c r="L406" s="1">
        <v>45939</v>
      </c>
      <c r="M406" s="1">
        <v>46031</v>
      </c>
      <c r="N406" s="2">
        <v>43.83</v>
      </c>
      <c r="O406">
        <f t="shared" si="20"/>
        <v>3</v>
      </c>
      <c r="P406" t="s">
        <v>1370</v>
      </c>
      <c r="Q406" s="4">
        <v>0.7</v>
      </c>
      <c r="R406" t="s">
        <v>83</v>
      </c>
      <c r="S406" t="s">
        <v>61</v>
      </c>
      <c r="T406" s="2">
        <v>30.68</v>
      </c>
      <c r="U406" t="s">
        <v>132</v>
      </c>
    </row>
    <row r="407" spans="1:51" x14ac:dyDescent="0.25">
      <c r="A407">
        <v>2030951715</v>
      </c>
      <c r="B407" t="s">
        <v>907</v>
      </c>
      <c r="C407" t="s">
        <v>789</v>
      </c>
      <c r="D407" t="str">
        <f t="shared" si="19"/>
        <v>SARAH FULLERTON</v>
      </c>
      <c r="E407" t="s">
        <v>163</v>
      </c>
      <c r="F407" t="s">
        <v>75</v>
      </c>
      <c r="G407" t="s">
        <v>80</v>
      </c>
      <c r="H407">
        <v>9079571</v>
      </c>
      <c r="I407" t="s">
        <v>235</v>
      </c>
      <c r="J407" t="s">
        <v>438</v>
      </c>
      <c r="K407" t="str">
        <f t="shared" si="18"/>
        <v>ADAM RICHTER</v>
      </c>
      <c r="L407" s="1">
        <v>45910</v>
      </c>
      <c r="M407" s="1">
        <v>46032</v>
      </c>
      <c r="N407" s="2">
        <v>38.67</v>
      </c>
      <c r="O407">
        <f t="shared" si="20"/>
        <v>4</v>
      </c>
      <c r="P407" t="s">
        <v>1370</v>
      </c>
      <c r="Q407" s="4">
        <v>0.9</v>
      </c>
      <c r="R407" t="s">
        <v>83</v>
      </c>
      <c r="S407" t="s">
        <v>61</v>
      </c>
      <c r="T407" s="2">
        <v>34.799999999999997</v>
      </c>
      <c r="U407" t="s">
        <v>1372</v>
      </c>
    </row>
    <row r="408" spans="1:51" s="10" customFormat="1" x14ac:dyDescent="0.25">
      <c r="A408">
        <v>2030842333</v>
      </c>
      <c r="B408" t="s">
        <v>686</v>
      </c>
      <c r="C408" t="s">
        <v>687</v>
      </c>
      <c r="D408" t="str">
        <f t="shared" si="19"/>
        <v>BRETT YARMUTH</v>
      </c>
      <c r="E408" t="s">
        <v>125</v>
      </c>
      <c r="F408" t="s">
        <v>290</v>
      </c>
      <c r="G408" t="s">
        <v>295</v>
      </c>
      <c r="H408">
        <v>17425766</v>
      </c>
      <c r="I408" t="s">
        <v>88</v>
      </c>
      <c r="J408" t="s">
        <v>89</v>
      </c>
      <c r="K408" t="str">
        <f t="shared" si="18"/>
        <v>CAROL FOLEY</v>
      </c>
      <c r="L408" s="1">
        <v>45904</v>
      </c>
      <c r="M408" s="1">
        <v>46026</v>
      </c>
      <c r="N408" s="2">
        <v>15</v>
      </c>
      <c r="O408">
        <f t="shared" si="20"/>
        <v>4</v>
      </c>
      <c r="P408" t="s">
        <v>1370</v>
      </c>
      <c r="Q408" s="4">
        <v>0.38</v>
      </c>
      <c r="R408" t="s">
        <v>83</v>
      </c>
      <c r="S408" t="s">
        <v>61</v>
      </c>
      <c r="T408" s="2">
        <v>5.7</v>
      </c>
      <c r="U408" t="s">
        <v>295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</row>
    <row r="409" spans="1:51" s="10" customFormat="1" x14ac:dyDescent="0.25">
      <c r="A409">
        <v>2030842332</v>
      </c>
      <c r="B409" t="s">
        <v>686</v>
      </c>
      <c r="C409" t="s">
        <v>687</v>
      </c>
      <c r="D409" t="str">
        <f t="shared" si="19"/>
        <v>BRETT YARMUTH</v>
      </c>
      <c r="E409" t="s">
        <v>125</v>
      </c>
      <c r="F409" t="s">
        <v>365</v>
      </c>
      <c r="G409" t="s">
        <v>366</v>
      </c>
      <c r="H409">
        <v>17425766</v>
      </c>
      <c r="I409" t="s">
        <v>88</v>
      </c>
      <c r="J409" t="s">
        <v>89</v>
      </c>
      <c r="K409" t="str">
        <f t="shared" si="18"/>
        <v>CAROL FOLEY</v>
      </c>
      <c r="L409" s="1">
        <v>45904</v>
      </c>
      <c r="M409" s="1">
        <v>46026</v>
      </c>
      <c r="N409" s="2">
        <v>20.76</v>
      </c>
      <c r="O409">
        <f t="shared" si="20"/>
        <v>4</v>
      </c>
      <c r="P409" t="s">
        <v>1370</v>
      </c>
      <c r="Q409" s="4">
        <v>0.38</v>
      </c>
      <c r="R409" t="s">
        <v>83</v>
      </c>
      <c r="S409" t="s">
        <v>61</v>
      </c>
      <c r="T409" s="2">
        <v>7.89</v>
      </c>
      <c r="U409" t="s">
        <v>366</v>
      </c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</row>
    <row r="410" spans="1:51" s="10" customFormat="1" x14ac:dyDescent="0.25">
      <c r="A410">
        <v>2030842331</v>
      </c>
      <c r="B410" t="s">
        <v>686</v>
      </c>
      <c r="C410" t="s">
        <v>687</v>
      </c>
      <c r="D410" t="str">
        <f t="shared" si="19"/>
        <v>BRETT YARMUTH</v>
      </c>
      <c r="E410" t="s">
        <v>125</v>
      </c>
      <c r="F410" t="s">
        <v>469</v>
      </c>
      <c r="G410" t="s">
        <v>470</v>
      </c>
      <c r="H410">
        <v>17425766</v>
      </c>
      <c r="I410" t="s">
        <v>88</v>
      </c>
      <c r="J410" t="s">
        <v>89</v>
      </c>
      <c r="K410" t="str">
        <f t="shared" si="18"/>
        <v>CAROL FOLEY</v>
      </c>
      <c r="L410" s="1">
        <v>45904</v>
      </c>
      <c r="M410" s="1">
        <v>46026</v>
      </c>
      <c r="N410" s="2">
        <v>224.48</v>
      </c>
      <c r="O410">
        <f t="shared" si="20"/>
        <v>4</v>
      </c>
      <c r="P410" t="s">
        <v>1370</v>
      </c>
      <c r="Q410" s="4">
        <v>0.28999999999999998</v>
      </c>
      <c r="R410" t="s">
        <v>83</v>
      </c>
      <c r="S410" t="s">
        <v>61</v>
      </c>
      <c r="T410" s="2">
        <v>65.099999999999994</v>
      </c>
      <c r="U410" t="s">
        <v>470</v>
      </c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</row>
    <row r="411" spans="1:51" x14ac:dyDescent="0.25">
      <c r="A411">
        <v>2030886486</v>
      </c>
      <c r="B411" t="s">
        <v>1161</v>
      </c>
      <c r="C411" t="s">
        <v>160</v>
      </c>
      <c r="D411" t="str">
        <f t="shared" si="19"/>
        <v>JACOB BEKEMEYER</v>
      </c>
      <c r="E411" t="s">
        <v>220</v>
      </c>
      <c r="F411" t="s">
        <v>126</v>
      </c>
      <c r="G411" t="s">
        <v>132</v>
      </c>
      <c r="H411" t="s">
        <v>1389</v>
      </c>
      <c r="I411" t="s">
        <v>257</v>
      </c>
      <c r="J411" t="s">
        <v>426</v>
      </c>
      <c r="K411" t="str">
        <f t="shared" si="18"/>
        <v>Chad Yale</v>
      </c>
      <c r="L411" s="1">
        <v>45906</v>
      </c>
      <c r="M411" s="1">
        <v>46028</v>
      </c>
      <c r="N411" s="2">
        <v>35.04</v>
      </c>
      <c r="O411">
        <f t="shared" si="20"/>
        <v>4</v>
      </c>
      <c r="P411" t="s">
        <v>1370</v>
      </c>
      <c r="Q411" s="4">
        <v>0.7</v>
      </c>
      <c r="R411" t="s">
        <v>83</v>
      </c>
      <c r="S411" t="s">
        <v>61</v>
      </c>
      <c r="T411" s="2">
        <v>24.53</v>
      </c>
      <c r="U411" t="s">
        <v>132</v>
      </c>
    </row>
    <row r="412" spans="1:51" x14ac:dyDescent="0.25">
      <c r="A412">
        <v>2030435038</v>
      </c>
      <c r="B412" t="s">
        <v>638</v>
      </c>
      <c r="C412" t="s">
        <v>883</v>
      </c>
      <c r="D412" t="str">
        <f t="shared" si="19"/>
        <v>DAKOTA BROWN</v>
      </c>
      <c r="E412" t="s">
        <v>256</v>
      </c>
      <c r="F412" t="s">
        <v>126</v>
      </c>
      <c r="G412" t="s">
        <v>127</v>
      </c>
      <c r="H412">
        <v>8307933</v>
      </c>
      <c r="I412" t="s">
        <v>246</v>
      </c>
      <c r="J412" t="s">
        <v>247</v>
      </c>
      <c r="K412" t="str">
        <f t="shared" si="18"/>
        <v>GREGORY TEIPEL</v>
      </c>
      <c r="L412" s="1">
        <v>45907</v>
      </c>
      <c r="M412" s="1">
        <v>46029</v>
      </c>
      <c r="N412" s="2">
        <v>21.44</v>
      </c>
      <c r="O412">
        <f t="shared" si="20"/>
        <v>4</v>
      </c>
      <c r="P412" t="s">
        <v>1370</v>
      </c>
      <c r="Q412" s="4">
        <v>0.7</v>
      </c>
      <c r="R412" t="s">
        <v>83</v>
      </c>
      <c r="S412" t="s">
        <v>61</v>
      </c>
      <c r="T412" s="2">
        <v>15.01</v>
      </c>
      <c r="U412" t="s">
        <v>127</v>
      </c>
    </row>
    <row r="413" spans="1:51" x14ac:dyDescent="0.25">
      <c r="A413">
        <v>2030518949</v>
      </c>
      <c r="B413" t="s">
        <v>596</v>
      </c>
      <c r="C413" t="s">
        <v>597</v>
      </c>
      <c r="D413" t="str">
        <f t="shared" si="19"/>
        <v>ALYSSA MIELKE</v>
      </c>
      <c r="E413" t="s">
        <v>256</v>
      </c>
      <c r="F413" t="s">
        <v>126</v>
      </c>
      <c r="G413" t="s">
        <v>127</v>
      </c>
      <c r="H413">
        <v>8307933</v>
      </c>
      <c r="I413" t="s">
        <v>246</v>
      </c>
      <c r="J413" t="s">
        <v>247</v>
      </c>
      <c r="K413" t="str">
        <f t="shared" si="18"/>
        <v>GREGORY TEIPEL</v>
      </c>
      <c r="L413" s="1">
        <v>45907</v>
      </c>
      <c r="M413" s="1">
        <v>46029</v>
      </c>
      <c r="N413" s="2">
        <v>21.44</v>
      </c>
      <c r="O413">
        <f t="shared" si="20"/>
        <v>4</v>
      </c>
      <c r="P413" t="s">
        <v>1370</v>
      </c>
      <c r="Q413" s="4">
        <v>0.7</v>
      </c>
      <c r="R413" t="s">
        <v>83</v>
      </c>
      <c r="S413" t="s">
        <v>61</v>
      </c>
      <c r="T413" s="2">
        <v>15.01</v>
      </c>
      <c r="U413" t="s">
        <v>127</v>
      </c>
    </row>
    <row r="414" spans="1:51" x14ac:dyDescent="0.25">
      <c r="A414">
        <v>2030517071</v>
      </c>
      <c r="B414" t="s">
        <v>594</v>
      </c>
      <c r="C414" t="s">
        <v>595</v>
      </c>
      <c r="D414" t="str">
        <f t="shared" si="19"/>
        <v>CORTNEY BLACKWELL</v>
      </c>
      <c r="E414" t="s">
        <v>374</v>
      </c>
      <c r="F414" t="s">
        <v>75</v>
      </c>
      <c r="G414" t="s">
        <v>76</v>
      </c>
      <c r="H414">
        <v>8307933</v>
      </c>
      <c r="I414" t="s">
        <v>246</v>
      </c>
      <c r="J414" t="s">
        <v>247</v>
      </c>
      <c r="K414" t="str">
        <f t="shared" si="18"/>
        <v>GREGORY TEIPEL</v>
      </c>
      <c r="L414" s="1">
        <v>45907</v>
      </c>
      <c r="M414" s="1">
        <v>46029</v>
      </c>
      <c r="N414" s="2">
        <v>41.58</v>
      </c>
      <c r="O414">
        <f t="shared" si="20"/>
        <v>4</v>
      </c>
      <c r="P414" t="s">
        <v>1370</v>
      </c>
      <c r="Q414" s="4">
        <v>0.75</v>
      </c>
      <c r="R414" t="s">
        <v>83</v>
      </c>
      <c r="S414" t="s">
        <v>61</v>
      </c>
      <c r="T414" s="2">
        <v>31.18</v>
      </c>
      <c r="U414" t="s">
        <v>1371</v>
      </c>
    </row>
    <row r="415" spans="1:51" x14ac:dyDescent="0.25">
      <c r="A415">
        <v>2030477513</v>
      </c>
      <c r="B415" t="s">
        <v>887</v>
      </c>
      <c r="C415" t="s">
        <v>888</v>
      </c>
      <c r="D415" t="str">
        <f t="shared" si="19"/>
        <v>JASMINE RICHARDS</v>
      </c>
      <c r="E415" t="s">
        <v>389</v>
      </c>
      <c r="F415" t="s">
        <v>75</v>
      </c>
      <c r="G415" t="s">
        <v>76</v>
      </c>
      <c r="H415">
        <v>8307933</v>
      </c>
      <c r="I415" t="s">
        <v>246</v>
      </c>
      <c r="J415" t="s">
        <v>247</v>
      </c>
      <c r="K415" t="str">
        <f t="shared" si="18"/>
        <v>GREGORY TEIPEL</v>
      </c>
      <c r="L415" s="1">
        <v>45906</v>
      </c>
      <c r="M415" s="1">
        <v>46028</v>
      </c>
      <c r="N415" s="2">
        <v>24.48</v>
      </c>
      <c r="O415">
        <f t="shared" si="20"/>
        <v>4</v>
      </c>
      <c r="P415" t="s">
        <v>1370</v>
      </c>
      <c r="Q415" s="4">
        <v>0.75</v>
      </c>
      <c r="R415" t="s">
        <v>83</v>
      </c>
      <c r="S415" t="s">
        <v>61</v>
      </c>
      <c r="T415" s="2">
        <v>18.36</v>
      </c>
      <c r="U415" t="s">
        <v>1371</v>
      </c>
    </row>
    <row r="416" spans="1:51" x14ac:dyDescent="0.25">
      <c r="A416">
        <v>2030641191</v>
      </c>
      <c r="B416" t="s">
        <v>889</v>
      </c>
      <c r="C416" t="s">
        <v>175</v>
      </c>
      <c r="D416" t="str">
        <f t="shared" si="19"/>
        <v>LISA PERRY</v>
      </c>
      <c r="E416" t="s">
        <v>125</v>
      </c>
      <c r="F416" t="s">
        <v>75</v>
      </c>
      <c r="G416" t="s">
        <v>739</v>
      </c>
      <c r="H416">
        <v>8307933</v>
      </c>
      <c r="I416" t="s">
        <v>246</v>
      </c>
      <c r="J416" t="s">
        <v>247</v>
      </c>
      <c r="K416" t="str">
        <f t="shared" si="18"/>
        <v>GREGORY TEIPEL</v>
      </c>
      <c r="L416" s="1">
        <v>45906</v>
      </c>
      <c r="M416" s="1">
        <v>46028</v>
      </c>
      <c r="N416" s="2">
        <v>57.54</v>
      </c>
      <c r="O416">
        <f t="shared" si="20"/>
        <v>4</v>
      </c>
      <c r="P416" t="s">
        <v>1370</v>
      </c>
      <c r="Q416" s="4">
        <v>0.65</v>
      </c>
      <c r="R416" t="s">
        <v>83</v>
      </c>
      <c r="S416" t="s">
        <v>61</v>
      </c>
      <c r="T416" s="2">
        <v>37.4</v>
      </c>
      <c r="U416" t="s">
        <v>1380</v>
      </c>
    </row>
    <row r="417" spans="1:21" x14ac:dyDescent="0.25">
      <c r="A417">
        <v>2030752805</v>
      </c>
      <c r="B417" t="s">
        <v>598</v>
      </c>
      <c r="C417" t="s">
        <v>599</v>
      </c>
      <c r="D417" t="str">
        <f t="shared" si="19"/>
        <v>ERO WALLI</v>
      </c>
      <c r="E417" t="s">
        <v>447</v>
      </c>
      <c r="F417" t="s">
        <v>75</v>
      </c>
      <c r="G417" t="s">
        <v>243</v>
      </c>
      <c r="H417">
        <v>8307933</v>
      </c>
      <c r="I417" t="s">
        <v>246</v>
      </c>
      <c r="J417" t="s">
        <v>247</v>
      </c>
      <c r="K417" t="str">
        <f t="shared" si="18"/>
        <v>GREGORY TEIPEL</v>
      </c>
      <c r="L417" s="1">
        <v>45906</v>
      </c>
      <c r="M417" s="1">
        <v>46028</v>
      </c>
      <c r="N417" s="2">
        <v>74.11</v>
      </c>
      <c r="O417">
        <f t="shared" si="20"/>
        <v>4</v>
      </c>
      <c r="P417" t="s">
        <v>1370</v>
      </c>
      <c r="Q417" s="4">
        <v>0.75</v>
      </c>
      <c r="R417" t="s">
        <v>83</v>
      </c>
      <c r="S417" t="s">
        <v>61</v>
      </c>
      <c r="T417" s="2">
        <v>55.58</v>
      </c>
      <c r="U417" t="s">
        <v>1371</v>
      </c>
    </row>
    <row r="418" spans="1:21" x14ac:dyDescent="0.25">
      <c r="A418">
        <v>2030317596</v>
      </c>
      <c r="B418" t="s">
        <v>874</v>
      </c>
      <c r="C418" t="s">
        <v>824</v>
      </c>
      <c r="D418" t="str">
        <f t="shared" si="19"/>
        <v>ANGELA DOWDLE</v>
      </c>
      <c r="E418" t="s">
        <v>102</v>
      </c>
      <c r="F418" t="s">
        <v>75</v>
      </c>
      <c r="G418" t="s">
        <v>243</v>
      </c>
      <c r="H418">
        <v>8307933</v>
      </c>
      <c r="I418" t="s">
        <v>246</v>
      </c>
      <c r="J418" t="s">
        <v>247</v>
      </c>
      <c r="K418" t="str">
        <f t="shared" si="18"/>
        <v>GREGORY TEIPEL</v>
      </c>
      <c r="L418" s="1">
        <v>45906</v>
      </c>
      <c r="M418" s="1">
        <v>46028</v>
      </c>
      <c r="N418" s="2">
        <v>69.3</v>
      </c>
      <c r="O418">
        <f t="shared" si="20"/>
        <v>4</v>
      </c>
      <c r="P418" t="s">
        <v>1370</v>
      </c>
      <c r="Q418" s="4">
        <v>0.75</v>
      </c>
      <c r="R418" t="s">
        <v>83</v>
      </c>
      <c r="S418" t="s">
        <v>61</v>
      </c>
      <c r="T418" s="2">
        <v>51.98</v>
      </c>
      <c r="U418" t="s">
        <v>1371</v>
      </c>
    </row>
    <row r="419" spans="1:21" x14ac:dyDescent="0.25">
      <c r="A419">
        <v>2030336751</v>
      </c>
      <c r="B419" t="s">
        <v>876</v>
      </c>
      <c r="C419" t="s">
        <v>245</v>
      </c>
      <c r="D419" t="str">
        <f t="shared" si="19"/>
        <v>LAUREN SLOSS</v>
      </c>
      <c r="E419" t="s">
        <v>374</v>
      </c>
      <c r="F419" t="s">
        <v>75</v>
      </c>
      <c r="G419" t="s">
        <v>80</v>
      </c>
      <c r="H419">
        <v>8307933</v>
      </c>
      <c r="I419" t="s">
        <v>246</v>
      </c>
      <c r="J419" t="s">
        <v>247</v>
      </c>
      <c r="K419" t="str">
        <f t="shared" si="18"/>
        <v>GREGORY TEIPEL</v>
      </c>
      <c r="L419" s="1">
        <v>45906</v>
      </c>
      <c r="M419" s="1">
        <v>46028</v>
      </c>
      <c r="N419" s="2">
        <v>216.41</v>
      </c>
      <c r="O419">
        <f t="shared" si="20"/>
        <v>4</v>
      </c>
      <c r="P419" t="s">
        <v>1370</v>
      </c>
      <c r="Q419" s="4">
        <v>0.9</v>
      </c>
      <c r="R419" t="s">
        <v>83</v>
      </c>
      <c r="S419" t="s">
        <v>61</v>
      </c>
      <c r="T419" s="2">
        <v>194.77</v>
      </c>
      <c r="U419" t="s">
        <v>1372</v>
      </c>
    </row>
    <row r="420" spans="1:21" x14ac:dyDescent="0.25">
      <c r="A420">
        <v>2030443828</v>
      </c>
      <c r="B420" t="s">
        <v>885</v>
      </c>
      <c r="C420" t="s">
        <v>886</v>
      </c>
      <c r="D420" t="str">
        <f t="shared" si="19"/>
        <v>TATYANA MUKHIN</v>
      </c>
      <c r="E420" t="s">
        <v>447</v>
      </c>
      <c r="F420" t="s">
        <v>75</v>
      </c>
      <c r="G420" t="s">
        <v>80</v>
      </c>
      <c r="H420">
        <v>8307933</v>
      </c>
      <c r="I420" t="s">
        <v>246</v>
      </c>
      <c r="J420" t="s">
        <v>247</v>
      </c>
      <c r="K420" t="str">
        <f t="shared" si="18"/>
        <v>GREGORY TEIPEL</v>
      </c>
      <c r="L420" s="1">
        <v>45907</v>
      </c>
      <c r="M420" s="1">
        <v>46029</v>
      </c>
      <c r="N420" s="2">
        <v>176.63</v>
      </c>
      <c r="O420">
        <f t="shared" si="20"/>
        <v>4</v>
      </c>
      <c r="P420" t="s">
        <v>1370</v>
      </c>
      <c r="Q420" s="4">
        <v>0.9</v>
      </c>
      <c r="R420" t="s">
        <v>83</v>
      </c>
      <c r="S420" t="s">
        <v>61</v>
      </c>
      <c r="T420" s="2">
        <v>158.97</v>
      </c>
      <c r="U420" t="s">
        <v>1372</v>
      </c>
    </row>
    <row r="421" spans="1:21" x14ac:dyDescent="0.25">
      <c r="A421">
        <v>2030719341</v>
      </c>
      <c r="B421" t="s">
        <v>892</v>
      </c>
      <c r="C421" t="s">
        <v>893</v>
      </c>
      <c r="D421" t="str">
        <f t="shared" si="19"/>
        <v>SHELLEY SPICER</v>
      </c>
      <c r="E421" t="s">
        <v>256</v>
      </c>
      <c r="F421" t="s">
        <v>75</v>
      </c>
      <c r="G421" t="s">
        <v>80</v>
      </c>
      <c r="H421">
        <v>8307933</v>
      </c>
      <c r="I421" t="s">
        <v>246</v>
      </c>
      <c r="J421" t="s">
        <v>247</v>
      </c>
      <c r="K421" t="str">
        <f t="shared" si="18"/>
        <v>GREGORY TEIPEL</v>
      </c>
      <c r="L421" s="1">
        <v>45906</v>
      </c>
      <c r="M421" s="1">
        <v>46028</v>
      </c>
      <c r="N421" s="2">
        <v>167.21</v>
      </c>
      <c r="O421">
        <f t="shared" si="20"/>
        <v>4</v>
      </c>
      <c r="P421" t="s">
        <v>1370</v>
      </c>
      <c r="Q421" s="4">
        <v>0.9</v>
      </c>
      <c r="R421" t="s">
        <v>83</v>
      </c>
      <c r="S421" t="s">
        <v>61</v>
      </c>
      <c r="T421" s="2">
        <v>150.49</v>
      </c>
      <c r="U421" t="s">
        <v>1372</v>
      </c>
    </row>
    <row r="422" spans="1:21" x14ac:dyDescent="0.25">
      <c r="A422">
        <v>2030441006</v>
      </c>
      <c r="B422" t="s">
        <v>884</v>
      </c>
      <c r="C422" t="s">
        <v>175</v>
      </c>
      <c r="D422" t="str">
        <f t="shared" si="19"/>
        <v>LISA JIMENEZ</v>
      </c>
      <c r="E422" t="s">
        <v>256</v>
      </c>
      <c r="F422" t="s">
        <v>75</v>
      </c>
      <c r="G422" t="s">
        <v>80</v>
      </c>
      <c r="H422">
        <v>8307933</v>
      </c>
      <c r="I422" t="s">
        <v>246</v>
      </c>
      <c r="J422" t="s">
        <v>247</v>
      </c>
      <c r="K422" t="str">
        <f t="shared" si="18"/>
        <v>GREGORY TEIPEL</v>
      </c>
      <c r="L422" s="1">
        <v>45907</v>
      </c>
      <c r="M422" s="1">
        <v>46029</v>
      </c>
      <c r="N422" s="2">
        <v>101.93</v>
      </c>
      <c r="O422">
        <f t="shared" si="20"/>
        <v>4</v>
      </c>
      <c r="P422" t="s">
        <v>1370</v>
      </c>
      <c r="Q422" s="4">
        <v>0.9</v>
      </c>
      <c r="R422" t="s">
        <v>83</v>
      </c>
      <c r="S422" t="s">
        <v>61</v>
      </c>
      <c r="T422" s="2">
        <v>91.74</v>
      </c>
      <c r="U422" t="s">
        <v>1372</v>
      </c>
    </row>
    <row r="423" spans="1:21" x14ac:dyDescent="0.25">
      <c r="A423">
        <v>2030435037</v>
      </c>
      <c r="B423" t="s">
        <v>638</v>
      </c>
      <c r="C423" t="s">
        <v>883</v>
      </c>
      <c r="D423" t="str">
        <f t="shared" si="19"/>
        <v>DAKOTA BROWN</v>
      </c>
      <c r="E423" t="s">
        <v>256</v>
      </c>
      <c r="F423" t="s">
        <v>75</v>
      </c>
      <c r="G423" t="s">
        <v>80</v>
      </c>
      <c r="H423">
        <v>8307933</v>
      </c>
      <c r="I423" t="s">
        <v>246</v>
      </c>
      <c r="J423" t="s">
        <v>247</v>
      </c>
      <c r="K423" t="str">
        <f t="shared" si="18"/>
        <v>GREGORY TEIPEL</v>
      </c>
      <c r="L423" s="1">
        <v>45907</v>
      </c>
      <c r="M423" s="1">
        <v>46029</v>
      </c>
      <c r="N423" s="2">
        <v>87.13</v>
      </c>
      <c r="O423">
        <f t="shared" si="20"/>
        <v>4</v>
      </c>
      <c r="P423" t="s">
        <v>1370</v>
      </c>
      <c r="Q423" s="4">
        <v>0.9</v>
      </c>
      <c r="R423" t="s">
        <v>83</v>
      </c>
      <c r="S423" t="s">
        <v>61</v>
      </c>
      <c r="T423" s="2">
        <v>78.42</v>
      </c>
      <c r="U423" t="s">
        <v>1372</v>
      </c>
    </row>
    <row r="424" spans="1:21" x14ac:dyDescent="0.25">
      <c r="A424">
        <v>2030678711</v>
      </c>
      <c r="B424" t="s">
        <v>890</v>
      </c>
      <c r="C424" t="s">
        <v>891</v>
      </c>
      <c r="D424" t="str">
        <f t="shared" si="19"/>
        <v>OLHA NOVAKOVSKA</v>
      </c>
      <c r="E424" t="s">
        <v>102</v>
      </c>
      <c r="F424" t="s">
        <v>75</v>
      </c>
      <c r="G424" t="s">
        <v>80</v>
      </c>
      <c r="H424">
        <v>8307933</v>
      </c>
      <c r="I424" t="s">
        <v>246</v>
      </c>
      <c r="J424" t="s">
        <v>247</v>
      </c>
      <c r="K424" t="str">
        <f t="shared" si="18"/>
        <v>GREGORY TEIPEL</v>
      </c>
      <c r="L424" s="1">
        <v>45906</v>
      </c>
      <c r="M424" s="1">
        <v>46028</v>
      </c>
      <c r="N424" s="2">
        <v>87.08</v>
      </c>
      <c r="O424">
        <f t="shared" si="20"/>
        <v>4</v>
      </c>
      <c r="P424" t="s">
        <v>1370</v>
      </c>
      <c r="Q424" s="4">
        <v>0.9</v>
      </c>
      <c r="R424" t="s">
        <v>83</v>
      </c>
      <c r="S424" t="s">
        <v>61</v>
      </c>
      <c r="T424" s="2">
        <v>78.37</v>
      </c>
      <c r="U424" t="s">
        <v>1372</v>
      </c>
    </row>
    <row r="425" spans="1:21" x14ac:dyDescent="0.25">
      <c r="A425">
        <v>2030518950</v>
      </c>
      <c r="B425" t="s">
        <v>596</v>
      </c>
      <c r="C425" t="s">
        <v>597</v>
      </c>
      <c r="D425" t="str">
        <f t="shared" si="19"/>
        <v>ALYSSA MIELKE</v>
      </c>
      <c r="E425" t="s">
        <v>256</v>
      </c>
      <c r="F425" t="s">
        <v>75</v>
      </c>
      <c r="G425" t="s">
        <v>80</v>
      </c>
      <c r="H425">
        <v>8307933</v>
      </c>
      <c r="I425" t="s">
        <v>246</v>
      </c>
      <c r="J425" t="s">
        <v>247</v>
      </c>
      <c r="K425" t="str">
        <f t="shared" si="18"/>
        <v>GREGORY TEIPEL</v>
      </c>
      <c r="L425" s="1">
        <v>45907</v>
      </c>
      <c r="M425" s="1">
        <v>46029</v>
      </c>
      <c r="N425" s="2">
        <v>68.25</v>
      </c>
      <c r="O425">
        <f t="shared" si="20"/>
        <v>4</v>
      </c>
      <c r="P425" t="s">
        <v>1370</v>
      </c>
      <c r="Q425" s="4">
        <v>0.9</v>
      </c>
      <c r="R425" t="s">
        <v>83</v>
      </c>
      <c r="S425" t="s">
        <v>61</v>
      </c>
      <c r="T425" s="2">
        <v>61.42</v>
      </c>
      <c r="U425" t="s">
        <v>1372</v>
      </c>
    </row>
    <row r="426" spans="1:21" x14ac:dyDescent="0.25">
      <c r="A426">
        <v>2030739941</v>
      </c>
      <c r="B426" t="s">
        <v>107</v>
      </c>
      <c r="C426" t="s">
        <v>1314</v>
      </c>
      <c r="D426" t="str">
        <f t="shared" si="19"/>
        <v>WILLIE THOMAS</v>
      </c>
      <c r="E426" t="s">
        <v>97</v>
      </c>
      <c r="F426" t="s">
        <v>169</v>
      </c>
      <c r="G426" t="s">
        <v>1275</v>
      </c>
      <c r="H426">
        <v>8307933</v>
      </c>
      <c r="I426" t="s">
        <v>246</v>
      </c>
      <c r="J426" t="s">
        <v>247</v>
      </c>
      <c r="K426" t="str">
        <f t="shared" si="18"/>
        <v>GREGORY TEIPEL</v>
      </c>
      <c r="L426" s="1">
        <v>45906</v>
      </c>
      <c r="M426" s="1">
        <v>46028</v>
      </c>
      <c r="N426" s="2">
        <v>14.95</v>
      </c>
      <c r="O426">
        <f t="shared" si="20"/>
        <v>4</v>
      </c>
      <c r="P426" t="s">
        <v>1370</v>
      </c>
      <c r="Q426" s="4">
        <v>0.51</v>
      </c>
      <c r="R426" t="s">
        <v>83</v>
      </c>
      <c r="S426" t="s">
        <v>61</v>
      </c>
      <c r="T426" s="2">
        <v>7.62</v>
      </c>
      <c r="U426" t="s">
        <v>1274</v>
      </c>
    </row>
    <row r="427" spans="1:21" x14ac:dyDescent="0.25">
      <c r="A427">
        <v>2030739940</v>
      </c>
      <c r="B427" t="s">
        <v>107</v>
      </c>
      <c r="C427" t="s">
        <v>1314</v>
      </c>
      <c r="D427" t="str">
        <f t="shared" si="19"/>
        <v>WILLIE THOMAS</v>
      </c>
      <c r="E427" t="s">
        <v>97</v>
      </c>
      <c r="F427" t="s">
        <v>169</v>
      </c>
      <c r="G427" t="s">
        <v>1274</v>
      </c>
      <c r="H427">
        <v>8307933</v>
      </c>
      <c r="I427" t="s">
        <v>246</v>
      </c>
      <c r="J427" t="s">
        <v>247</v>
      </c>
      <c r="K427" t="str">
        <f t="shared" si="18"/>
        <v>GREGORY TEIPEL</v>
      </c>
      <c r="L427" s="1">
        <v>45906</v>
      </c>
      <c r="M427" s="1">
        <v>46028</v>
      </c>
      <c r="N427" s="2">
        <v>176.78</v>
      </c>
      <c r="O427">
        <f t="shared" si="20"/>
        <v>4</v>
      </c>
      <c r="P427" t="s">
        <v>1370</v>
      </c>
      <c r="Q427" s="4">
        <v>0.51</v>
      </c>
      <c r="R427" t="s">
        <v>83</v>
      </c>
      <c r="S427" t="s">
        <v>61</v>
      </c>
      <c r="T427" s="2">
        <v>90.16</v>
      </c>
      <c r="U427" t="s">
        <v>1274</v>
      </c>
    </row>
    <row r="428" spans="1:21" x14ac:dyDescent="0.25">
      <c r="A428">
        <v>2030317595</v>
      </c>
      <c r="B428" t="s">
        <v>874</v>
      </c>
      <c r="C428" t="s">
        <v>824</v>
      </c>
      <c r="D428" t="str">
        <f t="shared" si="19"/>
        <v>ANGELA DOWDLE</v>
      </c>
      <c r="E428" t="s">
        <v>102</v>
      </c>
      <c r="F428" t="s">
        <v>126</v>
      </c>
      <c r="G428" t="s">
        <v>132</v>
      </c>
      <c r="H428">
        <v>8307933</v>
      </c>
      <c r="I428" t="s">
        <v>246</v>
      </c>
      <c r="J428" t="s">
        <v>247</v>
      </c>
      <c r="K428" t="str">
        <f t="shared" si="18"/>
        <v>GREGORY TEIPEL</v>
      </c>
      <c r="L428" s="1">
        <v>45906</v>
      </c>
      <c r="M428" s="1">
        <v>46028</v>
      </c>
      <c r="N428" s="2">
        <v>115.38</v>
      </c>
      <c r="O428">
        <f t="shared" si="20"/>
        <v>4</v>
      </c>
      <c r="P428" t="s">
        <v>1370</v>
      </c>
      <c r="Q428" s="4">
        <v>0.7</v>
      </c>
      <c r="R428" t="s">
        <v>83</v>
      </c>
      <c r="S428" t="s">
        <v>61</v>
      </c>
      <c r="T428" s="2">
        <v>80.77</v>
      </c>
      <c r="U428" t="s">
        <v>132</v>
      </c>
    </row>
    <row r="429" spans="1:21" x14ac:dyDescent="0.25">
      <c r="A429">
        <v>2030443827</v>
      </c>
      <c r="B429" t="s">
        <v>885</v>
      </c>
      <c r="C429" t="s">
        <v>886</v>
      </c>
      <c r="D429" t="str">
        <f t="shared" si="19"/>
        <v>TATYANA MUKHIN</v>
      </c>
      <c r="E429" t="s">
        <v>447</v>
      </c>
      <c r="F429" t="s">
        <v>126</v>
      </c>
      <c r="G429" t="s">
        <v>132</v>
      </c>
      <c r="H429">
        <v>8307933</v>
      </c>
      <c r="I429" t="s">
        <v>246</v>
      </c>
      <c r="J429" t="s">
        <v>247</v>
      </c>
      <c r="K429" t="str">
        <f t="shared" si="18"/>
        <v>GREGORY TEIPEL</v>
      </c>
      <c r="L429" s="1">
        <v>45907</v>
      </c>
      <c r="M429" s="1">
        <v>46029</v>
      </c>
      <c r="N429" s="2">
        <v>101.25</v>
      </c>
      <c r="O429">
        <f t="shared" si="20"/>
        <v>4</v>
      </c>
      <c r="P429" t="s">
        <v>1370</v>
      </c>
      <c r="Q429" s="4">
        <v>0.7</v>
      </c>
      <c r="R429" t="s">
        <v>83</v>
      </c>
      <c r="S429" t="s">
        <v>61</v>
      </c>
      <c r="T429" s="2">
        <v>70.88</v>
      </c>
      <c r="U429" t="s">
        <v>132</v>
      </c>
    </row>
    <row r="430" spans="1:21" x14ac:dyDescent="0.25">
      <c r="A430">
        <v>2030479537</v>
      </c>
      <c r="B430" t="s">
        <v>1155</v>
      </c>
      <c r="C430" t="s">
        <v>962</v>
      </c>
      <c r="D430" t="str">
        <f t="shared" si="19"/>
        <v>MARK ANNON</v>
      </c>
      <c r="E430" t="s">
        <v>97</v>
      </c>
      <c r="F430" t="s">
        <v>126</v>
      </c>
      <c r="G430" t="s">
        <v>132</v>
      </c>
      <c r="H430">
        <v>8307933</v>
      </c>
      <c r="I430" t="s">
        <v>246</v>
      </c>
      <c r="J430" t="s">
        <v>247</v>
      </c>
      <c r="K430" t="str">
        <f t="shared" si="18"/>
        <v>GREGORY TEIPEL</v>
      </c>
      <c r="L430" s="1">
        <v>45906</v>
      </c>
      <c r="M430" s="1">
        <v>46028</v>
      </c>
      <c r="N430" s="2">
        <v>38.31</v>
      </c>
      <c r="O430">
        <f t="shared" si="20"/>
        <v>4</v>
      </c>
      <c r="P430" t="s">
        <v>1370</v>
      </c>
      <c r="Q430" s="4">
        <v>0.7</v>
      </c>
      <c r="R430" t="s">
        <v>83</v>
      </c>
      <c r="S430" t="s">
        <v>61</v>
      </c>
      <c r="T430" s="2">
        <v>26.8</v>
      </c>
      <c r="U430" t="s">
        <v>132</v>
      </c>
    </row>
    <row r="431" spans="1:21" x14ac:dyDescent="0.25">
      <c r="A431">
        <v>2030336752</v>
      </c>
      <c r="B431" t="s">
        <v>876</v>
      </c>
      <c r="C431" t="s">
        <v>245</v>
      </c>
      <c r="D431" t="str">
        <f t="shared" si="19"/>
        <v>LAUREN SLOSS</v>
      </c>
      <c r="E431" t="s">
        <v>374</v>
      </c>
      <c r="F431" t="s">
        <v>126</v>
      </c>
      <c r="G431" t="s">
        <v>132</v>
      </c>
      <c r="H431">
        <v>8307933</v>
      </c>
      <c r="I431" t="s">
        <v>246</v>
      </c>
      <c r="J431" t="s">
        <v>247</v>
      </c>
      <c r="K431" t="str">
        <f t="shared" si="18"/>
        <v>GREGORY TEIPEL</v>
      </c>
      <c r="L431" s="1">
        <v>45906</v>
      </c>
      <c r="M431" s="1">
        <v>46028</v>
      </c>
      <c r="N431" s="2">
        <v>31.88</v>
      </c>
      <c r="O431">
        <f t="shared" si="20"/>
        <v>4</v>
      </c>
      <c r="P431" t="s">
        <v>1370</v>
      </c>
      <c r="Q431" s="4">
        <v>0.7</v>
      </c>
      <c r="R431" t="s">
        <v>83</v>
      </c>
      <c r="S431" t="s">
        <v>61</v>
      </c>
      <c r="T431" s="2">
        <v>22.32</v>
      </c>
      <c r="U431" t="s">
        <v>132</v>
      </c>
    </row>
    <row r="432" spans="1:21" x14ac:dyDescent="0.25">
      <c r="A432">
        <v>2030517070</v>
      </c>
      <c r="B432" t="s">
        <v>594</v>
      </c>
      <c r="C432" t="s">
        <v>595</v>
      </c>
      <c r="D432" t="str">
        <f t="shared" si="19"/>
        <v>CORTNEY BLACKWELL</v>
      </c>
      <c r="E432" t="s">
        <v>374</v>
      </c>
      <c r="F432" t="s">
        <v>126</v>
      </c>
      <c r="G432" t="s">
        <v>132</v>
      </c>
      <c r="H432">
        <v>8307933</v>
      </c>
      <c r="I432" t="s">
        <v>246</v>
      </c>
      <c r="J432" t="s">
        <v>247</v>
      </c>
      <c r="K432" t="str">
        <f t="shared" si="18"/>
        <v>GREGORY TEIPEL</v>
      </c>
      <c r="L432" s="1">
        <v>45907</v>
      </c>
      <c r="M432" s="1">
        <v>46029</v>
      </c>
      <c r="N432" s="2">
        <v>20.420000000000002</v>
      </c>
      <c r="O432">
        <f t="shared" si="20"/>
        <v>4</v>
      </c>
      <c r="P432" t="s">
        <v>1370</v>
      </c>
      <c r="Q432" s="4">
        <v>0.7</v>
      </c>
      <c r="R432" t="s">
        <v>83</v>
      </c>
      <c r="S432" t="s">
        <v>61</v>
      </c>
      <c r="T432" s="2">
        <v>14.29</v>
      </c>
      <c r="U432" t="s">
        <v>132</v>
      </c>
    </row>
    <row r="433" spans="1:21" x14ac:dyDescent="0.25">
      <c r="A433">
        <v>2030641192</v>
      </c>
      <c r="B433" t="s">
        <v>889</v>
      </c>
      <c r="C433" t="s">
        <v>175</v>
      </c>
      <c r="D433" t="str">
        <f t="shared" si="19"/>
        <v>LISA PERRY</v>
      </c>
      <c r="E433" t="s">
        <v>125</v>
      </c>
      <c r="F433" t="s">
        <v>126</v>
      </c>
      <c r="G433" t="s">
        <v>132</v>
      </c>
      <c r="H433">
        <v>8307933</v>
      </c>
      <c r="I433" t="s">
        <v>246</v>
      </c>
      <c r="J433" t="s">
        <v>247</v>
      </c>
      <c r="K433" t="str">
        <f t="shared" si="18"/>
        <v>GREGORY TEIPEL</v>
      </c>
      <c r="L433" s="1">
        <v>45906</v>
      </c>
      <c r="M433" s="1">
        <v>46028</v>
      </c>
      <c r="N433" s="2">
        <v>19.100000000000001</v>
      </c>
      <c r="O433">
        <f t="shared" si="20"/>
        <v>4</v>
      </c>
      <c r="P433" t="s">
        <v>1370</v>
      </c>
      <c r="Q433" s="4">
        <v>0.7</v>
      </c>
      <c r="R433" t="s">
        <v>83</v>
      </c>
      <c r="S433" t="s">
        <v>61</v>
      </c>
      <c r="T433" s="2">
        <v>13.37</v>
      </c>
      <c r="U433" t="s">
        <v>132</v>
      </c>
    </row>
    <row r="434" spans="1:21" x14ac:dyDescent="0.25">
      <c r="A434">
        <v>2030477514</v>
      </c>
      <c r="B434" t="s">
        <v>887</v>
      </c>
      <c r="C434" t="s">
        <v>888</v>
      </c>
      <c r="D434" t="str">
        <f t="shared" si="19"/>
        <v>JASMINE RICHARDS</v>
      </c>
      <c r="E434" t="s">
        <v>389</v>
      </c>
      <c r="F434" t="s">
        <v>126</v>
      </c>
      <c r="G434" t="s">
        <v>132</v>
      </c>
      <c r="H434">
        <v>8307933</v>
      </c>
      <c r="I434" t="s">
        <v>246</v>
      </c>
      <c r="J434" t="s">
        <v>247</v>
      </c>
      <c r="K434" t="str">
        <f t="shared" si="18"/>
        <v>GREGORY TEIPEL</v>
      </c>
      <c r="L434" s="1">
        <v>45906</v>
      </c>
      <c r="M434" s="1">
        <v>46028</v>
      </c>
      <c r="N434" s="2">
        <v>19</v>
      </c>
      <c r="O434">
        <f t="shared" si="20"/>
        <v>4</v>
      </c>
      <c r="P434" t="s">
        <v>1370</v>
      </c>
      <c r="Q434" s="4">
        <v>0.7</v>
      </c>
      <c r="R434" t="s">
        <v>83</v>
      </c>
      <c r="S434" t="s">
        <v>61</v>
      </c>
      <c r="T434" s="2">
        <v>13.3</v>
      </c>
      <c r="U434" t="s">
        <v>132</v>
      </c>
    </row>
    <row r="435" spans="1:21" x14ac:dyDescent="0.25">
      <c r="A435">
        <v>2030752804</v>
      </c>
      <c r="B435" t="s">
        <v>598</v>
      </c>
      <c r="C435" t="s">
        <v>599</v>
      </c>
      <c r="D435" t="str">
        <f t="shared" si="19"/>
        <v>ERO WALLI</v>
      </c>
      <c r="E435" t="s">
        <v>447</v>
      </c>
      <c r="F435" t="s">
        <v>86</v>
      </c>
      <c r="G435" t="s">
        <v>87</v>
      </c>
      <c r="H435">
        <v>8307933</v>
      </c>
      <c r="I435" t="s">
        <v>246</v>
      </c>
      <c r="J435" t="s">
        <v>247</v>
      </c>
      <c r="K435" t="str">
        <f t="shared" si="18"/>
        <v>GREGORY TEIPEL</v>
      </c>
      <c r="L435" s="1">
        <v>45906</v>
      </c>
      <c r="M435" s="1">
        <v>46028</v>
      </c>
      <c r="N435" s="2">
        <v>91.51</v>
      </c>
      <c r="O435">
        <f t="shared" si="20"/>
        <v>4</v>
      </c>
      <c r="P435" t="s">
        <v>1370</v>
      </c>
      <c r="Q435" s="3">
        <v>0.375</v>
      </c>
      <c r="R435" t="s">
        <v>83</v>
      </c>
      <c r="S435" t="s">
        <v>61</v>
      </c>
      <c r="T435" s="2">
        <v>34.32</v>
      </c>
      <c r="U435" t="s">
        <v>87</v>
      </c>
    </row>
    <row r="436" spans="1:21" x14ac:dyDescent="0.25">
      <c r="A436">
        <v>2030431211</v>
      </c>
      <c r="B436" t="s">
        <v>592</v>
      </c>
      <c r="C436" t="s">
        <v>593</v>
      </c>
      <c r="D436" t="str">
        <f t="shared" si="19"/>
        <v>MIRTA BARTOLOME</v>
      </c>
      <c r="E436" t="s">
        <v>102</v>
      </c>
      <c r="F436" t="s">
        <v>86</v>
      </c>
      <c r="G436" t="s">
        <v>87</v>
      </c>
      <c r="H436">
        <v>8307933</v>
      </c>
      <c r="I436" t="s">
        <v>246</v>
      </c>
      <c r="J436" t="s">
        <v>247</v>
      </c>
      <c r="K436" t="str">
        <f t="shared" si="18"/>
        <v>GREGORY TEIPEL</v>
      </c>
      <c r="L436" s="1">
        <v>45907</v>
      </c>
      <c r="M436" s="1">
        <v>46029</v>
      </c>
      <c r="N436" s="2">
        <v>63.37</v>
      </c>
      <c r="O436">
        <f t="shared" si="20"/>
        <v>4</v>
      </c>
      <c r="P436" t="s">
        <v>1370</v>
      </c>
      <c r="Q436" s="3">
        <v>0.375</v>
      </c>
      <c r="R436" t="s">
        <v>83</v>
      </c>
      <c r="S436" t="s">
        <v>61</v>
      </c>
      <c r="T436" s="2">
        <v>23.76</v>
      </c>
      <c r="U436" t="s">
        <v>87</v>
      </c>
    </row>
    <row r="437" spans="1:21" x14ac:dyDescent="0.25">
      <c r="A437">
        <v>2030518951</v>
      </c>
      <c r="B437" t="s">
        <v>596</v>
      </c>
      <c r="C437" t="s">
        <v>597</v>
      </c>
      <c r="D437" t="str">
        <f t="shared" si="19"/>
        <v>ALYSSA MIELKE</v>
      </c>
      <c r="E437" t="s">
        <v>256</v>
      </c>
      <c r="F437" t="s">
        <v>86</v>
      </c>
      <c r="G437" t="s">
        <v>87</v>
      </c>
      <c r="H437">
        <v>8307933</v>
      </c>
      <c r="I437" t="s">
        <v>246</v>
      </c>
      <c r="J437" t="s">
        <v>247</v>
      </c>
      <c r="K437" t="str">
        <f t="shared" si="18"/>
        <v>GREGORY TEIPEL</v>
      </c>
      <c r="L437" s="1">
        <v>45907</v>
      </c>
      <c r="M437" s="1">
        <v>46029</v>
      </c>
      <c r="N437" s="2">
        <v>48.69</v>
      </c>
      <c r="O437">
        <f t="shared" si="20"/>
        <v>4</v>
      </c>
      <c r="P437" t="s">
        <v>1370</v>
      </c>
      <c r="Q437" s="3">
        <v>0.375</v>
      </c>
      <c r="R437" t="s">
        <v>83</v>
      </c>
      <c r="S437" t="s">
        <v>61</v>
      </c>
      <c r="T437" s="2">
        <v>18.260000000000002</v>
      </c>
      <c r="U437" t="s">
        <v>87</v>
      </c>
    </row>
    <row r="438" spans="1:21" x14ac:dyDescent="0.25">
      <c r="A438">
        <v>2030517072</v>
      </c>
      <c r="B438" t="s">
        <v>594</v>
      </c>
      <c r="C438" t="s">
        <v>595</v>
      </c>
      <c r="D438" t="str">
        <f t="shared" si="19"/>
        <v>CORTNEY BLACKWELL</v>
      </c>
      <c r="E438" t="s">
        <v>374</v>
      </c>
      <c r="F438" t="s">
        <v>86</v>
      </c>
      <c r="G438" t="s">
        <v>87</v>
      </c>
      <c r="H438">
        <v>8307933</v>
      </c>
      <c r="I438" t="s">
        <v>246</v>
      </c>
      <c r="J438" t="s">
        <v>247</v>
      </c>
      <c r="K438" t="str">
        <f t="shared" si="18"/>
        <v>GREGORY TEIPEL</v>
      </c>
      <c r="L438" s="1">
        <v>45907</v>
      </c>
      <c r="M438" s="1">
        <v>46029</v>
      </c>
      <c r="N438" s="2">
        <v>47.83</v>
      </c>
      <c r="O438">
        <f t="shared" si="20"/>
        <v>4</v>
      </c>
      <c r="P438" t="s">
        <v>1370</v>
      </c>
      <c r="Q438" s="3">
        <v>0.375</v>
      </c>
      <c r="R438" t="s">
        <v>83</v>
      </c>
      <c r="S438" t="s">
        <v>61</v>
      </c>
      <c r="T438" s="2">
        <v>17.940000000000001</v>
      </c>
      <c r="U438" t="s">
        <v>87</v>
      </c>
    </row>
    <row r="439" spans="1:21" x14ac:dyDescent="0.25">
      <c r="A439">
        <v>2030517073</v>
      </c>
      <c r="B439" t="s">
        <v>594</v>
      </c>
      <c r="C439" t="s">
        <v>595</v>
      </c>
      <c r="D439" t="str">
        <f t="shared" si="19"/>
        <v>CORTNEY BLACKWELL</v>
      </c>
      <c r="E439" t="s">
        <v>374</v>
      </c>
      <c r="F439" t="s">
        <v>126</v>
      </c>
      <c r="G439" t="s">
        <v>375</v>
      </c>
      <c r="H439">
        <v>8307933</v>
      </c>
      <c r="I439" t="s">
        <v>246</v>
      </c>
      <c r="J439" t="s">
        <v>247</v>
      </c>
      <c r="K439" t="str">
        <f t="shared" si="18"/>
        <v>GREGORY TEIPEL</v>
      </c>
      <c r="L439" s="1">
        <v>45907</v>
      </c>
      <c r="M439" s="1">
        <v>46029</v>
      </c>
      <c r="N439" s="2">
        <v>25</v>
      </c>
      <c r="O439">
        <f t="shared" si="20"/>
        <v>4</v>
      </c>
      <c r="P439" t="s">
        <v>1370</v>
      </c>
      <c r="Q439" s="4">
        <v>0.9</v>
      </c>
      <c r="R439" t="s">
        <v>83</v>
      </c>
      <c r="S439" t="s">
        <v>61</v>
      </c>
      <c r="T439" s="2">
        <v>22.5</v>
      </c>
      <c r="U439" t="s">
        <v>375</v>
      </c>
    </row>
    <row r="440" spans="1:21" x14ac:dyDescent="0.25">
      <c r="A440">
        <v>2030641193</v>
      </c>
      <c r="B440" t="s">
        <v>889</v>
      </c>
      <c r="C440" t="s">
        <v>175</v>
      </c>
      <c r="D440" t="str">
        <f t="shared" si="19"/>
        <v>LISA PERRY</v>
      </c>
      <c r="E440" t="s">
        <v>125</v>
      </c>
      <c r="F440" t="s">
        <v>126</v>
      </c>
      <c r="G440" t="s">
        <v>375</v>
      </c>
      <c r="H440">
        <v>8307933</v>
      </c>
      <c r="I440" t="s">
        <v>246</v>
      </c>
      <c r="J440" t="s">
        <v>247</v>
      </c>
      <c r="K440" t="str">
        <f t="shared" si="18"/>
        <v>GREGORY TEIPEL</v>
      </c>
      <c r="L440" s="1">
        <v>45906</v>
      </c>
      <c r="M440" s="1">
        <v>46028</v>
      </c>
      <c r="N440" s="2">
        <v>22.88</v>
      </c>
      <c r="O440">
        <f t="shared" si="20"/>
        <v>4</v>
      </c>
      <c r="P440" t="s">
        <v>1370</v>
      </c>
      <c r="Q440" s="4">
        <v>0.9</v>
      </c>
      <c r="R440" t="s">
        <v>83</v>
      </c>
      <c r="S440" t="s">
        <v>61</v>
      </c>
      <c r="T440" s="2">
        <v>20.59</v>
      </c>
      <c r="U440" t="s">
        <v>375</v>
      </c>
    </row>
    <row r="441" spans="1:21" x14ac:dyDescent="0.25">
      <c r="A441">
        <v>2030917278</v>
      </c>
      <c r="B441" t="s">
        <v>900</v>
      </c>
      <c r="C441" t="s">
        <v>901</v>
      </c>
      <c r="D441" t="str">
        <f t="shared" si="19"/>
        <v>ALICJA MATUSIAK</v>
      </c>
      <c r="E441" t="s">
        <v>210</v>
      </c>
      <c r="F441" t="s">
        <v>75</v>
      </c>
      <c r="G441" t="s">
        <v>243</v>
      </c>
      <c r="H441">
        <v>21564088</v>
      </c>
      <c r="I441" t="s">
        <v>902</v>
      </c>
      <c r="J441" t="s">
        <v>468</v>
      </c>
      <c r="K441" t="str">
        <f t="shared" si="18"/>
        <v>Jennifer Halsaver</v>
      </c>
      <c r="L441" s="1">
        <v>45910</v>
      </c>
      <c r="M441" s="1">
        <v>46032</v>
      </c>
      <c r="N441" s="2">
        <v>32.380000000000003</v>
      </c>
      <c r="O441">
        <f t="shared" si="20"/>
        <v>4</v>
      </c>
      <c r="P441" t="s">
        <v>1370</v>
      </c>
      <c r="Q441" s="4">
        <v>0.75</v>
      </c>
      <c r="R441" t="s">
        <v>83</v>
      </c>
      <c r="S441" t="s">
        <v>61</v>
      </c>
      <c r="T441" s="2">
        <v>24.28</v>
      </c>
      <c r="U441" t="s">
        <v>1371</v>
      </c>
    </row>
    <row r="442" spans="1:21" x14ac:dyDescent="0.25">
      <c r="A442">
        <v>2030917279</v>
      </c>
      <c r="B442" t="s">
        <v>900</v>
      </c>
      <c r="C442" t="s">
        <v>901</v>
      </c>
      <c r="D442" t="str">
        <f t="shared" si="19"/>
        <v>ALICJA MATUSIAK</v>
      </c>
      <c r="E442" t="s">
        <v>210</v>
      </c>
      <c r="F442" t="s">
        <v>290</v>
      </c>
      <c r="G442" t="s">
        <v>943</v>
      </c>
      <c r="H442">
        <v>21564088</v>
      </c>
      <c r="I442" t="s">
        <v>902</v>
      </c>
      <c r="J442" t="s">
        <v>468</v>
      </c>
      <c r="K442" t="str">
        <f t="shared" si="18"/>
        <v>Jennifer Halsaver</v>
      </c>
      <c r="L442" s="1">
        <v>45910</v>
      </c>
      <c r="M442" s="1">
        <v>46032</v>
      </c>
      <c r="N442" s="2">
        <v>15</v>
      </c>
      <c r="O442">
        <f t="shared" si="20"/>
        <v>4</v>
      </c>
      <c r="P442" t="s">
        <v>1370</v>
      </c>
      <c r="Q442" s="4">
        <v>0.19</v>
      </c>
      <c r="R442" t="s">
        <v>83</v>
      </c>
      <c r="S442" t="s">
        <v>61</v>
      </c>
      <c r="T442" s="2">
        <v>2.85</v>
      </c>
      <c r="U442" t="s">
        <v>943</v>
      </c>
    </row>
    <row r="443" spans="1:21" x14ac:dyDescent="0.25">
      <c r="A443">
        <v>2030917276</v>
      </c>
      <c r="B443" t="s">
        <v>900</v>
      </c>
      <c r="C443" t="s">
        <v>901</v>
      </c>
      <c r="D443" t="str">
        <f t="shared" si="19"/>
        <v>ALICJA MATUSIAK</v>
      </c>
      <c r="E443" t="s">
        <v>210</v>
      </c>
      <c r="F443" t="s">
        <v>469</v>
      </c>
      <c r="G443" t="s">
        <v>1229</v>
      </c>
      <c r="H443">
        <v>21564088</v>
      </c>
      <c r="I443" t="s">
        <v>902</v>
      </c>
      <c r="J443" t="s">
        <v>468</v>
      </c>
      <c r="K443" t="str">
        <f t="shared" si="18"/>
        <v>Jennifer Halsaver</v>
      </c>
      <c r="L443" s="1">
        <v>45910</v>
      </c>
      <c r="M443" s="1">
        <v>46032</v>
      </c>
      <c r="N443" s="2">
        <v>247.54</v>
      </c>
      <c r="O443">
        <f t="shared" si="20"/>
        <v>4</v>
      </c>
      <c r="P443" t="s">
        <v>1370</v>
      </c>
      <c r="Q443" s="4">
        <v>0.19</v>
      </c>
      <c r="R443" t="s">
        <v>83</v>
      </c>
      <c r="S443" t="s">
        <v>61</v>
      </c>
      <c r="T443" s="2">
        <v>47.03</v>
      </c>
      <c r="U443" t="s">
        <v>1229</v>
      </c>
    </row>
    <row r="444" spans="1:21" x14ac:dyDescent="0.25">
      <c r="A444">
        <v>2030917277</v>
      </c>
      <c r="B444" t="s">
        <v>900</v>
      </c>
      <c r="C444" t="s">
        <v>901</v>
      </c>
      <c r="D444" t="str">
        <f t="shared" si="19"/>
        <v>ALICJA MATUSIAK</v>
      </c>
      <c r="E444" t="s">
        <v>210</v>
      </c>
      <c r="F444" t="s">
        <v>126</v>
      </c>
      <c r="G444" t="s">
        <v>132</v>
      </c>
      <c r="H444">
        <v>21564088</v>
      </c>
      <c r="I444" t="s">
        <v>902</v>
      </c>
      <c r="J444" t="s">
        <v>468</v>
      </c>
      <c r="K444" t="str">
        <f t="shared" si="18"/>
        <v>Jennifer Halsaver</v>
      </c>
      <c r="L444" s="1">
        <v>45910</v>
      </c>
      <c r="M444" s="1">
        <v>46032</v>
      </c>
      <c r="N444" s="2">
        <v>79.58</v>
      </c>
      <c r="O444">
        <f t="shared" si="20"/>
        <v>4</v>
      </c>
      <c r="P444" t="s">
        <v>1370</v>
      </c>
      <c r="Q444" s="4">
        <v>0.7</v>
      </c>
      <c r="R444" t="s">
        <v>83</v>
      </c>
      <c r="S444" t="s">
        <v>61</v>
      </c>
      <c r="T444" s="2">
        <v>55.71</v>
      </c>
      <c r="U444" t="s">
        <v>132</v>
      </c>
    </row>
    <row r="445" spans="1:21" x14ac:dyDescent="0.25">
      <c r="A445">
        <v>2030905165</v>
      </c>
      <c r="B445" t="s">
        <v>951</v>
      </c>
      <c r="C445" t="s">
        <v>952</v>
      </c>
      <c r="D445" t="str">
        <f t="shared" si="19"/>
        <v>BARRETT JASO</v>
      </c>
      <c r="E445" t="s">
        <v>97</v>
      </c>
      <c r="F445" t="s">
        <v>290</v>
      </c>
      <c r="G445" t="s">
        <v>291</v>
      </c>
      <c r="H445">
        <v>1706194</v>
      </c>
      <c r="I445" t="s">
        <v>396</v>
      </c>
      <c r="J445" t="s">
        <v>397</v>
      </c>
      <c r="K445" t="str">
        <f t="shared" ref="K445:K508" si="21">CONCATENATE(J445," ",I445)</f>
        <v>MATTHEW DAUGHERTY</v>
      </c>
      <c r="L445" s="1">
        <v>45906</v>
      </c>
      <c r="M445" s="1">
        <v>46028</v>
      </c>
      <c r="N445" s="2">
        <v>15</v>
      </c>
      <c r="O445">
        <f t="shared" si="20"/>
        <v>4</v>
      </c>
      <c r="P445" t="s">
        <v>1370</v>
      </c>
      <c r="Q445" s="4">
        <v>0.28999999999999998</v>
      </c>
      <c r="R445" t="s">
        <v>83</v>
      </c>
      <c r="S445" t="s">
        <v>61</v>
      </c>
      <c r="T445" s="2">
        <v>4.3499999999999996</v>
      </c>
      <c r="U445" t="s">
        <v>470</v>
      </c>
    </row>
    <row r="446" spans="1:21" x14ac:dyDescent="0.25">
      <c r="A446">
        <v>2030905164</v>
      </c>
      <c r="B446" t="s">
        <v>951</v>
      </c>
      <c r="C446" t="s">
        <v>952</v>
      </c>
      <c r="D446" t="str">
        <f t="shared" si="19"/>
        <v>BARRETT JASO</v>
      </c>
      <c r="E446" t="s">
        <v>97</v>
      </c>
      <c r="F446" t="s">
        <v>469</v>
      </c>
      <c r="G446" t="s">
        <v>470</v>
      </c>
      <c r="H446">
        <v>1706194</v>
      </c>
      <c r="I446" t="s">
        <v>396</v>
      </c>
      <c r="J446" t="s">
        <v>397</v>
      </c>
      <c r="K446" t="str">
        <f t="shared" si="21"/>
        <v>MATTHEW DAUGHERTY</v>
      </c>
      <c r="L446" s="1">
        <v>45906</v>
      </c>
      <c r="M446" s="1">
        <v>46028</v>
      </c>
      <c r="N446" s="2">
        <v>256.08999999999997</v>
      </c>
      <c r="O446">
        <f t="shared" si="20"/>
        <v>4</v>
      </c>
      <c r="P446" t="s">
        <v>1370</v>
      </c>
      <c r="Q446" s="4">
        <v>0.28999999999999998</v>
      </c>
      <c r="R446" t="s">
        <v>83</v>
      </c>
      <c r="S446" t="s">
        <v>61</v>
      </c>
      <c r="T446" s="2">
        <v>74.27</v>
      </c>
      <c r="U446" t="s">
        <v>470</v>
      </c>
    </row>
    <row r="447" spans="1:21" x14ac:dyDescent="0.25">
      <c r="A447">
        <v>2030735251</v>
      </c>
      <c r="B447" t="s">
        <v>894</v>
      </c>
      <c r="C447" t="s">
        <v>895</v>
      </c>
      <c r="D447" t="str">
        <f t="shared" si="19"/>
        <v>EDELENBOS BEATRIX</v>
      </c>
      <c r="E447" t="s">
        <v>163</v>
      </c>
      <c r="F447" t="s">
        <v>126</v>
      </c>
      <c r="G447" t="s">
        <v>127</v>
      </c>
      <c r="H447">
        <v>5442438</v>
      </c>
      <c r="I447" t="s">
        <v>165</v>
      </c>
      <c r="J447" t="s">
        <v>166</v>
      </c>
      <c r="K447" t="str">
        <f t="shared" si="21"/>
        <v>Ronald Max</v>
      </c>
      <c r="L447" s="1">
        <v>45906</v>
      </c>
      <c r="M447" s="1">
        <v>46028</v>
      </c>
      <c r="N447" s="2">
        <v>24.61</v>
      </c>
      <c r="O447">
        <f t="shared" si="20"/>
        <v>4</v>
      </c>
      <c r="P447" t="s">
        <v>1370</v>
      </c>
      <c r="Q447" s="4">
        <v>0.7</v>
      </c>
      <c r="R447" t="s">
        <v>83</v>
      </c>
      <c r="S447" t="s">
        <v>61</v>
      </c>
      <c r="T447" s="2">
        <v>17.23</v>
      </c>
      <c r="U447" t="s">
        <v>127</v>
      </c>
    </row>
    <row r="448" spans="1:21" x14ac:dyDescent="0.25">
      <c r="A448">
        <v>2030933672</v>
      </c>
      <c r="B448" t="s">
        <v>903</v>
      </c>
      <c r="C448" t="s">
        <v>904</v>
      </c>
      <c r="D448" t="str">
        <f t="shared" si="19"/>
        <v>NATALIA GORSKI</v>
      </c>
      <c r="E448" t="s">
        <v>163</v>
      </c>
      <c r="F448" t="s">
        <v>126</v>
      </c>
      <c r="G448" t="s">
        <v>164</v>
      </c>
      <c r="H448">
        <v>5442438</v>
      </c>
      <c r="I448" t="s">
        <v>165</v>
      </c>
      <c r="J448" t="s">
        <v>166</v>
      </c>
      <c r="K448" t="str">
        <f t="shared" si="21"/>
        <v>Ronald Max</v>
      </c>
      <c r="L448" s="1">
        <v>45909</v>
      </c>
      <c r="M448" s="1">
        <v>46031</v>
      </c>
      <c r="N448" s="2">
        <v>24.61</v>
      </c>
      <c r="O448">
        <f t="shared" si="20"/>
        <v>4</v>
      </c>
      <c r="P448" t="s">
        <v>1370</v>
      </c>
      <c r="Q448" s="4">
        <v>0.7</v>
      </c>
      <c r="R448" t="s">
        <v>83</v>
      </c>
      <c r="S448" t="s">
        <v>61</v>
      </c>
      <c r="T448" s="2">
        <v>17.23</v>
      </c>
      <c r="U448" t="s">
        <v>127</v>
      </c>
    </row>
    <row r="449" spans="1:51" x14ac:dyDescent="0.25">
      <c r="A449">
        <v>2030933673</v>
      </c>
      <c r="B449" t="s">
        <v>903</v>
      </c>
      <c r="C449" t="s">
        <v>904</v>
      </c>
      <c r="D449" t="str">
        <f t="shared" si="19"/>
        <v>NATALIA GORSKI</v>
      </c>
      <c r="E449" t="s">
        <v>163</v>
      </c>
      <c r="F449" t="s">
        <v>75</v>
      </c>
      <c r="G449" t="s">
        <v>80</v>
      </c>
      <c r="H449">
        <v>5442438</v>
      </c>
      <c r="I449" t="s">
        <v>165</v>
      </c>
      <c r="J449" t="s">
        <v>166</v>
      </c>
      <c r="K449" t="str">
        <f t="shared" si="21"/>
        <v>Ronald Max</v>
      </c>
      <c r="L449" s="1">
        <v>45909</v>
      </c>
      <c r="M449" s="1">
        <v>46031</v>
      </c>
      <c r="N449" s="2">
        <v>76.5</v>
      </c>
      <c r="O449">
        <f t="shared" si="20"/>
        <v>4</v>
      </c>
      <c r="P449" t="s">
        <v>1370</v>
      </c>
      <c r="Q449" s="4">
        <v>0.9</v>
      </c>
      <c r="R449" t="s">
        <v>83</v>
      </c>
      <c r="S449" t="s">
        <v>61</v>
      </c>
      <c r="T449" s="2">
        <v>68.849999999999994</v>
      </c>
      <c r="U449" t="s">
        <v>1372</v>
      </c>
    </row>
    <row r="450" spans="1:51" x14ac:dyDescent="0.25">
      <c r="A450">
        <v>2030735252</v>
      </c>
      <c r="B450" t="s">
        <v>894</v>
      </c>
      <c r="C450" t="s">
        <v>895</v>
      </c>
      <c r="D450" t="str">
        <f t="shared" ref="D450:D513" si="22">CONCATENATE(C450," ",B450)</f>
        <v>EDELENBOS BEATRIX</v>
      </c>
      <c r="E450" t="s">
        <v>163</v>
      </c>
      <c r="F450" t="s">
        <v>75</v>
      </c>
      <c r="G450" t="s">
        <v>80</v>
      </c>
      <c r="H450">
        <v>5442438</v>
      </c>
      <c r="I450" t="s">
        <v>165</v>
      </c>
      <c r="J450" t="s">
        <v>166</v>
      </c>
      <c r="K450" t="str">
        <f t="shared" si="21"/>
        <v>Ronald Max</v>
      </c>
      <c r="L450" s="1">
        <v>45906</v>
      </c>
      <c r="M450" s="1">
        <v>46028</v>
      </c>
      <c r="N450" s="2">
        <v>41.32</v>
      </c>
      <c r="O450">
        <f t="shared" ref="O450:O513" si="23">DATEDIF(L450,M450,"M")</f>
        <v>4</v>
      </c>
      <c r="P450" t="s">
        <v>1370</v>
      </c>
      <c r="Q450" s="4">
        <v>0.9</v>
      </c>
      <c r="R450" t="s">
        <v>83</v>
      </c>
      <c r="S450" t="s">
        <v>61</v>
      </c>
      <c r="T450" s="2">
        <v>37.19</v>
      </c>
      <c r="U450" t="s">
        <v>1372</v>
      </c>
    </row>
    <row r="451" spans="1:51" x14ac:dyDescent="0.25">
      <c r="A451">
        <v>2030933671</v>
      </c>
      <c r="B451" t="s">
        <v>903</v>
      </c>
      <c r="C451" t="s">
        <v>904</v>
      </c>
      <c r="D451" t="str">
        <f t="shared" si="22"/>
        <v>NATALIA GORSKI</v>
      </c>
      <c r="E451" t="s">
        <v>163</v>
      </c>
      <c r="F451" t="s">
        <v>126</v>
      </c>
      <c r="G451" t="s">
        <v>402</v>
      </c>
      <c r="H451">
        <v>5442438</v>
      </c>
      <c r="I451" t="s">
        <v>165</v>
      </c>
      <c r="J451" t="s">
        <v>166</v>
      </c>
      <c r="K451" t="str">
        <f t="shared" si="21"/>
        <v>Ronald Max</v>
      </c>
      <c r="L451" s="1">
        <v>45909</v>
      </c>
      <c r="M451" s="1">
        <v>46031</v>
      </c>
      <c r="N451" s="2">
        <v>27.8</v>
      </c>
      <c r="O451">
        <f t="shared" si="23"/>
        <v>4</v>
      </c>
      <c r="P451" t="s">
        <v>1370</v>
      </c>
      <c r="Q451" s="4">
        <v>0.42</v>
      </c>
      <c r="R451" t="s">
        <v>83</v>
      </c>
      <c r="S451" t="s">
        <v>61</v>
      </c>
      <c r="T451" s="2">
        <v>11.68</v>
      </c>
      <c r="U451" t="s">
        <v>402</v>
      </c>
    </row>
    <row r="452" spans="1:51" ht="17.25" x14ac:dyDescent="0.3">
      <c r="A452">
        <v>2030933674</v>
      </c>
      <c r="B452" t="s">
        <v>903</v>
      </c>
      <c r="C452" t="s">
        <v>904</v>
      </c>
      <c r="D452" t="str">
        <f t="shared" si="22"/>
        <v>NATALIA GORSKI</v>
      </c>
      <c r="E452" t="s">
        <v>163</v>
      </c>
      <c r="F452" t="s">
        <v>290</v>
      </c>
      <c r="G452" t="s">
        <v>953</v>
      </c>
      <c r="H452">
        <v>5442438</v>
      </c>
      <c r="I452" t="s">
        <v>165</v>
      </c>
      <c r="J452" t="s">
        <v>166</v>
      </c>
      <c r="K452" t="str">
        <f t="shared" si="21"/>
        <v>Ronald Max</v>
      </c>
      <c r="L452" s="1">
        <v>45909</v>
      </c>
      <c r="M452" s="1">
        <v>46031</v>
      </c>
      <c r="N452" s="2">
        <v>19.5</v>
      </c>
      <c r="O452">
        <f t="shared" si="23"/>
        <v>4</v>
      </c>
      <c r="P452" t="s">
        <v>1370</v>
      </c>
      <c r="Q452" s="4">
        <v>0.39</v>
      </c>
      <c r="R452" t="s">
        <v>83</v>
      </c>
      <c r="S452" t="s">
        <v>61</v>
      </c>
      <c r="T452" s="2">
        <v>7.6</v>
      </c>
      <c r="U452" s="20" t="s">
        <v>1381</v>
      </c>
    </row>
    <row r="453" spans="1:51" x14ac:dyDescent="0.25">
      <c r="A453">
        <v>2030963809</v>
      </c>
      <c r="B453" t="s">
        <v>908</v>
      </c>
      <c r="C453" t="s">
        <v>209</v>
      </c>
      <c r="D453" t="str">
        <f t="shared" si="22"/>
        <v>GLENN ALBERT</v>
      </c>
      <c r="E453" t="s">
        <v>125</v>
      </c>
      <c r="F453" t="s">
        <v>75</v>
      </c>
      <c r="G453" t="s">
        <v>243</v>
      </c>
      <c r="H453">
        <v>8977234</v>
      </c>
      <c r="I453" t="s">
        <v>81</v>
      </c>
      <c r="J453" t="s">
        <v>82</v>
      </c>
      <c r="K453" t="str">
        <f t="shared" si="21"/>
        <v>RYAN CALTAGIRONE</v>
      </c>
      <c r="L453" s="1">
        <v>45910</v>
      </c>
      <c r="M453" s="1">
        <v>46032</v>
      </c>
      <c r="N453" s="2">
        <v>74.290000000000006</v>
      </c>
      <c r="O453">
        <f t="shared" si="23"/>
        <v>4</v>
      </c>
      <c r="P453" t="s">
        <v>1370</v>
      </c>
      <c r="Q453" s="4">
        <v>0.75</v>
      </c>
      <c r="R453" t="s">
        <v>83</v>
      </c>
      <c r="S453" t="s">
        <v>61</v>
      </c>
      <c r="T453" s="2">
        <v>55.72</v>
      </c>
      <c r="U453" t="s">
        <v>1371</v>
      </c>
    </row>
    <row r="454" spans="1:51" x14ac:dyDescent="0.25">
      <c r="A454">
        <v>2030940127</v>
      </c>
      <c r="B454" t="s">
        <v>1162</v>
      </c>
      <c r="C454" t="s">
        <v>1163</v>
      </c>
      <c r="D454" t="str">
        <f t="shared" si="22"/>
        <v>SHERRI CORPORON</v>
      </c>
      <c r="E454" t="s">
        <v>97</v>
      </c>
      <c r="F454" t="s">
        <v>126</v>
      </c>
      <c r="G454" t="s">
        <v>132</v>
      </c>
      <c r="H454">
        <v>8977234</v>
      </c>
      <c r="I454" t="s">
        <v>81</v>
      </c>
      <c r="J454" t="s">
        <v>82</v>
      </c>
      <c r="K454" t="str">
        <f t="shared" si="21"/>
        <v>RYAN CALTAGIRONE</v>
      </c>
      <c r="L454" s="1">
        <v>45909</v>
      </c>
      <c r="M454" s="1">
        <v>46031</v>
      </c>
      <c r="N454" s="2">
        <v>147.4</v>
      </c>
      <c r="O454">
        <f t="shared" si="23"/>
        <v>4</v>
      </c>
      <c r="P454" t="s">
        <v>1370</v>
      </c>
      <c r="Q454" s="4">
        <v>0.7</v>
      </c>
      <c r="R454" t="s">
        <v>83</v>
      </c>
      <c r="S454" t="s">
        <v>61</v>
      </c>
      <c r="T454" s="2">
        <v>103.18</v>
      </c>
      <c r="U454" t="s">
        <v>132</v>
      </c>
    </row>
    <row r="455" spans="1:51" x14ac:dyDescent="0.25">
      <c r="A455">
        <v>2030963808</v>
      </c>
      <c r="B455" t="s">
        <v>908</v>
      </c>
      <c r="C455" t="s">
        <v>209</v>
      </c>
      <c r="D455" t="str">
        <f t="shared" si="22"/>
        <v>GLENN ALBERT</v>
      </c>
      <c r="E455" t="s">
        <v>125</v>
      </c>
      <c r="F455" t="s">
        <v>126</v>
      </c>
      <c r="G455" t="s">
        <v>132</v>
      </c>
      <c r="H455">
        <v>8977234</v>
      </c>
      <c r="I455" t="s">
        <v>81</v>
      </c>
      <c r="J455" t="s">
        <v>82</v>
      </c>
      <c r="K455" t="str">
        <f t="shared" si="21"/>
        <v>RYAN CALTAGIRONE</v>
      </c>
      <c r="L455" s="1">
        <v>45910</v>
      </c>
      <c r="M455" s="1">
        <v>46032</v>
      </c>
      <c r="N455" s="2">
        <v>57.27</v>
      </c>
      <c r="O455">
        <f t="shared" si="23"/>
        <v>4</v>
      </c>
      <c r="P455" t="s">
        <v>1370</v>
      </c>
      <c r="Q455" s="4">
        <v>0.7</v>
      </c>
      <c r="R455" t="s">
        <v>83</v>
      </c>
      <c r="S455" t="s">
        <v>61</v>
      </c>
      <c r="T455" s="2">
        <v>40.090000000000003</v>
      </c>
      <c r="U455" t="s">
        <v>132</v>
      </c>
    </row>
    <row r="456" spans="1:51" x14ac:dyDescent="0.25">
      <c r="A456">
        <v>2030386535</v>
      </c>
      <c r="B456" t="s">
        <v>880</v>
      </c>
      <c r="C456" t="s">
        <v>881</v>
      </c>
      <c r="D456" t="str">
        <f t="shared" si="22"/>
        <v>BATTS ANDRE</v>
      </c>
      <c r="E456" t="s">
        <v>163</v>
      </c>
      <c r="F456" t="s">
        <v>75</v>
      </c>
      <c r="G456" t="s">
        <v>80</v>
      </c>
      <c r="H456">
        <v>9079571</v>
      </c>
      <c r="I456" t="s">
        <v>235</v>
      </c>
      <c r="J456" t="s">
        <v>438</v>
      </c>
      <c r="K456" t="str">
        <f t="shared" si="21"/>
        <v>ADAM RICHTER</v>
      </c>
      <c r="L456" s="1">
        <v>45878</v>
      </c>
      <c r="M456" s="1">
        <v>46031</v>
      </c>
      <c r="N456" s="2">
        <v>124.88</v>
      </c>
      <c r="O456">
        <f t="shared" si="23"/>
        <v>5</v>
      </c>
      <c r="P456" t="s">
        <v>1370</v>
      </c>
      <c r="Q456" s="4">
        <v>0.9</v>
      </c>
      <c r="R456" t="s">
        <v>83</v>
      </c>
      <c r="S456" t="s">
        <v>61</v>
      </c>
      <c r="T456" s="2">
        <v>112.39</v>
      </c>
      <c r="U456" t="s">
        <v>1372</v>
      </c>
    </row>
    <row r="457" spans="1:51" x14ac:dyDescent="0.25">
      <c r="A457">
        <v>2030380471</v>
      </c>
      <c r="B457" t="s">
        <v>586</v>
      </c>
      <c r="C457" t="s">
        <v>587</v>
      </c>
      <c r="D457" t="str">
        <f t="shared" si="22"/>
        <v>BRANNAN KAWAND</v>
      </c>
      <c r="E457" t="s">
        <v>52</v>
      </c>
      <c r="F457" t="s">
        <v>365</v>
      </c>
      <c r="G457" t="s">
        <v>366</v>
      </c>
      <c r="H457">
        <v>17425766</v>
      </c>
      <c r="I457" t="s">
        <v>88</v>
      </c>
      <c r="J457" t="s">
        <v>89</v>
      </c>
      <c r="K457" t="str">
        <f t="shared" si="21"/>
        <v>CAROL FOLEY</v>
      </c>
      <c r="L457" s="1">
        <v>45877</v>
      </c>
      <c r="M457" s="1">
        <v>46030</v>
      </c>
      <c r="N457" s="2">
        <v>47.17</v>
      </c>
      <c r="O457">
        <f t="shared" si="23"/>
        <v>5</v>
      </c>
      <c r="P457" t="s">
        <v>1370</v>
      </c>
      <c r="Q457" s="4">
        <v>0.38</v>
      </c>
      <c r="R457" t="s">
        <v>83</v>
      </c>
      <c r="S457" t="s">
        <v>61</v>
      </c>
      <c r="T457" s="2">
        <v>17.920000000000002</v>
      </c>
      <c r="U457" t="s">
        <v>366</v>
      </c>
    </row>
    <row r="458" spans="1:51" s="10" customFormat="1" x14ac:dyDescent="0.25">
      <c r="A458">
        <v>2030367108</v>
      </c>
      <c r="B458" t="s">
        <v>583</v>
      </c>
      <c r="C458" t="s">
        <v>584</v>
      </c>
      <c r="D458" t="str">
        <f t="shared" si="22"/>
        <v>VICKERS CHARLES</v>
      </c>
      <c r="E458" t="s">
        <v>585</v>
      </c>
      <c r="F458" t="s">
        <v>126</v>
      </c>
      <c r="G458" t="s">
        <v>132</v>
      </c>
      <c r="H458">
        <v>17425766</v>
      </c>
      <c r="I458" t="s">
        <v>88</v>
      </c>
      <c r="J458" t="s">
        <v>89</v>
      </c>
      <c r="K458" t="str">
        <f t="shared" si="21"/>
        <v>CAROL FOLEY</v>
      </c>
      <c r="L458" s="1">
        <v>45877</v>
      </c>
      <c r="M458" s="1">
        <v>46030</v>
      </c>
      <c r="N458" s="2">
        <v>10.82</v>
      </c>
      <c r="O458">
        <f t="shared" si="23"/>
        <v>5</v>
      </c>
      <c r="P458" t="s">
        <v>1370</v>
      </c>
      <c r="Q458" s="4">
        <v>0.7</v>
      </c>
      <c r="R458" t="s">
        <v>83</v>
      </c>
      <c r="S458" t="s">
        <v>61</v>
      </c>
      <c r="T458" s="2">
        <v>7.57</v>
      </c>
      <c r="U458" t="s">
        <v>132</v>
      </c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</row>
    <row r="459" spans="1:51" s="10" customFormat="1" x14ac:dyDescent="0.25">
      <c r="A459">
        <v>2030367107</v>
      </c>
      <c r="B459" t="s">
        <v>583</v>
      </c>
      <c r="C459" t="s">
        <v>584</v>
      </c>
      <c r="D459" t="str">
        <f t="shared" si="22"/>
        <v>VICKERS CHARLES</v>
      </c>
      <c r="E459" t="s">
        <v>585</v>
      </c>
      <c r="F459" t="s">
        <v>86</v>
      </c>
      <c r="G459" t="s">
        <v>87</v>
      </c>
      <c r="H459">
        <v>17425766</v>
      </c>
      <c r="I459" t="s">
        <v>88</v>
      </c>
      <c r="J459" t="s">
        <v>89</v>
      </c>
      <c r="K459" t="str">
        <f t="shared" si="21"/>
        <v>CAROL FOLEY</v>
      </c>
      <c r="L459" s="1">
        <v>45877</v>
      </c>
      <c r="M459" s="1">
        <v>46030</v>
      </c>
      <c r="N459" s="2">
        <v>67.63</v>
      </c>
      <c r="O459">
        <f t="shared" si="23"/>
        <v>5</v>
      </c>
      <c r="P459" t="s">
        <v>1370</v>
      </c>
      <c r="Q459" s="3">
        <v>0.375</v>
      </c>
      <c r="R459" t="s">
        <v>83</v>
      </c>
      <c r="S459" t="s">
        <v>61</v>
      </c>
      <c r="T459" s="2">
        <v>25.36</v>
      </c>
      <c r="U459" t="s">
        <v>87</v>
      </c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</row>
    <row r="460" spans="1:51" x14ac:dyDescent="0.25">
      <c r="A460">
        <v>2030380470</v>
      </c>
      <c r="B460" t="s">
        <v>586</v>
      </c>
      <c r="C460" t="s">
        <v>587</v>
      </c>
      <c r="D460" t="str">
        <f t="shared" si="22"/>
        <v>BRANNAN KAWAND</v>
      </c>
      <c r="E460" t="s">
        <v>52</v>
      </c>
      <c r="F460" t="s">
        <v>86</v>
      </c>
      <c r="G460" t="s">
        <v>87</v>
      </c>
      <c r="H460">
        <v>17425766</v>
      </c>
      <c r="I460" t="s">
        <v>88</v>
      </c>
      <c r="J460" t="s">
        <v>89</v>
      </c>
      <c r="K460" t="str">
        <f t="shared" si="21"/>
        <v>CAROL FOLEY</v>
      </c>
      <c r="L460" s="1">
        <v>45877</v>
      </c>
      <c r="M460" s="1">
        <v>46030</v>
      </c>
      <c r="N460" s="2">
        <v>27.11</v>
      </c>
      <c r="O460">
        <f t="shared" si="23"/>
        <v>5</v>
      </c>
      <c r="P460" t="s">
        <v>1370</v>
      </c>
      <c r="Q460" s="3">
        <v>0.375</v>
      </c>
      <c r="R460" t="s">
        <v>83</v>
      </c>
      <c r="S460" t="s">
        <v>61</v>
      </c>
      <c r="T460" s="2">
        <v>10.17</v>
      </c>
      <c r="U460" t="s">
        <v>87</v>
      </c>
    </row>
    <row r="461" spans="1:51" x14ac:dyDescent="0.25">
      <c r="A461">
        <v>2030380472</v>
      </c>
      <c r="B461" t="s">
        <v>586</v>
      </c>
      <c r="C461" t="s">
        <v>587</v>
      </c>
      <c r="D461" t="str">
        <f t="shared" si="22"/>
        <v>BRANNAN KAWAND</v>
      </c>
      <c r="E461" t="s">
        <v>52</v>
      </c>
      <c r="F461" t="s">
        <v>53</v>
      </c>
      <c r="G461" t="s">
        <v>54</v>
      </c>
      <c r="H461">
        <v>17425766</v>
      </c>
      <c r="I461" t="s">
        <v>88</v>
      </c>
      <c r="J461" t="s">
        <v>89</v>
      </c>
      <c r="K461" t="str">
        <f t="shared" si="21"/>
        <v>CAROL FOLEY</v>
      </c>
      <c r="L461" s="1">
        <v>45877</v>
      </c>
      <c r="M461" s="1">
        <v>46030</v>
      </c>
      <c r="N461" s="2">
        <v>56.69</v>
      </c>
      <c r="O461">
        <f t="shared" si="23"/>
        <v>5</v>
      </c>
      <c r="P461" t="s">
        <v>1370</v>
      </c>
      <c r="Q461" s="4">
        <v>0.6</v>
      </c>
      <c r="R461" t="s">
        <v>83</v>
      </c>
      <c r="S461" t="s">
        <v>61</v>
      </c>
      <c r="T461" s="2">
        <v>34.01</v>
      </c>
      <c r="U461" t="s">
        <v>54</v>
      </c>
    </row>
    <row r="462" spans="1:51" x14ac:dyDescent="0.25">
      <c r="A462">
        <v>2030302641</v>
      </c>
      <c r="B462" t="s">
        <v>279</v>
      </c>
      <c r="C462" t="s">
        <v>1145</v>
      </c>
      <c r="D462" t="str">
        <f t="shared" si="22"/>
        <v>SCHAENZER ERIC</v>
      </c>
      <c r="E462" t="s">
        <v>395</v>
      </c>
      <c r="F462" t="s">
        <v>126</v>
      </c>
      <c r="G462" t="s">
        <v>132</v>
      </c>
      <c r="H462">
        <v>21435997</v>
      </c>
      <c r="I462" t="s">
        <v>224</v>
      </c>
      <c r="J462" t="s">
        <v>225</v>
      </c>
      <c r="K462" t="str">
        <f t="shared" si="21"/>
        <v>Christopher Brousseau</v>
      </c>
      <c r="L462" s="1">
        <v>45876</v>
      </c>
      <c r="M462" s="1">
        <v>46029</v>
      </c>
      <c r="N462" s="2">
        <v>45.46</v>
      </c>
      <c r="O462">
        <f t="shared" si="23"/>
        <v>5</v>
      </c>
      <c r="P462" t="s">
        <v>1370</v>
      </c>
      <c r="Q462" s="4">
        <v>0.7</v>
      </c>
      <c r="R462" t="s">
        <v>83</v>
      </c>
      <c r="S462" t="s">
        <v>61</v>
      </c>
      <c r="T462" s="2">
        <v>31.82</v>
      </c>
      <c r="U462" t="s">
        <v>132</v>
      </c>
    </row>
    <row r="463" spans="1:51" x14ac:dyDescent="0.25">
      <c r="A463">
        <v>2030232005</v>
      </c>
      <c r="B463" t="s">
        <v>1142</v>
      </c>
      <c r="C463" t="s">
        <v>1143</v>
      </c>
      <c r="D463" t="str">
        <f t="shared" si="22"/>
        <v>PEREZ GUILLERMINA</v>
      </c>
      <c r="E463" t="s">
        <v>79</v>
      </c>
      <c r="F463" t="s">
        <v>126</v>
      </c>
      <c r="G463" t="s">
        <v>132</v>
      </c>
      <c r="H463">
        <v>9213293</v>
      </c>
      <c r="I463" t="s">
        <v>401</v>
      </c>
      <c r="J463" t="s">
        <v>233</v>
      </c>
      <c r="K463" t="str">
        <f t="shared" si="21"/>
        <v>GARY PORTUGAL</v>
      </c>
      <c r="L463" s="1">
        <v>45880</v>
      </c>
      <c r="M463" s="1">
        <v>46033</v>
      </c>
      <c r="N463" s="2">
        <v>54.83</v>
      </c>
      <c r="O463">
        <f t="shared" si="23"/>
        <v>5</v>
      </c>
      <c r="P463" t="s">
        <v>1370</v>
      </c>
      <c r="Q463" s="4">
        <v>0.7</v>
      </c>
      <c r="R463" t="s">
        <v>83</v>
      </c>
      <c r="S463" t="s">
        <v>61</v>
      </c>
      <c r="T463" s="2">
        <v>38.380000000000003</v>
      </c>
      <c r="U463" t="s">
        <v>132</v>
      </c>
    </row>
    <row r="464" spans="1:51" x14ac:dyDescent="0.25">
      <c r="A464">
        <v>2030189267</v>
      </c>
      <c r="B464" t="s">
        <v>577</v>
      </c>
      <c r="C464" t="s">
        <v>578</v>
      </c>
      <c r="D464" t="str">
        <f t="shared" si="22"/>
        <v>BEAKE JAYSON</v>
      </c>
      <c r="E464" t="s">
        <v>220</v>
      </c>
      <c r="F464" t="s">
        <v>126</v>
      </c>
      <c r="G464" t="s">
        <v>127</v>
      </c>
      <c r="H464">
        <v>8307933</v>
      </c>
      <c r="I464" t="s">
        <v>246</v>
      </c>
      <c r="J464" t="s">
        <v>247</v>
      </c>
      <c r="K464" t="str">
        <f t="shared" si="21"/>
        <v>GREGORY TEIPEL</v>
      </c>
      <c r="L464" s="1">
        <v>45876</v>
      </c>
      <c r="M464" s="1">
        <v>46029</v>
      </c>
      <c r="N464" s="2">
        <v>25.73</v>
      </c>
      <c r="O464">
        <f t="shared" si="23"/>
        <v>5</v>
      </c>
      <c r="P464" t="s">
        <v>1370</v>
      </c>
      <c r="Q464" s="4">
        <v>0.7</v>
      </c>
      <c r="R464" t="s">
        <v>83</v>
      </c>
      <c r="S464" t="s">
        <v>61</v>
      </c>
      <c r="T464" s="2">
        <v>18.010000000000002</v>
      </c>
      <c r="U464" t="s">
        <v>127</v>
      </c>
    </row>
    <row r="465" spans="1:21" x14ac:dyDescent="0.25">
      <c r="A465">
        <v>2029919053</v>
      </c>
      <c r="B465" t="s">
        <v>730</v>
      </c>
      <c r="C465" t="s">
        <v>862</v>
      </c>
      <c r="D465" t="str">
        <f t="shared" si="22"/>
        <v>WEBER JOANNE</v>
      </c>
      <c r="E465" t="s">
        <v>620</v>
      </c>
      <c r="F465" t="s">
        <v>75</v>
      </c>
      <c r="G465" t="s">
        <v>76</v>
      </c>
      <c r="H465">
        <v>8307933</v>
      </c>
      <c r="I465" t="s">
        <v>246</v>
      </c>
      <c r="J465" t="s">
        <v>247</v>
      </c>
      <c r="K465" t="str">
        <f t="shared" si="21"/>
        <v>GREGORY TEIPEL</v>
      </c>
      <c r="L465" s="1">
        <v>45876</v>
      </c>
      <c r="M465" s="1">
        <v>46029</v>
      </c>
      <c r="N465" s="2">
        <v>219.55</v>
      </c>
      <c r="O465">
        <f t="shared" si="23"/>
        <v>5</v>
      </c>
      <c r="P465" t="s">
        <v>1370</v>
      </c>
      <c r="Q465" s="4">
        <v>0.75</v>
      </c>
      <c r="R465" t="s">
        <v>83</v>
      </c>
      <c r="S465" t="s">
        <v>61</v>
      </c>
      <c r="T465" s="2">
        <v>164.66</v>
      </c>
      <c r="U465" t="s">
        <v>1371</v>
      </c>
    </row>
    <row r="466" spans="1:21" x14ac:dyDescent="0.25">
      <c r="A466">
        <v>2029959146</v>
      </c>
      <c r="B466" t="s">
        <v>863</v>
      </c>
      <c r="C466" t="s">
        <v>864</v>
      </c>
      <c r="D466" t="str">
        <f t="shared" si="22"/>
        <v>PELEGCOHEN ESTER</v>
      </c>
      <c r="E466" t="s">
        <v>447</v>
      </c>
      <c r="F466" t="s">
        <v>75</v>
      </c>
      <c r="G466" t="s">
        <v>76</v>
      </c>
      <c r="H466">
        <v>8307933</v>
      </c>
      <c r="I466" t="s">
        <v>246</v>
      </c>
      <c r="J466" t="s">
        <v>247</v>
      </c>
      <c r="K466" t="str">
        <f t="shared" si="21"/>
        <v>GREGORY TEIPEL</v>
      </c>
      <c r="L466" s="1">
        <v>45876</v>
      </c>
      <c r="M466" s="1">
        <v>46029</v>
      </c>
      <c r="N466" s="2">
        <v>187</v>
      </c>
      <c r="O466">
        <f t="shared" si="23"/>
        <v>5</v>
      </c>
      <c r="P466" t="s">
        <v>1370</v>
      </c>
      <c r="Q466" s="4">
        <v>0.75</v>
      </c>
      <c r="R466" t="s">
        <v>83</v>
      </c>
      <c r="S466" t="s">
        <v>61</v>
      </c>
      <c r="T466" s="2">
        <v>140.25</v>
      </c>
      <c r="U466" t="s">
        <v>1371</v>
      </c>
    </row>
    <row r="467" spans="1:21" x14ac:dyDescent="0.25">
      <c r="A467">
        <v>2030047485</v>
      </c>
      <c r="B467" t="s">
        <v>801</v>
      </c>
      <c r="C467" t="s">
        <v>140</v>
      </c>
      <c r="D467" t="str">
        <f t="shared" si="22"/>
        <v>DOUGLAS WENDY</v>
      </c>
      <c r="E467" t="s">
        <v>447</v>
      </c>
      <c r="F467" t="s">
        <v>75</v>
      </c>
      <c r="G467" t="s">
        <v>76</v>
      </c>
      <c r="H467">
        <v>8307933</v>
      </c>
      <c r="I467" t="s">
        <v>246</v>
      </c>
      <c r="J467" t="s">
        <v>247</v>
      </c>
      <c r="K467" t="str">
        <f t="shared" si="21"/>
        <v>GREGORY TEIPEL</v>
      </c>
      <c r="L467" s="1">
        <v>45876</v>
      </c>
      <c r="M467" s="1">
        <v>46029</v>
      </c>
      <c r="N467" s="2">
        <v>152.19999999999999</v>
      </c>
      <c r="O467">
        <f t="shared" si="23"/>
        <v>5</v>
      </c>
      <c r="P467" t="s">
        <v>1370</v>
      </c>
      <c r="Q467" s="4">
        <v>0.75</v>
      </c>
      <c r="R467" t="s">
        <v>83</v>
      </c>
      <c r="S467" t="s">
        <v>61</v>
      </c>
      <c r="T467" s="2">
        <v>114.15</v>
      </c>
      <c r="U467" t="s">
        <v>1371</v>
      </c>
    </row>
    <row r="468" spans="1:21" x14ac:dyDescent="0.25">
      <c r="A468">
        <v>2030013622</v>
      </c>
      <c r="B468" t="s">
        <v>352</v>
      </c>
      <c r="C468" t="s">
        <v>866</v>
      </c>
      <c r="D468" t="str">
        <f t="shared" si="22"/>
        <v>HATELY NOAH</v>
      </c>
      <c r="E468" t="s">
        <v>447</v>
      </c>
      <c r="F468" t="s">
        <v>75</v>
      </c>
      <c r="G468" t="s">
        <v>76</v>
      </c>
      <c r="H468">
        <v>8307933</v>
      </c>
      <c r="I468" t="s">
        <v>246</v>
      </c>
      <c r="J468" t="s">
        <v>247</v>
      </c>
      <c r="K468" t="str">
        <f t="shared" si="21"/>
        <v>GREGORY TEIPEL</v>
      </c>
      <c r="L468" s="1">
        <v>45876</v>
      </c>
      <c r="M468" s="1">
        <v>46029</v>
      </c>
      <c r="N468" s="2">
        <v>59.5</v>
      </c>
      <c r="O468">
        <f t="shared" si="23"/>
        <v>5</v>
      </c>
      <c r="P468" t="s">
        <v>1370</v>
      </c>
      <c r="Q468" s="4">
        <v>0.75</v>
      </c>
      <c r="R468" t="s">
        <v>83</v>
      </c>
      <c r="S468" t="s">
        <v>61</v>
      </c>
      <c r="T468" s="2">
        <v>44.62</v>
      </c>
      <c r="U468" t="s">
        <v>1371</v>
      </c>
    </row>
    <row r="469" spans="1:21" x14ac:dyDescent="0.25">
      <c r="A469">
        <v>2030090690</v>
      </c>
      <c r="B469" t="s">
        <v>233</v>
      </c>
      <c r="C469" t="s">
        <v>869</v>
      </c>
      <c r="D469" t="str">
        <f t="shared" si="22"/>
        <v>SHIPLEY GARY</v>
      </c>
      <c r="E469" t="s">
        <v>386</v>
      </c>
      <c r="F469" t="s">
        <v>75</v>
      </c>
      <c r="G469" t="s">
        <v>76</v>
      </c>
      <c r="H469">
        <v>8307933</v>
      </c>
      <c r="I469" t="s">
        <v>246</v>
      </c>
      <c r="J469" t="s">
        <v>247</v>
      </c>
      <c r="K469" t="str">
        <f t="shared" si="21"/>
        <v>GREGORY TEIPEL</v>
      </c>
      <c r="L469" s="1">
        <v>45876</v>
      </c>
      <c r="M469" s="1">
        <v>46029</v>
      </c>
      <c r="N469" s="2">
        <v>52.6</v>
      </c>
      <c r="O469">
        <f t="shared" si="23"/>
        <v>5</v>
      </c>
      <c r="P469" t="s">
        <v>1370</v>
      </c>
      <c r="Q469" s="4">
        <v>0.75</v>
      </c>
      <c r="R469" t="s">
        <v>83</v>
      </c>
      <c r="S469" t="s">
        <v>61</v>
      </c>
      <c r="T469" s="2">
        <v>39.450000000000003</v>
      </c>
      <c r="U469" t="s">
        <v>1371</v>
      </c>
    </row>
    <row r="470" spans="1:21" x14ac:dyDescent="0.25">
      <c r="A470">
        <v>2030189268</v>
      </c>
      <c r="B470" t="s">
        <v>577</v>
      </c>
      <c r="C470" t="s">
        <v>578</v>
      </c>
      <c r="D470" t="str">
        <f t="shared" si="22"/>
        <v>BEAKE JAYSON</v>
      </c>
      <c r="E470" t="s">
        <v>220</v>
      </c>
      <c r="F470" t="s">
        <v>75</v>
      </c>
      <c r="G470" t="s">
        <v>739</v>
      </c>
      <c r="H470">
        <v>8307933</v>
      </c>
      <c r="I470" t="s">
        <v>246</v>
      </c>
      <c r="J470" t="s">
        <v>247</v>
      </c>
      <c r="K470" t="str">
        <f t="shared" si="21"/>
        <v>GREGORY TEIPEL</v>
      </c>
      <c r="L470" s="1">
        <v>45876</v>
      </c>
      <c r="M470" s="1">
        <v>46029</v>
      </c>
      <c r="N470" s="2">
        <v>24.4</v>
      </c>
      <c r="O470">
        <f t="shared" si="23"/>
        <v>5</v>
      </c>
      <c r="P470" t="s">
        <v>1370</v>
      </c>
      <c r="Q470" s="4">
        <v>0.65</v>
      </c>
      <c r="R470" t="s">
        <v>83</v>
      </c>
      <c r="S470" t="s">
        <v>61</v>
      </c>
      <c r="T470" s="2">
        <v>15.86</v>
      </c>
      <c r="U470" t="s">
        <v>1380</v>
      </c>
    </row>
    <row r="471" spans="1:21" x14ac:dyDescent="0.25">
      <c r="A471">
        <v>2030192141</v>
      </c>
      <c r="B471" t="s">
        <v>870</v>
      </c>
      <c r="C471" t="s">
        <v>871</v>
      </c>
      <c r="D471" t="str">
        <f t="shared" si="22"/>
        <v>FLEMING-SIEBENALER BECKY</v>
      </c>
      <c r="E471" t="s">
        <v>389</v>
      </c>
      <c r="F471" t="s">
        <v>75</v>
      </c>
      <c r="G471" t="s">
        <v>243</v>
      </c>
      <c r="H471">
        <v>8307933</v>
      </c>
      <c r="I471" t="s">
        <v>246</v>
      </c>
      <c r="J471" t="s">
        <v>247</v>
      </c>
      <c r="K471" t="str">
        <f t="shared" si="21"/>
        <v>GREGORY TEIPEL</v>
      </c>
      <c r="L471" s="1">
        <v>45876</v>
      </c>
      <c r="M471" s="1">
        <v>46029</v>
      </c>
      <c r="N471" s="2">
        <v>76.45</v>
      </c>
      <c r="O471">
        <f t="shared" si="23"/>
        <v>5</v>
      </c>
      <c r="P471" t="s">
        <v>1370</v>
      </c>
      <c r="Q471" s="4">
        <v>0.75</v>
      </c>
      <c r="R471" t="s">
        <v>83</v>
      </c>
      <c r="S471" t="s">
        <v>61</v>
      </c>
      <c r="T471" s="2">
        <v>57.33</v>
      </c>
      <c r="U471" t="s">
        <v>1371</v>
      </c>
    </row>
    <row r="472" spans="1:21" x14ac:dyDescent="0.25">
      <c r="A472">
        <v>2029963806</v>
      </c>
      <c r="B472" t="s">
        <v>279</v>
      </c>
      <c r="C472" t="s">
        <v>865</v>
      </c>
      <c r="D472" t="str">
        <f t="shared" si="22"/>
        <v>SHAW ERIC</v>
      </c>
      <c r="E472" t="s">
        <v>256</v>
      </c>
      <c r="F472" t="s">
        <v>75</v>
      </c>
      <c r="G472" t="s">
        <v>80</v>
      </c>
      <c r="H472">
        <v>8307933</v>
      </c>
      <c r="I472" t="s">
        <v>246</v>
      </c>
      <c r="J472" t="s">
        <v>247</v>
      </c>
      <c r="K472" t="str">
        <f t="shared" si="21"/>
        <v>GREGORY TEIPEL</v>
      </c>
      <c r="L472" s="1">
        <v>45876</v>
      </c>
      <c r="M472" s="1">
        <v>46029</v>
      </c>
      <c r="N472" s="2">
        <v>92.65</v>
      </c>
      <c r="O472">
        <f t="shared" si="23"/>
        <v>5</v>
      </c>
      <c r="P472" t="s">
        <v>1370</v>
      </c>
      <c r="Q472" s="4">
        <v>0.9</v>
      </c>
      <c r="R472" t="s">
        <v>83</v>
      </c>
      <c r="S472" t="s">
        <v>61</v>
      </c>
      <c r="T472" s="2">
        <v>83.38</v>
      </c>
      <c r="U472" t="s">
        <v>1372</v>
      </c>
    </row>
    <row r="473" spans="1:21" x14ac:dyDescent="0.25">
      <c r="A473">
        <v>2030047734</v>
      </c>
      <c r="B473" t="s">
        <v>867</v>
      </c>
      <c r="C473" t="s">
        <v>868</v>
      </c>
      <c r="D473" t="str">
        <f t="shared" si="22"/>
        <v>BYRD RACHEL</v>
      </c>
      <c r="E473" t="s">
        <v>74</v>
      </c>
      <c r="F473" t="s">
        <v>75</v>
      </c>
      <c r="G473" t="s">
        <v>80</v>
      </c>
      <c r="H473">
        <v>8307933</v>
      </c>
      <c r="I473" t="s">
        <v>246</v>
      </c>
      <c r="J473" t="s">
        <v>247</v>
      </c>
      <c r="K473" t="str">
        <f t="shared" si="21"/>
        <v>GREGORY TEIPEL</v>
      </c>
      <c r="L473" s="1">
        <v>45876</v>
      </c>
      <c r="M473" s="1">
        <v>46029</v>
      </c>
      <c r="N473" s="2">
        <v>70.959999999999994</v>
      </c>
      <c r="O473">
        <f t="shared" si="23"/>
        <v>5</v>
      </c>
      <c r="P473" t="s">
        <v>1370</v>
      </c>
      <c r="Q473" s="4">
        <v>0.9</v>
      </c>
      <c r="R473" t="s">
        <v>83</v>
      </c>
      <c r="S473" t="s">
        <v>61</v>
      </c>
      <c r="T473" s="2">
        <v>63.86</v>
      </c>
      <c r="U473" t="s">
        <v>1372</v>
      </c>
    </row>
    <row r="474" spans="1:21" x14ac:dyDescent="0.25">
      <c r="A474">
        <v>2030366107</v>
      </c>
      <c r="B474" t="s">
        <v>878</v>
      </c>
      <c r="C474" t="s">
        <v>879</v>
      </c>
      <c r="D474" t="str">
        <f t="shared" si="22"/>
        <v>LOVETT DIXON</v>
      </c>
      <c r="E474" t="s">
        <v>97</v>
      </c>
      <c r="F474" t="s">
        <v>75</v>
      </c>
      <c r="G474" t="s">
        <v>80</v>
      </c>
      <c r="H474">
        <v>8307933</v>
      </c>
      <c r="I474" t="s">
        <v>246</v>
      </c>
      <c r="J474" t="s">
        <v>247</v>
      </c>
      <c r="K474" t="str">
        <f t="shared" si="21"/>
        <v>GREGORY TEIPEL</v>
      </c>
      <c r="L474" s="1">
        <v>45878</v>
      </c>
      <c r="M474" s="1">
        <v>46031</v>
      </c>
      <c r="N474" s="2">
        <v>59.42</v>
      </c>
      <c r="O474">
        <f t="shared" si="23"/>
        <v>5</v>
      </c>
      <c r="P474" t="s">
        <v>1370</v>
      </c>
      <c r="Q474" s="4">
        <v>0.9</v>
      </c>
      <c r="R474" t="s">
        <v>83</v>
      </c>
      <c r="S474" t="s">
        <v>61</v>
      </c>
      <c r="T474" s="2">
        <v>53.48</v>
      </c>
      <c r="U474" t="s">
        <v>1372</v>
      </c>
    </row>
    <row r="475" spans="1:21" x14ac:dyDescent="0.25">
      <c r="A475">
        <v>2029959147</v>
      </c>
      <c r="B475" t="s">
        <v>863</v>
      </c>
      <c r="C475" t="s">
        <v>864</v>
      </c>
      <c r="D475" t="str">
        <f t="shared" si="22"/>
        <v>PELEGCOHEN ESTER</v>
      </c>
      <c r="E475" t="s">
        <v>447</v>
      </c>
      <c r="F475" t="s">
        <v>126</v>
      </c>
      <c r="G475" t="s">
        <v>132</v>
      </c>
      <c r="H475">
        <v>8307933</v>
      </c>
      <c r="I475" t="s">
        <v>246</v>
      </c>
      <c r="J475" t="s">
        <v>247</v>
      </c>
      <c r="K475" t="str">
        <f t="shared" si="21"/>
        <v>GREGORY TEIPEL</v>
      </c>
      <c r="L475" s="1">
        <v>45876</v>
      </c>
      <c r="M475" s="1">
        <v>46029</v>
      </c>
      <c r="N475" s="2">
        <v>122.32</v>
      </c>
      <c r="O475">
        <f t="shared" si="23"/>
        <v>5</v>
      </c>
      <c r="P475" t="s">
        <v>1370</v>
      </c>
      <c r="Q475" s="4">
        <v>0.7</v>
      </c>
      <c r="R475" t="s">
        <v>83</v>
      </c>
      <c r="S475" t="s">
        <v>61</v>
      </c>
      <c r="T475" s="2">
        <v>85.62</v>
      </c>
      <c r="U475" t="s">
        <v>132</v>
      </c>
    </row>
    <row r="476" spans="1:21" x14ac:dyDescent="0.25">
      <c r="A476">
        <v>2030193265</v>
      </c>
      <c r="B476" t="s">
        <v>1035</v>
      </c>
      <c r="C476" t="s">
        <v>359</v>
      </c>
      <c r="D476" t="str">
        <f t="shared" si="22"/>
        <v>WASHINGTON MARIE</v>
      </c>
      <c r="E476" t="s">
        <v>102</v>
      </c>
      <c r="F476" t="s">
        <v>126</v>
      </c>
      <c r="G476" t="s">
        <v>132</v>
      </c>
      <c r="H476">
        <v>8307933</v>
      </c>
      <c r="I476" t="s">
        <v>246</v>
      </c>
      <c r="J476" t="s">
        <v>247</v>
      </c>
      <c r="K476" t="str">
        <f t="shared" si="21"/>
        <v>GREGORY TEIPEL</v>
      </c>
      <c r="L476" s="1">
        <v>45875</v>
      </c>
      <c r="M476" s="1">
        <v>46028</v>
      </c>
      <c r="N476" s="2">
        <v>117.94</v>
      </c>
      <c r="O476">
        <f t="shared" si="23"/>
        <v>5</v>
      </c>
      <c r="P476" t="s">
        <v>1370</v>
      </c>
      <c r="Q476" s="4">
        <v>0.7</v>
      </c>
      <c r="R476" t="s">
        <v>83</v>
      </c>
      <c r="S476" t="s">
        <v>61</v>
      </c>
      <c r="T476" s="2">
        <v>82.55</v>
      </c>
      <c r="U476" t="s">
        <v>132</v>
      </c>
    </row>
    <row r="477" spans="1:21" x14ac:dyDescent="0.25">
      <c r="A477">
        <v>2030047486</v>
      </c>
      <c r="B477" t="s">
        <v>801</v>
      </c>
      <c r="C477" t="s">
        <v>140</v>
      </c>
      <c r="D477" t="str">
        <f t="shared" si="22"/>
        <v>DOUGLAS WENDY</v>
      </c>
      <c r="E477" t="s">
        <v>447</v>
      </c>
      <c r="F477" t="s">
        <v>126</v>
      </c>
      <c r="G477" t="s">
        <v>132</v>
      </c>
      <c r="H477">
        <v>8307933</v>
      </c>
      <c r="I477" t="s">
        <v>246</v>
      </c>
      <c r="J477" t="s">
        <v>247</v>
      </c>
      <c r="K477" t="str">
        <f t="shared" si="21"/>
        <v>GREGORY TEIPEL</v>
      </c>
      <c r="L477" s="1">
        <v>45876</v>
      </c>
      <c r="M477" s="1">
        <v>46029</v>
      </c>
      <c r="N477" s="2">
        <v>94.38</v>
      </c>
      <c r="O477">
        <f t="shared" si="23"/>
        <v>5</v>
      </c>
      <c r="P477" t="s">
        <v>1370</v>
      </c>
      <c r="Q477" s="4">
        <v>0.7</v>
      </c>
      <c r="R477" t="s">
        <v>83</v>
      </c>
      <c r="S477" t="s">
        <v>61</v>
      </c>
      <c r="T477" s="2">
        <v>66.06</v>
      </c>
      <c r="U477" t="s">
        <v>132</v>
      </c>
    </row>
    <row r="478" spans="1:21" x14ac:dyDescent="0.25">
      <c r="A478">
        <v>2030047733</v>
      </c>
      <c r="B478" t="s">
        <v>867</v>
      </c>
      <c r="C478" t="s">
        <v>868</v>
      </c>
      <c r="D478" t="str">
        <f t="shared" si="22"/>
        <v>BYRD RACHEL</v>
      </c>
      <c r="E478" t="s">
        <v>74</v>
      </c>
      <c r="F478" t="s">
        <v>126</v>
      </c>
      <c r="G478" t="s">
        <v>132</v>
      </c>
      <c r="H478">
        <v>8307933</v>
      </c>
      <c r="I478" t="s">
        <v>246</v>
      </c>
      <c r="J478" t="s">
        <v>247</v>
      </c>
      <c r="K478" t="str">
        <f t="shared" si="21"/>
        <v>GREGORY TEIPEL</v>
      </c>
      <c r="L478" s="1">
        <v>45876</v>
      </c>
      <c r="M478" s="1">
        <v>46029</v>
      </c>
      <c r="N478" s="2">
        <v>75.459999999999994</v>
      </c>
      <c r="O478">
        <f t="shared" si="23"/>
        <v>5</v>
      </c>
      <c r="P478" t="s">
        <v>1370</v>
      </c>
      <c r="Q478" s="4">
        <v>0.7</v>
      </c>
      <c r="R478" t="s">
        <v>83</v>
      </c>
      <c r="S478" t="s">
        <v>61</v>
      </c>
      <c r="T478" s="2">
        <v>52.82</v>
      </c>
      <c r="U478" t="s">
        <v>132</v>
      </c>
    </row>
    <row r="479" spans="1:21" x14ac:dyDescent="0.25">
      <c r="A479">
        <v>2029919052</v>
      </c>
      <c r="B479" t="s">
        <v>730</v>
      </c>
      <c r="C479" t="s">
        <v>862</v>
      </c>
      <c r="D479" t="str">
        <f t="shared" si="22"/>
        <v>WEBER JOANNE</v>
      </c>
      <c r="E479" t="s">
        <v>620</v>
      </c>
      <c r="F479" t="s">
        <v>126</v>
      </c>
      <c r="G479" t="s">
        <v>132</v>
      </c>
      <c r="H479">
        <v>8307933</v>
      </c>
      <c r="I479" t="s">
        <v>246</v>
      </c>
      <c r="J479" t="s">
        <v>247</v>
      </c>
      <c r="K479" t="str">
        <f t="shared" si="21"/>
        <v>GREGORY TEIPEL</v>
      </c>
      <c r="L479" s="1">
        <v>45876</v>
      </c>
      <c r="M479" s="1">
        <v>46029</v>
      </c>
      <c r="N479" s="2">
        <v>69.37</v>
      </c>
      <c r="O479">
        <f t="shared" si="23"/>
        <v>5</v>
      </c>
      <c r="P479" t="s">
        <v>1370</v>
      </c>
      <c r="Q479" s="4">
        <v>0.7</v>
      </c>
      <c r="R479" t="s">
        <v>83</v>
      </c>
      <c r="S479" t="s">
        <v>61</v>
      </c>
      <c r="T479" s="2">
        <v>48.55</v>
      </c>
      <c r="U479" t="s">
        <v>132</v>
      </c>
    </row>
    <row r="480" spans="1:21" x14ac:dyDescent="0.25">
      <c r="A480">
        <v>2030013620</v>
      </c>
      <c r="B480" t="s">
        <v>352</v>
      </c>
      <c r="C480" t="s">
        <v>866</v>
      </c>
      <c r="D480" t="str">
        <f t="shared" si="22"/>
        <v>HATELY NOAH</v>
      </c>
      <c r="E480" t="s">
        <v>447</v>
      </c>
      <c r="F480" t="s">
        <v>126</v>
      </c>
      <c r="G480" t="s">
        <v>132</v>
      </c>
      <c r="H480">
        <v>8307933</v>
      </c>
      <c r="I480" t="s">
        <v>246</v>
      </c>
      <c r="J480" t="s">
        <v>247</v>
      </c>
      <c r="K480" t="str">
        <f t="shared" si="21"/>
        <v>GREGORY TEIPEL</v>
      </c>
      <c r="L480" s="1">
        <v>45876</v>
      </c>
      <c r="M480" s="1">
        <v>46029</v>
      </c>
      <c r="N480" s="2">
        <v>64.63</v>
      </c>
      <c r="O480">
        <f t="shared" si="23"/>
        <v>5</v>
      </c>
      <c r="P480" t="s">
        <v>1370</v>
      </c>
      <c r="Q480" s="4">
        <v>0.7</v>
      </c>
      <c r="R480" t="s">
        <v>83</v>
      </c>
      <c r="S480" t="s">
        <v>61</v>
      </c>
      <c r="T480" s="2">
        <v>45.24</v>
      </c>
      <c r="U480" t="s">
        <v>132</v>
      </c>
    </row>
    <row r="481" spans="1:51" x14ac:dyDescent="0.25">
      <c r="A481">
        <v>2030192140</v>
      </c>
      <c r="B481" t="s">
        <v>870</v>
      </c>
      <c r="C481" t="s">
        <v>871</v>
      </c>
      <c r="D481" t="str">
        <f t="shared" si="22"/>
        <v>FLEMING-SIEBENALER BECKY</v>
      </c>
      <c r="E481" t="s">
        <v>389</v>
      </c>
      <c r="F481" t="s">
        <v>126</v>
      </c>
      <c r="G481" t="s">
        <v>132</v>
      </c>
      <c r="H481">
        <v>8307933</v>
      </c>
      <c r="I481" t="s">
        <v>246</v>
      </c>
      <c r="J481" t="s">
        <v>247</v>
      </c>
      <c r="K481" t="str">
        <f t="shared" si="21"/>
        <v>GREGORY TEIPEL</v>
      </c>
      <c r="L481" s="1">
        <v>45876</v>
      </c>
      <c r="M481" s="1">
        <v>46029</v>
      </c>
      <c r="N481" s="2">
        <v>34</v>
      </c>
      <c r="O481">
        <f t="shared" si="23"/>
        <v>5</v>
      </c>
      <c r="P481" t="s">
        <v>1370</v>
      </c>
      <c r="Q481" s="4">
        <v>0.7</v>
      </c>
      <c r="R481" t="s">
        <v>83</v>
      </c>
      <c r="S481" t="s">
        <v>61</v>
      </c>
      <c r="T481" s="2">
        <v>23.8</v>
      </c>
      <c r="U481" t="s">
        <v>132</v>
      </c>
    </row>
    <row r="482" spans="1:51" x14ac:dyDescent="0.25">
      <c r="A482">
        <v>2030366106</v>
      </c>
      <c r="B482" t="s">
        <v>878</v>
      </c>
      <c r="C482" t="s">
        <v>879</v>
      </c>
      <c r="D482" t="str">
        <f t="shared" si="22"/>
        <v>LOVETT DIXON</v>
      </c>
      <c r="E482" t="s">
        <v>97</v>
      </c>
      <c r="F482" t="s">
        <v>126</v>
      </c>
      <c r="G482" t="s">
        <v>132</v>
      </c>
      <c r="H482">
        <v>8307933</v>
      </c>
      <c r="I482" t="s">
        <v>246</v>
      </c>
      <c r="J482" t="s">
        <v>247</v>
      </c>
      <c r="K482" t="str">
        <f t="shared" si="21"/>
        <v>GREGORY TEIPEL</v>
      </c>
      <c r="L482" s="1">
        <v>45878</v>
      </c>
      <c r="M482" s="1">
        <v>46031</v>
      </c>
      <c r="N482" s="2">
        <v>28.38</v>
      </c>
      <c r="O482">
        <f t="shared" si="23"/>
        <v>5</v>
      </c>
      <c r="P482" t="s">
        <v>1370</v>
      </c>
      <c r="Q482" s="4">
        <v>0.7</v>
      </c>
      <c r="R482" t="s">
        <v>83</v>
      </c>
      <c r="S482" t="s">
        <v>61</v>
      </c>
      <c r="T482" s="2">
        <v>19.87</v>
      </c>
      <c r="U482" t="s">
        <v>132</v>
      </c>
    </row>
    <row r="483" spans="1:51" x14ac:dyDescent="0.25">
      <c r="A483">
        <v>2029787707</v>
      </c>
      <c r="B483" t="s">
        <v>373</v>
      </c>
      <c r="C483" t="s">
        <v>560</v>
      </c>
      <c r="D483" t="str">
        <f t="shared" si="22"/>
        <v>BRANSFORD ELIZABETH</v>
      </c>
      <c r="E483" t="s">
        <v>52</v>
      </c>
      <c r="F483" t="s">
        <v>86</v>
      </c>
      <c r="G483" t="s">
        <v>87</v>
      </c>
      <c r="H483">
        <v>8307933</v>
      </c>
      <c r="I483" t="s">
        <v>246</v>
      </c>
      <c r="J483" t="s">
        <v>247</v>
      </c>
      <c r="K483" t="str">
        <f t="shared" si="21"/>
        <v>GREGORY TEIPEL</v>
      </c>
      <c r="L483" s="1">
        <v>45870</v>
      </c>
      <c r="M483" s="1">
        <v>46023</v>
      </c>
      <c r="N483" s="2">
        <v>59.67</v>
      </c>
      <c r="O483">
        <f t="shared" si="23"/>
        <v>5</v>
      </c>
      <c r="P483" t="s">
        <v>1370</v>
      </c>
      <c r="Q483" s="3">
        <v>0.375</v>
      </c>
      <c r="R483" t="s">
        <v>83</v>
      </c>
      <c r="S483" t="s">
        <v>61</v>
      </c>
      <c r="T483" s="2">
        <v>22.38</v>
      </c>
      <c r="U483" t="s">
        <v>87</v>
      </c>
    </row>
    <row r="484" spans="1:51" x14ac:dyDescent="0.25">
      <c r="A484">
        <v>2030189269</v>
      </c>
      <c r="B484" t="s">
        <v>577</v>
      </c>
      <c r="C484" t="s">
        <v>578</v>
      </c>
      <c r="D484" t="str">
        <f t="shared" si="22"/>
        <v>BEAKE JAYSON</v>
      </c>
      <c r="E484" t="s">
        <v>220</v>
      </c>
      <c r="F484" t="s">
        <v>86</v>
      </c>
      <c r="G484" t="s">
        <v>87</v>
      </c>
      <c r="H484">
        <v>8307933</v>
      </c>
      <c r="I484" t="s">
        <v>246</v>
      </c>
      <c r="J484" t="s">
        <v>247</v>
      </c>
      <c r="K484" t="str">
        <f t="shared" si="21"/>
        <v>GREGORY TEIPEL</v>
      </c>
      <c r="L484" s="1">
        <v>45876</v>
      </c>
      <c r="M484" s="1">
        <v>46029</v>
      </c>
      <c r="N484" s="2">
        <v>47.06</v>
      </c>
      <c r="O484">
        <f t="shared" si="23"/>
        <v>5</v>
      </c>
      <c r="P484" t="s">
        <v>1370</v>
      </c>
      <c r="Q484" s="3">
        <v>0.375</v>
      </c>
      <c r="R484" t="s">
        <v>83</v>
      </c>
      <c r="S484" t="s">
        <v>61</v>
      </c>
      <c r="T484" s="2">
        <v>17.64</v>
      </c>
      <c r="U484" t="s">
        <v>87</v>
      </c>
    </row>
    <row r="485" spans="1:51" x14ac:dyDescent="0.25">
      <c r="A485">
        <v>2030013621</v>
      </c>
      <c r="B485" t="s">
        <v>352</v>
      </c>
      <c r="C485" t="s">
        <v>866</v>
      </c>
      <c r="D485" t="str">
        <f t="shared" si="22"/>
        <v>HATELY NOAH</v>
      </c>
      <c r="E485" t="s">
        <v>447</v>
      </c>
      <c r="F485" t="s">
        <v>126</v>
      </c>
      <c r="G485" t="s">
        <v>375</v>
      </c>
      <c r="H485">
        <v>8307933</v>
      </c>
      <c r="I485" t="s">
        <v>246</v>
      </c>
      <c r="J485" t="s">
        <v>247</v>
      </c>
      <c r="K485" t="str">
        <f t="shared" si="21"/>
        <v>GREGORY TEIPEL</v>
      </c>
      <c r="L485" s="1">
        <v>45876</v>
      </c>
      <c r="M485" s="1">
        <v>46029</v>
      </c>
      <c r="N485" s="2">
        <v>47.08</v>
      </c>
      <c r="O485">
        <f t="shared" si="23"/>
        <v>5</v>
      </c>
      <c r="P485" t="s">
        <v>1370</v>
      </c>
      <c r="Q485" s="4">
        <v>0.9</v>
      </c>
      <c r="R485" t="s">
        <v>83</v>
      </c>
      <c r="S485" t="s">
        <v>61</v>
      </c>
      <c r="T485" s="2">
        <v>42.37</v>
      </c>
      <c r="U485" t="s">
        <v>375</v>
      </c>
    </row>
    <row r="486" spans="1:51" x14ac:dyDescent="0.25">
      <c r="A486">
        <v>2030090691</v>
      </c>
      <c r="B486" t="s">
        <v>233</v>
      </c>
      <c r="C486" t="s">
        <v>869</v>
      </c>
      <c r="D486" t="str">
        <f t="shared" si="22"/>
        <v>SHIPLEY GARY</v>
      </c>
      <c r="E486" t="s">
        <v>386</v>
      </c>
      <c r="F486" t="s">
        <v>126</v>
      </c>
      <c r="G486" t="s">
        <v>375</v>
      </c>
      <c r="H486">
        <v>8307933</v>
      </c>
      <c r="I486" t="s">
        <v>246</v>
      </c>
      <c r="J486" t="s">
        <v>247</v>
      </c>
      <c r="K486" t="str">
        <f t="shared" si="21"/>
        <v>GREGORY TEIPEL</v>
      </c>
      <c r="L486" s="1">
        <v>45876</v>
      </c>
      <c r="M486" s="1">
        <v>46029</v>
      </c>
      <c r="N486" s="2">
        <v>13.31</v>
      </c>
      <c r="O486">
        <f t="shared" si="23"/>
        <v>5</v>
      </c>
      <c r="P486" t="s">
        <v>1370</v>
      </c>
      <c r="Q486" s="4">
        <v>0.9</v>
      </c>
      <c r="R486" t="s">
        <v>83</v>
      </c>
      <c r="S486" t="s">
        <v>61</v>
      </c>
      <c r="T486" s="2">
        <v>11.97</v>
      </c>
      <c r="U486" t="s">
        <v>375</v>
      </c>
    </row>
    <row r="487" spans="1:51" x14ac:dyDescent="0.25">
      <c r="A487">
        <v>2029787708</v>
      </c>
      <c r="B487" t="s">
        <v>373</v>
      </c>
      <c r="C487" t="s">
        <v>560</v>
      </c>
      <c r="D487" t="str">
        <f t="shared" si="22"/>
        <v>BRANSFORD ELIZABETH</v>
      </c>
      <c r="E487" t="s">
        <v>52</v>
      </c>
      <c r="F487" t="s">
        <v>53</v>
      </c>
      <c r="G487" t="s">
        <v>54</v>
      </c>
      <c r="H487">
        <v>8307933</v>
      </c>
      <c r="I487" t="s">
        <v>246</v>
      </c>
      <c r="J487" t="s">
        <v>247</v>
      </c>
      <c r="K487" t="str">
        <f t="shared" si="21"/>
        <v>GREGORY TEIPEL</v>
      </c>
      <c r="L487" s="1">
        <v>45870</v>
      </c>
      <c r="M487" s="1">
        <v>46023</v>
      </c>
      <c r="N487" s="2">
        <v>52.69</v>
      </c>
      <c r="O487">
        <f t="shared" si="23"/>
        <v>5</v>
      </c>
      <c r="P487" t="s">
        <v>1370</v>
      </c>
      <c r="Q487" s="4">
        <v>0.6</v>
      </c>
      <c r="R487" t="s">
        <v>83</v>
      </c>
      <c r="S487" t="s">
        <v>61</v>
      </c>
      <c r="T487" s="2">
        <v>31.61</v>
      </c>
      <c r="U487" t="s">
        <v>54</v>
      </c>
    </row>
    <row r="488" spans="1:51" x14ac:dyDescent="0.25">
      <c r="A488">
        <v>2029944314</v>
      </c>
      <c r="B488" t="s">
        <v>157</v>
      </c>
      <c r="C488" t="s">
        <v>158</v>
      </c>
      <c r="D488" t="str">
        <f t="shared" si="22"/>
        <v>EDWARDS MELANIE</v>
      </c>
      <c r="E488" t="s">
        <v>102</v>
      </c>
      <c r="F488" t="s">
        <v>126</v>
      </c>
      <c r="G488" t="s">
        <v>132</v>
      </c>
      <c r="H488">
        <v>18754354</v>
      </c>
      <c r="I488" t="s">
        <v>159</v>
      </c>
      <c r="J488" t="s">
        <v>160</v>
      </c>
      <c r="K488" t="str">
        <f t="shared" si="21"/>
        <v>JACOB YALE</v>
      </c>
      <c r="L488" s="1">
        <v>45870</v>
      </c>
      <c r="M488" s="1">
        <v>46023</v>
      </c>
      <c r="N488" s="2">
        <v>15.75</v>
      </c>
      <c r="O488">
        <f t="shared" si="23"/>
        <v>5</v>
      </c>
      <c r="P488" t="s">
        <v>1370</v>
      </c>
      <c r="Q488" s="4">
        <v>0.7</v>
      </c>
      <c r="R488" t="s">
        <v>83</v>
      </c>
      <c r="S488" t="s">
        <v>61</v>
      </c>
      <c r="T488" s="2">
        <v>11.02</v>
      </c>
      <c r="U488" t="s">
        <v>132</v>
      </c>
    </row>
    <row r="489" spans="1:51" x14ac:dyDescent="0.25">
      <c r="A489">
        <v>2029944313</v>
      </c>
      <c r="B489" t="s">
        <v>157</v>
      </c>
      <c r="C489" t="s">
        <v>158</v>
      </c>
      <c r="D489" t="str">
        <f t="shared" si="22"/>
        <v>EDWARDS MELANIE</v>
      </c>
      <c r="E489" t="s">
        <v>102</v>
      </c>
      <c r="F489" t="s">
        <v>86</v>
      </c>
      <c r="G489" t="s">
        <v>87</v>
      </c>
      <c r="H489">
        <v>18754354</v>
      </c>
      <c r="I489" t="s">
        <v>159</v>
      </c>
      <c r="J489" t="s">
        <v>160</v>
      </c>
      <c r="K489" t="str">
        <f t="shared" si="21"/>
        <v>JACOB YALE</v>
      </c>
      <c r="L489" s="1">
        <v>45870</v>
      </c>
      <c r="M489" s="1">
        <v>46023</v>
      </c>
      <c r="N489" s="2">
        <v>149.87</v>
      </c>
      <c r="O489">
        <f t="shared" si="23"/>
        <v>5</v>
      </c>
      <c r="P489" t="s">
        <v>1370</v>
      </c>
      <c r="Q489" s="3">
        <v>0.375</v>
      </c>
      <c r="R489" t="s">
        <v>83</v>
      </c>
      <c r="S489" t="s">
        <v>61</v>
      </c>
      <c r="T489" s="2">
        <v>56.2</v>
      </c>
      <c r="U489" t="s">
        <v>87</v>
      </c>
    </row>
    <row r="490" spans="1:51" x14ac:dyDescent="0.25">
      <c r="A490">
        <v>2030339161</v>
      </c>
      <c r="B490" t="s">
        <v>948</v>
      </c>
      <c r="C490" t="s">
        <v>949</v>
      </c>
      <c r="D490" t="str">
        <f t="shared" si="22"/>
        <v>HANSON LAURA</v>
      </c>
      <c r="E490" t="s">
        <v>210</v>
      </c>
      <c r="F490" t="s">
        <v>290</v>
      </c>
      <c r="G490" t="s">
        <v>943</v>
      </c>
      <c r="H490">
        <v>21564088</v>
      </c>
      <c r="I490" t="s">
        <v>902</v>
      </c>
      <c r="J490" t="s">
        <v>468</v>
      </c>
      <c r="K490" t="str">
        <f t="shared" si="21"/>
        <v>Jennifer Halsaver</v>
      </c>
      <c r="L490" s="1">
        <v>45875</v>
      </c>
      <c r="M490" s="1">
        <v>46028</v>
      </c>
      <c r="N490" s="2">
        <v>15</v>
      </c>
      <c r="O490">
        <f t="shared" si="23"/>
        <v>5</v>
      </c>
      <c r="P490" t="s">
        <v>1370</v>
      </c>
      <c r="Q490" s="4">
        <v>0.19</v>
      </c>
      <c r="R490" t="s">
        <v>83</v>
      </c>
      <c r="S490" t="s">
        <v>61</v>
      </c>
      <c r="T490" s="2">
        <v>2.85</v>
      </c>
      <c r="U490" t="s">
        <v>943</v>
      </c>
    </row>
    <row r="491" spans="1:51" x14ac:dyDescent="0.25">
      <c r="A491">
        <v>2030247772</v>
      </c>
      <c r="B491" t="s">
        <v>680</v>
      </c>
      <c r="C491" t="s">
        <v>362</v>
      </c>
      <c r="D491" t="str">
        <f t="shared" si="22"/>
        <v>CHRISTIAN SHAMAR</v>
      </c>
      <c r="E491" t="s">
        <v>52</v>
      </c>
      <c r="F491" t="s">
        <v>365</v>
      </c>
      <c r="G491" t="s">
        <v>366</v>
      </c>
      <c r="H491">
        <v>18781057</v>
      </c>
      <c r="I491" t="s">
        <v>70</v>
      </c>
      <c r="J491" t="s">
        <v>71</v>
      </c>
      <c r="K491" t="str">
        <f t="shared" si="21"/>
        <v>JOHN ROKEN</v>
      </c>
      <c r="L491" s="1">
        <v>45870</v>
      </c>
      <c r="M491" s="1">
        <v>46023</v>
      </c>
      <c r="N491" s="2">
        <v>-27.15</v>
      </c>
      <c r="O491">
        <f t="shared" si="23"/>
        <v>5</v>
      </c>
      <c r="P491" t="s">
        <v>1370</v>
      </c>
      <c r="Q491" s="4">
        <v>0.38</v>
      </c>
      <c r="R491" t="s">
        <v>83</v>
      </c>
      <c r="S491" t="s">
        <v>61</v>
      </c>
      <c r="T491" s="2">
        <v>-10.32</v>
      </c>
      <c r="U491" t="s">
        <v>366</v>
      </c>
    </row>
    <row r="492" spans="1:51" x14ac:dyDescent="0.25">
      <c r="A492">
        <v>2030329364</v>
      </c>
      <c r="B492" t="s">
        <v>481</v>
      </c>
      <c r="C492" t="s">
        <v>875</v>
      </c>
      <c r="D492" t="str">
        <f t="shared" si="22"/>
        <v>HEDGESPETH KENNETH</v>
      </c>
      <c r="E492" t="s">
        <v>163</v>
      </c>
      <c r="F492" t="s">
        <v>126</v>
      </c>
      <c r="G492" t="s">
        <v>127</v>
      </c>
      <c r="H492">
        <v>5442438</v>
      </c>
      <c r="I492" t="s">
        <v>165</v>
      </c>
      <c r="J492" t="s">
        <v>166</v>
      </c>
      <c r="K492" t="str">
        <f t="shared" si="21"/>
        <v>Ronald Max</v>
      </c>
      <c r="L492" s="1">
        <v>45878</v>
      </c>
      <c r="M492" s="1">
        <v>46031</v>
      </c>
      <c r="N492" s="2">
        <v>24.61</v>
      </c>
      <c r="O492">
        <f t="shared" si="23"/>
        <v>5</v>
      </c>
      <c r="P492" t="s">
        <v>1370</v>
      </c>
      <c r="Q492" s="4">
        <v>0.7</v>
      </c>
      <c r="R492" t="s">
        <v>83</v>
      </c>
      <c r="S492" t="s">
        <v>61</v>
      </c>
      <c r="T492" s="2">
        <v>17.23</v>
      </c>
      <c r="U492" t="s">
        <v>127</v>
      </c>
    </row>
    <row r="493" spans="1:51" s="10" customFormat="1" x14ac:dyDescent="0.25">
      <c r="A493">
        <v>2030345986</v>
      </c>
      <c r="B493" t="s">
        <v>279</v>
      </c>
      <c r="C493" t="s">
        <v>877</v>
      </c>
      <c r="D493" t="str">
        <f t="shared" si="22"/>
        <v>DOMAROTSKY ERIC</v>
      </c>
      <c r="E493" t="s">
        <v>163</v>
      </c>
      <c r="F493" t="s">
        <v>126</v>
      </c>
      <c r="G493" t="s">
        <v>127</v>
      </c>
      <c r="H493">
        <v>5442438</v>
      </c>
      <c r="I493" t="s">
        <v>165</v>
      </c>
      <c r="J493" t="s">
        <v>166</v>
      </c>
      <c r="K493" t="str">
        <f t="shared" si="21"/>
        <v>Ronald Max</v>
      </c>
      <c r="L493" s="1">
        <v>45876</v>
      </c>
      <c r="M493" s="1">
        <v>46029</v>
      </c>
      <c r="N493" s="2">
        <v>24.61</v>
      </c>
      <c r="O493">
        <f t="shared" si="23"/>
        <v>5</v>
      </c>
      <c r="P493" t="s">
        <v>1370</v>
      </c>
      <c r="Q493" s="4">
        <v>0.7</v>
      </c>
      <c r="R493" t="s">
        <v>83</v>
      </c>
      <c r="S493" t="s">
        <v>61</v>
      </c>
      <c r="T493" s="2">
        <v>17.23</v>
      </c>
      <c r="U493" t="s">
        <v>127</v>
      </c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</row>
    <row r="494" spans="1:51" s="10" customFormat="1" x14ac:dyDescent="0.25">
      <c r="A494">
        <v>2030329365</v>
      </c>
      <c r="B494" t="s">
        <v>481</v>
      </c>
      <c r="C494" t="s">
        <v>875</v>
      </c>
      <c r="D494" t="str">
        <f t="shared" si="22"/>
        <v>HEDGESPETH KENNETH</v>
      </c>
      <c r="E494" t="s">
        <v>163</v>
      </c>
      <c r="F494" t="s">
        <v>75</v>
      </c>
      <c r="G494" t="s">
        <v>80</v>
      </c>
      <c r="H494">
        <v>5442438</v>
      </c>
      <c r="I494" t="s">
        <v>165</v>
      </c>
      <c r="J494" t="s">
        <v>166</v>
      </c>
      <c r="K494" t="str">
        <f t="shared" si="21"/>
        <v>Ronald Max</v>
      </c>
      <c r="L494" s="1">
        <v>45878</v>
      </c>
      <c r="M494" s="1">
        <v>46031</v>
      </c>
      <c r="N494" s="2">
        <v>84.56</v>
      </c>
      <c r="O494">
        <f t="shared" si="23"/>
        <v>5</v>
      </c>
      <c r="P494" t="s">
        <v>1370</v>
      </c>
      <c r="Q494" s="4">
        <v>0.9</v>
      </c>
      <c r="R494" t="s">
        <v>83</v>
      </c>
      <c r="S494" t="s">
        <v>61</v>
      </c>
      <c r="T494" s="2">
        <v>76.099999999999994</v>
      </c>
      <c r="U494" t="s">
        <v>1372</v>
      </c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</row>
    <row r="495" spans="1:51" s="10" customFormat="1" x14ac:dyDescent="0.25">
      <c r="A495">
        <v>2030345987</v>
      </c>
      <c r="B495" t="s">
        <v>279</v>
      </c>
      <c r="C495" t="s">
        <v>877</v>
      </c>
      <c r="D495" t="str">
        <f t="shared" si="22"/>
        <v>DOMAROTSKY ERIC</v>
      </c>
      <c r="E495" t="s">
        <v>163</v>
      </c>
      <c r="F495" t="s">
        <v>75</v>
      </c>
      <c r="G495" t="s">
        <v>80</v>
      </c>
      <c r="H495">
        <v>5442438</v>
      </c>
      <c r="I495" t="s">
        <v>165</v>
      </c>
      <c r="J495" t="s">
        <v>166</v>
      </c>
      <c r="K495" t="str">
        <f t="shared" si="21"/>
        <v>Ronald Max</v>
      </c>
      <c r="L495" s="1">
        <v>45876</v>
      </c>
      <c r="M495" s="1">
        <v>46029</v>
      </c>
      <c r="N495" s="2">
        <v>51.46</v>
      </c>
      <c r="O495">
        <f t="shared" si="23"/>
        <v>5</v>
      </c>
      <c r="P495" t="s">
        <v>1370</v>
      </c>
      <c r="Q495" s="4">
        <v>0.9</v>
      </c>
      <c r="R495" t="s">
        <v>83</v>
      </c>
      <c r="S495" t="s">
        <v>61</v>
      </c>
      <c r="T495" s="2">
        <v>46.31</v>
      </c>
      <c r="U495" t="s">
        <v>1372</v>
      </c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</row>
    <row r="496" spans="1:51" x14ac:dyDescent="0.25">
      <c r="A496">
        <v>2030329363</v>
      </c>
      <c r="B496" t="s">
        <v>481</v>
      </c>
      <c r="C496" t="s">
        <v>875</v>
      </c>
      <c r="D496" t="str">
        <f t="shared" si="22"/>
        <v>HEDGESPETH KENNETH</v>
      </c>
      <c r="E496" t="s">
        <v>163</v>
      </c>
      <c r="F496" t="s">
        <v>126</v>
      </c>
      <c r="G496" t="s">
        <v>402</v>
      </c>
      <c r="H496">
        <v>5442438</v>
      </c>
      <c r="I496" t="s">
        <v>165</v>
      </c>
      <c r="J496" t="s">
        <v>166</v>
      </c>
      <c r="K496" t="str">
        <f t="shared" si="21"/>
        <v>Ronald Max</v>
      </c>
      <c r="L496" s="1">
        <v>45878</v>
      </c>
      <c r="M496" s="1">
        <v>46031</v>
      </c>
      <c r="N496" s="2">
        <v>43.86</v>
      </c>
      <c r="O496">
        <f t="shared" si="23"/>
        <v>5</v>
      </c>
      <c r="P496" t="s">
        <v>1370</v>
      </c>
      <c r="Q496" s="4">
        <v>0.42</v>
      </c>
      <c r="R496" t="s">
        <v>83</v>
      </c>
      <c r="S496" t="s">
        <v>61</v>
      </c>
      <c r="T496" s="2">
        <v>18.420000000000002</v>
      </c>
      <c r="U496" t="s">
        <v>402</v>
      </c>
    </row>
    <row r="497" spans="1:51" x14ac:dyDescent="0.25">
      <c r="A497">
        <v>2030277548</v>
      </c>
      <c r="B497" t="s">
        <v>681</v>
      </c>
      <c r="C497" t="s">
        <v>682</v>
      </c>
      <c r="D497" t="str">
        <f t="shared" si="22"/>
        <v>REINHART TAMMIE</v>
      </c>
      <c r="E497" t="s">
        <v>210</v>
      </c>
      <c r="F497" t="s">
        <v>126</v>
      </c>
      <c r="G497" t="s">
        <v>127</v>
      </c>
      <c r="H497">
        <v>8977234</v>
      </c>
      <c r="I497" t="s">
        <v>81</v>
      </c>
      <c r="J497" t="s">
        <v>82</v>
      </c>
      <c r="K497" t="str">
        <f t="shared" si="21"/>
        <v>RYAN CALTAGIRONE</v>
      </c>
      <c r="L497" s="1">
        <v>45878</v>
      </c>
      <c r="M497" s="1">
        <v>46031</v>
      </c>
      <c r="N497" s="2">
        <v>49.83</v>
      </c>
      <c r="O497">
        <f t="shared" si="23"/>
        <v>5</v>
      </c>
      <c r="P497" t="s">
        <v>1370</v>
      </c>
      <c r="Q497" s="4">
        <v>0.7</v>
      </c>
      <c r="R497" t="s">
        <v>83</v>
      </c>
      <c r="S497" t="s">
        <v>61</v>
      </c>
      <c r="T497" s="2">
        <v>34.880000000000003</v>
      </c>
      <c r="U497" t="s">
        <v>127</v>
      </c>
    </row>
    <row r="498" spans="1:51" s="10" customFormat="1" x14ac:dyDescent="0.25">
      <c r="A498">
        <v>2030228488</v>
      </c>
      <c r="B498" t="s">
        <v>872</v>
      </c>
      <c r="C498" t="s">
        <v>873</v>
      </c>
      <c r="D498" t="str">
        <f t="shared" si="22"/>
        <v>NAMIO SANDRA</v>
      </c>
      <c r="E498" t="s">
        <v>97</v>
      </c>
      <c r="F498" t="s">
        <v>126</v>
      </c>
      <c r="G498" t="s">
        <v>127</v>
      </c>
      <c r="H498">
        <v>8977234</v>
      </c>
      <c r="I498" t="s">
        <v>81</v>
      </c>
      <c r="J498" t="s">
        <v>82</v>
      </c>
      <c r="K498" t="str">
        <f t="shared" si="21"/>
        <v>RYAN CALTAGIRONE</v>
      </c>
      <c r="L498" s="1">
        <v>45875</v>
      </c>
      <c r="M498" s="1">
        <v>46028</v>
      </c>
      <c r="N498" s="2">
        <v>25.73</v>
      </c>
      <c r="O498">
        <f t="shared" si="23"/>
        <v>5</v>
      </c>
      <c r="P498" t="s">
        <v>1370</v>
      </c>
      <c r="Q498" s="4">
        <v>0.7</v>
      </c>
      <c r="R498" t="s">
        <v>83</v>
      </c>
      <c r="S498" t="s">
        <v>61</v>
      </c>
      <c r="T498" s="2">
        <v>18.010000000000002</v>
      </c>
      <c r="U498" t="s">
        <v>127</v>
      </c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</row>
    <row r="499" spans="1:51" x14ac:dyDescent="0.25">
      <c r="A499">
        <v>2030277545</v>
      </c>
      <c r="B499" t="s">
        <v>681</v>
      </c>
      <c r="C499" t="s">
        <v>682</v>
      </c>
      <c r="D499" t="str">
        <f t="shared" si="22"/>
        <v>REINHART TAMMIE</v>
      </c>
      <c r="E499" t="s">
        <v>210</v>
      </c>
      <c r="F499" t="s">
        <v>365</v>
      </c>
      <c r="G499" t="s">
        <v>369</v>
      </c>
      <c r="H499">
        <v>8977234</v>
      </c>
      <c r="I499" t="s">
        <v>81</v>
      </c>
      <c r="J499" t="s">
        <v>82</v>
      </c>
      <c r="K499" t="str">
        <f t="shared" si="21"/>
        <v>RYAN CALTAGIRONE</v>
      </c>
      <c r="L499" s="1">
        <v>45878</v>
      </c>
      <c r="M499" s="1">
        <v>46031</v>
      </c>
      <c r="N499" s="2">
        <v>118.65</v>
      </c>
      <c r="O499">
        <f t="shared" si="23"/>
        <v>5</v>
      </c>
      <c r="P499" t="s">
        <v>1370</v>
      </c>
      <c r="Q499" s="4">
        <v>0.19</v>
      </c>
      <c r="R499" t="s">
        <v>83</v>
      </c>
      <c r="S499" t="s">
        <v>61</v>
      </c>
      <c r="T499" s="2">
        <v>22.54</v>
      </c>
      <c r="U499" t="s">
        <v>370</v>
      </c>
    </row>
    <row r="500" spans="1:51" x14ac:dyDescent="0.25">
      <c r="A500">
        <v>2030277546</v>
      </c>
      <c r="B500" t="s">
        <v>681</v>
      </c>
      <c r="C500" t="s">
        <v>682</v>
      </c>
      <c r="D500" t="str">
        <f t="shared" si="22"/>
        <v>REINHART TAMMIE</v>
      </c>
      <c r="E500" t="s">
        <v>210</v>
      </c>
      <c r="F500" t="s">
        <v>365</v>
      </c>
      <c r="G500" t="s">
        <v>371</v>
      </c>
      <c r="H500">
        <v>8977234</v>
      </c>
      <c r="I500" t="s">
        <v>81</v>
      </c>
      <c r="J500" t="s">
        <v>82</v>
      </c>
      <c r="K500" t="str">
        <f t="shared" si="21"/>
        <v>RYAN CALTAGIRONE</v>
      </c>
      <c r="L500" s="1">
        <v>45878</v>
      </c>
      <c r="M500" s="1">
        <v>46031</v>
      </c>
      <c r="N500" s="2">
        <v>7.09</v>
      </c>
      <c r="O500">
        <f t="shared" si="23"/>
        <v>5</v>
      </c>
      <c r="P500" t="s">
        <v>1370</v>
      </c>
      <c r="Q500" s="4">
        <v>0.38</v>
      </c>
      <c r="R500" t="s">
        <v>83</v>
      </c>
      <c r="S500" t="s">
        <v>61</v>
      </c>
      <c r="T500" s="2">
        <v>2.69</v>
      </c>
      <c r="U500" t="s">
        <v>370</v>
      </c>
    </row>
    <row r="501" spans="1:51" x14ac:dyDescent="0.25">
      <c r="A501">
        <v>2030228486</v>
      </c>
      <c r="B501" t="s">
        <v>872</v>
      </c>
      <c r="C501" t="s">
        <v>873</v>
      </c>
      <c r="D501" t="str">
        <f t="shared" si="22"/>
        <v>NAMIO SANDRA</v>
      </c>
      <c r="E501" t="s">
        <v>97</v>
      </c>
      <c r="F501" t="s">
        <v>75</v>
      </c>
      <c r="G501" t="s">
        <v>243</v>
      </c>
      <c r="H501">
        <v>8977234</v>
      </c>
      <c r="I501" t="s">
        <v>81</v>
      </c>
      <c r="J501" t="s">
        <v>82</v>
      </c>
      <c r="K501" t="str">
        <f t="shared" si="21"/>
        <v>RYAN CALTAGIRONE</v>
      </c>
      <c r="L501" s="1">
        <v>45875</v>
      </c>
      <c r="M501" s="1">
        <v>46028</v>
      </c>
      <c r="N501" s="2">
        <v>81.099999999999994</v>
      </c>
      <c r="O501">
        <f t="shared" si="23"/>
        <v>5</v>
      </c>
      <c r="P501" t="s">
        <v>1370</v>
      </c>
      <c r="Q501" s="4">
        <v>0.75</v>
      </c>
      <c r="R501" t="s">
        <v>83</v>
      </c>
      <c r="S501" t="s">
        <v>61</v>
      </c>
      <c r="T501" s="2">
        <v>60.82</v>
      </c>
      <c r="U501" t="s">
        <v>1371</v>
      </c>
    </row>
    <row r="502" spans="1:51" x14ac:dyDescent="0.25">
      <c r="A502">
        <v>2030277547</v>
      </c>
      <c r="B502" t="s">
        <v>681</v>
      </c>
      <c r="C502" t="s">
        <v>682</v>
      </c>
      <c r="D502" t="str">
        <f t="shared" si="22"/>
        <v>REINHART TAMMIE</v>
      </c>
      <c r="E502" t="s">
        <v>210</v>
      </c>
      <c r="F502" t="s">
        <v>75</v>
      </c>
      <c r="G502" t="s">
        <v>243</v>
      </c>
      <c r="H502">
        <v>8977234</v>
      </c>
      <c r="I502" t="s">
        <v>81</v>
      </c>
      <c r="J502" t="s">
        <v>82</v>
      </c>
      <c r="K502" t="str">
        <f t="shared" si="21"/>
        <v>RYAN CALTAGIRONE</v>
      </c>
      <c r="L502" s="1">
        <v>45878</v>
      </c>
      <c r="M502" s="1">
        <v>46031</v>
      </c>
      <c r="N502" s="2">
        <v>37.18</v>
      </c>
      <c r="O502">
        <f t="shared" si="23"/>
        <v>5</v>
      </c>
      <c r="P502" t="s">
        <v>1370</v>
      </c>
      <c r="Q502" s="4">
        <v>0.75</v>
      </c>
      <c r="R502" t="s">
        <v>83</v>
      </c>
      <c r="S502" t="s">
        <v>61</v>
      </c>
      <c r="T502" s="2">
        <v>27.88</v>
      </c>
      <c r="U502" t="s">
        <v>1371</v>
      </c>
    </row>
    <row r="503" spans="1:51" x14ac:dyDescent="0.25">
      <c r="A503">
        <v>2030277550</v>
      </c>
      <c r="B503" t="s">
        <v>681</v>
      </c>
      <c r="C503" t="s">
        <v>682</v>
      </c>
      <c r="D503" t="str">
        <f t="shared" si="22"/>
        <v>REINHART TAMMIE</v>
      </c>
      <c r="E503" t="s">
        <v>210</v>
      </c>
      <c r="F503" t="s">
        <v>290</v>
      </c>
      <c r="G503" t="s">
        <v>947</v>
      </c>
      <c r="H503">
        <v>8977234</v>
      </c>
      <c r="I503" t="s">
        <v>81</v>
      </c>
      <c r="J503" t="s">
        <v>82</v>
      </c>
      <c r="K503" t="str">
        <f t="shared" si="21"/>
        <v>RYAN CALTAGIRONE</v>
      </c>
      <c r="L503" s="1">
        <v>45878</v>
      </c>
      <c r="M503" s="1">
        <v>46031</v>
      </c>
      <c r="N503" s="2">
        <v>15</v>
      </c>
      <c r="O503">
        <f t="shared" si="23"/>
        <v>5</v>
      </c>
      <c r="P503" t="s">
        <v>1370</v>
      </c>
      <c r="Q503" s="4">
        <v>0.19</v>
      </c>
      <c r="R503" t="s">
        <v>83</v>
      </c>
      <c r="S503" t="s">
        <v>61</v>
      </c>
      <c r="T503" s="2">
        <v>2.85</v>
      </c>
      <c r="U503" t="s">
        <v>1374</v>
      </c>
    </row>
    <row r="504" spans="1:51" x14ac:dyDescent="0.25">
      <c r="A504">
        <v>2030277549</v>
      </c>
      <c r="B504" t="s">
        <v>681</v>
      </c>
      <c r="C504" t="s">
        <v>682</v>
      </c>
      <c r="D504" t="str">
        <f t="shared" si="22"/>
        <v>REINHART TAMMIE</v>
      </c>
      <c r="E504" t="s">
        <v>210</v>
      </c>
      <c r="F504" t="s">
        <v>126</v>
      </c>
      <c r="G504" t="s">
        <v>132</v>
      </c>
      <c r="H504">
        <v>8977234</v>
      </c>
      <c r="I504" t="s">
        <v>81</v>
      </c>
      <c r="J504" t="s">
        <v>82</v>
      </c>
      <c r="K504" t="str">
        <f t="shared" si="21"/>
        <v>RYAN CALTAGIRONE</v>
      </c>
      <c r="L504" s="1">
        <v>45878</v>
      </c>
      <c r="M504" s="1">
        <v>46031</v>
      </c>
      <c r="N504" s="2">
        <v>188.08</v>
      </c>
      <c r="O504">
        <f t="shared" si="23"/>
        <v>5</v>
      </c>
      <c r="P504" t="s">
        <v>1370</v>
      </c>
      <c r="Q504" s="4">
        <v>0.7</v>
      </c>
      <c r="R504" t="s">
        <v>83</v>
      </c>
      <c r="S504" t="s">
        <v>61</v>
      </c>
      <c r="T504" s="2">
        <v>131.66</v>
      </c>
      <c r="U504" t="s">
        <v>132</v>
      </c>
    </row>
    <row r="505" spans="1:51" x14ac:dyDescent="0.25">
      <c r="A505">
        <v>2030228487</v>
      </c>
      <c r="B505" t="s">
        <v>872</v>
      </c>
      <c r="C505" t="s">
        <v>873</v>
      </c>
      <c r="D505" t="str">
        <f t="shared" si="22"/>
        <v>NAMIO SANDRA</v>
      </c>
      <c r="E505" t="s">
        <v>97</v>
      </c>
      <c r="F505" t="s">
        <v>126</v>
      </c>
      <c r="G505" t="s">
        <v>132</v>
      </c>
      <c r="H505">
        <v>8977234</v>
      </c>
      <c r="I505" t="s">
        <v>81</v>
      </c>
      <c r="J505" t="s">
        <v>82</v>
      </c>
      <c r="K505" t="str">
        <f t="shared" si="21"/>
        <v>RYAN CALTAGIRONE</v>
      </c>
      <c r="L505" s="1">
        <v>45875</v>
      </c>
      <c r="M505" s="1">
        <v>46028</v>
      </c>
      <c r="N505" s="2">
        <v>103.76</v>
      </c>
      <c r="O505">
        <f t="shared" si="23"/>
        <v>5</v>
      </c>
      <c r="P505" t="s">
        <v>1370</v>
      </c>
      <c r="Q505" s="4">
        <v>0.7</v>
      </c>
      <c r="R505" t="s">
        <v>83</v>
      </c>
      <c r="S505" t="s">
        <v>61</v>
      </c>
      <c r="T505" s="2">
        <v>72.63</v>
      </c>
      <c r="U505" t="s">
        <v>132</v>
      </c>
    </row>
    <row r="506" spans="1:51" x14ac:dyDescent="0.25">
      <c r="A506">
        <v>2030222256</v>
      </c>
      <c r="B506" t="s">
        <v>302</v>
      </c>
      <c r="C506" t="s">
        <v>1325</v>
      </c>
      <c r="D506" t="str">
        <f t="shared" si="22"/>
        <v>FURRY RUSSELL</v>
      </c>
      <c r="E506" t="s">
        <v>52</v>
      </c>
      <c r="F506" t="s">
        <v>169</v>
      </c>
      <c r="G506" t="s">
        <v>170</v>
      </c>
      <c r="H506">
        <v>15950276</v>
      </c>
      <c r="I506" t="s">
        <v>1326</v>
      </c>
      <c r="J506" t="s">
        <v>1327</v>
      </c>
      <c r="K506" t="str">
        <f t="shared" si="21"/>
        <v>Ryan Stocker</v>
      </c>
      <c r="L506" s="1">
        <v>45870</v>
      </c>
      <c r="M506" s="1">
        <v>46023</v>
      </c>
      <c r="N506" s="2">
        <v>48.22</v>
      </c>
      <c r="O506">
        <f t="shared" si="23"/>
        <v>5</v>
      </c>
      <c r="P506" t="s">
        <v>1370</v>
      </c>
      <c r="Q506" s="4">
        <v>0.47</v>
      </c>
      <c r="R506" t="s">
        <v>83</v>
      </c>
      <c r="S506" t="s">
        <v>61</v>
      </c>
      <c r="T506" s="2">
        <v>22.66</v>
      </c>
      <c r="U506" t="s">
        <v>170</v>
      </c>
    </row>
    <row r="507" spans="1:51" x14ac:dyDescent="0.25">
      <c r="A507">
        <v>2030002924</v>
      </c>
      <c r="B507" t="s">
        <v>107</v>
      </c>
      <c r="C507" t="s">
        <v>338</v>
      </c>
      <c r="D507" t="str">
        <f t="shared" si="22"/>
        <v>WOODS THOMAS</v>
      </c>
      <c r="E507" t="s">
        <v>383</v>
      </c>
      <c r="F507" t="s">
        <v>75</v>
      </c>
      <c r="G507" t="s">
        <v>243</v>
      </c>
      <c r="H507">
        <v>19396223</v>
      </c>
      <c r="I507" t="s">
        <v>213</v>
      </c>
      <c r="J507" t="s">
        <v>214</v>
      </c>
      <c r="K507" t="str">
        <f t="shared" si="21"/>
        <v>Saadia Abdul</v>
      </c>
      <c r="L507" s="1">
        <v>45870</v>
      </c>
      <c r="M507" s="1">
        <v>46023</v>
      </c>
      <c r="N507" s="2">
        <v>74.25</v>
      </c>
      <c r="O507">
        <f t="shared" si="23"/>
        <v>5</v>
      </c>
      <c r="P507" t="s">
        <v>1370</v>
      </c>
      <c r="Q507" s="4">
        <v>0.75</v>
      </c>
      <c r="R507" t="s">
        <v>83</v>
      </c>
      <c r="S507" t="s">
        <v>61</v>
      </c>
      <c r="T507" s="2">
        <v>55.69</v>
      </c>
      <c r="U507" t="s">
        <v>1371</v>
      </c>
    </row>
    <row r="508" spans="1:51" x14ac:dyDescent="0.25">
      <c r="A508">
        <v>2030127609</v>
      </c>
      <c r="B508" t="s">
        <v>211</v>
      </c>
      <c r="C508" t="s">
        <v>212</v>
      </c>
      <c r="D508" t="str">
        <f t="shared" si="22"/>
        <v>SULTANA RAFAT</v>
      </c>
      <c r="E508" t="s">
        <v>102</v>
      </c>
      <c r="F508" t="s">
        <v>169</v>
      </c>
      <c r="G508" t="s">
        <v>170</v>
      </c>
      <c r="H508">
        <v>19396223</v>
      </c>
      <c r="I508" t="s">
        <v>213</v>
      </c>
      <c r="J508" t="s">
        <v>214</v>
      </c>
      <c r="K508" t="str">
        <f t="shared" si="21"/>
        <v>Saadia Abdul</v>
      </c>
      <c r="L508" s="1">
        <v>45870</v>
      </c>
      <c r="M508" s="1">
        <v>46023</v>
      </c>
      <c r="N508" s="2">
        <v>94.04</v>
      </c>
      <c r="O508">
        <f t="shared" si="23"/>
        <v>5</v>
      </c>
      <c r="P508" t="s">
        <v>1370</v>
      </c>
      <c r="Q508" s="4">
        <v>0.47</v>
      </c>
      <c r="R508" t="s">
        <v>83</v>
      </c>
      <c r="S508" t="s">
        <v>61</v>
      </c>
      <c r="T508" s="2">
        <v>44.19</v>
      </c>
      <c r="U508" t="s">
        <v>170</v>
      </c>
    </row>
    <row r="509" spans="1:51" x14ac:dyDescent="0.25">
      <c r="A509">
        <v>2030002925</v>
      </c>
      <c r="B509" t="s">
        <v>107</v>
      </c>
      <c r="C509" t="s">
        <v>338</v>
      </c>
      <c r="D509" t="str">
        <f t="shared" si="22"/>
        <v>WOODS THOMAS</v>
      </c>
      <c r="E509" t="s">
        <v>383</v>
      </c>
      <c r="F509" t="s">
        <v>126</v>
      </c>
      <c r="G509" t="s">
        <v>132</v>
      </c>
      <c r="H509">
        <v>19396223</v>
      </c>
      <c r="I509" t="s">
        <v>213</v>
      </c>
      <c r="J509" t="s">
        <v>214</v>
      </c>
      <c r="K509" t="str">
        <f t="shared" ref="K509:K572" si="24">CONCATENATE(J509," ",I509)</f>
        <v>Saadia Abdul</v>
      </c>
      <c r="L509" s="1">
        <v>45870</v>
      </c>
      <c r="M509" s="1">
        <v>46023</v>
      </c>
      <c r="N509" s="2">
        <v>51</v>
      </c>
      <c r="O509">
        <f t="shared" si="23"/>
        <v>5</v>
      </c>
      <c r="P509" t="s">
        <v>1370</v>
      </c>
      <c r="Q509" s="4">
        <v>0.7</v>
      </c>
      <c r="R509" t="s">
        <v>83</v>
      </c>
      <c r="S509" t="s">
        <v>61</v>
      </c>
      <c r="T509" s="2">
        <v>35.700000000000003</v>
      </c>
      <c r="U509" t="s">
        <v>132</v>
      </c>
    </row>
    <row r="510" spans="1:51" x14ac:dyDescent="0.25">
      <c r="A510">
        <v>2030002926</v>
      </c>
      <c r="B510" t="s">
        <v>107</v>
      </c>
      <c r="C510" t="s">
        <v>338</v>
      </c>
      <c r="D510" t="str">
        <f t="shared" si="22"/>
        <v>WOODS THOMAS</v>
      </c>
      <c r="E510" t="s">
        <v>383</v>
      </c>
      <c r="F510" t="s">
        <v>86</v>
      </c>
      <c r="G510" t="s">
        <v>87</v>
      </c>
      <c r="H510">
        <v>19396223</v>
      </c>
      <c r="I510" t="s">
        <v>213</v>
      </c>
      <c r="J510" t="s">
        <v>214</v>
      </c>
      <c r="K510" t="str">
        <f t="shared" si="24"/>
        <v>Saadia Abdul</v>
      </c>
      <c r="L510" s="1">
        <v>45870</v>
      </c>
      <c r="M510" s="1">
        <v>46023</v>
      </c>
      <c r="N510" s="2">
        <v>188.04</v>
      </c>
      <c r="O510">
        <f t="shared" si="23"/>
        <v>5</v>
      </c>
      <c r="P510" t="s">
        <v>1370</v>
      </c>
      <c r="Q510" s="3">
        <v>0.375</v>
      </c>
      <c r="R510" t="s">
        <v>83</v>
      </c>
      <c r="S510" t="s">
        <v>61</v>
      </c>
      <c r="T510" s="2">
        <v>70.52</v>
      </c>
      <c r="U510" t="s">
        <v>87</v>
      </c>
    </row>
    <row r="511" spans="1:51" x14ac:dyDescent="0.25">
      <c r="A511">
        <v>2028915803</v>
      </c>
      <c r="B511" t="s">
        <v>413</v>
      </c>
      <c r="C511" t="s">
        <v>1321</v>
      </c>
      <c r="D511" t="str">
        <f t="shared" si="22"/>
        <v>CIPA PATRICIA</v>
      </c>
      <c r="E511" t="s">
        <v>52</v>
      </c>
      <c r="F511" t="s">
        <v>169</v>
      </c>
      <c r="G511" t="s">
        <v>170</v>
      </c>
      <c r="H511" t="s">
        <v>1390</v>
      </c>
      <c r="I511" t="s">
        <v>183</v>
      </c>
      <c r="J511" t="s">
        <v>184</v>
      </c>
      <c r="K511" t="str">
        <f t="shared" si="24"/>
        <v>DEBORAH INSKIPT</v>
      </c>
      <c r="L511" s="1">
        <v>45839</v>
      </c>
      <c r="M511" s="1">
        <v>46023</v>
      </c>
      <c r="N511" s="2">
        <v>77.010000000000005</v>
      </c>
      <c r="O511">
        <f t="shared" si="23"/>
        <v>6</v>
      </c>
      <c r="P511" t="s">
        <v>1370</v>
      </c>
      <c r="Q511" s="4">
        <v>0.47</v>
      </c>
      <c r="R511" t="s">
        <v>83</v>
      </c>
      <c r="S511" t="s">
        <v>61</v>
      </c>
      <c r="T511" s="2">
        <v>36.17</v>
      </c>
      <c r="U511" t="s">
        <v>170</v>
      </c>
    </row>
    <row r="512" spans="1:51" x14ac:dyDescent="0.25">
      <c r="A512">
        <v>2029501025</v>
      </c>
      <c r="B512" t="s">
        <v>487</v>
      </c>
      <c r="C512" t="s">
        <v>857</v>
      </c>
      <c r="D512" t="str">
        <f t="shared" si="22"/>
        <v>MCPHEETERS MARY</v>
      </c>
      <c r="E512" t="s">
        <v>267</v>
      </c>
      <c r="F512" t="s">
        <v>75</v>
      </c>
      <c r="G512" t="s">
        <v>76</v>
      </c>
      <c r="H512">
        <v>8307933</v>
      </c>
      <c r="I512" t="s">
        <v>246</v>
      </c>
      <c r="J512" t="s">
        <v>247</v>
      </c>
      <c r="K512" t="str">
        <f t="shared" si="24"/>
        <v>GREGORY TEIPEL</v>
      </c>
      <c r="L512" s="1">
        <v>45845</v>
      </c>
      <c r="M512" s="1">
        <v>46029</v>
      </c>
      <c r="N512" s="2">
        <v>329.4</v>
      </c>
      <c r="O512">
        <f t="shared" si="23"/>
        <v>6</v>
      </c>
      <c r="P512" t="s">
        <v>1370</v>
      </c>
      <c r="Q512" s="4">
        <v>0.75</v>
      </c>
      <c r="R512" t="s">
        <v>83</v>
      </c>
      <c r="S512" t="s">
        <v>61</v>
      </c>
      <c r="T512" s="2">
        <v>247.05</v>
      </c>
      <c r="U512" t="s">
        <v>1371</v>
      </c>
    </row>
    <row r="513" spans="1:21" x14ac:dyDescent="0.25">
      <c r="A513">
        <v>2029609655</v>
      </c>
      <c r="B513" t="s">
        <v>71</v>
      </c>
      <c r="C513" t="s">
        <v>605</v>
      </c>
      <c r="D513" t="str">
        <f t="shared" si="22"/>
        <v>HARPER JOHN</v>
      </c>
      <c r="E513" t="s">
        <v>97</v>
      </c>
      <c r="F513" t="s">
        <v>75</v>
      </c>
      <c r="G513" t="s">
        <v>243</v>
      </c>
      <c r="H513">
        <v>8307933</v>
      </c>
      <c r="I513" t="s">
        <v>246</v>
      </c>
      <c r="J513" t="s">
        <v>247</v>
      </c>
      <c r="K513" t="str">
        <f t="shared" si="24"/>
        <v>GREGORY TEIPEL</v>
      </c>
      <c r="L513" s="1">
        <v>45845</v>
      </c>
      <c r="M513" s="1">
        <v>46029</v>
      </c>
      <c r="N513" s="2">
        <v>120.19</v>
      </c>
      <c r="O513">
        <f t="shared" si="23"/>
        <v>6</v>
      </c>
      <c r="P513" t="s">
        <v>1370</v>
      </c>
      <c r="Q513" s="4">
        <v>0.75</v>
      </c>
      <c r="R513" t="s">
        <v>83</v>
      </c>
      <c r="S513" t="s">
        <v>61</v>
      </c>
      <c r="T513" s="2">
        <v>90.13</v>
      </c>
      <c r="U513" t="s">
        <v>1371</v>
      </c>
    </row>
    <row r="514" spans="1:21" x14ac:dyDescent="0.25">
      <c r="A514">
        <v>2029904976</v>
      </c>
      <c r="B514" t="s">
        <v>571</v>
      </c>
      <c r="C514" t="s">
        <v>572</v>
      </c>
      <c r="D514" t="str">
        <f t="shared" ref="D514:D577" si="25">CONCATENATE(C514," ",B514)</f>
        <v>BELANI AMIT</v>
      </c>
      <c r="E514" t="s">
        <v>125</v>
      </c>
      <c r="F514" t="s">
        <v>126</v>
      </c>
      <c r="G514" t="s">
        <v>132</v>
      </c>
      <c r="H514">
        <v>8307933</v>
      </c>
      <c r="I514" t="s">
        <v>246</v>
      </c>
      <c r="J514" t="s">
        <v>247</v>
      </c>
      <c r="K514" t="str">
        <f t="shared" si="24"/>
        <v>GREGORY TEIPEL</v>
      </c>
      <c r="L514" s="1">
        <v>45850</v>
      </c>
      <c r="M514" s="1">
        <v>46034</v>
      </c>
      <c r="N514" s="2">
        <v>10.35</v>
      </c>
      <c r="O514">
        <f t="shared" ref="O514:O577" si="26">DATEDIF(L514,M514,"M")</f>
        <v>6</v>
      </c>
      <c r="P514" t="s">
        <v>1370</v>
      </c>
      <c r="Q514" s="4">
        <v>0.7</v>
      </c>
      <c r="R514" t="s">
        <v>83</v>
      </c>
      <c r="S514" t="s">
        <v>61</v>
      </c>
      <c r="T514" s="2">
        <v>7.24</v>
      </c>
      <c r="U514" t="s">
        <v>132</v>
      </c>
    </row>
    <row r="515" spans="1:21" x14ac:dyDescent="0.25">
      <c r="A515">
        <v>2029904975</v>
      </c>
      <c r="B515" t="s">
        <v>571</v>
      </c>
      <c r="C515" t="s">
        <v>572</v>
      </c>
      <c r="D515" t="str">
        <f t="shared" si="25"/>
        <v>BELANI AMIT</v>
      </c>
      <c r="E515" t="s">
        <v>125</v>
      </c>
      <c r="F515" t="s">
        <v>86</v>
      </c>
      <c r="G515" t="s">
        <v>87</v>
      </c>
      <c r="H515">
        <v>8307933</v>
      </c>
      <c r="I515" t="s">
        <v>246</v>
      </c>
      <c r="J515" t="s">
        <v>247</v>
      </c>
      <c r="K515" t="str">
        <f t="shared" si="24"/>
        <v>GREGORY TEIPEL</v>
      </c>
      <c r="L515" s="1">
        <v>45850</v>
      </c>
      <c r="M515" s="1">
        <v>46034</v>
      </c>
      <c r="N515" s="2">
        <v>102.62</v>
      </c>
      <c r="O515">
        <f t="shared" si="26"/>
        <v>6</v>
      </c>
      <c r="P515" t="s">
        <v>1370</v>
      </c>
      <c r="Q515" s="3">
        <v>0.375</v>
      </c>
      <c r="R515" t="s">
        <v>83</v>
      </c>
      <c r="S515" t="s">
        <v>61</v>
      </c>
      <c r="T515" s="2">
        <v>38.479999999999997</v>
      </c>
      <c r="U515" t="s">
        <v>87</v>
      </c>
    </row>
    <row r="516" spans="1:21" x14ac:dyDescent="0.25">
      <c r="A516">
        <v>2029407292</v>
      </c>
      <c r="B516" t="s">
        <v>73</v>
      </c>
      <c r="C516" t="s">
        <v>293</v>
      </c>
      <c r="D516" t="str">
        <f t="shared" si="25"/>
        <v>JOHNSON DANIEL</v>
      </c>
      <c r="E516" t="s">
        <v>131</v>
      </c>
      <c r="F516" t="s">
        <v>86</v>
      </c>
      <c r="G516" t="s">
        <v>87</v>
      </c>
      <c r="H516">
        <v>8307933</v>
      </c>
      <c r="I516" t="s">
        <v>246</v>
      </c>
      <c r="J516" t="s">
        <v>247</v>
      </c>
      <c r="K516" t="str">
        <f t="shared" si="24"/>
        <v>GREGORY TEIPEL</v>
      </c>
      <c r="L516" s="1">
        <v>45845</v>
      </c>
      <c r="M516" s="1">
        <v>46029</v>
      </c>
      <c r="N516" s="2">
        <v>106.85</v>
      </c>
      <c r="O516">
        <f t="shared" si="26"/>
        <v>6</v>
      </c>
      <c r="P516" t="s">
        <v>1370</v>
      </c>
      <c r="Q516" s="3">
        <v>0.375</v>
      </c>
      <c r="R516" t="s">
        <v>83</v>
      </c>
      <c r="S516" t="s">
        <v>61</v>
      </c>
      <c r="T516" s="2">
        <v>40.07</v>
      </c>
      <c r="U516" t="s">
        <v>87</v>
      </c>
    </row>
    <row r="517" spans="1:21" x14ac:dyDescent="0.25">
      <c r="A517">
        <v>2029609656</v>
      </c>
      <c r="B517" t="s">
        <v>71</v>
      </c>
      <c r="C517" t="s">
        <v>605</v>
      </c>
      <c r="D517" t="str">
        <f t="shared" si="25"/>
        <v>HARPER JOHN</v>
      </c>
      <c r="E517" t="s">
        <v>97</v>
      </c>
      <c r="F517" t="s">
        <v>126</v>
      </c>
      <c r="G517" t="s">
        <v>375</v>
      </c>
      <c r="H517">
        <v>8307933</v>
      </c>
      <c r="I517" t="s">
        <v>246</v>
      </c>
      <c r="J517" t="s">
        <v>247</v>
      </c>
      <c r="K517" t="str">
        <f t="shared" si="24"/>
        <v>GREGORY TEIPEL</v>
      </c>
      <c r="L517" s="1">
        <v>45845</v>
      </c>
      <c r="M517" s="1">
        <v>46029</v>
      </c>
      <c r="N517" s="2">
        <v>35.85</v>
      </c>
      <c r="O517">
        <f t="shared" si="26"/>
        <v>6</v>
      </c>
      <c r="P517" t="s">
        <v>1370</v>
      </c>
      <c r="Q517" s="4">
        <v>0.9</v>
      </c>
      <c r="R517" t="s">
        <v>83</v>
      </c>
      <c r="S517" t="s">
        <v>61</v>
      </c>
      <c r="T517" s="2">
        <v>32.25</v>
      </c>
      <c r="U517" t="s">
        <v>375</v>
      </c>
    </row>
    <row r="518" spans="1:21" x14ac:dyDescent="0.25">
      <c r="A518">
        <v>2029407291</v>
      </c>
      <c r="B518" t="s">
        <v>73</v>
      </c>
      <c r="C518" t="s">
        <v>293</v>
      </c>
      <c r="D518" t="str">
        <f t="shared" si="25"/>
        <v>JOHNSON DANIEL</v>
      </c>
      <c r="E518" t="s">
        <v>131</v>
      </c>
      <c r="F518" t="s">
        <v>126</v>
      </c>
      <c r="G518" t="s">
        <v>375</v>
      </c>
      <c r="H518">
        <v>8307933</v>
      </c>
      <c r="I518" t="s">
        <v>246</v>
      </c>
      <c r="J518" t="s">
        <v>247</v>
      </c>
      <c r="K518" t="str">
        <f t="shared" si="24"/>
        <v>GREGORY TEIPEL</v>
      </c>
      <c r="L518" s="1">
        <v>45845</v>
      </c>
      <c r="M518" s="1">
        <v>46029</v>
      </c>
      <c r="N518" s="2">
        <v>41.88</v>
      </c>
      <c r="O518">
        <f t="shared" si="26"/>
        <v>6</v>
      </c>
      <c r="P518" t="s">
        <v>1370</v>
      </c>
      <c r="Q518" s="4">
        <v>0.9</v>
      </c>
      <c r="R518" t="s">
        <v>83</v>
      </c>
      <c r="S518" t="s">
        <v>61</v>
      </c>
      <c r="T518" s="2">
        <v>37.69</v>
      </c>
      <c r="U518" t="s">
        <v>375</v>
      </c>
    </row>
    <row r="519" spans="1:21" x14ac:dyDescent="0.25">
      <c r="A519">
        <v>2029761816</v>
      </c>
      <c r="B519" t="s">
        <v>558</v>
      </c>
      <c r="C519" t="s">
        <v>559</v>
      </c>
      <c r="D519" t="str">
        <f t="shared" si="25"/>
        <v>MORENO NICKOLAS</v>
      </c>
      <c r="E519" t="s">
        <v>79</v>
      </c>
      <c r="F519" t="s">
        <v>75</v>
      </c>
      <c r="G519" t="s">
        <v>243</v>
      </c>
      <c r="H519">
        <v>18754354</v>
      </c>
      <c r="I519" t="s">
        <v>159</v>
      </c>
      <c r="J519" t="s">
        <v>160</v>
      </c>
      <c r="K519" t="str">
        <f t="shared" si="24"/>
        <v>JACOB YALE</v>
      </c>
      <c r="L519" s="1">
        <v>45841</v>
      </c>
      <c r="M519" s="1">
        <v>46025</v>
      </c>
      <c r="N519" s="2">
        <v>-9.85</v>
      </c>
      <c r="O519">
        <f t="shared" si="26"/>
        <v>6</v>
      </c>
      <c r="P519" t="s">
        <v>1370</v>
      </c>
      <c r="Q519" s="4">
        <v>0.75</v>
      </c>
      <c r="R519" t="s">
        <v>83</v>
      </c>
      <c r="S519" t="s">
        <v>61</v>
      </c>
      <c r="T519" s="2">
        <v>-7.39</v>
      </c>
      <c r="U519" t="s">
        <v>1371</v>
      </c>
    </row>
    <row r="520" spans="1:21" x14ac:dyDescent="0.25">
      <c r="A520">
        <v>2029658015</v>
      </c>
      <c r="B520" t="s">
        <v>142</v>
      </c>
      <c r="C520" t="s">
        <v>139</v>
      </c>
      <c r="D520" t="str">
        <f t="shared" si="25"/>
        <v>JONES BRIAN</v>
      </c>
      <c r="E520" t="s">
        <v>125</v>
      </c>
      <c r="F520" t="s">
        <v>126</v>
      </c>
      <c r="G520" t="s">
        <v>132</v>
      </c>
      <c r="H520">
        <v>18754354</v>
      </c>
      <c r="I520" t="s">
        <v>159</v>
      </c>
      <c r="J520" t="s">
        <v>160</v>
      </c>
      <c r="K520" t="str">
        <f t="shared" si="24"/>
        <v>JACOB YALE</v>
      </c>
      <c r="L520" s="1">
        <v>45845</v>
      </c>
      <c r="M520" s="1">
        <v>46029</v>
      </c>
      <c r="N520" s="2">
        <v>22.72</v>
      </c>
      <c r="O520">
        <f t="shared" si="26"/>
        <v>6</v>
      </c>
      <c r="P520" t="s">
        <v>1370</v>
      </c>
      <c r="Q520" s="4">
        <v>0.7</v>
      </c>
      <c r="R520" t="s">
        <v>83</v>
      </c>
      <c r="S520" t="s">
        <v>61</v>
      </c>
      <c r="T520" s="2">
        <v>15.89</v>
      </c>
      <c r="U520" t="s">
        <v>132</v>
      </c>
    </row>
    <row r="521" spans="1:21" x14ac:dyDescent="0.25">
      <c r="A521">
        <v>2029761815</v>
      </c>
      <c r="B521" t="s">
        <v>558</v>
      </c>
      <c r="C521" t="s">
        <v>559</v>
      </c>
      <c r="D521" t="str">
        <f t="shared" si="25"/>
        <v>MORENO NICKOLAS</v>
      </c>
      <c r="E521" t="s">
        <v>79</v>
      </c>
      <c r="F521" t="s">
        <v>126</v>
      </c>
      <c r="G521" t="s">
        <v>132</v>
      </c>
      <c r="H521">
        <v>18754354</v>
      </c>
      <c r="I521" t="s">
        <v>159</v>
      </c>
      <c r="J521" t="s">
        <v>160</v>
      </c>
      <c r="K521" t="str">
        <f t="shared" si="24"/>
        <v>JACOB YALE</v>
      </c>
      <c r="L521" s="1">
        <v>45841</v>
      </c>
      <c r="M521" s="1">
        <v>46025</v>
      </c>
      <c r="N521" s="2">
        <v>-45.46</v>
      </c>
      <c r="O521">
        <f t="shared" si="26"/>
        <v>6</v>
      </c>
      <c r="P521" t="s">
        <v>1370</v>
      </c>
      <c r="Q521" s="4">
        <v>0.7</v>
      </c>
      <c r="R521" t="s">
        <v>83</v>
      </c>
      <c r="S521" t="s">
        <v>61</v>
      </c>
      <c r="T521" s="2">
        <v>-31.82</v>
      </c>
      <c r="U521" t="s">
        <v>132</v>
      </c>
    </row>
    <row r="522" spans="1:21" x14ac:dyDescent="0.25">
      <c r="A522">
        <v>2029761817</v>
      </c>
      <c r="B522" t="s">
        <v>558</v>
      </c>
      <c r="C522" t="s">
        <v>559</v>
      </c>
      <c r="D522" t="str">
        <f t="shared" si="25"/>
        <v>MORENO NICKOLAS</v>
      </c>
      <c r="E522" t="s">
        <v>79</v>
      </c>
      <c r="F522" t="s">
        <v>86</v>
      </c>
      <c r="G522" t="s">
        <v>87</v>
      </c>
      <c r="H522">
        <v>18754354</v>
      </c>
      <c r="I522" t="s">
        <v>159</v>
      </c>
      <c r="J522" t="s">
        <v>160</v>
      </c>
      <c r="K522" t="str">
        <f t="shared" si="24"/>
        <v>JACOB YALE</v>
      </c>
      <c r="L522" s="1">
        <v>45841</v>
      </c>
      <c r="M522" s="1">
        <v>46025</v>
      </c>
      <c r="N522" s="2">
        <v>-18.989999999999998</v>
      </c>
      <c r="O522">
        <f t="shared" si="26"/>
        <v>6</v>
      </c>
      <c r="P522" t="s">
        <v>1370</v>
      </c>
      <c r="Q522" s="3">
        <v>0.375</v>
      </c>
      <c r="R522" t="s">
        <v>83</v>
      </c>
      <c r="S522" t="s">
        <v>61</v>
      </c>
      <c r="T522" s="2">
        <v>-7.12</v>
      </c>
      <c r="U522" t="s">
        <v>87</v>
      </c>
    </row>
    <row r="523" spans="1:21" x14ac:dyDescent="0.25">
      <c r="A523">
        <v>2029738918</v>
      </c>
      <c r="B523" t="s">
        <v>674</v>
      </c>
      <c r="C523" t="s">
        <v>675</v>
      </c>
      <c r="D523" t="str">
        <f t="shared" si="25"/>
        <v>MURPHY KELLE</v>
      </c>
      <c r="E523" t="s">
        <v>79</v>
      </c>
      <c r="F523" t="s">
        <v>365</v>
      </c>
      <c r="G523" t="s">
        <v>370</v>
      </c>
      <c r="H523">
        <v>8977234</v>
      </c>
      <c r="I523" t="s">
        <v>81</v>
      </c>
      <c r="J523" t="s">
        <v>82</v>
      </c>
      <c r="K523" t="str">
        <f t="shared" si="24"/>
        <v>RYAN CALTAGIRONE</v>
      </c>
      <c r="L523" s="1">
        <v>45846</v>
      </c>
      <c r="M523" s="1">
        <v>46030</v>
      </c>
      <c r="N523" s="2">
        <v>192.49</v>
      </c>
      <c r="O523">
        <f t="shared" si="26"/>
        <v>6</v>
      </c>
      <c r="P523" t="s">
        <v>1370</v>
      </c>
      <c r="Q523" s="4">
        <v>0.38</v>
      </c>
      <c r="R523" t="s">
        <v>83</v>
      </c>
      <c r="S523" t="s">
        <v>61</v>
      </c>
      <c r="T523" s="2">
        <v>73.150000000000006</v>
      </c>
      <c r="U523" t="s">
        <v>370</v>
      </c>
    </row>
    <row r="524" spans="1:21" x14ac:dyDescent="0.25">
      <c r="A524">
        <v>2029738919</v>
      </c>
      <c r="B524" t="s">
        <v>674</v>
      </c>
      <c r="C524" t="s">
        <v>675</v>
      </c>
      <c r="D524" t="str">
        <f t="shared" si="25"/>
        <v>MURPHY KELLE</v>
      </c>
      <c r="E524" t="s">
        <v>79</v>
      </c>
      <c r="F524" t="s">
        <v>365</v>
      </c>
      <c r="G524" t="s">
        <v>371</v>
      </c>
      <c r="H524">
        <v>8977234</v>
      </c>
      <c r="I524" t="s">
        <v>81</v>
      </c>
      <c r="J524" t="s">
        <v>82</v>
      </c>
      <c r="K524" t="str">
        <f t="shared" si="24"/>
        <v>RYAN CALTAGIRONE</v>
      </c>
      <c r="L524" s="1">
        <v>45846</v>
      </c>
      <c r="M524" s="1">
        <v>46030</v>
      </c>
      <c r="N524" s="2">
        <v>7.09</v>
      </c>
      <c r="O524">
        <f t="shared" si="26"/>
        <v>6</v>
      </c>
      <c r="P524" t="s">
        <v>1370</v>
      </c>
      <c r="Q524" s="4">
        <v>0.38</v>
      </c>
      <c r="R524" t="s">
        <v>83</v>
      </c>
      <c r="S524" t="s">
        <v>61</v>
      </c>
      <c r="T524" s="2">
        <v>2.67</v>
      </c>
      <c r="U524" t="s">
        <v>370</v>
      </c>
    </row>
    <row r="525" spans="1:21" x14ac:dyDescent="0.25">
      <c r="A525">
        <v>2029866851</v>
      </c>
      <c r="B525" t="s">
        <v>860</v>
      </c>
      <c r="C525" t="s">
        <v>861</v>
      </c>
      <c r="D525" t="str">
        <f t="shared" si="25"/>
        <v>URIAS SHAHIN</v>
      </c>
      <c r="E525" t="s">
        <v>79</v>
      </c>
      <c r="F525" t="s">
        <v>75</v>
      </c>
      <c r="G525" t="s">
        <v>243</v>
      </c>
      <c r="H525">
        <v>8977234</v>
      </c>
      <c r="I525" t="s">
        <v>81</v>
      </c>
      <c r="J525" t="s">
        <v>82</v>
      </c>
      <c r="K525" t="str">
        <f t="shared" si="24"/>
        <v>RYAN CALTAGIRONE</v>
      </c>
      <c r="L525" s="1">
        <v>45848</v>
      </c>
      <c r="M525" s="1">
        <v>46032</v>
      </c>
      <c r="N525" s="2">
        <v>160.22999999999999</v>
      </c>
      <c r="O525">
        <f t="shared" si="26"/>
        <v>6</v>
      </c>
      <c r="P525" t="s">
        <v>1370</v>
      </c>
      <c r="Q525" s="4">
        <v>0.75</v>
      </c>
      <c r="R525" t="s">
        <v>83</v>
      </c>
      <c r="S525" t="s">
        <v>61</v>
      </c>
      <c r="T525" s="2">
        <v>120.17</v>
      </c>
      <c r="U525" t="s">
        <v>1371</v>
      </c>
    </row>
    <row r="526" spans="1:21" x14ac:dyDescent="0.25">
      <c r="A526">
        <v>2029531079</v>
      </c>
      <c r="B526" t="s">
        <v>858</v>
      </c>
      <c r="C526" t="s">
        <v>859</v>
      </c>
      <c r="D526" t="str">
        <f t="shared" si="25"/>
        <v>SCHUTJER CISSIE</v>
      </c>
      <c r="E526" t="s">
        <v>135</v>
      </c>
      <c r="F526" t="s">
        <v>75</v>
      </c>
      <c r="G526" t="s">
        <v>243</v>
      </c>
      <c r="H526">
        <v>8977234</v>
      </c>
      <c r="I526" t="s">
        <v>81</v>
      </c>
      <c r="J526" t="s">
        <v>82</v>
      </c>
      <c r="K526" t="str">
        <f t="shared" si="24"/>
        <v>RYAN CALTAGIRONE</v>
      </c>
      <c r="L526" s="1">
        <v>45847</v>
      </c>
      <c r="M526" s="1">
        <v>46031</v>
      </c>
      <c r="N526" s="2">
        <v>82.36</v>
      </c>
      <c r="O526">
        <f t="shared" si="26"/>
        <v>6</v>
      </c>
      <c r="P526" t="s">
        <v>1370</v>
      </c>
      <c r="Q526" s="4">
        <v>0.75</v>
      </c>
      <c r="R526" t="s">
        <v>83</v>
      </c>
      <c r="S526" t="s">
        <v>61</v>
      </c>
      <c r="T526" s="2">
        <v>61.77</v>
      </c>
      <c r="U526" t="s">
        <v>1371</v>
      </c>
    </row>
    <row r="527" spans="1:21" x14ac:dyDescent="0.25">
      <c r="A527">
        <v>2029738920</v>
      </c>
      <c r="B527" t="s">
        <v>674</v>
      </c>
      <c r="C527" t="s">
        <v>675</v>
      </c>
      <c r="D527" t="str">
        <f t="shared" si="25"/>
        <v>MURPHY KELLE</v>
      </c>
      <c r="E527" t="s">
        <v>79</v>
      </c>
      <c r="F527" t="s">
        <v>75</v>
      </c>
      <c r="G527" t="s">
        <v>243</v>
      </c>
      <c r="H527">
        <v>8977234</v>
      </c>
      <c r="I527" t="s">
        <v>81</v>
      </c>
      <c r="J527" t="s">
        <v>82</v>
      </c>
      <c r="K527" t="str">
        <f t="shared" si="24"/>
        <v>RYAN CALTAGIRONE</v>
      </c>
      <c r="L527" s="1">
        <v>45846</v>
      </c>
      <c r="M527" s="1">
        <v>46030</v>
      </c>
      <c r="N527" s="2">
        <v>53.6</v>
      </c>
      <c r="O527">
        <f t="shared" si="26"/>
        <v>6</v>
      </c>
      <c r="P527" t="s">
        <v>1370</v>
      </c>
      <c r="Q527" s="4">
        <v>0.75</v>
      </c>
      <c r="R527" t="s">
        <v>83</v>
      </c>
      <c r="S527" t="s">
        <v>61</v>
      </c>
      <c r="T527" s="2">
        <v>40.200000000000003</v>
      </c>
      <c r="U527" t="s">
        <v>1371</v>
      </c>
    </row>
    <row r="528" spans="1:21" x14ac:dyDescent="0.25">
      <c r="A528">
        <v>2029738922</v>
      </c>
      <c r="B528" t="s">
        <v>674</v>
      </c>
      <c r="C528" t="s">
        <v>675</v>
      </c>
      <c r="D528" t="str">
        <f t="shared" si="25"/>
        <v>MURPHY KELLE</v>
      </c>
      <c r="E528" t="s">
        <v>79</v>
      </c>
      <c r="F528" t="s">
        <v>290</v>
      </c>
      <c r="G528" t="s">
        <v>298</v>
      </c>
      <c r="H528">
        <v>8977234</v>
      </c>
      <c r="I528" t="s">
        <v>81</v>
      </c>
      <c r="J528" t="s">
        <v>82</v>
      </c>
      <c r="K528" t="str">
        <f t="shared" si="24"/>
        <v>RYAN CALTAGIRONE</v>
      </c>
      <c r="L528" s="1">
        <v>45846</v>
      </c>
      <c r="M528" s="1">
        <v>46030</v>
      </c>
      <c r="N528" s="2">
        <v>15</v>
      </c>
      <c r="O528">
        <f t="shared" si="26"/>
        <v>6</v>
      </c>
      <c r="P528" t="s">
        <v>1370</v>
      </c>
      <c r="Q528" s="4">
        <v>0.38</v>
      </c>
      <c r="R528" t="s">
        <v>83</v>
      </c>
      <c r="S528" t="s">
        <v>61</v>
      </c>
      <c r="T528" s="2">
        <v>5.7</v>
      </c>
      <c r="U528" t="s">
        <v>298</v>
      </c>
    </row>
    <row r="529" spans="1:21" x14ac:dyDescent="0.25">
      <c r="A529">
        <v>2029866852</v>
      </c>
      <c r="B529" t="s">
        <v>860</v>
      </c>
      <c r="C529" t="s">
        <v>861</v>
      </c>
      <c r="D529" t="str">
        <f t="shared" si="25"/>
        <v>URIAS SHAHIN</v>
      </c>
      <c r="E529" t="s">
        <v>79</v>
      </c>
      <c r="F529" t="s">
        <v>126</v>
      </c>
      <c r="G529" t="s">
        <v>132</v>
      </c>
      <c r="H529">
        <v>8977234</v>
      </c>
      <c r="I529" t="s">
        <v>81</v>
      </c>
      <c r="J529" t="s">
        <v>82</v>
      </c>
      <c r="K529" t="str">
        <f t="shared" si="24"/>
        <v>RYAN CALTAGIRONE</v>
      </c>
      <c r="L529" s="1">
        <v>45848</v>
      </c>
      <c r="M529" s="1">
        <v>46032</v>
      </c>
      <c r="N529" s="2">
        <v>144.69999999999999</v>
      </c>
      <c r="O529">
        <f t="shared" si="26"/>
        <v>6</v>
      </c>
      <c r="P529" t="s">
        <v>1370</v>
      </c>
      <c r="Q529" s="4">
        <v>0.7</v>
      </c>
      <c r="R529" t="s">
        <v>83</v>
      </c>
      <c r="S529" t="s">
        <v>61</v>
      </c>
      <c r="T529" s="2">
        <v>101.29</v>
      </c>
      <c r="U529" t="s">
        <v>132</v>
      </c>
    </row>
    <row r="530" spans="1:21" x14ac:dyDescent="0.25">
      <c r="A530">
        <v>2029531080</v>
      </c>
      <c r="B530" t="s">
        <v>858</v>
      </c>
      <c r="C530" t="s">
        <v>859</v>
      </c>
      <c r="D530" t="str">
        <f t="shared" si="25"/>
        <v>SCHUTJER CISSIE</v>
      </c>
      <c r="E530" t="s">
        <v>135</v>
      </c>
      <c r="F530" t="s">
        <v>126</v>
      </c>
      <c r="G530" t="s">
        <v>132</v>
      </c>
      <c r="H530">
        <v>8977234</v>
      </c>
      <c r="I530" t="s">
        <v>81</v>
      </c>
      <c r="J530" t="s">
        <v>82</v>
      </c>
      <c r="K530" t="str">
        <f t="shared" si="24"/>
        <v>RYAN CALTAGIRONE</v>
      </c>
      <c r="L530" s="1">
        <v>45847</v>
      </c>
      <c r="M530" s="1">
        <v>46031</v>
      </c>
      <c r="N530" s="2">
        <v>120.5</v>
      </c>
      <c r="O530">
        <f t="shared" si="26"/>
        <v>6</v>
      </c>
      <c r="P530" t="s">
        <v>1370</v>
      </c>
      <c r="Q530" s="4">
        <v>0.7</v>
      </c>
      <c r="R530" t="s">
        <v>83</v>
      </c>
      <c r="S530" t="s">
        <v>61</v>
      </c>
      <c r="T530" s="2">
        <v>84.35</v>
      </c>
      <c r="U530" t="s">
        <v>132</v>
      </c>
    </row>
    <row r="531" spans="1:21" x14ac:dyDescent="0.25">
      <c r="A531">
        <v>2029738921</v>
      </c>
      <c r="B531" t="s">
        <v>674</v>
      </c>
      <c r="C531" t="s">
        <v>675</v>
      </c>
      <c r="D531" t="str">
        <f t="shared" si="25"/>
        <v>MURPHY KELLE</v>
      </c>
      <c r="E531" t="s">
        <v>79</v>
      </c>
      <c r="F531" t="s">
        <v>126</v>
      </c>
      <c r="G531" t="s">
        <v>132</v>
      </c>
      <c r="H531">
        <v>8977234</v>
      </c>
      <c r="I531" t="s">
        <v>81</v>
      </c>
      <c r="J531" t="s">
        <v>82</v>
      </c>
      <c r="K531" t="str">
        <f t="shared" si="24"/>
        <v>RYAN CALTAGIRONE</v>
      </c>
      <c r="L531" s="1">
        <v>45846</v>
      </c>
      <c r="M531" s="1">
        <v>46030</v>
      </c>
      <c r="N531" s="2">
        <v>69.88</v>
      </c>
      <c r="O531">
        <f t="shared" si="26"/>
        <v>6</v>
      </c>
      <c r="P531" t="s">
        <v>1370</v>
      </c>
      <c r="Q531" s="4">
        <v>0.7</v>
      </c>
      <c r="R531" t="s">
        <v>83</v>
      </c>
      <c r="S531" t="s">
        <v>61</v>
      </c>
      <c r="T531" s="2">
        <v>48.92</v>
      </c>
      <c r="U531" t="s">
        <v>132</v>
      </c>
    </row>
    <row r="532" spans="1:21" x14ac:dyDescent="0.25">
      <c r="A532">
        <v>2028643639</v>
      </c>
      <c r="B532" t="s">
        <v>121</v>
      </c>
      <c r="C532" t="s">
        <v>122</v>
      </c>
      <c r="D532" t="str">
        <f t="shared" si="25"/>
        <v>COLLEEN SCHULZE</v>
      </c>
      <c r="E532" t="s">
        <v>52</v>
      </c>
      <c r="F532" t="s">
        <v>108</v>
      </c>
      <c r="G532" t="s">
        <v>109</v>
      </c>
      <c r="H532">
        <v>20411454</v>
      </c>
      <c r="I532" t="s">
        <v>110</v>
      </c>
      <c r="J532" t="s">
        <v>111</v>
      </c>
      <c r="K532" t="s">
        <v>1377</v>
      </c>
      <c r="L532" s="1">
        <v>45809</v>
      </c>
      <c r="M532" s="1">
        <v>46023</v>
      </c>
      <c r="N532" s="2">
        <v>4.33</v>
      </c>
      <c r="O532">
        <f t="shared" si="26"/>
        <v>7</v>
      </c>
      <c r="P532" t="s">
        <v>1370</v>
      </c>
      <c r="Q532" s="4">
        <v>0.04</v>
      </c>
      <c r="R532" t="s">
        <v>83</v>
      </c>
      <c r="S532" t="s">
        <v>61</v>
      </c>
      <c r="T532" s="2">
        <v>4.33</v>
      </c>
      <c r="U532" t="s">
        <v>1376</v>
      </c>
    </row>
    <row r="533" spans="1:21" x14ac:dyDescent="0.25">
      <c r="A533">
        <v>2029196871</v>
      </c>
      <c r="B533" t="s">
        <v>72</v>
      </c>
      <c r="C533" t="s">
        <v>73</v>
      </c>
      <c r="D533" t="str">
        <f t="shared" si="25"/>
        <v>DANIEL WIMBERLY</v>
      </c>
      <c r="E533" t="s">
        <v>74</v>
      </c>
      <c r="F533" t="s">
        <v>86</v>
      </c>
      <c r="G533" t="s">
        <v>87</v>
      </c>
      <c r="H533">
        <v>17425766</v>
      </c>
      <c r="I533" t="s">
        <v>88</v>
      </c>
      <c r="J533" t="s">
        <v>89</v>
      </c>
      <c r="K533" t="str">
        <f t="shared" ref="K533:K548" si="27">CONCATENATE(J533," ",I533)</f>
        <v>CAROL FOLEY</v>
      </c>
      <c r="L533" s="1">
        <v>45809</v>
      </c>
      <c r="M533" s="1">
        <v>46023</v>
      </c>
      <c r="N533" s="2">
        <v>28.07</v>
      </c>
      <c r="O533">
        <f t="shared" si="26"/>
        <v>7</v>
      </c>
      <c r="P533" t="s">
        <v>1370</v>
      </c>
      <c r="Q533" s="3">
        <v>0.375</v>
      </c>
      <c r="R533" t="s">
        <v>83</v>
      </c>
      <c r="S533" t="s">
        <v>61</v>
      </c>
      <c r="T533" s="2">
        <v>10.53</v>
      </c>
      <c r="U533" t="s">
        <v>87</v>
      </c>
    </row>
    <row r="534" spans="1:21" x14ac:dyDescent="0.25">
      <c r="A534">
        <v>2029284253</v>
      </c>
      <c r="B534" t="s">
        <v>605</v>
      </c>
      <c r="C534" t="s">
        <v>1323</v>
      </c>
      <c r="D534" t="str">
        <f t="shared" si="25"/>
        <v>LYNNE HARPER</v>
      </c>
      <c r="E534" t="s">
        <v>52</v>
      </c>
      <c r="F534" t="s">
        <v>169</v>
      </c>
      <c r="G534" t="s">
        <v>170</v>
      </c>
      <c r="H534" t="s">
        <v>1390</v>
      </c>
      <c r="I534" t="s">
        <v>183</v>
      </c>
      <c r="J534" t="s">
        <v>184</v>
      </c>
      <c r="K534" t="str">
        <f t="shared" si="27"/>
        <v>DEBORAH INSKIPT</v>
      </c>
      <c r="L534" s="1">
        <v>45813</v>
      </c>
      <c r="M534" s="1">
        <v>46027</v>
      </c>
      <c r="N534" s="2">
        <v>75.88</v>
      </c>
      <c r="O534">
        <f t="shared" si="26"/>
        <v>7</v>
      </c>
      <c r="P534" t="s">
        <v>1370</v>
      </c>
      <c r="Q534" s="4">
        <v>0.47</v>
      </c>
      <c r="R534" t="s">
        <v>83</v>
      </c>
      <c r="S534" t="s">
        <v>61</v>
      </c>
      <c r="T534" s="2">
        <v>35.65</v>
      </c>
      <c r="U534" t="s">
        <v>170</v>
      </c>
    </row>
    <row r="535" spans="1:21" x14ac:dyDescent="0.25">
      <c r="A535">
        <v>2029378241</v>
      </c>
      <c r="B535" t="s">
        <v>554</v>
      </c>
      <c r="C535" t="s">
        <v>555</v>
      </c>
      <c r="D535" t="str">
        <f t="shared" si="25"/>
        <v>ABRAHAM VINITSKI</v>
      </c>
      <c r="E535" t="s">
        <v>220</v>
      </c>
      <c r="F535" t="s">
        <v>126</v>
      </c>
      <c r="G535" t="s">
        <v>132</v>
      </c>
      <c r="H535">
        <v>9213293</v>
      </c>
      <c r="I535" t="s">
        <v>401</v>
      </c>
      <c r="J535" t="s">
        <v>233</v>
      </c>
      <c r="K535" t="str">
        <f t="shared" si="27"/>
        <v>GARY PORTUGAL</v>
      </c>
      <c r="L535" s="1">
        <v>45818</v>
      </c>
      <c r="M535" s="1">
        <v>46032</v>
      </c>
      <c r="N535" s="2">
        <v>42.15</v>
      </c>
      <c r="O535">
        <f t="shared" si="26"/>
        <v>7</v>
      </c>
      <c r="P535" t="s">
        <v>1370</v>
      </c>
      <c r="Q535" s="4">
        <v>0.7</v>
      </c>
      <c r="R535" t="s">
        <v>83</v>
      </c>
      <c r="S535" t="s">
        <v>61</v>
      </c>
      <c r="T535" s="2">
        <v>29.49</v>
      </c>
      <c r="U535" t="s">
        <v>132</v>
      </c>
    </row>
    <row r="536" spans="1:21" x14ac:dyDescent="0.25">
      <c r="A536">
        <v>2029331330</v>
      </c>
      <c r="B536" t="s">
        <v>1136</v>
      </c>
      <c r="C536" t="s">
        <v>1137</v>
      </c>
      <c r="D536" t="str">
        <f t="shared" si="25"/>
        <v>LENA PITTS</v>
      </c>
      <c r="E536" t="s">
        <v>102</v>
      </c>
      <c r="F536" t="s">
        <v>126</v>
      </c>
      <c r="G536" t="s">
        <v>132</v>
      </c>
      <c r="H536">
        <v>9213293</v>
      </c>
      <c r="I536" t="s">
        <v>401</v>
      </c>
      <c r="J536" t="s">
        <v>233</v>
      </c>
      <c r="K536" t="str">
        <f t="shared" si="27"/>
        <v>GARY PORTUGAL</v>
      </c>
      <c r="L536" s="1">
        <v>45815</v>
      </c>
      <c r="M536" s="1">
        <v>46029</v>
      </c>
      <c r="N536" s="2">
        <v>100.21</v>
      </c>
      <c r="O536">
        <f t="shared" si="26"/>
        <v>7</v>
      </c>
      <c r="P536" t="s">
        <v>1370</v>
      </c>
      <c r="Q536" s="4">
        <v>0.7</v>
      </c>
      <c r="R536" t="s">
        <v>83</v>
      </c>
      <c r="S536" t="s">
        <v>61</v>
      </c>
      <c r="T536" s="2">
        <v>70.150000000000006</v>
      </c>
      <c r="U536" t="s">
        <v>132</v>
      </c>
    </row>
    <row r="537" spans="1:21" x14ac:dyDescent="0.25">
      <c r="A537">
        <v>2029378240</v>
      </c>
      <c r="B537" t="s">
        <v>554</v>
      </c>
      <c r="C537" t="s">
        <v>555</v>
      </c>
      <c r="D537" t="str">
        <f t="shared" si="25"/>
        <v>ABRAHAM VINITSKI</v>
      </c>
      <c r="E537" t="s">
        <v>220</v>
      </c>
      <c r="F537" t="s">
        <v>86</v>
      </c>
      <c r="G537" t="s">
        <v>87</v>
      </c>
      <c r="H537">
        <v>9213293</v>
      </c>
      <c r="I537" t="s">
        <v>401</v>
      </c>
      <c r="J537" t="s">
        <v>233</v>
      </c>
      <c r="K537" t="str">
        <f t="shared" si="27"/>
        <v>GARY PORTUGAL</v>
      </c>
      <c r="L537" s="1">
        <v>45818</v>
      </c>
      <c r="M537" s="1">
        <v>46032</v>
      </c>
      <c r="N537" s="2">
        <v>115.5</v>
      </c>
      <c r="O537">
        <f t="shared" si="26"/>
        <v>7</v>
      </c>
      <c r="P537" t="s">
        <v>1370</v>
      </c>
      <c r="Q537" s="3">
        <v>0.375</v>
      </c>
      <c r="R537" t="s">
        <v>83</v>
      </c>
      <c r="S537" t="s">
        <v>61</v>
      </c>
      <c r="T537" s="2">
        <v>43.3</v>
      </c>
      <c r="U537" t="s">
        <v>87</v>
      </c>
    </row>
    <row r="538" spans="1:21" x14ac:dyDescent="0.25">
      <c r="A538">
        <v>2029405218</v>
      </c>
      <c r="B538" t="s">
        <v>554</v>
      </c>
      <c r="C538" t="s">
        <v>407</v>
      </c>
      <c r="D538" t="str">
        <f t="shared" si="25"/>
        <v>MADISON VINITSKI</v>
      </c>
      <c r="E538" t="s">
        <v>220</v>
      </c>
      <c r="F538" t="s">
        <v>86</v>
      </c>
      <c r="G538" t="s">
        <v>87</v>
      </c>
      <c r="H538">
        <v>9213293</v>
      </c>
      <c r="I538" t="s">
        <v>401</v>
      </c>
      <c r="J538" t="s">
        <v>233</v>
      </c>
      <c r="K538" t="str">
        <f t="shared" si="27"/>
        <v>GARY PORTUGAL</v>
      </c>
      <c r="L538" s="1">
        <v>45820</v>
      </c>
      <c r="M538" s="1">
        <v>46034</v>
      </c>
      <c r="N538" s="2">
        <v>38.4</v>
      </c>
      <c r="O538">
        <f t="shared" si="26"/>
        <v>7</v>
      </c>
      <c r="P538" t="s">
        <v>1370</v>
      </c>
      <c r="Q538" s="3">
        <v>0.375</v>
      </c>
      <c r="R538" t="s">
        <v>83</v>
      </c>
      <c r="S538" t="s">
        <v>61</v>
      </c>
      <c r="T538" s="2">
        <v>14.4</v>
      </c>
      <c r="U538" t="s">
        <v>87</v>
      </c>
    </row>
    <row r="539" spans="1:21" x14ac:dyDescent="0.25">
      <c r="A539">
        <v>2028773699</v>
      </c>
      <c r="B539" t="s">
        <v>847</v>
      </c>
      <c r="C539" t="s">
        <v>82</v>
      </c>
      <c r="D539" t="str">
        <f t="shared" si="25"/>
        <v>RYAN COVERDELL</v>
      </c>
      <c r="E539" t="s">
        <v>389</v>
      </c>
      <c r="F539" t="s">
        <v>75</v>
      </c>
      <c r="G539" t="s">
        <v>76</v>
      </c>
      <c r="H539">
        <v>8307933</v>
      </c>
      <c r="I539" t="s">
        <v>246</v>
      </c>
      <c r="J539" t="s">
        <v>247</v>
      </c>
      <c r="K539" t="str">
        <f t="shared" si="27"/>
        <v>GREGORY TEIPEL</v>
      </c>
      <c r="L539" s="1">
        <v>45815</v>
      </c>
      <c r="M539" s="1">
        <v>46029</v>
      </c>
      <c r="N539" s="2">
        <v>123.55</v>
      </c>
      <c r="O539">
        <f t="shared" si="26"/>
        <v>7</v>
      </c>
      <c r="P539" t="s">
        <v>1370</v>
      </c>
      <c r="Q539" s="4">
        <v>0.75</v>
      </c>
      <c r="R539" t="s">
        <v>83</v>
      </c>
      <c r="S539" t="s">
        <v>61</v>
      </c>
      <c r="T539" s="2">
        <v>92.66</v>
      </c>
      <c r="U539" t="s">
        <v>1371</v>
      </c>
    </row>
    <row r="540" spans="1:21" x14ac:dyDescent="0.25">
      <c r="A540">
        <v>2029031424</v>
      </c>
      <c r="B540" t="s">
        <v>852</v>
      </c>
      <c r="C540" t="s">
        <v>853</v>
      </c>
      <c r="D540" t="str">
        <f t="shared" si="25"/>
        <v>RAGEN THIGPEN</v>
      </c>
      <c r="E540" t="s">
        <v>374</v>
      </c>
      <c r="F540" t="s">
        <v>75</v>
      </c>
      <c r="G540" t="s">
        <v>76</v>
      </c>
      <c r="H540">
        <v>8307933</v>
      </c>
      <c r="I540" t="s">
        <v>246</v>
      </c>
      <c r="J540" t="s">
        <v>247</v>
      </c>
      <c r="K540" t="str">
        <f t="shared" si="27"/>
        <v>GREGORY TEIPEL</v>
      </c>
      <c r="L540" s="1">
        <v>45815</v>
      </c>
      <c r="M540" s="1">
        <v>46029</v>
      </c>
      <c r="N540" s="2">
        <v>163.80000000000001</v>
      </c>
      <c r="O540">
        <f t="shared" si="26"/>
        <v>7</v>
      </c>
      <c r="P540" t="s">
        <v>1370</v>
      </c>
      <c r="Q540" s="4">
        <v>0.75</v>
      </c>
      <c r="R540" t="s">
        <v>83</v>
      </c>
      <c r="S540" t="s">
        <v>61</v>
      </c>
      <c r="T540" s="2">
        <v>122.85</v>
      </c>
      <c r="U540" t="s">
        <v>1371</v>
      </c>
    </row>
    <row r="541" spans="1:21" x14ac:dyDescent="0.25">
      <c r="A541">
        <v>2028859180</v>
      </c>
      <c r="B541" t="s">
        <v>851</v>
      </c>
      <c r="C541" t="s">
        <v>279</v>
      </c>
      <c r="D541" t="str">
        <f t="shared" si="25"/>
        <v>ERIC SINATRA</v>
      </c>
      <c r="E541" t="s">
        <v>256</v>
      </c>
      <c r="F541" t="s">
        <v>75</v>
      </c>
      <c r="G541" t="s">
        <v>80</v>
      </c>
      <c r="H541">
        <v>8307933</v>
      </c>
      <c r="I541" t="s">
        <v>246</v>
      </c>
      <c r="J541" t="s">
        <v>247</v>
      </c>
      <c r="K541" t="str">
        <f t="shared" si="27"/>
        <v>GREGORY TEIPEL</v>
      </c>
      <c r="L541" s="1">
        <v>45815</v>
      </c>
      <c r="M541" s="1">
        <v>46029</v>
      </c>
      <c r="N541" s="2">
        <v>57.67</v>
      </c>
      <c r="O541">
        <f t="shared" si="26"/>
        <v>7</v>
      </c>
      <c r="P541" t="s">
        <v>1370</v>
      </c>
      <c r="Q541" s="4">
        <v>0.9</v>
      </c>
      <c r="R541" t="s">
        <v>83</v>
      </c>
      <c r="S541" t="s">
        <v>61</v>
      </c>
      <c r="T541" s="2">
        <v>51.9</v>
      </c>
      <c r="U541" t="s">
        <v>1372</v>
      </c>
    </row>
    <row r="542" spans="1:21" x14ac:dyDescent="0.25">
      <c r="A542">
        <v>2028982416</v>
      </c>
      <c r="B542" t="s">
        <v>1131</v>
      </c>
      <c r="C542" t="s">
        <v>1030</v>
      </c>
      <c r="D542" t="str">
        <f t="shared" si="25"/>
        <v>SUSAN BURGENER</v>
      </c>
      <c r="E542" t="s">
        <v>102</v>
      </c>
      <c r="F542" t="s">
        <v>126</v>
      </c>
      <c r="G542" t="s">
        <v>132</v>
      </c>
      <c r="H542">
        <v>8307933</v>
      </c>
      <c r="I542" t="s">
        <v>246</v>
      </c>
      <c r="J542" t="s">
        <v>247</v>
      </c>
      <c r="K542" t="str">
        <f t="shared" si="27"/>
        <v>GREGORY TEIPEL</v>
      </c>
      <c r="L542" s="1">
        <v>45815</v>
      </c>
      <c r="M542" s="1">
        <v>46029</v>
      </c>
      <c r="N542" s="2">
        <v>101.38</v>
      </c>
      <c r="O542">
        <f t="shared" si="26"/>
        <v>7</v>
      </c>
      <c r="P542" t="s">
        <v>1370</v>
      </c>
      <c r="Q542" s="4">
        <v>0.7</v>
      </c>
      <c r="R542" t="s">
        <v>83</v>
      </c>
      <c r="S542" t="s">
        <v>61</v>
      </c>
      <c r="T542" s="2">
        <v>70.97</v>
      </c>
      <c r="U542" t="s">
        <v>132</v>
      </c>
    </row>
    <row r="543" spans="1:21" x14ac:dyDescent="0.25">
      <c r="A543">
        <v>2029031423</v>
      </c>
      <c r="B543" t="s">
        <v>852</v>
      </c>
      <c r="C543" t="s">
        <v>853</v>
      </c>
      <c r="D543" t="str">
        <f t="shared" si="25"/>
        <v>RAGEN THIGPEN</v>
      </c>
      <c r="E543" t="s">
        <v>374</v>
      </c>
      <c r="F543" t="s">
        <v>126</v>
      </c>
      <c r="G543" t="s">
        <v>132</v>
      </c>
      <c r="H543">
        <v>8307933</v>
      </c>
      <c r="I543" t="s">
        <v>246</v>
      </c>
      <c r="J543" t="s">
        <v>247</v>
      </c>
      <c r="K543" t="str">
        <f t="shared" si="27"/>
        <v>GREGORY TEIPEL</v>
      </c>
      <c r="L543" s="1">
        <v>45815</v>
      </c>
      <c r="M543" s="1">
        <v>46029</v>
      </c>
      <c r="N543" s="2">
        <v>103.5</v>
      </c>
      <c r="O543">
        <f t="shared" si="26"/>
        <v>7</v>
      </c>
      <c r="P543" t="s">
        <v>1370</v>
      </c>
      <c r="Q543" s="4">
        <v>0.7</v>
      </c>
      <c r="R543" t="s">
        <v>83</v>
      </c>
      <c r="S543" t="s">
        <v>61</v>
      </c>
      <c r="T543" s="2">
        <v>72.45</v>
      </c>
      <c r="U543" t="s">
        <v>132</v>
      </c>
    </row>
    <row r="544" spans="1:21" x14ac:dyDescent="0.25">
      <c r="A544">
        <v>2028773700</v>
      </c>
      <c r="B544" t="s">
        <v>847</v>
      </c>
      <c r="C544" t="s">
        <v>82</v>
      </c>
      <c r="D544" t="str">
        <f t="shared" si="25"/>
        <v>RYAN COVERDELL</v>
      </c>
      <c r="E544" t="s">
        <v>389</v>
      </c>
      <c r="F544" t="s">
        <v>126</v>
      </c>
      <c r="G544" t="s">
        <v>375</v>
      </c>
      <c r="H544">
        <v>8307933</v>
      </c>
      <c r="I544" t="s">
        <v>246</v>
      </c>
      <c r="J544" t="s">
        <v>247</v>
      </c>
      <c r="K544" t="str">
        <f t="shared" si="27"/>
        <v>GREGORY TEIPEL</v>
      </c>
      <c r="L544" s="1">
        <v>45815</v>
      </c>
      <c r="M544" s="1">
        <v>46029</v>
      </c>
      <c r="N544" s="2">
        <v>33.25</v>
      </c>
      <c r="O544">
        <f t="shared" si="26"/>
        <v>7</v>
      </c>
      <c r="P544" t="s">
        <v>1370</v>
      </c>
      <c r="Q544" s="4">
        <v>0.9</v>
      </c>
      <c r="R544" t="s">
        <v>83</v>
      </c>
      <c r="S544" t="s">
        <v>61</v>
      </c>
      <c r="T544" s="2">
        <v>29.92</v>
      </c>
      <c r="U544" t="s">
        <v>375</v>
      </c>
    </row>
    <row r="545" spans="1:21" x14ac:dyDescent="0.25">
      <c r="A545">
        <v>2028982417</v>
      </c>
      <c r="B545" t="s">
        <v>1131</v>
      </c>
      <c r="C545" t="s">
        <v>1030</v>
      </c>
      <c r="D545" t="str">
        <f t="shared" si="25"/>
        <v>SUSAN BURGENER</v>
      </c>
      <c r="E545" t="s">
        <v>102</v>
      </c>
      <c r="F545" t="s">
        <v>126</v>
      </c>
      <c r="G545" t="s">
        <v>375</v>
      </c>
      <c r="H545">
        <v>8307933</v>
      </c>
      <c r="I545" t="s">
        <v>246</v>
      </c>
      <c r="J545" t="s">
        <v>247</v>
      </c>
      <c r="K545" t="str">
        <f t="shared" si="27"/>
        <v>GREGORY TEIPEL</v>
      </c>
      <c r="L545" s="1">
        <v>45815</v>
      </c>
      <c r="M545" s="1">
        <v>46029</v>
      </c>
      <c r="N545" s="2">
        <v>146.88</v>
      </c>
      <c r="O545">
        <f t="shared" si="26"/>
        <v>7</v>
      </c>
      <c r="P545" t="s">
        <v>1370</v>
      </c>
      <c r="Q545" s="4">
        <v>0.9</v>
      </c>
      <c r="R545" t="s">
        <v>83</v>
      </c>
      <c r="S545" t="s">
        <v>61</v>
      </c>
      <c r="T545" s="2">
        <v>132.19</v>
      </c>
      <c r="U545" t="s">
        <v>375</v>
      </c>
    </row>
    <row r="546" spans="1:21" x14ac:dyDescent="0.25">
      <c r="A546">
        <v>2029031425</v>
      </c>
      <c r="B546" t="s">
        <v>852</v>
      </c>
      <c r="C546" t="s">
        <v>853</v>
      </c>
      <c r="D546" t="str">
        <f t="shared" si="25"/>
        <v>RAGEN THIGPEN</v>
      </c>
      <c r="E546" t="s">
        <v>374</v>
      </c>
      <c r="F546" t="s">
        <v>126</v>
      </c>
      <c r="G546" t="s">
        <v>375</v>
      </c>
      <c r="H546">
        <v>8307933</v>
      </c>
      <c r="I546" t="s">
        <v>246</v>
      </c>
      <c r="J546" t="s">
        <v>247</v>
      </c>
      <c r="K546" t="str">
        <f t="shared" si="27"/>
        <v>GREGORY TEIPEL</v>
      </c>
      <c r="L546" s="1">
        <v>45815</v>
      </c>
      <c r="M546" s="1">
        <v>46029</v>
      </c>
      <c r="N546" s="2">
        <v>134.16999999999999</v>
      </c>
      <c r="O546">
        <f t="shared" si="26"/>
        <v>7</v>
      </c>
      <c r="P546" t="s">
        <v>1370</v>
      </c>
      <c r="Q546" s="4">
        <v>0.9</v>
      </c>
      <c r="R546" t="s">
        <v>83</v>
      </c>
      <c r="S546" t="s">
        <v>61</v>
      </c>
      <c r="T546" s="2">
        <v>120.75</v>
      </c>
      <c r="U546" t="s">
        <v>375</v>
      </c>
    </row>
    <row r="547" spans="1:21" x14ac:dyDescent="0.25">
      <c r="A547">
        <v>2029283859</v>
      </c>
      <c r="B547" t="s">
        <v>856</v>
      </c>
      <c r="C547" t="s">
        <v>687</v>
      </c>
      <c r="D547" t="str">
        <f t="shared" si="25"/>
        <v>BRETT BLIZZARD</v>
      </c>
      <c r="E547" t="s">
        <v>163</v>
      </c>
      <c r="F547" t="s">
        <v>126</v>
      </c>
      <c r="G547" t="s">
        <v>164</v>
      </c>
      <c r="H547">
        <v>5442438</v>
      </c>
      <c r="I547" t="s">
        <v>165</v>
      </c>
      <c r="J547" t="s">
        <v>166</v>
      </c>
      <c r="K547" t="str">
        <f t="shared" si="27"/>
        <v>Ronald Max</v>
      </c>
      <c r="L547" s="1">
        <v>45818</v>
      </c>
      <c r="M547" s="1">
        <v>46032</v>
      </c>
      <c r="N547" s="2">
        <v>24.61</v>
      </c>
      <c r="O547">
        <f t="shared" si="26"/>
        <v>7</v>
      </c>
      <c r="P547" t="s">
        <v>1370</v>
      </c>
      <c r="Q547" s="4">
        <v>0.7</v>
      </c>
      <c r="R547" t="s">
        <v>83</v>
      </c>
      <c r="S547" t="s">
        <v>61</v>
      </c>
      <c r="T547" s="2">
        <v>17.23</v>
      </c>
      <c r="U547" t="s">
        <v>127</v>
      </c>
    </row>
    <row r="548" spans="1:21" x14ac:dyDescent="0.25">
      <c r="A548">
        <v>2029283860</v>
      </c>
      <c r="B548" t="s">
        <v>856</v>
      </c>
      <c r="C548" t="s">
        <v>687</v>
      </c>
      <c r="D548" t="str">
        <f t="shared" si="25"/>
        <v>BRETT BLIZZARD</v>
      </c>
      <c r="E548" t="s">
        <v>163</v>
      </c>
      <c r="F548" t="s">
        <v>75</v>
      </c>
      <c r="G548" t="s">
        <v>80</v>
      </c>
      <c r="H548">
        <v>5442438</v>
      </c>
      <c r="I548" t="s">
        <v>165</v>
      </c>
      <c r="J548" t="s">
        <v>166</v>
      </c>
      <c r="K548" t="str">
        <f t="shared" si="27"/>
        <v>Ronald Max</v>
      </c>
      <c r="L548" s="1">
        <v>45818</v>
      </c>
      <c r="M548" s="1">
        <v>46032</v>
      </c>
      <c r="N548" s="2">
        <v>69.75</v>
      </c>
      <c r="O548">
        <f t="shared" si="26"/>
        <v>7</v>
      </c>
      <c r="P548" t="s">
        <v>1370</v>
      </c>
      <c r="Q548" s="4">
        <v>0.9</v>
      </c>
      <c r="R548" t="s">
        <v>83</v>
      </c>
      <c r="S548" t="s">
        <v>61</v>
      </c>
      <c r="T548" s="2">
        <v>62.78</v>
      </c>
      <c r="U548" t="s">
        <v>1372</v>
      </c>
    </row>
    <row r="549" spans="1:21" x14ac:dyDescent="0.25">
      <c r="A549">
        <v>2028670284</v>
      </c>
      <c r="B549" t="s">
        <v>736</v>
      </c>
      <c r="C549" t="s">
        <v>63</v>
      </c>
      <c r="D549" t="str">
        <f t="shared" si="25"/>
        <v>RICHARD ZAPP</v>
      </c>
      <c r="E549" t="s">
        <v>52</v>
      </c>
      <c r="F549" t="s">
        <v>53</v>
      </c>
      <c r="G549" t="s">
        <v>54</v>
      </c>
      <c r="H549">
        <v>20411454</v>
      </c>
      <c r="I549" t="s">
        <v>673</v>
      </c>
      <c r="J549" t="s">
        <v>517</v>
      </c>
      <c r="K549" t="s">
        <v>1377</v>
      </c>
      <c r="L549" s="1">
        <v>45786</v>
      </c>
      <c r="M549" s="1">
        <v>46031</v>
      </c>
      <c r="N549" s="2">
        <v>10.54</v>
      </c>
      <c r="O549">
        <f t="shared" si="26"/>
        <v>8</v>
      </c>
      <c r="P549" t="s">
        <v>1370</v>
      </c>
      <c r="Q549" s="4">
        <v>0.2</v>
      </c>
      <c r="R549" t="s">
        <v>83</v>
      </c>
      <c r="S549" t="s">
        <v>61</v>
      </c>
      <c r="T549" s="2">
        <v>10.54</v>
      </c>
      <c r="U549" t="s">
        <v>1376</v>
      </c>
    </row>
    <row r="550" spans="1:21" x14ac:dyDescent="0.25">
      <c r="A550">
        <v>2028878699</v>
      </c>
      <c r="B550" t="s">
        <v>549</v>
      </c>
      <c r="C550" t="s">
        <v>524</v>
      </c>
      <c r="D550" t="str">
        <f t="shared" si="25"/>
        <v>MARIA REYNA</v>
      </c>
      <c r="E550" t="s">
        <v>125</v>
      </c>
      <c r="F550" t="s">
        <v>86</v>
      </c>
      <c r="G550" t="s">
        <v>87</v>
      </c>
      <c r="H550">
        <v>21348299</v>
      </c>
      <c r="I550" t="s">
        <v>98</v>
      </c>
      <c r="J550" t="s">
        <v>99</v>
      </c>
      <c r="K550" t="str">
        <f t="shared" ref="K550:K572" si="28">CONCATENATE(J550," ",I550)</f>
        <v>BARRY BRENNER</v>
      </c>
      <c r="L550" s="1">
        <v>45788</v>
      </c>
      <c r="M550" s="1">
        <v>46033</v>
      </c>
      <c r="N550" s="2">
        <v>37.5</v>
      </c>
      <c r="O550">
        <f t="shared" si="26"/>
        <v>8</v>
      </c>
      <c r="P550" t="s">
        <v>1370</v>
      </c>
      <c r="Q550" s="3">
        <v>0.375</v>
      </c>
      <c r="R550" t="s">
        <v>83</v>
      </c>
      <c r="S550" t="s">
        <v>61</v>
      </c>
      <c r="T550" s="2">
        <v>14.06</v>
      </c>
      <c r="U550" t="s">
        <v>87</v>
      </c>
    </row>
    <row r="551" spans="1:21" x14ac:dyDescent="0.25">
      <c r="A551">
        <v>2028819908</v>
      </c>
      <c r="B551" t="s">
        <v>545</v>
      </c>
      <c r="C551" t="s">
        <v>546</v>
      </c>
      <c r="D551" t="str">
        <f t="shared" si="25"/>
        <v>JEREMY ESTES</v>
      </c>
      <c r="E551" t="s">
        <v>52</v>
      </c>
      <c r="F551" t="s">
        <v>126</v>
      </c>
      <c r="G551" t="s">
        <v>127</v>
      </c>
      <c r="H551">
        <v>17425766</v>
      </c>
      <c r="I551" t="s">
        <v>88</v>
      </c>
      <c r="J551" t="s">
        <v>89</v>
      </c>
      <c r="K551" t="str">
        <f t="shared" si="28"/>
        <v>CAROL FOLEY</v>
      </c>
      <c r="L551" s="1">
        <v>45785</v>
      </c>
      <c r="M551" s="1">
        <v>46030</v>
      </c>
      <c r="N551" s="2">
        <v>25.73</v>
      </c>
      <c r="O551">
        <f t="shared" si="26"/>
        <v>8</v>
      </c>
      <c r="P551" t="s">
        <v>1370</v>
      </c>
      <c r="Q551" s="4">
        <v>0.7</v>
      </c>
      <c r="R551" t="s">
        <v>83</v>
      </c>
      <c r="S551" t="s">
        <v>61</v>
      </c>
      <c r="T551" s="2">
        <v>18.010000000000002</v>
      </c>
      <c r="U551" t="s">
        <v>127</v>
      </c>
    </row>
    <row r="552" spans="1:21" x14ac:dyDescent="0.25">
      <c r="A552">
        <v>2028819907</v>
      </c>
      <c r="B552" t="s">
        <v>545</v>
      </c>
      <c r="C552" t="s">
        <v>546</v>
      </c>
      <c r="D552" t="str">
        <f t="shared" si="25"/>
        <v>JEREMY ESTES</v>
      </c>
      <c r="E552" t="s">
        <v>52</v>
      </c>
      <c r="F552" t="s">
        <v>365</v>
      </c>
      <c r="G552" t="s">
        <v>366</v>
      </c>
      <c r="H552">
        <v>17425766</v>
      </c>
      <c r="I552" t="s">
        <v>88</v>
      </c>
      <c r="J552" t="s">
        <v>89</v>
      </c>
      <c r="K552" t="str">
        <f t="shared" si="28"/>
        <v>CAROL FOLEY</v>
      </c>
      <c r="L552" s="1">
        <v>45785</v>
      </c>
      <c r="M552" s="1">
        <v>46030</v>
      </c>
      <c r="N552" s="2">
        <v>21.97</v>
      </c>
      <c r="O552">
        <f t="shared" si="26"/>
        <v>8</v>
      </c>
      <c r="P552" t="s">
        <v>1370</v>
      </c>
      <c r="Q552" s="4">
        <v>0.38</v>
      </c>
      <c r="R552" t="s">
        <v>83</v>
      </c>
      <c r="S552" t="s">
        <v>61</v>
      </c>
      <c r="T552" s="2">
        <v>8.35</v>
      </c>
      <c r="U552" t="s">
        <v>366</v>
      </c>
    </row>
    <row r="553" spans="1:21" x14ac:dyDescent="0.25">
      <c r="A553">
        <v>2028819906</v>
      </c>
      <c r="B553" t="s">
        <v>545</v>
      </c>
      <c r="C553" t="s">
        <v>546</v>
      </c>
      <c r="D553" t="str">
        <f t="shared" si="25"/>
        <v>JEREMY ESTES</v>
      </c>
      <c r="E553" t="s">
        <v>52</v>
      </c>
      <c r="F553" t="s">
        <v>86</v>
      </c>
      <c r="G553" t="s">
        <v>87</v>
      </c>
      <c r="H553">
        <v>17425766</v>
      </c>
      <c r="I553" t="s">
        <v>88</v>
      </c>
      <c r="J553" t="s">
        <v>89</v>
      </c>
      <c r="K553" t="str">
        <f t="shared" si="28"/>
        <v>CAROL FOLEY</v>
      </c>
      <c r="L553" s="1">
        <v>45785</v>
      </c>
      <c r="M553" s="1">
        <v>46030</v>
      </c>
      <c r="N553" s="2">
        <v>32.979999999999997</v>
      </c>
      <c r="O553">
        <f t="shared" si="26"/>
        <v>8</v>
      </c>
      <c r="P553" t="s">
        <v>1370</v>
      </c>
      <c r="Q553" s="3">
        <v>0.375</v>
      </c>
      <c r="R553" t="s">
        <v>83</v>
      </c>
      <c r="S553" t="s">
        <v>61</v>
      </c>
      <c r="T553" s="2">
        <v>12.37</v>
      </c>
      <c r="U553" t="s">
        <v>87</v>
      </c>
    </row>
    <row r="554" spans="1:21" x14ac:dyDescent="0.25">
      <c r="A554">
        <v>2028818487</v>
      </c>
      <c r="B554" t="s">
        <v>1130</v>
      </c>
      <c r="C554" t="s">
        <v>1030</v>
      </c>
      <c r="D554" t="str">
        <f t="shared" si="25"/>
        <v>SUSAN HODGSON</v>
      </c>
      <c r="E554" t="s">
        <v>102</v>
      </c>
      <c r="F554" t="s">
        <v>126</v>
      </c>
      <c r="G554" t="s">
        <v>132</v>
      </c>
      <c r="H554" t="s">
        <v>1389</v>
      </c>
      <c r="I554" t="s">
        <v>257</v>
      </c>
      <c r="J554" t="s">
        <v>426</v>
      </c>
      <c r="K554" t="str">
        <f t="shared" si="28"/>
        <v>Chad Yale</v>
      </c>
      <c r="L554" s="1">
        <v>45785</v>
      </c>
      <c r="M554" s="1">
        <v>46030</v>
      </c>
      <c r="N554" s="2">
        <v>24.65</v>
      </c>
      <c r="O554">
        <f t="shared" si="26"/>
        <v>8</v>
      </c>
      <c r="P554" t="s">
        <v>1370</v>
      </c>
      <c r="Q554" s="4">
        <v>0.7</v>
      </c>
      <c r="R554" t="s">
        <v>83</v>
      </c>
      <c r="S554" t="s">
        <v>61</v>
      </c>
      <c r="T554" s="2">
        <v>17.260000000000002</v>
      </c>
      <c r="U554" t="s">
        <v>132</v>
      </c>
    </row>
    <row r="555" spans="1:21" x14ac:dyDescent="0.25">
      <c r="A555">
        <v>2028368523</v>
      </c>
      <c r="B555" t="s">
        <v>1125</v>
      </c>
      <c r="C555" t="s">
        <v>487</v>
      </c>
      <c r="D555" t="str">
        <f t="shared" si="25"/>
        <v>MARY REGAN</v>
      </c>
      <c r="E555" t="s">
        <v>97</v>
      </c>
      <c r="F555" t="s">
        <v>126</v>
      </c>
      <c r="G555" t="s">
        <v>132</v>
      </c>
      <c r="H555">
        <v>21435997</v>
      </c>
      <c r="I555" t="s">
        <v>224</v>
      </c>
      <c r="J555" t="s">
        <v>225</v>
      </c>
      <c r="K555" t="str">
        <f t="shared" si="28"/>
        <v>Christopher Brousseau</v>
      </c>
      <c r="L555" s="1">
        <v>45784</v>
      </c>
      <c r="M555" s="1">
        <v>46029</v>
      </c>
      <c r="N555" s="2">
        <v>48.76</v>
      </c>
      <c r="O555">
        <f t="shared" si="26"/>
        <v>8</v>
      </c>
      <c r="P555" t="s">
        <v>1370</v>
      </c>
      <c r="Q555" s="4">
        <v>0.7</v>
      </c>
      <c r="R555" t="s">
        <v>83</v>
      </c>
      <c r="S555" t="s">
        <v>61</v>
      </c>
      <c r="T555" s="2">
        <v>34.130000000000003</v>
      </c>
      <c r="U555" t="s">
        <v>132</v>
      </c>
    </row>
    <row r="556" spans="1:21" x14ac:dyDescent="0.25">
      <c r="A556">
        <v>2027202668</v>
      </c>
      <c r="B556" t="s">
        <v>1312</v>
      </c>
      <c r="C556" t="s">
        <v>373</v>
      </c>
      <c r="D556" t="str">
        <f t="shared" si="25"/>
        <v>ELIZABETH REESE</v>
      </c>
      <c r="E556" t="s">
        <v>52</v>
      </c>
      <c r="F556" t="s">
        <v>169</v>
      </c>
      <c r="G556" t="s">
        <v>170</v>
      </c>
      <c r="H556" t="s">
        <v>1390</v>
      </c>
      <c r="I556" t="s">
        <v>183</v>
      </c>
      <c r="J556" t="s">
        <v>184</v>
      </c>
      <c r="K556" t="str">
        <f t="shared" si="28"/>
        <v>DEBORAH INSKIPT</v>
      </c>
      <c r="L556" s="1">
        <v>45778</v>
      </c>
      <c r="M556" s="1">
        <v>46023</v>
      </c>
      <c r="N556" s="2">
        <v>56.88</v>
      </c>
      <c r="O556">
        <f t="shared" si="26"/>
        <v>8</v>
      </c>
      <c r="P556" t="s">
        <v>1370</v>
      </c>
      <c r="Q556" s="4">
        <v>0.47</v>
      </c>
      <c r="R556" t="s">
        <v>83</v>
      </c>
      <c r="S556" t="s">
        <v>61</v>
      </c>
      <c r="T556" s="2">
        <v>26.73</v>
      </c>
      <c r="U556" t="s">
        <v>170</v>
      </c>
    </row>
    <row r="557" spans="1:21" x14ac:dyDescent="0.25">
      <c r="A557">
        <v>2028248980</v>
      </c>
      <c r="B557" t="s">
        <v>844</v>
      </c>
      <c r="C557" t="s">
        <v>144</v>
      </c>
      <c r="D557" t="str">
        <f t="shared" si="25"/>
        <v>STEVEN SUDTELGTE</v>
      </c>
      <c r="E557" t="s">
        <v>135</v>
      </c>
      <c r="F557" t="s">
        <v>75</v>
      </c>
      <c r="G557" t="s">
        <v>76</v>
      </c>
      <c r="H557">
        <v>8307933</v>
      </c>
      <c r="I557" t="s">
        <v>246</v>
      </c>
      <c r="J557" t="s">
        <v>247</v>
      </c>
      <c r="K557" t="str">
        <f t="shared" si="28"/>
        <v>GREGORY TEIPEL</v>
      </c>
      <c r="L557" s="1">
        <v>45784</v>
      </c>
      <c r="M557" s="1">
        <v>46029</v>
      </c>
      <c r="N557" s="2">
        <v>316.83</v>
      </c>
      <c r="O557">
        <f t="shared" si="26"/>
        <v>8</v>
      </c>
      <c r="P557" t="s">
        <v>1370</v>
      </c>
      <c r="Q557" s="4">
        <v>0.75</v>
      </c>
      <c r="R557" t="s">
        <v>83</v>
      </c>
      <c r="S557" t="s">
        <v>61</v>
      </c>
      <c r="T557" s="2">
        <v>237.62</v>
      </c>
      <c r="U557" t="s">
        <v>1371</v>
      </c>
    </row>
    <row r="558" spans="1:21" x14ac:dyDescent="0.25">
      <c r="A558">
        <v>2028412598</v>
      </c>
      <c r="B558" t="s">
        <v>845</v>
      </c>
      <c r="C558" t="s">
        <v>260</v>
      </c>
      <c r="D558" t="str">
        <f t="shared" si="25"/>
        <v>WILLIAM JUNGE</v>
      </c>
      <c r="E558" t="s">
        <v>102</v>
      </c>
      <c r="F558" t="s">
        <v>75</v>
      </c>
      <c r="G558" t="s">
        <v>76</v>
      </c>
      <c r="H558">
        <v>8307933</v>
      </c>
      <c r="I558" t="s">
        <v>246</v>
      </c>
      <c r="J558" t="s">
        <v>247</v>
      </c>
      <c r="K558" t="str">
        <f t="shared" si="28"/>
        <v>GREGORY TEIPEL</v>
      </c>
      <c r="L558" s="1">
        <v>45784</v>
      </c>
      <c r="M558" s="1">
        <v>46029</v>
      </c>
      <c r="N558" s="2">
        <v>125.83</v>
      </c>
      <c r="O558">
        <f t="shared" si="26"/>
        <v>8</v>
      </c>
      <c r="P558" t="s">
        <v>1370</v>
      </c>
      <c r="Q558" s="4">
        <v>0.75</v>
      </c>
      <c r="R558" t="s">
        <v>83</v>
      </c>
      <c r="S558" t="s">
        <v>61</v>
      </c>
      <c r="T558" s="2">
        <v>94.37</v>
      </c>
      <c r="U558" t="s">
        <v>1371</v>
      </c>
    </row>
    <row r="559" spans="1:21" x14ac:dyDescent="0.25">
      <c r="A559">
        <v>2028549155</v>
      </c>
      <c r="B559" t="s">
        <v>841</v>
      </c>
      <c r="C559" t="s">
        <v>537</v>
      </c>
      <c r="D559" t="str">
        <f t="shared" si="25"/>
        <v>ALEXIS OBERG</v>
      </c>
      <c r="E559" t="s">
        <v>389</v>
      </c>
      <c r="F559" t="s">
        <v>75</v>
      </c>
      <c r="G559" t="s">
        <v>76</v>
      </c>
      <c r="H559">
        <v>8307933</v>
      </c>
      <c r="I559" t="s">
        <v>246</v>
      </c>
      <c r="J559" t="s">
        <v>247</v>
      </c>
      <c r="K559" t="str">
        <f t="shared" si="28"/>
        <v>GREGORY TEIPEL</v>
      </c>
      <c r="L559" s="1">
        <v>45784</v>
      </c>
      <c r="M559" s="1">
        <v>46029</v>
      </c>
      <c r="N559" s="2">
        <v>31.75</v>
      </c>
      <c r="O559">
        <f t="shared" si="26"/>
        <v>8</v>
      </c>
      <c r="P559" t="s">
        <v>1370</v>
      </c>
      <c r="Q559" s="4">
        <v>0.75</v>
      </c>
      <c r="R559" t="s">
        <v>83</v>
      </c>
      <c r="S559" t="s">
        <v>61</v>
      </c>
      <c r="T559" s="2">
        <v>23.81</v>
      </c>
      <c r="U559" t="s">
        <v>1371</v>
      </c>
    </row>
    <row r="560" spans="1:21" x14ac:dyDescent="0.25">
      <c r="A560">
        <v>2028692689</v>
      </c>
      <c r="B560" t="s">
        <v>846</v>
      </c>
      <c r="C560" t="s">
        <v>142</v>
      </c>
      <c r="D560" t="str">
        <f t="shared" si="25"/>
        <v>BRIAN PIAZZA</v>
      </c>
      <c r="E560" t="s">
        <v>389</v>
      </c>
      <c r="F560" t="s">
        <v>75</v>
      </c>
      <c r="G560" t="s">
        <v>76</v>
      </c>
      <c r="H560">
        <v>8307933</v>
      </c>
      <c r="I560" t="s">
        <v>246</v>
      </c>
      <c r="J560" t="s">
        <v>247</v>
      </c>
      <c r="K560" t="str">
        <f t="shared" si="28"/>
        <v>GREGORY TEIPEL</v>
      </c>
      <c r="L560" s="1">
        <v>45784</v>
      </c>
      <c r="M560" s="1">
        <v>46029</v>
      </c>
      <c r="N560" s="2">
        <v>72.38</v>
      </c>
      <c r="O560">
        <f t="shared" si="26"/>
        <v>8</v>
      </c>
      <c r="P560" t="s">
        <v>1370</v>
      </c>
      <c r="Q560" s="4">
        <v>0.75</v>
      </c>
      <c r="R560" t="s">
        <v>83</v>
      </c>
      <c r="S560" t="s">
        <v>61</v>
      </c>
      <c r="T560" s="2">
        <v>54.28</v>
      </c>
      <c r="U560" t="s">
        <v>1371</v>
      </c>
    </row>
    <row r="561" spans="1:51" x14ac:dyDescent="0.25">
      <c r="A561">
        <v>2028722200</v>
      </c>
      <c r="B561" t="s">
        <v>701</v>
      </c>
      <c r="C561" t="s">
        <v>702</v>
      </c>
      <c r="D561" t="str">
        <f t="shared" si="25"/>
        <v>SUSHILABEN PATEL</v>
      </c>
      <c r="E561" t="s">
        <v>102</v>
      </c>
      <c r="F561" t="s">
        <v>697</v>
      </c>
      <c r="G561" t="s">
        <v>703</v>
      </c>
      <c r="H561">
        <v>8307933</v>
      </c>
      <c r="I561" t="s">
        <v>246</v>
      </c>
      <c r="J561" t="s">
        <v>247</v>
      </c>
      <c r="K561" t="str">
        <f t="shared" si="28"/>
        <v>GREGORY TEIPEL</v>
      </c>
      <c r="L561" s="1">
        <v>45779</v>
      </c>
      <c r="M561" s="1">
        <v>46024</v>
      </c>
      <c r="N561" s="2">
        <v>93.29</v>
      </c>
      <c r="O561">
        <f t="shared" si="26"/>
        <v>8</v>
      </c>
      <c r="P561" t="s">
        <v>1370</v>
      </c>
      <c r="Q561" s="4">
        <v>1.3</v>
      </c>
      <c r="R561" t="s">
        <v>83</v>
      </c>
      <c r="S561" t="s">
        <v>61</v>
      </c>
      <c r="T561" s="2">
        <v>121.28</v>
      </c>
      <c r="U561" t="s">
        <v>1383</v>
      </c>
    </row>
    <row r="562" spans="1:51" x14ac:dyDescent="0.25">
      <c r="A562">
        <v>2028248979</v>
      </c>
      <c r="B562" t="s">
        <v>844</v>
      </c>
      <c r="C562" t="s">
        <v>144</v>
      </c>
      <c r="D562" t="str">
        <f t="shared" si="25"/>
        <v>STEVEN SUDTELGTE</v>
      </c>
      <c r="E562" t="s">
        <v>135</v>
      </c>
      <c r="F562" t="s">
        <v>126</v>
      </c>
      <c r="G562" t="s">
        <v>132</v>
      </c>
      <c r="H562">
        <v>8307933</v>
      </c>
      <c r="I562" t="s">
        <v>246</v>
      </c>
      <c r="J562" t="s">
        <v>247</v>
      </c>
      <c r="K562" t="str">
        <f t="shared" si="28"/>
        <v>GREGORY TEIPEL</v>
      </c>
      <c r="L562" s="1">
        <v>45784</v>
      </c>
      <c r="M562" s="1">
        <v>46029</v>
      </c>
      <c r="N562" s="2">
        <v>120.5</v>
      </c>
      <c r="O562">
        <f t="shared" si="26"/>
        <v>8</v>
      </c>
      <c r="P562" t="s">
        <v>1370</v>
      </c>
      <c r="Q562" s="4">
        <v>0.7</v>
      </c>
      <c r="R562" t="s">
        <v>83</v>
      </c>
      <c r="S562" t="s">
        <v>61</v>
      </c>
      <c r="T562" s="2">
        <v>84.35</v>
      </c>
      <c r="U562" t="s">
        <v>132</v>
      </c>
    </row>
    <row r="563" spans="1:51" x14ac:dyDescent="0.25">
      <c r="A563">
        <v>2028412597</v>
      </c>
      <c r="B563" t="s">
        <v>845</v>
      </c>
      <c r="C563" t="s">
        <v>260</v>
      </c>
      <c r="D563" t="str">
        <f t="shared" si="25"/>
        <v>WILLIAM JUNGE</v>
      </c>
      <c r="E563" t="s">
        <v>102</v>
      </c>
      <c r="F563" t="s">
        <v>126</v>
      </c>
      <c r="G563" t="s">
        <v>132</v>
      </c>
      <c r="H563">
        <v>8307933</v>
      </c>
      <c r="I563" t="s">
        <v>246</v>
      </c>
      <c r="J563" t="s">
        <v>247</v>
      </c>
      <c r="K563" t="str">
        <f t="shared" si="28"/>
        <v>GREGORY TEIPEL</v>
      </c>
      <c r="L563" s="1">
        <v>45784</v>
      </c>
      <c r="M563" s="1">
        <v>46029</v>
      </c>
      <c r="N563" s="2">
        <v>80.14</v>
      </c>
      <c r="O563">
        <f t="shared" si="26"/>
        <v>8</v>
      </c>
      <c r="P563" t="s">
        <v>1370</v>
      </c>
      <c r="Q563" s="4">
        <v>0.7</v>
      </c>
      <c r="R563" t="s">
        <v>83</v>
      </c>
      <c r="S563" t="s">
        <v>61</v>
      </c>
      <c r="T563" s="2">
        <v>56.1</v>
      </c>
      <c r="U563" t="s">
        <v>132</v>
      </c>
    </row>
    <row r="564" spans="1:51" x14ac:dyDescent="0.25">
      <c r="A564">
        <v>2028436941</v>
      </c>
      <c r="B564" t="s">
        <v>670</v>
      </c>
      <c r="C564" t="s">
        <v>1126</v>
      </c>
      <c r="D564" t="str">
        <f t="shared" si="25"/>
        <v>CASEY JORDAN</v>
      </c>
      <c r="E564" t="s">
        <v>620</v>
      </c>
      <c r="F564" t="s">
        <v>126</v>
      </c>
      <c r="G564" t="s">
        <v>132</v>
      </c>
      <c r="H564">
        <v>8307933</v>
      </c>
      <c r="I564" t="s">
        <v>246</v>
      </c>
      <c r="J564" t="s">
        <v>247</v>
      </c>
      <c r="K564" t="str">
        <f t="shared" si="28"/>
        <v>GREGORY TEIPEL</v>
      </c>
      <c r="L564" s="1">
        <v>45784</v>
      </c>
      <c r="M564" s="1">
        <v>46029</v>
      </c>
      <c r="N564" s="2">
        <v>77.12</v>
      </c>
      <c r="O564">
        <f t="shared" si="26"/>
        <v>8</v>
      </c>
      <c r="P564" t="s">
        <v>1370</v>
      </c>
      <c r="Q564" s="4">
        <v>0.7</v>
      </c>
      <c r="R564" t="s">
        <v>83</v>
      </c>
      <c r="S564" t="s">
        <v>61</v>
      </c>
      <c r="T564" s="2">
        <v>53.98</v>
      </c>
      <c r="U564" t="s">
        <v>132</v>
      </c>
    </row>
    <row r="565" spans="1:51" s="5" customFormat="1" x14ac:dyDescent="0.25">
      <c r="A565">
        <v>2028549154</v>
      </c>
      <c r="B565" t="s">
        <v>841</v>
      </c>
      <c r="C565" t="s">
        <v>537</v>
      </c>
      <c r="D565" t="str">
        <f t="shared" si="25"/>
        <v>ALEXIS OBERG</v>
      </c>
      <c r="E565" t="s">
        <v>389</v>
      </c>
      <c r="F565" t="s">
        <v>126</v>
      </c>
      <c r="G565" t="s">
        <v>375</v>
      </c>
      <c r="H565">
        <v>8307933</v>
      </c>
      <c r="I565" t="s">
        <v>246</v>
      </c>
      <c r="J565" t="s">
        <v>247</v>
      </c>
      <c r="K565" t="str">
        <f t="shared" si="28"/>
        <v>GREGORY TEIPEL</v>
      </c>
      <c r="L565" s="1">
        <v>45784</v>
      </c>
      <c r="M565" s="1">
        <v>46029</v>
      </c>
      <c r="N565" s="2">
        <v>26.25</v>
      </c>
      <c r="O565">
        <f t="shared" si="26"/>
        <v>8</v>
      </c>
      <c r="P565" t="s">
        <v>1370</v>
      </c>
      <c r="Q565" s="4">
        <v>0.9</v>
      </c>
      <c r="R565" t="s">
        <v>83</v>
      </c>
      <c r="S565" t="s">
        <v>61</v>
      </c>
      <c r="T565" s="2">
        <v>23.62</v>
      </c>
      <c r="U565" t="s">
        <v>375</v>
      </c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</row>
    <row r="566" spans="1:51" s="5" customFormat="1" x14ac:dyDescent="0.25">
      <c r="A566">
        <v>2028572869</v>
      </c>
      <c r="B566" t="s">
        <v>390</v>
      </c>
      <c r="C566" t="s">
        <v>229</v>
      </c>
      <c r="D566" t="str">
        <f t="shared" si="25"/>
        <v>AARON OWENS</v>
      </c>
      <c r="E566" t="s">
        <v>509</v>
      </c>
      <c r="F566" t="s">
        <v>126</v>
      </c>
      <c r="G566" t="s">
        <v>132</v>
      </c>
      <c r="H566">
        <v>1706194</v>
      </c>
      <c r="I566" t="s">
        <v>396</v>
      </c>
      <c r="J566" t="s">
        <v>397</v>
      </c>
      <c r="K566" t="str">
        <f t="shared" si="28"/>
        <v>MATTHEW DAUGHERTY</v>
      </c>
      <c r="L566" s="1">
        <v>45778</v>
      </c>
      <c r="M566" s="1">
        <v>46023</v>
      </c>
      <c r="N566" s="2">
        <v>-46.17</v>
      </c>
      <c r="O566">
        <f t="shared" si="26"/>
        <v>8</v>
      </c>
      <c r="P566" t="s">
        <v>1370</v>
      </c>
      <c r="Q566" s="4">
        <v>0.7</v>
      </c>
      <c r="R566" t="s">
        <v>83</v>
      </c>
      <c r="S566" t="s">
        <v>61</v>
      </c>
      <c r="T566" s="2">
        <v>-32.32</v>
      </c>
      <c r="U566" t="s">
        <v>132</v>
      </c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</row>
    <row r="567" spans="1:51" s="5" customFormat="1" x14ac:dyDescent="0.25">
      <c r="A567">
        <v>2028349433</v>
      </c>
      <c r="B567" t="s">
        <v>77</v>
      </c>
      <c r="C567" t="s">
        <v>78</v>
      </c>
      <c r="D567" t="str">
        <f t="shared" si="25"/>
        <v>IBRAHIM AWES</v>
      </c>
      <c r="E567" t="s">
        <v>79</v>
      </c>
      <c r="F567" t="s">
        <v>75</v>
      </c>
      <c r="G567" t="s">
        <v>80</v>
      </c>
      <c r="H567">
        <v>8977234</v>
      </c>
      <c r="I567" t="s">
        <v>81</v>
      </c>
      <c r="J567" t="s">
        <v>82</v>
      </c>
      <c r="K567" t="str">
        <f t="shared" si="28"/>
        <v>RYAN CALTAGIRONE</v>
      </c>
      <c r="L567" s="1">
        <v>45778</v>
      </c>
      <c r="M567" s="1">
        <v>46023</v>
      </c>
      <c r="N567" s="2">
        <v>-54.63</v>
      </c>
      <c r="O567">
        <f t="shared" si="26"/>
        <v>8</v>
      </c>
      <c r="P567" t="s">
        <v>1370</v>
      </c>
      <c r="Q567" s="4">
        <v>0.9</v>
      </c>
      <c r="R567" t="s">
        <v>83</v>
      </c>
      <c r="S567" t="s">
        <v>61</v>
      </c>
      <c r="T567" s="2">
        <v>-49.17</v>
      </c>
      <c r="U567" t="s">
        <v>1372</v>
      </c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</row>
    <row r="568" spans="1:51" s="5" customFormat="1" x14ac:dyDescent="0.25">
      <c r="A568">
        <v>2028349434</v>
      </c>
      <c r="B568" t="s">
        <v>77</v>
      </c>
      <c r="C568" t="s">
        <v>78</v>
      </c>
      <c r="D568" t="str">
        <f t="shared" si="25"/>
        <v>IBRAHIM AWES</v>
      </c>
      <c r="E568" t="s">
        <v>79</v>
      </c>
      <c r="F568" t="s">
        <v>126</v>
      </c>
      <c r="G568" t="s">
        <v>132</v>
      </c>
      <c r="H568">
        <v>8977234</v>
      </c>
      <c r="I568" t="s">
        <v>81</v>
      </c>
      <c r="J568" t="s">
        <v>82</v>
      </c>
      <c r="K568" t="str">
        <f t="shared" si="28"/>
        <v>RYAN CALTAGIRONE</v>
      </c>
      <c r="L568" s="1">
        <v>45778</v>
      </c>
      <c r="M568" s="1">
        <v>46023</v>
      </c>
      <c r="N568" s="2">
        <v>-43.8</v>
      </c>
      <c r="O568">
        <f t="shared" si="26"/>
        <v>8</v>
      </c>
      <c r="P568" t="s">
        <v>1370</v>
      </c>
      <c r="Q568" s="4">
        <v>0.7</v>
      </c>
      <c r="R568" t="s">
        <v>83</v>
      </c>
      <c r="S568" t="s">
        <v>61</v>
      </c>
      <c r="T568" s="2">
        <v>-30.66</v>
      </c>
      <c r="U568" t="s">
        <v>132</v>
      </c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</row>
    <row r="569" spans="1:51" s="5" customFormat="1" x14ac:dyDescent="0.25">
      <c r="A569">
        <v>2028349435</v>
      </c>
      <c r="B569" t="s">
        <v>77</v>
      </c>
      <c r="C569" t="s">
        <v>78</v>
      </c>
      <c r="D569" t="str">
        <f t="shared" si="25"/>
        <v>IBRAHIM AWES</v>
      </c>
      <c r="E569" t="s">
        <v>79</v>
      </c>
      <c r="F569" t="s">
        <v>86</v>
      </c>
      <c r="G569" t="s">
        <v>87</v>
      </c>
      <c r="H569">
        <v>8977234</v>
      </c>
      <c r="I569" t="s">
        <v>81</v>
      </c>
      <c r="J569" t="s">
        <v>82</v>
      </c>
      <c r="K569" t="str">
        <f t="shared" si="28"/>
        <v>RYAN CALTAGIRONE</v>
      </c>
      <c r="L569" s="1">
        <v>45778</v>
      </c>
      <c r="M569" s="1">
        <v>46023</v>
      </c>
      <c r="N569" s="2">
        <v>-18.62</v>
      </c>
      <c r="O569">
        <f t="shared" si="26"/>
        <v>8</v>
      </c>
      <c r="P569" t="s">
        <v>1370</v>
      </c>
      <c r="Q569" s="3">
        <v>0.375</v>
      </c>
      <c r="R569" t="s">
        <v>83</v>
      </c>
      <c r="S569" t="s">
        <v>61</v>
      </c>
      <c r="T569" s="2">
        <v>-6.98</v>
      </c>
      <c r="U569" t="s">
        <v>87</v>
      </c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</row>
    <row r="570" spans="1:51" s="5" customFormat="1" x14ac:dyDescent="0.25">
      <c r="A570">
        <v>2028683415</v>
      </c>
      <c r="B570" t="s">
        <v>538</v>
      </c>
      <c r="C570" t="s">
        <v>538</v>
      </c>
      <c r="D570" t="str">
        <f t="shared" si="25"/>
        <v>MANSOUR MANSOUR</v>
      </c>
      <c r="E570" t="s">
        <v>102</v>
      </c>
      <c r="F570" t="s">
        <v>126</v>
      </c>
      <c r="G570" t="s">
        <v>132</v>
      </c>
      <c r="H570">
        <v>19396223</v>
      </c>
      <c r="I570" t="s">
        <v>213</v>
      </c>
      <c r="J570" t="s">
        <v>214</v>
      </c>
      <c r="K570" t="str">
        <f t="shared" si="28"/>
        <v>Saadia Abdul</v>
      </c>
      <c r="L570" s="1">
        <v>45778</v>
      </c>
      <c r="M570" s="1">
        <v>46023</v>
      </c>
      <c r="N570" s="2">
        <v>56.62</v>
      </c>
      <c r="O570">
        <f t="shared" si="26"/>
        <v>8</v>
      </c>
      <c r="P570" t="s">
        <v>1370</v>
      </c>
      <c r="Q570" s="4">
        <v>0.7</v>
      </c>
      <c r="R570" t="s">
        <v>83</v>
      </c>
      <c r="S570" t="s">
        <v>61</v>
      </c>
      <c r="T570" s="2">
        <v>39.630000000000003</v>
      </c>
      <c r="U570" t="s">
        <v>132</v>
      </c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</row>
    <row r="571" spans="1:51" s="5" customFormat="1" x14ac:dyDescent="0.25">
      <c r="A571">
        <v>2028683414</v>
      </c>
      <c r="B571" t="s">
        <v>538</v>
      </c>
      <c r="C571" t="s">
        <v>538</v>
      </c>
      <c r="D571" t="str">
        <f t="shared" si="25"/>
        <v>MANSOUR MANSOUR</v>
      </c>
      <c r="E571" t="s">
        <v>102</v>
      </c>
      <c r="F571" t="s">
        <v>86</v>
      </c>
      <c r="G571" t="s">
        <v>87</v>
      </c>
      <c r="H571">
        <v>19396223</v>
      </c>
      <c r="I571" t="s">
        <v>213</v>
      </c>
      <c r="J571" t="s">
        <v>214</v>
      </c>
      <c r="K571" t="str">
        <f t="shared" si="28"/>
        <v>Saadia Abdul</v>
      </c>
      <c r="L571" s="1">
        <v>45778</v>
      </c>
      <c r="M571" s="1">
        <v>46023</v>
      </c>
      <c r="N571" s="2">
        <v>176.99</v>
      </c>
      <c r="O571">
        <f t="shared" si="26"/>
        <v>8</v>
      </c>
      <c r="P571" t="s">
        <v>1370</v>
      </c>
      <c r="Q571" s="3">
        <v>0.375</v>
      </c>
      <c r="R571" t="s">
        <v>83</v>
      </c>
      <c r="S571" t="s">
        <v>61</v>
      </c>
      <c r="T571" s="2">
        <v>66.37</v>
      </c>
      <c r="U571" t="s">
        <v>87</v>
      </c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</row>
    <row r="572" spans="1:51" s="5" customFormat="1" x14ac:dyDescent="0.25">
      <c r="A572">
        <v>2028801870</v>
      </c>
      <c r="B572" t="s">
        <v>543</v>
      </c>
      <c r="C572" t="s">
        <v>544</v>
      </c>
      <c r="D572" t="str">
        <f t="shared" si="25"/>
        <v>JUSTIN HAMILTON</v>
      </c>
      <c r="E572" t="s">
        <v>102</v>
      </c>
      <c r="F572" t="s">
        <v>86</v>
      </c>
      <c r="G572" t="s">
        <v>87</v>
      </c>
      <c r="H572">
        <v>19396223</v>
      </c>
      <c r="I572" t="s">
        <v>213</v>
      </c>
      <c r="J572" t="s">
        <v>214</v>
      </c>
      <c r="K572" t="str">
        <f t="shared" si="28"/>
        <v>Saadia Abdul</v>
      </c>
      <c r="L572" s="1">
        <v>45784</v>
      </c>
      <c r="M572" s="1">
        <v>46029</v>
      </c>
      <c r="N572" s="2">
        <v>38.44</v>
      </c>
      <c r="O572">
        <f t="shared" si="26"/>
        <v>8</v>
      </c>
      <c r="P572" t="s">
        <v>1370</v>
      </c>
      <c r="Q572" s="3">
        <v>0.375</v>
      </c>
      <c r="R572" t="s">
        <v>83</v>
      </c>
      <c r="S572" t="s">
        <v>61</v>
      </c>
      <c r="T572" s="2">
        <v>14.42</v>
      </c>
      <c r="U572" t="s">
        <v>87</v>
      </c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</row>
    <row r="573" spans="1:51" s="5" customFormat="1" x14ac:dyDescent="0.25">
      <c r="A573">
        <v>2027354636</v>
      </c>
      <c r="B573" t="s">
        <v>1023</v>
      </c>
      <c r="C573" t="s">
        <v>184</v>
      </c>
      <c r="D573" t="str">
        <f t="shared" si="25"/>
        <v>DEBORAH LANZIDELLE</v>
      </c>
      <c r="E573" t="s">
        <v>125</v>
      </c>
      <c r="F573" t="s">
        <v>108</v>
      </c>
      <c r="G573" t="s">
        <v>1017</v>
      </c>
      <c r="H573">
        <v>20411454</v>
      </c>
      <c r="I573" t="s">
        <v>110</v>
      </c>
      <c r="J573" t="s">
        <v>111</v>
      </c>
      <c r="K573" t="s">
        <v>1377</v>
      </c>
      <c r="L573" s="1">
        <v>45748</v>
      </c>
      <c r="M573" s="1">
        <v>46023</v>
      </c>
      <c r="N573" s="2">
        <v>8.52</v>
      </c>
      <c r="O573">
        <f t="shared" si="26"/>
        <v>9</v>
      </c>
      <c r="P573" t="s">
        <v>1370</v>
      </c>
      <c r="Q573" s="4">
        <v>0.04</v>
      </c>
      <c r="R573" t="s">
        <v>83</v>
      </c>
      <c r="S573" t="s">
        <v>61</v>
      </c>
      <c r="T573" s="2">
        <v>8.52</v>
      </c>
      <c r="U573" t="s">
        <v>1376</v>
      </c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</row>
    <row r="574" spans="1:51" s="5" customFormat="1" x14ac:dyDescent="0.25">
      <c r="A574">
        <v>2028313186</v>
      </c>
      <c r="B574" t="s">
        <v>671</v>
      </c>
      <c r="C574" t="s">
        <v>672</v>
      </c>
      <c r="D574" t="str">
        <f t="shared" si="25"/>
        <v>MAGGIE KING</v>
      </c>
      <c r="E574" t="s">
        <v>52</v>
      </c>
      <c r="F574" t="s">
        <v>365</v>
      </c>
      <c r="G574" t="s">
        <v>370</v>
      </c>
      <c r="H574">
        <v>20411454</v>
      </c>
      <c r="I574" t="s">
        <v>673</v>
      </c>
      <c r="J574" t="s">
        <v>517</v>
      </c>
      <c r="K574" t="s">
        <v>1377</v>
      </c>
      <c r="L574" s="1">
        <v>45757</v>
      </c>
      <c r="M574" s="1">
        <v>46032</v>
      </c>
      <c r="N574" s="2">
        <v>58.33</v>
      </c>
      <c r="O574">
        <f t="shared" si="26"/>
        <v>9</v>
      </c>
      <c r="P574" t="s">
        <v>1370</v>
      </c>
      <c r="Q574" s="4">
        <v>0.12</v>
      </c>
      <c r="R574" t="s">
        <v>83</v>
      </c>
      <c r="S574" t="s">
        <v>61</v>
      </c>
      <c r="T574" s="2">
        <v>58.33</v>
      </c>
      <c r="U574" t="s">
        <v>1376</v>
      </c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</row>
    <row r="575" spans="1:51" s="5" customFormat="1" x14ac:dyDescent="0.25">
      <c r="A575">
        <v>2028281048</v>
      </c>
      <c r="B575" t="s">
        <v>529</v>
      </c>
      <c r="C575" t="s">
        <v>530</v>
      </c>
      <c r="D575" t="str">
        <f t="shared" si="25"/>
        <v>NICOLE BOERSMA</v>
      </c>
      <c r="E575" t="s">
        <v>102</v>
      </c>
      <c r="F575" t="s">
        <v>126</v>
      </c>
      <c r="G575" t="s">
        <v>132</v>
      </c>
      <c r="H575">
        <v>21348299</v>
      </c>
      <c r="I575" t="s">
        <v>98</v>
      </c>
      <c r="J575" t="s">
        <v>99</v>
      </c>
      <c r="K575" t="str">
        <f t="shared" ref="K575:K610" si="29">CONCATENATE(J575," ",I575)</f>
        <v>BARRY BRENNER</v>
      </c>
      <c r="L575" s="1">
        <v>45755</v>
      </c>
      <c r="M575" s="1">
        <v>46030</v>
      </c>
      <c r="N575" s="2">
        <v>24.65</v>
      </c>
      <c r="O575">
        <f t="shared" si="26"/>
        <v>9</v>
      </c>
      <c r="P575" t="s">
        <v>1370</v>
      </c>
      <c r="Q575" s="4">
        <v>0.7</v>
      </c>
      <c r="R575" t="s">
        <v>83</v>
      </c>
      <c r="S575" t="s">
        <v>61</v>
      </c>
      <c r="T575" s="2">
        <v>17.260000000000002</v>
      </c>
      <c r="U575" t="s">
        <v>132</v>
      </c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</row>
    <row r="576" spans="1:51" s="5" customFormat="1" x14ac:dyDescent="0.25">
      <c r="A576">
        <v>2028281047</v>
      </c>
      <c r="B576" t="s">
        <v>529</v>
      </c>
      <c r="C576" t="s">
        <v>530</v>
      </c>
      <c r="D576" t="str">
        <f t="shared" si="25"/>
        <v>NICOLE BOERSMA</v>
      </c>
      <c r="E576" t="s">
        <v>102</v>
      </c>
      <c r="F576" t="s">
        <v>86</v>
      </c>
      <c r="G576" t="s">
        <v>87</v>
      </c>
      <c r="H576">
        <v>21348299</v>
      </c>
      <c r="I576" t="s">
        <v>98</v>
      </c>
      <c r="J576" t="s">
        <v>99</v>
      </c>
      <c r="K576" t="str">
        <f t="shared" si="29"/>
        <v>BARRY BRENNER</v>
      </c>
      <c r="L576" s="1">
        <v>45755</v>
      </c>
      <c r="M576" s="1">
        <v>46030</v>
      </c>
      <c r="N576" s="2">
        <v>59.51</v>
      </c>
      <c r="O576">
        <f t="shared" si="26"/>
        <v>9</v>
      </c>
      <c r="P576" t="s">
        <v>1370</v>
      </c>
      <c r="Q576" s="3">
        <v>0.375</v>
      </c>
      <c r="R576" t="s">
        <v>83</v>
      </c>
      <c r="S576" t="s">
        <v>61</v>
      </c>
      <c r="T576" s="2">
        <v>22.32</v>
      </c>
      <c r="U576" t="s">
        <v>87</v>
      </c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</row>
    <row r="577" spans="1:51" s="5" customFormat="1" x14ac:dyDescent="0.25">
      <c r="A577">
        <v>2027097219</v>
      </c>
      <c r="B577" t="s">
        <v>1018</v>
      </c>
      <c r="C577" t="s">
        <v>305</v>
      </c>
      <c r="D577" t="str">
        <f t="shared" si="25"/>
        <v>KURT SWANSON</v>
      </c>
      <c r="E577" t="s">
        <v>52</v>
      </c>
      <c r="F577" t="s">
        <v>108</v>
      </c>
      <c r="G577" t="s">
        <v>109</v>
      </c>
      <c r="H577">
        <v>17425766</v>
      </c>
      <c r="I577" t="s">
        <v>88</v>
      </c>
      <c r="J577" t="s">
        <v>89</v>
      </c>
      <c r="K577" t="str">
        <f t="shared" si="29"/>
        <v>CAROL FOLEY</v>
      </c>
      <c r="L577" s="1">
        <v>45748</v>
      </c>
      <c r="M577" s="1">
        <v>46023</v>
      </c>
      <c r="N577" s="2">
        <v>147.77000000000001</v>
      </c>
      <c r="O577">
        <f t="shared" si="26"/>
        <v>9</v>
      </c>
      <c r="P577" t="s">
        <v>1370</v>
      </c>
      <c r="Q577" s="4">
        <v>0.26</v>
      </c>
      <c r="R577" t="s">
        <v>83</v>
      </c>
      <c r="S577" t="s">
        <v>61</v>
      </c>
      <c r="T577" s="2">
        <v>38.42</v>
      </c>
      <c r="U577" t="s">
        <v>1384</v>
      </c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</row>
    <row r="578" spans="1:51" s="5" customFormat="1" x14ac:dyDescent="0.25">
      <c r="A578">
        <v>2028073917</v>
      </c>
      <c r="B578" t="s">
        <v>1119</v>
      </c>
      <c r="C578" t="s">
        <v>240</v>
      </c>
      <c r="D578" t="str">
        <f t="shared" ref="D578:D641" si="30">CONCATENATE(C578," ",B578)</f>
        <v>SHERYL CASILHAS</v>
      </c>
      <c r="E578" t="s">
        <v>97</v>
      </c>
      <c r="F578" t="s">
        <v>126</v>
      </c>
      <c r="G578" t="s">
        <v>132</v>
      </c>
      <c r="H578">
        <v>21435997</v>
      </c>
      <c r="I578" t="s">
        <v>224</v>
      </c>
      <c r="J578" t="s">
        <v>225</v>
      </c>
      <c r="K578" t="str">
        <f t="shared" si="29"/>
        <v>Christopher Brousseau</v>
      </c>
      <c r="L578" s="1">
        <v>45754</v>
      </c>
      <c r="M578" s="1">
        <v>46029</v>
      </c>
      <c r="N578" s="2">
        <v>129.22</v>
      </c>
      <c r="O578">
        <f t="shared" ref="O578:O641" si="31">DATEDIF(L578,M578,"M")</f>
        <v>9</v>
      </c>
      <c r="P578" t="s">
        <v>1370</v>
      </c>
      <c r="Q578" s="4">
        <v>0.7</v>
      </c>
      <c r="R578" t="s">
        <v>83</v>
      </c>
      <c r="S578" t="s">
        <v>61</v>
      </c>
      <c r="T578" s="2">
        <v>90.45</v>
      </c>
      <c r="U578" t="s">
        <v>132</v>
      </c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</row>
    <row r="579" spans="1:51" s="5" customFormat="1" x14ac:dyDescent="0.25">
      <c r="A579">
        <v>2028143929</v>
      </c>
      <c r="B579" t="s">
        <v>1120</v>
      </c>
      <c r="C579" t="s">
        <v>1121</v>
      </c>
      <c r="D579" t="str">
        <f t="shared" si="30"/>
        <v>IFEANYICHUKWU METUIWE</v>
      </c>
      <c r="E579" t="s">
        <v>97</v>
      </c>
      <c r="F579" t="s">
        <v>126</v>
      </c>
      <c r="G579" t="s">
        <v>132</v>
      </c>
      <c r="H579">
        <v>21435997</v>
      </c>
      <c r="I579" t="s">
        <v>224</v>
      </c>
      <c r="J579" t="s">
        <v>225</v>
      </c>
      <c r="K579" t="str">
        <f t="shared" si="29"/>
        <v>Christopher Brousseau</v>
      </c>
      <c r="L579" s="1">
        <v>45754</v>
      </c>
      <c r="M579" s="1">
        <v>46029</v>
      </c>
      <c r="N579" s="2">
        <v>48.76</v>
      </c>
      <c r="O579">
        <f t="shared" si="31"/>
        <v>9</v>
      </c>
      <c r="P579" t="s">
        <v>1370</v>
      </c>
      <c r="Q579" s="4">
        <v>0.7</v>
      </c>
      <c r="R579" t="s">
        <v>83</v>
      </c>
      <c r="S579" t="s">
        <v>61</v>
      </c>
      <c r="T579" s="2">
        <v>34.130000000000003</v>
      </c>
      <c r="U579" t="s">
        <v>132</v>
      </c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</row>
    <row r="580" spans="1:51" s="5" customFormat="1" x14ac:dyDescent="0.25">
      <c r="A580">
        <v>2028132283</v>
      </c>
      <c r="B580" t="s">
        <v>208</v>
      </c>
      <c r="C580" t="s">
        <v>209</v>
      </c>
      <c r="D580" t="str">
        <f t="shared" si="30"/>
        <v>GLENN HUNKELE</v>
      </c>
      <c r="E580" t="s">
        <v>210</v>
      </c>
      <c r="F580" t="s">
        <v>169</v>
      </c>
      <c r="G580" t="s">
        <v>170</v>
      </c>
      <c r="H580" t="s">
        <v>1390</v>
      </c>
      <c r="I580" t="s">
        <v>183</v>
      </c>
      <c r="J580" t="s">
        <v>184</v>
      </c>
      <c r="K580" t="str">
        <f t="shared" si="29"/>
        <v>DEBORAH INSKIPT</v>
      </c>
      <c r="L580" s="1">
        <v>45748</v>
      </c>
      <c r="M580" s="1">
        <v>46023</v>
      </c>
      <c r="N580" s="2">
        <v>36.119999999999997</v>
      </c>
      <c r="O580">
        <f t="shared" si="31"/>
        <v>9</v>
      </c>
      <c r="P580" t="s">
        <v>1370</v>
      </c>
      <c r="Q580" s="4">
        <v>0.47</v>
      </c>
      <c r="R580" t="s">
        <v>83</v>
      </c>
      <c r="S580" t="s">
        <v>61</v>
      </c>
      <c r="T580" s="2">
        <v>16.98</v>
      </c>
      <c r="U580" t="s">
        <v>170</v>
      </c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</row>
    <row r="581" spans="1:51" s="5" customFormat="1" x14ac:dyDescent="0.25">
      <c r="A581">
        <v>2027050882</v>
      </c>
      <c r="B581" t="s">
        <v>1309</v>
      </c>
      <c r="C581" t="s">
        <v>1310</v>
      </c>
      <c r="D581" t="str">
        <f t="shared" si="30"/>
        <v>BONITA SKIDMORE</v>
      </c>
      <c r="E581" t="s">
        <v>52</v>
      </c>
      <c r="F581" t="s">
        <v>169</v>
      </c>
      <c r="G581" t="s">
        <v>170</v>
      </c>
      <c r="H581" t="s">
        <v>1390</v>
      </c>
      <c r="I581" t="s">
        <v>183</v>
      </c>
      <c r="J581" t="s">
        <v>184</v>
      </c>
      <c r="K581" t="str">
        <f t="shared" si="29"/>
        <v>DEBORAH INSKIPT</v>
      </c>
      <c r="L581" s="1">
        <v>45748</v>
      </c>
      <c r="M581" s="1">
        <v>46023</v>
      </c>
      <c r="N581" s="2">
        <v>87.59</v>
      </c>
      <c r="O581">
        <f t="shared" si="31"/>
        <v>9</v>
      </c>
      <c r="P581" t="s">
        <v>1370</v>
      </c>
      <c r="Q581" s="4">
        <v>0.47</v>
      </c>
      <c r="R581" t="s">
        <v>83</v>
      </c>
      <c r="S581" t="s">
        <v>61</v>
      </c>
      <c r="T581" s="2">
        <v>41.17</v>
      </c>
      <c r="U581" t="s">
        <v>170</v>
      </c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</row>
    <row r="582" spans="1:51" s="5" customFormat="1" x14ac:dyDescent="0.25">
      <c r="A582">
        <v>2028038680</v>
      </c>
      <c r="B582" t="s">
        <v>1319</v>
      </c>
      <c r="C582" t="s">
        <v>137</v>
      </c>
      <c r="D582" t="str">
        <f t="shared" si="30"/>
        <v>JAMES SNIVELY</v>
      </c>
      <c r="E582" t="s">
        <v>52</v>
      </c>
      <c r="F582" t="s">
        <v>169</v>
      </c>
      <c r="G582" t="s">
        <v>170</v>
      </c>
      <c r="H582" t="s">
        <v>1390</v>
      </c>
      <c r="I582" t="s">
        <v>183</v>
      </c>
      <c r="J582" t="s">
        <v>184</v>
      </c>
      <c r="K582" t="str">
        <f t="shared" si="29"/>
        <v>DEBORAH INSKIPT</v>
      </c>
      <c r="L582" s="1">
        <v>45748</v>
      </c>
      <c r="M582" s="1">
        <v>46023</v>
      </c>
      <c r="N582" s="2">
        <v>69.31</v>
      </c>
      <c r="O582">
        <f t="shared" si="31"/>
        <v>9</v>
      </c>
      <c r="P582" t="s">
        <v>1370</v>
      </c>
      <c r="Q582" s="4">
        <v>0.47</v>
      </c>
      <c r="R582" t="s">
        <v>83</v>
      </c>
      <c r="S582" t="s">
        <v>61</v>
      </c>
      <c r="T582" s="2">
        <v>32.58</v>
      </c>
      <c r="U582" t="s">
        <v>170</v>
      </c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</row>
    <row r="583" spans="1:51" s="5" customFormat="1" x14ac:dyDescent="0.25">
      <c r="A583">
        <v>2028067361</v>
      </c>
      <c r="B583" t="s">
        <v>1282</v>
      </c>
      <c r="C583" t="s">
        <v>421</v>
      </c>
      <c r="D583" t="str">
        <f t="shared" si="30"/>
        <v>DEBRA DAVIS</v>
      </c>
      <c r="E583" t="s">
        <v>52</v>
      </c>
      <c r="F583" t="s">
        <v>169</v>
      </c>
      <c r="G583" t="s">
        <v>170</v>
      </c>
      <c r="H583" t="s">
        <v>1390</v>
      </c>
      <c r="I583" t="s">
        <v>183</v>
      </c>
      <c r="J583" t="s">
        <v>184</v>
      </c>
      <c r="K583" t="str">
        <f t="shared" si="29"/>
        <v>DEBORAH INSKIPT</v>
      </c>
      <c r="L583" s="1">
        <v>45748</v>
      </c>
      <c r="M583" s="1">
        <v>46023</v>
      </c>
      <c r="N583" s="2">
        <v>87.59</v>
      </c>
      <c r="O583">
        <f t="shared" si="31"/>
        <v>9</v>
      </c>
      <c r="P583" t="s">
        <v>1370</v>
      </c>
      <c r="Q583" s="4">
        <v>0.47</v>
      </c>
      <c r="R583" t="s">
        <v>83</v>
      </c>
      <c r="S583" t="s">
        <v>61</v>
      </c>
      <c r="T583" s="2">
        <v>41.17</v>
      </c>
      <c r="U583" t="s">
        <v>170</v>
      </c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</row>
    <row r="584" spans="1:51" s="5" customFormat="1" x14ac:dyDescent="0.25">
      <c r="A584">
        <v>2027642346</v>
      </c>
      <c r="B584" t="s">
        <v>669</v>
      </c>
      <c r="C584" t="s">
        <v>670</v>
      </c>
      <c r="D584" t="str">
        <f t="shared" si="30"/>
        <v>JORDAN PERSON</v>
      </c>
      <c r="E584" t="s">
        <v>256</v>
      </c>
      <c r="F584" t="s">
        <v>126</v>
      </c>
      <c r="G584" t="s">
        <v>127</v>
      </c>
      <c r="H584">
        <v>8307933</v>
      </c>
      <c r="I584" t="s">
        <v>246</v>
      </c>
      <c r="J584" t="s">
        <v>247</v>
      </c>
      <c r="K584" t="str">
        <f t="shared" si="29"/>
        <v>GREGORY TEIPEL</v>
      </c>
      <c r="L584" s="1">
        <v>45754</v>
      </c>
      <c r="M584" s="1">
        <v>46029</v>
      </c>
      <c r="N584" s="2">
        <v>21.44</v>
      </c>
      <c r="O584">
        <f t="shared" si="31"/>
        <v>9</v>
      </c>
      <c r="P584" t="s">
        <v>1370</v>
      </c>
      <c r="Q584" s="4">
        <v>0.7</v>
      </c>
      <c r="R584" t="s">
        <v>83</v>
      </c>
      <c r="S584" t="s">
        <v>61</v>
      </c>
      <c r="T584" s="2">
        <v>15.01</v>
      </c>
      <c r="U584" t="s">
        <v>127</v>
      </c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</row>
    <row r="585" spans="1:51" s="5" customFormat="1" x14ac:dyDescent="0.25">
      <c r="A585">
        <v>2027361177</v>
      </c>
      <c r="B585" t="s">
        <v>835</v>
      </c>
      <c r="C585" t="s">
        <v>111</v>
      </c>
      <c r="D585" t="str">
        <f t="shared" si="30"/>
        <v>LORI BENSON</v>
      </c>
      <c r="E585" t="s">
        <v>267</v>
      </c>
      <c r="F585" t="s">
        <v>75</v>
      </c>
      <c r="G585" t="s">
        <v>76</v>
      </c>
      <c r="H585">
        <v>8307933</v>
      </c>
      <c r="I585" t="s">
        <v>246</v>
      </c>
      <c r="J585" t="s">
        <v>247</v>
      </c>
      <c r="K585" t="str">
        <f t="shared" si="29"/>
        <v>GREGORY TEIPEL</v>
      </c>
      <c r="L585" s="1">
        <v>45754</v>
      </c>
      <c r="M585" s="1">
        <v>46029</v>
      </c>
      <c r="N585" s="2">
        <v>202.87</v>
      </c>
      <c r="O585">
        <f t="shared" si="31"/>
        <v>9</v>
      </c>
      <c r="P585" t="s">
        <v>1370</v>
      </c>
      <c r="Q585" s="4">
        <v>0.75</v>
      </c>
      <c r="R585" t="s">
        <v>83</v>
      </c>
      <c r="S585" t="s">
        <v>61</v>
      </c>
      <c r="T585" s="2">
        <v>152.15</v>
      </c>
      <c r="U585" t="s">
        <v>1371</v>
      </c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</row>
    <row r="586" spans="1:51" s="5" customFormat="1" x14ac:dyDescent="0.25">
      <c r="A586">
        <v>2027859845</v>
      </c>
      <c r="B586" t="s">
        <v>839</v>
      </c>
      <c r="C586" t="s">
        <v>303</v>
      </c>
      <c r="D586" t="str">
        <f t="shared" si="30"/>
        <v>DONALD BARTRAM</v>
      </c>
      <c r="E586" t="s">
        <v>389</v>
      </c>
      <c r="F586" t="s">
        <v>75</v>
      </c>
      <c r="G586" t="s">
        <v>76</v>
      </c>
      <c r="H586">
        <v>8307933</v>
      </c>
      <c r="I586" t="s">
        <v>246</v>
      </c>
      <c r="J586" t="s">
        <v>247</v>
      </c>
      <c r="K586" t="str">
        <f t="shared" si="29"/>
        <v>GREGORY TEIPEL</v>
      </c>
      <c r="L586" s="1">
        <v>45754</v>
      </c>
      <c r="M586" s="1">
        <v>46029</v>
      </c>
      <c r="N586" s="2">
        <v>154.30000000000001</v>
      </c>
      <c r="O586">
        <f t="shared" si="31"/>
        <v>9</v>
      </c>
      <c r="P586" t="s">
        <v>1370</v>
      </c>
      <c r="Q586" s="4">
        <v>0.75</v>
      </c>
      <c r="R586" t="s">
        <v>83</v>
      </c>
      <c r="S586" t="s">
        <v>61</v>
      </c>
      <c r="T586" s="2">
        <v>115.72</v>
      </c>
      <c r="U586" t="s">
        <v>1371</v>
      </c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</row>
    <row r="587" spans="1:51" s="5" customFormat="1" x14ac:dyDescent="0.25">
      <c r="A587">
        <v>2027863478</v>
      </c>
      <c r="B587" t="s">
        <v>839</v>
      </c>
      <c r="C587" t="s">
        <v>840</v>
      </c>
      <c r="D587" t="str">
        <f t="shared" si="30"/>
        <v>BRIDGER BARTRAM</v>
      </c>
      <c r="E587" t="s">
        <v>389</v>
      </c>
      <c r="F587" t="s">
        <v>75</v>
      </c>
      <c r="G587" t="s">
        <v>76</v>
      </c>
      <c r="H587">
        <v>8307933</v>
      </c>
      <c r="I587" t="s">
        <v>246</v>
      </c>
      <c r="J587" t="s">
        <v>247</v>
      </c>
      <c r="K587" t="str">
        <f t="shared" si="29"/>
        <v>GREGORY TEIPEL</v>
      </c>
      <c r="L587" s="1">
        <v>45754</v>
      </c>
      <c r="M587" s="1">
        <v>46029</v>
      </c>
      <c r="N587" s="2">
        <v>25</v>
      </c>
      <c r="O587">
        <f t="shared" si="31"/>
        <v>9</v>
      </c>
      <c r="P587" t="s">
        <v>1370</v>
      </c>
      <c r="Q587" s="4">
        <v>0.75</v>
      </c>
      <c r="R587" t="s">
        <v>83</v>
      </c>
      <c r="S587" t="s">
        <v>61</v>
      </c>
      <c r="T587" s="2">
        <v>18.75</v>
      </c>
      <c r="U587" t="s">
        <v>1371</v>
      </c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</row>
    <row r="588" spans="1:51" s="5" customFormat="1" x14ac:dyDescent="0.25">
      <c r="A588">
        <v>2027887270</v>
      </c>
      <c r="B588" t="s">
        <v>841</v>
      </c>
      <c r="C588" t="s">
        <v>82</v>
      </c>
      <c r="D588" t="str">
        <f t="shared" si="30"/>
        <v>RYAN OBERG</v>
      </c>
      <c r="E588" t="s">
        <v>389</v>
      </c>
      <c r="F588" t="s">
        <v>75</v>
      </c>
      <c r="G588" t="s">
        <v>76</v>
      </c>
      <c r="H588">
        <v>8307933</v>
      </c>
      <c r="I588" t="s">
        <v>246</v>
      </c>
      <c r="J588" t="s">
        <v>247</v>
      </c>
      <c r="K588" t="str">
        <f t="shared" si="29"/>
        <v>GREGORY TEIPEL</v>
      </c>
      <c r="L588" s="1">
        <v>45754</v>
      </c>
      <c r="M588" s="1">
        <v>46029</v>
      </c>
      <c r="N588" s="2">
        <v>88.8</v>
      </c>
      <c r="O588">
        <f t="shared" si="31"/>
        <v>9</v>
      </c>
      <c r="P588" t="s">
        <v>1370</v>
      </c>
      <c r="Q588" s="4">
        <v>0.75</v>
      </c>
      <c r="R588" t="s">
        <v>83</v>
      </c>
      <c r="S588" t="s">
        <v>61</v>
      </c>
      <c r="T588" s="2">
        <v>66.599999999999994</v>
      </c>
      <c r="U588" t="s">
        <v>1371</v>
      </c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</row>
    <row r="589" spans="1:51" s="5" customFormat="1" x14ac:dyDescent="0.25">
      <c r="A589">
        <v>2028108470</v>
      </c>
      <c r="B589" t="s">
        <v>842</v>
      </c>
      <c r="C589" t="s">
        <v>843</v>
      </c>
      <c r="D589" t="str">
        <f t="shared" si="30"/>
        <v>CORY BLAIR</v>
      </c>
      <c r="E589" t="s">
        <v>102</v>
      </c>
      <c r="F589" t="s">
        <v>75</v>
      </c>
      <c r="G589" t="s">
        <v>76</v>
      </c>
      <c r="H589">
        <v>8307933</v>
      </c>
      <c r="I589" t="s">
        <v>246</v>
      </c>
      <c r="J589" t="s">
        <v>247</v>
      </c>
      <c r="K589" t="str">
        <f t="shared" si="29"/>
        <v>GREGORY TEIPEL</v>
      </c>
      <c r="L589" s="1">
        <v>45754</v>
      </c>
      <c r="M589" s="1">
        <v>46029</v>
      </c>
      <c r="N589" s="2">
        <v>104.83</v>
      </c>
      <c r="O589">
        <f t="shared" si="31"/>
        <v>9</v>
      </c>
      <c r="P589" t="s">
        <v>1370</v>
      </c>
      <c r="Q589" s="4">
        <v>0.75</v>
      </c>
      <c r="R589" t="s">
        <v>83</v>
      </c>
      <c r="S589" t="s">
        <v>61</v>
      </c>
      <c r="T589" s="2">
        <v>78.62</v>
      </c>
      <c r="U589" t="s">
        <v>1371</v>
      </c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</row>
    <row r="590" spans="1:51" s="5" customFormat="1" x14ac:dyDescent="0.25">
      <c r="A590">
        <v>2027642345</v>
      </c>
      <c r="B590" t="s">
        <v>669</v>
      </c>
      <c r="C590" t="s">
        <v>670</v>
      </c>
      <c r="D590" t="str">
        <f t="shared" si="30"/>
        <v>JORDAN PERSON</v>
      </c>
      <c r="E590" t="s">
        <v>256</v>
      </c>
      <c r="F590" t="s">
        <v>75</v>
      </c>
      <c r="G590" t="s">
        <v>80</v>
      </c>
      <c r="H590">
        <v>8307933</v>
      </c>
      <c r="I590" t="s">
        <v>246</v>
      </c>
      <c r="J590" t="s">
        <v>247</v>
      </c>
      <c r="K590" t="str">
        <f t="shared" si="29"/>
        <v>GREGORY TEIPEL</v>
      </c>
      <c r="L590" s="1">
        <v>45754</v>
      </c>
      <c r="M590" s="1">
        <v>46029</v>
      </c>
      <c r="N590" s="2">
        <v>119.92</v>
      </c>
      <c r="O590">
        <f t="shared" si="31"/>
        <v>9</v>
      </c>
      <c r="P590" t="s">
        <v>1370</v>
      </c>
      <c r="Q590" s="4">
        <v>0.9</v>
      </c>
      <c r="R590" t="s">
        <v>83</v>
      </c>
      <c r="S590" t="s">
        <v>61</v>
      </c>
      <c r="T590" s="2">
        <v>107.93</v>
      </c>
      <c r="U590" t="s">
        <v>1372</v>
      </c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</row>
    <row r="591" spans="1:51" s="5" customFormat="1" x14ac:dyDescent="0.25">
      <c r="A591">
        <v>2027887273</v>
      </c>
      <c r="B591" t="s">
        <v>841</v>
      </c>
      <c r="C591" t="s">
        <v>82</v>
      </c>
      <c r="D591" t="str">
        <f t="shared" si="30"/>
        <v>RYAN OBERG</v>
      </c>
      <c r="E591" t="s">
        <v>389</v>
      </c>
      <c r="F591" t="s">
        <v>126</v>
      </c>
      <c r="G591" t="s">
        <v>402</v>
      </c>
      <c r="H591">
        <v>8307933</v>
      </c>
      <c r="I591" t="s">
        <v>246</v>
      </c>
      <c r="J591" t="s">
        <v>247</v>
      </c>
      <c r="K591" t="str">
        <f t="shared" si="29"/>
        <v>GREGORY TEIPEL</v>
      </c>
      <c r="L591" s="1">
        <v>45754</v>
      </c>
      <c r="M591" s="1">
        <v>46029</v>
      </c>
      <c r="N591" s="2">
        <v>22.53</v>
      </c>
      <c r="O591">
        <f t="shared" si="31"/>
        <v>9</v>
      </c>
      <c r="P591" t="s">
        <v>1370</v>
      </c>
      <c r="Q591" s="4">
        <v>0.42</v>
      </c>
      <c r="R591" t="s">
        <v>83</v>
      </c>
      <c r="S591" t="s">
        <v>61</v>
      </c>
      <c r="T591" s="2">
        <v>9.4600000000000009</v>
      </c>
      <c r="U591" t="s">
        <v>402</v>
      </c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</row>
    <row r="592" spans="1:51" s="5" customFormat="1" x14ac:dyDescent="0.25">
      <c r="A592">
        <v>2027642347</v>
      </c>
      <c r="B592" t="s">
        <v>669</v>
      </c>
      <c r="C592" t="s">
        <v>670</v>
      </c>
      <c r="D592" t="str">
        <f t="shared" si="30"/>
        <v>JORDAN PERSON</v>
      </c>
      <c r="E592" t="s">
        <v>256</v>
      </c>
      <c r="F592" t="s">
        <v>365</v>
      </c>
      <c r="G592" t="s">
        <v>366</v>
      </c>
      <c r="H592">
        <v>8307933</v>
      </c>
      <c r="I592" t="s">
        <v>246</v>
      </c>
      <c r="J592" t="s">
        <v>247</v>
      </c>
      <c r="K592" t="str">
        <f t="shared" si="29"/>
        <v>GREGORY TEIPEL</v>
      </c>
      <c r="L592" s="1">
        <v>45754</v>
      </c>
      <c r="M592" s="1">
        <v>46029</v>
      </c>
      <c r="N592" s="2">
        <v>21.53</v>
      </c>
      <c r="O592">
        <f t="shared" si="31"/>
        <v>9</v>
      </c>
      <c r="P592" t="s">
        <v>1370</v>
      </c>
      <c r="Q592" s="4">
        <v>0.38</v>
      </c>
      <c r="R592" t="s">
        <v>83</v>
      </c>
      <c r="S592" t="s">
        <v>61</v>
      </c>
      <c r="T592" s="2">
        <v>8.18</v>
      </c>
      <c r="U592" t="s">
        <v>366</v>
      </c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</row>
    <row r="593" spans="1:51" s="5" customFormat="1" x14ac:dyDescent="0.25">
      <c r="A593">
        <v>2027859847</v>
      </c>
      <c r="B593" t="s">
        <v>839</v>
      </c>
      <c r="C593" t="s">
        <v>303</v>
      </c>
      <c r="D593" t="str">
        <f t="shared" si="30"/>
        <v>DONALD BARTRAM</v>
      </c>
      <c r="E593" t="s">
        <v>389</v>
      </c>
      <c r="F593" t="s">
        <v>126</v>
      </c>
      <c r="G593" t="s">
        <v>132</v>
      </c>
      <c r="H593">
        <v>8307933</v>
      </c>
      <c r="I593" t="s">
        <v>246</v>
      </c>
      <c r="J593" t="s">
        <v>247</v>
      </c>
      <c r="K593" t="str">
        <f t="shared" si="29"/>
        <v>GREGORY TEIPEL</v>
      </c>
      <c r="L593" s="1">
        <v>45754</v>
      </c>
      <c r="M593" s="1">
        <v>46029</v>
      </c>
      <c r="N593" s="2">
        <v>51</v>
      </c>
      <c r="O593">
        <f t="shared" si="31"/>
        <v>9</v>
      </c>
      <c r="P593" t="s">
        <v>1370</v>
      </c>
      <c r="Q593" s="4">
        <v>0.7</v>
      </c>
      <c r="R593" t="s">
        <v>83</v>
      </c>
      <c r="S593" t="s">
        <v>61</v>
      </c>
      <c r="T593" s="2">
        <v>35.700000000000003</v>
      </c>
      <c r="U593" t="s">
        <v>132</v>
      </c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</row>
    <row r="594" spans="1:51" s="5" customFormat="1" x14ac:dyDescent="0.25">
      <c r="A594">
        <v>2027863480</v>
      </c>
      <c r="B594" t="s">
        <v>839</v>
      </c>
      <c r="C594" t="s">
        <v>840</v>
      </c>
      <c r="D594" t="str">
        <f t="shared" si="30"/>
        <v>BRIDGER BARTRAM</v>
      </c>
      <c r="E594" t="s">
        <v>389</v>
      </c>
      <c r="F594" t="s">
        <v>126</v>
      </c>
      <c r="G594" t="s">
        <v>132</v>
      </c>
      <c r="H594">
        <v>8307933</v>
      </c>
      <c r="I594" t="s">
        <v>246</v>
      </c>
      <c r="J594" t="s">
        <v>247</v>
      </c>
      <c r="K594" t="str">
        <f t="shared" si="29"/>
        <v>GREGORY TEIPEL</v>
      </c>
      <c r="L594" s="1">
        <v>45754</v>
      </c>
      <c r="M594" s="1">
        <v>46029</v>
      </c>
      <c r="N594" s="2">
        <v>34</v>
      </c>
      <c r="O594">
        <f t="shared" si="31"/>
        <v>9</v>
      </c>
      <c r="P594" t="s">
        <v>1370</v>
      </c>
      <c r="Q594" s="4">
        <v>0.7</v>
      </c>
      <c r="R594" t="s">
        <v>83</v>
      </c>
      <c r="S594" t="s">
        <v>61</v>
      </c>
      <c r="T594" s="2">
        <v>23.8</v>
      </c>
      <c r="U594" t="s">
        <v>132</v>
      </c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</row>
    <row r="595" spans="1:51" s="5" customFormat="1" x14ac:dyDescent="0.25">
      <c r="A595">
        <v>2027887272</v>
      </c>
      <c r="B595" t="s">
        <v>841</v>
      </c>
      <c r="C595" t="s">
        <v>82</v>
      </c>
      <c r="D595" t="str">
        <f t="shared" si="30"/>
        <v>RYAN OBERG</v>
      </c>
      <c r="E595" t="s">
        <v>389</v>
      </c>
      <c r="F595" t="s">
        <v>126</v>
      </c>
      <c r="G595" t="s">
        <v>132</v>
      </c>
      <c r="H595">
        <v>8307933</v>
      </c>
      <c r="I595" t="s">
        <v>246</v>
      </c>
      <c r="J595" t="s">
        <v>247</v>
      </c>
      <c r="K595" t="str">
        <f t="shared" si="29"/>
        <v>GREGORY TEIPEL</v>
      </c>
      <c r="L595" s="1">
        <v>45754</v>
      </c>
      <c r="M595" s="1">
        <v>46029</v>
      </c>
      <c r="N595" s="2">
        <v>34</v>
      </c>
      <c r="O595">
        <f t="shared" si="31"/>
        <v>9</v>
      </c>
      <c r="P595" t="s">
        <v>1370</v>
      </c>
      <c r="Q595" s="4">
        <v>0.7</v>
      </c>
      <c r="R595" t="s">
        <v>83</v>
      </c>
      <c r="S595" t="s">
        <v>61</v>
      </c>
      <c r="T595" s="2">
        <v>23.8</v>
      </c>
      <c r="U595" t="s">
        <v>132</v>
      </c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</row>
    <row r="596" spans="1:51" s="5" customFormat="1" x14ac:dyDescent="0.25">
      <c r="A596">
        <v>2028108469</v>
      </c>
      <c r="B596" t="s">
        <v>842</v>
      </c>
      <c r="C596" t="s">
        <v>843</v>
      </c>
      <c r="D596" t="str">
        <f t="shared" si="30"/>
        <v>CORY BLAIR</v>
      </c>
      <c r="E596" t="s">
        <v>102</v>
      </c>
      <c r="F596" t="s">
        <v>126</v>
      </c>
      <c r="G596" t="s">
        <v>132</v>
      </c>
      <c r="H596">
        <v>8307933</v>
      </c>
      <c r="I596" t="s">
        <v>246</v>
      </c>
      <c r="J596" t="s">
        <v>247</v>
      </c>
      <c r="K596" t="str">
        <f t="shared" si="29"/>
        <v>GREGORY TEIPEL</v>
      </c>
      <c r="L596" s="1">
        <v>45754</v>
      </c>
      <c r="M596" s="1">
        <v>46029</v>
      </c>
      <c r="N596" s="2">
        <v>198.36</v>
      </c>
      <c r="O596">
        <f t="shared" si="31"/>
        <v>9</v>
      </c>
      <c r="P596" t="s">
        <v>1370</v>
      </c>
      <c r="Q596" s="4">
        <v>0.7</v>
      </c>
      <c r="R596" t="s">
        <v>83</v>
      </c>
      <c r="S596" t="s">
        <v>61</v>
      </c>
      <c r="T596" s="2">
        <v>138.85</v>
      </c>
      <c r="U596" t="s">
        <v>132</v>
      </c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</row>
    <row r="597" spans="1:51" s="5" customFormat="1" x14ac:dyDescent="0.25">
      <c r="A597">
        <v>2027859846</v>
      </c>
      <c r="B597" t="s">
        <v>839</v>
      </c>
      <c r="C597" t="s">
        <v>303</v>
      </c>
      <c r="D597" t="str">
        <f t="shared" si="30"/>
        <v>DONALD BARTRAM</v>
      </c>
      <c r="E597" t="s">
        <v>389</v>
      </c>
      <c r="F597" t="s">
        <v>126</v>
      </c>
      <c r="G597" t="s">
        <v>375</v>
      </c>
      <c r="H597">
        <v>8307933</v>
      </c>
      <c r="I597" t="s">
        <v>246</v>
      </c>
      <c r="J597" t="s">
        <v>247</v>
      </c>
      <c r="K597" t="str">
        <f t="shared" si="29"/>
        <v>GREGORY TEIPEL</v>
      </c>
      <c r="L597" s="1">
        <v>45754</v>
      </c>
      <c r="M597" s="1">
        <v>46029</v>
      </c>
      <c r="N597" s="2">
        <v>248.92</v>
      </c>
      <c r="O597">
        <f t="shared" si="31"/>
        <v>9</v>
      </c>
      <c r="P597" t="s">
        <v>1370</v>
      </c>
      <c r="Q597" s="4">
        <v>0.9</v>
      </c>
      <c r="R597" t="s">
        <v>83</v>
      </c>
      <c r="S597" t="s">
        <v>61</v>
      </c>
      <c r="T597" s="2">
        <v>224.03</v>
      </c>
      <c r="U597" t="s">
        <v>375</v>
      </c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</row>
    <row r="598" spans="1:51" s="5" customFormat="1" x14ac:dyDescent="0.25">
      <c r="A598">
        <v>2027863479</v>
      </c>
      <c r="B598" t="s">
        <v>839</v>
      </c>
      <c r="C598" t="s">
        <v>840</v>
      </c>
      <c r="D598" t="str">
        <f t="shared" si="30"/>
        <v>BRIDGER BARTRAM</v>
      </c>
      <c r="E598" t="s">
        <v>389</v>
      </c>
      <c r="F598" t="s">
        <v>126</v>
      </c>
      <c r="G598" t="s">
        <v>375</v>
      </c>
      <c r="H598">
        <v>8307933</v>
      </c>
      <c r="I598" t="s">
        <v>246</v>
      </c>
      <c r="J598" t="s">
        <v>247</v>
      </c>
      <c r="K598" t="str">
        <f t="shared" si="29"/>
        <v>GREGORY TEIPEL</v>
      </c>
      <c r="L598" s="1">
        <v>45754</v>
      </c>
      <c r="M598" s="1">
        <v>46029</v>
      </c>
      <c r="N598" s="2">
        <v>26.25</v>
      </c>
      <c r="O598">
        <f t="shared" si="31"/>
        <v>9</v>
      </c>
      <c r="P598" t="s">
        <v>1370</v>
      </c>
      <c r="Q598" s="4">
        <v>0.9</v>
      </c>
      <c r="R598" t="s">
        <v>83</v>
      </c>
      <c r="S598" t="s">
        <v>61</v>
      </c>
      <c r="T598" s="2">
        <v>23.62</v>
      </c>
      <c r="U598" t="s">
        <v>375</v>
      </c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</row>
    <row r="599" spans="1:51" s="5" customFormat="1" x14ac:dyDescent="0.25">
      <c r="A599">
        <v>2027887271</v>
      </c>
      <c r="B599" t="s">
        <v>841</v>
      </c>
      <c r="C599" t="s">
        <v>82</v>
      </c>
      <c r="D599" t="str">
        <f t="shared" si="30"/>
        <v>RYAN OBERG</v>
      </c>
      <c r="E599" t="s">
        <v>389</v>
      </c>
      <c r="F599" t="s">
        <v>126</v>
      </c>
      <c r="G599" t="s">
        <v>375</v>
      </c>
      <c r="H599">
        <v>8307933</v>
      </c>
      <c r="I599" t="s">
        <v>246</v>
      </c>
      <c r="J599" t="s">
        <v>247</v>
      </c>
      <c r="K599" t="str">
        <f t="shared" si="29"/>
        <v>GREGORY TEIPEL</v>
      </c>
      <c r="L599" s="1">
        <v>45754</v>
      </c>
      <c r="M599" s="1">
        <v>46029</v>
      </c>
      <c r="N599" s="2">
        <v>35.46</v>
      </c>
      <c r="O599">
        <f t="shared" si="31"/>
        <v>9</v>
      </c>
      <c r="P599" t="s">
        <v>1370</v>
      </c>
      <c r="Q599" s="4">
        <v>0.9</v>
      </c>
      <c r="R599" t="s">
        <v>83</v>
      </c>
      <c r="S599" t="s">
        <v>61</v>
      </c>
      <c r="T599" s="2">
        <v>31.91</v>
      </c>
      <c r="U599" t="s">
        <v>375</v>
      </c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</row>
    <row r="600" spans="1:51" s="5" customFormat="1" x14ac:dyDescent="0.25">
      <c r="A600">
        <v>2028052819</v>
      </c>
      <c r="B600" t="s">
        <v>520</v>
      </c>
      <c r="C600" t="s">
        <v>521</v>
      </c>
      <c r="D600" t="str">
        <f t="shared" si="30"/>
        <v>LANDON LIVELY</v>
      </c>
      <c r="E600" t="s">
        <v>97</v>
      </c>
      <c r="F600" t="s">
        <v>75</v>
      </c>
      <c r="G600" t="s">
        <v>80</v>
      </c>
      <c r="H600">
        <v>1706194</v>
      </c>
      <c r="I600" t="s">
        <v>396</v>
      </c>
      <c r="J600" t="s">
        <v>397</v>
      </c>
      <c r="K600" t="str">
        <f t="shared" si="29"/>
        <v>MATTHEW DAUGHERTY</v>
      </c>
      <c r="L600" s="1">
        <v>45748</v>
      </c>
      <c r="M600" s="1">
        <v>46023</v>
      </c>
      <c r="N600" s="2">
        <v>-164.84</v>
      </c>
      <c r="O600">
        <f t="shared" si="31"/>
        <v>9</v>
      </c>
      <c r="P600" t="s">
        <v>1370</v>
      </c>
      <c r="Q600" s="4">
        <v>0.9</v>
      </c>
      <c r="R600" t="s">
        <v>83</v>
      </c>
      <c r="S600" t="s">
        <v>61</v>
      </c>
      <c r="T600" s="2">
        <v>-148.36000000000001</v>
      </c>
      <c r="U600" t="s">
        <v>1372</v>
      </c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</row>
    <row r="601" spans="1:51" s="5" customFormat="1" x14ac:dyDescent="0.25">
      <c r="A601">
        <v>2028052818</v>
      </c>
      <c r="B601" t="s">
        <v>520</v>
      </c>
      <c r="C601" t="s">
        <v>521</v>
      </c>
      <c r="D601" t="str">
        <f t="shared" si="30"/>
        <v>LANDON LIVELY</v>
      </c>
      <c r="E601" t="s">
        <v>97</v>
      </c>
      <c r="F601" t="s">
        <v>126</v>
      </c>
      <c r="G601" t="s">
        <v>132</v>
      </c>
      <c r="H601">
        <v>1706194</v>
      </c>
      <c r="I601" t="s">
        <v>396</v>
      </c>
      <c r="J601" t="s">
        <v>397</v>
      </c>
      <c r="K601" t="str">
        <f t="shared" si="29"/>
        <v>MATTHEW DAUGHERTY</v>
      </c>
      <c r="L601" s="1">
        <v>45748</v>
      </c>
      <c r="M601" s="1">
        <v>46023</v>
      </c>
      <c r="N601" s="2">
        <v>-163.43</v>
      </c>
      <c r="O601">
        <f t="shared" si="31"/>
        <v>9</v>
      </c>
      <c r="P601" t="s">
        <v>1370</v>
      </c>
      <c r="Q601" s="4">
        <v>0.7</v>
      </c>
      <c r="R601" t="s">
        <v>83</v>
      </c>
      <c r="S601" t="s">
        <v>61</v>
      </c>
      <c r="T601" s="2">
        <v>-114.4</v>
      </c>
      <c r="U601" t="s">
        <v>132</v>
      </c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</row>
    <row r="602" spans="1:51" x14ac:dyDescent="0.25">
      <c r="A602">
        <v>2028052820</v>
      </c>
      <c r="B602" t="s">
        <v>520</v>
      </c>
      <c r="C602" t="s">
        <v>521</v>
      </c>
      <c r="D602" t="str">
        <f t="shared" si="30"/>
        <v>LANDON LIVELY</v>
      </c>
      <c r="E602" t="s">
        <v>97</v>
      </c>
      <c r="F602" t="s">
        <v>86</v>
      </c>
      <c r="G602" t="s">
        <v>87</v>
      </c>
      <c r="H602">
        <v>1706194</v>
      </c>
      <c r="I602" t="s">
        <v>396</v>
      </c>
      <c r="J602" t="s">
        <v>397</v>
      </c>
      <c r="K602" t="str">
        <f t="shared" si="29"/>
        <v>MATTHEW DAUGHERTY</v>
      </c>
      <c r="L602" s="1">
        <v>45748</v>
      </c>
      <c r="M602" s="1">
        <v>46023</v>
      </c>
      <c r="N602" s="2">
        <v>-132.93</v>
      </c>
      <c r="O602">
        <f t="shared" si="31"/>
        <v>9</v>
      </c>
      <c r="P602" t="s">
        <v>1370</v>
      </c>
      <c r="Q602" s="3">
        <v>0.375</v>
      </c>
      <c r="R602" t="s">
        <v>83</v>
      </c>
      <c r="S602" t="s">
        <v>61</v>
      </c>
      <c r="T602" s="2">
        <v>-49.85</v>
      </c>
      <c r="U602" t="s">
        <v>87</v>
      </c>
    </row>
    <row r="603" spans="1:51" x14ac:dyDescent="0.25">
      <c r="A603">
        <v>2028367118</v>
      </c>
      <c r="B603" t="s">
        <v>536</v>
      </c>
      <c r="C603" t="s">
        <v>537</v>
      </c>
      <c r="D603" t="str">
        <f t="shared" si="30"/>
        <v>ALEXIS BRECK</v>
      </c>
      <c r="E603" t="s">
        <v>79</v>
      </c>
      <c r="F603" t="s">
        <v>365</v>
      </c>
      <c r="G603" t="s">
        <v>370</v>
      </c>
      <c r="H603">
        <v>8977234</v>
      </c>
      <c r="I603" t="s">
        <v>81</v>
      </c>
      <c r="J603" t="s">
        <v>82</v>
      </c>
      <c r="K603" t="str">
        <f t="shared" si="29"/>
        <v>RYAN CALTAGIRONE</v>
      </c>
      <c r="L603" s="1">
        <v>45759</v>
      </c>
      <c r="M603" s="1">
        <v>46034</v>
      </c>
      <c r="N603" s="2">
        <v>181.4</v>
      </c>
      <c r="O603">
        <f t="shared" si="31"/>
        <v>9</v>
      </c>
      <c r="P603" t="s">
        <v>1370</v>
      </c>
      <c r="Q603" s="4">
        <v>0.38</v>
      </c>
      <c r="R603" t="s">
        <v>83</v>
      </c>
      <c r="S603" t="s">
        <v>61</v>
      </c>
      <c r="T603" s="2">
        <v>68.930000000000007</v>
      </c>
      <c r="U603" t="s">
        <v>370</v>
      </c>
    </row>
    <row r="604" spans="1:51" x14ac:dyDescent="0.25">
      <c r="A604">
        <v>2028367119</v>
      </c>
      <c r="B604" t="s">
        <v>536</v>
      </c>
      <c r="C604" t="s">
        <v>537</v>
      </c>
      <c r="D604" t="str">
        <f t="shared" si="30"/>
        <v>ALEXIS BRECK</v>
      </c>
      <c r="E604" t="s">
        <v>79</v>
      </c>
      <c r="F604" t="s">
        <v>365</v>
      </c>
      <c r="G604" t="s">
        <v>371</v>
      </c>
      <c r="H604">
        <v>8977234</v>
      </c>
      <c r="I604" t="s">
        <v>81</v>
      </c>
      <c r="J604" t="s">
        <v>82</v>
      </c>
      <c r="K604" t="str">
        <f t="shared" si="29"/>
        <v>RYAN CALTAGIRONE</v>
      </c>
      <c r="L604" s="1">
        <v>45759</v>
      </c>
      <c r="M604" s="1">
        <v>46034</v>
      </c>
      <c r="N604" s="2">
        <v>7.09</v>
      </c>
      <c r="O604">
        <f t="shared" si="31"/>
        <v>9</v>
      </c>
      <c r="P604" t="s">
        <v>1370</v>
      </c>
      <c r="Q604" s="4">
        <v>0.38</v>
      </c>
      <c r="R604" t="s">
        <v>83</v>
      </c>
      <c r="S604" t="s">
        <v>61</v>
      </c>
      <c r="T604" s="2">
        <v>2.69</v>
      </c>
      <c r="U604" t="s">
        <v>370</v>
      </c>
    </row>
    <row r="605" spans="1:51" x14ac:dyDescent="0.25">
      <c r="A605">
        <v>2028367117</v>
      </c>
      <c r="B605" t="s">
        <v>536</v>
      </c>
      <c r="C605" t="s">
        <v>537</v>
      </c>
      <c r="D605" t="str">
        <f t="shared" si="30"/>
        <v>ALEXIS BRECK</v>
      </c>
      <c r="E605" t="s">
        <v>79</v>
      </c>
      <c r="F605" t="s">
        <v>75</v>
      </c>
      <c r="G605" t="s">
        <v>80</v>
      </c>
      <c r="H605">
        <v>8977234</v>
      </c>
      <c r="I605" t="s">
        <v>81</v>
      </c>
      <c r="J605" t="s">
        <v>82</v>
      </c>
      <c r="K605" t="str">
        <f t="shared" si="29"/>
        <v>RYAN CALTAGIRONE</v>
      </c>
      <c r="L605" s="1">
        <v>45759</v>
      </c>
      <c r="M605" s="1">
        <v>46034</v>
      </c>
      <c r="N605" s="2">
        <v>27.71</v>
      </c>
      <c r="O605">
        <f t="shared" si="31"/>
        <v>9</v>
      </c>
      <c r="P605" t="s">
        <v>1370</v>
      </c>
      <c r="Q605" s="4">
        <v>0.9</v>
      </c>
      <c r="R605" t="s">
        <v>83</v>
      </c>
      <c r="S605" t="s">
        <v>61</v>
      </c>
      <c r="T605" s="2">
        <v>24.94</v>
      </c>
      <c r="U605" t="s">
        <v>1372</v>
      </c>
    </row>
    <row r="606" spans="1:51" x14ac:dyDescent="0.25">
      <c r="A606">
        <v>2028367121</v>
      </c>
      <c r="B606" t="s">
        <v>536</v>
      </c>
      <c r="C606" t="s">
        <v>537</v>
      </c>
      <c r="D606" t="str">
        <f t="shared" si="30"/>
        <v>ALEXIS BRECK</v>
      </c>
      <c r="E606" t="s">
        <v>79</v>
      </c>
      <c r="F606" t="s">
        <v>290</v>
      </c>
      <c r="G606" t="s">
        <v>298</v>
      </c>
      <c r="H606">
        <v>8977234</v>
      </c>
      <c r="I606" t="s">
        <v>81</v>
      </c>
      <c r="J606" t="s">
        <v>82</v>
      </c>
      <c r="K606" t="str">
        <f t="shared" si="29"/>
        <v>RYAN CALTAGIRONE</v>
      </c>
      <c r="L606" s="1">
        <v>45759</v>
      </c>
      <c r="M606" s="1">
        <v>46034</v>
      </c>
      <c r="N606" s="2">
        <v>15</v>
      </c>
      <c r="O606">
        <f t="shared" si="31"/>
        <v>9</v>
      </c>
      <c r="P606" t="s">
        <v>1370</v>
      </c>
      <c r="Q606" s="4">
        <v>0.38</v>
      </c>
      <c r="R606" t="s">
        <v>83</v>
      </c>
      <c r="S606" t="s">
        <v>61</v>
      </c>
      <c r="T606" s="2">
        <v>5.7</v>
      </c>
      <c r="U606" t="s">
        <v>298</v>
      </c>
    </row>
    <row r="607" spans="1:51" x14ac:dyDescent="0.25">
      <c r="A607">
        <v>2027573958</v>
      </c>
      <c r="B607" t="s">
        <v>514</v>
      </c>
      <c r="C607" t="s">
        <v>411</v>
      </c>
      <c r="D607" t="str">
        <f t="shared" si="30"/>
        <v>LARRY WILLIS</v>
      </c>
      <c r="E607" t="s">
        <v>515</v>
      </c>
      <c r="F607" t="s">
        <v>126</v>
      </c>
      <c r="G607" t="s">
        <v>132</v>
      </c>
      <c r="H607">
        <v>8977234</v>
      </c>
      <c r="I607" t="s">
        <v>81</v>
      </c>
      <c r="J607" t="s">
        <v>82</v>
      </c>
      <c r="K607" t="str">
        <f t="shared" si="29"/>
        <v>RYAN CALTAGIRONE</v>
      </c>
      <c r="L607" s="1">
        <v>45757</v>
      </c>
      <c r="M607" s="1">
        <v>46032</v>
      </c>
      <c r="N607" s="2">
        <v>130.27000000000001</v>
      </c>
      <c r="O607">
        <f t="shared" si="31"/>
        <v>9</v>
      </c>
      <c r="P607" t="s">
        <v>1370</v>
      </c>
      <c r="Q607" s="4">
        <v>0.7</v>
      </c>
      <c r="R607" t="s">
        <v>83</v>
      </c>
      <c r="S607" t="s">
        <v>61</v>
      </c>
      <c r="T607" s="2">
        <v>91.19</v>
      </c>
      <c r="U607" t="s">
        <v>132</v>
      </c>
    </row>
    <row r="608" spans="1:51" x14ac:dyDescent="0.25">
      <c r="A608">
        <v>2028367116</v>
      </c>
      <c r="B608" t="s">
        <v>536</v>
      </c>
      <c r="C608" t="s">
        <v>537</v>
      </c>
      <c r="D608" t="str">
        <f t="shared" si="30"/>
        <v>ALEXIS BRECK</v>
      </c>
      <c r="E608" t="s">
        <v>79</v>
      </c>
      <c r="F608" t="s">
        <v>126</v>
      </c>
      <c r="G608" t="s">
        <v>132</v>
      </c>
      <c r="H608">
        <v>8977234</v>
      </c>
      <c r="I608" t="s">
        <v>81</v>
      </c>
      <c r="J608" t="s">
        <v>82</v>
      </c>
      <c r="K608" t="str">
        <f t="shared" si="29"/>
        <v>RYAN CALTAGIRONE</v>
      </c>
      <c r="L608" s="1">
        <v>45759</v>
      </c>
      <c r="M608" s="1">
        <v>46034</v>
      </c>
      <c r="N608" s="2">
        <v>63.95</v>
      </c>
      <c r="O608">
        <f t="shared" si="31"/>
        <v>9</v>
      </c>
      <c r="P608" t="s">
        <v>1370</v>
      </c>
      <c r="Q608" s="4">
        <v>0.7</v>
      </c>
      <c r="R608" t="s">
        <v>83</v>
      </c>
      <c r="S608" t="s">
        <v>61</v>
      </c>
      <c r="T608" s="2">
        <v>44.76</v>
      </c>
      <c r="U608" t="s">
        <v>132</v>
      </c>
    </row>
    <row r="609" spans="1:51" x14ac:dyDescent="0.25">
      <c r="A609">
        <v>2027573959</v>
      </c>
      <c r="B609" t="s">
        <v>514</v>
      </c>
      <c r="C609" t="s">
        <v>411</v>
      </c>
      <c r="D609" t="str">
        <f t="shared" si="30"/>
        <v>LARRY WILLIS</v>
      </c>
      <c r="E609" t="s">
        <v>515</v>
      </c>
      <c r="F609" t="s">
        <v>86</v>
      </c>
      <c r="G609" t="s">
        <v>87</v>
      </c>
      <c r="H609">
        <v>8977234</v>
      </c>
      <c r="I609" t="s">
        <v>81</v>
      </c>
      <c r="J609" t="s">
        <v>82</v>
      </c>
      <c r="K609" t="str">
        <f t="shared" si="29"/>
        <v>RYAN CALTAGIRONE</v>
      </c>
      <c r="L609" s="1">
        <v>45757</v>
      </c>
      <c r="M609" s="1">
        <v>46032</v>
      </c>
      <c r="N609" s="2">
        <v>23.34</v>
      </c>
      <c r="O609">
        <f t="shared" si="31"/>
        <v>9</v>
      </c>
      <c r="P609" t="s">
        <v>1370</v>
      </c>
      <c r="Q609" s="3">
        <v>0.375</v>
      </c>
      <c r="R609" t="s">
        <v>83</v>
      </c>
      <c r="S609" t="s">
        <v>61</v>
      </c>
      <c r="T609" s="2">
        <v>8.75</v>
      </c>
      <c r="U609" t="s">
        <v>87</v>
      </c>
    </row>
    <row r="610" spans="1:51" x14ac:dyDescent="0.25">
      <c r="A610">
        <v>2028367120</v>
      </c>
      <c r="B610" t="s">
        <v>536</v>
      </c>
      <c r="C610" t="s">
        <v>537</v>
      </c>
      <c r="D610" t="str">
        <f t="shared" si="30"/>
        <v>ALEXIS BRECK</v>
      </c>
      <c r="E610" t="s">
        <v>79</v>
      </c>
      <c r="F610" t="s">
        <v>86</v>
      </c>
      <c r="G610" t="s">
        <v>87</v>
      </c>
      <c r="H610">
        <v>8977234</v>
      </c>
      <c r="I610" t="s">
        <v>81</v>
      </c>
      <c r="J610" t="s">
        <v>82</v>
      </c>
      <c r="K610" t="str">
        <f t="shared" si="29"/>
        <v>RYAN CALTAGIRONE</v>
      </c>
      <c r="L610" s="1">
        <v>45759</v>
      </c>
      <c r="M610" s="1">
        <v>46034</v>
      </c>
      <c r="N610" s="2">
        <v>18.62</v>
      </c>
      <c r="O610">
        <f t="shared" si="31"/>
        <v>9</v>
      </c>
      <c r="P610" t="s">
        <v>1370</v>
      </c>
      <c r="Q610" s="3">
        <v>0.375</v>
      </c>
      <c r="R610" t="s">
        <v>83</v>
      </c>
      <c r="S610" t="s">
        <v>61</v>
      </c>
      <c r="T610" s="2">
        <v>6.98</v>
      </c>
      <c r="U610" t="s">
        <v>87</v>
      </c>
    </row>
    <row r="611" spans="1:51" s="5" customFormat="1" x14ac:dyDescent="0.25">
      <c r="A611">
        <v>2026646040</v>
      </c>
      <c r="B611" t="s">
        <v>1015</v>
      </c>
      <c r="C611" t="s">
        <v>1016</v>
      </c>
      <c r="D611" t="str">
        <f t="shared" si="30"/>
        <v>NEAL BIEBER</v>
      </c>
      <c r="E611" t="s">
        <v>125</v>
      </c>
      <c r="F611" t="s">
        <v>108</v>
      </c>
      <c r="G611" t="s">
        <v>1017</v>
      </c>
      <c r="H611">
        <v>20411454</v>
      </c>
      <c r="I611" t="s">
        <v>110</v>
      </c>
      <c r="J611" t="s">
        <v>111</v>
      </c>
      <c r="K611" t="s">
        <v>1377</v>
      </c>
      <c r="L611" s="1">
        <v>45717</v>
      </c>
      <c r="M611" s="1">
        <v>46023</v>
      </c>
      <c r="N611" s="2">
        <v>8.7899999999999991</v>
      </c>
      <c r="O611">
        <f t="shared" si="31"/>
        <v>10</v>
      </c>
      <c r="P611" t="s">
        <v>1370</v>
      </c>
      <c r="Q611" s="4">
        <v>0.04</v>
      </c>
      <c r="R611" t="s">
        <v>83</v>
      </c>
      <c r="S611" t="s">
        <v>61</v>
      </c>
      <c r="T611" s="2">
        <v>8.7899999999999991</v>
      </c>
      <c r="U611" t="s">
        <v>1376</v>
      </c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</row>
    <row r="612" spans="1:51" s="5" customFormat="1" x14ac:dyDescent="0.25">
      <c r="A612">
        <v>2027501753</v>
      </c>
      <c r="B612" t="s">
        <v>837</v>
      </c>
      <c r="C612" t="s">
        <v>838</v>
      </c>
      <c r="D612" t="str">
        <f t="shared" si="30"/>
        <v>HANSSI ESCHEVERRIA</v>
      </c>
      <c r="E612" t="s">
        <v>163</v>
      </c>
      <c r="F612" t="s">
        <v>126</v>
      </c>
      <c r="G612" t="s">
        <v>127</v>
      </c>
      <c r="H612">
        <v>9079571</v>
      </c>
      <c r="I612" t="s">
        <v>235</v>
      </c>
      <c r="J612" t="s">
        <v>438</v>
      </c>
      <c r="K612" t="str">
        <f t="shared" ref="K612:K643" si="32">CONCATENATE(J612," ",I612)</f>
        <v>ADAM RICHTER</v>
      </c>
      <c r="L612" s="1">
        <v>45718</v>
      </c>
      <c r="M612" s="1">
        <v>46024</v>
      </c>
      <c r="N612" s="2">
        <v>24.61</v>
      </c>
      <c r="O612">
        <f t="shared" si="31"/>
        <v>10</v>
      </c>
      <c r="P612" t="s">
        <v>1370</v>
      </c>
      <c r="Q612" s="4">
        <v>0.7</v>
      </c>
      <c r="R612" t="s">
        <v>83</v>
      </c>
      <c r="S612" t="s">
        <v>61</v>
      </c>
      <c r="T612" s="2">
        <v>17.23</v>
      </c>
      <c r="U612" t="s">
        <v>127</v>
      </c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</row>
    <row r="613" spans="1:51" s="5" customFormat="1" x14ac:dyDescent="0.25">
      <c r="A613">
        <v>2027501754</v>
      </c>
      <c r="B613" t="s">
        <v>837</v>
      </c>
      <c r="C613" t="s">
        <v>838</v>
      </c>
      <c r="D613" t="str">
        <f t="shared" si="30"/>
        <v>HANSSI ESCHEVERRIA</v>
      </c>
      <c r="E613" t="s">
        <v>163</v>
      </c>
      <c r="F613" t="s">
        <v>75</v>
      </c>
      <c r="G613" t="s">
        <v>80</v>
      </c>
      <c r="H613">
        <v>9079571</v>
      </c>
      <c r="I613" t="s">
        <v>235</v>
      </c>
      <c r="J613" t="s">
        <v>438</v>
      </c>
      <c r="K613" t="str">
        <f t="shared" si="32"/>
        <v>ADAM RICHTER</v>
      </c>
      <c r="L613" s="1">
        <v>45718</v>
      </c>
      <c r="M613" s="1">
        <v>46024</v>
      </c>
      <c r="N613" s="2">
        <v>38.07</v>
      </c>
      <c r="O613">
        <f t="shared" si="31"/>
        <v>10</v>
      </c>
      <c r="P613" t="s">
        <v>1370</v>
      </c>
      <c r="Q613" s="4">
        <v>0.9</v>
      </c>
      <c r="R613" t="s">
        <v>83</v>
      </c>
      <c r="S613" t="s">
        <v>61</v>
      </c>
      <c r="T613" s="2">
        <v>34.26</v>
      </c>
      <c r="U613" t="s">
        <v>1372</v>
      </c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</row>
    <row r="614" spans="1:51" s="5" customFormat="1" x14ac:dyDescent="0.25">
      <c r="A614">
        <v>2027501755</v>
      </c>
      <c r="B614" t="s">
        <v>837</v>
      </c>
      <c r="C614" t="s">
        <v>838</v>
      </c>
      <c r="D614" t="str">
        <f t="shared" si="30"/>
        <v>HANSSI ESCHEVERRIA</v>
      </c>
      <c r="E614" t="s">
        <v>163</v>
      </c>
      <c r="F614" t="s">
        <v>126</v>
      </c>
      <c r="G614" t="s">
        <v>402</v>
      </c>
      <c r="H614">
        <v>9079571</v>
      </c>
      <c r="I614" t="s">
        <v>235</v>
      </c>
      <c r="J614" t="s">
        <v>438</v>
      </c>
      <c r="K614" t="str">
        <f t="shared" si="32"/>
        <v>ADAM RICHTER</v>
      </c>
      <c r="L614" s="1">
        <v>45718</v>
      </c>
      <c r="M614" s="1">
        <v>46024</v>
      </c>
      <c r="N614" s="2">
        <v>36.299999999999997</v>
      </c>
      <c r="O614">
        <f t="shared" si="31"/>
        <v>10</v>
      </c>
      <c r="P614" t="s">
        <v>1370</v>
      </c>
      <c r="Q614" s="4">
        <v>0.42</v>
      </c>
      <c r="R614" t="s">
        <v>83</v>
      </c>
      <c r="S614" t="s">
        <v>61</v>
      </c>
      <c r="T614" s="2">
        <v>15.25</v>
      </c>
      <c r="U614" t="s">
        <v>402</v>
      </c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</row>
    <row r="615" spans="1:51" s="5" customFormat="1" x14ac:dyDescent="0.25">
      <c r="A615">
        <v>2027380471</v>
      </c>
      <c r="B615" t="s">
        <v>510</v>
      </c>
      <c r="C615" t="s">
        <v>511</v>
      </c>
      <c r="D615" t="str">
        <f t="shared" si="30"/>
        <v>ALDWIN AUSTIN</v>
      </c>
      <c r="E615" t="s">
        <v>102</v>
      </c>
      <c r="F615" t="s">
        <v>126</v>
      </c>
      <c r="G615" t="s">
        <v>132</v>
      </c>
      <c r="H615">
        <v>21435997</v>
      </c>
      <c r="I615" t="s">
        <v>224</v>
      </c>
      <c r="J615" t="s">
        <v>225</v>
      </c>
      <c r="K615" t="str">
        <f t="shared" si="32"/>
        <v>Christopher Brousseau</v>
      </c>
      <c r="L615" s="1">
        <v>45723</v>
      </c>
      <c r="M615" s="1">
        <v>46029</v>
      </c>
      <c r="N615" s="2">
        <v>11.5</v>
      </c>
      <c r="O615">
        <f t="shared" si="31"/>
        <v>10</v>
      </c>
      <c r="P615" t="s">
        <v>1370</v>
      </c>
      <c r="Q615" s="4">
        <v>0.7</v>
      </c>
      <c r="R615" t="s">
        <v>83</v>
      </c>
      <c r="S615" t="s">
        <v>61</v>
      </c>
      <c r="T615" s="2">
        <v>8.0500000000000007</v>
      </c>
      <c r="U615" t="s">
        <v>132</v>
      </c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</row>
    <row r="616" spans="1:51" s="5" customFormat="1" x14ac:dyDescent="0.25">
      <c r="A616">
        <v>2027380470</v>
      </c>
      <c r="B616" t="s">
        <v>510</v>
      </c>
      <c r="C616" t="s">
        <v>511</v>
      </c>
      <c r="D616" t="str">
        <f t="shared" si="30"/>
        <v>ALDWIN AUSTIN</v>
      </c>
      <c r="E616" t="s">
        <v>102</v>
      </c>
      <c r="F616" t="s">
        <v>86</v>
      </c>
      <c r="G616" t="s">
        <v>87</v>
      </c>
      <c r="H616">
        <v>21435997</v>
      </c>
      <c r="I616" t="s">
        <v>224</v>
      </c>
      <c r="J616" t="s">
        <v>225</v>
      </c>
      <c r="K616" t="str">
        <f t="shared" si="32"/>
        <v>Christopher Brousseau</v>
      </c>
      <c r="L616" s="1">
        <v>45723</v>
      </c>
      <c r="M616" s="1">
        <v>46029</v>
      </c>
      <c r="N616" s="2">
        <v>60.3</v>
      </c>
      <c r="O616">
        <f t="shared" si="31"/>
        <v>10</v>
      </c>
      <c r="P616" t="s">
        <v>1370</v>
      </c>
      <c r="Q616" s="3">
        <v>0.375</v>
      </c>
      <c r="R616" t="s">
        <v>83</v>
      </c>
      <c r="S616" t="s">
        <v>61</v>
      </c>
      <c r="T616" s="2">
        <v>22.61</v>
      </c>
      <c r="U616" t="s">
        <v>87</v>
      </c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</row>
    <row r="617" spans="1:51" s="5" customFormat="1" x14ac:dyDescent="0.25">
      <c r="A617">
        <v>2027175182</v>
      </c>
      <c r="B617" t="s">
        <v>203</v>
      </c>
      <c r="C617" t="s">
        <v>204</v>
      </c>
      <c r="D617" t="str">
        <f t="shared" si="30"/>
        <v>KIMBERLY LAUFF</v>
      </c>
      <c r="E617" t="s">
        <v>52</v>
      </c>
      <c r="F617" t="s">
        <v>169</v>
      </c>
      <c r="G617" t="s">
        <v>170</v>
      </c>
      <c r="H617" t="s">
        <v>1390</v>
      </c>
      <c r="I617" t="s">
        <v>183</v>
      </c>
      <c r="J617" t="s">
        <v>184</v>
      </c>
      <c r="K617" t="str">
        <f t="shared" si="32"/>
        <v>DEBORAH INSKIPT</v>
      </c>
      <c r="L617" s="1">
        <v>45717</v>
      </c>
      <c r="M617" s="1">
        <v>46023</v>
      </c>
      <c r="N617" s="2">
        <v>87.18</v>
      </c>
      <c r="O617">
        <f t="shared" si="31"/>
        <v>10</v>
      </c>
      <c r="P617" t="s">
        <v>1370</v>
      </c>
      <c r="Q617" s="4">
        <v>0.47</v>
      </c>
      <c r="R617" t="s">
        <v>83</v>
      </c>
      <c r="S617" t="s">
        <v>61</v>
      </c>
      <c r="T617" s="2">
        <v>40.97</v>
      </c>
      <c r="U617" t="s">
        <v>170</v>
      </c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</row>
    <row r="618" spans="1:51" s="5" customFormat="1" x14ac:dyDescent="0.25">
      <c r="A618">
        <v>2026970603</v>
      </c>
      <c r="B618" t="s">
        <v>614</v>
      </c>
      <c r="C618" t="s">
        <v>283</v>
      </c>
      <c r="D618" t="str">
        <f t="shared" si="30"/>
        <v>TRACY LEE</v>
      </c>
      <c r="E618" t="s">
        <v>97</v>
      </c>
      <c r="F618" t="s">
        <v>75</v>
      </c>
      <c r="G618" t="s">
        <v>76</v>
      </c>
      <c r="H618">
        <v>8307933</v>
      </c>
      <c r="I618" t="s">
        <v>246</v>
      </c>
      <c r="J618" t="s">
        <v>247</v>
      </c>
      <c r="K618" t="str">
        <f t="shared" si="32"/>
        <v>GREGORY TEIPEL</v>
      </c>
      <c r="L618" s="1">
        <v>45723</v>
      </c>
      <c r="M618" s="1">
        <v>46029</v>
      </c>
      <c r="N618" s="2">
        <v>132.5</v>
      </c>
      <c r="O618">
        <f t="shared" si="31"/>
        <v>10</v>
      </c>
      <c r="P618" t="s">
        <v>1370</v>
      </c>
      <c r="Q618" s="4">
        <v>0.75</v>
      </c>
      <c r="R618" t="s">
        <v>83</v>
      </c>
      <c r="S618" t="s">
        <v>61</v>
      </c>
      <c r="T618" s="2">
        <v>99.38</v>
      </c>
      <c r="U618" t="s">
        <v>1371</v>
      </c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</row>
    <row r="619" spans="1:51" s="5" customFormat="1" x14ac:dyDescent="0.25">
      <c r="A619">
        <v>2027235546</v>
      </c>
      <c r="B619" t="s">
        <v>831</v>
      </c>
      <c r="C619" t="s">
        <v>832</v>
      </c>
      <c r="D619" t="str">
        <f t="shared" si="30"/>
        <v>TROY CUPPLES</v>
      </c>
      <c r="E619" t="s">
        <v>408</v>
      </c>
      <c r="F619" t="s">
        <v>75</v>
      </c>
      <c r="G619" t="s">
        <v>76</v>
      </c>
      <c r="H619">
        <v>8307933</v>
      </c>
      <c r="I619" t="s">
        <v>246</v>
      </c>
      <c r="J619" t="s">
        <v>247</v>
      </c>
      <c r="K619" t="str">
        <f t="shared" si="32"/>
        <v>GREGORY TEIPEL</v>
      </c>
      <c r="L619" s="1">
        <v>45723</v>
      </c>
      <c r="M619" s="1">
        <v>46029</v>
      </c>
      <c r="N619" s="2">
        <v>107.07</v>
      </c>
      <c r="O619">
        <f t="shared" si="31"/>
        <v>10</v>
      </c>
      <c r="P619" t="s">
        <v>1370</v>
      </c>
      <c r="Q619" s="4">
        <v>0.75</v>
      </c>
      <c r="R619" t="s">
        <v>83</v>
      </c>
      <c r="S619" t="s">
        <v>61</v>
      </c>
      <c r="T619" s="2">
        <v>80.3</v>
      </c>
      <c r="U619" t="s">
        <v>1371</v>
      </c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</row>
    <row r="620" spans="1:51" s="5" customFormat="1" x14ac:dyDescent="0.25">
      <c r="A620">
        <v>2027298069</v>
      </c>
      <c r="B620" t="s">
        <v>833</v>
      </c>
      <c r="C620" t="s">
        <v>834</v>
      </c>
      <c r="D620" t="str">
        <f t="shared" si="30"/>
        <v>TYSON OWEN</v>
      </c>
      <c r="E620" t="s">
        <v>374</v>
      </c>
      <c r="F620" t="s">
        <v>75</v>
      </c>
      <c r="G620" t="s">
        <v>76</v>
      </c>
      <c r="H620">
        <v>8307933</v>
      </c>
      <c r="I620" t="s">
        <v>246</v>
      </c>
      <c r="J620" t="s">
        <v>247</v>
      </c>
      <c r="K620" t="str">
        <f t="shared" si="32"/>
        <v>GREGORY TEIPEL</v>
      </c>
      <c r="L620" s="1">
        <v>45723</v>
      </c>
      <c r="M620" s="1">
        <v>46029</v>
      </c>
      <c r="N620" s="2">
        <v>45.28</v>
      </c>
      <c r="O620">
        <f t="shared" si="31"/>
        <v>10</v>
      </c>
      <c r="P620" t="s">
        <v>1370</v>
      </c>
      <c r="Q620" s="4">
        <v>0.75</v>
      </c>
      <c r="R620" t="s">
        <v>83</v>
      </c>
      <c r="S620" t="s">
        <v>61</v>
      </c>
      <c r="T620" s="2">
        <v>33.96</v>
      </c>
      <c r="U620" t="s">
        <v>1371</v>
      </c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</row>
    <row r="621" spans="1:51" s="5" customFormat="1" x14ac:dyDescent="0.25">
      <c r="A621">
        <v>2027429540</v>
      </c>
      <c r="B621" t="s">
        <v>836</v>
      </c>
      <c r="C621" t="s">
        <v>115</v>
      </c>
      <c r="D621" t="str">
        <f t="shared" si="30"/>
        <v>STEPHEN NARRELL</v>
      </c>
      <c r="E621" t="s">
        <v>374</v>
      </c>
      <c r="F621" t="s">
        <v>75</v>
      </c>
      <c r="G621" t="s">
        <v>76</v>
      </c>
      <c r="H621">
        <v>8307933</v>
      </c>
      <c r="I621" t="s">
        <v>246</v>
      </c>
      <c r="J621" t="s">
        <v>247</v>
      </c>
      <c r="K621" t="str">
        <f t="shared" si="32"/>
        <v>GREGORY TEIPEL</v>
      </c>
      <c r="L621" s="1">
        <v>45723</v>
      </c>
      <c r="M621" s="1">
        <v>46029</v>
      </c>
      <c r="N621" s="2">
        <v>161.83000000000001</v>
      </c>
      <c r="O621">
        <f t="shared" si="31"/>
        <v>10</v>
      </c>
      <c r="P621" t="s">
        <v>1370</v>
      </c>
      <c r="Q621" s="4">
        <v>0.75</v>
      </c>
      <c r="R621" t="s">
        <v>83</v>
      </c>
      <c r="S621" t="s">
        <v>61</v>
      </c>
      <c r="T621" s="2">
        <v>121.37</v>
      </c>
      <c r="U621" t="s">
        <v>1371</v>
      </c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</row>
    <row r="622" spans="1:51" s="5" customFormat="1" x14ac:dyDescent="0.25">
      <c r="A622">
        <v>2027482814</v>
      </c>
      <c r="B622" t="s">
        <v>226</v>
      </c>
      <c r="C622" t="s">
        <v>137</v>
      </c>
      <c r="D622" t="str">
        <f t="shared" si="30"/>
        <v>JAMES BENNETT</v>
      </c>
      <c r="E622" t="s">
        <v>374</v>
      </c>
      <c r="F622" t="s">
        <v>75</v>
      </c>
      <c r="G622" t="s">
        <v>76</v>
      </c>
      <c r="H622">
        <v>8307933</v>
      </c>
      <c r="I622" t="s">
        <v>246</v>
      </c>
      <c r="J622" t="s">
        <v>247</v>
      </c>
      <c r="K622" t="str">
        <f t="shared" si="32"/>
        <v>GREGORY TEIPEL</v>
      </c>
      <c r="L622" s="1">
        <v>45723</v>
      </c>
      <c r="M622" s="1">
        <v>46029</v>
      </c>
      <c r="N622" s="2">
        <v>28.75</v>
      </c>
      <c r="O622">
        <f t="shared" si="31"/>
        <v>10</v>
      </c>
      <c r="P622" t="s">
        <v>1370</v>
      </c>
      <c r="Q622" s="4">
        <v>0.75</v>
      </c>
      <c r="R622" t="s">
        <v>83</v>
      </c>
      <c r="S622" t="s">
        <v>61</v>
      </c>
      <c r="T622" s="2">
        <v>21.56</v>
      </c>
      <c r="U622" t="s">
        <v>1371</v>
      </c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</row>
    <row r="623" spans="1:51" s="5" customFormat="1" x14ac:dyDescent="0.25">
      <c r="A623">
        <v>2027235545</v>
      </c>
      <c r="B623" t="s">
        <v>831</v>
      </c>
      <c r="C623" t="s">
        <v>832</v>
      </c>
      <c r="D623" t="str">
        <f t="shared" si="30"/>
        <v>TROY CUPPLES</v>
      </c>
      <c r="E623" t="s">
        <v>408</v>
      </c>
      <c r="F623" t="s">
        <v>126</v>
      </c>
      <c r="G623" t="s">
        <v>132</v>
      </c>
      <c r="H623">
        <v>8307933</v>
      </c>
      <c r="I623" t="s">
        <v>246</v>
      </c>
      <c r="J623" t="s">
        <v>247</v>
      </c>
      <c r="K623" t="str">
        <f t="shared" si="32"/>
        <v>GREGORY TEIPEL</v>
      </c>
      <c r="L623" s="1">
        <v>45723</v>
      </c>
      <c r="M623" s="1">
        <v>46029</v>
      </c>
      <c r="N623" s="2">
        <v>122.53</v>
      </c>
      <c r="O623">
        <f t="shared" si="31"/>
        <v>10</v>
      </c>
      <c r="P623" t="s">
        <v>1370</v>
      </c>
      <c r="Q623" s="4">
        <v>0.7</v>
      </c>
      <c r="R623" t="s">
        <v>83</v>
      </c>
      <c r="S623" t="s">
        <v>61</v>
      </c>
      <c r="T623" s="2">
        <v>85.77</v>
      </c>
      <c r="U623" t="s">
        <v>132</v>
      </c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</row>
    <row r="624" spans="1:51" s="5" customFormat="1" x14ac:dyDescent="0.25">
      <c r="A624">
        <v>2027298067</v>
      </c>
      <c r="B624" t="s">
        <v>833</v>
      </c>
      <c r="C624" t="s">
        <v>834</v>
      </c>
      <c r="D624" t="str">
        <f t="shared" si="30"/>
        <v>TYSON OWEN</v>
      </c>
      <c r="E624" t="s">
        <v>374</v>
      </c>
      <c r="F624" t="s">
        <v>126</v>
      </c>
      <c r="G624" t="s">
        <v>132</v>
      </c>
      <c r="H624">
        <v>8307933</v>
      </c>
      <c r="I624" t="s">
        <v>246</v>
      </c>
      <c r="J624" t="s">
        <v>247</v>
      </c>
      <c r="K624" t="str">
        <f t="shared" si="32"/>
        <v>GREGORY TEIPEL</v>
      </c>
      <c r="L624" s="1">
        <v>45723</v>
      </c>
      <c r="M624" s="1">
        <v>46029</v>
      </c>
      <c r="N624" s="2">
        <v>73.56</v>
      </c>
      <c r="O624">
        <f t="shared" si="31"/>
        <v>10</v>
      </c>
      <c r="P624" t="s">
        <v>1370</v>
      </c>
      <c r="Q624" s="4">
        <v>0.7</v>
      </c>
      <c r="R624" t="s">
        <v>83</v>
      </c>
      <c r="S624" t="s">
        <v>61</v>
      </c>
      <c r="T624" s="2">
        <v>51.49</v>
      </c>
      <c r="U624" t="s">
        <v>132</v>
      </c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</row>
    <row r="625" spans="1:51" s="5" customFormat="1" x14ac:dyDescent="0.25">
      <c r="A625">
        <v>2027429539</v>
      </c>
      <c r="B625" t="s">
        <v>836</v>
      </c>
      <c r="C625" t="s">
        <v>115</v>
      </c>
      <c r="D625" t="str">
        <f t="shared" si="30"/>
        <v>STEPHEN NARRELL</v>
      </c>
      <c r="E625" t="s">
        <v>374</v>
      </c>
      <c r="F625" t="s">
        <v>126</v>
      </c>
      <c r="G625" t="s">
        <v>132</v>
      </c>
      <c r="H625">
        <v>8307933</v>
      </c>
      <c r="I625" t="s">
        <v>246</v>
      </c>
      <c r="J625" t="s">
        <v>247</v>
      </c>
      <c r="K625" t="str">
        <f t="shared" si="32"/>
        <v>GREGORY TEIPEL</v>
      </c>
      <c r="L625" s="1">
        <v>45723</v>
      </c>
      <c r="M625" s="1">
        <v>46029</v>
      </c>
      <c r="N625" s="2">
        <v>161.30000000000001</v>
      </c>
      <c r="O625">
        <f t="shared" si="31"/>
        <v>10</v>
      </c>
      <c r="P625" t="s">
        <v>1370</v>
      </c>
      <c r="Q625" s="4">
        <v>0.7</v>
      </c>
      <c r="R625" t="s">
        <v>83</v>
      </c>
      <c r="S625" t="s">
        <v>61</v>
      </c>
      <c r="T625" s="2">
        <v>112.91</v>
      </c>
      <c r="U625" t="s">
        <v>132</v>
      </c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</row>
    <row r="626" spans="1:51" s="5" customFormat="1" x14ac:dyDescent="0.25">
      <c r="A626">
        <v>2027482812</v>
      </c>
      <c r="B626" t="s">
        <v>226</v>
      </c>
      <c r="C626" t="s">
        <v>137</v>
      </c>
      <c r="D626" t="str">
        <f t="shared" si="30"/>
        <v>JAMES BENNETT</v>
      </c>
      <c r="E626" t="s">
        <v>374</v>
      </c>
      <c r="F626" t="s">
        <v>126</v>
      </c>
      <c r="G626" t="s">
        <v>132</v>
      </c>
      <c r="H626">
        <v>8307933</v>
      </c>
      <c r="I626" t="s">
        <v>246</v>
      </c>
      <c r="J626" t="s">
        <v>247</v>
      </c>
      <c r="K626" t="str">
        <f t="shared" si="32"/>
        <v>GREGORY TEIPEL</v>
      </c>
      <c r="L626" s="1">
        <v>45723</v>
      </c>
      <c r="M626" s="1">
        <v>46029</v>
      </c>
      <c r="N626" s="2">
        <v>28.73</v>
      </c>
      <c r="O626">
        <f t="shared" si="31"/>
        <v>10</v>
      </c>
      <c r="P626" t="s">
        <v>1370</v>
      </c>
      <c r="Q626" s="4">
        <v>0.7</v>
      </c>
      <c r="R626" t="s">
        <v>83</v>
      </c>
      <c r="S626" t="s">
        <v>61</v>
      </c>
      <c r="T626" s="2">
        <v>20.11</v>
      </c>
      <c r="U626" t="s">
        <v>132</v>
      </c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</row>
    <row r="627" spans="1:51" s="5" customFormat="1" x14ac:dyDescent="0.25">
      <c r="A627">
        <v>2027482811</v>
      </c>
      <c r="B627" t="s">
        <v>226</v>
      </c>
      <c r="C627" t="s">
        <v>137</v>
      </c>
      <c r="D627" t="str">
        <f t="shared" si="30"/>
        <v>JAMES BENNETT</v>
      </c>
      <c r="E627" t="s">
        <v>374</v>
      </c>
      <c r="F627" t="s">
        <v>86</v>
      </c>
      <c r="G627" t="s">
        <v>87</v>
      </c>
      <c r="H627">
        <v>8307933</v>
      </c>
      <c r="I627" t="s">
        <v>246</v>
      </c>
      <c r="J627" t="s">
        <v>247</v>
      </c>
      <c r="K627" t="str">
        <f t="shared" si="32"/>
        <v>GREGORY TEIPEL</v>
      </c>
      <c r="L627" s="1">
        <v>45723</v>
      </c>
      <c r="M627" s="1">
        <v>46029</v>
      </c>
      <c r="N627" s="2">
        <v>40.1</v>
      </c>
      <c r="O627">
        <f t="shared" si="31"/>
        <v>10</v>
      </c>
      <c r="P627" t="s">
        <v>1370</v>
      </c>
      <c r="Q627" s="3">
        <v>0.375</v>
      </c>
      <c r="R627" t="s">
        <v>83</v>
      </c>
      <c r="S627" t="s">
        <v>61</v>
      </c>
      <c r="T627" s="2">
        <v>15.04</v>
      </c>
      <c r="U627" t="s">
        <v>87</v>
      </c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</row>
    <row r="628" spans="1:51" s="5" customFormat="1" x14ac:dyDescent="0.25">
      <c r="A628">
        <v>2027545460</v>
      </c>
      <c r="B628" t="s">
        <v>512</v>
      </c>
      <c r="C628" t="s">
        <v>513</v>
      </c>
      <c r="D628" t="str">
        <f t="shared" si="30"/>
        <v>FRANCHESCA GATZ</v>
      </c>
      <c r="E628" t="s">
        <v>102</v>
      </c>
      <c r="F628" t="s">
        <v>86</v>
      </c>
      <c r="G628" t="s">
        <v>87</v>
      </c>
      <c r="H628">
        <v>8307933</v>
      </c>
      <c r="I628" t="s">
        <v>246</v>
      </c>
      <c r="J628" t="s">
        <v>247</v>
      </c>
      <c r="K628" t="str">
        <f t="shared" si="32"/>
        <v>GREGORY TEIPEL</v>
      </c>
      <c r="L628" s="1">
        <v>45723</v>
      </c>
      <c r="M628" s="1">
        <v>46029</v>
      </c>
      <c r="N628" s="2">
        <v>48.61</v>
      </c>
      <c r="O628">
        <f t="shared" si="31"/>
        <v>10</v>
      </c>
      <c r="P628" t="s">
        <v>1370</v>
      </c>
      <c r="Q628" s="3">
        <v>0.375</v>
      </c>
      <c r="R628" t="s">
        <v>83</v>
      </c>
      <c r="S628" t="s">
        <v>61</v>
      </c>
      <c r="T628" s="2">
        <v>18.23</v>
      </c>
      <c r="U628" t="s">
        <v>87</v>
      </c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</row>
    <row r="629" spans="1:51" s="5" customFormat="1" x14ac:dyDescent="0.25">
      <c r="A629">
        <v>2026970604</v>
      </c>
      <c r="B629" t="s">
        <v>614</v>
      </c>
      <c r="C629" t="s">
        <v>283</v>
      </c>
      <c r="D629" t="str">
        <f t="shared" si="30"/>
        <v>TRACY LEE</v>
      </c>
      <c r="E629" t="s">
        <v>97</v>
      </c>
      <c r="F629" t="s">
        <v>126</v>
      </c>
      <c r="G629" t="s">
        <v>375</v>
      </c>
      <c r="H629">
        <v>8307933</v>
      </c>
      <c r="I629" t="s">
        <v>246</v>
      </c>
      <c r="J629" t="s">
        <v>247</v>
      </c>
      <c r="K629" t="str">
        <f t="shared" si="32"/>
        <v>GREGORY TEIPEL</v>
      </c>
      <c r="L629" s="1">
        <v>45723</v>
      </c>
      <c r="M629" s="1">
        <v>46029</v>
      </c>
      <c r="N629" s="2">
        <v>99.25</v>
      </c>
      <c r="O629">
        <f t="shared" si="31"/>
        <v>10</v>
      </c>
      <c r="P629" t="s">
        <v>1370</v>
      </c>
      <c r="Q629" s="4">
        <v>0.9</v>
      </c>
      <c r="R629" t="s">
        <v>83</v>
      </c>
      <c r="S629" t="s">
        <v>61</v>
      </c>
      <c r="T629" s="2">
        <v>89.32</v>
      </c>
      <c r="U629" t="s">
        <v>375</v>
      </c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</row>
    <row r="630" spans="1:51" s="5" customFormat="1" x14ac:dyDescent="0.25">
      <c r="A630">
        <v>2027298068</v>
      </c>
      <c r="B630" t="s">
        <v>833</v>
      </c>
      <c r="C630" t="s">
        <v>834</v>
      </c>
      <c r="D630" t="str">
        <f t="shared" si="30"/>
        <v>TYSON OWEN</v>
      </c>
      <c r="E630" t="s">
        <v>374</v>
      </c>
      <c r="F630" t="s">
        <v>126</v>
      </c>
      <c r="G630" t="s">
        <v>375</v>
      </c>
      <c r="H630">
        <v>8307933</v>
      </c>
      <c r="I630" t="s">
        <v>246</v>
      </c>
      <c r="J630" t="s">
        <v>247</v>
      </c>
      <c r="K630" t="str">
        <f t="shared" si="32"/>
        <v>GREGORY TEIPEL</v>
      </c>
      <c r="L630" s="1">
        <v>45723</v>
      </c>
      <c r="M630" s="1">
        <v>46029</v>
      </c>
      <c r="N630" s="2">
        <v>64.92</v>
      </c>
      <c r="O630">
        <f t="shared" si="31"/>
        <v>10</v>
      </c>
      <c r="P630" t="s">
        <v>1370</v>
      </c>
      <c r="Q630" s="4">
        <v>0.9</v>
      </c>
      <c r="R630" t="s">
        <v>83</v>
      </c>
      <c r="S630" t="s">
        <v>61</v>
      </c>
      <c r="T630" s="2">
        <v>58.43</v>
      </c>
      <c r="U630" t="s">
        <v>375</v>
      </c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</row>
    <row r="631" spans="1:51" s="5" customFormat="1" x14ac:dyDescent="0.25">
      <c r="A631">
        <v>2027482813</v>
      </c>
      <c r="B631" t="s">
        <v>226</v>
      </c>
      <c r="C631" t="s">
        <v>137</v>
      </c>
      <c r="D631" t="str">
        <f t="shared" si="30"/>
        <v>JAMES BENNETT</v>
      </c>
      <c r="E631" t="s">
        <v>374</v>
      </c>
      <c r="F631" t="s">
        <v>126</v>
      </c>
      <c r="G631" t="s">
        <v>375</v>
      </c>
      <c r="H631">
        <v>8307933</v>
      </c>
      <c r="I631" t="s">
        <v>246</v>
      </c>
      <c r="J631" t="s">
        <v>247</v>
      </c>
      <c r="K631" t="str">
        <f t="shared" si="32"/>
        <v>GREGORY TEIPEL</v>
      </c>
      <c r="L631" s="1">
        <v>45723</v>
      </c>
      <c r="M631" s="1">
        <v>46029</v>
      </c>
      <c r="N631" s="2">
        <v>29.25</v>
      </c>
      <c r="O631">
        <f t="shared" si="31"/>
        <v>10</v>
      </c>
      <c r="P631" t="s">
        <v>1370</v>
      </c>
      <c r="Q631" s="4">
        <v>0.9</v>
      </c>
      <c r="R631" t="s">
        <v>83</v>
      </c>
      <c r="S631" t="s">
        <v>61</v>
      </c>
      <c r="T631" s="2">
        <v>26.32</v>
      </c>
      <c r="U631" t="s">
        <v>375</v>
      </c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</row>
    <row r="632" spans="1:51" x14ac:dyDescent="0.25">
      <c r="A632">
        <v>2027545459</v>
      </c>
      <c r="B632" t="s">
        <v>512</v>
      </c>
      <c r="C632" t="s">
        <v>513</v>
      </c>
      <c r="D632" t="str">
        <f t="shared" si="30"/>
        <v>FRANCHESCA GATZ</v>
      </c>
      <c r="E632" t="s">
        <v>102</v>
      </c>
      <c r="F632" t="s">
        <v>126</v>
      </c>
      <c r="G632" t="s">
        <v>375</v>
      </c>
      <c r="H632">
        <v>8307933</v>
      </c>
      <c r="I632" t="s">
        <v>246</v>
      </c>
      <c r="J632" t="s">
        <v>247</v>
      </c>
      <c r="K632" t="str">
        <f t="shared" si="32"/>
        <v>GREGORY TEIPEL</v>
      </c>
      <c r="L632" s="1">
        <v>45723</v>
      </c>
      <c r="M632" s="1">
        <v>46029</v>
      </c>
      <c r="N632" s="2">
        <v>25</v>
      </c>
      <c r="O632">
        <f t="shared" si="31"/>
        <v>10</v>
      </c>
      <c r="P632" t="s">
        <v>1370</v>
      </c>
      <c r="Q632" s="4">
        <v>0.9</v>
      </c>
      <c r="R632" t="s">
        <v>83</v>
      </c>
      <c r="S632" t="s">
        <v>61</v>
      </c>
      <c r="T632" s="2">
        <v>22.5</v>
      </c>
      <c r="U632" t="s">
        <v>375</v>
      </c>
    </row>
    <row r="633" spans="1:51" x14ac:dyDescent="0.25">
      <c r="A633">
        <v>2027729457</v>
      </c>
      <c r="B633" t="s">
        <v>518</v>
      </c>
      <c r="C633" t="s">
        <v>519</v>
      </c>
      <c r="D633" t="str">
        <f t="shared" si="30"/>
        <v>ANTONIO CASTELAN</v>
      </c>
      <c r="E633" t="s">
        <v>102</v>
      </c>
      <c r="F633" t="s">
        <v>126</v>
      </c>
      <c r="G633" t="s">
        <v>132</v>
      </c>
      <c r="H633">
        <v>18754354</v>
      </c>
      <c r="I633" t="s">
        <v>159</v>
      </c>
      <c r="J633" t="s">
        <v>160</v>
      </c>
      <c r="K633" t="str">
        <f t="shared" si="32"/>
        <v>JACOB YALE</v>
      </c>
      <c r="L633" s="1">
        <v>45728</v>
      </c>
      <c r="M633" s="1">
        <v>46034</v>
      </c>
      <c r="N633" s="2">
        <v>15.75</v>
      </c>
      <c r="O633">
        <f t="shared" si="31"/>
        <v>10</v>
      </c>
      <c r="P633" t="s">
        <v>1370</v>
      </c>
      <c r="Q633" s="4">
        <v>0.7</v>
      </c>
      <c r="R633" t="s">
        <v>83</v>
      </c>
      <c r="S633" t="s">
        <v>61</v>
      </c>
      <c r="T633" s="2">
        <v>11.02</v>
      </c>
      <c r="U633" t="s">
        <v>132</v>
      </c>
    </row>
    <row r="634" spans="1:51" x14ac:dyDescent="0.25">
      <c r="A634">
        <v>2027729456</v>
      </c>
      <c r="B634" t="s">
        <v>518</v>
      </c>
      <c r="C634" t="s">
        <v>519</v>
      </c>
      <c r="D634" t="str">
        <f t="shared" si="30"/>
        <v>ANTONIO CASTELAN</v>
      </c>
      <c r="E634" t="s">
        <v>102</v>
      </c>
      <c r="F634" t="s">
        <v>86</v>
      </c>
      <c r="G634" t="s">
        <v>87</v>
      </c>
      <c r="H634">
        <v>18754354</v>
      </c>
      <c r="I634" t="s">
        <v>159</v>
      </c>
      <c r="J634" t="s">
        <v>160</v>
      </c>
      <c r="K634" t="str">
        <f t="shared" si="32"/>
        <v>JACOB YALE</v>
      </c>
      <c r="L634" s="1">
        <v>45728</v>
      </c>
      <c r="M634" s="1">
        <v>46034</v>
      </c>
      <c r="N634" s="2">
        <v>150.44999999999999</v>
      </c>
      <c r="O634">
        <f t="shared" si="31"/>
        <v>10</v>
      </c>
      <c r="P634" t="s">
        <v>1370</v>
      </c>
      <c r="Q634" s="3">
        <v>0.375</v>
      </c>
      <c r="R634" t="s">
        <v>83</v>
      </c>
      <c r="S634" t="s">
        <v>61</v>
      </c>
      <c r="T634" s="2">
        <v>56.42</v>
      </c>
      <c r="U634" t="s">
        <v>87</v>
      </c>
    </row>
    <row r="635" spans="1:51" x14ac:dyDescent="0.25">
      <c r="A635">
        <v>2026604985</v>
      </c>
      <c r="B635" t="s">
        <v>84</v>
      </c>
      <c r="C635" t="s">
        <v>85</v>
      </c>
      <c r="D635" t="str">
        <f t="shared" si="30"/>
        <v>MARCELLUS PEGRAM</v>
      </c>
      <c r="E635" t="s">
        <v>52</v>
      </c>
      <c r="F635" t="s">
        <v>365</v>
      </c>
      <c r="G635" t="s">
        <v>366</v>
      </c>
      <c r="H635">
        <v>17425766</v>
      </c>
      <c r="I635" t="s">
        <v>88</v>
      </c>
      <c r="J635" t="s">
        <v>89</v>
      </c>
      <c r="K635" t="str">
        <f t="shared" si="32"/>
        <v>CAROL FOLEY</v>
      </c>
      <c r="L635" s="1">
        <v>45689</v>
      </c>
      <c r="M635" s="1">
        <v>46023</v>
      </c>
      <c r="N635" s="2">
        <v>30.27</v>
      </c>
      <c r="O635">
        <f t="shared" si="31"/>
        <v>11</v>
      </c>
      <c r="P635" t="s">
        <v>1370</v>
      </c>
      <c r="Q635" s="4">
        <v>0.38</v>
      </c>
      <c r="R635" t="s">
        <v>83</v>
      </c>
      <c r="S635" t="s">
        <v>61</v>
      </c>
      <c r="T635" s="2">
        <v>11.5</v>
      </c>
      <c r="U635" t="s">
        <v>366</v>
      </c>
    </row>
    <row r="636" spans="1:51" x14ac:dyDescent="0.25">
      <c r="A636">
        <v>2026604984</v>
      </c>
      <c r="B636" t="s">
        <v>84</v>
      </c>
      <c r="C636" t="s">
        <v>85</v>
      </c>
      <c r="D636" t="str">
        <f t="shared" si="30"/>
        <v>MARCELLUS PEGRAM</v>
      </c>
      <c r="E636" t="s">
        <v>52</v>
      </c>
      <c r="F636" t="s">
        <v>86</v>
      </c>
      <c r="G636" t="s">
        <v>87</v>
      </c>
      <c r="H636">
        <v>17425766</v>
      </c>
      <c r="I636" t="s">
        <v>88</v>
      </c>
      <c r="J636" t="s">
        <v>89</v>
      </c>
      <c r="K636" t="str">
        <f t="shared" si="32"/>
        <v>CAROL FOLEY</v>
      </c>
      <c r="L636" s="1">
        <v>45689</v>
      </c>
      <c r="M636" s="1">
        <v>46023</v>
      </c>
      <c r="N636" s="2">
        <v>44.21</v>
      </c>
      <c r="O636">
        <f t="shared" si="31"/>
        <v>11</v>
      </c>
      <c r="P636" t="s">
        <v>1370</v>
      </c>
      <c r="Q636" s="3">
        <v>0.375</v>
      </c>
      <c r="R636" t="s">
        <v>83</v>
      </c>
      <c r="S636" t="s">
        <v>61</v>
      </c>
      <c r="T636" s="2">
        <v>16.579999999999998</v>
      </c>
      <c r="U636" t="s">
        <v>87</v>
      </c>
    </row>
    <row r="637" spans="1:51" x14ac:dyDescent="0.25">
      <c r="A637">
        <v>2026488078</v>
      </c>
      <c r="B637" t="s">
        <v>1305</v>
      </c>
      <c r="C637" t="s">
        <v>1306</v>
      </c>
      <c r="D637" t="str">
        <f t="shared" si="30"/>
        <v>BRUCE BAGGIANI</v>
      </c>
      <c r="E637" t="s">
        <v>52</v>
      </c>
      <c r="F637" t="s">
        <v>169</v>
      </c>
      <c r="G637" t="s">
        <v>170</v>
      </c>
      <c r="H637" t="s">
        <v>1390</v>
      </c>
      <c r="I637" t="s">
        <v>183</v>
      </c>
      <c r="J637" t="s">
        <v>184</v>
      </c>
      <c r="K637" t="str">
        <f t="shared" si="32"/>
        <v>DEBORAH INSKIPT</v>
      </c>
      <c r="L637" s="1">
        <v>45689</v>
      </c>
      <c r="M637" s="1">
        <v>46023</v>
      </c>
      <c r="N637" s="2">
        <v>33.590000000000003</v>
      </c>
      <c r="O637">
        <f t="shared" si="31"/>
        <v>11</v>
      </c>
      <c r="P637" t="s">
        <v>1370</v>
      </c>
      <c r="Q637" s="4">
        <v>0.47</v>
      </c>
      <c r="R637" t="s">
        <v>83</v>
      </c>
      <c r="S637" t="s">
        <v>61</v>
      </c>
      <c r="T637" s="2">
        <v>15.79</v>
      </c>
      <c r="U637" t="s">
        <v>170</v>
      </c>
    </row>
    <row r="638" spans="1:51" x14ac:dyDescent="0.25">
      <c r="A638">
        <v>2026698497</v>
      </c>
      <c r="B638" t="s">
        <v>663</v>
      </c>
      <c r="C638" t="s">
        <v>664</v>
      </c>
      <c r="D638" t="str">
        <f t="shared" si="30"/>
        <v>LINDSAY OTT</v>
      </c>
      <c r="E638" t="s">
        <v>267</v>
      </c>
      <c r="F638" t="s">
        <v>365</v>
      </c>
      <c r="G638" t="s">
        <v>370</v>
      </c>
      <c r="H638">
        <v>8307933</v>
      </c>
      <c r="I638" t="s">
        <v>246</v>
      </c>
      <c r="J638" t="s">
        <v>247</v>
      </c>
      <c r="K638" t="str">
        <f t="shared" si="32"/>
        <v>GREGORY TEIPEL</v>
      </c>
      <c r="L638" s="1">
        <v>45695</v>
      </c>
      <c r="M638" s="1">
        <v>46029</v>
      </c>
      <c r="N638" s="2">
        <v>79.13</v>
      </c>
      <c r="O638">
        <f t="shared" si="31"/>
        <v>11</v>
      </c>
      <c r="P638" t="s">
        <v>1370</v>
      </c>
      <c r="Q638" s="4">
        <v>0.38</v>
      </c>
      <c r="R638" t="s">
        <v>83</v>
      </c>
      <c r="S638" t="s">
        <v>61</v>
      </c>
      <c r="T638" s="2">
        <v>30.07</v>
      </c>
      <c r="U638" t="s">
        <v>370</v>
      </c>
    </row>
    <row r="639" spans="1:51" x14ac:dyDescent="0.25">
      <c r="A639">
        <v>2026498048</v>
      </c>
      <c r="B639" t="s">
        <v>490</v>
      </c>
      <c r="C639" t="s">
        <v>491</v>
      </c>
      <c r="D639" t="str">
        <f t="shared" si="30"/>
        <v>YVETTE BECERRA</v>
      </c>
      <c r="E639" t="s">
        <v>97</v>
      </c>
      <c r="F639" t="s">
        <v>75</v>
      </c>
      <c r="G639" t="s">
        <v>76</v>
      </c>
      <c r="H639">
        <v>8307933</v>
      </c>
      <c r="I639" t="s">
        <v>246</v>
      </c>
      <c r="J639" t="s">
        <v>247</v>
      </c>
      <c r="K639" t="str">
        <f t="shared" si="32"/>
        <v>GREGORY TEIPEL</v>
      </c>
      <c r="L639" s="1">
        <v>45695</v>
      </c>
      <c r="M639" s="1">
        <v>46029</v>
      </c>
      <c r="N639" s="2">
        <v>160.30000000000001</v>
      </c>
      <c r="O639">
        <f t="shared" si="31"/>
        <v>11</v>
      </c>
      <c r="P639" t="s">
        <v>1370</v>
      </c>
      <c r="Q639" s="4">
        <v>0.75</v>
      </c>
      <c r="R639" t="s">
        <v>83</v>
      </c>
      <c r="S639" t="s">
        <v>61</v>
      </c>
      <c r="T639" s="2">
        <v>120.22</v>
      </c>
      <c r="U639" t="s">
        <v>1371</v>
      </c>
    </row>
    <row r="640" spans="1:51" x14ac:dyDescent="0.25">
      <c r="A640">
        <v>2026544306</v>
      </c>
      <c r="B640" t="s">
        <v>818</v>
      </c>
      <c r="C640" t="s">
        <v>819</v>
      </c>
      <c r="D640" t="str">
        <f t="shared" si="30"/>
        <v>LARA VAUGHN</v>
      </c>
      <c r="E640" t="s">
        <v>267</v>
      </c>
      <c r="F640" t="s">
        <v>75</v>
      </c>
      <c r="G640" t="s">
        <v>76</v>
      </c>
      <c r="H640">
        <v>8307933</v>
      </c>
      <c r="I640" t="s">
        <v>246</v>
      </c>
      <c r="J640" t="s">
        <v>247</v>
      </c>
      <c r="K640" t="str">
        <f t="shared" si="32"/>
        <v>GREGORY TEIPEL</v>
      </c>
      <c r="L640" s="1">
        <v>45695</v>
      </c>
      <c r="M640" s="1">
        <v>46029</v>
      </c>
      <c r="N640" s="2">
        <v>189.31</v>
      </c>
      <c r="O640">
        <f t="shared" si="31"/>
        <v>11</v>
      </c>
      <c r="P640" t="s">
        <v>1370</v>
      </c>
      <c r="Q640" s="4">
        <v>0.75</v>
      </c>
      <c r="R640" t="s">
        <v>83</v>
      </c>
      <c r="S640" t="s">
        <v>61</v>
      </c>
      <c r="T640" s="2">
        <v>141.97999999999999</v>
      </c>
      <c r="U640" t="s">
        <v>1371</v>
      </c>
    </row>
    <row r="641" spans="1:21" x14ac:dyDescent="0.25">
      <c r="A641">
        <v>2026599464</v>
      </c>
      <c r="B641" t="s">
        <v>820</v>
      </c>
      <c r="C641" t="s">
        <v>821</v>
      </c>
      <c r="D641" t="str">
        <f t="shared" si="30"/>
        <v>CARLOS VALENZUELA</v>
      </c>
      <c r="E641" t="s">
        <v>74</v>
      </c>
      <c r="F641" t="s">
        <v>75</v>
      </c>
      <c r="G641" t="s">
        <v>76</v>
      </c>
      <c r="H641">
        <v>8307933</v>
      </c>
      <c r="I641" t="s">
        <v>246</v>
      </c>
      <c r="J641" t="s">
        <v>247</v>
      </c>
      <c r="K641" t="str">
        <f t="shared" si="32"/>
        <v>GREGORY TEIPEL</v>
      </c>
      <c r="L641" s="1">
        <v>45695</v>
      </c>
      <c r="M641" s="1">
        <v>46029</v>
      </c>
      <c r="N641" s="2">
        <v>64.23</v>
      </c>
      <c r="O641">
        <f t="shared" si="31"/>
        <v>11</v>
      </c>
      <c r="P641" t="s">
        <v>1370</v>
      </c>
      <c r="Q641" s="4">
        <v>0.75</v>
      </c>
      <c r="R641" t="s">
        <v>83</v>
      </c>
      <c r="S641" t="s">
        <v>61</v>
      </c>
      <c r="T641" s="2">
        <v>48.17</v>
      </c>
      <c r="U641" t="s">
        <v>1371</v>
      </c>
    </row>
    <row r="642" spans="1:21" x14ac:dyDescent="0.25">
      <c r="A642">
        <v>2026617927</v>
      </c>
      <c r="B642" t="s">
        <v>486</v>
      </c>
      <c r="C642" t="s">
        <v>487</v>
      </c>
      <c r="D642" t="str">
        <f t="shared" ref="D642:D705" si="33">CONCATENATE(C642," ",B642)</f>
        <v>MARY HARRIS-HERNANDEZ</v>
      </c>
      <c r="E642" t="s">
        <v>97</v>
      </c>
      <c r="F642" t="s">
        <v>75</v>
      </c>
      <c r="G642" t="s">
        <v>76</v>
      </c>
      <c r="H642">
        <v>8307933</v>
      </c>
      <c r="I642" t="s">
        <v>246</v>
      </c>
      <c r="J642" t="s">
        <v>247</v>
      </c>
      <c r="K642" t="str">
        <f t="shared" si="32"/>
        <v>GREGORY TEIPEL</v>
      </c>
      <c r="L642" s="1">
        <v>45695</v>
      </c>
      <c r="M642" s="1">
        <v>46029</v>
      </c>
      <c r="N642" s="2">
        <v>71.63</v>
      </c>
      <c r="O642">
        <f t="shared" ref="O642:O705" si="34">DATEDIF(L642,M642,"M")</f>
        <v>11</v>
      </c>
      <c r="P642" t="s">
        <v>1370</v>
      </c>
      <c r="Q642" s="4">
        <v>0.75</v>
      </c>
      <c r="R642" t="s">
        <v>83</v>
      </c>
      <c r="S642" t="s">
        <v>61</v>
      </c>
      <c r="T642" s="2">
        <v>53.72</v>
      </c>
      <c r="U642" t="s">
        <v>1371</v>
      </c>
    </row>
    <row r="643" spans="1:21" x14ac:dyDescent="0.25">
      <c r="A643">
        <v>2026628668</v>
      </c>
      <c r="B643" t="s">
        <v>488</v>
      </c>
      <c r="C643" t="s">
        <v>82</v>
      </c>
      <c r="D643" t="str">
        <f t="shared" si="33"/>
        <v>RYAN HERRICK</v>
      </c>
      <c r="E643" t="s">
        <v>102</v>
      </c>
      <c r="F643" t="s">
        <v>75</v>
      </c>
      <c r="G643" t="s">
        <v>76</v>
      </c>
      <c r="H643">
        <v>8307933</v>
      </c>
      <c r="I643" t="s">
        <v>246</v>
      </c>
      <c r="J643" t="s">
        <v>247</v>
      </c>
      <c r="K643" t="str">
        <f t="shared" si="32"/>
        <v>GREGORY TEIPEL</v>
      </c>
      <c r="L643" s="1">
        <v>45695</v>
      </c>
      <c r="M643" s="1">
        <v>46029</v>
      </c>
      <c r="N643" s="2">
        <v>39.4</v>
      </c>
      <c r="O643">
        <f t="shared" si="34"/>
        <v>11</v>
      </c>
      <c r="P643" t="s">
        <v>1370</v>
      </c>
      <c r="Q643" s="4">
        <v>0.75</v>
      </c>
      <c r="R643" t="s">
        <v>83</v>
      </c>
      <c r="S643" t="s">
        <v>61</v>
      </c>
      <c r="T643" s="2">
        <v>29.55</v>
      </c>
      <c r="U643" t="s">
        <v>1371</v>
      </c>
    </row>
    <row r="644" spans="1:21" x14ac:dyDescent="0.25">
      <c r="A644">
        <v>2026637122</v>
      </c>
      <c r="B644" t="s">
        <v>293</v>
      </c>
      <c r="C644" t="s">
        <v>279</v>
      </c>
      <c r="D644" t="str">
        <f t="shared" si="33"/>
        <v>ERIC JOHNSON</v>
      </c>
      <c r="E644" t="s">
        <v>408</v>
      </c>
      <c r="F644" t="s">
        <v>75</v>
      </c>
      <c r="G644" t="s">
        <v>76</v>
      </c>
      <c r="H644">
        <v>8307933</v>
      </c>
      <c r="I644" t="s">
        <v>246</v>
      </c>
      <c r="J644" t="s">
        <v>247</v>
      </c>
      <c r="K644" t="str">
        <f t="shared" ref="K644:K675" si="35">CONCATENATE(J644," ",I644)</f>
        <v>GREGORY TEIPEL</v>
      </c>
      <c r="L644" s="1">
        <v>45695</v>
      </c>
      <c r="M644" s="1">
        <v>46029</v>
      </c>
      <c r="N644" s="2">
        <v>92.48</v>
      </c>
      <c r="O644">
        <f t="shared" si="34"/>
        <v>11</v>
      </c>
      <c r="P644" t="s">
        <v>1370</v>
      </c>
      <c r="Q644" s="4">
        <v>0.75</v>
      </c>
      <c r="R644" t="s">
        <v>83</v>
      </c>
      <c r="S644" t="s">
        <v>61</v>
      </c>
      <c r="T644" s="2">
        <v>69.36</v>
      </c>
      <c r="U644" t="s">
        <v>1371</v>
      </c>
    </row>
    <row r="645" spans="1:21" x14ac:dyDescent="0.25">
      <c r="A645">
        <v>2026655555</v>
      </c>
      <c r="B645" t="s">
        <v>822</v>
      </c>
      <c r="C645" t="s">
        <v>137</v>
      </c>
      <c r="D645" t="str">
        <f t="shared" si="33"/>
        <v>JAMES MARIS</v>
      </c>
      <c r="E645" t="s">
        <v>102</v>
      </c>
      <c r="F645" t="s">
        <v>75</v>
      </c>
      <c r="G645" t="s">
        <v>76</v>
      </c>
      <c r="H645">
        <v>8307933</v>
      </c>
      <c r="I645" t="s">
        <v>246</v>
      </c>
      <c r="J645" t="s">
        <v>247</v>
      </c>
      <c r="K645" t="str">
        <f t="shared" si="35"/>
        <v>GREGORY TEIPEL</v>
      </c>
      <c r="L645" s="1">
        <v>45695</v>
      </c>
      <c r="M645" s="1">
        <v>46029</v>
      </c>
      <c r="N645" s="2">
        <v>193.9</v>
      </c>
      <c r="O645">
        <f t="shared" si="34"/>
        <v>11</v>
      </c>
      <c r="P645" t="s">
        <v>1370</v>
      </c>
      <c r="Q645" s="4">
        <v>0.75</v>
      </c>
      <c r="R645" t="s">
        <v>83</v>
      </c>
      <c r="S645" t="s">
        <v>61</v>
      </c>
      <c r="T645" s="2">
        <v>145.41999999999999</v>
      </c>
      <c r="U645" t="s">
        <v>1371</v>
      </c>
    </row>
    <row r="646" spans="1:21" x14ac:dyDescent="0.25">
      <c r="A646">
        <v>2026680615</v>
      </c>
      <c r="B646" t="s">
        <v>293</v>
      </c>
      <c r="C646" t="s">
        <v>489</v>
      </c>
      <c r="D646" t="str">
        <f t="shared" si="33"/>
        <v>JERRI JOHNSON</v>
      </c>
      <c r="E646" t="s">
        <v>383</v>
      </c>
      <c r="F646" t="s">
        <v>75</v>
      </c>
      <c r="G646" t="s">
        <v>76</v>
      </c>
      <c r="H646">
        <v>8307933</v>
      </c>
      <c r="I646" t="s">
        <v>246</v>
      </c>
      <c r="J646" t="s">
        <v>247</v>
      </c>
      <c r="K646" t="str">
        <f t="shared" si="35"/>
        <v>GREGORY TEIPEL</v>
      </c>
      <c r="L646" s="1">
        <v>45695</v>
      </c>
      <c r="M646" s="1">
        <v>46029</v>
      </c>
      <c r="N646" s="2">
        <v>31.75</v>
      </c>
      <c r="O646">
        <f t="shared" si="34"/>
        <v>11</v>
      </c>
      <c r="P646" t="s">
        <v>1370</v>
      </c>
      <c r="Q646" s="4">
        <v>0.75</v>
      </c>
      <c r="R646" t="s">
        <v>83</v>
      </c>
      <c r="S646" t="s">
        <v>61</v>
      </c>
      <c r="T646" s="2">
        <v>23.81</v>
      </c>
      <c r="U646" t="s">
        <v>1371</v>
      </c>
    </row>
    <row r="647" spans="1:21" x14ac:dyDescent="0.25">
      <c r="A647">
        <v>2026682347</v>
      </c>
      <c r="B647" t="s">
        <v>823</v>
      </c>
      <c r="C647" t="s">
        <v>824</v>
      </c>
      <c r="D647" t="str">
        <f t="shared" si="33"/>
        <v>ANGELA MARKSBERRY</v>
      </c>
      <c r="E647" t="s">
        <v>102</v>
      </c>
      <c r="F647" t="s">
        <v>75</v>
      </c>
      <c r="G647" t="s">
        <v>76</v>
      </c>
      <c r="H647">
        <v>8307933</v>
      </c>
      <c r="I647" t="s">
        <v>246</v>
      </c>
      <c r="J647" t="s">
        <v>247</v>
      </c>
      <c r="K647" t="str">
        <f t="shared" si="35"/>
        <v>GREGORY TEIPEL</v>
      </c>
      <c r="L647" s="1">
        <v>45695</v>
      </c>
      <c r="M647" s="1">
        <v>46029</v>
      </c>
      <c r="N647" s="2">
        <v>21.78</v>
      </c>
      <c r="O647">
        <f t="shared" si="34"/>
        <v>11</v>
      </c>
      <c r="P647" t="s">
        <v>1370</v>
      </c>
      <c r="Q647" s="4">
        <v>0.75</v>
      </c>
      <c r="R647" t="s">
        <v>83</v>
      </c>
      <c r="S647" t="s">
        <v>61</v>
      </c>
      <c r="T647" s="2">
        <v>16.34</v>
      </c>
      <c r="U647" t="s">
        <v>1371</v>
      </c>
    </row>
    <row r="648" spans="1:21" x14ac:dyDescent="0.25">
      <c r="A648">
        <v>2026698496</v>
      </c>
      <c r="B648" t="s">
        <v>663</v>
      </c>
      <c r="C648" t="s">
        <v>664</v>
      </c>
      <c r="D648" t="str">
        <f t="shared" si="33"/>
        <v>LINDSAY OTT</v>
      </c>
      <c r="E648" t="s">
        <v>267</v>
      </c>
      <c r="F648" t="s">
        <v>75</v>
      </c>
      <c r="G648" t="s">
        <v>76</v>
      </c>
      <c r="H648">
        <v>8307933</v>
      </c>
      <c r="I648" t="s">
        <v>246</v>
      </c>
      <c r="J648" t="s">
        <v>247</v>
      </c>
      <c r="K648" t="str">
        <f t="shared" si="35"/>
        <v>GREGORY TEIPEL</v>
      </c>
      <c r="L648" s="1">
        <v>45695</v>
      </c>
      <c r="M648" s="1">
        <v>46029</v>
      </c>
      <c r="N648" s="2">
        <v>37.979999999999997</v>
      </c>
      <c r="O648">
        <f t="shared" si="34"/>
        <v>11</v>
      </c>
      <c r="P648" t="s">
        <v>1370</v>
      </c>
      <c r="Q648" s="4">
        <v>0.75</v>
      </c>
      <c r="R648" t="s">
        <v>83</v>
      </c>
      <c r="S648" t="s">
        <v>61</v>
      </c>
      <c r="T648" s="2">
        <v>28.48</v>
      </c>
      <c r="U648" t="s">
        <v>1371</v>
      </c>
    </row>
    <row r="649" spans="1:21" x14ac:dyDescent="0.25">
      <c r="A649">
        <v>2026832449</v>
      </c>
      <c r="B649" t="s">
        <v>396</v>
      </c>
      <c r="C649" t="s">
        <v>438</v>
      </c>
      <c r="D649" t="str">
        <f t="shared" si="33"/>
        <v>ADAM DAUGHERTY</v>
      </c>
      <c r="E649" t="s">
        <v>386</v>
      </c>
      <c r="F649" t="s">
        <v>75</v>
      </c>
      <c r="G649" t="s">
        <v>76</v>
      </c>
      <c r="H649">
        <v>8307933</v>
      </c>
      <c r="I649" t="s">
        <v>246</v>
      </c>
      <c r="J649" t="s">
        <v>247</v>
      </c>
      <c r="K649" t="str">
        <f t="shared" si="35"/>
        <v>GREGORY TEIPEL</v>
      </c>
      <c r="L649" s="1">
        <v>45695</v>
      </c>
      <c r="M649" s="1">
        <v>46029</v>
      </c>
      <c r="N649" s="2">
        <v>33.159999999999997</v>
      </c>
      <c r="O649">
        <f t="shared" si="34"/>
        <v>11</v>
      </c>
      <c r="P649" t="s">
        <v>1370</v>
      </c>
      <c r="Q649" s="4">
        <v>0.75</v>
      </c>
      <c r="R649" t="s">
        <v>83</v>
      </c>
      <c r="S649" t="s">
        <v>61</v>
      </c>
      <c r="T649" s="2">
        <v>24.87</v>
      </c>
      <c r="U649" t="s">
        <v>1371</v>
      </c>
    </row>
    <row r="650" spans="1:21" x14ac:dyDescent="0.25">
      <c r="A650">
        <v>2026521339</v>
      </c>
      <c r="B650" t="s">
        <v>817</v>
      </c>
      <c r="C650" t="s">
        <v>277</v>
      </c>
      <c r="D650" t="str">
        <f t="shared" si="33"/>
        <v>AMANDA LEWIS</v>
      </c>
      <c r="E650" t="s">
        <v>267</v>
      </c>
      <c r="F650" t="s">
        <v>75</v>
      </c>
      <c r="G650" t="s">
        <v>80</v>
      </c>
      <c r="H650">
        <v>8307933</v>
      </c>
      <c r="I650" t="s">
        <v>246</v>
      </c>
      <c r="J650" t="s">
        <v>247</v>
      </c>
      <c r="K650" t="str">
        <f t="shared" si="35"/>
        <v>GREGORY TEIPEL</v>
      </c>
      <c r="L650" s="1">
        <v>45695</v>
      </c>
      <c r="M650" s="1">
        <v>46029</v>
      </c>
      <c r="N650" s="2">
        <v>171.34</v>
      </c>
      <c r="O650">
        <f t="shared" si="34"/>
        <v>11</v>
      </c>
      <c r="P650" t="s">
        <v>1370</v>
      </c>
      <c r="Q650" s="4">
        <v>0.9</v>
      </c>
      <c r="R650" t="s">
        <v>83</v>
      </c>
      <c r="S650" t="s">
        <v>61</v>
      </c>
      <c r="T650" s="2">
        <v>154.21</v>
      </c>
      <c r="U650" t="s">
        <v>1372</v>
      </c>
    </row>
    <row r="651" spans="1:21" x14ac:dyDescent="0.25">
      <c r="A651">
        <v>2026683722</v>
      </c>
      <c r="B651" t="s">
        <v>768</v>
      </c>
      <c r="C651" t="s">
        <v>582</v>
      </c>
      <c r="D651" t="str">
        <f t="shared" si="33"/>
        <v>SCOTT BLACKLEDGE</v>
      </c>
      <c r="E651" t="s">
        <v>267</v>
      </c>
      <c r="F651" t="s">
        <v>75</v>
      </c>
      <c r="G651" t="s">
        <v>80</v>
      </c>
      <c r="H651">
        <v>8307933</v>
      </c>
      <c r="I651" t="s">
        <v>246</v>
      </c>
      <c r="J651" t="s">
        <v>247</v>
      </c>
      <c r="K651" t="str">
        <f t="shared" si="35"/>
        <v>GREGORY TEIPEL</v>
      </c>
      <c r="L651" s="1">
        <v>45695</v>
      </c>
      <c r="M651" s="1">
        <v>46029</v>
      </c>
      <c r="N651" s="2">
        <v>194.91</v>
      </c>
      <c r="O651">
        <f t="shared" si="34"/>
        <v>11</v>
      </c>
      <c r="P651" t="s">
        <v>1370</v>
      </c>
      <c r="Q651" s="4">
        <v>0.9</v>
      </c>
      <c r="R651" t="s">
        <v>83</v>
      </c>
      <c r="S651" t="s">
        <v>61</v>
      </c>
      <c r="T651" s="2">
        <v>175.42</v>
      </c>
      <c r="U651" t="s">
        <v>1372</v>
      </c>
    </row>
    <row r="652" spans="1:21" x14ac:dyDescent="0.25">
      <c r="A652">
        <v>2026685116</v>
      </c>
      <c r="B652" t="s">
        <v>825</v>
      </c>
      <c r="C652" t="s">
        <v>421</v>
      </c>
      <c r="D652" t="str">
        <f t="shared" si="33"/>
        <v>DEBRA SCHAEFER</v>
      </c>
      <c r="E652" t="s">
        <v>408</v>
      </c>
      <c r="F652" t="s">
        <v>75</v>
      </c>
      <c r="G652" t="s">
        <v>80</v>
      </c>
      <c r="H652">
        <v>8307933</v>
      </c>
      <c r="I652" t="s">
        <v>246</v>
      </c>
      <c r="J652" t="s">
        <v>247</v>
      </c>
      <c r="K652" t="str">
        <f t="shared" si="35"/>
        <v>GREGORY TEIPEL</v>
      </c>
      <c r="L652" s="1">
        <v>45695</v>
      </c>
      <c r="M652" s="1">
        <v>46029</v>
      </c>
      <c r="N652" s="2">
        <v>93.13</v>
      </c>
      <c r="O652">
        <f t="shared" si="34"/>
        <v>11</v>
      </c>
      <c r="P652" t="s">
        <v>1370</v>
      </c>
      <c r="Q652" s="4">
        <v>0.9</v>
      </c>
      <c r="R652" t="s">
        <v>83</v>
      </c>
      <c r="S652" t="s">
        <v>61</v>
      </c>
      <c r="T652" s="2">
        <v>83.82</v>
      </c>
      <c r="U652" t="s">
        <v>1372</v>
      </c>
    </row>
    <row r="653" spans="1:21" x14ac:dyDescent="0.25">
      <c r="A653">
        <v>2026844912</v>
      </c>
      <c r="B653" t="s">
        <v>826</v>
      </c>
      <c r="C653" t="s">
        <v>827</v>
      </c>
      <c r="D653" t="str">
        <f t="shared" si="33"/>
        <v>CHRISTOPHER JENKINS</v>
      </c>
      <c r="E653" t="s">
        <v>102</v>
      </c>
      <c r="F653" t="s">
        <v>75</v>
      </c>
      <c r="G653" t="s">
        <v>80</v>
      </c>
      <c r="H653">
        <v>8307933</v>
      </c>
      <c r="I653" t="s">
        <v>246</v>
      </c>
      <c r="J653" t="s">
        <v>247</v>
      </c>
      <c r="K653" t="str">
        <f t="shared" si="35"/>
        <v>GREGORY TEIPEL</v>
      </c>
      <c r="L653" s="1">
        <v>45695</v>
      </c>
      <c r="M653" s="1">
        <v>46029</v>
      </c>
      <c r="N653" s="2">
        <v>121.92</v>
      </c>
      <c r="O653">
        <f t="shared" si="34"/>
        <v>11</v>
      </c>
      <c r="P653" t="s">
        <v>1370</v>
      </c>
      <c r="Q653" s="4">
        <v>0.9</v>
      </c>
      <c r="R653" t="s">
        <v>83</v>
      </c>
      <c r="S653" t="s">
        <v>61</v>
      </c>
      <c r="T653" s="2">
        <v>109.73</v>
      </c>
      <c r="U653" t="s">
        <v>1372</v>
      </c>
    </row>
    <row r="654" spans="1:21" x14ac:dyDescent="0.25">
      <c r="A654">
        <v>2026694437</v>
      </c>
      <c r="B654" t="s">
        <v>1307</v>
      </c>
      <c r="C654" t="s">
        <v>1308</v>
      </c>
      <c r="D654" t="str">
        <f t="shared" si="33"/>
        <v>GAYLE ENDRES</v>
      </c>
      <c r="E654" t="s">
        <v>102</v>
      </c>
      <c r="F654" t="s">
        <v>169</v>
      </c>
      <c r="G654" t="s">
        <v>1275</v>
      </c>
      <c r="H654">
        <v>8307933</v>
      </c>
      <c r="I654" t="s">
        <v>246</v>
      </c>
      <c r="J654" t="s">
        <v>247</v>
      </c>
      <c r="K654" t="str">
        <f t="shared" si="35"/>
        <v>GREGORY TEIPEL</v>
      </c>
      <c r="L654" s="1">
        <v>45695</v>
      </c>
      <c r="M654" s="1">
        <v>46029</v>
      </c>
      <c r="N654" s="2">
        <v>14.95</v>
      </c>
      <c r="O654">
        <f t="shared" si="34"/>
        <v>11</v>
      </c>
      <c r="P654" t="s">
        <v>1370</v>
      </c>
      <c r="Q654" s="4">
        <v>0.51</v>
      </c>
      <c r="R654" t="s">
        <v>83</v>
      </c>
      <c r="S654" t="s">
        <v>61</v>
      </c>
      <c r="T654" s="2">
        <v>7.62</v>
      </c>
      <c r="U654" t="s">
        <v>1274</v>
      </c>
    </row>
    <row r="655" spans="1:21" x14ac:dyDescent="0.25">
      <c r="A655">
        <v>2026694436</v>
      </c>
      <c r="B655" t="s">
        <v>1307</v>
      </c>
      <c r="C655" t="s">
        <v>1308</v>
      </c>
      <c r="D655" t="str">
        <f t="shared" si="33"/>
        <v>GAYLE ENDRES</v>
      </c>
      <c r="E655" t="s">
        <v>102</v>
      </c>
      <c r="F655" t="s">
        <v>169</v>
      </c>
      <c r="G655" t="s">
        <v>1274</v>
      </c>
      <c r="H655">
        <v>8307933</v>
      </c>
      <c r="I655" t="s">
        <v>246</v>
      </c>
      <c r="J655" t="s">
        <v>247</v>
      </c>
      <c r="K655" t="str">
        <f t="shared" si="35"/>
        <v>GREGORY TEIPEL</v>
      </c>
      <c r="L655" s="1">
        <v>45695</v>
      </c>
      <c r="M655" s="1">
        <v>46029</v>
      </c>
      <c r="N655" s="2">
        <v>172.98</v>
      </c>
      <c r="O655">
        <f t="shared" si="34"/>
        <v>11</v>
      </c>
      <c r="P655" t="s">
        <v>1370</v>
      </c>
      <c r="Q655" s="4">
        <v>0.51</v>
      </c>
      <c r="R655" t="s">
        <v>83</v>
      </c>
      <c r="S655" t="s">
        <v>61</v>
      </c>
      <c r="T655" s="2">
        <v>88.22</v>
      </c>
      <c r="U655" t="s">
        <v>1274</v>
      </c>
    </row>
    <row r="656" spans="1:21" x14ac:dyDescent="0.25">
      <c r="A656">
        <v>2026521340</v>
      </c>
      <c r="B656" t="s">
        <v>817</v>
      </c>
      <c r="C656" t="s">
        <v>277</v>
      </c>
      <c r="D656" t="str">
        <f t="shared" si="33"/>
        <v>AMANDA LEWIS</v>
      </c>
      <c r="E656" t="s">
        <v>267</v>
      </c>
      <c r="F656" t="s">
        <v>126</v>
      </c>
      <c r="G656" t="s">
        <v>132</v>
      </c>
      <c r="H656">
        <v>8307933</v>
      </c>
      <c r="I656" t="s">
        <v>246</v>
      </c>
      <c r="J656" t="s">
        <v>247</v>
      </c>
      <c r="K656" t="str">
        <f t="shared" si="35"/>
        <v>GREGORY TEIPEL</v>
      </c>
      <c r="L656" s="1">
        <v>45695</v>
      </c>
      <c r="M656" s="1">
        <v>46029</v>
      </c>
      <c r="N656" s="2">
        <v>31.28</v>
      </c>
      <c r="O656">
        <f t="shared" si="34"/>
        <v>11</v>
      </c>
      <c r="P656" t="s">
        <v>1370</v>
      </c>
      <c r="Q656" s="4">
        <v>0.7</v>
      </c>
      <c r="R656" t="s">
        <v>83</v>
      </c>
      <c r="S656" t="s">
        <v>61</v>
      </c>
      <c r="T656" s="2">
        <v>21.9</v>
      </c>
      <c r="U656" t="s">
        <v>132</v>
      </c>
    </row>
    <row r="657" spans="1:21" x14ac:dyDescent="0.25">
      <c r="A657">
        <v>2026599465</v>
      </c>
      <c r="B657" t="s">
        <v>820</v>
      </c>
      <c r="C657" t="s">
        <v>821</v>
      </c>
      <c r="D657" t="str">
        <f t="shared" si="33"/>
        <v>CARLOS VALENZUELA</v>
      </c>
      <c r="E657" t="s">
        <v>74</v>
      </c>
      <c r="F657" t="s">
        <v>126</v>
      </c>
      <c r="G657" t="s">
        <v>132</v>
      </c>
      <c r="H657">
        <v>8307933</v>
      </c>
      <c r="I657" t="s">
        <v>246</v>
      </c>
      <c r="J657" t="s">
        <v>247</v>
      </c>
      <c r="K657" t="str">
        <f t="shared" si="35"/>
        <v>GREGORY TEIPEL</v>
      </c>
      <c r="L657" s="1">
        <v>45695</v>
      </c>
      <c r="M657" s="1">
        <v>46029</v>
      </c>
      <c r="N657" s="2">
        <v>103.64</v>
      </c>
      <c r="O657">
        <f t="shared" si="34"/>
        <v>11</v>
      </c>
      <c r="P657" t="s">
        <v>1370</v>
      </c>
      <c r="Q657" s="4">
        <v>0.7</v>
      </c>
      <c r="R657" t="s">
        <v>83</v>
      </c>
      <c r="S657" t="s">
        <v>61</v>
      </c>
      <c r="T657" s="2">
        <v>72.55</v>
      </c>
      <c r="U657" t="s">
        <v>132</v>
      </c>
    </row>
    <row r="658" spans="1:21" x14ac:dyDescent="0.25">
      <c r="A658">
        <v>2026617926</v>
      </c>
      <c r="B658" t="s">
        <v>486</v>
      </c>
      <c r="C658" t="s">
        <v>487</v>
      </c>
      <c r="D658" t="str">
        <f t="shared" si="33"/>
        <v>MARY HARRIS-HERNANDEZ</v>
      </c>
      <c r="E658" t="s">
        <v>97</v>
      </c>
      <c r="F658" t="s">
        <v>126</v>
      </c>
      <c r="G658" t="s">
        <v>132</v>
      </c>
      <c r="H658">
        <v>8307933</v>
      </c>
      <c r="I658" t="s">
        <v>246</v>
      </c>
      <c r="J658" t="s">
        <v>247</v>
      </c>
      <c r="K658" t="str">
        <f t="shared" si="35"/>
        <v>GREGORY TEIPEL</v>
      </c>
      <c r="L658" s="1">
        <v>45695</v>
      </c>
      <c r="M658" s="1">
        <v>46029</v>
      </c>
      <c r="N658" s="2">
        <v>129.22</v>
      </c>
      <c r="O658">
        <f t="shared" si="34"/>
        <v>11</v>
      </c>
      <c r="P658" t="s">
        <v>1370</v>
      </c>
      <c r="Q658" s="4">
        <v>0.7</v>
      </c>
      <c r="R658" t="s">
        <v>83</v>
      </c>
      <c r="S658" t="s">
        <v>61</v>
      </c>
      <c r="T658" s="2">
        <v>90.45</v>
      </c>
      <c r="U658" t="s">
        <v>132</v>
      </c>
    </row>
    <row r="659" spans="1:21" x14ac:dyDescent="0.25">
      <c r="A659">
        <v>2026628666</v>
      </c>
      <c r="B659" t="s">
        <v>488</v>
      </c>
      <c r="C659" t="s">
        <v>82</v>
      </c>
      <c r="D659" t="str">
        <f t="shared" si="33"/>
        <v>RYAN HERRICK</v>
      </c>
      <c r="E659" t="s">
        <v>102</v>
      </c>
      <c r="F659" t="s">
        <v>126</v>
      </c>
      <c r="G659" t="s">
        <v>132</v>
      </c>
      <c r="H659">
        <v>8307933</v>
      </c>
      <c r="I659" t="s">
        <v>246</v>
      </c>
      <c r="J659" t="s">
        <v>247</v>
      </c>
      <c r="K659" t="str">
        <f t="shared" si="35"/>
        <v>GREGORY TEIPEL</v>
      </c>
      <c r="L659" s="1">
        <v>45695</v>
      </c>
      <c r="M659" s="1">
        <v>46029</v>
      </c>
      <c r="N659" s="2">
        <v>58.24</v>
      </c>
      <c r="O659">
        <f t="shared" si="34"/>
        <v>11</v>
      </c>
      <c r="P659" t="s">
        <v>1370</v>
      </c>
      <c r="Q659" s="4">
        <v>0.7</v>
      </c>
      <c r="R659" t="s">
        <v>83</v>
      </c>
      <c r="S659" t="s">
        <v>61</v>
      </c>
      <c r="T659" s="2">
        <v>40.770000000000003</v>
      </c>
      <c r="U659" t="s">
        <v>132</v>
      </c>
    </row>
    <row r="660" spans="1:21" x14ac:dyDescent="0.25">
      <c r="A660">
        <v>2026655556</v>
      </c>
      <c r="B660" t="s">
        <v>822</v>
      </c>
      <c r="C660" t="s">
        <v>137</v>
      </c>
      <c r="D660" t="str">
        <f t="shared" si="33"/>
        <v>JAMES MARIS</v>
      </c>
      <c r="E660" t="s">
        <v>102</v>
      </c>
      <c r="F660" t="s">
        <v>126</v>
      </c>
      <c r="G660" t="s">
        <v>132</v>
      </c>
      <c r="H660">
        <v>8307933</v>
      </c>
      <c r="I660" t="s">
        <v>246</v>
      </c>
      <c r="J660" t="s">
        <v>247</v>
      </c>
      <c r="K660" t="str">
        <f t="shared" si="35"/>
        <v>GREGORY TEIPEL</v>
      </c>
      <c r="L660" s="1">
        <v>45695</v>
      </c>
      <c r="M660" s="1">
        <v>46029</v>
      </c>
      <c r="N660" s="2">
        <v>52</v>
      </c>
      <c r="O660">
        <f t="shared" si="34"/>
        <v>11</v>
      </c>
      <c r="P660" t="s">
        <v>1370</v>
      </c>
      <c r="Q660" s="4">
        <v>0.7</v>
      </c>
      <c r="R660" t="s">
        <v>83</v>
      </c>
      <c r="S660" t="s">
        <v>61</v>
      </c>
      <c r="T660" s="2">
        <v>36.4</v>
      </c>
      <c r="U660" t="s">
        <v>132</v>
      </c>
    </row>
    <row r="661" spans="1:21" x14ac:dyDescent="0.25">
      <c r="A661">
        <v>2026680616</v>
      </c>
      <c r="B661" t="s">
        <v>293</v>
      </c>
      <c r="C661" t="s">
        <v>489</v>
      </c>
      <c r="D661" t="str">
        <f t="shared" si="33"/>
        <v>JERRI JOHNSON</v>
      </c>
      <c r="E661" t="s">
        <v>383</v>
      </c>
      <c r="F661" t="s">
        <v>126</v>
      </c>
      <c r="G661" t="s">
        <v>132</v>
      </c>
      <c r="H661">
        <v>8307933</v>
      </c>
      <c r="I661" t="s">
        <v>246</v>
      </c>
      <c r="J661" t="s">
        <v>247</v>
      </c>
      <c r="K661" t="str">
        <f t="shared" si="35"/>
        <v>GREGORY TEIPEL</v>
      </c>
      <c r="L661" s="1">
        <v>45695</v>
      </c>
      <c r="M661" s="1">
        <v>46029</v>
      </c>
      <c r="N661" s="2">
        <v>40.78</v>
      </c>
      <c r="O661">
        <f t="shared" si="34"/>
        <v>11</v>
      </c>
      <c r="P661" t="s">
        <v>1370</v>
      </c>
      <c r="Q661" s="4">
        <v>0.7</v>
      </c>
      <c r="R661" t="s">
        <v>83</v>
      </c>
      <c r="S661" t="s">
        <v>61</v>
      </c>
      <c r="T661" s="2">
        <v>28.55</v>
      </c>
      <c r="U661" t="s">
        <v>132</v>
      </c>
    </row>
    <row r="662" spans="1:21" x14ac:dyDescent="0.25">
      <c r="A662">
        <v>2026682346</v>
      </c>
      <c r="B662" t="s">
        <v>823</v>
      </c>
      <c r="C662" t="s">
        <v>824</v>
      </c>
      <c r="D662" t="str">
        <f t="shared" si="33"/>
        <v>ANGELA MARKSBERRY</v>
      </c>
      <c r="E662" t="s">
        <v>102</v>
      </c>
      <c r="F662" t="s">
        <v>126</v>
      </c>
      <c r="G662" t="s">
        <v>132</v>
      </c>
      <c r="H662">
        <v>8307933</v>
      </c>
      <c r="I662" t="s">
        <v>246</v>
      </c>
      <c r="J662" t="s">
        <v>247</v>
      </c>
      <c r="K662" t="str">
        <f t="shared" si="35"/>
        <v>GREGORY TEIPEL</v>
      </c>
      <c r="L662" s="1">
        <v>45695</v>
      </c>
      <c r="M662" s="1">
        <v>46029</v>
      </c>
      <c r="N662" s="2">
        <v>58.24</v>
      </c>
      <c r="O662">
        <f t="shared" si="34"/>
        <v>11</v>
      </c>
      <c r="P662" t="s">
        <v>1370</v>
      </c>
      <c r="Q662" s="4">
        <v>0.7</v>
      </c>
      <c r="R662" t="s">
        <v>83</v>
      </c>
      <c r="S662" t="s">
        <v>61</v>
      </c>
      <c r="T662" s="2">
        <v>40.770000000000003</v>
      </c>
      <c r="U662" t="s">
        <v>132</v>
      </c>
    </row>
    <row r="663" spans="1:21" x14ac:dyDescent="0.25">
      <c r="A663">
        <v>2026683721</v>
      </c>
      <c r="B663" t="s">
        <v>768</v>
      </c>
      <c r="C663" t="s">
        <v>582</v>
      </c>
      <c r="D663" t="str">
        <f t="shared" si="33"/>
        <v>SCOTT BLACKLEDGE</v>
      </c>
      <c r="E663" t="s">
        <v>267</v>
      </c>
      <c r="F663" t="s">
        <v>126</v>
      </c>
      <c r="G663" t="s">
        <v>132</v>
      </c>
      <c r="H663">
        <v>8307933</v>
      </c>
      <c r="I663" t="s">
        <v>246</v>
      </c>
      <c r="J663" t="s">
        <v>247</v>
      </c>
      <c r="K663" t="str">
        <f t="shared" si="35"/>
        <v>GREGORY TEIPEL</v>
      </c>
      <c r="L663" s="1">
        <v>45695</v>
      </c>
      <c r="M663" s="1">
        <v>46029</v>
      </c>
      <c r="N663" s="2">
        <v>46.72</v>
      </c>
      <c r="O663">
        <f t="shared" si="34"/>
        <v>11</v>
      </c>
      <c r="P663" t="s">
        <v>1370</v>
      </c>
      <c r="Q663" s="4">
        <v>0.7</v>
      </c>
      <c r="R663" t="s">
        <v>83</v>
      </c>
      <c r="S663" t="s">
        <v>61</v>
      </c>
      <c r="T663" s="2">
        <v>32.700000000000003</v>
      </c>
      <c r="U663" t="s">
        <v>132</v>
      </c>
    </row>
    <row r="664" spans="1:21" x14ac:dyDescent="0.25">
      <c r="A664">
        <v>2026698495</v>
      </c>
      <c r="B664" t="s">
        <v>663</v>
      </c>
      <c r="C664" t="s">
        <v>664</v>
      </c>
      <c r="D664" t="str">
        <f t="shared" si="33"/>
        <v>LINDSAY OTT</v>
      </c>
      <c r="E664" t="s">
        <v>267</v>
      </c>
      <c r="F664" t="s">
        <v>126</v>
      </c>
      <c r="G664" t="s">
        <v>132</v>
      </c>
      <c r="H664">
        <v>8307933</v>
      </c>
      <c r="I664" t="s">
        <v>246</v>
      </c>
      <c r="J664" t="s">
        <v>247</v>
      </c>
      <c r="K664" t="str">
        <f t="shared" si="35"/>
        <v>GREGORY TEIPEL</v>
      </c>
      <c r="L664" s="1">
        <v>45695</v>
      </c>
      <c r="M664" s="1">
        <v>46029</v>
      </c>
      <c r="N664" s="2">
        <v>17.64</v>
      </c>
      <c r="O664">
        <f t="shared" si="34"/>
        <v>11</v>
      </c>
      <c r="P664" t="s">
        <v>1370</v>
      </c>
      <c r="Q664" s="4">
        <v>0.7</v>
      </c>
      <c r="R664" t="s">
        <v>83</v>
      </c>
      <c r="S664" t="s">
        <v>61</v>
      </c>
      <c r="T664" s="2">
        <v>12.35</v>
      </c>
      <c r="U664" t="s">
        <v>132</v>
      </c>
    </row>
    <row r="665" spans="1:21" x14ac:dyDescent="0.25">
      <c r="A665">
        <v>2026733978</v>
      </c>
      <c r="B665" t="s">
        <v>1102</v>
      </c>
      <c r="C665" t="s">
        <v>1103</v>
      </c>
      <c r="D665" t="str">
        <f t="shared" si="33"/>
        <v>DOMINIQUE CHASE</v>
      </c>
      <c r="E665" t="s">
        <v>102</v>
      </c>
      <c r="F665" t="s">
        <v>126</v>
      </c>
      <c r="G665" t="s">
        <v>132</v>
      </c>
      <c r="H665">
        <v>8307933</v>
      </c>
      <c r="I665" t="s">
        <v>246</v>
      </c>
      <c r="J665" t="s">
        <v>247</v>
      </c>
      <c r="K665" t="str">
        <f t="shared" si="35"/>
        <v>GREGORY TEIPEL</v>
      </c>
      <c r="L665" s="1">
        <v>45695</v>
      </c>
      <c r="M665" s="1">
        <v>46029</v>
      </c>
      <c r="N665" s="2">
        <v>122.22</v>
      </c>
      <c r="O665">
        <f t="shared" si="34"/>
        <v>11</v>
      </c>
      <c r="P665" t="s">
        <v>1370</v>
      </c>
      <c r="Q665" s="4">
        <v>0.7</v>
      </c>
      <c r="R665" t="s">
        <v>83</v>
      </c>
      <c r="S665" t="s">
        <v>61</v>
      </c>
      <c r="T665" s="2">
        <v>85.55</v>
      </c>
      <c r="U665" t="s">
        <v>132</v>
      </c>
    </row>
    <row r="666" spans="1:21" x14ac:dyDescent="0.25">
      <c r="A666">
        <v>2026737140</v>
      </c>
      <c r="B666" t="s">
        <v>1104</v>
      </c>
      <c r="C666" t="s">
        <v>1105</v>
      </c>
      <c r="D666" t="str">
        <f t="shared" si="33"/>
        <v>MATT ABNEY</v>
      </c>
      <c r="E666" t="s">
        <v>102</v>
      </c>
      <c r="F666" t="s">
        <v>126</v>
      </c>
      <c r="G666" t="s">
        <v>132</v>
      </c>
      <c r="H666">
        <v>8307933</v>
      </c>
      <c r="I666" t="s">
        <v>246</v>
      </c>
      <c r="J666" t="s">
        <v>247</v>
      </c>
      <c r="K666" t="str">
        <f t="shared" si="35"/>
        <v>GREGORY TEIPEL</v>
      </c>
      <c r="L666" s="1">
        <v>45695</v>
      </c>
      <c r="M666" s="1">
        <v>46029</v>
      </c>
      <c r="N666" s="2">
        <v>124.72</v>
      </c>
      <c r="O666">
        <f t="shared" si="34"/>
        <v>11</v>
      </c>
      <c r="P666" t="s">
        <v>1370</v>
      </c>
      <c r="Q666" s="4">
        <v>0.7</v>
      </c>
      <c r="R666" t="s">
        <v>83</v>
      </c>
      <c r="S666" t="s">
        <v>61</v>
      </c>
      <c r="T666" s="2">
        <v>87.3</v>
      </c>
      <c r="U666" t="s">
        <v>132</v>
      </c>
    </row>
    <row r="667" spans="1:21" x14ac:dyDescent="0.25">
      <c r="A667">
        <v>2026807823</v>
      </c>
      <c r="B667" t="s">
        <v>1106</v>
      </c>
      <c r="C667" t="s">
        <v>421</v>
      </c>
      <c r="D667" t="str">
        <f t="shared" si="33"/>
        <v>DEBRA ELLIOTT</v>
      </c>
      <c r="E667" t="s">
        <v>97</v>
      </c>
      <c r="F667" t="s">
        <v>126</v>
      </c>
      <c r="G667" t="s">
        <v>132</v>
      </c>
      <c r="H667">
        <v>8307933</v>
      </c>
      <c r="I667" t="s">
        <v>246</v>
      </c>
      <c r="J667" t="s">
        <v>247</v>
      </c>
      <c r="K667" t="str">
        <f t="shared" si="35"/>
        <v>GREGORY TEIPEL</v>
      </c>
      <c r="L667" s="1">
        <v>45695</v>
      </c>
      <c r="M667" s="1">
        <v>46029</v>
      </c>
      <c r="N667" s="2">
        <v>129.22</v>
      </c>
      <c r="O667">
        <f t="shared" si="34"/>
        <v>11</v>
      </c>
      <c r="P667" t="s">
        <v>1370</v>
      </c>
      <c r="Q667" s="4">
        <v>0.7</v>
      </c>
      <c r="R667" t="s">
        <v>83</v>
      </c>
      <c r="S667" t="s">
        <v>61</v>
      </c>
      <c r="T667" s="2">
        <v>90.45</v>
      </c>
      <c r="U667" t="s">
        <v>132</v>
      </c>
    </row>
    <row r="668" spans="1:21" x14ac:dyDescent="0.25">
      <c r="A668">
        <v>2026827011</v>
      </c>
      <c r="B668" t="s">
        <v>1107</v>
      </c>
      <c r="C668" t="s">
        <v>413</v>
      </c>
      <c r="D668" t="str">
        <f t="shared" si="33"/>
        <v>PATRICIA PURCELL</v>
      </c>
      <c r="E668" t="s">
        <v>374</v>
      </c>
      <c r="F668" t="s">
        <v>126</v>
      </c>
      <c r="G668" t="s">
        <v>132</v>
      </c>
      <c r="H668">
        <v>8307933</v>
      </c>
      <c r="I668" t="s">
        <v>246</v>
      </c>
      <c r="J668" t="s">
        <v>247</v>
      </c>
      <c r="K668" t="str">
        <f t="shared" si="35"/>
        <v>GREGORY TEIPEL</v>
      </c>
      <c r="L668" s="1">
        <v>45695</v>
      </c>
      <c r="M668" s="1">
        <v>46029</v>
      </c>
      <c r="N668" s="2">
        <v>122.32</v>
      </c>
      <c r="O668">
        <f t="shared" si="34"/>
        <v>11</v>
      </c>
      <c r="P668" t="s">
        <v>1370</v>
      </c>
      <c r="Q668" s="4">
        <v>0.7</v>
      </c>
      <c r="R668" t="s">
        <v>83</v>
      </c>
      <c r="S668" t="s">
        <v>61</v>
      </c>
      <c r="T668" s="2">
        <v>85.62</v>
      </c>
      <c r="U668" t="s">
        <v>132</v>
      </c>
    </row>
    <row r="669" spans="1:21" x14ac:dyDescent="0.25">
      <c r="A669">
        <v>2026832448</v>
      </c>
      <c r="B669" t="s">
        <v>396</v>
      </c>
      <c r="C669" t="s">
        <v>438</v>
      </c>
      <c r="D669" t="str">
        <f t="shared" si="33"/>
        <v>ADAM DAUGHERTY</v>
      </c>
      <c r="E669" t="s">
        <v>386</v>
      </c>
      <c r="F669" t="s">
        <v>126</v>
      </c>
      <c r="G669" t="s">
        <v>132</v>
      </c>
      <c r="H669">
        <v>8307933</v>
      </c>
      <c r="I669" t="s">
        <v>246</v>
      </c>
      <c r="J669" t="s">
        <v>247</v>
      </c>
      <c r="K669" t="str">
        <f t="shared" si="35"/>
        <v>GREGORY TEIPEL</v>
      </c>
      <c r="L669" s="1">
        <v>45695</v>
      </c>
      <c r="M669" s="1">
        <v>46029</v>
      </c>
      <c r="N669" s="2">
        <v>32.979999999999997</v>
      </c>
      <c r="O669">
        <f t="shared" si="34"/>
        <v>11</v>
      </c>
      <c r="P669" t="s">
        <v>1370</v>
      </c>
      <c r="Q669" s="4">
        <v>0.7</v>
      </c>
      <c r="R669" t="s">
        <v>83</v>
      </c>
      <c r="S669" t="s">
        <v>61</v>
      </c>
      <c r="T669" s="2">
        <v>23.09</v>
      </c>
      <c r="U669" t="s">
        <v>132</v>
      </c>
    </row>
    <row r="670" spans="1:21" x14ac:dyDescent="0.25">
      <c r="A670">
        <v>2026844913</v>
      </c>
      <c r="B670" t="s">
        <v>826</v>
      </c>
      <c r="C670" t="s">
        <v>827</v>
      </c>
      <c r="D670" t="str">
        <f t="shared" si="33"/>
        <v>CHRISTOPHER JENKINS</v>
      </c>
      <c r="E670" t="s">
        <v>102</v>
      </c>
      <c r="F670" t="s">
        <v>126</v>
      </c>
      <c r="G670" t="s">
        <v>132</v>
      </c>
      <c r="H670">
        <v>8307933</v>
      </c>
      <c r="I670" t="s">
        <v>246</v>
      </c>
      <c r="J670" t="s">
        <v>247</v>
      </c>
      <c r="K670" t="str">
        <f t="shared" si="35"/>
        <v>GREGORY TEIPEL</v>
      </c>
      <c r="L670" s="1">
        <v>45695</v>
      </c>
      <c r="M670" s="1">
        <v>46029</v>
      </c>
      <c r="N670" s="2">
        <v>78.400000000000006</v>
      </c>
      <c r="O670">
        <f t="shared" si="34"/>
        <v>11</v>
      </c>
      <c r="P670" t="s">
        <v>1370</v>
      </c>
      <c r="Q670" s="4">
        <v>0.7</v>
      </c>
      <c r="R670" t="s">
        <v>83</v>
      </c>
      <c r="S670" t="s">
        <v>61</v>
      </c>
      <c r="T670" s="2">
        <v>54.88</v>
      </c>
      <c r="U670" t="s">
        <v>132</v>
      </c>
    </row>
    <row r="671" spans="1:21" x14ac:dyDescent="0.25">
      <c r="A671">
        <v>2026860056</v>
      </c>
      <c r="B671" t="s">
        <v>490</v>
      </c>
      <c r="C671" t="s">
        <v>491</v>
      </c>
      <c r="D671" t="str">
        <f t="shared" si="33"/>
        <v>YVETTE BECERRA</v>
      </c>
      <c r="E671" t="s">
        <v>97</v>
      </c>
      <c r="F671" t="s">
        <v>126</v>
      </c>
      <c r="G671" t="s">
        <v>132</v>
      </c>
      <c r="H671">
        <v>8307933</v>
      </c>
      <c r="I671" t="s">
        <v>246</v>
      </c>
      <c r="J671" t="s">
        <v>247</v>
      </c>
      <c r="K671" t="str">
        <f t="shared" si="35"/>
        <v>GREGORY TEIPEL</v>
      </c>
      <c r="L671" s="1">
        <v>45695</v>
      </c>
      <c r="M671" s="1">
        <v>46029</v>
      </c>
      <c r="N671" s="2">
        <v>13</v>
      </c>
      <c r="O671">
        <f t="shared" si="34"/>
        <v>11</v>
      </c>
      <c r="P671" t="s">
        <v>1370</v>
      </c>
      <c r="Q671" s="4">
        <v>0.7</v>
      </c>
      <c r="R671" t="s">
        <v>83</v>
      </c>
      <c r="S671" t="s">
        <v>61</v>
      </c>
      <c r="T671" s="2">
        <v>9.1</v>
      </c>
      <c r="U671" t="s">
        <v>132</v>
      </c>
    </row>
    <row r="672" spans="1:21" x14ac:dyDescent="0.25">
      <c r="A672">
        <v>2026617925</v>
      </c>
      <c r="B672" t="s">
        <v>486</v>
      </c>
      <c r="C672" t="s">
        <v>487</v>
      </c>
      <c r="D672" t="str">
        <f t="shared" si="33"/>
        <v>MARY HARRIS-HERNANDEZ</v>
      </c>
      <c r="E672" t="s">
        <v>97</v>
      </c>
      <c r="F672" t="s">
        <v>86</v>
      </c>
      <c r="G672" t="s">
        <v>87</v>
      </c>
      <c r="H672">
        <v>8307933</v>
      </c>
      <c r="I672" t="s">
        <v>246</v>
      </c>
      <c r="J672" t="s">
        <v>247</v>
      </c>
      <c r="K672" t="str">
        <f t="shared" si="35"/>
        <v>GREGORY TEIPEL</v>
      </c>
      <c r="L672" s="1">
        <v>45695</v>
      </c>
      <c r="M672" s="1">
        <v>46029</v>
      </c>
      <c r="N672" s="2">
        <v>48.88</v>
      </c>
      <c r="O672">
        <f t="shared" si="34"/>
        <v>11</v>
      </c>
      <c r="P672" t="s">
        <v>1370</v>
      </c>
      <c r="Q672" s="3">
        <v>0.375</v>
      </c>
      <c r="R672" t="s">
        <v>83</v>
      </c>
      <c r="S672" t="s">
        <v>61</v>
      </c>
      <c r="T672" s="2">
        <v>18.329999999999998</v>
      </c>
      <c r="U672" t="s">
        <v>87</v>
      </c>
    </row>
    <row r="673" spans="1:51" x14ac:dyDescent="0.25">
      <c r="A673">
        <v>2026628667</v>
      </c>
      <c r="B673" t="s">
        <v>488</v>
      </c>
      <c r="C673" t="s">
        <v>82</v>
      </c>
      <c r="D673" t="str">
        <f t="shared" si="33"/>
        <v>RYAN HERRICK</v>
      </c>
      <c r="E673" t="s">
        <v>102</v>
      </c>
      <c r="F673" t="s">
        <v>86</v>
      </c>
      <c r="G673" t="s">
        <v>87</v>
      </c>
      <c r="H673">
        <v>8307933</v>
      </c>
      <c r="I673" t="s">
        <v>246</v>
      </c>
      <c r="J673" t="s">
        <v>247</v>
      </c>
      <c r="K673" t="str">
        <f t="shared" si="35"/>
        <v>GREGORY TEIPEL</v>
      </c>
      <c r="L673" s="1">
        <v>45695</v>
      </c>
      <c r="M673" s="1">
        <v>46029</v>
      </c>
      <c r="N673" s="2">
        <v>43.36</v>
      </c>
      <c r="O673">
        <f t="shared" si="34"/>
        <v>11</v>
      </c>
      <c r="P673" t="s">
        <v>1370</v>
      </c>
      <c r="Q673" s="3">
        <v>0.375</v>
      </c>
      <c r="R673" t="s">
        <v>83</v>
      </c>
      <c r="S673" t="s">
        <v>61</v>
      </c>
      <c r="T673" s="2">
        <v>16.260000000000002</v>
      </c>
      <c r="U673" t="s">
        <v>87</v>
      </c>
    </row>
    <row r="674" spans="1:51" x14ac:dyDescent="0.25">
      <c r="A674">
        <v>2026680614</v>
      </c>
      <c r="B674" t="s">
        <v>293</v>
      </c>
      <c r="C674" t="s">
        <v>489</v>
      </c>
      <c r="D674" t="str">
        <f t="shared" si="33"/>
        <v>JERRI JOHNSON</v>
      </c>
      <c r="E674" t="s">
        <v>383</v>
      </c>
      <c r="F674" t="s">
        <v>86</v>
      </c>
      <c r="G674" t="s">
        <v>87</v>
      </c>
      <c r="H674">
        <v>8307933</v>
      </c>
      <c r="I674" t="s">
        <v>246</v>
      </c>
      <c r="J674" t="s">
        <v>247</v>
      </c>
      <c r="K674" t="str">
        <f t="shared" si="35"/>
        <v>GREGORY TEIPEL</v>
      </c>
      <c r="L674" s="1">
        <v>45695</v>
      </c>
      <c r="M674" s="1">
        <v>46029</v>
      </c>
      <c r="N674" s="2">
        <v>42.23</v>
      </c>
      <c r="O674">
        <f t="shared" si="34"/>
        <v>11</v>
      </c>
      <c r="P674" t="s">
        <v>1370</v>
      </c>
      <c r="Q674" s="3">
        <v>0.375</v>
      </c>
      <c r="R674" t="s">
        <v>83</v>
      </c>
      <c r="S674" t="s">
        <v>61</v>
      </c>
      <c r="T674" s="2">
        <v>15.84</v>
      </c>
      <c r="U674" t="s">
        <v>87</v>
      </c>
    </row>
    <row r="675" spans="1:51" s="5" customFormat="1" x14ac:dyDescent="0.25">
      <c r="A675">
        <v>2026860055</v>
      </c>
      <c r="B675" t="s">
        <v>490</v>
      </c>
      <c r="C675" t="s">
        <v>491</v>
      </c>
      <c r="D675" t="str">
        <f t="shared" si="33"/>
        <v>YVETTE BECERRA</v>
      </c>
      <c r="E675" t="s">
        <v>97</v>
      </c>
      <c r="F675" t="s">
        <v>86</v>
      </c>
      <c r="G675" t="s">
        <v>87</v>
      </c>
      <c r="H675">
        <v>8307933</v>
      </c>
      <c r="I675" t="s">
        <v>246</v>
      </c>
      <c r="J675" t="s">
        <v>247</v>
      </c>
      <c r="K675" t="str">
        <f t="shared" si="35"/>
        <v>GREGORY TEIPEL</v>
      </c>
      <c r="L675" s="1">
        <v>45695</v>
      </c>
      <c r="M675" s="1">
        <v>46029</v>
      </c>
      <c r="N675" s="2">
        <v>57.96</v>
      </c>
      <c r="O675">
        <f t="shared" si="34"/>
        <v>11</v>
      </c>
      <c r="P675" t="s">
        <v>1370</v>
      </c>
      <c r="Q675" s="3">
        <v>0.375</v>
      </c>
      <c r="R675" t="s">
        <v>83</v>
      </c>
      <c r="S675" t="s">
        <v>61</v>
      </c>
      <c r="T675" s="2">
        <v>21.74</v>
      </c>
      <c r="U675" t="s">
        <v>87</v>
      </c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</row>
    <row r="676" spans="1:51" s="5" customFormat="1" x14ac:dyDescent="0.25">
      <c r="A676">
        <v>2026589574</v>
      </c>
      <c r="B676" t="s">
        <v>1100</v>
      </c>
      <c r="C676" t="s">
        <v>182</v>
      </c>
      <c r="D676" t="str">
        <f t="shared" si="33"/>
        <v>MICHAEL DILLON</v>
      </c>
      <c r="E676" t="s">
        <v>620</v>
      </c>
      <c r="F676" t="s">
        <v>126</v>
      </c>
      <c r="G676" t="s">
        <v>375</v>
      </c>
      <c r="H676">
        <v>8307933</v>
      </c>
      <c r="I676" t="s">
        <v>246</v>
      </c>
      <c r="J676" t="s">
        <v>247</v>
      </c>
      <c r="K676" t="str">
        <f t="shared" ref="K676:K707" si="36">CONCATENATE(J676," ",I676)</f>
        <v>GREGORY TEIPEL</v>
      </c>
      <c r="L676" s="1">
        <v>45695</v>
      </c>
      <c r="M676" s="1">
        <v>46029</v>
      </c>
      <c r="N676" s="2">
        <v>83.63</v>
      </c>
      <c r="O676">
        <f t="shared" si="34"/>
        <v>11</v>
      </c>
      <c r="P676" t="s">
        <v>1370</v>
      </c>
      <c r="Q676" s="4">
        <v>0.9</v>
      </c>
      <c r="R676" t="s">
        <v>83</v>
      </c>
      <c r="S676" t="s">
        <v>61</v>
      </c>
      <c r="T676" s="2">
        <v>75.27</v>
      </c>
      <c r="U676" t="s">
        <v>375</v>
      </c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</row>
    <row r="677" spans="1:51" x14ac:dyDescent="0.25">
      <c r="A677">
        <v>2026599463</v>
      </c>
      <c r="B677" t="s">
        <v>820</v>
      </c>
      <c r="C677" t="s">
        <v>821</v>
      </c>
      <c r="D677" t="str">
        <f t="shared" si="33"/>
        <v>CARLOS VALENZUELA</v>
      </c>
      <c r="E677" t="s">
        <v>74</v>
      </c>
      <c r="F677" t="s">
        <v>126</v>
      </c>
      <c r="G677" t="s">
        <v>375</v>
      </c>
      <c r="H677">
        <v>8307933</v>
      </c>
      <c r="I677" t="s">
        <v>246</v>
      </c>
      <c r="J677" t="s">
        <v>247</v>
      </c>
      <c r="K677" t="str">
        <f t="shared" si="36"/>
        <v>GREGORY TEIPEL</v>
      </c>
      <c r="L677" s="1">
        <v>45695</v>
      </c>
      <c r="M677" s="1">
        <v>46029</v>
      </c>
      <c r="N677" s="2">
        <v>48.08</v>
      </c>
      <c r="O677">
        <f t="shared" si="34"/>
        <v>11</v>
      </c>
      <c r="P677" t="s">
        <v>1370</v>
      </c>
      <c r="Q677" s="4">
        <v>0.9</v>
      </c>
      <c r="R677" t="s">
        <v>83</v>
      </c>
      <c r="S677" t="s">
        <v>61</v>
      </c>
      <c r="T677" s="2">
        <v>43.27</v>
      </c>
      <c r="U677" t="s">
        <v>375</v>
      </c>
    </row>
    <row r="678" spans="1:51" s="5" customFormat="1" x14ac:dyDescent="0.25">
      <c r="A678">
        <v>2026637123</v>
      </c>
      <c r="B678" t="s">
        <v>293</v>
      </c>
      <c r="C678" t="s">
        <v>279</v>
      </c>
      <c r="D678" t="str">
        <f t="shared" si="33"/>
        <v>ERIC JOHNSON</v>
      </c>
      <c r="E678" t="s">
        <v>408</v>
      </c>
      <c r="F678" t="s">
        <v>126</v>
      </c>
      <c r="G678" t="s">
        <v>375</v>
      </c>
      <c r="H678">
        <v>8307933</v>
      </c>
      <c r="I678" t="s">
        <v>246</v>
      </c>
      <c r="J678" t="s">
        <v>247</v>
      </c>
      <c r="K678" t="str">
        <f t="shared" si="36"/>
        <v>GREGORY TEIPEL</v>
      </c>
      <c r="L678" s="1">
        <v>45695</v>
      </c>
      <c r="M678" s="1">
        <v>46029</v>
      </c>
      <c r="N678" s="2">
        <v>145.08000000000001</v>
      </c>
      <c r="O678">
        <f t="shared" si="34"/>
        <v>11</v>
      </c>
      <c r="P678" t="s">
        <v>1370</v>
      </c>
      <c r="Q678" s="4">
        <v>0.9</v>
      </c>
      <c r="R678" t="s">
        <v>83</v>
      </c>
      <c r="S678" t="s">
        <v>61</v>
      </c>
      <c r="T678" s="2">
        <v>130.57</v>
      </c>
      <c r="U678" t="s">
        <v>375</v>
      </c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</row>
    <row r="679" spans="1:51" s="5" customFormat="1" x14ac:dyDescent="0.25">
      <c r="A679">
        <v>2026721808</v>
      </c>
      <c r="B679" t="s">
        <v>1101</v>
      </c>
      <c r="C679" t="s">
        <v>637</v>
      </c>
      <c r="D679" t="str">
        <f t="shared" si="33"/>
        <v>TERRI EZNACK</v>
      </c>
      <c r="E679" t="s">
        <v>97</v>
      </c>
      <c r="F679" t="s">
        <v>126</v>
      </c>
      <c r="G679" t="s">
        <v>375</v>
      </c>
      <c r="H679">
        <v>8307933</v>
      </c>
      <c r="I679" t="s">
        <v>246</v>
      </c>
      <c r="J679" t="s">
        <v>247</v>
      </c>
      <c r="K679" t="str">
        <f t="shared" si="36"/>
        <v>GREGORY TEIPEL</v>
      </c>
      <c r="L679" s="1">
        <v>45695</v>
      </c>
      <c r="M679" s="1">
        <v>46029</v>
      </c>
      <c r="N679" s="2">
        <v>23.05</v>
      </c>
      <c r="O679">
        <f t="shared" si="34"/>
        <v>11</v>
      </c>
      <c r="P679" t="s">
        <v>1370</v>
      </c>
      <c r="Q679" s="4">
        <v>0.9</v>
      </c>
      <c r="R679" t="s">
        <v>83</v>
      </c>
      <c r="S679" t="s">
        <v>61</v>
      </c>
      <c r="T679" s="2">
        <v>20.74</v>
      </c>
      <c r="U679" t="s">
        <v>375</v>
      </c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</row>
    <row r="680" spans="1:51" s="5" customFormat="1" x14ac:dyDescent="0.25">
      <c r="A680">
        <v>2026832450</v>
      </c>
      <c r="B680" t="s">
        <v>396</v>
      </c>
      <c r="C680" t="s">
        <v>438</v>
      </c>
      <c r="D680" t="str">
        <f t="shared" si="33"/>
        <v>ADAM DAUGHERTY</v>
      </c>
      <c r="E680" t="s">
        <v>386</v>
      </c>
      <c r="F680" t="s">
        <v>126</v>
      </c>
      <c r="G680" t="s">
        <v>375</v>
      </c>
      <c r="H680">
        <v>8307933</v>
      </c>
      <c r="I680" t="s">
        <v>246</v>
      </c>
      <c r="J680" t="s">
        <v>247</v>
      </c>
      <c r="K680" t="str">
        <f t="shared" si="36"/>
        <v>GREGORY TEIPEL</v>
      </c>
      <c r="L680" s="1">
        <v>45695</v>
      </c>
      <c r="M680" s="1">
        <v>46029</v>
      </c>
      <c r="N680" s="2">
        <v>41.25</v>
      </c>
      <c r="O680">
        <f t="shared" si="34"/>
        <v>11</v>
      </c>
      <c r="P680" t="s">
        <v>1370</v>
      </c>
      <c r="Q680" s="4">
        <v>0.9</v>
      </c>
      <c r="R680" t="s">
        <v>83</v>
      </c>
      <c r="S680" t="s">
        <v>61</v>
      </c>
      <c r="T680" s="2">
        <v>37.119999999999997</v>
      </c>
      <c r="U680" t="s">
        <v>375</v>
      </c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</row>
    <row r="681" spans="1:51" s="5" customFormat="1" x14ac:dyDescent="0.25">
      <c r="A681">
        <v>2027070511</v>
      </c>
      <c r="B681" t="s">
        <v>293</v>
      </c>
      <c r="C681" t="s">
        <v>508</v>
      </c>
      <c r="D681" t="str">
        <f t="shared" si="33"/>
        <v>CATHERINE JOHNSON</v>
      </c>
      <c r="E681" t="s">
        <v>509</v>
      </c>
      <c r="F681" t="s">
        <v>365</v>
      </c>
      <c r="G681" t="s">
        <v>366</v>
      </c>
      <c r="H681" t="s">
        <v>1366</v>
      </c>
      <c r="I681" t="s">
        <v>409</v>
      </c>
      <c r="J681" t="s">
        <v>410</v>
      </c>
      <c r="K681" t="str">
        <f t="shared" si="36"/>
        <v>JARED KINYUA</v>
      </c>
      <c r="L681" s="1">
        <v>45700</v>
      </c>
      <c r="M681" s="1">
        <v>46034</v>
      </c>
      <c r="N681" s="2">
        <v>9.5500000000000007</v>
      </c>
      <c r="O681">
        <f t="shared" si="34"/>
        <v>11</v>
      </c>
      <c r="P681" t="s">
        <v>1370</v>
      </c>
      <c r="Q681" s="4">
        <v>0.38</v>
      </c>
      <c r="R681" t="s">
        <v>83</v>
      </c>
      <c r="S681" t="s">
        <v>61</v>
      </c>
      <c r="T681" s="2">
        <v>3.63</v>
      </c>
      <c r="U681" t="s">
        <v>366</v>
      </c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</row>
    <row r="682" spans="1:51" s="5" customFormat="1" x14ac:dyDescent="0.25">
      <c r="A682">
        <v>2027070509</v>
      </c>
      <c r="B682" t="s">
        <v>293</v>
      </c>
      <c r="C682" t="s">
        <v>508</v>
      </c>
      <c r="D682" t="str">
        <f t="shared" si="33"/>
        <v>CATHERINE JOHNSON</v>
      </c>
      <c r="E682" t="s">
        <v>509</v>
      </c>
      <c r="F682" t="s">
        <v>86</v>
      </c>
      <c r="G682" t="s">
        <v>87</v>
      </c>
      <c r="H682" t="s">
        <v>1366</v>
      </c>
      <c r="I682" t="s">
        <v>409</v>
      </c>
      <c r="J682" t="s">
        <v>410</v>
      </c>
      <c r="K682" t="str">
        <f t="shared" si="36"/>
        <v>JARED KINYUA</v>
      </c>
      <c r="L682" s="1">
        <v>45700</v>
      </c>
      <c r="M682" s="1">
        <v>46034</v>
      </c>
      <c r="N682" s="2">
        <v>31.14</v>
      </c>
      <c r="O682">
        <f t="shared" si="34"/>
        <v>11</v>
      </c>
      <c r="P682" t="s">
        <v>1370</v>
      </c>
      <c r="Q682" s="3">
        <v>0.375</v>
      </c>
      <c r="R682" t="s">
        <v>83</v>
      </c>
      <c r="S682" t="s">
        <v>61</v>
      </c>
      <c r="T682" s="2">
        <v>11.68</v>
      </c>
      <c r="U682" t="s">
        <v>87</v>
      </c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</row>
    <row r="683" spans="1:51" s="5" customFormat="1" x14ac:dyDescent="0.25">
      <c r="A683">
        <v>2027070510</v>
      </c>
      <c r="B683" t="s">
        <v>293</v>
      </c>
      <c r="C683" t="s">
        <v>508</v>
      </c>
      <c r="D683" t="str">
        <f t="shared" si="33"/>
        <v>CATHERINE JOHNSON</v>
      </c>
      <c r="E683" t="s">
        <v>509</v>
      </c>
      <c r="F683" t="s">
        <v>53</v>
      </c>
      <c r="G683" t="s">
        <v>726</v>
      </c>
      <c r="H683" t="s">
        <v>1366</v>
      </c>
      <c r="I683" t="s">
        <v>409</v>
      </c>
      <c r="J683" t="s">
        <v>410</v>
      </c>
      <c r="K683" t="str">
        <f t="shared" si="36"/>
        <v>JARED KINYUA</v>
      </c>
      <c r="L683" s="1">
        <v>45700</v>
      </c>
      <c r="M683" s="1">
        <v>46034</v>
      </c>
      <c r="N683" s="2">
        <v>46.56</v>
      </c>
      <c r="O683">
        <f t="shared" si="34"/>
        <v>11</v>
      </c>
      <c r="P683" t="s">
        <v>1370</v>
      </c>
      <c r="Q683" s="4">
        <v>0.6</v>
      </c>
      <c r="R683" t="s">
        <v>83</v>
      </c>
      <c r="S683" t="s">
        <v>61</v>
      </c>
      <c r="T683" s="2">
        <v>27.94</v>
      </c>
      <c r="U683" t="s">
        <v>726</v>
      </c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</row>
    <row r="684" spans="1:51" x14ac:dyDescent="0.25">
      <c r="A684">
        <v>2027064140</v>
      </c>
      <c r="B684" t="s">
        <v>830</v>
      </c>
      <c r="C684" t="s">
        <v>82</v>
      </c>
      <c r="D684" t="str">
        <f t="shared" si="33"/>
        <v>RYAN GOOD</v>
      </c>
      <c r="E684" t="s">
        <v>515</v>
      </c>
      <c r="F684" t="s">
        <v>126</v>
      </c>
      <c r="G684" t="s">
        <v>127</v>
      </c>
      <c r="H684">
        <v>8977234</v>
      </c>
      <c r="I684" t="s">
        <v>81</v>
      </c>
      <c r="J684" t="s">
        <v>82</v>
      </c>
      <c r="K684" t="str">
        <f t="shared" si="36"/>
        <v>RYAN CALTAGIRONE</v>
      </c>
      <c r="L684" s="1">
        <v>45700</v>
      </c>
      <c r="M684" s="1">
        <v>46034</v>
      </c>
      <c r="N684" s="2">
        <v>23.39</v>
      </c>
      <c r="O684">
        <f t="shared" si="34"/>
        <v>11</v>
      </c>
      <c r="P684" t="s">
        <v>1370</v>
      </c>
      <c r="Q684" s="4">
        <v>0.7</v>
      </c>
      <c r="R684" t="s">
        <v>83</v>
      </c>
      <c r="S684" t="s">
        <v>61</v>
      </c>
      <c r="T684" s="2">
        <v>16.37</v>
      </c>
      <c r="U684" t="s">
        <v>127</v>
      </c>
    </row>
    <row r="685" spans="1:51" x14ac:dyDescent="0.25">
      <c r="A685">
        <v>2027064141</v>
      </c>
      <c r="B685" t="s">
        <v>830</v>
      </c>
      <c r="C685" t="s">
        <v>82</v>
      </c>
      <c r="D685" t="str">
        <f t="shared" si="33"/>
        <v>RYAN GOOD</v>
      </c>
      <c r="E685" t="s">
        <v>515</v>
      </c>
      <c r="F685" t="s">
        <v>75</v>
      </c>
      <c r="G685" t="s">
        <v>76</v>
      </c>
      <c r="H685">
        <v>8977234</v>
      </c>
      <c r="I685" t="s">
        <v>81</v>
      </c>
      <c r="J685" t="s">
        <v>82</v>
      </c>
      <c r="K685" t="str">
        <f t="shared" si="36"/>
        <v>RYAN CALTAGIRONE</v>
      </c>
      <c r="L685" s="1">
        <v>45700</v>
      </c>
      <c r="M685" s="1">
        <v>46034</v>
      </c>
      <c r="N685" s="2">
        <v>94.38</v>
      </c>
      <c r="O685">
        <f t="shared" si="34"/>
        <v>11</v>
      </c>
      <c r="P685" t="s">
        <v>1370</v>
      </c>
      <c r="Q685" s="4">
        <v>0.75</v>
      </c>
      <c r="R685" t="s">
        <v>83</v>
      </c>
      <c r="S685" t="s">
        <v>61</v>
      </c>
      <c r="T685" s="2">
        <v>70.78</v>
      </c>
      <c r="U685" t="s">
        <v>1371</v>
      </c>
    </row>
    <row r="686" spans="1:51" x14ac:dyDescent="0.25">
      <c r="A686">
        <v>2027014990</v>
      </c>
      <c r="B686" t="s">
        <v>501</v>
      </c>
      <c r="C686" t="s">
        <v>326</v>
      </c>
      <c r="D686" t="str">
        <f t="shared" si="33"/>
        <v>MONICA CRISSINGER</v>
      </c>
      <c r="E686" t="s">
        <v>79</v>
      </c>
      <c r="F686" t="s">
        <v>126</v>
      </c>
      <c r="G686" t="s">
        <v>132</v>
      </c>
      <c r="H686">
        <v>8977234</v>
      </c>
      <c r="I686" t="s">
        <v>81</v>
      </c>
      <c r="J686" t="s">
        <v>82</v>
      </c>
      <c r="K686" t="str">
        <f t="shared" si="36"/>
        <v>RYAN CALTAGIRONE</v>
      </c>
      <c r="L686" s="1">
        <v>45696</v>
      </c>
      <c r="M686" s="1">
        <v>46030</v>
      </c>
      <c r="N686" s="2">
        <v>10.82</v>
      </c>
      <c r="O686">
        <f t="shared" si="34"/>
        <v>11</v>
      </c>
      <c r="P686" t="s">
        <v>1370</v>
      </c>
      <c r="Q686" s="4">
        <v>0.7</v>
      </c>
      <c r="R686" t="s">
        <v>83</v>
      </c>
      <c r="S686" t="s">
        <v>61</v>
      </c>
      <c r="T686" s="2">
        <v>7.57</v>
      </c>
      <c r="U686" t="s">
        <v>132</v>
      </c>
    </row>
    <row r="687" spans="1:51" x14ac:dyDescent="0.25">
      <c r="A687">
        <v>2027064142</v>
      </c>
      <c r="B687" t="s">
        <v>830</v>
      </c>
      <c r="C687" t="s">
        <v>82</v>
      </c>
      <c r="D687" t="str">
        <f t="shared" si="33"/>
        <v>RYAN GOOD</v>
      </c>
      <c r="E687" t="s">
        <v>515</v>
      </c>
      <c r="F687" t="s">
        <v>126</v>
      </c>
      <c r="G687" t="s">
        <v>132</v>
      </c>
      <c r="H687">
        <v>8977234</v>
      </c>
      <c r="I687" t="s">
        <v>81</v>
      </c>
      <c r="J687" t="s">
        <v>82</v>
      </c>
      <c r="K687" t="str">
        <f t="shared" si="36"/>
        <v>RYAN CALTAGIRONE</v>
      </c>
      <c r="L687" s="1">
        <v>45700</v>
      </c>
      <c r="M687" s="1">
        <v>46034</v>
      </c>
      <c r="N687" s="2">
        <v>115.91</v>
      </c>
      <c r="O687">
        <f t="shared" si="34"/>
        <v>11</v>
      </c>
      <c r="P687" t="s">
        <v>1370</v>
      </c>
      <c r="Q687" s="4">
        <v>0.7</v>
      </c>
      <c r="R687" t="s">
        <v>83</v>
      </c>
      <c r="S687" t="s">
        <v>61</v>
      </c>
      <c r="T687" s="2">
        <v>81.14</v>
      </c>
      <c r="U687" t="s">
        <v>132</v>
      </c>
    </row>
    <row r="688" spans="1:51" x14ac:dyDescent="0.25">
      <c r="A688">
        <v>2027014989</v>
      </c>
      <c r="B688" t="s">
        <v>501</v>
      </c>
      <c r="C688" t="s">
        <v>326</v>
      </c>
      <c r="D688" t="str">
        <f t="shared" si="33"/>
        <v>MONICA CRISSINGER</v>
      </c>
      <c r="E688" t="s">
        <v>79</v>
      </c>
      <c r="F688" t="s">
        <v>86</v>
      </c>
      <c r="G688" t="s">
        <v>87</v>
      </c>
      <c r="H688">
        <v>8977234</v>
      </c>
      <c r="I688" t="s">
        <v>81</v>
      </c>
      <c r="J688" t="s">
        <v>82</v>
      </c>
      <c r="K688" t="str">
        <f t="shared" si="36"/>
        <v>RYAN CALTAGIRONE</v>
      </c>
      <c r="L688" s="1">
        <v>45696</v>
      </c>
      <c r="M688" s="1">
        <v>46030</v>
      </c>
      <c r="N688" s="2">
        <v>59.58</v>
      </c>
      <c r="O688">
        <f t="shared" si="34"/>
        <v>11</v>
      </c>
      <c r="P688" t="s">
        <v>1370</v>
      </c>
      <c r="Q688" s="3">
        <v>0.375</v>
      </c>
      <c r="R688" t="s">
        <v>83</v>
      </c>
      <c r="S688" t="s">
        <v>61</v>
      </c>
      <c r="T688" s="2">
        <v>22.34</v>
      </c>
      <c r="U688" t="s">
        <v>87</v>
      </c>
    </row>
    <row r="689" spans="1:21" x14ac:dyDescent="0.25">
      <c r="A689">
        <v>2025878148</v>
      </c>
      <c r="B689" t="s">
        <v>1005</v>
      </c>
      <c r="C689" t="s">
        <v>137</v>
      </c>
      <c r="D689" t="str">
        <f t="shared" si="33"/>
        <v>JAMES REEDER</v>
      </c>
      <c r="E689" t="s">
        <v>52</v>
      </c>
      <c r="F689" t="s">
        <v>108</v>
      </c>
      <c r="G689" t="s">
        <v>1006</v>
      </c>
      <c r="H689">
        <v>20411454</v>
      </c>
      <c r="I689" t="s">
        <v>1007</v>
      </c>
      <c r="J689" t="s">
        <v>1008</v>
      </c>
      <c r="K689" t="s">
        <v>1377</v>
      </c>
      <c r="L689" s="1">
        <v>45658</v>
      </c>
      <c r="M689" s="1">
        <v>46023</v>
      </c>
      <c r="N689" s="2">
        <v>6.41</v>
      </c>
      <c r="O689">
        <f t="shared" si="34"/>
        <v>12</v>
      </c>
      <c r="P689" t="s">
        <v>1370</v>
      </c>
      <c r="Q689" s="4">
        <v>0.04</v>
      </c>
      <c r="R689" t="s">
        <v>83</v>
      </c>
      <c r="S689" t="s">
        <v>61</v>
      </c>
      <c r="T689" s="2">
        <v>6.41</v>
      </c>
      <c r="U689" t="s">
        <v>1376</v>
      </c>
    </row>
    <row r="690" spans="1:21" x14ac:dyDescent="0.25">
      <c r="A690">
        <v>2025670861</v>
      </c>
      <c r="B690" t="s">
        <v>193</v>
      </c>
      <c r="C690" t="s">
        <v>194</v>
      </c>
      <c r="D690" t="str">
        <f t="shared" si="33"/>
        <v>KAREN CHURCHVILLE</v>
      </c>
      <c r="E690" t="s">
        <v>52</v>
      </c>
      <c r="F690" t="s">
        <v>169</v>
      </c>
      <c r="G690" t="s">
        <v>170</v>
      </c>
      <c r="H690">
        <v>19278370</v>
      </c>
      <c r="I690" t="s">
        <v>187</v>
      </c>
      <c r="J690" t="s">
        <v>188</v>
      </c>
      <c r="K690" t="str">
        <f t="shared" ref="K690:K721" si="37">CONCATENATE(J690," ",I690)</f>
        <v>ANNE MARIE KOZACHECK</v>
      </c>
      <c r="L690" s="1">
        <v>45658</v>
      </c>
      <c r="M690" s="1">
        <v>46023</v>
      </c>
      <c r="N690" s="2">
        <v>56.88</v>
      </c>
      <c r="O690">
        <f t="shared" si="34"/>
        <v>12</v>
      </c>
      <c r="P690" t="s">
        <v>1370</v>
      </c>
      <c r="Q690" s="4">
        <v>0.47</v>
      </c>
      <c r="R690" t="s">
        <v>83</v>
      </c>
      <c r="S690" t="s">
        <v>61</v>
      </c>
      <c r="T690" s="2">
        <v>26.73</v>
      </c>
      <c r="U690" t="s">
        <v>170</v>
      </c>
    </row>
    <row r="691" spans="1:21" x14ac:dyDescent="0.25">
      <c r="A691">
        <v>2025937347</v>
      </c>
      <c r="B691" t="s">
        <v>195</v>
      </c>
      <c r="C691" t="s">
        <v>150</v>
      </c>
      <c r="D691" t="str">
        <f t="shared" si="33"/>
        <v>LYNN LYMAN</v>
      </c>
      <c r="E691" t="s">
        <v>52</v>
      </c>
      <c r="F691" t="s">
        <v>169</v>
      </c>
      <c r="G691" t="s">
        <v>170</v>
      </c>
      <c r="H691">
        <v>19278370</v>
      </c>
      <c r="I691" t="s">
        <v>187</v>
      </c>
      <c r="J691" t="s">
        <v>188</v>
      </c>
      <c r="K691" t="str">
        <f t="shared" si="37"/>
        <v>ANNE MARIE KOZACHECK</v>
      </c>
      <c r="L691" s="1">
        <v>45658</v>
      </c>
      <c r="M691" s="1">
        <v>46023</v>
      </c>
      <c r="N691" s="2">
        <v>56.88</v>
      </c>
      <c r="O691">
        <f t="shared" si="34"/>
        <v>12</v>
      </c>
      <c r="P691" t="s">
        <v>1370</v>
      </c>
      <c r="Q691" s="4">
        <v>0.47</v>
      </c>
      <c r="R691" t="s">
        <v>83</v>
      </c>
      <c r="S691" t="s">
        <v>61</v>
      </c>
      <c r="T691" s="2">
        <v>26.73</v>
      </c>
      <c r="U691" t="s">
        <v>170</v>
      </c>
    </row>
    <row r="692" spans="1:21" x14ac:dyDescent="0.25">
      <c r="A692">
        <v>2026485483</v>
      </c>
      <c r="B692" t="s">
        <v>484</v>
      </c>
      <c r="C692" t="s">
        <v>485</v>
      </c>
      <c r="D692" t="str">
        <f t="shared" si="33"/>
        <v>WAYNE MOORE</v>
      </c>
      <c r="E692" t="s">
        <v>374</v>
      </c>
      <c r="F692" t="s">
        <v>365</v>
      </c>
      <c r="G692" t="s">
        <v>366</v>
      </c>
      <c r="H692">
        <v>17425766</v>
      </c>
      <c r="I692" t="s">
        <v>88</v>
      </c>
      <c r="J692" t="s">
        <v>89</v>
      </c>
      <c r="K692" t="str">
        <f t="shared" si="37"/>
        <v>CAROL FOLEY</v>
      </c>
      <c r="L692" s="1">
        <v>45665</v>
      </c>
      <c r="M692" s="1">
        <v>46030</v>
      </c>
      <c r="N692" s="2">
        <v>39.28</v>
      </c>
      <c r="O692">
        <f t="shared" si="34"/>
        <v>12</v>
      </c>
      <c r="P692" t="s">
        <v>1370</v>
      </c>
      <c r="Q692" s="4">
        <v>0.38</v>
      </c>
      <c r="R692" t="s">
        <v>83</v>
      </c>
      <c r="S692" t="s">
        <v>61</v>
      </c>
      <c r="T692" s="2">
        <v>14.93</v>
      </c>
      <c r="U692" t="s">
        <v>366</v>
      </c>
    </row>
    <row r="693" spans="1:21" x14ac:dyDescent="0.25">
      <c r="A693">
        <v>2026485485</v>
      </c>
      <c r="B693" t="s">
        <v>484</v>
      </c>
      <c r="C693" t="s">
        <v>485</v>
      </c>
      <c r="D693" t="str">
        <f t="shared" si="33"/>
        <v>WAYNE MOORE</v>
      </c>
      <c r="E693" t="s">
        <v>374</v>
      </c>
      <c r="F693" t="s">
        <v>86</v>
      </c>
      <c r="G693" t="s">
        <v>87</v>
      </c>
      <c r="H693">
        <v>17425766</v>
      </c>
      <c r="I693" t="s">
        <v>88</v>
      </c>
      <c r="J693" t="s">
        <v>89</v>
      </c>
      <c r="K693" t="str">
        <f t="shared" si="37"/>
        <v>CAROL FOLEY</v>
      </c>
      <c r="L693" s="1">
        <v>45665</v>
      </c>
      <c r="M693" s="1">
        <v>46030</v>
      </c>
      <c r="N693" s="2">
        <v>55.63</v>
      </c>
      <c r="O693">
        <f t="shared" si="34"/>
        <v>12</v>
      </c>
      <c r="P693" t="s">
        <v>1370</v>
      </c>
      <c r="Q693" s="3">
        <v>0.375</v>
      </c>
      <c r="R693" t="s">
        <v>83</v>
      </c>
      <c r="S693" t="s">
        <v>61</v>
      </c>
      <c r="T693" s="2">
        <v>20.86</v>
      </c>
      <c r="U693" t="s">
        <v>87</v>
      </c>
    </row>
    <row r="694" spans="1:21" x14ac:dyDescent="0.25">
      <c r="A694">
        <v>2026485484</v>
      </c>
      <c r="B694" t="s">
        <v>484</v>
      </c>
      <c r="C694" t="s">
        <v>485</v>
      </c>
      <c r="D694" t="str">
        <f t="shared" si="33"/>
        <v>WAYNE MOORE</v>
      </c>
      <c r="E694" t="s">
        <v>374</v>
      </c>
      <c r="F694" t="s">
        <v>53</v>
      </c>
      <c r="G694" t="s">
        <v>54</v>
      </c>
      <c r="H694">
        <v>17425766</v>
      </c>
      <c r="I694" t="s">
        <v>88</v>
      </c>
      <c r="J694" t="s">
        <v>89</v>
      </c>
      <c r="K694" t="str">
        <f t="shared" si="37"/>
        <v>CAROL FOLEY</v>
      </c>
      <c r="L694" s="1">
        <v>45665</v>
      </c>
      <c r="M694" s="1">
        <v>46030</v>
      </c>
      <c r="N694" s="2">
        <v>50.06</v>
      </c>
      <c r="O694">
        <f t="shared" si="34"/>
        <v>12</v>
      </c>
      <c r="P694" t="s">
        <v>1370</v>
      </c>
      <c r="Q694" s="4">
        <v>0.6</v>
      </c>
      <c r="R694" t="s">
        <v>83</v>
      </c>
      <c r="S694" t="s">
        <v>61</v>
      </c>
      <c r="T694" s="2">
        <v>30.04</v>
      </c>
      <c r="U694" t="s">
        <v>54</v>
      </c>
    </row>
    <row r="695" spans="1:21" x14ac:dyDescent="0.25">
      <c r="A695">
        <v>2025892048</v>
      </c>
      <c r="B695" t="s">
        <v>638</v>
      </c>
      <c r="C695" t="s">
        <v>1009</v>
      </c>
      <c r="D695" t="str">
        <f t="shared" si="33"/>
        <v>RONNIE BROWN</v>
      </c>
      <c r="E695" t="s">
        <v>52</v>
      </c>
      <c r="F695" t="s">
        <v>108</v>
      </c>
      <c r="G695" t="s">
        <v>1010</v>
      </c>
      <c r="H695">
        <v>17425766</v>
      </c>
      <c r="I695" t="s">
        <v>88</v>
      </c>
      <c r="J695" t="s">
        <v>89</v>
      </c>
      <c r="K695" t="str">
        <f t="shared" si="37"/>
        <v>CAROL FOLEY</v>
      </c>
      <c r="L695" s="1">
        <v>45658</v>
      </c>
      <c r="M695" s="1">
        <v>46023</v>
      </c>
      <c r="N695" s="2">
        <v>214.75</v>
      </c>
      <c r="O695">
        <f t="shared" si="34"/>
        <v>12</v>
      </c>
      <c r="P695" t="s">
        <v>1370</v>
      </c>
      <c r="Q695" s="4">
        <v>0.13</v>
      </c>
      <c r="R695" t="s">
        <v>83</v>
      </c>
      <c r="S695" t="s">
        <v>61</v>
      </c>
      <c r="T695" s="2">
        <v>27.92</v>
      </c>
      <c r="U695" t="s">
        <v>1385</v>
      </c>
    </row>
    <row r="696" spans="1:21" x14ac:dyDescent="0.25">
      <c r="A696">
        <v>2026055881</v>
      </c>
      <c r="B696" t="s">
        <v>112</v>
      </c>
      <c r="C696" t="s">
        <v>113</v>
      </c>
      <c r="D696" t="str">
        <f t="shared" si="33"/>
        <v>GLORIA VERANO</v>
      </c>
      <c r="E696" t="s">
        <v>52</v>
      </c>
      <c r="F696" t="s">
        <v>108</v>
      </c>
      <c r="G696" t="s">
        <v>109</v>
      </c>
      <c r="H696">
        <v>17425766</v>
      </c>
      <c r="I696" t="s">
        <v>88</v>
      </c>
      <c r="J696" t="s">
        <v>89</v>
      </c>
      <c r="K696" t="str">
        <f t="shared" si="37"/>
        <v>CAROL FOLEY</v>
      </c>
      <c r="L696" s="1">
        <v>45658</v>
      </c>
      <c r="M696" s="1">
        <v>46023</v>
      </c>
      <c r="N696" s="2">
        <v>126.58</v>
      </c>
      <c r="O696">
        <f t="shared" si="34"/>
        <v>12</v>
      </c>
      <c r="P696" t="s">
        <v>1370</v>
      </c>
      <c r="Q696" s="4">
        <v>0.26</v>
      </c>
      <c r="R696" t="s">
        <v>83</v>
      </c>
      <c r="S696" t="s">
        <v>61</v>
      </c>
      <c r="T696" s="2">
        <v>32.909999999999997</v>
      </c>
      <c r="U696" t="s">
        <v>1384</v>
      </c>
    </row>
    <row r="697" spans="1:21" x14ac:dyDescent="0.25">
      <c r="A697">
        <v>2026055288</v>
      </c>
      <c r="B697" t="s">
        <v>112</v>
      </c>
      <c r="C697" t="s">
        <v>285</v>
      </c>
      <c r="D697" t="str">
        <f t="shared" si="33"/>
        <v>FRANK VERANO</v>
      </c>
      <c r="E697" t="s">
        <v>52</v>
      </c>
      <c r="F697" t="s">
        <v>108</v>
      </c>
      <c r="G697" t="s">
        <v>1006</v>
      </c>
      <c r="H697">
        <v>17425766</v>
      </c>
      <c r="I697" t="s">
        <v>88</v>
      </c>
      <c r="J697" t="s">
        <v>89</v>
      </c>
      <c r="K697" t="str">
        <f t="shared" si="37"/>
        <v>CAROL FOLEY</v>
      </c>
      <c r="L697" s="1">
        <v>45658</v>
      </c>
      <c r="M697" s="1">
        <v>46023</v>
      </c>
      <c r="N697" s="2">
        <v>110.69</v>
      </c>
      <c r="O697">
        <f t="shared" si="34"/>
        <v>12</v>
      </c>
      <c r="P697" t="s">
        <v>1370</v>
      </c>
      <c r="Q697" s="4">
        <v>0.28000000000000003</v>
      </c>
      <c r="R697" t="s">
        <v>83</v>
      </c>
      <c r="S697" t="s">
        <v>61</v>
      </c>
      <c r="T697" s="2">
        <v>30.99</v>
      </c>
      <c r="U697" t="s">
        <v>1006</v>
      </c>
    </row>
    <row r="698" spans="1:21" x14ac:dyDescent="0.25">
      <c r="A698">
        <v>2026147450</v>
      </c>
      <c r="B698" t="s">
        <v>196</v>
      </c>
      <c r="C698" t="s">
        <v>197</v>
      </c>
      <c r="D698" t="str">
        <f t="shared" si="33"/>
        <v>EDITH FENTON</v>
      </c>
      <c r="E698" t="s">
        <v>52</v>
      </c>
      <c r="F698" t="s">
        <v>169</v>
      </c>
      <c r="G698" t="s">
        <v>170</v>
      </c>
      <c r="H698">
        <v>17528908</v>
      </c>
      <c r="I698" t="s">
        <v>183</v>
      </c>
      <c r="J698" t="s">
        <v>184</v>
      </c>
      <c r="K698" t="str">
        <f t="shared" si="37"/>
        <v>DEBORAH INSKIPT</v>
      </c>
      <c r="L698" s="1">
        <v>45658</v>
      </c>
      <c r="M698" s="1">
        <v>46023</v>
      </c>
      <c r="N698" s="2">
        <v>33.590000000000003</v>
      </c>
      <c r="O698">
        <f t="shared" si="34"/>
        <v>12</v>
      </c>
      <c r="P698" t="s">
        <v>1370</v>
      </c>
      <c r="Q698" s="4">
        <v>0.47</v>
      </c>
      <c r="R698" t="s">
        <v>83</v>
      </c>
      <c r="S698" t="s">
        <v>61</v>
      </c>
      <c r="T698" s="2">
        <v>15.79</v>
      </c>
      <c r="U698" t="s">
        <v>170</v>
      </c>
    </row>
    <row r="699" spans="1:21" x14ac:dyDescent="0.25">
      <c r="A699">
        <v>2025735300</v>
      </c>
      <c r="B699" t="s">
        <v>1296</v>
      </c>
      <c r="C699" t="s">
        <v>1297</v>
      </c>
      <c r="D699" t="str">
        <f t="shared" si="33"/>
        <v>LUCIANA LOOMIS</v>
      </c>
      <c r="E699" t="s">
        <v>52</v>
      </c>
      <c r="F699" t="s">
        <v>169</v>
      </c>
      <c r="G699" t="s">
        <v>170</v>
      </c>
      <c r="H699">
        <v>17528908</v>
      </c>
      <c r="I699" t="s">
        <v>183</v>
      </c>
      <c r="J699" t="s">
        <v>184</v>
      </c>
      <c r="K699" t="str">
        <f t="shared" si="37"/>
        <v>DEBORAH INSKIPT</v>
      </c>
      <c r="L699" s="1">
        <v>45658</v>
      </c>
      <c r="M699" s="1">
        <v>46023</v>
      </c>
      <c r="N699" s="2">
        <v>78.83</v>
      </c>
      <c r="O699">
        <f t="shared" si="34"/>
        <v>12</v>
      </c>
      <c r="P699" t="s">
        <v>1370</v>
      </c>
      <c r="Q699" s="4">
        <v>0.47</v>
      </c>
      <c r="R699" t="s">
        <v>83</v>
      </c>
      <c r="S699" t="s">
        <v>61</v>
      </c>
      <c r="T699" s="2">
        <v>37.049999999999997</v>
      </c>
      <c r="U699" t="s">
        <v>170</v>
      </c>
    </row>
    <row r="700" spans="1:21" x14ac:dyDescent="0.25">
      <c r="A700">
        <v>2025690377</v>
      </c>
      <c r="B700" t="s">
        <v>787</v>
      </c>
      <c r="C700" t="s">
        <v>544</v>
      </c>
      <c r="D700" t="str">
        <f t="shared" si="33"/>
        <v>JUSTIN REITER</v>
      </c>
      <c r="E700" t="s">
        <v>267</v>
      </c>
      <c r="F700" t="s">
        <v>75</v>
      </c>
      <c r="G700" t="s">
        <v>76</v>
      </c>
      <c r="H700">
        <v>8307933</v>
      </c>
      <c r="I700" t="s">
        <v>246</v>
      </c>
      <c r="J700" t="s">
        <v>247</v>
      </c>
      <c r="K700" t="str">
        <f t="shared" si="37"/>
        <v>GREGORY TEIPEL</v>
      </c>
      <c r="L700" s="1">
        <v>45664</v>
      </c>
      <c r="M700" s="1">
        <v>46029</v>
      </c>
      <c r="N700" s="2">
        <v>19.63</v>
      </c>
      <c r="O700">
        <f t="shared" si="34"/>
        <v>12</v>
      </c>
      <c r="P700" t="s">
        <v>1370</v>
      </c>
      <c r="Q700" s="4">
        <v>0.75</v>
      </c>
      <c r="R700" t="s">
        <v>83</v>
      </c>
      <c r="S700" t="s">
        <v>61</v>
      </c>
      <c r="T700" s="2">
        <v>14.72</v>
      </c>
      <c r="U700" t="s">
        <v>1371</v>
      </c>
    </row>
    <row r="701" spans="1:21" x14ac:dyDescent="0.25">
      <c r="A701">
        <v>2025732432</v>
      </c>
      <c r="B701" t="s">
        <v>404</v>
      </c>
      <c r="C701" t="s">
        <v>184</v>
      </c>
      <c r="D701" t="str">
        <f t="shared" si="33"/>
        <v>DEBORAH HANNA</v>
      </c>
      <c r="E701" t="s">
        <v>408</v>
      </c>
      <c r="F701" t="s">
        <v>75</v>
      </c>
      <c r="G701" t="s">
        <v>76</v>
      </c>
      <c r="H701">
        <v>8307933</v>
      </c>
      <c r="I701" t="s">
        <v>246</v>
      </c>
      <c r="J701" t="s">
        <v>247</v>
      </c>
      <c r="K701" t="str">
        <f t="shared" si="37"/>
        <v>GREGORY TEIPEL</v>
      </c>
      <c r="L701" s="1">
        <v>45664</v>
      </c>
      <c r="M701" s="1">
        <v>46029</v>
      </c>
      <c r="N701" s="2">
        <v>93.93</v>
      </c>
      <c r="O701">
        <f t="shared" si="34"/>
        <v>12</v>
      </c>
      <c r="P701" t="s">
        <v>1370</v>
      </c>
      <c r="Q701" s="4">
        <v>0.75</v>
      </c>
      <c r="R701" t="s">
        <v>83</v>
      </c>
      <c r="S701" t="s">
        <v>61</v>
      </c>
      <c r="T701" s="2">
        <v>70.45</v>
      </c>
      <c r="U701" t="s">
        <v>1371</v>
      </c>
    </row>
    <row r="702" spans="1:21" x14ac:dyDescent="0.25">
      <c r="A702">
        <v>2026053293</v>
      </c>
      <c r="B702" t="s">
        <v>796</v>
      </c>
      <c r="C702" t="s">
        <v>659</v>
      </c>
      <c r="D702" t="str">
        <f t="shared" si="33"/>
        <v>PAMELA CREASBAUM</v>
      </c>
      <c r="E702" t="s">
        <v>102</v>
      </c>
      <c r="F702" t="s">
        <v>75</v>
      </c>
      <c r="G702" t="s">
        <v>76</v>
      </c>
      <c r="H702">
        <v>8307933</v>
      </c>
      <c r="I702" t="s">
        <v>246</v>
      </c>
      <c r="J702" t="s">
        <v>247</v>
      </c>
      <c r="K702" t="str">
        <f t="shared" si="37"/>
        <v>GREGORY TEIPEL</v>
      </c>
      <c r="L702" s="1">
        <v>45664</v>
      </c>
      <c r="M702" s="1">
        <v>46029</v>
      </c>
      <c r="N702" s="2">
        <v>78.430000000000007</v>
      </c>
      <c r="O702">
        <f t="shared" si="34"/>
        <v>12</v>
      </c>
      <c r="P702" t="s">
        <v>1370</v>
      </c>
      <c r="Q702" s="4">
        <v>0.75</v>
      </c>
      <c r="R702" t="s">
        <v>83</v>
      </c>
      <c r="S702" t="s">
        <v>61</v>
      </c>
      <c r="T702" s="2">
        <v>58.82</v>
      </c>
      <c r="U702" t="s">
        <v>1371</v>
      </c>
    </row>
    <row r="703" spans="1:21" x14ac:dyDescent="0.25">
      <c r="A703">
        <v>2026082703</v>
      </c>
      <c r="B703" t="s">
        <v>797</v>
      </c>
      <c r="C703" t="s">
        <v>194</v>
      </c>
      <c r="D703" t="str">
        <f t="shared" si="33"/>
        <v>KAREN FOWLER</v>
      </c>
      <c r="E703" t="s">
        <v>386</v>
      </c>
      <c r="F703" t="s">
        <v>75</v>
      </c>
      <c r="G703" t="s">
        <v>76</v>
      </c>
      <c r="H703">
        <v>8307933</v>
      </c>
      <c r="I703" t="s">
        <v>246</v>
      </c>
      <c r="J703" t="s">
        <v>247</v>
      </c>
      <c r="K703" t="str">
        <f t="shared" si="37"/>
        <v>GREGORY TEIPEL</v>
      </c>
      <c r="L703" s="1">
        <v>45664</v>
      </c>
      <c r="M703" s="1">
        <v>46029</v>
      </c>
      <c r="N703" s="2">
        <v>148.53</v>
      </c>
      <c r="O703">
        <f t="shared" si="34"/>
        <v>12</v>
      </c>
      <c r="P703" t="s">
        <v>1370</v>
      </c>
      <c r="Q703" s="4">
        <v>0.75</v>
      </c>
      <c r="R703" t="s">
        <v>83</v>
      </c>
      <c r="S703" t="s">
        <v>61</v>
      </c>
      <c r="T703" s="2">
        <v>111.4</v>
      </c>
      <c r="U703" t="s">
        <v>1371</v>
      </c>
    </row>
    <row r="704" spans="1:21" x14ac:dyDescent="0.25">
      <c r="A704">
        <v>2026103479</v>
      </c>
      <c r="B704" t="s">
        <v>800</v>
      </c>
      <c r="C704" t="s">
        <v>801</v>
      </c>
      <c r="D704" t="str">
        <f t="shared" si="33"/>
        <v>WENDY RAMBOLDT</v>
      </c>
      <c r="E704" t="s">
        <v>267</v>
      </c>
      <c r="F704" t="s">
        <v>75</v>
      </c>
      <c r="G704" t="s">
        <v>76</v>
      </c>
      <c r="H704">
        <v>8307933</v>
      </c>
      <c r="I704" t="s">
        <v>246</v>
      </c>
      <c r="J704" t="s">
        <v>247</v>
      </c>
      <c r="K704" t="str">
        <f t="shared" si="37"/>
        <v>GREGORY TEIPEL</v>
      </c>
      <c r="L704" s="1">
        <v>45664</v>
      </c>
      <c r="M704" s="1">
        <v>46029</v>
      </c>
      <c r="N704" s="2">
        <v>45.3</v>
      </c>
      <c r="O704">
        <f t="shared" si="34"/>
        <v>12</v>
      </c>
      <c r="P704" t="s">
        <v>1370</v>
      </c>
      <c r="Q704" s="4">
        <v>0.75</v>
      </c>
      <c r="R704" t="s">
        <v>83</v>
      </c>
      <c r="S704" t="s">
        <v>61</v>
      </c>
      <c r="T704" s="2">
        <v>33.979999999999997</v>
      </c>
      <c r="U704" t="s">
        <v>1371</v>
      </c>
    </row>
    <row r="705" spans="1:21" x14ac:dyDescent="0.25">
      <c r="A705">
        <v>2026113524</v>
      </c>
      <c r="B705" t="s">
        <v>802</v>
      </c>
      <c r="C705" t="s">
        <v>192</v>
      </c>
      <c r="D705" t="str">
        <f t="shared" si="33"/>
        <v>TRINA FUHRHOP</v>
      </c>
      <c r="E705" t="s">
        <v>102</v>
      </c>
      <c r="F705" t="s">
        <v>75</v>
      </c>
      <c r="G705" t="s">
        <v>76</v>
      </c>
      <c r="H705">
        <v>8307933</v>
      </c>
      <c r="I705" t="s">
        <v>246</v>
      </c>
      <c r="J705" t="s">
        <v>247</v>
      </c>
      <c r="K705" t="str">
        <f t="shared" si="37"/>
        <v>GREGORY TEIPEL</v>
      </c>
      <c r="L705" s="1">
        <v>45664</v>
      </c>
      <c r="M705" s="1">
        <v>46029</v>
      </c>
      <c r="N705" s="2">
        <v>144.18</v>
      </c>
      <c r="O705">
        <f t="shared" si="34"/>
        <v>12</v>
      </c>
      <c r="P705" t="s">
        <v>1370</v>
      </c>
      <c r="Q705" s="4">
        <v>0.75</v>
      </c>
      <c r="R705" t="s">
        <v>83</v>
      </c>
      <c r="S705" t="s">
        <v>61</v>
      </c>
      <c r="T705" s="2">
        <v>108.14</v>
      </c>
      <c r="U705" t="s">
        <v>1371</v>
      </c>
    </row>
    <row r="706" spans="1:21" x14ac:dyDescent="0.25">
      <c r="A706">
        <v>2026126661</v>
      </c>
      <c r="B706" t="s">
        <v>790</v>
      </c>
      <c r="C706" t="s">
        <v>134</v>
      </c>
      <c r="D706" t="str">
        <f t="shared" ref="D706:D769" si="38">CONCATENATE(C706," ",B706)</f>
        <v>SHANNON WEST</v>
      </c>
      <c r="E706" t="s">
        <v>97</v>
      </c>
      <c r="F706" t="s">
        <v>75</v>
      </c>
      <c r="G706" t="s">
        <v>76</v>
      </c>
      <c r="H706">
        <v>8307933</v>
      </c>
      <c r="I706" t="s">
        <v>246</v>
      </c>
      <c r="J706" t="s">
        <v>247</v>
      </c>
      <c r="K706" t="str">
        <f t="shared" si="37"/>
        <v>GREGORY TEIPEL</v>
      </c>
      <c r="L706" s="1">
        <v>45664</v>
      </c>
      <c r="M706" s="1">
        <v>46029</v>
      </c>
      <c r="N706" s="2">
        <v>107.5</v>
      </c>
      <c r="O706">
        <f t="shared" ref="O706:O769" si="39">DATEDIF(L706,M706,"M")</f>
        <v>12</v>
      </c>
      <c r="P706" t="s">
        <v>1370</v>
      </c>
      <c r="Q706" s="4">
        <v>0.75</v>
      </c>
      <c r="R706" t="s">
        <v>83</v>
      </c>
      <c r="S706" t="s">
        <v>61</v>
      </c>
      <c r="T706" s="2">
        <v>80.62</v>
      </c>
      <c r="U706" t="s">
        <v>1371</v>
      </c>
    </row>
    <row r="707" spans="1:21" x14ac:dyDescent="0.25">
      <c r="A707">
        <v>2026154681</v>
      </c>
      <c r="B707" t="s">
        <v>806</v>
      </c>
      <c r="C707" t="s">
        <v>807</v>
      </c>
      <c r="D707" t="str">
        <f t="shared" si="38"/>
        <v>STEPHANIE CLANCY</v>
      </c>
      <c r="E707" t="s">
        <v>267</v>
      </c>
      <c r="F707" t="s">
        <v>75</v>
      </c>
      <c r="G707" t="s">
        <v>76</v>
      </c>
      <c r="H707">
        <v>8307933</v>
      </c>
      <c r="I707" t="s">
        <v>246</v>
      </c>
      <c r="J707" t="s">
        <v>247</v>
      </c>
      <c r="K707" t="str">
        <f t="shared" si="37"/>
        <v>GREGORY TEIPEL</v>
      </c>
      <c r="L707" s="1">
        <v>45664</v>
      </c>
      <c r="M707" s="1">
        <v>46029</v>
      </c>
      <c r="N707" s="2">
        <v>119.95</v>
      </c>
      <c r="O707">
        <f t="shared" si="39"/>
        <v>12</v>
      </c>
      <c r="P707" t="s">
        <v>1370</v>
      </c>
      <c r="Q707" s="4">
        <v>0.75</v>
      </c>
      <c r="R707" t="s">
        <v>83</v>
      </c>
      <c r="S707" t="s">
        <v>61</v>
      </c>
      <c r="T707" s="2">
        <v>89.96</v>
      </c>
      <c r="U707" t="s">
        <v>1371</v>
      </c>
    </row>
    <row r="708" spans="1:21" x14ac:dyDescent="0.25">
      <c r="A708">
        <v>2026155453</v>
      </c>
      <c r="B708" t="s">
        <v>808</v>
      </c>
      <c r="C708" t="s">
        <v>809</v>
      </c>
      <c r="D708" t="str">
        <f t="shared" si="38"/>
        <v>VIRGIL HENRY</v>
      </c>
      <c r="E708" t="s">
        <v>810</v>
      </c>
      <c r="F708" t="s">
        <v>75</v>
      </c>
      <c r="G708" t="s">
        <v>76</v>
      </c>
      <c r="H708">
        <v>8307933</v>
      </c>
      <c r="I708" t="s">
        <v>246</v>
      </c>
      <c r="J708" t="s">
        <v>247</v>
      </c>
      <c r="K708" t="str">
        <f t="shared" si="37"/>
        <v>GREGORY TEIPEL</v>
      </c>
      <c r="L708" s="1">
        <v>45664</v>
      </c>
      <c r="M708" s="1">
        <v>46029</v>
      </c>
      <c r="N708" s="2">
        <v>67.3</v>
      </c>
      <c r="O708">
        <f t="shared" si="39"/>
        <v>12</v>
      </c>
      <c r="P708" t="s">
        <v>1370</v>
      </c>
      <c r="Q708" s="4">
        <v>0.75</v>
      </c>
      <c r="R708" t="s">
        <v>83</v>
      </c>
      <c r="S708" t="s">
        <v>61</v>
      </c>
      <c r="T708" s="2">
        <v>50.48</v>
      </c>
      <c r="U708" t="s">
        <v>1371</v>
      </c>
    </row>
    <row r="709" spans="1:21" x14ac:dyDescent="0.25">
      <c r="A709">
        <v>2026166108</v>
      </c>
      <c r="B709" t="s">
        <v>811</v>
      </c>
      <c r="C709" t="s">
        <v>115</v>
      </c>
      <c r="D709" t="str">
        <f t="shared" si="38"/>
        <v>STEPHEN FREY</v>
      </c>
      <c r="E709" t="s">
        <v>102</v>
      </c>
      <c r="F709" t="s">
        <v>75</v>
      </c>
      <c r="G709" t="s">
        <v>76</v>
      </c>
      <c r="H709">
        <v>8307933</v>
      </c>
      <c r="I709" t="s">
        <v>246</v>
      </c>
      <c r="J709" t="s">
        <v>247</v>
      </c>
      <c r="K709" t="str">
        <f t="shared" si="37"/>
        <v>GREGORY TEIPEL</v>
      </c>
      <c r="L709" s="1">
        <v>45664</v>
      </c>
      <c r="M709" s="1">
        <v>46029</v>
      </c>
      <c r="N709" s="2">
        <v>129.13</v>
      </c>
      <c r="O709">
        <f t="shared" si="39"/>
        <v>12</v>
      </c>
      <c r="P709" t="s">
        <v>1370</v>
      </c>
      <c r="Q709" s="4">
        <v>0.75</v>
      </c>
      <c r="R709" t="s">
        <v>83</v>
      </c>
      <c r="S709" t="s">
        <v>61</v>
      </c>
      <c r="T709" s="2">
        <v>96.85</v>
      </c>
      <c r="U709" t="s">
        <v>1371</v>
      </c>
    </row>
    <row r="710" spans="1:21" x14ac:dyDescent="0.25">
      <c r="A710">
        <v>2026175249</v>
      </c>
      <c r="B710" t="s">
        <v>812</v>
      </c>
      <c r="C710" t="s">
        <v>813</v>
      </c>
      <c r="D710" t="str">
        <f t="shared" si="38"/>
        <v>MICHELE SZAPIELAK</v>
      </c>
      <c r="E710" t="s">
        <v>102</v>
      </c>
      <c r="F710" t="s">
        <v>75</v>
      </c>
      <c r="G710" t="s">
        <v>76</v>
      </c>
      <c r="H710">
        <v>8307933</v>
      </c>
      <c r="I710" t="s">
        <v>246</v>
      </c>
      <c r="J710" t="s">
        <v>247</v>
      </c>
      <c r="K710" t="str">
        <f t="shared" si="37"/>
        <v>GREGORY TEIPEL</v>
      </c>
      <c r="L710" s="1">
        <v>45664</v>
      </c>
      <c r="M710" s="1">
        <v>46029</v>
      </c>
      <c r="N710" s="2">
        <v>61.27</v>
      </c>
      <c r="O710">
        <f t="shared" si="39"/>
        <v>12</v>
      </c>
      <c r="P710" t="s">
        <v>1370</v>
      </c>
      <c r="Q710" s="4">
        <v>0.75</v>
      </c>
      <c r="R710" t="s">
        <v>83</v>
      </c>
      <c r="S710" t="s">
        <v>61</v>
      </c>
      <c r="T710" s="2">
        <v>45.95</v>
      </c>
      <c r="U710" t="s">
        <v>1371</v>
      </c>
    </row>
    <row r="711" spans="1:21" x14ac:dyDescent="0.25">
      <c r="A711">
        <v>2026236140</v>
      </c>
      <c r="B711" t="s">
        <v>815</v>
      </c>
      <c r="C711" t="s">
        <v>182</v>
      </c>
      <c r="D711" t="str">
        <f t="shared" si="38"/>
        <v>MICHAEL RUSS</v>
      </c>
      <c r="E711" t="s">
        <v>97</v>
      </c>
      <c r="F711" t="s">
        <v>75</v>
      </c>
      <c r="G711" t="s">
        <v>76</v>
      </c>
      <c r="H711">
        <v>8307933</v>
      </c>
      <c r="I711" t="s">
        <v>246</v>
      </c>
      <c r="J711" t="s">
        <v>247</v>
      </c>
      <c r="K711" t="str">
        <f t="shared" si="37"/>
        <v>GREGORY TEIPEL</v>
      </c>
      <c r="L711" s="1">
        <v>45664</v>
      </c>
      <c r="M711" s="1">
        <v>46029</v>
      </c>
      <c r="N711" s="2">
        <v>127.21</v>
      </c>
      <c r="O711">
        <f t="shared" si="39"/>
        <v>12</v>
      </c>
      <c r="P711" t="s">
        <v>1370</v>
      </c>
      <c r="Q711" s="4">
        <v>0.75</v>
      </c>
      <c r="R711" t="s">
        <v>83</v>
      </c>
      <c r="S711" t="s">
        <v>61</v>
      </c>
      <c r="T711" s="2">
        <v>95.41</v>
      </c>
      <c r="U711" t="s">
        <v>1371</v>
      </c>
    </row>
    <row r="712" spans="1:21" x14ac:dyDescent="0.25">
      <c r="A712">
        <v>2026298483</v>
      </c>
      <c r="B712" t="s">
        <v>816</v>
      </c>
      <c r="C712" t="s">
        <v>142</v>
      </c>
      <c r="D712" t="str">
        <f t="shared" si="38"/>
        <v>BRIAN ANDRASEK</v>
      </c>
      <c r="E712" t="s">
        <v>102</v>
      </c>
      <c r="F712" t="s">
        <v>75</v>
      </c>
      <c r="G712" t="s">
        <v>76</v>
      </c>
      <c r="H712">
        <v>8307933</v>
      </c>
      <c r="I712" t="s">
        <v>246</v>
      </c>
      <c r="J712" t="s">
        <v>247</v>
      </c>
      <c r="K712" t="str">
        <f t="shared" si="37"/>
        <v>GREGORY TEIPEL</v>
      </c>
      <c r="L712" s="1">
        <v>45664</v>
      </c>
      <c r="M712" s="1">
        <v>46029</v>
      </c>
      <c r="N712" s="2">
        <v>25.6</v>
      </c>
      <c r="O712">
        <f t="shared" si="39"/>
        <v>12</v>
      </c>
      <c r="P712" t="s">
        <v>1370</v>
      </c>
      <c r="Q712" s="4">
        <v>0.75</v>
      </c>
      <c r="R712" t="s">
        <v>83</v>
      </c>
      <c r="S712" t="s">
        <v>61</v>
      </c>
      <c r="T712" s="2">
        <v>19.2</v>
      </c>
      <c r="U712" t="s">
        <v>1371</v>
      </c>
    </row>
    <row r="713" spans="1:21" x14ac:dyDescent="0.25">
      <c r="A713">
        <v>2026036711</v>
      </c>
      <c r="B713" t="s">
        <v>450</v>
      </c>
      <c r="C713" t="s">
        <v>678</v>
      </c>
      <c r="D713" t="str">
        <f t="shared" si="38"/>
        <v>ANTHONY CASTRO</v>
      </c>
      <c r="E713" t="s">
        <v>102</v>
      </c>
      <c r="F713" t="s">
        <v>75</v>
      </c>
      <c r="G713" t="s">
        <v>80</v>
      </c>
      <c r="H713">
        <v>8307933</v>
      </c>
      <c r="I713" t="s">
        <v>246</v>
      </c>
      <c r="J713" t="s">
        <v>247</v>
      </c>
      <c r="K713" t="str">
        <f t="shared" si="37"/>
        <v>GREGORY TEIPEL</v>
      </c>
      <c r="L713" s="1">
        <v>45664</v>
      </c>
      <c r="M713" s="1">
        <v>46029</v>
      </c>
      <c r="N713" s="2">
        <v>152.33000000000001</v>
      </c>
      <c r="O713">
        <f t="shared" si="39"/>
        <v>12</v>
      </c>
      <c r="P713" t="s">
        <v>1370</v>
      </c>
      <c r="Q713" s="4">
        <v>0.9</v>
      </c>
      <c r="R713" t="s">
        <v>83</v>
      </c>
      <c r="S713" t="s">
        <v>61</v>
      </c>
      <c r="T713" s="2">
        <v>137.1</v>
      </c>
      <c r="U713" t="s">
        <v>1372</v>
      </c>
    </row>
    <row r="714" spans="1:21" x14ac:dyDescent="0.25">
      <c r="A714">
        <v>2026099502</v>
      </c>
      <c r="B714" t="s">
        <v>798</v>
      </c>
      <c r="C714" t="s">
        <v>789</v>
      </c>
      <c r="D714" t="str">
        <f t="shared" si="38"/>
        <v>SARAH LEVY</v>
      </c>
      <c r="E714" t="s">
        <v>267</v>
      </c>
      <c r="F714" t="s">
        <v>75</v>
      </c>
      <c r="G714" t="s">
        <v>80</v>
      </c>
      <c r="H714">
        <v>8307933</v>
      </c>
      <c r="I714" t="s">
        <v>246</v>
      </c>
      <c r="J714" t="s">
        <v>247</v>
      </c>
      <c r="K714" t="str">
        <f t="shared" si="37"/>
        <v>GREGORY TEIPEL</v>
      </c>
      <c r="L714" s="1">
        <v>45664</v>
      </c>
      <c r="M714" s="1">
        <v>46029</v>
      </c>
      <c r="N714" s="2">
        <v>234.17</v>
      </c>
      <c r="O714">
        <f t="shared" si="39"/>
        <v>12</v>
      </c>
      <c r="P714" t="s">
        <v>1370</v>
      </c>
      <c r="Q714" s="4">
        <v>0.9</v>
      </c>
      <c r="R714" t="s">
        <v>83</v>
      </c>
      <c r="S714" t="s">
        <v>61</v>
      </c>
      <c r="T714" s="2">
        <v>210.75</v>
      </c>
      <c r="U714" t="s">
        <v>1372</v>
      </c>
    </row>
    <row r="715" spans="1:21" x14ac:dyDescent="0.25">
      <c r="A715">
        <v>2026102876</v>
      </c>
      <c r="B715" t="s">
        <v>799</v>
      </c>
      <c r="C715" t="s">
        <v>694</v>
      </c>
      <c r="D715" t="str">
        <f t="shared" si="38"/>
        <v>JEROME SPENCER</v>
      </c>
      <c r="E715" t="s">
        <v>741</v>
      </c>
      <c r="F715" t="s">
        <v>75</v>
      </c>
      <c r="G715" t="s">
        <v>80</v>
      </c>
      <c r="H715">
        <v>8307933</v>
      </c>
      <c r="I715" t="s">
        <v>246</v>
      </c>
      <c r="J715" t="s">
        <v>247</v>
      </c>
      <c r="K715" t="str">
        <f t="shared" si="37"/>
        <v>GREGORY TEIPEL</v>
      </c>
      <c r="L715" s="1">
        <v>45664</v>
      </c>
      <c r="M715" s="1">
        <v>46029</v>
      </c>
      <c r="N715" s="2">
        <v>180.88</v>
      </c>
      <c r="O715">
        <f t="shared" si="39"/>
        <v>12</v>
      </c>
      <c r="P715" t="s">
        <v>1370</v>
      </c>
      <c r="Q715" s="4">
        <v>0.9</v>
      </c>
      <c r="R715" t="s">
        <v>83</v>
      </c>
      <c r="S715" t="s">
        <v>61</v>
      </c>
      <c r="T715" s="2">
        <v>162.79</v>
      </c>
      <c r="U715" t="s">
        <v>1372</v>
      </c>
    </row>
    <row r="716" spans="1:21" x14ac:dyDescent="0.25">
      <c r="A716">
        <v>2026145113</v>
      </c>
      <c r="B716" t="s">
        <v>804</v>
      </c>
      <c r="C716" t="s">
        <v>182</v>
      </c>
      <c r="D716" t="str">
        <f t="shared" si="38"/>
        <v>MICHAEL HOCHERL</v>
      </c>
      <c r="E716" t="s">
        <v>408</v>
      </c>
      <c r="F716" t="s">
        <v>75</v>
      </c>
      <c r="G716" t="s">
        <v>80</v>
      </c>
      <c r="H716">
        <v>8307933</v>
      </c>
      <c r="I716" t="s">
        <v>246</v>
      </c>
      <c r="J716" t="s">
        <v>247</v>
      </c>
      <c r="K716" t="str">
        <f t="shared" si="37"/>
        <v>GREGORY TEIPEL</v>
      </c>
      <c r="L716" s="1">
        <v>45664</v>
      </c>
      <c r="M716" s="1">
        <v>46029</v>
      </c>
      <c r="N716" s="2">
        <v>128.61000000000001</v>
      </c>
      <c r="O716">
        <f t="shared" si="39"/>
        <v>12</v>
      </c>
      <c r="P716" t="s">
        <v>1370</v>
      </c>
      <c r="Q716" s="4">
        <v>0.9</v>
      </c>
      <c r="R716" t="s">
        <v>83</v>
      </c>
      <c r="S716" t="s">
        <v>61</v>
      </c>
      <c r="T716" s="2">
        <v>115.75</v>
      </c>
      <c r="U716" t="s">
        <v>1372</v>
      </c>
    </row>
    <row r="717" spans="1:21" x14ac:dyDescent="0.25">
      <c r="A717">
        <v>2026150038</v>
      </c>
      <c r="B717" t="s">
        <v>805</v>
      </c>
      <c r="C717" t="s">
        <v>101</v>
      </c>
      <c r="D717" t="str">
        <f t="shared" si="38"/>
        <v>JULIE BEILFUSS</v>
      </c>
      <c r="E717" t="s">
        <v>102</v>
      </c>
      <c r="F717" t="s">
        <v>75</v>
      </c>
      <c r="G717" t="s">
        <v>80</v>
      </c>
      <c r="H717">
        <v>8307933</v>
      </c>
      <c r="I717" t="s">
        <v>246</v>
      </c>
      <c r="J717" t="s">
        <v>247</v>
      </c>
      <c r="K717" t="str">
        <f t="shared" si="37"/>
        <v>GREGORY TEIPEL</v>
      </c>
      <c r="L717" s="1">
        <v>45664</v>
      </c>
      <c r="M717" s="1">
        <v>46029</v>
      </c>
      <c r="N717" s="2">
        <v>59</v>
      </c>
      <c r="O717">
        <f t="shared" si="39"/>
        <v>12</v>
      </c>
      <c r="P717" t="s">
        <v>1370</v>
      </c>
      <c r="Q717" s="4">
        <v>0.9</v>
      </c>
      <c r="R717" t="s">
        <v>83</v>
      </c>
      <c r="S717" t="s">
        <v>61</v>
      </c>
      <c r="T717" s="2">
        <v>53.1</v>
      </c>
      <c r="U717" t="s">
        <v>1372</v>
      </c>
    </row>
    <row r="718" spans="1:21" x14ac:dyDescent="0.25">
      <c r="A718">
        <v>2026185573</v>
      </c>
      <c r="B718" t="s">
        <v>701</v>
      </c>
      <c r="C718" t="s">
        <v>814</v>
      </c>
      <c r="D718" t="str">
        <f t="shared" si="38"/>
        <v>NILAY PATEL</v>
      </c>
      <c r="E718" t="s">
        <v>102</v>
      </c>
      <c r="F718" t="s">
        <v>75</v>
      </c>
      <c r="G718" t="s">
        <v>80</v>
      </c>
      <c r="H718">
        <v>8307933</v>
      </c>
      <c r="I718" t="s">
        <v>246</v>
      </c>
      <c r="J718" t="s">
        <v>247</v>
      </c>
      <c r="K718" t="str">
        <f t="shared" si="37"/>
        <v>GREGORY TEIPEL</v>
      </c>
      <c r="L718" s="1">
        <v>45664</v>
      </c>
      <c r="M718" s="1">
        <v>46029</v>
      </c>
      <c r="N718" s="2">
        <v>135.59</v>
      </c>
      <c r="O718">
        <f t="shared" si="39"/>
        <v>12</v>
      </c>
      <c r="P718" t="s">
        <v>1370</v>
      </c>
      <c r="Q718" s="4">
        <v>0.9</v>
      </c>
      <c r="R718" t="s">
        <v>83</v>
      </c>
      <c r="S718" t="s">
        <v>61</v>
      </c>
      <c r="T718" s="2">
        <v>122.03</v>
      </c>
      <c r="U718" t="s">
        <v>1372</v>
      </c>
    </row>
    <row r="719" spans="1:21" x14ac:dyDescent="0.25">
      <c r="A719">
        <v>2025690376</v>
      </c>
      <c r="B719" t="s">
        <v>787</v>
      </c>
      <c r="C719" t="s">
        <v>544</v>
      </c>
      <c r="D719" t="str">
        <f t="shared" si="38"/>
        <v>JUSTIN REITER</v>
      </c>
      <c r="E719" t="s">
        <v>267</v>
      </c>
      <c r="F719" t="s">
        <v>126</v>
      </c>
      <c r="G719" t="s">
        <v>132</v>
      </c>
      <c r="H719">
        <v>8307933</v>
      </c>
      <c r="I719" t="s">
        <v>246</v>
      </c>
      <c r="J719" t="s">
        <v>247</v>
      </c>
      <c r="K719" t="str">
        <f t="shared" si="37"/>
        <v>GREGORY TEIPEL</v>
      </c>
      <c r="L719" s="1">
        <v>45664</v>
      </c>
      <c r="M719" s="1">
        <v>46029</v>
      </c>
      <c r="N719" s="2">
        <v>31.28</v>
      </c>
      <c r="O719">
        <f t="shared" si="39"/>
        <v>12</v>
      </c>
      <c r="P719" t="s">
        <v>1370</v>
      </c>
      <c r="Q719" s="4">
        <v>0.7</v>
      </c>
      <c r="R719" t="s">
        <v>83</v>
      </c>
      <c r="S719" t="s">
        <v>61</v>
      </c>
      <c r="T719" s="2">
        <v>21.9</v>
      </c>
      <c r="U719" t="s">
        <v>132</v>
      </c>
    </row>
    <row r="720" spans="1:21" x14ac:dyDescent="0.25">
      <c r="A720">
        <v>2025732433</v>
      </c>
      <c r="B720" t="s">
        <v>404</v>
      </c>
      <c r="C720" t="s">
        <v>184</v>
      </c>
      <c r="D720" t="str">
        <f t="shared" si="38"/>
        <v>DEBORAH HANNA</v>
      </c>
      <c r="E720" t="s">
        <v>408</v>
      </c>
      <c r="F720" t="s">
        <v>126</v>
      </c>
      <c r="G720" t="s">
        <v>132</v>
      </c>
      <c r="H720">
        <v>8307933</v>
      </c>
      <c r="I720" t="s">
        <v>246</v>
      </c>
      <c r="J720" t="s">
        <v>247</v>
      </c>
      <c r="K720" t="str">
        <f t="shared" si="37"/>
        <v>GREGORY TEIPEL</v>
      </c>
      <c r="L720" s="1">
        <v>45664</v>
      </c>
      <c r="M720" s="1">
        <v>46029</v>
      </c>
      <c r="N720" s="2">
        <v>98.64</v>
      </c>
      <c r="O720">
        <f t="shared" si="39"/>
        <v>12</v>
      </c>
      <c r="P720" t="s">
        <v>1370</v>
      </c>
      <c r="Q720" s="4">
        <v>0.7</v>
      </c>
      <c r="R720" t="s">
        <v>83</v>
      </c>
      <c r="S720" t="s">
        <v>61</v>
      </c>
      <c r="T720" s="2">
        <v>69.05</v>
      </c>
      <c r="U720" t="s">
        <v>132</v>
      </c>
    </row>
    <row r="721" spans="1:51" x14ac:dyDescent="0.25">
      <c r="A721">
        <v>2026028784</v>
      </c>
      <c r="B721" t="s">
        <v>543</v>
      </c>
      <c r="C721" t="s">
        <v>1081</v>
      </c>
      <c r="D721" t="str">
        <f t="shared" si="38"/>
        <v>LEAH HAMILTON</v>
      </c>
      <c r="E721" t="s">
        <v>102</v>
      </c>
      <c r="F721" t="s">
        <v>126</v>
      </c>
      <c r="G721" t="s">
        <v>132</v>
      </c>
      <c r="H721">
        <v>8307933</v>
      </c>
      <c r="I721" t="s">
        <v>246</v>
      </c>
      <c r="J721" t="s">
        <v>247</v>
      </c>
      <c r="K721" t="str">
        <f t="shared" si="37"/>
        <v>GREGORY TEIPEL</v>
      </c>
      <c r="L721" s="1">
        <v>45664</v>
      </c>
      <c r="M721" s="1">
        <v>46029</v>
      </c>
      <c r="N721" s="2">
        <v>96</v>
      </c>
      <c r="O721">
        <f t="shared" si="39"/>
        <v>12</v>
      </c>
      <c r="P721" t="s">
        <v>1370</v>
      </c>
      <c r="Q721" s="4">
        <v>0.7</v>
      </c>
      <c r="R721" t="s">
        <v>83</v>
      </c>
      <c r="S721" t="s">
        <v>61</v>
      </c>
      <c r="T721" s="2">
        <v>67.2</v>
      </c>
      <c r="U721" t="s">
        <v>132</v>
      </c>
    </row>
    <row r="722" spans="1:51" x14ac:dyDescent="0.25">
      <c r="A722">
        <v>2026036712</v>
      </c>
      <c r="B722" t="s">
        <v>450</v>
      </c>
      <c r="C722" t="s">
        <v>678</v>
      </c>
      <c r="D722" t="str">
        <f t="shared" si="38"/>
        <v>ANTHONY CASTRO</v>
      </c>
      <c r="E722" t="s">
        <v>102</v>
      </c>
      <c r="F722" t="s">
        <v>126</v>
      </c>
      <c r="G722" t="s">
        <v>132</v>
      </c>
      <c r="H722">
        <v>8307933</v>
      </c>
      <c r="I722" t="s">
        <v>246</v>
      </c>
      <c r="J722" t="s">
        <v>247</v>
      </c>
      <c r="K722" t="str">
        <f t="shared" ref="K722:K753" si="40">CONCATENATE(J722," ",I722)</f>
        <v>GREGORY TEIPEL</v>
      </c>
      <c r="L722" s="1">
        <v>45664</v>
      </c>
      <c r="M722" s="1">
        <v>46029</v>
      </c>
      <c r="N722" s="2">
        <v>74.58</v>
      </c>
      <c r="O722">
        <f t="shared" si="39"/>
        <v>12</v>
      </c>
      <c r="P722" t="s">
        <v>1370</v>
      </c>
      <c r="Q722" s="4">
        <v>0.7</v>
      </c>
      <c r="R722" t="s">
        <v>83</v>
      </c>
      <c r="S722" t="s">
        <v>61</v>
      </c>
      <c r="T722" s="2">
        <v>52.21</v>
      </c>
      <c r="U722" t="s">
        <v>132</v>
      </c>
    </row>
    <row r="723" spans="1:51" x14ac:dyDescent="0.25">
      <c r="A723">
        <v>2026043419</v>
      </c>
      <c r="B723" t="s">
        <v>198</v>
      </c>
      <c r="C723" t="s">
        <v>1082</v>
      </c>
      <c r="D723" t="str">
        <f t="shared" si="38"/>
        <v>DYLAN DEAN</v>
      </c>
      <c r="E723" t="s">
        <v>389</v>
      </c>
      <c r="F723" t="s">
        <v>126</v>
      </c>
      <c r="G723" t="s">
        <v>132</v>
      </c>
      <c r="H723">
        <v>8307933</v>
      </c>
      <c r="I723" t="s">
        <v>246</v>
      </c>
      <c r="J723" t="s">
        <v>247</v>
      </c>
      <c r="K723" t="str">
        <f t="shared" si="40"/>
        <v>GREGORY TEIPEL</v>
      </c>
      <c r="L723" s="1">
        <v>45664</v>
      </c>
      <c r="M723" s="1">
        <v>46029</v>
      </c>
      <c r="N723" s="2">
        <v>79.33</v>
      </c>
      <c r="O723">
        <f t="shared" si="39"/>
        <v>12</v>
      </c>
      <c r="P723" t="s">
        <v>1370</v>
      </c>
      <c r="Q723" s="4">
        <v>0.7</v>
      </c>
      <c r="R723" t="s">
        <v>83</v>
      </c>
      <c r="S723" t="s">
        <v>61</v>
      </c>
      <c r="T723" s="2">
        <v>55.53</v>
      </c>
      <c r="U723" t="s">
        <v>132</v>
      </c>
    </row>
    <row r="724" spans="1:51" x14ac:dyDescent="0.25">
      <c r="A724">
        <v>2026047071</v>
      </c>
      <c r="B724" t="s">
        <v>1083</v>
      </c>
      <c r="C724" t="s">
        <v>913</v>
      </c>
      <c r="D724" t="str">
        <f t="shared" si="38"/>
        <v>SHEILA BOYD</v>
      </c>
      <c r="E724" t="s">
        <v>97</v>
      </c>
      <c r="F724" t="s">
        <v>126</v>
      </c>
      <c r="G724" t="s">
        <v>132</v>
      </c>
      <c r="H724">
        <v>8307933</v>
      </c>
      <c r="I724" t="s">
        <v>246</v>
      </c>
      <c r="J724" t="s">
        <v>247</v>
      </c>
      <c r="K724" t="str">
        <f t="shared" si="40"/>
        <v>GREGORY TEIPEL</v>
      </c>
      <c r="L724" s="1">
        <v>45664</v>
      </c>
      <c r="M724" s="1">
        <v>46029</v>
      </c>
      <c r="N724" s="2">
        <v>323.26</v>
      </c>
      <c r="O724">
        <f t="shared" si="39"/>
        <v>12</v>
      </c>
      <c r="P724" t="s">
        <v>1370</v>
      </c>
      <c r="Q724" s="4">
        <v>0.7</v>
      </c>
      <c r="R724" t="s">
        <v>83</v>
      </c>
      <c r="S724" t="s">
        <v>61</v>
      </c>
      <c r="T724" s="2">
        <v>226.28</v>
      </c>
      <c r="U724" t="s">
        <v>132</v>
      </c>
    </row>
    <row r="725" spans="1:51" x14ac:dyDescent="0.25">
      <c r="A725">
        <v>2026053294</v>
      </c>
      <c r="B725" t="s">
        <v>796</v>
      </c>
      <c r="C725" t="s">
        <v>659</v>
      </c>
      <c r="D725" t="str">
        <f t="shared" si="38"/>
        <v>PAMELA CREASBAUM</v>
      </c>
      <c r="E725" t="s">
        <v>102</v>
      </c>
      <c r="F725" t="s">
        <v>126</v>
      </c>
      <c r="G725" t="s">
        <v>132</v>
      </c>
      <c r="H725">
        <v>8307933</v>
      </c>
      <c r="I725" t="s">
        <v>246</v>
      </c>
      <c r="J725" t="s">
        <v>247</v>
      </c>
      <c r="K725" t="str">
        <f t="shared" si="40"/>
        <v>GREGORY TEIPEL</v>
      </c>
      <c r="L725" s="1">
        <v>45664</v>
      </c>
      <c r="M725" s="1">
        <v>46029</v>
      </c>
      <c r="N725" s="2">
        <v>124.72</v>
      </c>
      <c r="O725">
        <f t="shared" si="39"/>
        <v>12</v>
      </c>
      <c r="P725" t="s">
        <v>1370</v>
      </c>
      <c r="Q725" s="4">
        <v>0.7</v>
      </c>
      <c r="R725" t="s">
        <v>83</v>
      </c>
      <c r="S725" t="s">
        <v>61</v>
      </c>
      <c r="T725" s="2">
        <v>87.3</v>
      </c>
      <c r="U725" t="s">
        <v>132</v>
      </c>
    </row>
    <row r="726" spans="1:51" s="5" customFormat="1" x14ac:dyDescent="0.25">
      <c r="A726">
        <v>2026056484</v>
      </c>
      <c r="B726" t="s">
        <v>1084</v>
      </c>
      <c r="C726" t="s">
        <v>283</v>
      </c>
      <c r="D726" t="str">
        <f t="shared" si="38"/>
        <v>TRACY SKIBINSKI</v>
      </c>
      <c r="E726" t="s">
        <v>267</v>
      </c>
      <c r="F726" t="s">
        <v>126</v>
      </c>
      <c r="G726" t="s">
        <v>132</v>
      </c>
      <c r="H726">
        <v>8307933</v>
      </c>
      <c r="I726" t="s">
        <v>246</v>
      </c>
      <c r="J726" t="s">
        <v>247</v>
      </c>
      <c r="K726" t="str">
        <f t="shared" si="40"/>
        <v>GREGORY TEIPEL</v>
      </c>
      <c r="L726" s="1">
        <v>45664</v>
      </c>
      <c r="M726" s="1">
        <v>46029</v>
      </c>
      <c r="N726" s="2">
        <v>46.72</v>
      </c>
      <c r="O726">
        <f t="shared" si="39"/>
        <v>12</v>
      </c>
      <c r="P726" t="s">
        <v>1370</v>
      </c>
      <c r="Q726" s="4">
        <v>0.7</v>
      </c>
      <c r="R726" t="s">
        <v>83</v>
      </c>
      <c r="S726" t="s">
        <v>61</v>
      </c>
      <c r="T726" s="2">
        <v>32.700000000000003</v>
      </c>
      <c r="U726" t="s">
        <v>132</v>
      </c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</row>
    <row r="727" spans="1:51" s="5" customFormat="1" x14ac:dyDescent="0.25">
      <c r="A727">
        <v>2026077464</v>
      </c>
      <c r="B727" t="s">
        <v>1085</v>
      </c>
      <c r="C727" t="s">
        <v>487</v>
      </c>
      <c r="D727" t="str">
        <f t="shared" si="38"/>
        <v>MARY DIANA</v>
      </c>
      <c r="E727" t="s">
        <v>102</v>
      </c>
      <c r="F727" t="s">
        <v>126</v>
      </c>
      <c r="G727" t="s">
        <v>132</v>
      </c>
      <c r="H727">
        <v>8307933</v>
      </c>
      <c r="I727" t="s">
        <v>246</v>
      </c>
      <c r="J727" t="s">
        <v>247</v>
      </c>
      <c r="K727" t="str">
        <f t="shared" si="40"/>
        <v>GREGORY TEIPEL</v>
      </c>
      <c r="L727" s="1">
        <v>45664</v>
      </c>
      <c r="M727" s="1">
        <v>46029</v>
      </c>
      <c r="N727" s="2">
        <v>198.36</v>
      </c>
      <c r="O727">
        <f t="shared" si="39"/>
        <v>12</v>
      </c>
      <c r="P727" t="s">
        <v>1370</v>
      </c>
      <c r="Q727" s="4">
        <v>0.7</v>
      </c>
      <c r="R727" t="s">
        <v>83</v>
      </c>
      <c r="S727" t="s">
        <v>61</v>
      </c>
      <c r="T727" s="2">
        <v>138.85</v>
      </c>
      <c r="U727" t="s">
        <v>132</v>
      </c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</row>
    <row r="728" spans="1:51" s="5" customFormat="1" x14ac:dyDescent="0.25">
      <c r="A728">
        <v>2026082702</v>
      </c>
      <c r="B728" t="s">
        <v>797</v>
      </c>
      <c r="C728" t="s">
        <v>194</v>
      </c>
      <c r="D728" t="str">
        <f t="shared" si="38"/>
        <v>KAREN FOWLER</v>
      </c>
      <c r="E728" t="s">
        <v>386</v>
      </c>
      <c r="F728" t="s">
        <v>126</v>
      </c>
      <c r="G728" t="s">
        <v>132</v>
      </c>
      <c r="H728">
        <v>8307933</v>
      </c>
      <c r="I728" t="s">
        <v>246</v>
      </c>
      <c r="J728" t="s">
        <v>247</v>
      </c>
      <c r="K728" t="str">
        <f t="shared" si="40"/>
        <v>GREGORY TEIPEL</v>
      </c>
      <c r="L728" s="1">
        <v>45664</v>
      </c>
      <c r="M728" s="1">
        <v>46029</v>
      </c>
      <c r="N728" s="2">
        <v>32.979999999999997</v>
      </c>
      <c r="O728">
        <f t="shared" si="39"/>
        <v>12</v>
      </c>
      <c r="P728" t="s">
        <v>1370</v>
      </c>
      <c r="Q728" s="4">
        <v>0.7</v>
      </c>
      <c r="R728" t="s">
        <v>83</v>
      </c>
      <c r="S728" t="s">
        <v>61</v>
      </c>
      <c r="T728" s="2">
        <v>23.09</v>
      </c>
      <c r="U728" t="s">
        <v>132</v>
      </c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</row>
    <row r="729" spans="1:51" s="5" customFormat="1" x14ac:dyDescent="0.25">
      <c r="A729">
        <v>2026084802</v>
      </c>
      <c r="B729" t="s">
        <v>1088</v>
      </c>
      <c r="C729" t="s">
        <v>789</v>
      </c>
      <c r="D729" t="str">
        <f t="shared" si="38"/>
        <v>SARAH HOWELL</v>
      </c>
      <c r="E729" t="s">
        <v>102</v>
      </c>
      <c r="F729" t="s">
        <v>126</v>
      </c>
      <c r="G729" t="s">
        <v>132</v>
      </c>
      <c r="H729">
        <v>8307933</v>
      </c>
      <c r="I729" t="s">
        <v>246</v>
      </c>
      <c r="J729" t="s">
        <v>247</v>
      </c>
      <c r="K729" t="str">
        <f t="shared" si="40"/>
        <v>GREGORY TEIPEL</v>
      </c>
      <c r="L729" s="1">
        <v>45664</v>
      </c>
      <c r="M729" s="1">
        <v>46029</v>
      </c>
      <c r="N729" s="2">
        <v>105.02</v>
      </c>
      <c r="O729">
        <f t="shared" si="39"/>
        <v>12</v>
      </c>
      <c r="P729" t="s">
        <v>1370</v>
      </c>
      <c r="Q729" s="4">
        <v>0.7</v>
      </c>
      <c r="R729" t="s">
        <v>83</v>
      </c>
      <c r="S729" t="s">
        <v>61</v>
      </c>
      <c r="T729" s="2">
        <v>73.510000000000005</v>
      </c>
      <c r="U729" t="s">
        <v>132</v>
      </c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</row>
    <row r="730" spans="1:51" s="5" customFormat="1" x14ac:dyDescent="0.25">
      <c r="A730">
        <v>2026099501</v>
      </c>
      <c r="B730" t="s">
        <v>798</v>
      </c>
      <c r="C730" t="s">
        <v>789</v>
      </c>
      <c r="D730" t="str">
        <f t="shared" si="38"/>
        <v>SARAH LEVY</v>
      </c>
      <c r="E730" t="s">
        <v>267</v>
      </c>
      <c r="F730" t="s">
        <v>126</v>
      </c>
      <c r="G730" t="s">
        <v>132</v>
      </c>
      <c r="H730">
        <v>8307933</v>
      </c>
      <c r="I730" t="s">
        <v>246</v>
      </c>
      <c r="J730" t="s">
        <v>247</v>
      </c>
      <c r="K730" t="str">
        <f t="shared" si="40"/>
        <v>GREGORY TEIPEL</v>
      </c>
      <c r="L730" s="1">
        <v>45664</v>
      </c>
      <c r="M730" s="1">
        <v>46029</v>
      </c>
      <c r="N730" s="2">
        <v>31.28</v>
      </c>
      <c r="O730">
        <f t="shared" si="39"/>
        <v>12</v>
      </c>
      <c r="P730" t="s">
        <v>1370</v>
      </c>
      <c r="Q730" s="4">
        <v>0.7</v>
      </c>
      <c r="R730" t="s">
        <v>83</v>
      </c>
      <c r="S730" t="s">
        <v>61</v>
      </c>
      <c r="T730" s="2">
        <v>21.9</v>
      </c>
      <c r="U730" t="s">
        <v>132</v>
      </c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</row>
    <row r="731" spans="1:51" s="5" customFormat="1" x14ac:dyDescent="0.25">
      <c r="A731">
        <v>2026103478</v>
      </c>
      <c r="B731" t="s">
        <v>800</v>
      </c>
      <c r="C731" t="s">
        <v>801</v>
      </c>
      <c r="D731" t="str">
        <f t="shared" si="38"/>
        <v>WENDY RAMBOLDT</v>
      </c>
      <c r="E731" t="s">
        <v>267</v>
      </c>
      <c r="F731" t="s">
        <v>126</v>
      </c>
      <c r="G731" t="s">
        <v>132</v>
      </c>
      <c r="H731">
        <v>8307933</v>
      </c>
      <c r="I731" t="s">
        <v>246</v>
      </c>
      <c r="J731" t="s">
        <v>247</v>
      </c>
      <c r="K731" t="str">
        <f t="shared" si="40"/>
        <v>GREGORY TEIPEL</v>
      </c>
      <c r="L731" s="1">
        <v>45664</v>
      </c>
      <c r="M731" s="1">
        <v>46029</v>
      </c>
      <c r="N731" s="2">
        <v>46.72</v>
      </c>
      <c r="O731">
        <f t="shared" si="39"/>
        <v>12</v>
      </c>
      <c r="P731" t="s">
        <v>1370</v>
      </c>
      <c r="Q731" s="4">
        <v>0.7</v>
      </c>
      <c r="R731" t="s">
        <v>83</v>
      </c>
      <c r="S731" t="s">
        <v>61</v>
      </c>
      <c r="T731" s="2">
        <v>32.700000000000003</v>
      </c>
      <c r="U731" t="s">
        <v>132</v>
      </c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</row>
    <row r="732" spans="1:51" s="5" customFormat="1" x14ac:dyDescent="0.25">
      <c r="A732">
        <v>2026113523</v>
      </c>
      <c r="B732" t="s">
        <v>802</v>
      </c>
      <c r="C732" t="s">
        <v>192</v>
      </c>
      <c r="D732" t="str">
        <f t="shared" si="38"/>
        <v>TRINA FUHRHOP</v>
      </c>
      <c r="E732" t="s">
        <v>102</v>
      </c>
      <c r="F732" t="s">
        <v>126</v>
      </c>
      <c r="G732" t="s">
        <v>132</v>
      </c>
      <c r="H732">
        <v>8307933</v>
      </c>
      <c r="I732" t="s">
        <v>246</v>
      </c>
      <c r="J732" t="s">
        <v>247</v>
      </c>
      <c r="K732" t="str">
        <f t="shared" si="40"/>
        <v>GREGORY TEIPEL</v>
      </c>
      <c r="L732" s="1">
        <v>45664</v>
      </c>
      <c r="M732" s="1">
        <v>46029</v>
      </c>
      <c r="N732" s="2">
        <v>284.54000000000002</v>
      </c>
      <c r="O732">
        <f t="shared" si="39"/>
        <v>12</v>
      </c>
      <c r="P732" t="s">
        <v>1370</v>
      </c>
      <c r="Q732" s="4">
        <v>0.7</v>
      </c>
      <c r="R732" t="s">
        <v>83</v>
      </c>
      <c r="S732" t="s">
        <v>61</v>
      </c>
      <c r="T732" s="2">
        <v>199.18</v>
      </c>
      <c r="U732" t="s">
        <v>132</v>
      </c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</row>
    <row r="733" spans="1:51" s="5" customFormat="1" x14ac:dyDescent="0.25">
      <c r="A733">
        <v>2026119932</v>
      </c>
      <c r="B733" t="s">
        <v>480</v>
      </c>
      <c r="C733" t="s">
        <v>481</v>
      </c>
      <c r="D733" t="str">
        <f t="shared" si="38"/>
        <v>KENNETH HUNT</v>
      </c>
      <c r="E733" t="s">
        <v>79</v>
      </c>
      <c r="F733" t="s">
        <v>126</v>
      </c>
      <c r="G733" t="s">
        <v>132</v>
      </c>
      <c r="H733">
        <v>8307933</v>
      </c>
      <c r="I733" t="s">
        <v>246</v>
      </c>
      <c r="J733" t="s">
        <v>247</v>
      </c>
      <c r="K733" t="str">
        <f t="shared" si="40"/>
        <v>GREGORY TEIPEL</v>
      </c>
      <c r="L733" s="1">
        <v>45664</v>
      </c>
      <c r="M733" s="1">
        <v>46029</v>
      </c>
      <c r="N733" s="2">
        <v>110.16</v>
      </c>
      <c r="O733">
        <f t="shared" si="39"/>
        <v>12</v>
      </c>
      <c r="P733" t="s">
        <v>1370</v>
      </c>
      <c r="Q733" s="4">
        <v>0.7</v>
      </c>
      <c r="R733" t="s">
        <v>83</v>
      </c>
      <c r="S733" t="s">
        <v>61</v>
      </c>
      <c r="T733" s="2">
        <v>77.11</v>
      </c>
      <c r="U733" t="s">
        <v>132</v>
      </c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</row>
    <row r="734" spans="1:51" s="5" customFormat="1" x14ac:dyDescent="0.25">
      <c r="A734">
        <v>2026126660</v>
      </c>
      <c r="B734" t="s">
        <v>790</v>
      </c>
      <c r="C734" t="s">
        <v>134</v>
      </c>
      <c r="D734" t="str">
        <f t="shared" si="38"/>
        <v>SHANNON WEST</v>
      </c>
      <c r="E734" t="s">
        <v>97</v>
      </c>
      <c r="F734" t="s">
        <v>126</v>
      </c>
      <c r="G734" t="s">
        <v>132</v>
      </c>
      <c r="H734">
        <v>8307933</v>
      </c>
      <c r="I734" t="s">
        <v>246</v>
      </c>
      <c r="J734" t="s">
        <v>247</v>
      </c>
      <c r="K734" t="str">
        <f t="shared" si="40"/>
        <v>GREGORY TEIPEL</v>
      </c>
      <c r="L734" s="1">
        <v>45664</v>
      </c>
      <c r="M734" s="1">
        <v>46029</v>
      </c>
      <c r="N734" s="2">
        <v>140.6</v>
      </c>
      <c r="O734">
        <f t="shared" si="39"/>
        <v>12</v>
      </c>
      <c r="P734" t="s">
        <v>1370</v>
      </c>
      <c r="Q734" s="4">
        <v>0.7</v>
      </c>
      <c r="R734" t="s">
        <v>83</v>
      </c>
      <c r="S734" t="s">
        <v>61</v>
      </c>
      <c r="T734" s="2">
        <v>98.42</v>
      </c>
      <c r="U734" t="s">
        <v>132</v>
      </c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</row>
    <row r="735" spans="1:51" s="5" customFormat="1" x14ac:dyDescent="0.25">
      <c r="A735">
        <v>2026131288</v>
      </c>
      <c r="B735" t="s">
        <v>1089</v>
      </c>
      <c r="C735" t="s">
        <v>1090</v>
      </c>
      <c r="D735" t="str">
        <f t="shared" si="38"/>
        <v>SYLENA MANES</v>
      </c>
      <c r="E735" t="s">
        <v>97</v>
      </c>
      <c r="F735" t="s">
        <v>126</v>
      </c>
      <c r="G735" t="s">
        <v>132</v>
      </c>
      <c r="H735">
        <v>8307933</v>
      </c>
      <c r="I735" t="s">
        <v>246</v>
      </c>
      <c r="J735" t="s">
        <v>247</v>
      </c>
      <c r="K735" t="str">
        <f t="shared" si="40"/>
        <v>GREGORY TEIPEL</v>
      </c>
      <c r="L735" s="1">
        <v>45664</v>
      </c>
      <c r="M735" s="1">
        <v>46029</v>
      </c>
      <c r="N735" s="2">
        <v>176.94</v>
      </c>
      <c r="O735">
        <f t="shared" si="39"/>
        <v>12</v>
      </c>
      <c r="P735" t="s">
        <v>1370</v>
      </c>
      <c r="Q735" s="4">
        <v>0.7</v>
      </c>
      <c r="R735" t="s">
        <v>83</v>
      </c>
      <c r="S735" t="s">
        <v>61</v>
      </c>
      <c r="T735" s="2">
        <v>123.86</v>
      </c>
      <c r="U735" t="s">
        <v>132</v>
      </c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</row>
    <row r="736" spans="1:51" s="5" customFormat="1" x14ac:dyDescent="0.25">
      <c r="A736">
        <v>2026145112</v>
      </c>
      <c r="B736" t="s">
        <v>804</v>
      </c>
      <c r="C736" t="s">
        <v>182</v>
      </c>
      <c r="D736" t="str">
        <f t="shared" si="38"/>
        <v>MICHAEL HOCHERL</v>
      </c>
      <c r="E736" t="s">
        <v>408</v>
      </c>
      <c r="F736" t="s">
        <v>126</v>
      </c>
      <c r="G736" t="s">
        <v>132</v>
      </c>
      <c r="H736">
        <v>8307933</v>
      </c>
      <c r="I736" t="s">
        <v>246</v>
      </c>
      <c r="J736" t="s">
        <v>247</v>
      </c>
      <c r="K736" t="str">
        <f t="shared" si="40"/>
        <v>GREGORY TEIPEL</v>
      </c>
      <c r="L736" s="1">
        <v>45664</v>
      </c>
      <c r="M736" s="1">
        <v>46029</v>
      </c>
      <c r="N736" s="2">
        <v>50.48</v>
      </c>
      <c r="O736">
        <f t="shared" si="39"/>
        <v>12</v>
      </c>
      <c r="P736" t="s">
        <v>1370</v>
      </c>
      <c r="Q736" s="4">
        <v>0.7</v>
      </c>
      <c r="R736" t="s">
        <v>83</v>
      </c>
      <c r="S736" t="s">
        <v>61</v>
      </c>
      <c r="T736" s="2">
        <v>35.340000000000003</v>
      </c>
      <c r="U736" t="s">
        <v>132</v>
      </c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</row>
    <row r="737" spans="1:51" s="5" customFormat="1" x14ac:dyDescent="0.25">
      <c r="A737">
        <v>2026150039</v>
      </c>
      <c r="B737" t="s">
        <v>805</v>
      </c>
      <c r="C737" t="s">
        <v>101</v>
      </c>
      <c r="D737" t="str">
        <f t="shared" si="38"/>
        <v>JULIE BEILFUSS</v>
      </c>
      <c r="E737" t="s">
        <v>102</v>
      </c>
      <c r="F737" t="s">
        <v>126</v>
      </c>
      <c r="G737" t="s">
        <v>132</v>
      </c>
      <c r="H737">
        <v>8307933</v>
      </c>
      <c r="I737" t="s">
        <v>246</v>
      </c>
      <c r="J737" t="s">
        <v>247</v>
      </c>
      <c r="K737" t="str">
        <f t="shared" si="40"/>
        <v>GREGORY TEIPEL</v>
      </c>
      <c r="L737" s="1">
        <v>45664</v>
      </c>
      <c r="M737" s="1">
        <v>46029</v>
      </c>
      <c r="N737" s="2">
        <v>72.760000000000005</v>
      </c>
      <c r="O737">
        <f t="shared" si="39"/>
        <v>12</v>
      </c>
      <c r="P737" t="s">
        <v>1370</v>
      </c>
      <c r="Q737" s="4">
        <v>0.7</v>
      </c>
      <c r="R737" t="s">
        <v>83</v>
      </c>
      <c r="S737" t="s">
        <v>61</v>
      </c>
      <c r="T737" s="2">
        <v>50.93</v>
      </c>
      <c r="U737" t="s">
        <v>132</v>
      </c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</row>
    <row r="738" spans="1:51" s="5" customFormat="1" x14ac:dyDescent="0.25">
      <c r="A738">
        <v>2026153413</v>
      </c>
      <c r="B738" t="s">
        <v>1091</v>
      </c>
      <c r="C738" t="s">
        <v>487</v>
      </c>
      <c r="D738" t="str">
        <f t="shared" si="38"/>
        <v>MARY ESPINOZA</v>
      </c>
      <c r="E738" t="s">
        <v>620</v>
      </c>
      <c r="F738" t="s">
        <v>126</v>
      </c>
      <c r="G738" t="s">
        <v>132</v>
      </c>
      <c r="H738">
        <v>8307933</v>
      </c>
      <c r="I738" t="s">
        <v>246</v>
      </c>
      <c r="J738" t="s">
        <v>247</v>
      </c>
      <c r="K738" t="str">
        <f t="shared" si="40"/>
        <v>GREGORY TEIPEL</v>
      </c>
      <c r="L738" s="1">
        <v>45664</v>
      </c>
      <c r="M738" s="1">
        <v>46029</v>
      </c>
      <c r="N738" s="2">
        <v>223.92</v>
      </c>
      <c r="O738">
        <f t="shared" si="39"/>
        <v>12</v>
      </c>
      <c r="P738" t="s">
        <v>1370</v>
      </c>
      <c r="Q738" s="4">
        <v>0.7</v>
      </c>
      <c r="R738" t="s">
        <v>83</v>
      </c>
      <c r="S738" t="s">
        <v>61</v>
      </c>
      <c r="T738" s="2">
        <v>156.74</v>
      </c>
      <c r="U738" t="s">
        <v>132</v>
      </c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</row>
    <row r="739" spans="1:51" s="5" customFormat="1" x14ac:dyDescent="0.25">
      <c r="A739">
        <v>2026153889</v>
      </c>
      <c r="B739" t="s">
        <v>1091</v>
      </c>
      <c r="C739" t="s">
        <v>1092</v>
      </c>
      <c r="D739" t="str">
        <f t="shared" si="38"/>
        <v>JAZZMINE ESPINOZA</v>
      </c>
      <c r="E739" t="s">
        <v>620</v>
      </c>
      <c r="F739" t="s">
        <v>126</v>
      </c>
      <c r="G739" t="s">
        <v>132</v>
      </c>
      <c r="H739">
        <v>8307933</v>
      </c>
      <c r="I739" t="s">
        <v>246</v>
      </c>
      <c r="J739" t="s">
        <v>247</v>
      </c>
      <c r="K739" t="str">
        <f t="shared" si="40"/>
        <v>GREGORY TEIPEL</v>
      </c>
      <c r="L739" s="1">
        <v>45664</v>
      </c>
      <c r="M739" s="1">
        <v>46029</v>
      </c>
      <c r="N739" s="2">
        <v>60.76</v>
      </c>
      <c r="O739">
        <f t="shared" si="39"/>
        <v>12</v>
      </c>
      <c r="P739" t="s">
        <v>1370</v>
      </c>
      <c r="Q739" s="4">
        <v>0.7</v>
      </c>
      <c r="R739" t="s">
        <v>83</v>
      </c>
      <c r="S739" t="s">
        <v>61</v>
      </c>
      <c r="T739" s="2">
        <v>42.53</v>
      </c>
      <c r="U739" t="s">
        <v>132</v>
      </c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</row>
    <row r="740" spans="1:51" s="5" customFormat="1" x14ac:dyDescent="0.25">
      <c r="A740">
        <v>2026154680</v>
      </c>
      <c r="B740" t="s">
        <v>806</v>
      </c>
      <c r="C740" t="s">
        <v>807</v>
      </c>
      <c r="D740" t="str">
        <f t="shared" si="38"/>
        <v>STEPHANIE CLANCY</v>
      </c>
      <c r="E740" t="s">
        <v>267</v>
      </c>
      <c r="F740" t="s">
        <v>126</v>
      </c>
      <c r="G740" t="s">
        <v>132</v>
      </c>
      <c r="H740">
        <v>8307933</v>
      </c>
      <c r="I740" t="s">
        <v>246</v>
      </c>
      <c r="J740" t="s">
        <v>247</v>
      </c>
      <c r="K740" t="str">
        <f t="shared" si="40"/>
        <v>GREGORY TEIPEL</v>
      </c>
      <c r="L740" s="1">
        <v>45664</v>
      </c>
      <c r="M740" s="1">
        <v>46029</v>
      </c>
      <c r="N740" s="2">
        <v>46.72</v>
      </c>
      <c r="O740">
        <f t="shared" si="39"/>
        <v>12</v>
      </c>
      <c r="P740" t="s">
        <v>1370</v>
      </c>
      <c r="Q740" s="4">
        <v>0.7</v>
      </c>
      <c r="R740" t="s">
        <v>83</v>
      </c>
      <c r="S740" t="s">
        <v>61</v>
      </c>
      <c r="T740" s="2">
        <v>32.700000000000003</v>
      </c>
      <c r="U740" t="s">
        <v>132</v>
      </c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</row>
    <row r="741" spans="1:51" s="5" customFormat="1" x14ac:dyDescent="0.25">
      <c r="A741">
        <v>2026155452</v>
      </c>
      <c r="B741" t="s">
        <v>808</v>
      </c>
      <c r="C741" t="s">
        <v>809</v>
      </c>
      <c r="D741" t="str">
        <f t="shared" si="38"/>
        <v>VIRGIL HENRY</v>
      </c>
      <c r="E741" t="s">
        <v>810</v>
      </c>
      <c r="F741" t="s">
        <v>126</v>
      </c>
      <c r="G741" t="s">
        <v>132</v>
      </c>
      <c r="H741">
        <v>8307933</v>
      </c>
      <c r="I741" t="s">
        <v>246</v>
      </c>
      <c r="J741" t="s">
        <v>247</v>
      </c>
      <c r="K741" t="str">
        <f t="shared" si="40"/>
        <v>GREGORY TEIPEL</v>
      </c>
      <c r="L741" s="1">
        <v>45664</v>
      </c>
      <c r="M741" s="1">
        <v>46029</v>
      </c>
      <c r="N741" s="2">
        <v>135.84</v>
      </c>
      <c r="O741">
        <f t="shared" si="39"/>
        <v>12</v>
      </c>
      <c r="P741" t="s">
        <v>1370</v>
      </c>
      <c r="Q741" s="4">
        <v>0.7</v>
      </c>
      <c r="R741" t="s">
        <v>83</v>
      </c>
      <c r="S741" t="s">
        <v>61</v>
      </c>
      <c r="T741" s="2">
        <v>95.09</v>
      </c>
      <c r="U741" t="s">
        <v>132</v>
      </c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</row>
    <row r="742" spans="1:51" s="5" customFormat="1" x14ac:dyDescent="0.25">
      <c r="A742">
        <v>2026175248</v>
      </c>
      <c r="B742" t="s">
        <v>812</v>
      </c>
      <c r="C742" t="s">
        <v>813</v>
      </c>
      <c r="D742" t="str">
        <f t="shared" si="38"/>
        <v>MICHELE SZAPIELAK</v>
      </c>
      <c r="E742" t="s">
        <v>102</v>
      </c>
      <c r="F742" t="s">
        <v>126</v>
      </c>
      <c r="G742" t="s">
        <v>132</v>
      </c>
      <c r="H742">
        <v>8307933</v>
      </c>
      <c r="I742" t="s">
        <v>246</v>
      </c>
      <c r="J742" t="s">
        <v>247</v>
      </c>
      <c r="K742" t="str">
        <f t="shared" si="40"/>
        <v>GREGORY TEIPEL</v>
      </c>
      <c r="L742" s="1">
        <v>45664</v>
      </c>
      <c r="M742" s="1">
        <v>46029</v>
      </c>
      <c r="N742" s="2">
        <v>52</v>
      </c>
      <c r="O742">
        <f t="shared" si="39"/>
        <v>12</v>
      </c>
      <c r="P742" t="s">
        <v>1370</v>
      </c>
      <c r="Q742" s="4">
        <v>0.7</v>
      </c>
      <c r="R742" t="s">
        <v>83</v>
      </c>
      <c r="S742" t="s">
        <v>61</v>
      </c>
      <c r="T742" s="2">
        <v>36.4</v>
      </c>
      <c r="U742" t="s">
        <v>132</v>
      </c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</row>
    <row r="743" spans="1:51" s="5" customFormat="1" x14ac:dyDescent="0.25">
      <c r="A743">
        <v>2026298484</v>
      </c>
      <c r="B743" t="s">
        <v>816</v>
      </c>
      <c r="C743" t="s">
        <v>142</v>
      </c>
      <c r="D743" t="str">
        <f t="shared" si="38"/>
        <v>BRIAN ANDRASEK</v>
      </c>
      <c r="E743" t="s">
        <v>102</v>
      </c>
      <c r="F743" t="s">
        <v>126</v>
      </c>
      <c r="G743" t="s">
        <v>132</v>
      </c>
      <c r="H743">
        <v>8307933</v>
      </c>
      <c r="I743" t="s">
        <v>246</v>
      </c>
      <c r="J743" t="s">
        <v>247</v>
      </c>
      <c r="K743" t="str">
        <f t="shared" si="40"/>
        <v>GREGORY TEIPEL</v>
      </c>
      <c r="L743" s="1">
        <v>45664</v>
      </c>
      <c r="M743" s="1">
        <v>46029</v>
      </c>
      <c r="N743" s="2">
        <v>58.24</v>
      </c>
      <c r="O743">
        <f t="shared" si="39"/>
        <v>12</v>
      </c>
      <c r="P743" t="s">
        <v>1370</v>
      </c>
      <c r="Q743" s="4">
        <v>0.7</v>
      </c>
      <c r="R743" t="s">
        <v>83</v>
      </c>
      <c r="S743" t="s">
        <v>61</v>
      </c>
      <c r="T743" s="2">
        <v>40.770000000000003</v>
      </c>
      <c r="U743" t="s">
        <v>132</v>
      </c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</row>
    <row r="744" spans="1:51" s="5" customFormat="1" x14ac:dyDescent="0.25">
      <c r="A744">
        <v>2026048649</v>
      </c>
      <c r="B744" t="s">
        <v>478</v>
      </c>
      <c r="C744" t="s">
        <v>413</v>
      </c>
      <c r="D744" t="str">
        <f t="shared" si="38"/>
        <v>PATRICIA BLAKE</v>
      </c>
      <c r="E744" t="s">
        <v>102</v>
      </c>
      <c r="F744" t="s">
        <v>86</v>
      </c>
      <c r="G744" t="s">
        <v>87</v>
      </c>
      <c r="H744">
        <v>8307933</v>
      </c>
      <c r="I744" t="s">
        <v>246</v>
      </c>
      <c r="J744" t="s">
        <v>247</v>
      </c>
      <c r="K744" t="str">
        <f t="shared" si="40"/>
        <v>GREGORY TEIPEL</v>
      </c>
      <c r="L744" s="1">
        <v>45664</v>
      </c>
      <c r="M744" s="1">
        <v>46029</v>
      </c>
      <c r="N744" s="2">
        <v>190.54</v>
      </c>
      <c r="O744">
        <f t="shared" si="39"/>
        <v>12</v>
      </c>
      <c r="P744" t="s">
        <v>1370</v>
      </c>
      <c r="Q744" s="3">
        <v>0.375</v>
      </c>
      <c r="R744" t="s">
        <v>83</v>
      </c>
      <c r="S744" t="s">
        <v>61</v>
      </c>
      <c r="T744" s="2">
        <v>71.45</v>
      </c>
      <c r="U744" t="s">
        <v>87</v>
      </c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</row>
    <row r="745" spans="1:51" s="5" customFormat="1" x14ac:dyDescent="0.25">
      <c r="A745">
        <v>2026119931</v>
      </c>
      <c r="B745" t="s">
        <v>480</v>
      </c>
      <c r="C745" t="s">
        <v>481</v>
      </c>
      <c r="D745" t="str">
        <f t="shared" si="38"/>
        <v>KENNETH HUNT</v>
      </c>
      <c r="E745" t="s">
        <v>79</v>
      </c>
      <c r="F745" t="s">
        <v>86</v>
      </c>
      <c r="G745" t="s">
        <v>87</v>
      </c>
      <c r="H745">
        <v>8307933</v>
      </c>
      <c r="I745" t="s">
        <v>246</v>
      </c>
      <c r="J745" t="s">
        <v>247</v>
      </c>
      <c r="K745" t="str">
        <f t="shared" si="40"/>
        <v>GREGORY TEIPEL</v>
      </c>
      <c r="L745" s="1">
        <v>45664</v>
      </c>
      <c r="M745" s="1">
        <v>46029</v>
      </c>
      <c r="N745" s="2">
        <v>58.32</v>
      </c>
      <c r="O745">
        <f t="shared" si="39"/>
        <v>12</v>
      </c>
      <c r="P745" t="s">
        <v>1370</v>
      </c>
      <c r="Q745" s="3">
        <v>0.375</v>
      </c>
      <c r="R745" t="s">
        <v>83</v>
      </c>
      <c r="S745" t="s">
        <v>61</v>
      </c>
      <c r="T745" s="2">
        <v>21.87</v>
      </c>
      <c r="U745" t="s">
        <v>87</v>
      </c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</row>
    <row r="746" spans="1:51" s="5" customFormat="1" x14ac:dyDescent="0.25">
      <c r="A746">
        <v>2025732434</v>
      </c>
      <c r="B746" t="s">
        <v>404</v>
      </c>
      <c r="C746" t="s">
        <v>184</v>
      </c>
      <c r="D746" t="str">
        <f t="shared" si="38"/>
        <v>DEBORAH HANNA</v>
      </c>
      <c r="E746" t="s">
        <v>408</v>
      </c>
      <c r="F746" t="s">
        <v>86</v>
      </c>
      <c r="G746" t="s">
        <v>87</v>
      </c>
      <c r="H746">
        <v>8307933</v>
      </c>
      <c r="I746" t="s">
        <v>246</v>
      </c>
      <c r="J746" t="s">
        <v>247</v>
      </c>
      <c r="K746" t="str">
        <f t="shared" si="40"/>
        <v>GREGORY TEIPEL</v>
      </c>
      <c r="L746" s="1">
        <v>45664</v>
      </c>
      <c r="M746" s="1">
        <v>46029</v>
      </c>
      <c r="N746" s="2">
        <v>103.36</v>
      </c>
      <c r="O746">
        <f t="shared" si="39"/>
        <v>12</v>
      </c>
      <c r="P746" t="s">
        <v>1370</v>
      </c>
      <c r="Q746" s="3">
        <v>0.375</v>
      </c>
      <c r="R746" t="s">
        <v>83</v>
      </c>
      <c r="S746" t="s">
        <v>61</v>
      </c>
      <c r="T746" s="2">
        <v>38.76</v>
      </c>
      <c r="U746" t="s">
        <v>87</v>
      </c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</row>
    <row r="747" spans="1:51" s="5" customFormat="1" x14ac:dyDescent="0.25">
      <c r="A747">
        <v>2026082701</v>
      </c>
      <c r="B747" t="s">
        <v>797</v>
      </c>
      <c r="C747" t="s">
        <v>194</v>
      </c>
      <c r="D747" t="str">
        <f t="shared" si="38"/>
        <v>KAREN FOWLER</v>
      </c>
      <c r="E747" t="s">
        <v>386</v>
      </c>
      <c r="F747" t="s">
        <v>126</v>
      </c>
      <c r="G747" t="s">
        <v>375</v>
      </c>
      <c r="H747">
        <v>8307933</v>
      </c>
      <c r="I747" t="s">
        <v>246</v>
      </c>
      <c r="J747" t="s">
        <v>247</v>
      </c>
      <c r="K747" t="str">
        <f t="shared" si="40"/>
        <v>GREGORY TEIPEL</v>
      </c>
      <c r="L747" s="1">
        <v>45664</v>
      </c>
      <c r="M747" s="1">
        <v>46029</v>
      </c>
      <c r="N747" s="2">
        <v>74</v>
      </c>
      <c r="O747">
        <f t="shared" si="39"/>
        <v>12</v>
      </c>
      <c r="P747" t="s">
        <v>1370</v>
      </c>
      <c r="Q747" s="4">
        <v>0.9</v>
      </c>
      <c r="R747" t="s">
        <v>83</v>
      </c>
      <c r="S747" t="s">
        <v>61</v>
      </c>
      <c r="T747" s="2">
        <v>66.599999999999994</v>
      </c>
      <c r="U747" t="s">
        <v>375</v>
      </c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</row>
    <row r="748" spans="1:51" s="5" customFormat="1" x14ac:dyDescent="0.25">
      <c r="A748">
        <v>2026103480</v>
      </c>
      <c r="B748" t="s">
        <v>800</v>
      </c>
      <c r="C748" t="s">
        <v>801</v>
      </c>
      <c r="D748" t="str">
        <f t="shared" si="38"/>
        <v>WENDY RAMBOLDT</v>
      </c>
      <c r="E748" t="s">
        <v>267</v>
      </c>
      <c r="F748" t="s">
        <v>126</v>
      </c>
      <c r="G748" t="s">
        <v>375</v>
      </c>
      <c r="H748">
        <v>8307933</v>
      </c>
      <c r="I748" t="s">
        <v>246</v>
      </c>
      <c r="J748" t="s">
        <v>247</v>
      </c>
      <c r="K748" t="str">
        <f t="shared" si="40"/>
        <v>GREGORY TEIPEL</v>
      </c>
      <c r="L748" s="1">
        <v>45664</v>
      </c>
      <c r="M748" s="1">
        <v>46029</v>
      </c>
      <c r="N748" s="2">
        <v>30.75</v>
      </c>
      <c r="O748">
        <f t="shared" si="39"/>
        <v>12</v>
      </c>
      <c r="P748" t="s">
        <v>1370</v>
      </c>
      <c r="Q748" s="4">
        <v>0.9</v>
      </c>
      <c r="R748" t="s">
        <v>83</v>
      </c>
      <c r="S748" t="s">
        <v>61</v>
      </c>
      <c r="T748" s="2">
        <v>27.68</v>
      </c>
      <c r="U748" t="s">
        <v>375</v>
      </c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</row>
    <row r="749" spans="1:51" x14ac:dyDescent="0.25">
      <c r="A749">
        <v>2026185826</v>
      </c>
      <c r="B749" t="s">
        <v>701</v>
      </c>
      <c r="C749" t="s">
        <v>1093</v>
      </c>
      <c r="D749" t="str">
        <f t="shared" si="38"/>
        <v>PANNA PATEL</v>
      </c>
      <c r="E749" t="s">
        <v>102</v>
      </c>
      <c r="F749" t="s">
        <v>126</v>
      </c>
      <c r="G749" t="s">
        <v>375</v>
      </c>
      <c r="H749">
        <v>8307933</v>
      </c>
      <c r="I749" t="s">
        <v>246</v>
      </c>
      <c r="J749" t="s">
        <v>247</v>
      </c>
      <c r="K749" t="str">
        <f t="shared" si="40"/>
        <v>GREGORY TEIPEL</v>
      </c>
      <c r="L749" s="1">
        <v>45664</v>
      </c>
      <c r="M749" s="1">
        <v>46029</v>
      </c>
      <c r="N749" s="2">
        <v>99.25</v>
      </c>
      <c r="O749">
        <f t="shared" si="39"/>
        <v>12</v>
      </c>
      <c r="P749" t="s">
        <v>1370</v>
      </c>
      <c r="Q749" s="4">
        <v>0.9</v>
      </c>
      <c r="R749" t="s">
        <v>83</v>
      </c>
      <c r="S749" t="s">
        <v>61</v>
      </c>
      <c r="T749" s="2">
        <v>89.32</v>
      </c>
      <c r="U749" t="s">
        <v>375</v>
      </c>
    </row>
    <row r="750" spans="1:51" x14ac:dyDescent="0.25">
      <c r="A750">
        <v>2026221487</v>
      </c>
      <c r="B750" t="s">
        <v>1094</v>
      </c>
      <c r="C750" t="s">
        <v>1095</v>
      </c>
      <c r="D750" t="str">
        <f t="shared" si="38"/>
        <v>RUBEN III</v>
      </c>
      <c r="E750" t="s">
        <v>102</v>
      </c>
      <c r="F750" t="s">
        <v>126</v>
      </c>
      <c r="G750" t="s">
        <v>375</v>
      </c>
      <c r="H750">
        <v>8307933</v>
      </c>
      <c r="I750" t="s">
        <v>246</v>
      </c>
      <c r="J750" t="s">
        <v>247</v>
      </c>
      <c r="K750" t="str">
        <f t="shared" si="40"/>
        <v>GREGORY TEIPEL</v>
      </c>
      <c r="L750" s="1">
        <v>45663</v>
      </c>
      <c r="M750" s="1">
        <v>46028</v>
      </c>
      <c r="N750" s="2">
        <v>51.78</v>
      </c>
      <c r="O750">
        <f t="shared" si="39"/>
        <v>12</v>
      </c>
      <c r="P750" t="s">
        <v>1370</v>
      </c>
      <c r="Q750" s="4">
        <v>0.9</v>
      </c>
      <c r="R750" t="s">
        <v>83</v>
      </c>
      <c r="S750" t="s">
        <v>61</v>
      </c>
      <c r="T750" s="2">
        <v>46.6</v>
      </c>
      <c r="U750" t="s">
        <v>375</v>
      </c>
    </row>
    <row r="751" spans="1:51" x14ac:dyDescent="0.25">
      <c r="A751">
        <v>2026152183</v>
      </c>
      <c r="B751" t="s">
        <v>482</v>
      </c>
      <c r="C751" t="s">
        <v>483</v>
      </c>
      <c r="D751" t="str">
        <f t="shared" si="38"/>
        <v>JOSE GUZMAN</v>
      </c>
      <c r="E751" t="s">
        <v>52</v>
      </c>
      <c r="F751" t="s">
        <v>365</v>
      </c>
      <c r="G751" t="s">
        <v>366</v>
      </c>
      <c r="H751">
        <v>18781057</v>
      </c>
      <c r="I751" t="s">
        <v>70</v>
      </c>
      <c r="J751" t="s">
        <v>71</v>
      </c>
      <c r="K751" t="str">
        <f t="shared" si="40"/>
        <v>JOHN ROKEN</v>
      </c>
      <c r="L751" s="1">
        <v>45658</v>
      </c>
      <c r="M751" s="1">
        <v>46023</v>
      </c>
      <c r="N751" s="2">
        <v>27.15</v>
      </c>
      <c r="O751">
        <f t="shared" si="39"/>
        <v>12</v>
      </c>
      <c r="P751" t="s">
        <v>1370</v>
      </c>
      <c r="Q751" s="4">
        <v>0.38</v>
      </c>
      <c r="R751" t="s">
        <v>83</v>
      </c>
      <c r="S751" t="s">
        <v>61</v>
      </c>
      <c r="T751" s="2">
        <v>10.32</v>
      </c>
      <c r="U751" t="s">
        <v>366</v>
      </c>
    </row>
    <row r="752" spans="1:51" x14ac:dyDescent="0.25">
      <c r="A752">
        <v>2026152185</v>
      </c>
      <c r="B752" t="s">
        <v>482</v>
      </c>
      <c r="C752" t="s">
        <v>483</v>
      </c>
      <c r="D752" t="str">
        <f t="shared" si="38"/>
        <v>JOSE GUZMAN</v>
      </c>
      <c r="E752" t="s">
        <v>52</v>
      </c>
      <c r="F752" t="s">
        <v>86</v>
      </c>
      <c r="G752" t="s">
        <v>87</v>
      </c>
      <c r="H752">
        <v>18781057</v>
      </c>
      <c r="I752" t="s">
        <v>70</v>
      </c>
      <c r="J752" t="s">
        <v>71</v>
      </c>
      <c r="K752" t="str">
        <f t="shared" si="40"/>
        <v>JOHN ROKEN</v>
      </c>
      <c r="L752" s="1">
        <v>45658</v>
      </c>
      <c r="M752" s="1">
        <v>46023</v>
      </c>
      <c r="N752" s="2">
        <v>24.88</v>
      </c>
      <c r="O752">
        <f t="shared" si="39"/>
        <v>12</v>
      </c>
      <c r="P752" t="s">
        <v>1370</v>
      </c>
      <c r="Q752" s="3">
        <v>0.375</v>
      </c>
      <c r="R752" t="s">
        <v>83</v>
      </c>
      <c r="S752" t="s">
        <v>61</v>
      </c>
      <c r="T752" s="2">
        <v>9.33</v>
      </c>
      <c r="U752" t="s">
        <v>87</v>
      </c>
    </row>
    <row r="753" spans="1:51" x14ac:dyDescent="0.25">
      <c r="A753">
        <v>2026152184</v>
      </c>
      <c r="B753" t="s">
        <v>482</v>
      </c>
      <c r="C753" t="s">
        <v>483</v>
      </c>
      <c r="D753" t="str">
        <f t="shared" si="38"/>
        <v>JOSE GUZMAN</v>
      </c>
      <c r="E753" t="s">
        <v>52</v>
      </c>
      <c r="F753" t="s">
        <v>53</v>
      </c>
      <c r="G753" t="s">
        <v>54</v>
      </c>
      <c r="H753">
        <v>18781057</v>
      </c>
      <c r="I753" t="s">
        <v>70</v>
      </c>
      <c r="J753" t="s">
        <v>71</v>
      </c>
      <c r="K753" t="str">
        <f t="shared" si="40"/>
        <v>JOHN ROKEN</v>
      </c>
      <c r="L753" s="1">
        <v>45658</v>
      </c>
      <c r="M753" s="1">
        <v>46023</v>
      </c>
      <c r="N753" s="2">
        <v>40.159999999999997</v>
      </c>
      <c r="O753">
        <f t="shared" si="39"/>
        <v>12</v>
      </c>
      <c r="P753" t="s">
        <v>1370</v>
      </c>
      <c r="Q753" s="4">
        <v>0.6</v>
      </c>
      <c r="R753" t="s">
        <v>83</v>
      </c>
      <c r="S753" t="s">
        <v>61</v>
      </c>
      <c r="T753" s="2">
        <v>24.1</v>
      </c>
      <c r="U753" t="s">
        <v>54</v>
      </c>
    </row>
    <row r="754" spans="1:51" x14ac:dyDescent="0.25">
      <c r="A754">
        <v>2025973879</v>
      </c>
      <c r="B754" t="s">
        <v>1079</v>
      </c>
      <c r="C754" t="s">
        <v>1080</v>
      </c>
      <c r="D754" t="str">
        <f t="shared" si="38"/>
        <v>JIMMY EAVES</v>
      </c>
      <c r="E754" t="s">
        <v>374</v>
      </c>
      <c r="F754" t="s">
        <v>126</v>
      </c>
      <c r="G754" t="s">
        <v>375</v>
      </c>
      <c r="H754">
        <v>1706194</v>
      </c>
      <c r="I754" t="s">
        <v>396</v>
      </c>
      <c r="J754" t="s">
        <v>397</v>
      </c>
      <c r="K754" t="str">
        <f t="shared" ref="K754:K785" si="41">CONCATENATE(J754," ",I754)</f>
        <v>MATTHEW DAUGHERTY</v>
      </c>
      <c r="L754" s="1">
        <v>45658</v>
      </c>
      <c r="M754" s="1">
        <v>46023</v>
      </c>
      <c r="N754" s="2">
        <v>83.63</v>
      </c>
      <c r="O754">
        <f t="shared" si="39"/>
        <v>12</v>
      </c>
      <c r="P754" t="s">
        <v>1370</v>
      </c>
      <c r="Q754" s="4">
        <v>0.9</v>
      </c>
      <c r="R754" t="s">
        <v>83</v>
      </c>
      <c r="S754" t="s">
        <v>61</v>
      </c>
      <c r="T754" s="2">
        <v>75.27</v>
      </c>
      <c r="U754" t="s">
        <v>375</v>
      </c>
    </row>
    <row r="755" spans="1:51" x14ac:dyDescent="0.25">
      <c r="A755">
        <v>2025660998</v>
      </c>
      <c r="B755" t="s">
        <v>987</v>
      </c>
      <c r="C755" t="s">
        <v>786</v>
      </c>
      <c r="D755" t="str">
        <f t="shared" si="38"/>
        <v>TAMMY RUSH</v>
      </c>
      <c r="E755" t="s">
        <v>210</v>
      </c>
      <c r="F755" t="s">
        <v>126</v>
      </c>
      <c r="G755" t="s">
        <v>127</v>
      </c>
      <c r="H755">
        <v>8977234</v>
      </c>
      <c r="I755" t="s">
        <v>81</v>
      </c>
      <c r="J755" t="s">
        <v>82</v>
      </c>
      <c r="K755" t="str">
        <f t="shared" si="41"/>
        <v>RYAN CALTAGIRONE</v>
      </c>
      <c r="L755" s="1">
        <v>45665</v>
      </c>
      <c r="M755" s="1">
        <v>46030</v>
      </c>
      <c r="N755" s="2">
        <v>42.88</v>
      </c>
      <c r="O755">
        <f t="shared" si="39"/>
        <v>12</v>
      </c>
      <c r="P755" t="s">
        <v>1370</v>
      </c>
      <c r="Q755" s="4">
        <v>0.7</v>
      </c>
      <c r="R755" t="s">
        <v>83</v>
      </c>
      <c r="S755" t="s">
        <v>61</v>
      </c>
      <c r="T755" s="2">
        <v>30.02</v>
      </c>
      <c r="U755" t="s">
        <v>127</v>
      </c>
    </row>
    <row r="756" spans="1:51" s="5" customFormat="1" x14ac:dyDescent="0.25">
      <c r="A756">
        <v>2025661000</v>
      </c>
      <c r="B756" t="s">
        <v>987</v>
      </c>
      <c r="C756" t="s">
        <v>786</v>
      </c>
      <c r="D756" t="str">
        <f t="shared" si="38"/>
        <v>TAMMY RUSH</v>
      </c>
      <c r="E756" t="s">
        <v>210</v>
      </c>
      <c r="F756" t="s">
        <v>126</v>
      </c>
      <c r="G756" t="s">
        <v>132</v>
      </c>
      <c r="H756">
        <v>8977234</v>
      </c>
      <c r="I756" t="s">
        <v>81</v>
      </c>
      <c r="J756" t="s">
        <v>82</v>
      </c>
      <c r="K756" t="str">
        <f t="shared" si="41"/>
        <v>RYAN CALTAGIRONE</v>
      </c>
      <c r="L756" s="1">
        <v>45665</v>
      </c>
      <c r="M756" s="1">
        <v>46030</v>
      </c>
      <c r="N756" s="2">
        <v>128.65</v>
      </c>
      <c r="O756">
        <f t="shared" si="39"/>
        <v>12</v>
      </c>
      <c r="P756" t="s">
        <v>1370</v>
      </c>
      <c r="Q756" s="4">
        <v>0.7</v>
      </c>
      <c r="R756" t="s">
        <v>83</v>
      </c>
      <c r="S756" t="s">
        <v>61</v>
      </c>
      <c r="T756" s="2">
        <v>90.06</v>
      </c>
      <c r="U756" t="s">
        <v>132</v>
      </c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</row>
    <row r="757" spans="1:51" s="5" customFormat="1" x14ac:dyDescent="0.25">
      <c r="A757">
        <v>2025660999</v>
      </c>
      <c r="B757" t="s">
        <v>987</v>
      </c>
      <c r="C757" t="s">
        <v>786</v>
      </c>
      <c r="D757" t="str">
        <f t="shared" si="38"/>
        <v>TAMMY RUSH</v>
      </c>
      <c r="E757" t="s">
        <v>210</v>
      </c>
      <c r="F757" t="s">
        <v>86</v>
      </c>
      <c r="G757" t="s">
        <v>87</v>
      </c>
      <c r="H757">
        <v>8977234</v>
      </c>
      <c r="I757" t="s">
        <v>81</v>
      </c>
      <c r="J757" t="s">
        <v>82</v>
      </c>
      <c r="K757" t="str">
        <f t="shared" si="41"/>
        <v>RYAN CALTAGIRONE</v>
      </c>
      <c r="L757" s="1">
        <v>45665</v>
      </c>
      <c r="M757" s="1">
        <v>46030</v>
      </c>
      <c r="N757" s="2">
        <v>89.53</v>
      </c>
      <c r="O757">
        <f t="shared" si="39"/>
        <v>12</v>
      </c>
      <c r="P757" t="s">
        <v>1370</v>
      </c>
      <c r="Q757" s="3">
        <v>0.375</v>
      </c>
      <c r="R757" t="s">
        <v>83</v>
      </c>
      <c r="S757" t="s">
        <v>61</v>
      </c>
      <c r="T757" s="2">
        <v>33.57</v>
      </c>
      <c r="U757" t="s">
        <v>87</v>
      </c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</row>
    <row r="758" spans="1:51" s="5" customFormat="1" x14ac:dyDescent="0.25">
      <c r="A758">
        <v>2026023535</v>
      </c>
      <c r="B758" t="s">
        <v>1300</v>
      </c>
      <c r="C758" t="s">
        <v>1301</v>
      </c>
      <c r="D758" t="str">
        <f t="shared" si="38"/>
        <v>PEDRO JAQUEZ</v>
      </c>
      <c r="E758" t="s">
        <v>52</v>
      </c>
      <c r="F758" t="s">
        <v>169</v>
      </c>
      <c r="G758" t="s">
        <v>170</v>
      </c>
      <c r="H758">
        <v>20411454</v>
      </c>
      <c r="I758" t="s">
        <v>1302</v>
      </c>
      <c r="J758" t="s">
        <v>1085</v>
      </c>
      <c r="K758" t="s">
        <v>1377</v>
      </c>
      <c r="L758" s="1">
        <v>45630</v>
      </c>
      <c r="M758" s="1">
        <v>46026</v>
      </c>
      <c r="N758" s="2">
        <v>0.38</v>
      </c>
      <c r="O758">
        <f t="shared" si="39"/>
        <v>13</v>
      </c>
      <c r="P758" t="s">
        <v>1370</v>
      </c>
      <c r="Q758" s="4">
        <v>0</v>
      </c>
      <c r="R758" t="s">
        <v>60</v>
      </c>
      <c r="S758" t="s">
        <v>61</v>
      </c>
      <c r="T758" s="2">
        <v>0.38</v>
      </c>
      <c r="U758" t="s">
        <v>1376</v>
      </c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</row>
    <row r="759" spans="1:51" s="5" customFormat="1" x14ac:dyDescent="0.25">
      <c r="A759">
        <v>2025772485</v>
      </c>
      <c r="B759" t="s">
        <v>114</v>
      </c>
      <c r="C759" t="s">
        <v>753</v>
      </c>
      <c r="D759" t="str">
        <f t="shared" si="38"/>
        <v>BRYAN REYNOLDS</v>
      </c>
      <c r="E759" t="s">
        <v>97</v>
      </c>
      <c r="F759" t="s">
        <v>75</v>
      </c>
      <c r="G759" t="s">
        <v>76</v>
      </c>
      <c r="H759">
        <v>8307933</v>
      </c>
      <c r="I759" t="s">
        <v>246</v>
      </c>
      <c r="J759" t="s">
        <v>247</v>
      </c>
      <c r="K759" t="str">
        <f t="shared" ref="K759:K790" si="42">CONCATENATE(J759," ",I759)</f>
        <v>GREGORY TEIPEL</v>
      </c>
      <c r="L759" s="1">
        <v>45633</v>
      </c>
      <c r="M759" s="1">
        <v>46029</v>
      </c>
      <c r="N759" s="2">
        <v>157.47999999999999</v>
      </c>
      <c r="O759">
        <f t="shared" si="39"/>
        <v>13</v>
      </c>
      <c r="P759" t="s">
        <v>1370</v>
      </c>
      <c r="Q759" s="4">
        <v>0.1</v>
      </c>
      <c r="R759" t="s">
        <v>60</v>
      </c>
      <c r="S759" t="s">
        <v>61</v>
      </c>
      <c r="T759" s="2">
        <v>15.75</v>
      </c>
      <c r="U759" t="s">
        <v>1371</v>
      </c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</row>
    <row r="760" spans="1:51" s="5" customFormat="1" x14ac:dyDescent="0.25">
      <c r="A760">
        <v>2025815280</v>
      </c>
      <c r="B760" t="s">
        <v>790</v>
      </c>
      <c r="C760" t="s">
        <v>791</v>
      </c>
      <c r="D760" t="str">
        <f t="shared" si="38"/>
        <v>CARLEE WEST</v>
      </c>
      <c r="E760" t="s">
        <v>267</v>
      </c>
      <c r="F760" t="s">
        <v>75</v>
      </c>
      <c r="G760" t="s">
        <v>76</v>
      </c>
      <c r="H760">
        <v>8307933</v>
      </c>
      <c r="I760" t="s">
        <v>246</v>
      </c>
      <c r="J760" t="s">
        <v>247</v>
      </c>
      <c r="K760" t="str">
        <f t="shared" si="42"/>
        <v>GREGORY TEIPEL</v>
      </c>
      <c r="L760" s="1">
        <v>45633</v>
      </c>
      <c r="M760" s="1">
        <v>46029</v>
      </c>
      <c r="N760" s="2">
        <v>12.1</v>
      </c>
      <c r="O760">
        <f t="shared" si="39"/>
        <v>13</v>
      </c>
      <c r="P760" t="s">
        <v>1370</v>
      </c>
      <c r="Q760" s="4">
        <v>0.1</v>
      </c>
      <c r="R760" t="s">
        <v>60</v>
      </c>
      <c r="S760" t="s">
        <v>61</v>
      </c>
      <c r="T760" s="2">
        <v>1.21</v>
      </c>
      <c r="U760" t="s">
        <v>1371</v>
      </c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</row>
    <row r="761" spans="1:51" s="5" customFormat="1" x14ac:dyDescent="0.25">
      <c r="A761">
        <v>2025863139</v>
      </c>
      <c r="B761" t="s">
        <v>492</v>
      </c>
      <c r="C761" t="s">
        <v>793</v>
      </c>
      <c r="D761" t="str">
        <f t="shared" si="38"/>
        <v>JACKY RICE</v>
      </c>
      <c r="E761" t="s">
        <v>97</v>
      </c>
      <c r="F761" t="s">
        <v>75</v>
      </c>
      <c r="G761" t="s">
        <v>76</v>
      </c>
      <c r="H761">
        <v>8307933</v>
      </c>
      <c r="I761" t="s">
        <v>246</v>
      </c>
      <c r="J761" t="s">
        <v>247</v>
      </c>
      <c r="K761" t="str">
        <f t="shared" si="42"/>
        <v>GREGORY TEIPEL</v>
      </c>
      <c r="L761" s="1">
        <v>45633</v>
      </c>
      <c r="M761" s="1">
        <v>46029</v>
      </c>
      <c r="N761" s="2">
        <v>107.02</v>
      </c>
      <c r="O761">
        <f t="shared" si="39"/>
        <v>13</v>
      </c>
      <c r="P761" t="s">
        <v>1370</v>
      </c>
      <c r="Q761" s="4">
        <v>0.1</v>
      </c>
      <c r="R761" t="s">
        <v>60</v>
      </c>
      <c r="S761" t="s">
        <v>61</v>
      </c>
      <c r="T761" s="2">
        <v>10.7</v>
      </c>
      <c r="U761" t="s">
        <v>1371</v>
      </c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</row>
    <row r="762" spans="1:51" s="5" customFormat="1" x14ac:dyDescent="0.25">
      <c r="A762">
        <v>2025884355</v>
      </c>
      <c r="B762" t="s">
        <v>161</v>
      </c>
      <c r="C762" t="s">
        <v>124</v>
      </c>
      <c r="D762" t="str">
        <f t="shared" si="38"/>
        <v>KIM SMITH</v>
      </c>
      <c r="E762" t="s">
        <v>97</v>
      </c>
      <c r="F762" t="s">
        <v>75</v>
      </c>
      <c r="G762" t="s">
        <v>76</v>
      </c>
      <c r="H762">
        <v>8307933</v>
      </c>
      <c r="I762" t="s">
        <v>246</v>
      </c>
      <c r="J762" t="s">
        <v>247</v>
      </c>
      <c r="K762" t="str">
        <f t="shared" si="42"/>
        <v>GREGORY TEIPEL</v>
      </c>
      <c r="L762" s="1">
        <v>45633</v>
      </c>
      <c r="M762" s="1">
        <v>46029</v>
      </c>
      <c r="N762" s="2">
        <v>113.85</v>
      </c>
      <c r="O762">
        <f t="shared" si="39"/>
        <v>13</v>
      </c>
      <c r="P762" t="s">
        <v>1370</v>
      </c>
      <c r="Q762" s="4">
        <v>0.1</v>
      </c>
      <c r="R762" t="s">
        <v>60</v>
      </c>
      <c r="S762" t="s">
        <v>61</v>
      </c>
      <c r="T762" s="2">
        <v>11.38</v>
      </c>
      <c r="U762" t="s">
        <v>1371</v>
      </c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</row>
    <row r="763" spans="1:51" s="5" customFormat="1" x14ac:dyDescent="0.25">
      <c r="A763">
        <v>2025887935</v>
      </c>
      <c r="B763" t="s">
        <v>268</v>
      </c>
      <c r="C763" t="s">
        <v>249</v>
      </c>
      <c r="D763" t="str">
        <f t="shared" si="38"/>
        <v>ROBERT WHITE</v>
      </c>
      <c r="E763" t="s">
        <v>374</v>
      </c>
      <c r="F763" t="s">
        <v>75</v>
      </c>
      <c r="G763" t="s">
        <v>76</v>
      </c>
      <c r="H763">
        <v>8307933</v>
      </c>
      <c r="I763" t="s">
        <v>246</v>
      </c>
      <c r="J763" t="s">
        <v>247</v>
      </c>
      <c r="K763" t="str">
        <f t="shared" si="42"/>
        <v>GREGORY TEIPEL</v>
      </c>
      <c r="L763" s="1">
        <v>45633</v>
      </c>
      <c r="M763" s="1">
        <v>46029</v>
      </c>
      <c r="N763" s="2">
        <v>95.25</v>
      </c>
      <c r="O763">
        <f t="shared" si="39"/>
        <v>13</v>
      </c>
      <c r="P763" t="s">
        <v>1370</v>
      </c>
      <c r="Q763" s="4">
        <v>0.1</v>
      </c>
      <c r="R763" t="s">
        <v>60</v>
      </c>
      <c r="S763" t="s">
        <v>61</v>
      </c>
      <c r="T763" s="2">
        <v>9.52</v>
      </c>
      <c r="U763" t="s">
        <v>1371</v>
      </c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</row>
    <row r="764" spans="1:51" x14ac:dyDescent="0.25">
      <c r="A764">
        <v>2025896510</v>
      </c>
      <c r="B764" t="s">
        <v>794</v>
      </c>
      <c r="C764" t="s">
        <v>391</v>
      </c>
      <c r="D764" t="str">
        <f t="shared" si="38"/>
        <v>JOSEPH SABOT</v>
      </c>
      <c r="E764" t="s">
        <v>741</v>
      </c>
      <c r="F764" t="s">
        <v>75</v>
      </c>
      <c r="G764" t="s">
        <v>76</v>
      </c>
      <c r="H764">
        <v>8307933</v>
      </c>
      <c r="I764" t="s">
        <v>246</v>
      </c>
      <c r="J764" t="s">
        <v>247</v>
      </c>
      <c r="K764" t="str">
        <f t="shared" si="42"/>
        <v>GREGORY TEIPEL</v>
      </c>
      <c r="L764" s="1">
        <v>45633</v>
      </c>
      <c r="M764" s="1">
        <v>46029</v>
      </c>
      <c r="N764" s="2">
        <v>131.94999999999999</v>
      </c>
      <c r="O764">
        <f t="shared" si="39"/>
        <v>13</v>
      </c>
      <c r="P764" t="s">
        <v>1370</v>
      </c>
      <c r="Q764" s="4">
        <v>0.1</v>
      </c>
      <c r="R764" t="s">
        <v>60</v>
      </c>
      <c r="S764" t="s">
        <v>61</v>
      </c>
      <c r="T764" s="2">
        <v>13.2</v>
      </c>
      <c r="U764" t="s">
        <v>1371</v>
      </c>
    </row>
    <row r="765" spans="1:51" x14ac:dyDescent="0.25">
      <c r="A765">
        <v>2025839021</v>
      </c>
      <c r="B765" t="s">
        <v>792</v>
      </c>
      <c r="C765" t="s">
        <v>56</v>
      </c>
      <c r="D765" t="str">
        <f t="shared" si="38"/>
        <v>KELLY BANKS</v>
      </c>
      <c r="E765" t="s">
        <v>374</v>
      </c>
      <c r="F765" t="s">
        <v>75</v>
      </c>
      <c r="G765" t="s">
        <v>80</v>
      </c>
      <c r="H765">
        <v>8307933</v>
      </c>
      <c r="I765" t="s">
        <v>246</v>
      </c>
      <c r="J765" t="s">
        <v>247</v>
      </c>
      <c r="K765" t="str">
        <f t="shared" si="42"/>
        <v>GREGORY TEIPEL</v>
      </c>
      <c r="L765" s="1">
        <v>45633</v>
      </c>
      <c r="M765" s="1">
        <v>46029</v>
      </c>
      <c r="N765" s="2">
        <v>104.44</v>
      </c>
      <c r="O765">
        <f t="shared" si="39"/>
        <v>13</v>
      </c>
      <c r="P765" t="s">
        <v>1370</v>
      </c>
      <c r="Q765" s="4">
        <v>0.1</v>
      </c>
      <c r="R765" t="s">
        <v>60</v>
      </c>
      <c r="S765" t="s">
        <v>61</v>
      </c>
      <c r="T765" s="2">
        <v>10.44</v>
      </c>
      <c r="U765" t="s">
        <v>1372</v>
      </c>
    </row>
    <row r="766" spans="1:51" x14ac:dyDescent="0.25">
      <c r="A766">
        <v>2025707626</v>
      </c>
      <c r="B766" t="s">
        <v>1072</v>
      </c>
      <c r="C766" t="s">
        <v>1073</v>
      </c>
      <c r="D766" t="str">
        <f t="shared" si="38"/>
        <v>JEFFREY BLUHM</v>
      </c>
      <c r="E766" t="s">
        <v>374</v>
      </c>
      <c r="F766" t="s">
        <v>126</v>
      </c>
      <c r="G766" t="s">
        <v>132</v>
      </c>
      <c r="H766">
        <v>8307933</v>
      </c>
      <c r="I766" t="s">
        <v>246</v>
      </c>
      <c r="J766" t="s">
        <v>247</v>
      </c>
      <c r="K766" t="str">
        <f t="shared" si="42"/>
        <v>GREGORY TEIPEL</v>
      </c>
      <c r="L766" s="1">
        <v>45633</v>
      </c>
      <c r="M766" s="1">
        <v>46029</v>
      </c>
      <c r="N766" s="2">
        <v>51</v>
      </c>
      <c r="O766">
        <f t="shared" si="39"/>
        <v>13</v>
      </c>
      <c r="P766" t="s">
        <v>1370</v>
      </c>
      <c r="Q766" s="4">
        <v>0.15</v>
      </c>
      <c r="R766" t="s">
        <v>60</v>
      </c>
      <c r="S766" t="s">
        <v>61</v>
      </c>
      <c r="T766" s="2">
        <v>7.65</v>
      </c>
      <c r="U766" t="s">
        <v>132</v>
      </c>
    </row>
    <row r="767" spans="1:51" x14ac:dyDescent="0.25">
      <c r="A767">
        <v>2025772484</v>
      </c>
      <c r="B767" t="s">
        <v>114</v>
      </c>
      <c r="C767" t="s">
        <v>753</v>
      </c>
      <c r="D767" t="str">
        <f t="shared" si="38"/>
        <v>BRYAN REYNOLDS</v>
      </c>
      <c r="E767" t="s">
        <v>97</v>
      </c>
      <c r="F767" t="s">
        <v>126</v>
      </c>
      <c r="G767" t="s">
        <v>132</v>
      </c>
      <c r="H767">
        <v>8307933</v>
      </c>
      <c r="I767" t="s">
        <v>246</v>
      </c>
      <c r="J767" t="s">
        <v>247</v>
      </c>
      <c r="K767" t="str">
        <f t="shared" si="42"/>
        <v>GREGORY TEIPEL</v>
      </c>
      <c r="L767" s="1">
        <v>45633</v>
      </c>
      <c r="M767" s="1">
        <v>46029</v>
      </c>
      <c r="N767" s="2">
        <v>261</v>
      </c>
      <c r="O767">
        <f t="shared" si="39"/>
        <v>13</v>
      </c>
      <c r="P767" t="s">
        <v>1370</v>
      </c>
      <c r="Q767" s="4">
        <v>0.15</v>
      </c>
      <c r="R767" t="s">
        <v>60</v>
      </c>
      <c r="S767" t="s">
        <v>61</v>
      </c>
      <c r="T767" s="2">
        <v>39.15</v>
      </c>
      <c r="U767" t="s">
        <v>132</v>
      </c>
    </row>
    <row r="768" spans="1:51" x14ac:dyDescent="0.25">
      <c r="A768">
        <v>2025803166</v>
      </c>
      <c r="B768" t="s">
        <v>1074</v>
      </c>
      <c r="C768" t="s">
        <v>1075</v>
      </c>
      <c r="D768" t="str">
        <f t="shared" si="38"/>
        <v>DARREN PYLE</v>
      </c>
      <c r="E768" t="s">
        <v>97</v>
      </c>
      <c r="F768" t="s">
        <v>126</v>
      </c>
      <c r="G768" t="s">
        <v>132</v>
      </c>
      <c r="H768">
        <v>8307933</v>
      </c>
      <c r="I768" t="s">
        <v>246</v>
      </c>
      <c r="J768" t="s">
        <v>247</v>
      </c>
      <c r="K768" t="str">
        <f t="shared" si="42"/>
        <v>GREGORY TEIPEL</v>
      </c>
      <c r="L768" s="1">
        <v>45633</v>
      </c>
      <c r="M768" s="1">
        <v>46029</v>
      </c>
      <c r="N768" s="2">
        <v>140.6</v>
      </c>
      <c r="O768">
        <f t="shared" si="39"/>
        <v>13</v>
      </c>
      <c r="P768" t="s">
        <v>1370</v>
      </c>
      <c r="Q768" s="4">
        <v>0.15</v>
      </c>
      <c r="R768" t="s">
        <v>60</v>
      </c>
      <c r="S768" t="s">
        <v>61</v>
      </c>
      <c r="T768" s="2">
        <v>21.09</v>
      </c>
      <c r="U768" t="s">
        <v>132</v>
      </c>
    </row>
    <row r="769" spans="1:51" x14ac:dyDescent="0.25">
      <c r="A769">
        <v>2025805896</v>
      </c>
      <c r="B769" t="s">
        <v>1076</v>
      </c>
      <c r="C769" t="s">
        <v>194</v>
      </c>
      <c r="D769" t="str">
        <f t="shared" si="38"/>
        <v>KAREN MOSS</v>
      </c>
      <c r="E769" t="s">
        <v>97</v>
      </c>
      <c r="F769" t="s">
        <v>126</v>
      </c>
      <c r="G769" t="s">
        <v>132</v>
      </c>
      <c r="H769">
        <v>8307933</v>
      </c>
      <c r="I769" t="s">
        <v>246</v>
      </c>
      <c r="J769" t="s">
        <v>247</v>
      </c>
      <c r="K769" t="str">
        <f t="shared" si="42"/>
        <v>GREGORY TEIPEL</v>
      </c>
      <c r="L769" s="1">
        <v>45633</v>
      </c>
      <c r="M769" s="1">
        <v>46029</v>
      </c>
      <c r="N769" s="2">
        <v>111.68</v>
      </c>
      <c r="O769">
        <f t="shared" si="39"/>
        <v>13</v>
      </c>
      <c r="P769" t="s">
        <v>1370</v>
      </c>
      <c r="Q769" s="4">
        <v>0.15</v>
      </c>
      <c r="R769" t="s">
        <v>60</v>
      </c>
      <c r="S769" t="s">
        <v>61</v>
      </c>
      <c r="T769" s="2">
        <v>16.75</v>
      </c>
      <c r="U769" t="s">
        <v>132</v>
      </c>
    </row>
    <row r="770" spans="1:51" x14ac:dyDescent="0.25">
      <c r="A770">
        <v>2025815282</v>
      </c>
      <c r="B770" t="s">
        <v>790</v>
      </c>
      <c r="C770" t="s">
        <v>791</v>
      </c>
      <c r="D770" t="str">
        <f t="shared" ref="D770:D833" si="43">CONCATENATE(C770," ",B770)</f>
        <v>CARLEE WEST</v>
      </c>
      <c r="E770" t="s">
        <v>267</v>
      </c>
      <c r="F770" t="s">
        <v>126</v>
      </c>
      <c r="G770" t="s">
        <v>132</v>
      </c>
      <c r="H770">
        <v>8307933</v>
      </c>
      <c r="I770" t="s">
        <v>246</v>
      </c>
      <c r="J770" t="s">
        <v>247</v>
      </c>
      <c r="K770" t="str">
        <f t="shared" si="42"/>
        <v>GREGORY TEIPEL</v>
      </c>
      <c r="L770" s="1">
        <v>45633</v>
      </c>
      <c r="M770" s="1">
        <v>46029</v>
      </c>
      <c r="N770" s="2">
        <v>31.28</v>
      </c>
      <c r="O770">
        <f t="shared" ref="O770:O833" si="44">DATEDIF(L770,M770,"M")</f>
        <v>13</v>
      </c>
      <c r="P770" t="s">
        <v>1370</v>
      </c>
      <c r="Q770" s="4">
        <v>0.15</v>
      </c>
      <c r="R770" t="s">
        <v>60</v>
      </c>
      <c r="S770" t="s">
        <v>61</v>
      </c>
      <c r="T770" s="2">
        <v>4.6900000000000004</v>
      </c>
      <c r="U770" t="s">
        <v>132</v>
      </c>
    </row>
    <row r="771" spans="1:51" x14ac:dyDescent="0.25">
      <c r="A771">
        <v>2025863138</v>
      </c>
      <c r="B771" t="s">
        <v>492</v>
      </c>
      <c r="C771" t="s">
        <v>793</v>
      </c>
      <c r="D771" t="str">
        <f t="shared" si="43"/>
        <v>JACKY RICE</v>
      </c>
      <c r="E771" t="s">
        <v>97</v>
      </c>
      <c r="F771" t="s">
        <v>126</v>
      </c>
      <c r="G771" t="s">
        <v>132</v>
      </c>
      <c r="H771">
        <v>8307933</v>
      </c>
      <c r="I771" t="s">
        <v>246</v>
      </c>
      <c r="J771" t="s">
        <v>247</v>
      </c>
      <c r="K771" t="str">
        <f t="shared" si="42"/>
        <v>GREGORY TEIPEL</v>
      </c>
      <c r="L771" s="1">
        <v>45633</v>
      </c>
      <c r="M771" s="1">
        <v>46029</v>
      </c>
      <c r="N771" s="2">
        <v>129.22</v>
      </c>
      <c r="O771">
        <f t="shared" si="44"/>
        <v>13</v>
      </c>
      <c r="P771" t="s">
        <v>1370</v>
      </c>
      <c r="Q771" s="4">
        <v>0.15</v>
      </c>
      <c r="R771" t="s">
        <v>60</v>
      </c>
      <c r="S771" t="s">
        <v>61</v>
      </c>
      <c r="T771" s="2">
        <v>19.38</v>
      </c>
      <c r="U771" t="s">
        <v>132</v>
      </c>
    </row>
    <row r="772" spans="1:51" x14ac:dyDescent="0.25">
      <c r="A772">
        <v>2025884354</v>
      </c>
      <c r="B772" t="s">
        <v>161</v>
      </c>
      <c r="C772" t="s">
        <v>124</v>
      </c>
      <c r="D772" t="str">
        <f t="shared" si="43"/>
        <v>KIM SMITH</v>
      </c>
      <c r="E772" t="s">
        <v>97</v>
      </c>
      <c r="F772" t="s">
        <v>126</v>
      </c>
      <c r="G772" t="s">
        <v>132</v>
      </c>
      <c r="H772">
        <v>8307933</v>
      </c>
      <c r="I772" t="s">
        <v>246</v>
      </c>
      <c r="J772" t="s">
        <v>247</v>
      </c>
      <c r="K772" t="str">
        <f t="shared" si="42"/>
        <v>GREGORY TEIPEL</v>
      </c>
      <c r="L772" s="1">
        <v>45633</v>
      </c>
      <c r="M772" s="1">
        <v>46029</v>
      </c>
      <c r="N772" s="2">
        <v>83</v>
      </c>
      <c r="O772">
        <f t="shared" si="44"/>
        <v>13</v>
      </c>
      <c r="P772" t="s">
        <v>1370</v>
      </c>
      <c r="Q772" s="4">
        <v>0.15</v>
      </c>
      <c r="R772" t="s">
        <v>60</v>
      </c>
      <c r="S772" t="s">
        <v>61</v>
      </c>
      <c r="T772" s="2">
        <v>12.45</v>
      </c>
      <c r="U772" t="s">
        <v>132</v>
      </c>
    </row>
    <row r="773" spans="1:51" s="5" customFormat="1" x14ac:dyDescent="0.25">
      <c r="A773">
        <v>2025885800</v>
      </c>
      <c r="B773" t="s">
        <v>1077</v>
      </c>
      <c r="C773" t="s">
        <v>1078</v>
      </c>
      <c r="D773" t="str">
        <f t="shared" si="43"/>
        <v>JAVIER LUGO</v>
      </c>
      <c r="E773" t="s">
        <v>383</v>
      </c>
      <c r="F773" t="s">
        <v>126</v>
      </c>
      <c r="G773" t="s">
        <v>132</v>
      </c>
      <c r="H773">
        <v>8307933</v>
      </c>
      <c r="I773" t="s">
        <v>246</v>
      </c>
      <c r="J773" t="s">
        <v>247</v>
      </c>
      <c r="K773" t="str">
        <f t="shared" si="42"/>
        <v>GREGORY TEIPEL</v>
      </c>
      <c r="L773" s="1">
        <v>45633</v>
      </c>
      <c r="M773" s="1">
        <v>46029</v>
      </c>
      <c r="N773" s="2">
        <v>187.04</v>
      </c>
      <c r="O773">
        <f t="shared" si="44"/>
        <v>13</v>
      </c>
      <c r="P773" t="s">
        <v>1370</v>
      </c>
      <c r="Q773" s="4">
        <v>0.15</v>
      </c>
      <c r="R773" t="s">
        <v>60</v>
      </c>
      <c r="S773" t="s">
        <v>61</v>
      </c>
      <c r="T773" s="2">
        <v>28.06</v>
      </c>
      <c r="U773" t="s">
        <v>132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</row>
    <row r="774" spans="1:51" s="5" customFormat="1" x14ac:dyDescent="0.25">
      <c r="A774">
        <v>2025887934</v>
      </c>
      <c r="B774" t="s">
        <v>268</v>
      </c>
      <c r="C774" t="s">
        <v>249</v>
      </c>
      <c r="D774" t="str">
        <f t="shared" si="43"/>
        <v>ROBERT WHITE</v>
      </c>
      <c r="E774" t="s">
        <v>374</v>
      </c>
      <c r="F774" t="s">
        <v>126</v>
      </c>
      <c r="G774" t="s">
        <v>132</v>
      </c>
      <c r="H774">
        <v>8307933</v>
      </c>
      <c r="I774" t="s">
        <v>246</v>
      </c>
      <c r="J774" t="s">
        <v>247</v>
      </c>
      <c r="K774" t="str">
        <f t="shared" si="42"/>
        <v>GREGORY TEIPEL</v>
      </c>
      <c r="L774" s="1">
        <v>45633</v>
      </c>
      <c r="M774" s="1">
        <v>46029</v>
      </c>
      <c r="N774" s="2">
        <v>122.32</v>
      </c>
      <c r="O774">
        <f t="shared" si="44"/>
        <v>13</v>
      </c>
      <c r="P774" t="s">
        <v>1370</v>
      </c>
      <c r="Q774" s="4">
        <v>0.15</v>
      </c>
      <c r="R774" t="s">
        <v>60</v>
      </c>
      <c r="S774" t="s">
        <v>61</v>
      </c>
      <c r="T774" s="2">
        <v>18.350000000000001</v>
      </c>
      <c r="U774" t="s">
        <v>132</v>
      </c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</row>
    <row r="775" spans="1:51" s="5" customFormat="1" x14ac:dyDescent="0.25">
      <c r="A775">
        <v>2025896511</v>
      </c>
      <c r="B775" t="s">
        <v>794</v>
      </c>
      <c r="C775" t="s">
        <v>391</v>
      </c>
      <c r="D775" t="str">
        <f t="shared" si="43"/>
        <v>JOSEPH SABOT</v>
      </c>
      <c r="E775" t="s">
        <v>741</v>
      </c>
      <c r="F775" t="s">
        <v>126</v>
      </c>
      <c r="G775" t="s">
        <v>132</v>
      </c>
      <c r="H775">
        <v>8307933</v>
      </c>
      <c r="I775" t="s">
        <v>246</v>
      </c>
      <c r="J775" t="s">
        <v>247</v>
      </c>
      <c r="K775" t="str">
        <f t="shared" si="42"/>
        <v>GREGORY TEIPEL</v>
      </c>
      <c r="L775" s="1">
        <v>45633</v>
      </c>
      <c r="M775" s="1">
        <v>46029</v>
      </c>
      <c r="N775" s="2">
        <v>40</v>
      </c>
      <c r="O775">
        <f t="shared" si="44"/>
        <v>13</v>
      </c>
      <c r="P775" t="s">
        <v>1370</v>
      </c>
      <c r="Q775" s="4">
        <v>0.15</v>
      </c>
      <c r="R775" t="s">
        <v>60</v>
      </c>
      <c r="S775" t="s">
        <v>61</v>
      </c>
      <c r="T775" s="2">
        <v>6</v>
      </c>
      <c r="U775" t="s">
        <v>132</v>
      </c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</row>
    <row r="776" spans="1:51" s="5" customFormat="1" x14ac:dyDescent="0.25">
      <c r="A776">
        <v>2026047881</v>
      </c>
      <c r="B776" t="s">
        <v>265</v>
      </c>
      <c r="C776" t="s">
        <v>266</v>
      </c>
      <c r="D776" t="str">
        <f t="shared" si="43"/>
        <v>HOWARD SHIPWASH</v>
      </c>
      <c r="E776" t="s">
        <v>267</v>
      </c>
      <c r="F776" t="s">
        <v>86</v>
      </c>
      <c r="G776" t="s">
        <v>87</v>
      </c>
      <c r="H776">
        <v>8307933</v>
      </c>
      <c r="I776" t="s">
        <v>246</v>
      </c>
      <c r="J776" t="s">
        <v>247</v>
      </c>
      <c r="K776" t="str">
        <f t="shared" si="42"/>
        <v>GREGORY TEIPEL</v>
      </c>
      <c r="L776" s="1">
        <v>45633</v>
      </c>
      <c r="M776" s="1">
        <v>46029</v>
      </c>
      <c r="N776" s="2">
        <v>40.07</v>
      </c>
      <c r="O776">
        <f t="shared" si="44"/>
        <v>13</v>
      </c>
      <c r="P776" t="s">
        <v>1370</v>
      </c>
      <c r="Q776" s="4">
        <v>0.06</v>
      </c>
      <c r="R776" t="s">
        <v>60</v>
      </c>
      <c r="S776" t="s">
        <v>61</v>
      </c>
      <c r="T776" s="2">
        <v>2.4</v>
      </c>
      <c r="U776" t="s">
        <v>87</v>
      </c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</row>
    <row r="777" spans="1:51" s="5" customFormat="1" x14ac:dyDescent="0.25">
      <c r="A777">
        <v>2025815451</v>
      </c>
      <c r="B777" t="s">
        <v>790</v>
      </c>
      <c r="C777" t="s">
        <v>791</v>
      </c>
      <c r="D777" t="str">
        <f t="shared" si="43"/>
        <v>CARLEE WEST</v>
      </c>
      <c r="E777" t="s">
        <v>267</v>
      </c>
      <c r="F777" t="s">
        <v>86</v>
      </c>
      <c r="G777" t="s">
        <v>87</v>
      </c>
      <c r="H777">
        <v>8307933</v>
      </c>
      <c r="I777" t="s">
        <v>246</v>
      </c>
      <c r="J777" t="s">
        <v>247</v>
      </c>
      <c r="K777" t="str">
        <f t="shared" si="42"/>
        <v>GREGORY TEIPEL</v>
      </c>
      <c r="L777" s="1">
        <v>45633</v>
      </c>
      <c r="M777" s="1">
        <v>46029</v>
      </c>
      <c r="N777" s="2">
        <v>40.07</v>
      </c>
      <c r="O777">
        <f t="shared" si="44"/>
        <v>13</v>
      </c>
      <c r="P777" t="s">
        <v>1370</v>
      </c>
      <c r="Q777" s="4">
        <v>0.06</v>
      </c>
      <c r="R777" t="s">
        <v>60</v>
      </c>
      <c r="S777" t="s">
        <v>61</v>
      </c>
      <c r="T777" s="2">
        <v>2.4</v>
      </c>
      <c r="U777" t="s">
        <v>87</v>
      </c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</row>
    <row r="778" spans="1:51" s="5" customFormat="1" x14ac:dyDescent="0.25">
      <c r="A778">
        <v>2025863140</v>
      </c>
      <c r="B778" t="s">
        <v>492</v>
      </c>
      <c r="C778" t="s">
        <v>793</v>
      </c>
      <c r="D778" t="str">
        <f t="shared" si="43"/>
        <v>JACKY RICE</v>
      </c>
      <c r="E778" t="s">
        <v>97</v>
      </c>
      <c r="F778" t="s">
        <v>86</v>
      </c>
      <c r="G778" t="s">
        <v>87</v>
      </c>
      <c r="H778">
        <v>8307933</v>
      </c>
      <c r="I778" t="s">
        <v>246</v>
      </c>
      <c r="J778" t="s">
        <v>247</v>
      </c>
      <c r="K778" t="str">
        <f t="shared" si="42"/>
        <v>GREGORY TEIPEL</v>
      </c>
      <c r="L778" s="1">
        <v>45633</v>
      </c>
      <c r="M778" s="1">
        <v>46029</v>
      </c>
      <c r="N778" s="2">
        <v>55.66</v>
      </c>
      <c r="O778">
        <f t="shared" si="44"/>
        <v>13</v>
      </c>
      <c r="P778" t="s">
        <v>1370</v>
      </c>
      <c r="Q778" s="4">
        <v>0.06</v>
      </c>
      <c r="R778" t="s">
        <v>60</v>
      </c>
      <c r="S778" t="s">
        <v>61</v>
      </c>
      <c r="T778" s="2">
        <v>3.34</v>
      </c>
      <c r="U778" t="s">
        <v>87</v>
      </c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</row>
    <row r="779" spans="1:51" s="5" customFormat="1" x14ac:dyDescent="0.25">
      <c r="A779">
        <v>2025884356</v>
      </c>
      <c r="B779" t="s">
        <v>161</v>
      </c>
      <c r="C779" t="s">
        <v>124</v>
      </c>
      <c r="D779" t="str">
        <f t="shared" si="43"/>
        <v>KIM SMITH</v>
      </c>
      <c r="E779" t="s">
        <v>97</v>
      </c>
      <c r="F779" t="s">
        <v>86</v>
      </c>
      <c r="G779" t="s">
        <v>87</v>
      </c>
      <c r="H779">
        <v>8307933</v>
      </c>
      <c r="I779" t="s">
        <v>246</v>
      </c>
      <c r="J779" t="s">
        <v>247</v>
      </c>
      <c r="K779" t="str">
        <f t="shared" si="42"/>
        <v>GREGORY TEIPEL</v>
      </c>
      <c r="L779" s="1">
        <v>45633</v>
      </c>
      <c r="M779" s="1">
        <v>46029</v>
      </c>
      <c r="N779" s="2">
        <v>55.66</v>
      </c>
      <c r="O779">
        <f t="shared" si="44"/>
        <v>13</v>
      </c>
      <c r="P779" t="s">
        <v>1370</v>
      </c>
      <c r="Q779" s="4">
        <v>0.06</v>
      </c>
      <c r="R779" t="s">
        <v>60</v>
      </c>
      <c r="S779" t="s">
        <v>61</v>
      </c>
      <c r="T779" s="2">
        <v>3.34</v>
      </c>
      <c r="U779" t="s">
        <v>87</v>
      </c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</row>
    <row r="780" spans="1:51" s="5" customFormat="1" x14ac:dyDescent="0.25">
      <c r="A780">
        <v>2025805895</v>
      </c>
      <c r="B780" t="s">
        <v>1076</v>
      </c>
      <c r="C780" t="s">
        <v>194</v>
      </c>
      <c r="D780" t="str">
        <f t="shared" si="43"/>
        <v>KAREN MOSS</v>
      </c>
      <c r="E780" t="s">
        <v>97</v>
      </c>
      <c r="F780" t="s">
        <v>126</v>
      </c>
      <c r="G780" t="s">
        <v>375</v>
      </c>
      <c r="H780">
        <v>8307933</v>
      </c>
      <c r="I780" t="s">
        <v>246</v>
      </c>
      <c r="J780" t="s">
        <v>247</v>
      </c>
      <c r="K780" t="str">
        <f t="shared" si="42"/>
        <v>GREGORY TEIPEL</v>
      </c>
      <c r="L780" s="1">
        <v>45633</v>
      </c>
      <c r="M780" s="1">
        <v>46029</v>
      </c>
      <c r="N780" s="2">
        <v>80.349999999999994</v>
      </c>
      <c r="O780">
        <f t="shared" si="44"/>
        <v>13</v>
      </c>
      <c r="P780" t="s">
        <v>1370</v>
      </c>
      <c r="Q780" s="4">
        <v>0.1</v>
      </c>
      <c r="R780" t="s">
        <v>60</v>
      </c>
      <c r="S780" t="s">
        <v>61</v>
      </c>
      <c r="T780" s="2">
        <v>8.0399999999999991</v>
      </c>
      <c r="U780" t="s">
        <v>375</v>
      </c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</row>
    <row r="781" spans="1:51" s="5" customFormat="1" x14ac:dyDescent="0.25">
      <c r="A781">
        <v>2025815281</v>
      </c>
      <c r="B781" t="s">
        <v>790</v>
      </c>
      <c r="C781" t="s">
        <v>791</v>
      </c>
      <c r="D781" t="str">
        <f t="shared" si="43"/>
        <v>CARLEE WEST</v>
      </c>
      <c r="E781" t="s">
        <v>267</v>
      </c>
      <c r="F781" t="s">
        <v>126</v>
      </c>
      <c r="G781" t="s">
        <v>375</v>
      </c>
      <c r="H781">
        <v>8307933</v>
      </c>
      <c r="I781" t="s">
        <v>246</v>
      </c>
      <c r="J781" t="s">
        <v>247</v>
      </c>
      <c r="K781" t="str">
        <f t="shared" si="42"/>
        <v>GREGORY TEIPEL</v>
      </c>
      <c r="L781" s="1">
        <v>45633</v>
      </c>
      <c r="M781" s="1">
        <v>46029</v>
      </c>
      <c r="N781" s="2">
        <v>21.83</v>
      </c>
      <c r="O781">
        <f t="shared" si="44"/>
        <v>13</v>
      </c>
      <c r="P781" t="s">
        <v>1370</v>
      </c>
      <c r="Q781" s="4">
        <v>0.1</v>
      </c>
      <c r="R781" t="s">
        <v>60</v>
      </c>
      <c r="S781" t="s">
        <v>61</v>
      </c>
      <c r="T781" s="2">
        <v>2.1800000000000002</v>
      </c>
      <c r="U781" t="s">
        <v>375</v>
      </c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</row>
    <row r="782" spans="1:51" s="5" customFormat="1" x14ac:dyDescent="0.25">
      <c r="A782">
        <v>2026002595</v>
      </c>
      <c r="B782" t="s">
        <v>1299</v>
      </c>
      <c r="C782" t="s">
        <v>962</v>
      </c>
      <c r="D782" t="str">
        <f t="shared" si="43"/>
        <v>MARK HAYES</v>
      </c>
      <c r="E782" t="s">
        <v>52</v>
      </c>
      <c r="F782" t="s">
        <v>169</v>
      </c>
      <c r="G782" t="s">
        <v>170</v>
      </c>
      <c r="H782">
        <v>18781057</v>
      </c>
      <c r="I782" t="s">
        <v>70</v>
      </c>
      <c r="J782" t="s">
        <v>71</v>
      </c>
      <c r="K782" t="str">
        <f t="shared" si="42"/>
        <v>JOHN ROKEN</v>
      </c>
      <c r="L782" s="1">
        <v>45629</v>
      </c>
      <c r="M782" s="1">
        <v>46025</v>
      </c>
      <c r="N782" s="2">
        <v>25.27</v>
      </c>
      <c r="O782">
        <f t="shared" si="44"/>
        <v>13</v>
      </c>
      <c r="P782" t="s">
        <v>1370</v>
      </c>
      <c r="Q782" s="3">
        <v>5.2499999999999998E-2</v>
      </c>
      <c r="R782" t="s">
        <v>60</v>
      </c>
      <c r="S782" t="s">
        <v>61</v>
      </c>
      <c r="T782" s="2">
        <v>1.33</v>
      </c>
      <c r="U782" t="s">
        <v>170</v>
      </c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</row>
    <row r="783" spans="1:51" s="5" customFormat="1" x14ac:dyDescent="0.25">
      <c r="A783">
        <v>2026002594</v>
      </c>
      <c r="B783" t="s">
        <v>1299</v>
      </c>
      <c r="C783" t="s">
        <v>962</v>
      </c>
      <c r="D783" t="str">
        <f t="shared" si="43"/>
        <v>MARK HAYES</v>
      </c>
      <c r="E783" t="s">
        <v>52</v>
      </c>
      <c r="F783" t="s">
        <v>169</v>
      </c>
      <c r="G783" t="s">
        <v>1274</v>
      </c>
      <c r="H783">
        <v>18781057</v>
      </c>
      <c r="I783" t="s">
        <v>70</v>
      </c>
      <c r="J783" t="s">
        <v>71</v>
      </c>
      <c r="K783" t="str">
        <f t="shared" si="42"/>
        <v>JOHN ROKEN</v>
      </c>
      <c r="L783" s="1">
        <v>45629</v>
      </c>
      <c r="M783" s="1">
        <v>46025</v>
      </c>
      <c r="N783" s="2">
        <v>55.2</v>
      </c>
      <c r="O783">
        <f t="shared" si="44"/>
        <v>13</v>
      </c>
      <c r="P783" t="s">
        <v>1370</v>
      </c>
      <c r="Q783" s="4">
        <v>0.08</v>
      </c>
      <c r="R783" t="s">
        <v>60</v>
      </c>
      <c r="S783" t="s">
        <v>61</v>
      </c>
      <c r="T783" s="2">
        <v>4.42</v>
      </c>
      <c r="U783" t="s">
        <v>1274</v>
      </c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</row>
    <row r="784" spans="1:51" s="5" customFormat="1" x14ac:dyDescent="0.25">
      <c r="A784">
        <v>2025510689</v>
      </c>
      <c r="B784" t="s">
        <v>1237</v>
      </c>
      <c r="C784" t="s">
        <v>1293</v>
      </c>
      <c r="D784" t="str">
        <f t="shared" si="43"/>
        <v>JANEY MOSAKOSKI</v>
      </c>
      <c r="E784" t="s">
        <v>220</v>
      </c>
      <c r="F784" t="s">
        <v>169</v>
      </c>
      <c r="G784" t="s">
        <v>170</v>
      </c>
      <c r="H784">
        <v>8977234</v>
      </c>
      <c r="I784" t="s">
        <v>81</v>
      </c>
      <c r="J784" t="s">
        <v>82</v>
      </c>
      <c r="K784" t="str">
        <f t="shared" si="42"/>
        <v>RYAN CALTAGIRONE</v>
      </c>
      <c r="L784" s="1">
        <v>45627</v>
      </c>
      <c r="M784" s="1">
        <v>46023</v>
      </c>
      <c r="N784" s="2">
        <v>57.84</v>
      </c>
      <c r="O784">
        <f t="shared" si="44"/>
        <v>13</v>
      </c>
      <c r="P784" t="s">
        <v>1370</v>
      </c>
      <c r="Q784" s="3">
        <v>5.2499999999999998E-2</v>
      </c>
      <c r="R784" t="s">
        <v>60</v>
      </c>
      <c r="S784" t="s">
        <v>61</v>
      </c>
      <c r="T784" s="2">
        <v>3.04</v>
      </c>
      <c r="U784" t="s">
        <v>170</v>
      </c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</row>
    <row r="785" spans="1:51" s="5" customFormat="1" x14ac:dyDescent="0.25">
      <c r="A785">
        <v>2025525110</v>
      </c>
      <c r="B785" t="s">
        <v>1294</v>
      </c>
      <c r="C785" t="s">
        <v>1295</v>
      </c>
      <c r="D785" t="str">
        <f t="shared" si="43"/>
        <v>GERALD O'NEILL</v>
      </c>
      <c r="E785" t="s">
        <v>52</v>
      </c>
      <c r="F785" t="s">
        <v>169</v>
      </c>
      <c r="G785" t="s">
        <v>170</v>
      </c>
      <c r="H785">
        <v>19278370</v>
      </c>
      <c r="I785" t="s">
        <v>187</v>
      </c>
      <c r="J785" t="s">
        <v>188</v>
      </c>
      <c r="K785" t="str">
        <f t="shared" si="42"/>
        <v>ANNE MARIE KOZACHECK</v>
      </c>
      <c r="L785" s="1">
        <v>45597</v>
      </c>
      <c r="M785" s="1">
        <v>46023</v>
      </c>
      <c r="N785" s="2">
        <v>104.08</v>
      </c>
      <c r="O785">
        <f t="shared" si="44"/>
        <v>14</v>
      </c>
      <c r="P785" t="s">
        <v>1370</v>
      </c>
      <c r="Q785" s="3">
        <v>5.2499999999999998E-2</v>
      </c>
      <c r="R785" t="s">
        <v>60</v>
      </c>
      <c r="S785" t="s">
        <v>61</v>
      </c>
      <c r="T785" s="2">
        <v>5.46</v>
      </c>
      <c r="U785" t="s">
        <v>170</v>
      </c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</row>
    <row r="786" spans="1:51" s="5" customFormat="1" x14ac:dyDescent="0.25">
      <c r="A786">
        <v>2025724075</v>
      </c>
      <c r="B786" t="s">
        <v>660</v>
      </c>
      <c r="C786" t="s">
        <v>182</v>
      </c>
      <c r="D786" t="str">
        <f t="shared" si="43"/>
        <v>MICHAEL GIRGENTI</v>
      </c>
      <c r="E786" t="s">
        <v>52</v>
      </c>
      <c r="F786" t="s">
        <v>365</v>
      </c>
      <c r="G786" t="s">
        <v>366</v>
      </c>
      <c r="H786">
        <v>17425766</v>
      </c>
      <c r="I786" t="s">
        <v>88</v>
      </c>
      <c r="J786" t="s">
        <v>89</v>
      </c>
      <c r="K786" t="str">
        <f t="shared" si="42"/>
        <v>CAROL FOLEY</v>
      </c>
      <c r="L786" s="1">
        <v>45608</v>
      </c>
      <c r="M786" s="1">
        <v>46034</v>
      </c>
      <c r="N786" s="2">
        <v>53.16</v>
      </c>
      <c r="O786">
        <f t="shared" si="44"/>
        <v>14</v>
      </c>
      <c r="P786" t="s">
        <v>1370</v>
      </c>
      <c r="Q786" s="4">
        <v>0.1</v>
      </c>
      <c r="R786" t="s">
        <v>60</v>
      </c>
      <c r="S786" t="s">
        <v>61</v>
      </c>
      <c r="T786" s="2">
        <v>5.32</v>
      </c>
      <c r="U786" t="s">
        <v>366</v>
      </c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</row>
    <row r="787" spans="1:51" s="5" customFormat="1" x14ac:dyDescent="0.25">
      <c r="A787">
        <v>2025698058</v>
      </c>
      <c r="B787" t="s">
        <v>56</v>
      </c>
      <c r="C787" t="s">
        <v>659</v>
      </c>
      <c r="D787" t="str">
        <f t="shared" si="43"/>
        <v>PAMELA KELLY</v>
      </c>
      <c r="E787" t="s">
        <v>125</v>
      </c>
      <c r="F787" t="s">
        <v>290</v>
      </c>
      <c r="G787" t="s">
        <v>295</v>
      </c>
      <c r="H787">
        <v>17425766</v>
      </c>
      <c r="I787" t="s">
        <v>88</v>
      </c>
      <c r="J787" t="s">
        <v>89</v>
      </c>
      <c r="K787" t="str">
        <f t="shared" si="42"/>
        <v>CAROL FOLEY</v>
      </c>
      <c r="L787" s="1">
        <v>45605</v>
      </c>
      <c r="M787" s="1">
        <v>46031</v>
      </c>
      <c r="N787" s="2">
        <v>15</v>
      </c>
      <c r="O787">
        <f t="shared" si="44"/>
        <v>14</v>
      </c>
      <c r="P787" t="s">
        <v>1370</v>
      </c>
      <c r="Q787" s="4">
        <v>0.1</v>
      </c>
      <c r="R787" t="s">
        <v>60</v>
      </c>
      <c r="S787" t="s">
        <v>61</v>
      </c>
      <c r="T787" s="2">
        <v>1.5</v>
      </c>
      <c r="U787" t="s">
        <v>295</v>
      </c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</row>
    <row r="788" spans="1:51" s="5" customFormat="1" x14ac:dyDescent="0.25">
      <c r="A788">
        <v>2025698056</v>
      </c>
      <c r="B788" t="s">
        <v>56</v>
      </c>
      <c r="C788" t="s">
        <v>659</v>
      </c>
      <c r="D788" t="str">
        <f t="shared" si="43"/>
        <v>PAMELA KELLY</v>
      </c>
      <c r="E788" t="s">
        <v>125</v>
      </c>
      <c r="F788" t="s">
        <v>365</v>
      </c>
      <c r="G788" t="s">
        <v>366</v>
      </c>
      <c r="H788">
        <v>17425766</v>
      </c>
      <c r="I788" t="s">
        <v>88</v>
      </c>
      <c r="J788" t="s">
        <v>89</v>
      </c>
      <c r="K788" t="str">
        <f t="shared" si="42"/>
        <v>CAROL FOLEY</v>
      </c>
      <c r="L788" s="1">
        <v>45605</v>
      </c>
      <c r="M788" s="1">
        <v>46031</v>
      </c>
      <c r="N788" s="2">
        <v>26.12</v>
      </c>
      <c r="O788">
        <f t="shared" si="44"/>
        <v>14</v>
      </c>
      <c r="P788" t="s">
        <v>1370</v>
      </c>
      <c r="Q788" s="4">
        <v>0.1</v>
      </c>
      <c r="R788" t="s">
        <v>60</v>
      </c>
      <c r="S788" t="s">
        <v>61</v>
      </c>
      <c r="T788" s="2">
        <v>2.61</v>
      </c>
      <c r="U788" t="s">
        <v>366</v>
      </c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</row>
    <row r="789" spans="1:51" s="5" customFormat="1" x14ac:dyDescent="0.25">
      <c r="A789">
        <v>2025698057</v>
      </c>
      <c r="B789" t="s">
        <v>56</v>
      </c>
      <c r="C789" t="s">
        <v>659</v>
      </c>
      <c r="D789" t="str">
        <f t="shared" si="43"/>
        <v>PAMELA KELLY</v>
      </c>
      <c r="E789" t="s">
        <v>125</v>
      </c>
      <c r="F789" t="s">
        <v>86</v>
      </c>
      <c r="G789" t="s">
        <v>87</v>
      </c>
      <c r="H789">
        <v>17425766</v>
      </c>
      <c r="I789" t="s">
        <v>88</v>
      </c>
      <c r="J789" t="s">
        <v>89</v>
      </c>
      <c r="K789" t="str">
        <f t="shared" si="42"/>
        <v>CAROL FOLEY</v>
      </c>
      <c r="L789" s="1">
        <v>45605</v>
      </c>
      <c r="M789" s="1">
        <v>46031</v>
      </c>
      <c r="N789" s="2">
        <v>36.119999999999997</v>
      </c>
      <c r="O789">
        <f t="shared" si="44"/>
        <v>14</v>
      </c>
      <c r="P789" t="s">
        <v>1370</v>
      </c>
      <c r="Q789" s="4">
        <v>0.06</v>
      </c>
      <c r="R789" t="s">
        <v>60</v>
      </c>
      <c r="S789" t="s">
        <v>61</v>
      </c>
      <c r="T789" s="2">
        <v>2.17</v>
      </c>
      <c r="U789" t="s">
        <v>87</v>
      </c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</row>
    <row r="790" spans="1:51" s="5" customFormat="1" x14ac:dyDescent="0.25">
      <c r="A790">
        <v>2025655643</v>
      </c>
      <c r="B790" t="s">
        <v>657</v>
      </c>
      <c r="C790" t="s">
        <v>658</v>
      </c>
      <c r="D790" t="str">
        <f t="shared" si="43"/>
        <v>ROSEANN CONSTANTINO</v>
      </c>
      <c r="E790" t="s">
        <v>52</v>
      </c>
      <c r="F790" t="s">
        <v>365</v>
      </c>
      <c r="G790" t="s">
        <v>366</v>
      </c>
      <c r="H790">
        <v>17425766</v>
      </c>
      <c r="I790" t="s">
        <v>88</v>
      </c>
      <c r="J790" t="s">
        <v>89</v>
      </c>
      <c r="K790" t="str">
        <f t="shared" si="42"/>
        <v>CAROL FOLEY</v>
      </c>
      <c r="L790" s="1">
        <v>45603</v>
      </c>
      <c r="M790" s="1">
        <v>46029</v>
      </c>
      <c r="N790" s="2">
        <v>55.16</v>
      </c>
      <c r="O790">
        <f t="shared" si="44"/>
        <v>14</v>
      </c>
      <c r="P790" t="s">
        <v>1370</v>
      </c>
      <c r="Q790" s="4">
        <v>0.1</v>
      </c>
      <c r="R790" t="s">
        <v>60</v>
      </c>
      <c r="S790" t="s">
        <v>61</v>
      </c>
      <c r="T790" s="2">
        <v>5.52</v>
      </c>
      <c r="U790" t="s">
        <v>366</v>
      </c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</row>
    <row r="791" spans="1:51" s="5" customFormat="1" x14ac:dyDescent="0.25">
      <c r="A791">
        <v>2025118592</v>
      </c>
      <c r="B791" t="s">
        <v>1003</v>
      </c>
      <c r="C791" t="s">
        <v>1004</v>
      </c>
      <c r="D791" t="str">
        <f t="shared" si="43"/>
        <v>AMY KAMINSKI</v>
      </c>
      <c r="E791" t="s">
        <v>563</v>
      </c>
      <c r="F791" t="s">
        <v>108</v>
      </c>
      <c r="G791" t="s">
        <v>109</v>
      </c>
      <c r="H791">
        <v>17425766</v>
      </c>
      <c r="I791" t="s">
        <v>88</v>
      </c>
      <c r="J791" t="s">
        <v>89</v>
      </c>
      <c r="K791" t="str">
        <f t="shared" ref="K791:K822" si="45">CONCATENATE(J791," ",I791)</f>
        <v>CAROL FOLEY</v>
      </c>
      <c r="L791" s="1">
        <v>45597</v>
      </c>
      <c r="M791" s="1">
        <v>46023</v>
      </c>
      <c r="N791" s="2">
        <v>102.08</v>
      </c>
      <c r="O791">
        <f t="shared" si="44"/>
        <v>14</v>
      </c>
      <c r="P791" t="s">
        <v>1370</v>
      </c>
      <c r="Q791" s="4">
        <v>0.26</v>
      </c>
      <c r="R791" t="s">
        <v>60</v>
      </c>
      <c r="S791" t="s">
        <v>61</v>
      </c>
      <c r="T791" s="2">
        <v>26.54</v>
      </c>
      <c r="U791" t="s">
        <v>1384</v>
      </c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</row>
    <row r="792" spans="1:51" x14ac:dyDescent="0.25">
      <c r="A792">
        <v>2024984249</v>
      </c>
      <c r="B792" t="s">
        <v>1292</v>
      </c>
      <c r="C792" t="s">
        <v>182</v>
      </c>
      <c r="D792" t="str">
        <f t="shared" si="43"/>
        <v>MICHAEL MASSUCCI</v>
      </c>
      <c r="E792" t="s">
        <v>52</v>
      </c>
      <c r="F792" t="s">
        <v>169</v>
      </c>
      <c r="G792" t="s">
        <v>170</v>
      </c>
      <c r="H792">
        <v>17528908</v>
      </c>
      <c r="I792" t="s">
        <v>183</v>
      </c>
      <c r="J792" t="s">
        <v>184</v>
      </c>
      <c r="K792" t="str">
        <f t="shared" si="45"/>
        <v>DEBORAH INSKIPT</v>
      </c>
      <c r="L792" s="1">
        <v>45597</v>
      </c>
      <c r="M792" s="1">
        <v>46023</v>
      </c>
      <c r="N792" s="2">
        <v>78.83</v>
      </c>
      <c r="O792">
        <f t="shared" si="44"/>
        <v>14</v>
      </c>
      <c r="P792" t="s">
        <v>1370</v>
      </c>
      <c r="Q792" s="3">
        <v>5.2499999999999998E-2</v>
      </c>
      <c r="R792" t="s">
        <v>60</v>
      </c>
      <c r="S792" t="s">
        <v>61</v>
      </c>
      <c r="T792" s="2">
        <v>4.1399999999999997</v>
      </c>
      <c r="U792" t="s">
        <v>170</v>
      </c>
    </row>
    <row r="793" spans="1:51" x14ac:dyDescent="0.25">
      <c r="A793">
        <v>2025260278</v>
      </c>
      <c r="B793" t="s">
        <v>781</v>
      </c>
      <c r="C793" t="s">
        <v>405</v>
      </c>
      <c r="D793" t="str">
        <f t="shared" si="43"/>
        <v>DAVID KUHN</v>
      </c>
      <c r="E793" t="s">
        <v>267</v>
      </c>
      <c r="F793" t="s">
        <v>75</v>
      </c>
      <c r="G793" t="s">
        <v>76</v>
      </c>
      <c r="H793">
        <v>8307933</v>
      </c>
      <c r="I793" t="s">
        <v>246</v>
      </c>
      <c r="J793" t="s">
        <v>247</v>
      </c>
      <c r="K793" t="str">
        <f t="shared" si="45"/>
        <v>GREGORY TEIPEL</v>
      </c>
      <c r="L793" s="1">
        <v>45603</v>
      </c>
      <c r="M793" s="1">
        <v>46029</v>
      </c>
      <c r="N793" s="2">
        <v>267.5</v>
      </c>
      <c r="O793">
        <f t="shared" si="44"/>
        <v>14</v>
      </c>
      <c r="P793" t="s">
        <v>1370</v>
      </c>
      <c r="Q793" s="4">
        <v>0.1</v>
      </c>
      <c r="R793" t="s">
        <v>60</v>
      </c>
      <c r="S793" t="s">
        <v>61</v>
      </c>
      <c r="T793" s="2">
        <v>26.75</v>
      </c>
      <c r="U793" t="s">
        <v>1371</v>
      </c>
    </row>
    <row r="794" spans="1:51" x14ac:dyDescent="0.25">
      <c r="A794">
        <v>2025655085</v>
      </c>
      <c r="B794" t="s">
        <v>785</v>
      </c>
      <c r="C794" t="s">
        <v>786</v>
      </c>
      <c r="D794" t="str">
        <f t="shared" si="43"/>
        <v>TAMMY LAROUX</v>
      </c>
      <c r="E794" t="s">
        <v>97</v>
      </c>
      <c r="F794" t="s">
        <v>75</v>
      </c>
      <c r="G794" t="s">
        <v>76</v>
      </c>
      <c r="H794">
        <v>8307933</v>
      </c>
      <c r="I794" t="s">
        <v>246</v>
      </c>
      <c r="J794" t="s">
        <v>247</v>
      </c>
      <c r="K794" t="str">
        <f t="shared" si="45"/>
        <v>GREGORY TEIPEL</v>
      </c>
      <c r="L794" s="1">
        <v>45604</v>
      </c>
      <c r="M794" s="1">
        <v>46030</v>
      </c>
      <c r="N794" s="2">
        <v>68.25</v>
      </c>
      <c r="O794">
        <f t="shared" si="44"/>
        <v>14</v>
      </c>
      <c r="P794" t="s">
        <v>1370</v>
      </c>
      <c r="Q794" s="4">
        <v>0.1</v>
      </c>
      <c r="R794" t="s">
        <v>60</v>
      </c>
      <c r="S794" t="s">
        <v>61</v>
      </c>
      <c r="T794" s="2">
        <v>6.82</v>
      </c>
      <c r="U794" t="s">
        <v>1371</v>
      </c>
    </row>
    <row r="795" spans="1:51" x14ac:dyDescent="0.25">
      <c r="A795">
        <v>2025655084</v>
      </c>
      <c r="B795" t="s">
        <v>785</v>
      </c>
      <c r="C795" t="s">
        <v>786</v>
      </c>
      <c r="D795" t="str">
        <f t="shared" si="43"/>
        <v>TAMMY LAROUX</v>
      </c>
      <c r="E795" t="s">
        <v>97</v>
      </c>
      <c r="F795" t="s">
        <v>126</v>
      </c>
      <c r="G795" t="s">
        <v>375</v>
      </c>
      <c r="H795">
        <v>8307933</v>
      </c>
      <c r="I795" t="s">
        <v>246</v>
      </c>
      <c r="J795" t="s">
        <v>247</v>
      </c>
      <c r="K795" t="str">
        <f t="shared" si="45"/>
        <v>GREGORY TEIPEL</v>
      </c>
      <c r="L795" s="1">
        <v>45604</v>
      </c>
      <c r="M795" s="1">
        <v>46030</v>
      </c>
      <c r="N795" s="2">
        <v>99.25</v>
      </c>
      <c r="O795">
        <f t="shared" si="44"/>
        <v>14</v>
      </c>
      <c r="P795" t="s">
        <v>1370</v>
      </c>
      <c r="Q795" s="4">
        <v>0.1</v>
      </c>
      <c r="R795" t="s">
        <v>60</v>
      </c>
      <c r="S795" t="s">
        <v>61</v>
      </c>
      <c r="T795" s="2">
        <v>9.92</v>
      </c>
      <c r="U795" t="s">
        <v>375</v>
      </c>
    </row>
    <row r="796" spans="1:51" s="5" customFormat="1" x14ac:dyDescent="0.25">
      <c r="A796">
        <v>2025724991</v>
      </c>
      <c r="B796" t="s">
        <v>994</v>
      </c>
      <c r="C796" t="s">
        <v>995</v>
      </c>
      <c r="D796" t="str">
        <f t="shared" si="43"/>
        <v>PAULA HURSEY</v>
      </c>
      <c r="E796" t="s">
        <v>509</v>
      </c>
      <c r="F796" t="s">
        <v>126</v>
      </c>
      <c r="G796" t="s">
        <v>132</v>
      </c>
      <c r="H796" t="s">
        <v>1366</v>
      </c>
      <c r="I796" t="s">
        <v>409</v>
      </c>
      <c r="J796" t="s">
        <v>410</v>
      </c>
      <c r="K796" t="str">
        <f t="shared" si="45"/>
        <v>JARED KINYUA</v>
      </c>
      <c r="L796" s="1">
        <v>45608</v>
      </c>
      <c r="M796" s="1">
        <v>46034</v>
      </c>
      <c r="N796" s="2">
        <v>46.17</v>
      </c>
      <c r="O796">
        <f t="shared" si="44"/>
        <v>14</v>
      </c>
      <c r="P796" t="s">
        <v>1370</v>
      </c>
      <c r="Q796" s="4">
        <v>0.15</v>
      </c>
      <c r="R796" t="s">
        <v>60</v>
      </c>
      <c r="S796" t="s">
        <v>61</v>
      </c>
      <c r="T796" s="2">
        <v>6.93</v>
      </c>
      <c r="U796" t="s">
        <v>132</v>
      </c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</row>
    <row r="797" spans="1:51" s="5" customFormat="1" x14ac:dyDescent="0.25">
      <c r="A797">
        <v>2025724990</v>
      </c>
      <c r="B797" t="s">
        <v>994</v>
      </c>
      <c r="C797" t="s">
        <v>995</v>
      </c>
      <c r="D797" t="str">
        <f t="shared" si="43"/>
        <v>PAULA HURSEY</v>
      </c>
      <c r="E797" t="s">
        <v>509</v>
      </c>
      <c r="F797" t="s">
        <v>86</v>
      </c>
      <c r="G797" t="s">
        <v>87</v>
      </c>
      <c r="H797" t="s">
        <v>1366</v>
      </c>
      <c r="I797" t="s">
        <v>409</v>
      </c>
      <c r="J797" t="s">
        <v>410</v>
      </c>
      <c r="K797" t="str">
        <f t="shared" si="45"/>
        <v>JARED KINYUA</v>
      </c>
      <c r="L797" s="1">
        <v>45608</v>
      </c>
      <c r="M797" s="1">
        <v>46034</v>
      </c>
      <c r="N797" s="2">
        <v>94.25</v>
      </c>
      <c r="O797">
        <f t="shared" si="44"/>
        <v>14</v>
      </c>
      <c r="P797" t="s">
        <v>1370</v>
      </c>
      <c r="Q797" s="4">
        <v>0.06</v>
      </c>
      <c r="R797" t="s">
        <v>60</v>
      </c>
      <c r="S797" t="s">
        <v>61</v>
      </c>
      <c r="T797" s="2">
        <v>5.66</v>
      </c>
      <c r="U797" t="s">
        <v>87</v>
      </c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</row>
    <row r="798" spans="1:51" s="5" customFormat="1" x14ac:dyDescent="0.25">
      <c r="A798">
        <v>2025639664</v>
      </c>
      <c r="B798" t="s">
        <v>784</v>
      </c>
      <c r="C798" t="s">
        <v>137</v>
      </c>
      <c r="D798" t="str">
        <f t="shared" si="43"/>
        <v>JAMES LIGON</v>
      </c>
      <c r="E798" t="s">
        <v>515</v>
      </c>
      <c r="F798" t="s">
        <v>126</v>
      </c>
      <c r="G798" t="s">
        <v>127</v>
      </c>
      <c r="H798">
        <v>8977234</v>
      </c>
      <c r="I798" t="s">
        <v>81</v>
      </c>
      <c r="J798" t="s">
        <v>82</v>
      </c>
      <c r="K798" t="str">
        <f t="shared" si="45"/>
        <v>RYAN CALTAGIRONE</v>
      </c>
      <c r="L798" s="1">
        <v>45602</v>
      </c>
      <c r="M798" s="1">
        <v>46028</v>
      </c>
      <c r="N798" s="2">
        <v>23.39</v>
      </c>
      <c r="O798">
        <f t="shared" si="44"/>
        <v>14</v>
      </c>
      <c r="P798" t="s">
        <v>1370</v>
      </c>
      <c r="Q798" s="4">
        <v>0.15</v>
      </c>
      <c r="R798" t="s">
        <v>60</v>
      </c>
      <c r="S798" t="s">
        <v>61</v>
      </c>
      <c r="T798" s="2">
        <v>3.51</v>
      </c>
      <c r="U798" t="s">
        <v>127</v>
      </c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</row>
    <row r="799" spans="1:51" s="5" customFormat="1" x14ac:dyDescent="0.25">
      <c r="A799">
        <v>2025639663</v>
      </c>
      <c r="B799" t="s">
        <v>784</v>
      </c>
      <c r="C799" t="s">
        <v>137</v>
      </c>
      <c r="D799" t="str">
        <f t="shared" si="43"/>
        <v>JAMES LIGON</v>
      </c>
      <c r="E799" t="s">
        <v>515</v>
      </c>
      <c r="F799" t="s">
        <v>75</v>
      </c>
      <c r="G799" t="s">
        <v>76</v>
      </c>
      <c r="H799">
        <v>8977234</v>
      </c>
      <c r="I799" t="s">
        <v>81</v>
      </c>
      <c r="J799" t="s">
        <v>82</v>
      </c>
      <c r="K799" t="str">
        <f t="shared" si="45"/>
        <v>RYAN CALTAGIRONE</v>
      </c>
      <c r="L799" s="1">
        <v>45602</v>
      </c>
      <c r="M799" s="1">
        <v>46028</v>
      </c>
      <c r="N799" s="2">
        <v>94.78</v>
      </c>
      <c r="O799">
        <f t="shared" si="44"/>
        <v>14</v>
      </c>
      <c r="P799" t="s">
        <v>1370</v>
      </c>
      <c r="Q799" s="4">
        <v>0.1</v>
      </c>
      <c r="R799" t="s">
        <v>60</v>
      </c>
      <c r="S799" t="s">
        <v>61</v>
      </c>
      <c r="T799" s="2">
        <v>9.48</v>
      </c>
      <c r="U799" t="s">
        <v>1371</v>
      </c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</row>
    <row r="800" spans="1:51" s="5" customFormat="1" x14ac:dyDescent="0.25">
      <c r="A800">
        <v>2025639665</v>
      </c>
      <c r="B800" t="s">
        <v>784</v>
      </c>
      <c r="C800" t="s">
        <v>137</v>
      </c>
      <c r="D800" t="str">
        <f t="shared" si="43"/>
        <v>JAMES LIGON</v>
      </c>
      <c r="E800" t="s">
        <v>515</v>
      </c>
      <c r="F800" t="s">
        <v>126</v>
      </c>
      <c r="G800" t="s">
        <v>132</v>
      </c>
      <c r="H800">
        <v>8977234</v>
      </c>
      <c r="I800" t="s">
        <v>81</v>
      </c>
      <c r="J800" t="s">
        <v>82</v>
      </c>
      <c r="K800" t="str">
        <f t="shared" si="45"/>
        <v>RYAN CALTAGIRONE</v>
      </c>
      <c r="L800" s="1">
        <v>45602</v>
      </c>
      <c r="M800" s="1">
        <v>46028</v>
      </c>
      <c r="N800" s="2">
        <v>29.1</v>
      </c>
      <c r="O800">
        <f t="shared" si="44"/>
        <v>14</v>
      </c>
      <c r="P800" t="s">
        <v>1370</v>
      </c>
      <c r="Q800" s="4">
        <v>0.15</v>
      </c>
      <c r="R800" t="s">
        <v>60</v>
      </c>
      <c r="S800" t="s">
        <v>61</v>
      </c>
      <c r="T800" s="2">
        <v>4.3600000000000003</v>
      </c>
      <c r="U800" t="s">
        <v>132</v>
      </c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</row>
    <row r="801" spans="1:51" s="5" customFormat="1" x14ac:dyDescent="0.25">
      <c r="A801">
        <v>2025046019</v>
      </c>
      <c r="B801" t="s">
        <v>651</v>
      </c>
      <c r="C801" t="s">
        <v>652</v>
      </c>
      <c r="D801" t="str">
        <f t="shared" si="43"/>
        <v>JOAQUIN TRAVERSO-RODRIQUEZ</v>
      </c>
      <c r="E801" t="s">
        <v>52</v>
      </c>
      <c r="F801" t="s">
        <v>365</v>
      </c>
      <c r="G801" t="s">
        <v>366</v>
      </c>
      <c r="H801">
        <v>19278370</v>
      </c>
      <c r="I801" t="s">
        <v>187</v>
      </c>
      <c r="J801" t="s">
        <v>188</v>
      </c>
      <c r="K801" t="str">
        <f t="shared" si="45"/>
        <v>ANNE MARIE KOZACHECK</v>
      </c>
      <c r="L801" s="1">
        <v>45566</v>
      </c>
      <c r="M801" s="1">
        <v>46023</v>
      </c>
      <c r="N801" s="2">
        <v>80.319999999999993</v>
      </c>
      <c r="O801">
        <f t="shared" si="44"/>
        <v>15</v>
      </c>
      <c r="P801" t="s">
        <v>1370</v>
      </c>
      <c r="Q801" s="4">
        <v>0.1</v>
      </c>
      <c r="R801" t="s">
        <v>60</v>
      </c>
      <c r="S801" t="s">
        <v>61</v>
      </c>
      <c r="T801" s="2">
        <v>8.0299999999999994</v>
      </c>
      <c r="U801" t="s">
        <v>366</v>
      </c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</row>
    <row r="802" spans="1:51" s="5" customFormat="1" x14ac:dyDescent="0.25">
      <c r="A802">
        <v>2025046020</v>
      </c>
      <c r="B802" t="s">
        <v>651</v>
      </c>
      <c r="C802" t="s">
        <v>652</v>
      </c>
      <c r="D802" t="str">
        <f t="shared" si="43"/>
        <v>JOAQUIN TRAVERSO-RODRIQUEZ</v>
      </c>
      <c r="E802" t="s">
        <v>52</v>
      </c>
      <c r="F802" t="s">
        <v>53</v>
      </c>
      <c r="G802" t="s">
        <v>722</v>
      </c>
      <c r="H802">
        <v>19278370</v>
      </c>
      <c r="I802" t="s">
        <v>187</v>
      </c>
      <c r="J802" t="s">
        <v>188</v>
      </c>
      <c r="K802" t="str">
        <f t="shared" si="45"/>
        <v>ANNE MARIE KOZACHECK</v>
      </c>
      <c r="L802" s="1">
        <v>45566</v>
      </c>
      <c r="M802" s="1">
        <v>46023</v>
      </c>
      <c r="N802" s="2">
        <v>88.27</v>
      </c>
      <c r="O802">
        <f t="shared" si="44"/>
        <v>15</v>
      </c>
      <c r="P802" t="s">
        <v>1370</v>
      </c>
      <c r="Q802" s="3">
        <v>6.5000000000000002E-2</v>
      </c>
      <c r="R802" t="s">
        <v>60</v>
      </c>
      <c r="S802" t="s">
        <v>61</v>
      </c>
      <c r="T802" s="2">
        <v>5.74</v>
      </c>
      <c r="U802" t="s">
        <v>726</v>
      </c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</row>
    <row r="803" spans="1:51" s="5" customFormat="1" x14ac:dyDescent="0.25">
      <c r="A803">
        <v>2025271292</v>
      </c>
      <c r="B803" t="s">
        <v>655</v>
      </c>
      <c r="C803" t="s">
        <v>656</v>
      </c>
      <c r="D803" t="str">
        <f t="shared" si="43"/>
        <v>JESSICA MULLER</v>
      </c>
      <c r="E803" t="s">
        <v>52</v>
      </c>
      <c r="F803" t="s">
        <v>365</v>
      </c>
      <c r="G803" t="s">
        <v>366</v>
      </c>
      <c r="H803">
        <v>17425766</v>
      </c>
      <c r="I803" t="s">
        <v>88</v>
      </c>
      <c r="J803" t="s">
        <v>89</v>
      </c>
      <c r="K803" t="str">
        <f t="shared" si="45"/>
        <v>CAROL FOLEY</v>
      </c>
      <c r="L803" s="1">
        <v>45577</v>
      </c>
      <c r="M803" s="1">
        <v>46034</v>
      </c>
      <c r="N803" s="2">
        <v>89.62</v>
      </c>
      <c r="O803">
        <f t="shared" si="44"/>
        <v>15</v>
      </c>
      <c r="P803" t="s">
        <v>1370</v>
      </c>
      <c r="Q803" s="4">
        <v>0.1</v>
      </c>
      <c r="R803" t="s">
        <v>60</v>
      </c>
      <c r="S803" t="s">
        <v>61</v>
      </c>
      <c r="T803" s="2">
        <v>8.9600000000000009</v>
      </c>
      <c r="U803" t="s">
        <v>366</v>
      </c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</row>
    <row r="804" spans="1:51" s="5" customFormat="1" x14ac:dyDescent="0.25">
      <c r="A804">
        <v>2024578754</v>
      </c>
      <c r="B804" t="s">
        <v>1290</v>
      </c>
      <c r="C804" t="s">
        <v>1291</v>
      </c>
      <c r="D804" t="str">
        <f t="shared" si="43"/>
        <v>JEANNE FORBES-SNIVELY</v>
      </c>
      <c r="E804" t="s">
        <v>52</v>
      </c>
      <c r="F804" t="s">
        <v>169</v>
      </c>
      <c r="G804" t="s">
        <v>170</v>
      </c>
      <c r="H804">
        <v>17528908</v>
      </c>
      <c r="I804" t="s">
        <v>183</v>
      </c>
      <c r="J804" t="s">
        <v>184</v>
      </c>
      <c r="K804" t="str">
        <f t="shared" si="45"/>
        <v>DEBORAH INSKIPT</v>
      </c>
      <c r="L804" s="1">
        <v>45566</v>
      </c>
      <c r="M804" s="1">
        <v>46023</v>
      </c>
      <c r="N804" s="2">
        <v>33.590000000000003</v>
      </c>
      <c r="O804">
        <f t="shared" si="44"/>
        <v>15</v>
      </c>
      <c r="P804" t="s">
        <v>1370</v>
      </c>
      <c r="Q804" s="3">
        <v>5.2499999999999998E-2</v>
      </c>
      <c r="R804" t="s">
        <v>60</v>
      </c>
      <c r="S804" t="s">
        <v>61</v>
      </c>
      <c r="T804" s="2">
        <v>1.76</v>
      </c>
      <c r="U804" t="s">
        <v>170</v>
      </c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</row>
    <row r="805" spans="1:51" s="5" customFormat="1" x14ac:dyDescent="0.25">
      <c r="A805">
        <v>2024899507</v>
      </c>
      <c r="B805" t="s">
        <v>979</v>
      </c>
      <c r="C805" t="s">
        <v>980</v>
      </c>
      <c r="D805" t="str">
        <f t="shared" si="43"/>
        <v>MARIANO DOBLE</v>
      </c>
      <c r="E805" t="s">
        <v>408</v>
      </c>
      <c r="F805" t="s">
        <v>126</v>
      </c>
      <c r="G805" t="s">
        <v>132</v>
      </c>
      <c r="H805">
        <v>8307933</v>
      </c>
      <c r="I805" t="s">
        <v>246</v>
      </c>
      <c r="J805" t="s">
        <v>247</v>
      </c>
      <c r="K805" t="str">
        <f t="shared" si="45"/>
        <v>GREGORY TEIPEL</v>
      </c>
      <c r="L805" s="1">
        <v>45571</v>
      </c>
      <c r="M805" s="1">
        <v>46028</v>
      </c>
      <c r="N805" s="2">
        <v>34.340000000000003</v>
      </c>
      <c r="O805">
        <f t="shared" si="44"/>
        <v>15</v>
      </c>
      <c r="P805" t="s">
        <v>1370</v>
      </c>
      <c r="Q805" s="4">
        <v>0.15</v>
      </c>
      <c r="R805" t="s">
        <v>60</v>
      </c>
      <c r="S805" t="s">
        <v>61</v>
      </c>
      <c r="T805" s="2">
        <v>5.15</v>
      </c>
      <c r="U805" t="s">
        <v>132</v>
      </c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</row>
    <row r="806" spans="1:51" s="5" customFormat="1" x14ac:dyDescent="0.25">
      <c r="A806">
        <v>2025049457</v>
      </c>
      <c r="B806" t="s">
        <v>1066</v>
      </c>
      <c r="C806" t="s">
        <v>1067</v>
      </c>
      <c r="D806" t="str">
        <f t="shared" si="43"/>
        <v>DAWOOD HANASH</v>
      </c>
      <c r="E806" t="s">
        <v>102</v>
      </c>
      <c r="F806" t="s">
        <v>126</v>
      </c>
      <c r="G806" t="s">
        <v>132</v>
      </c>
      <c r="H806">
        <v>8307933</v>
      </c>
      <c r="I806" t="s">
        <v>246</v>
      </c>
      <c r="J806" t="s">
        <v>247</v>
      </c>
      <c r="K806" t="str">
        <f t="shared" si="45"/>
        <v>GREGORY TEIPEL</v>
      </c>
      <c r="L806" s="1">
        <v>45572</v>
      </c>
      <c r="M806" s="1">
        <v>46029</v>
      </c>
      <c r="N806" s="2">
        <v>59.4</v>
      </c>
      <c r="O806">
        <f t="shared" si="44"/>
        <v>15</v>
      </c>
      <c r="P806" t="s">
        <v>1370</v>
      </c>
      <c r="Q806" s="4">
        <v>0.15</v>
      </c>
      <c r="R806" t="s">
        <v>60</v>
      </c>
      <c r="S806" t="s">
        <v>61</v>
      </c>
      <c r="T806" s="2">
        <v>8.91</v>
      </c>
      <c r="U806" t="s">
        <v>132</v>
      </c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</row>
    <row r="807" spans="1:51" s="5" customFormat="1" x14ac:dyDescent="0.25">
      <c r="A807">
        <v>2024899509</v>
      </c>
      <c r="B807" t="s">
        <v>979</v>
      </c>
      <c r="C807" t="s">
        <v>980</v>
      </c>
      <c r="D807" t="str">
        <f t="shared" si="43"/>
        <v>MARIANO DOBLE</v>
      </c>
      <c r="E807" t="s">
        <v>408</v>
      </c>
      <c r="F807" t="s">
        <v>86</v>
      </c>
      <c r="G807" t="s">
        <v>87</v>
      </c>
      <c r="H807">
        <v>8307933</v>
      </c>
      <c r="I807" t="s">
        <v>246</v>
      </c>
      <c r="J807" t="s">
        <v>247</v>
      </c>
      <c r="K807" t="str">
        <f t="shared" si="45"/>
        <v>GREGORY TEIPEL</v>
      </c>
      <c r="L807" s="1">
        <v>45571</v>
      </c>
      <c r="M807" s="1">
        <v>46028</v>
      </c>
      <c r="N807" s="2">
        <v>49.55</v>
      </c>
      <c r="O807">
        <f t="shared" si="44"/>
        <v>15</v>
      </c>
      <c r="P807" t="s">
        <v>1370</v>
      </c>
      <c r="Q807" s="4">
        <v>0.06</v>
      </c>
      <c r="R807" t="s">
        <v>60</v>
      </c>
      <c r="S807" t="s">
        <v>61</v>
      </c>
      <c r="T807" s="2">
        <v>2.97</v>
      </c>
      <c r="U807" t="s">
        <v>87</v>
      </c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</row>
    <row r="808" spans="1:51" s="5" customFormat="1" x14ac:dyDescent="0.25">
      <c r="A808">
        <v>2024899508</v>
      </c>
      <c r="B808" t="s">
        <v>979</v>
      </c>
      <c r="C808" t="s">
        <v>980</v>
      </c>
      <c r="D808" t="str">
        <f t="shared" si="43"/>
        <v>MARIANO DOBLE</v>
      </c>
      <c r="E808" t="s">
        <v>408</v>
      </c>
      <c r="F808" t="s">
        <v>126</v>
      </c>
      <c r="G808" t="s">
        <v>375</v>
      </c>
      <c r="H808">
        <v>8307933</v>
      </c>
      <c r="I808" t="s">
        <v>246</v>
      </c>
      <c r="J808" t="s">
        <v>247</v>
      </c>
      <c r="K808" t="str">
        <f t="shared" si="45"/>
        <v>GREGORY TEIPEL</v>
      </c>
      <c r="L808" s="1">
        <v>45571</v>
      </c>
      <c r="M808" s="1">
        <v>46028</v>
      </c>
      <c r="N808" s="2">
        <v>29.25</v>
      </c>
      <c r="O808">
        <f t="shared" si="44"/>
        <v>15</v>
      </c>
      <c r="P808" t="s">
        <v>1370</v>
      </c>
      <c r="Q808" s="4">
        <v>0.1</v>
      </c>
      <c r="R808" t="s">
        <v>60</v>
      </c>
      <c r="S808" t="s">
        <v>61</v>
      </c>
      <c r="T808" s="2">
        <v>2.92</v>
      </c>
      <c r="U808" t="s">
        <v>375</v>
      </c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</row>
    <row r="809" spans="1:51" s="5" customFormat="1" x14ac:dyDescent="0.25">
      <c r="A809">
        <v>2025222898</v>
      </c>
      <c r="B809" t="s">
        <v>653</v>
      </c>
      <c r="C809" t="s">
        <v>654</v>
      </c>
      <c r="D809" t="str">
        <f t="shared" si="43"/>
        <v>EARNEST WILLIAMS</v>
      </c>
      <c r="E809" t="s">
        <v>74</v>
      </c>
      <c r="F809" t="s">
        <v>290</v>
      </c>
      <c r="G809" t="s">
        <v>295</v>
      </c>
      <c r="H809">
        <v>18781057</v>
      </c>
      <c r="I809" t="s">
        <v>70</v>
      </c>
      <c r="J809" t="s">
        <v>71</v>
      </c>
      <c r="K809" t="str">
        <f t="shared" si="45"/>
        <v>JOHN ROKEN</v>
      </c>
      <c r="L809" s="1">
        <v>45574</v>
      </c>
      <c r="M809" s="1">
        <v>46031</v>
      </c>
      <c r="N809" s="2">
        <v>15</v>
      </c>
      <c r="O809">
        <f t="shared" si="44"/>
        <v>15</v>
      </c>
      <c r="P809" t="s">
        <v>1370</v>
      </c>
      <c r="Q809" s="4">
        <v>0.1</v>
      </c>
      <c r="R809" t="s">
        <v>60</v>
      </c>
      <c r="S809" t="s">
        <v>61</v>
      </c>
      <c r="T809" s="2">
        <v>1.5</v>
      </c>
      <c r="U809" t="s">
        <v>295</v>
      </c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</row>
    <row r="810" spans="1:51" s="5" customFormat="1" x14ac:dyDescent="0.25">
      <c r="A810">
        <v>2025222896</v>
      </c>
      <c r="B810" t="s">
        <v>653</v>
      </c>
      <c r="C810" t="s">
        <v>654</v>
      </c>
      <c r="D810" t="str">
        <f t="shared" si="43"/>
        <v>EARNEST WILLIAMS</v>
      </c>
      <c r="E810" t="s">
        <v>74</v>
      </c>
      <c r="F810" t="s">
        <v>365</v>
      </c>
      <c r="G810" t="s">
        <v>366</v>
      </c>
      <c r="H810">
        <v>18781057</v>
      </c>
      <c r="I810" t="s">
        <v>70</v>
      </c>
      <c r="J810" t="s">
        <v>71</v>
      </c>
      <c r="K810" t="str">
        <f t="shared" si="45"/>
        <v>JOHN ROKEN</v>
      </c>
      <c r="L810" s="1">
        <v>45574</v>
      </c>
      <c r="M810" s="1">
        <v>46031</v>
      </c>
      <c r="N810" s="2">
        <v>31.64</v>
      </c>
      <c r="O810">
        <f t="shared" si="44"/>
        <v>15</v>
      </c>
      <c r="P810" t="s">
        <v>1370</v>
      </c>
      <c r="Q810" s="4">
        <v>0.1</v>
      </c>
      <c r="R810" t="s">
        <v>60</v>
      </c>
      <c r="S810" t="s">
        <v>61</v>
      </c>
      <c r="T810" s="2">
        <v>3.16</v>
      </c>
      <c r="U810" t="s">
        <v>366</v>
      </c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</row>
    <row r="811" spans="1:51" s="5" customFormat="1" x14ac:dyDescent="0.25">
      <c r="A811">
        <v>2025222897</v>
      </c>
      <c r="B811" t="s">
        <v>653</v>
      </c>
      <c r="C811" t="s">
        <v>654</v>
      </c>
      <c r="D811" t="str">
        <f t="shared" si="43"/>
        <v>EARNEST WILLIAMS</v>
      </c>
      <c r="E811" t="s">
        <v>74</v>
      </c>
      <c r="F811" t="s">
        <v>126</v>
      </c>
      <c r="G811" t="s">
        <v>132</v>
      </c>
      <c r="H811">
        <v>18781057</v>
      </c>
      <c r="I811" t="s">
        <v>70</v>
      </c>
      <c r="J811" t="s">
        <v>71</v>
      </c>
      <c r="K811" t="str">
        <f t="shared" si="45"/>
        <v>JOHN ROKEN</v>
      </c>
      <c r="L811" s="1">
        <v>45574</v>
      </c>
      <c r="M811" s="1">
        <v>46031</v>
      </c>
      <c r="N811" s="2">
        <v>22</v>
      </c>
      <c r="O811">
        <f t="shared" si="44"/>
        <v>15</v>
      </c>
      <c r="P811" t="s">
        <v>1370</v>
      </c>
      <c r="Q811" s="4">
        <v>0.15</v>
      </c>
      <c r="R811" t="s">
        <v>60</v>
      </c>
      <c r="S811" t="s">
        <v>61</v>
      </c>
      <c r="T811" s="2">
        <v>3.3</v>
      </c>
      <c r="U811" t="s">
        <v>132</v>
      </c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</row>
    <row r="812" spans="1:51" s="5" customFormat="1" x14ac:dyDescent="0.25">
      <c r="A812">
        <v>2025041359</v>
      </c>
      <c r="B812" t="s">
        <v>985</v>
      </c>
      <c r="C812" t="s">
        <v>986</v>
      </c>
      <c r="D812" t="str">
        <f t="shared" si="43"/>
        <v>RHONDA HUGHES</v>
      </c>
      <c r="E812" t="s">
        <v>135</v>
      </c>
      <c r="F812" t="s">
        <v>126</v>
      </c>
      <c r="G812" t="s">
        <v>127</v>
      </c>
      <c r="H812">
        <v>8977234</v>
      </c>
      <c r="I812" t="s">
        <v>81</v>
      </c>
      <c r="J812" t="s">
        <v>82</v>
      </c>
      <c r="K812" t="str">
        <f t="shared" si="45"/>
        <v>RYAN CALTAGIRONE</v>
      </c>
      <c r="L812" s="1">
        <v>45566</v>
      </c>
      <c r="M812" s="1">
        <v>46023</v>
      </c>
      <c r="N812" s="2">
        <v>-25.73</v>
      </c>
      <c r="O812">
        <f t="shared" si="44"/>
        <v>15</v>
      </c>
      <c r="P812" t="s">
        <v>1370</v>
      </c>
      <c r="Q812" s="4">
        <v>0.15</v>
      </c>
      <c r="R812" t="s">
        <v>60</v>
      </c>
      <c r="S812" t="s">
        <v>61</v>
      </c>
      <c r="T812" s="2">
        <v>-3.86</v>
      </c>
      <c r="U812" t="s">
        <v>127</v>
      </c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</row>
    <row r="813" spans="1:51" s="5" customFormat="1" x14ac:dyDescent="0.25">
      <c r="A813">
        <v>2025041358</v>
      </c>
      <c r="B813" t="s">
        <v>985</v>
      </c>
      <c r="C813" t="s">
        <v>986</v>
      </c>
      <c r="D813" t="str">
        <f t="shared" si="43"/>
        <v>RHONDA HUGHES</v>
      </c>
      <c r="E813" t="s">
        <v>135</v>
      </c>
      <c r="F813" t="s">
        <v>126</v>
      </c>
      <c r="G813" t="s">
        <v>132</v>
      </c>
      <c r="H813">
        <v>8977234</v>
      </c>
      <c r="I813" t="s">
        <v>81</v>
      </c>
      <c r="J813" t="s">
        <v>82</v>
      </c>
      <c r="K813" t="str">
        <f t="shared" si="45"/>
        <v>RYAN CALTAGIRONE</v>
      </c>
      <c r="L813" s="1">
        <v>45566</v>
      </c>
      <c r="M813" s="1">
        <v>46023</v>
      </c>
      <c r="N813" s="2">
        <v>-204.88</v>
      </c>
      <c r="O813">
        <f t="shared" si="44"/>
        <v>15</v>
      </c>
      <c r="P813" t="s">
        <v>1370</v>
      </c>
      <c r="Q813" s="4">
        <v>0.15</v>
      </c>
      <c r="R813" t="s">
        <v>60</v>
      </c>
      <c r="S813" t="s">
        <v>61</v>
      </c>
      <c r="T813" s="2">
        <v>-30.73</v>
      </c>
      <c r="U813" t="s">
        <v>132</v>
      </c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</row>
    <row r="814" spans="1:51" s="5" customFormat="1" x14ac:dyDescent="0.25">
      <c r="A814">
        <v>2024984936</v>
      </c>
      <c r="B814" t="s">
        <v>981</v>
      </c>
      <c r="C814" t="s">
        <v>982</v>
      </c>
      <c r="D814" t="str">
        <f t="shared" si="43"/>
        <v>KATHRYN COPPLE</v>
      </c>
      <c r="E814" t="s">
        <v>102</v>
      </c>
      <c r="F814" t="s">
        <v>86</v>
      </c>
      <c r="G814" t="s">
        <v>87</v>
      </c>
      <c r="H814">
        <v>8977234</v>
      </c>
      <c r="I814" t="s">
        <v>81</v>
      </c>
      <c r="J814" t="s">
        <v>82</v>
      </c>
      <c r="K814" t="str">
        <f t="shared" si="45"/>
        <v>RYAN CALTAGIRONE</v>
      </c>
      <c r="L814" s="1">
        <v>45575</v>
      </c>
      <c r="M814" s="1">
        <v>46032</v>
      </c>
      <c r="N814" s="2">
        <v>107.98</v>
      </c>
      <c r="O814">
        <f t="shared" si="44"/>
        <v>15</v>
      </c>
      <c r="P814" t="s">
        <v>1370</v>
      </c>
      <c r="Q814" s="4">
        <v>0.06</v>
      </c>
      <c r="R814" t="s">
        <v>60</v>
      </c>
      <c r="S814" t="s">
        <v>61</v>
      </c>
      <c r="T814" s="2">
        <v>6.48</v>
      </c>
      <c r="U814" t="s">
        <v>87</v>
      </c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</row>
    <row r="815" spans="1:51" s="5" customFormat="1" x14ac:dyDescent="0.25">
      <c r="A815">
        <v>2025041360</v>
      </c>
      <c r="B815" t="s">
        <v>985</v>
      </c>
      <c r="C815" t="s">
        <v>986</v>
      </c>
      <c r="D815" t="str">
        <f t="shared" si="43"/>
        <v>RHONDA HUGHES</v>
      </c>
      <c r="E815" t="s">
        <v>135</v>
      </c>
      <c r="F815" t="s">
        <v>86</v>
      </c>
      <c r="G815" t="s">
        <v>87</v>
      </c>
      <c r="H815">
        <v>8977234</v>
      </c>
      <c r="I815" t="s">
        <v>81</v>
      </c>
      <c r="J815" t="s">
        <v>82</v>
      </c>
      <c r="K815" t="str">
        <f t="shared" si="45"/>
        <v>RYAN CALTAGIRONE</v>
      </c>
      <c r="L815" s="1">
        <v>45566</v>
      </c>
      <c r="M815" s="1">
        <v>46023</v>
      </c>
      <c r="N815" s="2">
        <v>-35.39</v>
      </c>
      <c r="O815">
        <f t="shared" si="44"/>
        <v>15</v>
      </c>
      <c r="P815" t="s">
        <v>1370</v>
      </c>
      <c r="Q815" s="4">
        <v>0.06</v>
      </c>
      <c r="R815" t="s">
        <v>60</v>
      </c>
      <c r="S815" t="s">
        <v>61</v>
      </c>
      <c r="T815" s="2">
        <v>-2.12</v>
      </c>
      <c r="U815" t="s">
        <v>87</v>
      </c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</row>
    <row r="816" spans="1:51" s="5" customFormat="1" x14ac:dyDescent="0.25">
      <c r="A816">
        <v>2024244626</v>
      </c>
      <c r="B816" t="s">
        <v>1286</v>
      </c>
      <c r="C816" t="s">
        <v>1287</v>
      </c>
      <c r="D816" t="str">
        <f t="shared" si="43"/>
        <v>JODIE MEROW</v>
      </c>
      <c r="E816" t="s">
        <v>52</v>
      </c>
      <c r="F816" t="s">
        <v>169</v>
      </c>
      <c r="G816" t="s">
        <v>170</v>
      </c>
      <c r="H816">
        <v>19278370</v>
      </c>
      <c r="I816" t="s">
        <v>187</v>
      </c>
      <c r="J816" t="s">
        <v>188</v>
      </c>
      <c r="K816" t="str">
        <f t="shared" si="45"/>
        <v>ANNE MARIE KOZACHECK</v>
      </c>
      <c r="L816" s="1">
        <v>45536</v>
      </c>
      <c r="M816" s="1">
        <v>46023</v>
      </c>
      <c r="N816" s="2">
        <v>56.88</v>
      </c>
      <c r="O816">
        <f t="shared" si="44"/>
        <v>16</v>
      </c>
      <c r="P816" t="s">
        <v>1370</v>
      </c>
      <c r="Q816" s="3">
        <v>5.2499999999999998E-2</v>
      </c>
      <c r="R816" t="s">
        <v>60</v>
      </c>
      <c r="S816" t="s">
        <v>61</v>
      </c>
      <c r="T816" s="2">
        <v>2.99</v>
      </c>
      <c r="U816" t="s">
        <v>170</v>
      </c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</row>
    <row r="817" spans="1:51" s="5" customFormat="1" x14ac:dyDescent="0.25">
      <c r="A817">
        <v>2024639374</v>
      </c>
      <c r="B817" t="s">
        <v>584</v>
      </c>
      <c r="C817" t="s">
        <v>976</v>
      </c>
      <c r="D817" t="str">
        <f t="shared" si="43"/>
        <v>KOURTNEY VICKERS</v>
      </c>
      <c r="E817" t="s">
        <v>585</v>
      </c>
      <c r="F817" t="s">
        <v>86</v>
      </c>
      <c r="G817" t="s">
        <v>87</v>
      </c>
      <c r="H817">
        <v>17425766</v>
      </c>
      <c r="I817" t="s">
        <v>88</v>
      </c>
      <c r="J817" t="s">
        <v>89</v>
      </c>
      <c r="K817" t="str">
        <f t="shared" si="45"/>
        <v>CAROL FOLEY</v>
      </c>
      <c r="L817" s="1">
        <v>45536</v>
      </c>
      <c r="M817" s="1">
        <v>46023</v>
      </c>
      <c r="N817" s="2">
        <v>-88.88</v>
      </c>
      <c r="O817">
        <f t="shared" si="44"/>
        <v>16</v>
      </c>
      <c r="P817" t="s">
        <v>1370</v>
      </c>
      <c r="Q817" s="4">
        <v>0.06</v>
      </c>
      <c r="R817" t="s">
        <v>60</v>
      </c>
      <c r="S817" t="s">
        <v>61</v>
      </c>
      <c r="T817" s="2">
        <v>-5.33</v>
      </c>
      <c r="U817" t="s">
        <v>87</v>
      </c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</row>
    <row r="818" spans="1:51" s="5" customFormat="1" x14ac:dyDescent="0.25">
      <c r="A818">
        <v>2024779716</v>
      </c>
      <c r="B818" t="s">
        <v>977</v>
      </c>
      <c r="C818" t="s">
        <v>978</v>
      </c>
      <c r="D818" t="str">
        <f t="shared" si="43"/>
        <v>LUCY SHEN</v>
      </c>
      <c r="E818" t="s">
        <v>52</v>
      </c>
      <c r="F818" t="s">
        <v>86</v>
      </c>
      <c r="G818" t="s">
        <v>87</v>
      </c>
      <c r="H818">
        <v>17528908</v>
      </c>
      <c r="I818" t="s">
        <v>183</v>
      </c>
      <c r="J818" t="s">
        <v>184</v>
      </c>
      <c r="K818" t="str">
        <f t="shared" si="45"/>
        <v>DEBORAH INSKIPT</v>
      </c>
      <c r="L818" s="1">
        <v>45545</v>
      </c>
      <c r="M818" s="1">
        <v>46032</v>
      </c>
      <c r="N818" s="2">
        <v>49.98</v>
      </c>
      <c r="O818">
        <f t="shared" si="44"/>
        <v>16</v>
      </c>
      <c r="P818" t="s">
        <v>1370</v>
      </c>
      <c r="Q818" s="4">
        <v>0.06</v>
      </c>
      <c r="R818" t="s">
        <v>60</v>
      </c>
      <c r="S818" t="s">
        <v>61</v>
      </c>
      <c r="T818" s="2">
        <v>3</v>
      </c>
      <c r="U818" t="s">
        <v>87</v>
      </c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</row>
    <row r="819" spans="1:51" s="5" customFormat="1" x14ac:dyDescent="0.25">
      <c r="A819">
        <v>2024598450</v>
      </c>
      <c r="B819" t="s">
        <v>776</v>
      </c>
      <c r="C819" t="s">
        <v>777</v>
      </c>
      <c r="D819" t="str">
        <f t="shared" si="43"/>
        <v>KIMBERLEIGH MOTYKA</v>
      </c>
      <c r="E819" t="s">
        <v>102</v>
      </c>
      <c r="F819" t="s">
        <v>75</v>
      </c>
      <c r="G819" t="s">
        <v>76</v>
      </c>
      <c r="H819">
        <v>8307933</v>
      </c>
      <c r="I819" t="s">
        <v>246</v>
      </c>
      <c r="J819" t="s">
        <v>247</v>
      </c>
      <c r="K819" t="str">
        <f t="shared" si="45"/>
        <v>GREGORY TEIPEL</v>
      </c>
      <c r="L819" s="1">
        <v>45542</v>
      </c>
      <c r="M819" s="1">
        <v>46029</v>
      </c>
      <c r="N819" s="2">
        <v>90.76</v>
      </c>
      <c r="O819">
        <f t="shared" si="44"/>
        <v>16</v>
      </c>
      <c r="P819" t="s">
        <v>1370</v>
      </c>
      <c r="Q819" s="4">
        <v>0.1</v>
      </c>
      <c r="R819" t="s">
        <v>60</v>
      </c>
      <c r="S819" t="s">
        <v>61</v>
      </c>
      <c r="T819" s="2">
        <v>9.08</v>
      </c>
      <c r="U819" t="s">
        <v>1371</v>
      </c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</row>
    <row r="820" spans="1:51" s="5" customFormat="1" x14ac:dyDescent="0.25">
      <c r="A820">
        <v>2024598451</v>
      </c>
      <c r="B820" t="s">
        <v>776</v>
      </c>
      <c r="C820" t="s">
        <v>777</v>
      </c>
      <c r="D820" t="str">
        <f t="shared" si="43"/>
        <v>KIMBERLEIGH MOTYKA</v>
      </c>
      <c r="E820" t="s">
        <v>102</v>
      </c>
      <c r="F820" t="s">
        <v>126</v>
      </c>
      <c r="G820" t="s">
        <v>375</v>
      </c>
      <c r="H820">
        <v>8307933</v>
      </c>
      <c r="I820" t="s">
        <v>246</v>
      </c>
      <c r="J820" t="s">
        <v>247</v>
      </c>
      <c r="K820" t="str">
        <f t="shared" si="45"/>
        <v>GREGORY TEIPEL</v>
      </c>
      <c r="L820" s="1">
        <v>45542</v>
      </c>
      <c r="M820" s="1">
        <v>46029</v>
      </c>
      <c r="N820" s="2">
        <v>51.63</v>
      </c>
      <c r="O820">
        <f t="shared" si="44"/>
        <v>16</v>
      </c>
      <c r="P820" t="s">
        <v>1370</v>
      </c>
      <c r="Q820" s="4">
        <v>0.1</v>
      </c>
      <c r="R820" t="s">
        <v>60</v>
      </c>
      <c r="S820" t="s">
        <v>61</v>
      </c>
      <c r="T820" s="2">
        <v>5.16</v>
      </c>
      <c r="U820" t="s">
        <v>375</v>
      </c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</row>
    <row r="821" spans="1:51" s="5" customFormat="1" x14ac:dyDescent="0.25">
      <c r="A821">
        <v>2024737147</v>
      </c>
      <c r="B821" t="s">
        <v>646</v>
      </c>
      <c r="C821" t="s">
        <v>647</v>
      </c>
      <c r="D821" t="str">
        <f t="shared" si="43"/>
        <v>JACLYN SHACKELFORD</v>
      </c>
      <c r="E821" t="s">
        <v>648</v>
      </c>
      <c r="F821" t="s">
        <v>365</v>
      </c>
      <c r="G821" t="s">
        <v>366</v>
      </c>
      <c r="H821">
        <v>18781057</v>
      </c>
      <c r="I821" t="s">
        <v>70</v>
      </c>
      <c r="J821" t="s">
        <v>71</v>
      </c>
      <c r="K821" t="str">
        <f t="shared" si="45"/>
        <v>JOHN ROKEN</v>
      </c>
      <c r="L821" s="1">
        <v>45541</v>
      </c>
      <c r="M821" s="1">
        <v>46028</v>
      </c>
      <c r="N821" s="2">
        <v>43.39</v>
      </c>
      <c r="O821">
        <f t="shared" si="44"/>
        <v>16</v>
      </c>
      <c r="P821" t="s">
        <v>1370</v>
      </c>
      <c r="Q821" s="4">
        <v>0.1</v>
      </c>
      <c r="R821" t="s">
        <v>60</v>
      </c>
      <c r="S821" t="s">
        <v>61</v>
      </c>
      <c r="T821" s="2">
        <v>4.34</v>
      </c>
      <c r="U821" t="s">
        <v>366</v>
      </c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</row>
    <row r="822" spans="1:51" s="5" customFormat="1" x14ac:dyDescent="0.25">
      <c r="A822">
        <v>2024752409</v>
      </c>
      <c r="B822" t="s">
        <v>649</v>
      </c>
      <c r="C822" t="s">
        <v>650</v>
      </c>
      <c r="D822" t="str">
        <f t="shared" si="43"/>
        <v>BRIANA WRIGHT</v>
      </c>
      <c r="E822" t="s">
        <v>648</v>
      </c>
      <c r="F822" t="s">
        <v>365</v>
      </c>
      <c r="G822" t="s">
        <v>366</v>
      </c>
      <c r="H822">
        <v>18781057</v>
      </c>
      <c r="I822" t="s">
        <v>70</v>
      </c>
      <c r="J822" t="s">
        <v>71</v>
      </c>
      <c r="K822" t="str">
        <f t="shared" si="45"/>
        <v>JOHN ROKEN</v>
      </c>
      <c r="L822" s="1">
        <v>45544</v>
      </c>
      <c r="M822" s="1">
        <v>46031</v>
      </c>
      <c r="N822" s="2">
        <v>20.76</v>
      </c>
      <c r="O822">
        <f t="shared" si="44"/>
        <v>16</v>
      </c>
      <c r="P822" t="s">
        <v>1370</v>
      </c>
      <c r="Q822" s="4">
        <v>0.1</v>
      </c>
      <c r="R822" t="s">
        <v>60</v>
      </c>
      <c r="S822" t="s">
        <v>61</v>
      </c>
      <c r="T822" s="2">
        <v>2.08</v>
      </c>
      <c r="U822" t="s">
        <v>366</v>
      </c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</row>
    <row r="823" spans="1:51" s="5" customFormat="1" x14ac:dyDescent="0.25">
      <c r="A823">
        <v>2024737148</v>
      </c>
      <c r="B823" t="s">
        <v>646</v>
      </c>
      <c r="C823" t="s">
        <v>647</v>
      </c>
      <c r="D823" t="str">
        <f t="shared" si="43"/>
        <v>JACLYN SHACKELFORD</v>
      </c>
      <c r="E823" t="s">
        <v>648</v>
      </c>
      <c r="F823" t="s">
        <v>53</v>
      </c>
      <c r="G823" t="s">
        <v>54</v>
      </c>
      <c r="H823">
        <v>18781057</v>
      </c>
      <c r="I823" t="s">
        <v>70</v>
      </c>
      <c r="J823" t="s">
        <v>71</v>
      </c>
      <c r="K823" t="str">
        <f t="shared" ref="K823:K854" si="46">CONCATENATE(J823," ",I823)</f>
        <v>JOHN ROKEN</v>
      </c>
      <c r="L823" s="1">
        <v>45541</v>
      </c>
      <c r="M823" s="1">
        <v>46028</v>
      </c>
      <c r="N823" s="2">
        <v>96.55</v>
      </c>
      <c r="O823">
        <f t="shared" si="44"/>
        <v>16</v>
      </c>
      <c r="P823" t="s">
        <v>1370</v>
      </c>
      <c r="Q823" s="3">
        <v>6.5000000000000002E-2</v>
      </c>
      <c r="R823" t="s">
        <v>60</v>
      </c>
      <c r="S823" t="s">
        <v>61</v>
      </c>
      <c r="T823" s="2">
        <v>6.28</v>
      </c>
      <c r="U823" t="s">
        <v>54</v>
      </c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</row>
    <row r="824" spans="1:51" s="5" customFormat="1" x14ac:dyDescent="0.25">
      <c r="A824">
        <v>2024752410</v>
      </c>
      <c r="B824" t="s">
        <v>649</v>
      </c>
      <c r="C824" t="s">
        <v>650</v>
      </c>
      <c r="D824" t="str">
        <f t="shared" si="43"/>
        <v>BRIANA WRIGHT</v>
      </c>
      <c r="E824" t="s">
        <v>648</v>
      </c>
      <c r="F824" t="s">
        <v>53</v>
      </c>
      <c r="G824" t="s">
        <v>54</v>
      </c>
      <c r="H824">
        <v>18781057</v>
      </c>
      <c r="I824" t="s">
        <v>70</v>
      </c>
      <c r="J824" t="s">
        <v>71</v>
      </c>
      <c r="K824" t="str">
        <f t="shared" si="46"/>
        <v>JOHN ROKEN</v>
      </c>
      <c r="L824" s="1">
        <v>45544</v>
      </c>
      <c r="M824" s="1">
        <v>46031</v>
      </c>
      <c r="N824" s="2">
        <v>40.159999999999997</v>
      </c>
      <c r="O824">
        <f t="shared" si="44"/>
        <v>16</v>
      </c>
      <c r="P824" t="s">
        <v>1370</v>
      </c>
      <c r="Q824" s="3">
        <v>6.5000000000000002E-2</v>
      </c>
      <c r="R824" t="s">
        <v>60</v>
      </c>
      <c r="S824" t="s">
        <v>61</v>
      </c>
      <c r="T824" s="2">
        <v>2.61</v>
      </c>
      <c r="U824" t="s">
        <v>54</v>
      </c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</row>
    <row r="825" spans="1:51" s="5" customFormat="1" x14ac:dyDescent="0.25">
      <c r="A825">
        <v>2024815771</v>
      </c>
      <c r="B825" t="s">
        <v>1062</v>
      </c>
      <c r="C825" t="s">
        <v>1063</v>
      </c>
      <c r="D825" t="str">
        <f t="shared" si="43"/>
        <v>BURMAN BADRAA</v>
      </c>
      <c r="E825" t="s">
        <v>102</v>
      </c>
      <c r="F825" t="s">
        <v>126</v>
      </c>
      <c r="G825" t="s">
        <v>132</v>
      </c>
      <c r="H825">
        <v>8977234</v>
      </c>
      <c r="I825" t="s">
        <v>81</v>
      </c>
      <c r="J825" t="s">
        <v>82</v>
      </c>
      <c r="K825" t="str">
        <f t="shared" si="46"/>
        <v>RYAN CALTAGIRONE</v>
      </c>
      <c r="L825" s="1">
        <v>45547</v>
      </c>
      <c r="M825" s="1">
        <v>46034</v>
      </c>
      <c r="N825" s="2">
        <v>51</v>
      </c>
      <c r="O825">
        <f t="shared" si="44"/>
        <v>16</v>
      </c>
      <c r="P825" t="s">
        <v>1370</v>
      </c>
      <c r="Q825" s="4">
        <v>0.15</v>
      </c>
      <c r="R825" t="s">
        <v>60</v>
      </c>
      <c r="S825" t="s">
        <v>61</v>
      </c>
      <c r="T825" s="2">
        <v>7.65</v>
      </c>
      <c r="U825" t="s">
        <v>132</v>
      </c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</row>
    <row r="826" spans="1:51" s="5" customFormat="1" x14ac:dyDescent="0.25">
      <c r="A826">
        <v>2024254141</v>
      </c>
      <c r="B826" t="s">
        <v>1288</v>
      </c>
      <c r="C826" t="s">
        <v>1289</v>
      </c>
      <c r="D826" t="str">
        <f t="shared" si="43"/>
        <v>HELAINE DUBACH</v>
      </c>
      <c r="E826" t="s">
        <v>52</v>
      </c>
      <c r="F826" t="s">
        <v>169</v>
      </c>
      <c r="G826" t="s">
        <v>170</v>
      </c>
      <c r="H826">
        <v>19278370</v>
      </c>
      <c r="I826" t="s">
        <v>187</v>
      </c>
      <c r="J826" t="s">
        <v>188</v>
      </c>
      <c r="K826" t="str">
        <f t="shared" si="46"/>
        <v>ANNE MARIE KOZACHECK</v>
      </c>
      <c r="L826" s="1">
        <v>45510</v>
      </c>
      <c r="M826" s="1">
        <v>46028</v>
      </c>
      <c r="N826" s="2">
        <v>45.54</v>
      </c>
      <c r="O826">
        <f t="shared" si="44"/>
        <v>17</v>
      </c>
      <c r="P826" t="s">
        <v>1370</v>
      </c>
      <c r="Q826" s="3">
        <v>5.2499999999999998E-2</v>
      </c>
      <c r="R826" t="s">
        <v>60</v>
      </c>
      <c r="S826" t="s">
        <v>61</v>
      </c>
      <c r="T826" s="2">
        <v>2.39</v>
      </c>
      <c r="U826" t="s">
        <v>170</v>
      </c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</row>
    <row r="827" spans="1:51" s="5" customFormat="1" x14ac:dyDescent="0.25">
      <c r="A827">
        <v>2024324041</v>
      </c>
      <c r="B827" t="s">
        <v>644</v>
      </c>
      <c r="C827" t="s">
        <v>645</v>
      </c>
      <c r="D827" t="str">
        <f t="shared" si="43"/>
        <v>JOSEPHINE ADAMS</v>
      </c>
      <c r="E827" t="s">
        <v>585</v>
      </c>
      <c r="F827" t="s">
        <v>290</v>
      </c>
      <c r="G827" t="s">
        <v>295</v>
      </c>
      <c r="H827">
        <v>17425766</v>
      </c>
      <c r="I827" t="s">
        <v>88</v>
      </c>
      <c r="J827" t="s">
        <v>89</v>
      </c>
      <c r="K827" t="str">
        <f t="shared" si="46"/>
        <v>CAROL FOLEY</v>
      </c>
      <c r="L827" s="1">
        <v>45514</v>
      </c>
      <c r="M827" s="1">
        <v>46032</v>
      </c>
      <c r="N827" s="2">
        <v>15</v>
      </c>
      <c r="O827">
        <f t="shared" si="44"/>
        <v>17</v>
      </c>
      <c r="P827" t="s">
        <v>1370</v>
      </c>
      <c r="Q827" s="4">
        <v>0.1</v>
      </c>
      <c r="R827" t="s">
        <v>60</v>
      </c>
      <c r="S827" t="s">
        <v>61</v>
      </c>
      <c r="T827" s="2">
        <v>1.5</v>
      </c>
      <c r="U827" t="s">
        <v>295</v>
      </c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</row>
    <row r="828" spans="1:51" s="5" customFormat="1" x14ac:dyDescent="0.25">
      <c r="A828">
        <v>2024320118</v>
      </c>
      <c r="B828" t="s">
        <v>643</v>
      </c>
      <c r="C828" t="s">
        <v>137</v>
      </c>
      <c r="D828" t="str">
        <f t="shared" si="43"/>
        <v>JAMES OLIVER</v>
      </c>
      <c r="E828" t="s">
        <v>52</v>
      </c>
      <c r="F828" t="s">
        <v>365</v>
      </c>
      <c r="G828" t="s">
        <v>366</v>
      </c>
      <c r="H828">
        <v>17425766</v>
      </c>
      <c r="I828" t="s">
        <v>88</v>
      </c>
      <c r="J828" t="s">
        <v>89</v>
      </c>
      <c r="K828" t="str">
        <f t="shared" si="46"/>
        <v>CAROL FOLEY</v>
      </c>
      <c r="L828" s="1">
        <v>45514</v>
      </c>
      <c r="M828" s="1">
        <v>46032</v>
      </c>
      <c r="N828" s="2">
        <v>19.309999999999999</v>
      </c>
      <c r="O828">
        <f t="shared" si="44"/>
        <v>17</v>
      </c>
      <c r="P828" t="s">
        <v>1370</v>
      </c>
      <c r="Q828" s="4">
        <v>0.1</v>
      </c>
      <c r="R828" t="s">
        <v>60</v>
      </c>
      <c r="S828" t="s">
        <v>61</v>
      </c>
      <c r="T828" s="2">
        <v>1.93</v>
      </c>
      <c r="U828" t="s">
        <v>366</v>
      </c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</row>
    <row r="829" spans="1:51" s="5" customFormat="1" x14ac:dyDescent="0.25">
      <c r="A829">
        <v>2024324039</v>
      </c>
      <c r="B829" t="s">
        <v>644</v>
      </c>
      <c r="C829" t="s">
        <v>645</v>
      </c>
      <c r="D829" t="str">
        <f t="shared" si="43"/>
        <v>JOSEPHINE ADAMS</v>
      </c>
      <c r="E829" t="s">
        <v>585</v>
      </c>
      <c r="F829" t="s">
        <v>365</v>
      </c>
      <c r="G829" t="s">
        <v>366</v>
      </c>
      <c r="H829">
        <v>17425766</v>
      </c>
      <c r="I829" t="s">
        <v>88</v>
      </c>
      <c r="J829" t="s">
        <v>89</v>
      </c>
      <c r="K829" t="str">
        <f t="shared" si="46"/>
        <v>CAROL FOLEY</v>
      </c>
      <c r="L829" s="1">
        <v>45514</v>
      </c>
      <c r="M829" s="1">
        <v>46032</v>
      </c>
      <c r="N829" s="2">
        <v>11.03</v>
      </c>
      <c r="O829">
        <f t="shared" si="44"/>
        <v>17</v>
      </c>
      <c r="P829" t="s">
        <v>1370</v>
      </c>
      <c r="Q829" s="4">
        <v>0.1</v>
      </c>
      <c r="R829" t="s">
        <v>60</v>
      </c>
      <c r="S829" t="s">
        <v>61</v>
      </c>
      <c r="T829" s="2">
        <v>1.1000000000000001</v>
      </c>
      <c r="U829" t="s">
        <v>366</v>
      </c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</row>
    <row r="830" spans="1:51" s="5" customFormat="1" x14ac:dyDescent="0.25">
      <c r="A830">
        <v>2024324040</v>
      </c>
      <c r="B830" t="s">
        <v>644</v>
      </c>
      <c r="C830" t="s">
        <v>645</v>
      </c>
      <c r="D830" t="str">
        <f t="shared" si="43"/>
        <v>JOSEPHINE ADAMS</v>
      </c>
      <c r="E830" t="s">
        <v>585</v>
      </c>
      <c r="F830" t="s">
        <v>126</v>
      </c>
      <c r="G830" t="s">
        <v>132</v>
      </c>
      <c r="H830">
        <v>17425766</v>
      </c>
      <c r="I830" t="s">
        <v>88</v>
      </c>
      <c r="J830" t="s">
        <v>89</v>
      </c>
      <c r="K830" t="str">
        <f t="shared" si="46"/>
        <v>CAROL FOLEY</v>
      </c>
      <c r="L830" s="1">
        <v>45514</v>
      </c>
      <c r="M830" s="1">
        <v>46032</v>
      </c>
      <c r="N830" s="2">
        <v>25.55</v>
      </c>
      <c r="O830">
        <f t="shared" si="44"/>
        <v>17</v>
      </c>
      <c r="P830" t="s">
        <v>1370</v>
      </c>
      <c r="Q830" s="4">
        <v>0.15</v>
      </c>
      <c r="R830" t="s">
        <v>60</v>
      </c>
      <c r="S830" t="s">
        <v>61</v>
      </c>
      <c r="T830" s="2">
        <v>3.83</v>
      </c>
      <c r="U830" t="s">
        <v>132</v>
      </c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</row>
    <row r="831" spans="1:51" s="5" customFormat="1" x14ac:dyDescent="0.25">
      <c r="A831">
        <v>2024320117</v>
      </c>
      <c r="B831" t="s">
        <v>643</v>
      </c>
      <c r="C831" t="s">
        <v>137</v>
      </c>
      <c r="D831" t="str">
        <f t="shared" si="43"/>
        <v>JAMES OLIVER</v>
      </c>
      <c r="E831" t="s">
        <v>52</v>
      </c>
      <c r="F831" t="s">
        <v>86</v>
      </c>
      <c r="G831" t="s">
        <v>87</v>
      </c>
      <c r="H831">
        <v>17425766</v>
      </c>
      <c r="I831" t="s">
        <v>88</v>
      </c>
      <c r="J831" t="s">
        <v>89</v>
      </c>
      <c r="K831" t="str">
        <f t="shared" si="46"/>
        <v>CAROL FOLEY</v>
      </c>
      <c r="L831" s="1">
        <v>45514</v>
      </c>
      <c r="M831" s="1">
        <v>46032</v>
      </c>
      <c r="N831" s="2">
        <v>44.21</v>
      </c>
      <c r="O831">
        <f t="shared" si="44"/>
        <v>17</v>
      </c>
      <c r="P831" t="s">
        <v>1370</v>
      </c>
      <c r="Q831" s="4">
        <v>0.06</v>
      </c>
      <c r="R831" t="s">
        <v>60</v>
      </c>
      <c r="S831" t="s">
        <v>61</v>
      </c>
      <c r="T831" s="2">
        <v>2.65</v>
      </c>
      <c r="U831" t="s">
        <v>87</v>
      </c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</row>
    <row r="832" spans="1:51" s="5" customFormat="1" x14ac:dyDescent="0.25">
      <c r="A832">
        <v>2024320119</v>
      </c>
      <c r="B832" t="s">
        <v>643</v>
      </c>
      <c r="C832" t="s">
        <v>137</v>
      </c>
      <c r="D832" t="str">
        <f t="shared" si="43"/>
        <v>JAMES OLIVER</v>
      </c>
      <c r="E832" t="s">
        <v>52</v>
      </c>
      <c r="F832" t="s">
        <v>53</v>
      </c>
      <c r="G832" t="s">
        <v>54</v>
      </c>
      <c r="H832">
        <v>17425766</v>
      </c>
      <c r="I832" t="s">
        <v>88</v>
      </c>
      <c r="J832" t="s">
        <v>89</v>
      </c>
      <c r="K832" t="str">
        <f t="shared" si="46"/>
        <v>CAROL FOLEY</v>
      </c>
      <c r="L832" s="1">
        <v>45514</v>
      </c>
      <c r="M832" s="1">
        <v>46032</v>
      </c>
      <c r="N832" s="2">
        <v>46.45</v>
      </c>
      <c r="O832">
        <f t="shared" si="44"/>
        <v>17</v>
      </c>
      <c r="P832" t="s">
        <v>1370</v>
      </c>
      <c r="Q832" s="3">
        <v>6.5000000000000002E-2</v>
      </c>
      <c r="R832" t="s">
        <v>60</v>
      </c>
      <c r="S832" t="s">
        <v>61</v>
      </c>
      <c r="T832" s="2">
        <v>3.02</v>
      </c>
      <c r="U832" t="s">
        <v>54</v>
      </c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</row>
    <row r="833" spans="1:51" s="5" customFormat="1" x14ac:dyDescent="0.25">
      <c r="A833">
        <v>2024326700</v>
      </c>
      <c r="B833" t="s">
        <v>735</v>
      </c>
      <c r="C833" t="s">
        <v>285</v>
      </c>
      <c r="D833" t="str">
        <f t="shared" si="43"/>
        <v>FRANK BAKER</v>
      </c>
      <c r="E833" t="s">
        <v>408</v>
      </c>
      <c r="F833" t="s">
        <v>53</v>
      </c>
      <c r="G833" t="s">
        <v>54</v>
      </c>
      <c r="H833">
        <v>17425766</v>
      </c>
      <c r="I833" t="s">
        <v>88</v>
      </c>
      <c r="J833" t="s">
        <v>89</v>
      </c>
      <c r="K833" t="str">
        <f t="shared" si="46"/>
        <v>CAROL FOLEY</v>
      </c>
      <c r="L833" s="1">
        <v>45514</v>
      </c>
      <c r="M833" s="1">
        <v>46032</v>
      </c>
      <c r="N833" s="2">
        <v>52.69</v>
      </c>
      <c r="O833">
        <f t="shared" si="44"/>
        <v>17</v>
      </c>
      <c r="P833" t="s">
        <v>1370</v>
      </c>
      <c r="Q833" s="3">
        <v>6.5000000000000002E-2</v>
      </c>
      <c r="R833" t="s">
        <v>60</v>
      </c>
      <c r="S833" t="s">
        <v>61</v>
      </c>
      <c r="T833" s="2">
        <v>3.42</v>
      </c>
      <c r="U833" t="s">
        <v>54</v>
      </c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</row>
    <row r="834" spans="1:51" x14ac:dyDescent="0.25">
      <c r="A834">
        <v>2024001564</v>
      </c>
      <c r="B834" t="s">
        <v>161</v>
      </c>
      <c r="C834" t="s">
        <v>65</v>
      </c>
      <c r="D834" t="str">
        <f t="shared" ref="D834:D897" si="47">CONCATENATE(C834," ",B834)</f>
        <v>JASON SMITH</v>
      </c>
      <c r="E834" t="s">
        <v>389</v>
      </c>
      <c r="F834" t="s">
        <v>75</v>
      </c>
      <c r="G834" t="s">
        <v>80</v>
      </c>
      <c r="H834">
        <v>8307933</v>
      </c>
      <c r="I834" t="s">
        <v>246</v>
      </c>
      <c r="J834" t="s">
        <v>247</v>
      </c>
      <c r="K834" t="str">
        <f t="shared" si="46"/>
        <v>GREGORY TEIPEL</v>
      </c>
      <c r="L834" s="1">
        <v>45510</v>
      </c>
      <c r="M834" s="1">
        <v>46028</v>
      </c>
      <c r="N834" s="2">
        <v>90.33</v>
      </c>
      <c r="O834">
        <f t="shared" ref="O834:O897" si="48">DATEDIF(L834,M834,"M")</f>
        <v>17</v>
      </c>
      <c r="P834" t="s">
        <v>1370</v>
      </c>
      <c r="Q834" s="4">
        <v>0.1</v>
      </c>
      <c r="R834" t="s">
        <v>60</v>
      </c>
      <c r="S834" t="s">
        <v>61</v>
      </c>
      <c r="T834" s="2">
        <v>9.0299999999999994</v>
      </c>
      <c r="U834" t="s">
        <v>1372</v>
      </c>
    </row>
    <row r="835" spans="1:51" x14ac:dyDescent="0.25">
      <c r="A835">
        <v>2024153178</v>
      </c>
      <c r="B835" t="s">
        <v>772</v>
      </c>
      <c r="C835" t="s">
        <v>773</v>
      </c>
      <c r="D835" t="str">
        <f t="shared" si="47"/>
        <v>DANIELLE SCHILL</v>
      </c>
      <c r="E835" t="s">
        <v>97</v>
      </c>
      <c r="F835" t="s">
        <v>75</v>
      </c>
      <c r="G835" t="s">
        <v>80</v>
      </c>
      <c r="H835">
        <v>8307933</v>
      </c>
      <c r="I835" t="s">
        <v>246</v>
      </c>
      <c r="J835" t="s">
        <v>247</v>
      </c>
      <c r="K835" t="str">
        <f t="shared" si="46"/>
        <v>GREGORY TEIPEL</v>
      </c>
      <c r="L835" s="1">
        <v>45510</v>
      </c>
      <c r="M835" s="1">
        <v>46028</v>
      </c>
      <c r="N835" s="2">
        <v>61.75</v>
      </c>
      <c r="O835">
        <f t="shared" si="48"/>
        <v>17</v>
      </c>
      <c r="P835" t="s">
        <v>1370</v>
      </c>
      <c r="Q835" s="4">
        <v>0.1</v>
      </c>
      <c r="R835" t="s">
        <v>60</v>
      </c>
      <c r="S835" t="s">
        <v>61</v>
      </c>
      <c r="T835" s="2">
        <v>6.18</v>
      </c>
      <c r="U835" t="s">
        <v>1372</v>
      </c>
    </row>
    <row r="836" spans="1:51" x14ac:dyDescent="0.25">
      <c r="A836">
        <v>2024001565</v>
      </c>
      <c r="B836" t="s">
        <v>161</v>
      </c>
      <c r="C836" t="s">
        <v>65</v>
      </c>
      <c r="D836" t="str">
        <f t="shared" si="47"/>
        <v>JASON SMITH</v>
      </c>
      <c r="E836" t="s">
        <v>389</v>
      </c>
      <c r="F836" t="s">
        <v>126</v>
      </c>
      <c r="G836" t="s">
        <v>132</v>
      </c>
      <c r="H836">
        <v>8307933</v>
      </c>
      <c r="I836" t="s">
        <v>246</v>
      </c>
      <c r="J836" t="s">
        <v>247</v>
      </c>
      <c r="K836" t="str">
        <f t="shared" si="46"/>
        <v>GREGORY TEIPEL</v>
      </c>
      <c r="L836" s="1">
        <v>45510</v>
      </c>
      <c r="M836" s="1">
        <v>46028</v>
      </c>
      <c r="N836" s="2">
        <v>40.65</v>
      </c>
      <c r="O836">
        <f t="shared" si="48"/>
        <v>17</v>
      </c>
      <c r="P836" t="s">
        <v>1370</v>
      </c>
      <c r="Q836" s="4">
        <v>0.15</v>
      </c>
      <c r="R836" t="s">
        <v>60</v>
      </c>
      <c r="S836" t="s">
        <v>61</v>
      </c>
      <c r="T836" s="2">
        <v>6.1</v>
      </c>
      <c r="U836" t="s">
        <v>132</v>
      </c>
    </row>
    <row r="837" spans="1:51" x14ac:dyDescent="0.25">
      <c r="A837">
        <v>2024054708</v>
      </c>
      <c r="B837" t="s">
        <v>1057</v>
      </c>
      <c r="C837" t="s">
        <v>1053</v>
      </c>
      <c r="D837" t="str">
        <f t="shared" si="47"/>
        <v>RITA MAK</v>
      </c>
      <c r="E837" t="s">
        <v>102</v>
      </c>
      <c r="F837" t="s">
        <v>126</v>
      </c>
      <c r="G837" t="s">
        <v>132</v>
      </c>
      <c r="H837">
        <v>8307933</v>
      </c>
      <c r="I837" t="s">
        <v>246</v>
      </c>
      <c r="J837" t="s">
        <v>247</v>
      </c>
      <c r="K837" t="str">
        <f t="shared" si="46"/>
        <v>GREGORY TEIPEL</v>
      </c>
      <c r="L837" s="1">
        <v>45510</v>
      </c>
      <c r="M837" s="1">
        <v>46028</v>
      </c>
      <c r="N837" s="2">
        <v>118.88</v>
      </c>
      <c r="O837">
        <f t="shared" si="48"/>
        <v>17</v>
      </c>
      <c r="P837" t="s">
        <v>1370</v>
      </c>
      <c r="Q837" s="4">
        <v>0.15</v>
      </c>
      <c r="R837" t="s">
        <v>60</v>
      </c>
      <c r="S837" t="s">
        <v>61</v>
      </c>
      <c r="T837" s="2">
        <v>17.829999999999998</v>
      </c>
      <c r="U837" t="s">
        <v>132</v>
      </c>
    </row>
    <row r="838" spans="1:51" x14ac:dyDescent="0.25">
      <c r="A838">
        <v>2024153179</v>
      </c>
      <c r="B838" t="s">
        <v>772</v>
      </c>
      <c r="C838" t="s">
        <v>773</v>
      </c>
      <c r="D838" t="str">
        <f t="shared" si="47"/>
        <v>DANIELLE SCHILL</v>
      </c>
      <c r="E838" t="s">
        <v>97</v>
      </c>
      <c r="F838" t="s">
        <v>126</v>
      </c>
      <c r="G838" t="s">
        <v>132</v>
      </c>
      <c r="H838">
        <v>8307933</v>
      </c>
      <c r="I838" t="s">
        <v>246</v>
      </c>
      <c r="J838" t="s">
        <v>247</v>
      </c>
      <c r="K838" t="str">
        <f t="shared" si="46"/>
        <v>GREGORY TEIPEL</v>
      </c>
      <c r="L838" s="1">
        <v>45510</v>
      </c>
      <c r="M838" s="1">
        <v>46028</v>
      </c>
      <c r="N838" s="2">
        <v>89.52</v>
      </c>
      <c r="O838">
        <f t="shared" si="48"/>
        <v>17</v>
      </c>
      <c r="P838" t="s">
        <v>1370</v>
      </c>
      <c r="Q838" s="4">
        <v>0.15</v>
      </c>
      <c r="R838" t="s">
        <v>60</v>
      </c>
      <c r="S838" t="s">
        <v>61</v>
      </c>
      <c r="T838" s="2">
        <v>13.43</v>
      </c>
      <c r="U838" t="s">
        <v>132</v>
      </c>
    </row>
    <row r="839" spans="1:51" x14ac:dyDescent="0.25">
      <c r="A839">
        <v>2024117993</v>
      </c>
      <c r="B839" t="s">
        <v>1058</v>
      </c>
      <c r="C839" t="s">
        <v>175</v>
      </c>
      <c r="D839" t="str">
        <f t="shared" si="47"/>
        <v>LISA WILSON</v>
      </c>
      <c r="E839" t="s">
        <v>386</v>
      </c>
      <c r="F839" t="s">
        <v>126</v>
      </c>
      <c r="G839" t="s">
        <v>375</v>
      </c>
      <c r="H839">
        <v>8307933</v>
      </c>
      <c r="I839" t="s">
        <v>246</v>
      </c>
      <c r="J839" t="s">
        <v>247</v>
      </c>
      <c r="K839" t="str">
        <f t="shared" si="46"/>
        <v>GREGORY TEIPEL</v>
      </c>
      <c r="L839" s="1">
        <v>45510</v>
      </c>
      <c r="M839" s="1">
        <v>46028</v>
      </c>
      <c r="N839" s="2">
        <v>19.38</v>
      </c>
      <c r="O839">
        <f t="shared" si="48"/>
        <v>17</v>
      </c>
      <c r="P839" t="s">
        <v>1370</v>
      </c>
      <c r="Q839" s="4">
        <v>0.1</v>
      </c>
      <c r="R839" t="s">
        <v>60</v>
      </c>
      <c r="S839" t="s">
        <v>61</v>
      </c>
      <c r="T839" s="2">
        <v>1.94</v>
      </c>
      <c r="U839" t="s">
        <v>375</v>
      </c>
    </row>
    <row r="840" spans="1:51" x14ac:dyDescent="0.25">
      <c r="A840">
        <v>2023183893</v>
      </c>
      <c r="B840" t="s">
        <v>1278</v>
      </c>
      <c r="C840" t="s">
        <v>1279</v>
      </c>
      <c r="D840" t="str">
        <f t="shared" si="47"/>
        <v>RASHID AWAN</v>
      </c>
      <c r="E840" t="s">
        <v>52</v>
      </c>
      <c r="F840" t="s">
        <v>169</v>
      </c>
      <c r="G840" t="s">
        <v>170</v>
      </c>
      <c r="H840">
        <v>17425766</v>
      </c>
      <c r="I840" t="s">
        <v>88</v>
      </c>
      <c r="J840" t="s">
        <v>89</v>
      </c>
      <c r="K840" t="str">
        <f t="shared" si="46"/>
        <v>CAROL FOLEY</v>
      </c>
      <c r="L840" s="1">
        <v>45474</v>
      </c>
      <c r="M840" s="1">
        <v>46023</v>
      </c>
      <c r="N840" s="2">
        <v>142.08000000000001</v>
      </c>
      <c r="O840">
        <f t="shared" si="48"/>
        <v>18</v>
      </c>
      <c r="P840" t="s">
        <v>1370</v>
      </c>
      <c r="Q840" s="3">
        <v>5.2499999999999998E-2</v>
      </c>
      <c r="R840" t="s">
        <v>60</v>
      </c>
      <c r="S840" t="s">
        <v>61</v>
      </c>
      <c r="T840" s="2">
        <v>7.46</v>
      </c>
      <c r="U840" t="s">
        <v>170</v>
      </c>
    </row>
    <row r="841" spans="1:51" x14ac:dyDescent="0.25">
      <c r="A841">
        <v>2023688176</v>
      </c>
      <c r="B841" t="s">
        <v>1284</v>
      </c>
      <c r="C841" t="s">
        <v>1285</v>
      </c>
      <c r="D841" t="str">
        <f t="shared" si="47"/>
        <v>RUDOLPH SCHATZ</v>
      </c>
      <c r="E841" t="s">
        <v>52</v>
      </c>
      <c r="F841" t="s">
        <v>169</v>
      </c>
      <c r="G841" t="s">
        <v>170</v>
      </c>
      <c r="H841">
        <v>17425766</v>
      </c>
      <c r="I841" t="s">
        <v>88</v>
      </c>
      <c r="J841" t="s">
        <v>89</v>
      </c>
      <c r="K841" t="str">
        <f t="shared" si="46"/>
        <v>CAROL FOLEY</v>
      </c>
      <c r="L841" s="1">
        <v>45474</v>
      </c>
      <c r="M841" s="1">
        <v>46023</v>
      </c>
      <c r="N841" s="2">
        <v>142.08000000000001</v>
      </c>
      <c r="O841">
        <f t="shared" si="48"/>
        <v>18</v>
      </c>
      <c r="P841" t="s">
        <v>1370</v>
      </c>
      <c r="Q841" s="3">
        <v>5.2499999999999998E-2</v>
      </c>
      <c r="R841" t="s">
        <v>60</v>
      </c>
      <c r="S841" t="s">
        <v>61</v>
      </c>
      <c r="T841" s="2">
        <v>7.46</v>
      </c>
      <c r="U841" t="s">
        <v>170</v>
      </c>
    </row>
    <row r="842" spans="1:51" x14ac:dyDescent="0.25">
      <c r="A842">
        <v>2022779367</v>
      </c>
      <c r="B842" t="s">
        <v>712</v>
      </c>
      <c r="C842" t="s">
        <v>517</v>
      </c>
      <c r="D842" t="str">
        <f t="shared" si="47"/>
        <v>TIMOTHY POPE</v>
      </c>
      <c r="E842" t="s">
        <v>52</v>
      </c>
      <c r="F842" t="s">
        <v>108</v>
      </c>
      <c r="G842" t="s">
        <v>713</v>
      </c>
      <c r="H842">
        <v>17425766</v>
      </c>
      <c r="I842" t="s">
        <v>88</v>
      </c>
      <c r="J842" t="s">
        <v>89</v>
      </c>
      <c r="K842" t="str">
        <f t="shared" si="46"/>
        <v>CAROL FOLEY</v>
      </c>
      <c r="L842" s="1">
        <v>45474</v>
      </c>
      <c r="M842" s="1">
        <v>46023</v>
      </c>
      <c r="N842" s="2">
        <v>131.93</v>
      </c>
      <c r="O842">
        <f t="shared" si="48"/>
        <v>18</v>
      </c>
      <c r="P842" t="s">
        <v>1370</v>
      </c>
      <c r="Q842" s="3">
        <v>1.4999999999999999E-2</v>
      </c>
      <c r="R842" t="s">
        <v>60</v>
      </c>
      <c r="S842" t="s">
        <v>61</v>
      </c>
      <c r="T842" s="2">
        <v>1.98</v>
      </c>
      <c r="U842" t="s">
        <v>1387</v>
      </c>
    </row>
    <row r="843" spans="1:51" x14ac:dyDescent="0.25">
      <c r="A843">
        <v>2023457499</v>
      </c>
      <c r="B843" t="s">
        <v>1280</v>
      </c>
      <c r="C843" t="s">
        <v>824</v>
      </c>
      <c r="D843" t="str">
        <f t="shared" si="47"/>
        <v>ANGELA RICCIARDI</v>
      </c>
      <c r="E843" t="s">
        <v>52</v>
      </c>
      <c r="F843" t="s">
        <v>169</v>
      </c>
      <c r="G843" t="s">
        <v>170</v>
      </c>
      <c r="H843">
        <v>17528908</v>
      </c>
      <c r="I843" t="s">
        <v>183</v>
      </c>
      <c r="J843" t="s">
        <v>184</v>
      </c>
      <c r="K843" t="str">
        <f t="shared" si="46"/>
        <v>DEBORAH INSKIPT</v>
      </c>
      <c r="L843" s="1">
        <v>45474</v>
      </c>
      <c r="M843" s="1">
        <v>46023</v>
      </c>
      <c r="N843" s="2">
        <v>33.590000000000003</v>
      </c>
      <c r="O843">
        <f t="shared" si="48"/>
        <v>18</v>
      </c>
      <c r="P843" t="s">
        <v>1370</v>
      </c>
      <c r="Q843" s="3">
        <v>5.2499999999999998E-2</v>
      </c>
      <c r="R843" t="s">
        <v>60</v>
      </c>
      <c r="S843" t="s">
        <v>61</v>
      </c>
      <c r="T843" s="2">
        <v>1.76</v>
      </c>
      <c r="U843" t="s">
        <v>170</v>
      </c>
    </row>
    <row r="844" spans="1:51" x14ac:dyDescent="0.25">
      <c r="A844">
        <v>2023644771</v>
      </c>
      <c r="B844" t="s">
        <v>1281</v>
      </c>
      <c r="C844" t="s">
        <v>405</v>
      </c>
      <c r="D844" t="str">
        <f t="shared" si="47"/>
        <v>DAVID HOLETS</v>
      </c>
      <c r="E844" t="s">
        <v>52</v>
      </c>
      <c r="F844" t="s">
        <v>169</v>
      </c>
      <c r="G844" t="s">
        <v>170</v>
      </c>
      <c r="H844">
        <v>17528908</v>
      </c>
      <c r="I844" t="s">
        <v>183</v>
      </c>
      <c r="J844" t="s">
        <v>184</v>
      </c>
      <c r="K844" t="str">
        <f t="shared" si="46"/>
        <v>DEBORAH INSKIPT</v>
      </c>
      <c r="L844" s="1">
        <v>45474</v>
      </c>
      <c r="M844" s="1">
        <v>46023</v>
      </c>
      <c r="N844" s="2">
        <v>57.22</v>
      </c>
      <c r="O844">
        <f t="shared" si="48"/>
        <v>18</v>
      </c>
      <c r="P844" t="s">
        <v>1370</v>
      </c>
      <c r="Q844" s="3">
        <v>5.2499999999999998E-2</v>
      </c>
      <c r="R844" t="s">
        <v>60</v>
      </c>
      <c r="S844" t="s">
        <v>61</v>
      </c>
      <c r="T844" s="2">
        <v>3</v>
      </c>
      <c r="U844" t="s">
        <v>170</v>
      </c>
    </row>
    <row r="845" spans="1:51" x14ac:dyDescent="0.25">
      <c r="A845">
        <v>2023665220</v>
      </c>
      <c r="B845" t="s">
        <v>1282</v>
      </c>
      <c r="C845" t="s">
        <v>880</v>
      </c>
      <c r="D845" t="str">
        <f t="shared" si="47"/>
        <v>ANDRE DAVIS</v>
      </c>
      <c r="E845" t="s">
        <v>52</v>
      </c>
      <c r="F845" t="s">
        <v>169</v>
      </c>
      <c r="G845" t="s">
        <v>170</v>
      </c>
      <c r="H845">
        <v>17528908</v>
      </c>
      <c r="I845" t="s">
        <v>183</v>
      </c>
      <c r="J845" t="s">
        <v>184</v>
      </c>
      <c r="K845" t="str">
        <f t="shared" si="46"/>
        <v>DEBORAH INSKIPT</v>
      </c>
      <c r="L845" s="1">
        <v>45474</v>
      </c>
      <c r="M845" s="1">
        <v>46023</v>
      </c>
      <c r="N845" s="2">
        <v>102.9</v>
      </c>
      <c r="O845">
        <f t="shared" si="48"/>
        <v>18</v>
      </c>
      <c r="P845" t="s">
        <v>1370</v>
      </c>
      <c r="Q845" s="3">
        <v>5.2499999999999998E-2</v>
      </c>
      <c r="R845" t="s">
        <v>60</v>
      </c>
      <c r="S845" t="s">
        <v>61</v>
      </c>
      <c r="T845" s="2">
        <v>5.4</v>
      </c>
      <c r="U845" t="s">
        <v>170</v>
      </c>
    </row>
    <row r="846" spans="1:51" x14ac:dyDescent="0.25">
      <c r="A846">
        <v>2023679652</v>
      </c>
      <c r="B846" t="s">
        <v>1283</v>
      </c>
      <c r="C846" t="s">
        <v>122</v>
      </c>
      <c r="D846" t="str">
        <f t="shared" si="47"/>
        <v>COLLEEN MCKEE</v>
      </c>
      <c r="E846" t="s">
        <v>52</v>
      </c>
      <c r="F846" t="s">
        <v>169</v>
      </c>
      <c r="G846" t="s">
        <v>170</v>
      </c>
      <c r="H846">
        <v>17528908</v>
      </c>
      <c r="I846" t="s">
        <v>183</v>
      </c>
      <c r="J846" t="s">
        <v>184</v>
      </c>
      <c r="K846" t="str">
        <f t="shared" si="46"/>
        <v>DEBORAH INSKIPT</v>
      </c>
      <c r="L846" s="1">
        <v>45474</v>
      </c>
      <c r="M846" s="1">
        <v>46023</v>
      </c>
      <c r="N846" s="2">
        <v>47.32</v>
      </c>
      <c r="O846">
        <f t="shared" si="48"/>
        <v>18</v>
      </c>
      <c r="P846" t="s">
        <v>1370</v>
      </c>
      <c r="Q846" s="3">
        <v>5.2499999999999998E-2</v>
      </c>
      <c r="R846" t="s">
        <v>60</v>
      </c>
      <c r="S846" t="s">
        <v>61</v>
      </c>
      <c r="T846" s="2">
        <v>2.48</v>
      </c>
      <c r="U846" t="s">
        <v>170</v>
      </c>
    </row>
    <row r="847" spans="1:51" x14ac:dyDescent="0.25">
      <c r="A847">
        <v>2023710953</v>
      </c>
      <c r="B847" t="s">
        <v>1052</v>
      </c>
      <c r="C847" t="s">
        <v>1053</v>
      </c>
      <c r="D847" t="str">
        <f t="shared" si="47"/>
        <v>RITA CABAN</v>
      </c>
      <c r="E847" t="s">
        <v>810</v>
      </c>
      <c r="F847" t="s">
        <v>126</v>
      </c>
      <c r="G847" t="s">
        <v>132</v>
      </c>
      <c r="H847">
        <v>8307933</v>
      </c>
      <c r="I847" t="s">
        <v>246</v>
      </c>
      <c r="J847" t="s">
        <v>247</v>
      </c>
      <c r="K847" t="str">
        <f t="shared" si="46"/>
        <v>GREGORY TEIPEL</v>
      </c>
      <c r="L847" s="1">
        <v>45479</v>
      </c>
      <c r="M847" s="1">
        <v>46028</v>
      </c>
      <c r="N847" s="2">
        <v>132.86000000000001</v>
      </c>
      <c r="O847">
        <f t="shared" si="48"/>
        <v>18</v>
      </c>
      <c r="P847" t="s">
        <v>1370</v>
      </c>
      <c r="Q847" s="4">
        <v>0.15</v>
      </c>
      <c r="R847" t="s">
        <v>60</v>
      </c>
      <c r="S847" t="s">
        <v>61</v>
      </c>
      <c r="T847" s="2">
        <v>19.93</v>
      </c>
      <c r="U847" t="s">
        <v>132</v>
      </c>
    </row>
    <row r="848" spans="1:51" x14ac:dyDescent="0.25">
      <c r="A848">
        <v>2023530973</v>
      </c>
      <c r="B848" t="s">
        <v>72</v>
      </c>
      <c r="C848" t="s">
        <v>73</v>
      </c>
      <c r="D848" t="str">
        <f t="shared" si="47"/>
        <v>DANIEL WIMBERLY</v>
      </c>
      <c r="E848" t="s">
        <v>74</v>
      </c>
      <c r="F848" t="s">
        <v>75</v>
      </c>
      <c r="G848" t="s">
        <v>76</v>
      </c>
      <c r="H848">
        <v>18781057</v>
      </c>
      <c r="I848" t="s">
        <v>70</v>
      </c>
      <c r="J848" t="s">
        <v>71</v>
      </c>
      <c r="K848" t="str">
        <f t="shared" si="46"/>
        <v>JOHN ROKEN</v>
      </c>
      <c r="L848" s="1">
        <v>45474</v>
      </c>
      <c r="M848" s="1">
        <v>46023</v>
      </c>
      <c r="N848" s="2">
        <v>27.73</v>
      </c>
      <c r="O848">
        <f t="shared" si="48"/>
        <v>18</v>
      </c>
      <c r="P848" t="s">
        <v>1370</v>
      </c>
      <c r="Q848" s="4">
        <v>0.1</v>
      </c>
      <c r="R848" t="s">
        <v>60</v>
      </c>
      <c r="S848" t="s">
        <v>61</v>
      </c>
      <c r="T848" s="2">
        <v>2.77</v>
      </c>
      <c r="U848" t="s">
        <v>1371</v>
      </c>
    </row>
    <row r="849" spans="1:21" x14ac:dyDescent="0.25">
      <c r="A849">
        <v>2023530974</v>
      </c>
      <c r="B849" t="s">
        <v>72</v>
      </c>
      <c r="C849" t="s">
        <v>73</v>
      </c>
      <c r="D849" t="str">
        <f t="shared" si="47"/>
        <v>DANIEL WIMBERLY</v>
      </c>
      <c r="E849" t="s">
        <v>74</v>
      </c>
      <c r="F849" t="s">
        <v>290</v>
      </c>
      <c r="G849" t="s">
        <v>295</v>
      </c>
      <c r="H849">
        <v>18781057</v>
      </c>
      <c r="I849" t="s">
        <v>70</v>
      </c>
      <c r="J849" t="s">
        <v>71</v>
      </c>
      <c r="K849" t="str">
        <f t="shared" si="46"/>
        <v>JOHN ROKEN</v>
      </c>
      <c r="L849" s="1">
        <v>45474</v>
      </c>
      <c r="M849" s="1">
        <v>46023</v>
      </c>
      <c r="N849" s="2">
        <v>15</v>
      </c>
      <c r="O849">
        <f t="shared" si="48"/>
        <v>18</v>
      </c>
      <c r="P849" t="s">
        <v>1370</v>
      </c>
      <c r="Q849" s="4">
        <v>0.1</v>
      </c>
      <c r="R849" t="s">
        <v>60</v>
      </c>
      <c r="S849" t="s">
        <v>61</v>
      </c>
      <c r="T849" s="2">
        <v>1.5</v>
      </c>
      <c r="U849" t="s">
        <v>295</v>
      </c>
    </row>
    <row r="850" spans="1:21" x14ac:dyDescent="0.25">
      <c r="A850">
        <v>2023530972</v>
      </c>
      <c r="B850" t="s">
        <v>72</v>
      </c>
      <c r="C850" t="s">
        <v>73</v>
      </c>
      <c r="D850" t="str">
        <f t="shared" si="47"/>
        <v>DANIEL WIMBERLY</v>
      </c>
      <c r="E850" t="s">
        <v>74</v>
      </c>
      <c r="F850" t="s">
        <v>365</v>
      </c>
      <c r="G850" t="s">
        <v>366</v>
      </c>
      <c r="H850">
        <v>18781057</v>
      </c>
      <c r="I850" t="s">
        <v>70</v>
      </c>
      <c r="J850" t="s">
        <v>71</v>
      </c>
      <c r="K850" t="str">
        <f t="shared" si="46"/>
        <v>JOHN ROKEN</v>
      </c>
      <c r="L850" s="1">
        <v>45474</v>
      </c>
      <c r="M850" s="1">
        <v>46023</v>
      </c>
      <c r="N850" s="2">
        <v>22.98</v>
      </c>
      <c r="O850">
        <f t="shared" si="48"/>
        <v>18</v>
      </c>
      <c r="P850" t="s">
        <v>1370</v>
      </c>
      <c r="Q850" s="4">
        <v>0.1</v>
      </c>
      <c r="R850" t="s">
        <v>60</v>
      </c>
      <c r="S850" t="s">
        <v>61</v>
      </c>
      <c r="T850" s="2">
        <v>2.2999999999999998</v>
      </c>
      <c r="U850" t="s">
        <v>366</v>
      </c>
    </row>
    <row r="851" spans="1:21" x14ac:dyDescent="0.25">
      <c r="A851">
        <v>2023372600</v>
      </c>
      <c r="B851" t="s">
        <v>641</v>
      </c>
      <c r="C851" t="s">
        <v>642</v>
      </c>
      <c r="D851" t="str">
        <f t="shared" si="47"/>
        <v>KEEVA GARNETT</v>
      </c>
      <c r="E851" t="s">
        <v>408</v>
      </c>
      <c r="F851" t="s">
        <v>290</v>
      </c>
      <c r="G851" t="s">
        <v>295</v>
      </c>
      <c r="H851">
        <v>17425766</v>
      </c>
      <c r="I851" t="s">
        <v>88</v>
      </c>
      <c r="J851" t="s">
        <v>89</v>
      </c>
      <c r="K851" t="str">
        <f t="shared" si="46"/>
        <v>CAROL FOLEY</v>
      </c>
      <c r="L851" s="1">
        <v>45447</v>
      </c>
      <c r="M851" s="1">
        <v>46026</v>
      </c>
      <c r="N851" s="2">
        <v>15</v>
      </c>
      <c r="O851">
        <f t="shared" si="48"/>
        <v>19</v>
      </c>
      <c r="P851" t="s">
        <v>1370</v>
      </c>
      <c r="Q851" s="4">
        <v>0.1</v>
      </c>
      <c r="R851" t="s">
        <v>60</v>
      </c>
      <c r="S851" t="s">
        <v>61</v>
      </c>
      <c r="T851" s="2">
        <v>1.5</v>
      </c>
      <c r="U851" t="s">
        <v>295</v>
      </c>
    </row>
    <row r="852" spans="1:21" x14ac:dyDescent="0.25">
      <c r="A852">
        <v>2023372598</v>
      </c>
      <c r="B852" t="s">
        <v>641</v>
      </c>
      <c r="C852" t="s">
        <v>642</v>
      </c>
      <c r="D852" t="str">
        <f t="shared" si="47"/>
        <v>KEEVA GARNETT</v>
      </c>
      <c r="E852" t="s">
        <v>408</v>
      </c>
      <c r="F852" t="s">
        <v>365</v>
      </c>
      <c r="G852" t="s">
        <v>366</v>
      </c>
      <c r="H852">
        <v>17425766</v>
      </c>
      <c r="I852" t="s">
        <v>88</v>
      </c>
      <c r="J852" t="s">
        <v>89</v>
      </c>
      <c r="K852" t="str">
        <f t="shared" si="46"/>
        <v>CAROL FOLEY</v>
      </c>
      <c r="L852" s="1">
        <v>45447</v>
      </c>
      <c r="M852" s="1">
        <v>46026</v>
      </c>
      <c r="N852" s="2">
        <v>30.89</v>
      </c>
      <c r="O852">
        <f t="shared" si="48"/>
        <v>19</v>
      </c>
      <c r="P852" t="s">
        <v>1370</v>
      </c>
      <c r="Q852" s="4">
        <v>0.1</v>
      </c>
      <c r="R852" t="s">
        <v>60</v>
      </c>
      <c r="S852" t="s">
        <v>61</v>
      </c>
      <c r="T852" s="2">
        <v>3.09</v>
      </c>
      <c r="U852" t="s">
        <v>366</v>
      </c>
    </row>
    <row r="853" spans="1:21" x14ac:dyDescent="0.25">
      <c r="A853">
        <v>2023372599</v>
      </c>
      <c r="B853" t="s">
        <v>641</v>
      </c>
      <c r="C853" t="s">
        <v>642</v>
      </c>
      <c r="D853" t="str">
        <f t="shared" si="47"/>
        <v>KEEVA GARNETT</v>
      </c>
      <c r="E853" t="s">
        <v>408</v>
      </c>
      <c r="F853" t="s">
        <v>86</v>
      </c>
      <c r="G853" t="s">
        <v>87</v>
      </c>
      <c r="H853">
        <v>17425766</v>
      </c>
      <c r="I853" t="s">
        <v>88</v>
      </c>
      <c r="J853" t="s">
        <v>89</v>
      </c>
      <c r="K853" t="str">
        <f t="shared" si="46"/>
        <v>CAROL FOLEY</v>
      </c>
      <c r="L853" s="1">
        <v>45447</v>
      </c>
      <c r="M853" s="1">
        <v>46026</v>
      </c>
      <c r="N853" s="2">
        <v>136.15</v>
      </c>
      <c r="O853">
        <f t="shared" si="48"/>
        <v>19</v>
      </c>
      <c r="P853" t="s">
        <v>1370</v>
      </c>
      <c r="Q853" s="4">
        <v>0.06</v>
      </c>
      <c r="R853" t="s">
        <v>60</v>
      </c>
      <c r="S853" t="s">
        <v>61</v>
      </c>
      <c r="T853" s="2">
        <v>8.17</v>
      </c>
      <c r="U853" t="s">
        <v>87</v>
      </c>
    </row>
    <row r="854" spans="1:21" x14ac:dyDescent="0.25">
      <c r="A854">
        <v>2023280128</v>
      </c>
      <c r="B854" t="s">
        <v>191</v>
      </c>
      <c r="C854" t="s">
        <v>192</v>
      </c>
      <c r="D854" t="str">
        <f t="shared" si="47"/>
        <v>TRINA ALFORD</v>
      </c>
      <c r="E854" t="s">
        <v>52</v>
      </c>
      <c r="F854" t="s">
        <v>169</v>
      </c>
      <c r="G854" t="s">
        <v>170</v>
      </c>
      <c r="H854">
        <v>17528908</v>
      </c>
      <c r="I854" t="s">
        <v>183</v>
      </c>
      <c r="J854" t="s">
        <v>184</v>
      </c>
      <c r="K854" t="str">
        <f t="shared" si="46"/>
        <v>DEBORAH INSKIPT</v>
      </c>
      <c r="L854" s="1">
        <v>45444</v>
      </c>
      <c r="M854" s="1">
        <v>46023</v>
      </c>
      <c r="N854" s="2">
        <v>33.590000000000003</v>
      </c>
      <c r="O854">
        <f t="shared" si="48"/>
        <v>19</v>
      </c>
      <c r="P854" t="s">
        <v>1370</v>
      </c>
      <c r="Q854" s="3">
        <v>5.2499999999999998E-2</v>
      </c>
      <c r="R854" t="s">
        <v>60</v>
      </c>
      <c r="S854" t="s">
        <v>61</v>
      </c>
      <c r="T854" s="2">
        <v>1.76</v>
      </c>
      <c r="U854" t="s">
        <v>170</v>
      </c>
    </row>
    <row r="855" spans="1:21" x14ac:dyDescent="0.25">
      <c r="A855">
        <v>2023035029</v>
      </c>
      <c r="B855" t="s">
        <v>1276</v>
      </c>
      <c r="C855" t="s">
        <v>1277</v>
      </c>
      <c r="D855" t="str">
        <f t="shared" si="47"/>
        <v>MAUREEN KOHNE</v>
      </c>
      <c r="E855" t="s">
        <v>52</v>
      </c>
      <c r="F855" t="s">
        <v>169</v>
      </c>
      <c r="G855" t="s">
        <v>170</v>
      </c>
      <c r="H855">
        <v>17528908</v>
      </c>
      <c r="I855" t="s">
        <v>183</v>
      </c>
      <c r="J855" t="s">
        <v>184</v>
      </c>
      <c r="K855" t="str">
        <f t="shared" ref="K855:K886" si="49">CONCATENATE(J855," ",I855)</f>
        <v>DEBORAH INSKIPT</v>
      </c>
      <c r="L855" s="1">
        <v>45444</v>
      </c>
      <c r="M855" s="1">
        <v>46023</v>
      </c>
      <c r="N855" s="2">
        <v>33.590000000000003</v>
      </c>
      <c r="O855">
        <f t="shared" si="48"/>
        <v>19</v>
      </c>
      <c r="P855" t="s">
        <v>1370</v>
      </c>
      <c r="Q855" s="3">
        <v>5.2499999999999998E-2</v>
      </c>
      <c r="R855" t="s">
        <v>60</v>
      </c>
      <c r="S855" t="s">
        <v>61</v>
      </c>
      <c r="T855" s="2">
        <v>1.76</v>
      </c>
      <c r="U855" t="s">
        <v>170</v>
      </c>
    </row>
    <row r="856" spans="1:21" x14ac:dyDescent="0.25">
      <c r="A856">
        <v>2023184015</v>
      </c>
      <c r="B856" t="s">
        <v>765</v>
      </c>
      <c r="C856" t="s">
        <v>101</v>
      </c>
      <c r="D856" t="str">
        <f t="shared" si="47"/>
        <v>JULIE KINKAID</v>
      </c>
      <c r="E856" t="s">
        <v>386</v>
      </c>
      <c r="F856" t="s">
        <v>75</v>
      </c>
      <c r="G856" t="s">
        <v>76</v>
      </c>
      <c r="H856">
        <v>8307933</v>
      </c>
      <c r="I856" t="s">
        <v>246</v>
      </c>
      <c r="J856" t="s">
        <v>247</v>
      </c>
      <c r="K856" t="str">
        <f t="shared" si="49"/>
        <v>GREGORY TEIPEL</v>
      </c>
      <c r="L856" s="1">
        <v>45449</v>
      </c>
      <c r="M856" s="1">
        <v>46028</v>
      </c>
      <c r="N856" s="2">
        <v>142.85</v>
      </c>
      <c r="O856">
        <f t="shared" si="48"/>
        <v>19</v>
      </c>
      <c r="P856" t="s">
        <v>1370</v>
      </c>
      <c r="Q856" s="4">
        <v>0.1</v>
      </c>
      <c r="R856" t="s">
        <v>60</v>
      </c>
      <c r="S856" t="s">
        <v>61</v>
      </c>
      <c r="T856" s="2">
        <v>14.28</v>
      </c>
      <c r="U856" t="s">
        <v>1371</v>
      </c>
    </row>
    <row r="857" spans="1:21" x14ac:dyDescent="0.25">
      <c r="A857">
        <v>2023297034</v>
      </c>
      <c r="B857" t="s">
        <v>768</v>
      </c>
      <c r="C857" t="s">
        <v>769</v>
      </c>
      <c r="D857" t="str">
        <f t="shared" si="47"/>
        <v>NATHAN BLACKLEDGE</v>
      </c>
      <c r="E857" t="s">
        <v>386</v>
      </c>
      <c r="F857" t="s">
        <v>75</v>
      </c>
      <c r="G857" t="s">
        <v>76</v>
      </c>
      <c r="H857">
        <v>8307933</v>
      </c>
      <c r="I857" t="s">
        <v>246</v>
      </c>
      <c r="J857" t="s">
        <v>247</v>
      </c>
      <c r="K857" t="str">
        <f t="shared" si="49"/>
        <v>GREGORY TEIPEL</v>
      </c>
      <c r="L857" s="1">
        <v>45449</v>
      </c>
      <c r="M857" s="1">
        <v>46028</v>
      </c>
      <c r="N857" s="2">
        <v>149.5</v>
      </c>
      <c r="O857">
        <f t="shared" si="48"/>
        <v>19</v>
      </c>
      <c r="P857" t="s">
        <v>1370</v>
      </c>
      <c r="Q857" s="4">
        <v>0.1</v>
      </c>
      <c r="R857" t="s">
        <v>60</v>
      </c>
      <c r="S857" t="s">
        <v>61</v>
      </c>
      <c r="T857" s="2">
        <v>14.95</v>
      </c>
      <c r="U857" t="s">
        <v>1371</v>
      </c>
    </row>
    <row r="858" spans="1:21" x14ac:dyDescent="0.25">
      <c r="A858">
        <v>2023294111</v>
      </c>
      <c r="B858" t="s">
        <v>766</v>
      </c>
      <c r="C858" t="s">
        <v>767</v>
      </c>
      <c r="D858" t="str">
        <f t="shared" si="47"/>
        <v>BRENT ARP</v>
      </c>
      <c r="E858" t="s">
        <v>267</v>
      </c>
      <c r="F858" t="s">
        <v>75</v>
      </c>
      <c r="G858" t="s">
        <v>80</v>
      </c>
      <c r="H858">
        <v>8307933</v>
      </c>
      <c r="I858" t="s">
        <v>246</v>
      </c>
      <c r="J858" t="s">
        <v>247</v>
      </c>
      <c r="K858" t="str">
        <f t="shared" si="49"/>
        <v>GREGORY TEIPEL</v>
      </c>
      <c r="L858" s="1">
        <v>45449</v>
      </c>
      <c r="M858" s="1">
        <v>46028</v>
      </c>
      <c r="N858" s="2">
        <v>191.17</v>
      </c>
      <c r="O858">
        <f t="shared" si="48"/>
        <v>19</v>
      </c>
      <c r="P858" t="s">
        <v>1370</v>
      </c>
      <c r="Q858" s="4">
        <v>0.1</v>
      </c>
      <c r="R858" t="s">
        <v>60</v>
      </c>
      <c r="S858" t="s">
        <v>61</v>
      </c>
      <c r="T858" s="2">
        <v>19.12</v>
      </c>
      <c r="U858" t="s">
        <v>1372</v>
      </c>
    </row>
    <row r="859" spans="1:21" x14ac:dyDescent="0.25">
      <c r="A859">
        <v>2023297035</v>
      </c>
      <c r="B859" t="s">
        <v>768</v>
      </c>
      <c r="C859" t="s">
        <v>769</v>
      </c>
      <c r="D859" t="str">
        <f t="shared" si="47"/>
        <v>NATHAN BLACKLEDGE</v>
      </c>
      <c r="E859" t="s">
        <v>386</v>
      </c>
      <c r="F859" t="s">
        <v>126</v>
      </c>
      <c r="G859" t="s">
        <v>132</v>
      </c>
      <c r="H859">
        <v>8307933</v>
      </c>
      <c r="I859" t="s">
        <v>246</v>
      </c>
      <c r="J859" t="s">
        <v>247</v>
      </c>
      <c r="K859" t="str">
        <f t="shared" si="49"/>
        <v>GREGORY TEIPEL</v>
      </c>
      <c r="L859" s="1">
        <v>45449</v>
      </c>
      <c r="M859" s="1">
        <v>46028</v>
      </c>
      <c r="N859" s="2">
        <v>86.91</v>
      </c>
      <c r="O859">
        <f t="shared" si="48"/>
        <v>19</v>
      </c>
      <c r="P859" t="s">
        <v>1370</v>
      </c>
      <c r="Q859" s="4">
        <v>0.15</v>
      </c>
      <c r="R859" t="s">
        <v>60</v>
      </c>
      <c r="S859" t="s">
        <v>61</v>
      </c>
      <c r="T859" s="2">
        <v>13.04</v>
      </c>
      <c r="U859" t="s">
        <v>132</v>
      </c>
    </row>
    <row r="860" spans="1:21" x14ac:dyDescent="0.25">
      <c r="A860">
        <v>2023294110</v>
      </c>
      <c r="B860" t="s">
        <v>766</v>
      </c>
      <c r="C860" t="s">
        <v>767</v>
      </c>
      <c r="D860" t="str">
        <f t="shared" si="47"/>
        <v>BRENT ARP</v>
      </c>
      <c r="E860" t="s">
        <v>267</v>
      </c>
      <c r="F860" t="s">
        <v>86</v>
      </c>
      <c r="G860" t="s">
        <v>87</v>
      </c>
      <c r="H860">
        <v>8307933</v>
      </c>
      <c r="I860" t="s">
        <v>246</v>
      </c>
      <c r="J860" t="s">
        <v>247</v>
      </c>
      <c r="K860" t="str">
        <f t="shared" si="49"/>
        <v>GREGORY TEIPEL</v>
      </c>
      <c r="L860" s="1">
        <v>45449</v>
      </c>
      <c r="M860" s="1">
        <v>46028</v>
      </c>
      <c r="N860" s="2">
        <v>40.07</v>
      </c>
      <c r="O860">
        <f t="shared" si="48"/>
        <v>19</v>
      </c>
      <c r="P860" t="s">
        <v>1370</v>
      </c>
      <c r="Q860" s="4">
        <v>0.06</v>
      </c>
      <c r="R860" t="s">
        <v>60</v>
      </c>
      <c r="S860" t="s">
        <v>61</v>
      </c>
      <c r="T860" s="2">
        <v>2.4</v>
      </c>
      <c r="U860" t="s">
        <v>87</v>
      </c>
    </row>
    <row r="861" spans="1:21" x14ac:dyDescent="0.25">
      <c r="A861">
        <v>2023399790</v>
      </c>
      <c r="B861" t="s">
        <v>970</v>
      </c>
      <c r="C861" t="s">
        <v>71</v>
      </c>
      <c r="D861" t="str">
        <f t="shared" si="47"/>
        <v>JOHN JR</v>
      </c>
      <c r="E861" t="s">
        <v>102</v>
      </c>
      <c r="F861" t="s">
        <v>86</v>
      </c>
      <c r="G861" t="s">
        <v>87</v>
      </c>
      <c r="H861">
        <v>8307933</v>
      </c>
      <c r="I861" t="s">
        <v>246</v>
      </c>
      <c r="J861" t="s">
        <v>247</v>
      </c>
      <c r="K861" t="str">
        <f t="shared" si="49"/>
        <v>GREGORY TEIPEL</v>
      </c>
      <c r="L861" s="1">
        <v>45449</v>
      </c>
      <c r="M861" s="1">
        <v>46028</v>
      </c>
      <c r="N861" s="2">
        <v>67.84</v>
      </c>
      <c r="O861">
        <f t="shared" si="48"/>
        <v>19</v>
      </c>
      <c r="P861" t="s">
        <v>1370</v>
      </c>
      <c r="Q861" s="4">
        <v>0.06</v>
      </c>
      <c r="R861" t="s">
        <v>60</v>
      </c>
      <c r="S861" t="s">
        <v>61</v>
      </c>
      <c r="T861" s="2">
        <v>4.07</v>
      </c>
      <c r="U861" t="s">
        <v>87</v>
      </c>
    </row>
    <row r="862" spans="1:21" x14ac:dyDescent="0.25">
      <c r="A862">
        <v>2023217694</v>
      </c>
      <c r="B862" t="s">
        <v>1051</v>
      </c>
      <c r="C862" t="s">
        <v>807</v>
      </c>
      <c r="D862" t="str">
        <f t="shared" si="47"/>
        <v>STEPHANIE BAXTER</v>
      </c>
      <c r="E862" t="s">
        <v>256</v>
      </c>
      <c r="F862" t="s">
        <v>126</v>
      </c>
      <c r="G862" t="s">
        <v>375</v>
      </c>
      <c r="H862">
        <v>8307933</v>
      </c>
      <c r="I862" t="s">
        <v>246</v>
      </c>
      <c r="J862" t="s">
        <v>247</v>
      </c>
      <c r="K862" t="str">
        <f t="shared" si="49"/>
        <v>GREGORY TEIPEL</v>
      </c>
      <c r="L862" s="1">
        <v>45449</v>
      </c>
      <c r="M862" s="1">
        <v>46028</v>
      </c>
      <c r="N862" s="2">
        <v>29.42</v>
      </c>
      <c r="O862">
        <f t="shared" si="48"/>
        <v>19</v>
      </c>
      <c r="P862" t="s">
        <v>1370</v>
      </c>
      <c r="Q862" s="4">
        <v>0.1</v>
      </c>
      <c r="R862" t="s">
        <v>60</v>
      </c>
      <c r="S862" t="s">
        <v>61</v>
      </c>
      <c r="T862" s="2">
        <v>2.94</v>
      </c>
      <c r="U862" t="s">
        <v>375</v>
      </c>
    </row>
    <row r="863" spans="1:21" x14ac:dyDescent="0.25">
      <c r="A863">
        <v>2023217203</v>
      </c>
      <c r="B863" t="s">
        <v>133</v>
      </c>
      <c r="C863" t="s">
        <v>134</v>
      </c>
      <c r="D863" t="str">
        <f t="shared" si="47"/>
        <v>SHANNON RIGGAN</v>
      </c>
      <c r="E863" t="s">
        <v>135</v>
      </c>
      <c r="F863" t="s">
        <v>126</v>
      </c>
      <c r="G863" t="s">
        <v>127</v>
      </c>
      <c r="H863">
        <v>8977234</v>
      </c>
      <c r="I863" t="s">
        <v>81</v>
      </c>
      <c r="J863" t="s">
        <v>82</v>
      </c>
      <c r="K863" t="str">
        <f t="shared" si="49"/>
        <v>RYAN CALTAGIRONE</v>
      </c>
      <c r="L863" s="1">
        <v>45444</v>
      </c>
      <c r="M863" s="1">
        <v>46023</v>
      </c>
      <c r="N863" s="2">
        <v>25.73</v>
      </c>
      <c r="O863">
        <f t="shared" si="48"/>
        <v>19</v>
      </c>
      <c r="P863" t="s">
        <v>1370</v>
      </c>
      <c r="Q863" s="4">
        <v>0.15</v>
      </c>
      <c r="R863" t="s">
        <v>60</v>
      </c>
      <c r="S863" t="s">
        <v>61</v>
      </c>
      <c r="T863" s="2">
        <v>3.86</v>
      </c>
      <c r="U863" t="s">
        <v>127</v>
      </c>
    </row>
    <row r="864" spans="1:21" x14ac:dyDescent="0.25">
      <c r="A864">
        <v>2023217202</v>
      </c>
      <c r="B864" t="s">
        <v>133</v>
      </c>
      <c r="C864" t="s">
        <v>134</v>
      </c>
      <c r="D864" t="str">
        <f t="shared" si="47"/>
        <v>SHANNON RIGGAN</v>
      </c>
      <c r="E864" t="s">
        <v>135</v>
      </c>
      <c r="F864" t="s">
        <v>126</v>
      </c>
      <c r="G864" t="s">
        <v>132</v>
      </c>
      <c r="H864">
        <v>8977234</v>
      </c>
      <c r="I864" t="s">
        <v>81</v>
      </c>
      <c r="J864" t="s">
        <v>82</v>
      </c>
      <c r="K864" t="str">
        <f t="shared" si="49"/>
        <v>RYAN CALTAGIRONE</v>
      </c>
      <c r="L864" s="1">
        <v>45444</v>
      </c>
      <c r="M864" s="1">
        <v>46023</v>
      </c>
      <c r="N864" s="2">
        <v>80.8</v>
      </c>
      <c r="O864">
        <f t="shared" si="48"/>
        <v>19</v>
      </c>
      <c r="P864" t="s">
        <v>1370</v>
      </c>
      <c r="Q864" s="4">
        <v>0.15</v>
      </c>
      <c r="R864" t="s">
        <v>60</v>
      </c>
      <c r="S864" t="s">
        <v>61</v>
      </c>
      <c r="T864" s="2">
        <v>12.12</v>
      </c>
      <c r="U864" t="s">
        <v>132</v>
      </c>
    </row>
    <row r="865" spans="1:21" x14ac:dyDescent="0.25">
      <c r="A865">
        <v>2023217204</v>
      </c>
      <c r="B865" t="s">
        <v>133</v>
      </c>
      <c r="C865" t="s">
        <v>134</v>
      </c>
      <c r="D865" t="str">
        <f t="shared" si="47"/>
        <v>SHANNON RIGGAN</v>
      </c>
      <c r="E865" t="s">
        <v>135</v>
      </c>
      <c r="F865" t="s">
        <v>86</v>
      </c>
      <c r="G865" t="s">
        <v>87</v>
      </c>
      <c r="H865">
        <v>8977234</v>
      </c>
      <c r="I865" t="s">
        <v>81</v>
      </c>
      <c r="J865" t="s">
        <v>82</v>
      </c>
      <c r="K865" t="str">
        <f t="shared" si="49"/>
        <v>RYAN CALTAGIRONE</v>
      </c>
      <c r="L865" s="1">
        <v>45444</v>
      </c>
      <c r="M865" s="1">
        <v>46023</v>
      </c>
      <c r="N865" s="2">
        <v>35.39</v>
      </c>
      <c r="O865">
        <f t="shared" si="48"/>
        <v>19</v>
      </c>
      <c r="P865" t="s">
        <v>1370</v>
      </c>
      <c r="Q865" s="4">
        <v>0.06</v>
      </c>
      <c r="R865" t="s">
        <v>60</v>
      </c>
      <c r="S865" t="s">
        <v>61</v>
      </c>
      <c r="T865" s="2">
        <v>2.12</v>
      </c>
      <c r="U865" t="s">
        <v>87</v>
      </c>
    </row>
    <row r="866" spans="1:21" x14ac:dyDescent="0.25">
      <c r="A866">
        <v>2022892790</v>
      </c>
      <c r="B866" t="s">
        <v>106</v>
      </c>
      <c r="C866" t="s">
        <v>107</v>
      </c>
      <c r="D866" t="str">
        <f t="shared" si="47"/>
        <v>THOMAS AMBROSE</v>
      </c>
      <c r="E866" t="s">
        <v>52</v>
      </c>
      <c r="F866" t="s">
        <v>108</v>
      </c>
      <c r="G866" t="s">
        <v>109</v>
      </c>
      <c r="H866">
        <v>20411454</v>
      </c>
      <c r="I866" t="s">
        <v>110</v>
      </c>
      <c r="J866" t="s">
        <v>111</v>
      </c>
      <c r="K866" t="s">
        <v>1377</v>
      </c>
      <c r="L866" s="1">
        <v>45413</v>
      </c>
      <c r="M866" s="1">
        <v>46023</v>
      </c>
      <c r="N866" s="2">
        <v>5.1100000000000003</v>
      </c>
      <c r="O866">
        <f t="shared" si="48"/>
        <v>20</v>
      </c>
      <c r="P866" t="s">
        <v>1370</v>
      </c>
      <c r="Q866" s="4">
        <v>0.04</v>
      </c>
      <c r="R866" t="s">
        <v>60</v>
      </c>
      <c r="S866" t="s">
        <v>61</v>
      </c>
      <c r="T866" s="2">
        <v>5.1100000000000003</v>
      </c>
      <c r="U866" t="s">
        <v>1376</v>
      </c>
    </row>
    <row r="867" spans="1:21" x14ac:dyDescent="0.25">
      <c r="A867">
        <v>2022892794</v>
      </c>
      <c r="B867" t="s">
        <v>106</v>
      </c>
      <c r="C867" t="s">
        <v>180</v>
      </c>
      <c r="D867" t="str">
        <f t="shared" si="47"/>
        <v>DONNA AMBROSE</v>
      </c>
      <c r="E867" t="s">
        <v>52</v>
      </c>
      <c r="F867" t="s">
        <v>108</v>
      </c>
      <c r="G867" t="s">
        <v>109</v>
      </c>
      <c r="H867">
        <v>20411454</v>
      </c>
      <c r="I867" t="s">
        <v>110</v>
      </c>
      <c r="J867" t="s">
        <v>111</v>
      </c>
      <c r="K867" t="s">
        <v>1377</v>
      </c>
      <c r="L867" s="1">
        <v>45413</v>
      </c>
      <c r="M867" s="1">
        <v>46023</v>
      </c>
      <c r="N867" s="2">
        <v>4.5199999999999996</v>
      </c>
      <c r="O867">
        <f t="shared" si="48"/>
        <v>20</v>
      </c>
      <c r="P867" t="s">
        <v>1370</v>
      </c>
      <c r="Q867" s="4">
        <v>0.04</v>
      </c>
      <c r="R867" t="s">
        <v>60</v>
      </c>
      <c r="S867" t="s">
        <v>61</v>
      </c>
      <c r="T867" s="2">
        <v>4.5199999999999996</v>
      </c>
      <c r="U867" t="s">
        <v>1376</v>
      </c>
    </row>
    <row r="868" spans="1:21" x14ac:dyDescent="0.25">
      <c r="A868">
        <v>2022672449</v>
      </c>
      <c r="B868" t="s">
        <v>1271</v>
      </c>
      <c r="C868" t="s">
        <v>266</v>
      </c>
      <c r="D868" t="str">
        <f t="shared" si="47"/>
        <v>HOWARD BELLAIRE</v>
      </c>
      <c r="E868" t="s">
        <v>52</v>
      </c>
      <c r="F868" t="s">
        <v>169</v>
      </c>
      <c r="G868" t="s">
        <v>170</v>
      </c>
      <c r="H868">
        <v>17528908</v>
      </c>
      <c r="I868" t="s">
        <v>183</v>
      </c>
      <c r="J868" t="s">
        <v>184</v>
      </c>
      <c r="K868" t="str">
        <f t="shared" ref="K868:K899" si="50">CONCATENATE(J868," ",I868)</f>
        <v>DEBORAH INSKIPT</v>
      </c>
      <c r="L868" s="1">
        <v>45413</v>
      </c>
      <c r="M868" s="1">
        <v>46023</v>
      </c>
      <c r="N868" s="2">
        <v>43.59</v>
      </c>
      <c r="O868">
        <f t="shared" si="48"/>
        <v>20</v>
      </c>
      <c r="P868" t="s">
        <v>1370</v>
      </c>
      <c r="Q868" s="3">
        <v>5.2499999999999998E-2</v>
      </c>
      <c r="R868" t="s">
        <v>60</v>
      </c>
      <c r="S868" t="s">
        <v>61</v>
      </c>
      <c r="T868" s="2">
        <v>2.29</v>
      </c>
      <c r="U868" t="s">
        <v>170</v>
      </c>
    </row>
    <row r="869" spans="1:21" x14ac:dyDescent="0.25">
      <c r="A869">
        <v>2022657266</v>
      </c>
      <c r="B869" t="s">
        <v>763</v>
      </c>
      <c r="C869" t="s">
        <v>764</v>
      </c>
      <c r="D869" t="str">
        <f t="shared" si="47"/>
        <v>BONNIE CAFFEY</v>
      </c>
      <c r="E869" t="s">
        <v>97</v>
      </c>
      <c r="F869" t="s">
        <v>75</v>
      </c>
      <c r="G869" t="s">
        <v>80</v>
      </c>
      <c r="H869">
        <v>8307933</v>
      </c>
      <c r="I869" t="s">
        <v>246</v>
      </c>
      <c r="J869" t="s">
        <v>247</v>
      </c>
      <c r="K869" t="str">
        <f t="shared" si="50"/>
        <v>GREGORY TEIPEL</v>
      </c>
      <c r="L869" s="1">
        <v>45418</v>
      </c>
      <c r="M869" s="1">
        <v>46028</v>
      </c>
      <c r="N869" s="2">
        <v>139.25</v>
      </c>
      <c r="O869">
        <f t="shared" si="48"/>
        <v>20</v>
      </c>
      <c r="P869" t="s">
        <v>1370</v>
      </c>
      <c r="Q869" s="4">
        <v>0.1</v>
      </c>
      <c r="R869" t="s">
        <v>60</v>
      </c>
      <c r="S869" t="s">
        <v>61</v>
      </c>
      <c r="T869" s="2">
        <v>13.92</v>
      </c>
      <c r="U869" t="s">
        <v>1372</v>
      </c>
    </row>
    <row r="870" spans="1:21" x14ac:dyDescent="0.25">
      <c r="A870">
        <v>2022807452</v>
      </c>
      <c r="B870" t="s">
        <v>1050</v>
      </c>
      <c r="C870" t="s">
        <v>71</v>
      </c>
      <c r="D870" t="str">
        <f t="shared" si="47"/>
        <v>JOHN ZURAITIS</v>
      </c>
      <c r="E870" t="s">
        <v>102</v>
      </c>
      <c r="F870" t="s">
        <v>126</v>
      </c>
      <c r="G870" t="s">
        <v>132</v>
      </c>
      <c r="H870">
        <v>8307933</v>
      </c>
      <c r="I870" t="s">
        <v>246</v>
      </c>
      <c r="J870" t="s">
        <v>247</v>
      </c>
      <c r="K870" t="str">
        <f t="shared" si="50"/>
        <v>GREGORY TEIPEL</v>
      </c>
      <c r="L870" s="1">
        <v>45418</v>
      </c>
      <c r="M870" s="1">
        <v>46028</v>
      </c>
      <c r="N870" s="2">
        <v>148.27000000000001</v>
      </c>
      <c r="O870">
        <f t="shared" si="48"/>
        <v>20</v>
      </c>
      <c r="P870" t="s">
        <v>1370</v>
      </c>
      <c r="Q870" s="4">
        <v>0.15</v>
      </c>
      <c r="R870" t="s">
        <v>60</v>
      </c>
      <c r="S870" t="s">
        <v>61</v>
      </c>
      <c r="T870" s="2">
        <v>22.24</v>
      </c>
      <c r="U870" t="s">
        <v>132</v>
      </c>
    </row>
    <row r="871" spans="1:21" x14ac:dyDescent="0.25">
      <c r="A871">
        <v>2022736430</v>
      </c>
      <c r="B871" t="s">
        <v>1272</v>
      </c>
      <c r="C871" t="s">
        <v>168</v>
      </c>
      <c r="D871" t="str">
        <f t="shared" si="47"/>
        <v>DIANE BRYANT</v>
      </c>
      <c r="E871" t="s">
        <v>52</v>
      </c>
      <c r="F871" t="s">
        <v>169</v>
      </c>
      <c r="G871" t="s">
        <v>170</v>
      </c>
      <c r="H871">
        <v>15278437</v>
      </c>
      <c r="I871" t="s">
        <v>64</v>
      </c>
      <c r="J871" t="s">
        <v>65</v>
      </c>
      <c r="K871" t="str">
        <f t="shared" si="50"/>
        <v>JASON HOFFMANN</v>
      </c>
      <c r="L871" s="1">
        <v>45413</v>
      </c>
      <c r="M871" s="1">
        <v>46023</v>
      </c>
      <c r="N871" s="2">
        <v>45.54</v>
      </c>
      <c r="O871">
        <f t="shared" si="48"/>
        <v>20</v>
      </c>
      <c r="P871" t="s">
        <v>1370</v>
      </c>
      <c r="Q871" s="3">
        <v>5.2499999999999998E-2</v>
      </c>
      <c r="R871" t="s">
        <v>60</v>
      </c>
      <c r="S871" t="s">
        <v>61</v>
      </c>
      <c r="T871" s="2">
        <v>2.39</v>
      </c>
      <c r="U871" t="s">
        <v>170</v>
      </c>
    </row>
    <row r="872" spans="1:21" x14ac:dyDescent="0.25">
      <c r="A872">
        <v>2023010065</v>
      </c>
      <c r="B872" t="s">
        <v>638</v>
      </c>
      <c r="C872" t="s">
        <v>639</v>
      </c>
      <c r="D872" t="str">
        <f t="shared" si="47"/>
        <v>CARL BROWN</v>
      </c>
      <c r="E872" t="s">
        <v>131</v>
      </c>
      <c r="F872" t="s">
        <v>290</v>
      </c>
      <c r="G872" t="s">
        <v>295</v>
      </c>
      <c r="H872">
        <v>18781057</v>
      </c>
      <c r="I872" t="s">
        <v>70</v>
      </c>
      <c r="J872" t="s">
        <v>71</v>
      </c>
      <c r="K872" t="str">
        <f t="shared" si="50"/>
        <v>JOHN ROKEN</v>
      </c>
      <c r="L872" s="1">
        <v>45419</v>
      </c>
      <c r="M872" s="1">
        <v>46029</v>
      </c>
      <c r="N872" s="2">
        <v>15</v>
      </c>
      <c r="O872">
        <f t="shared" si="48"/>
        <v>20</v>
      </c>
      <c r="P872" t="s">
        <v>1370</v>
      </c>
      <c r="Q872" s="4">
        <v>0.1</v>
      </c>
      <c r="R872" t="s">
        <v>60</v>
      </c>
      <c r="S872" t="s">
        <v>61</v>
      </c>
      <c r="T872" s="2">
        <v>1.5</v>
      </c>
      <c r="U872" t="s">
        <v>295</v>
      </c>
    </row>
    <row r="873" spans="1:21" x14ac:dyDescent="0.25">
      <c r="A873">
        <v>2023048532</v>
      </c>
      <c r="B873" t="s">
        <v>640</v>
      </c>
      <c r="C873" t="s">
        <v>322</v>
      </c>
      <c r="D873" t="str">
        <f t="shared" si="47"/>
        <v>RANDY RUBINFELD</v>
      </c>
      <c r="E873" t="s">
        <v>131</v>
      </c>
      <c r="F873" t="s">
        <v>290</v>
      </c>
      <c r="G873" t="s">
        <v>295</v>
      </c>
      <c r="H873">
        <v>18781057</v>
      </c>
      <c r="I873" t="s">
        <v>70</v>
      </c>
      <c r="J873" t="s">
        <v>71</v>
      </c>
      <c r="K873" t="str">
        <f t="shared" si="50"/>
        <v>JOHN ROKEN</v>
      </c>
      <c r="L873" s="1">
        <v>45422</v>
      </c>
      <c r="M873" s="1">
        <v>46032</v>
      </c>
      <c r="N873" s="2">
        <v>15</v>
      </c>
      <c r="O873">
        <f t="shared" si="48"/>
        <v>20</v>
      </c>
      <c r="P873" t="s">
        <v>1370</v>
      </c>
      <c r="Q873" s="4">
        <v>0.1</v>
      </c>
      <c r="R873" t="s">
        <v>60</v>
      </c>
      <c r="S873" t="s">
        <v>61</v>
      </c>
      <c r="T873" s="2">
        <v>1.5</v>
      </c>
      <c r="U873" t="s">
        <v>295</v>
      </c>
    </row>
    <row r="874" spans="1:21" x14ac:dyDescent="0.25">
      <c r="A874">
        <v>2022802829</v>
      </c>
      <c r="B874" t="s">
        <v>640</v>
      </c>
      <c r="C874" t="s">
        <v>1273</v>
      </c>
      <c r="D874" t="str">
        <f t="shared" si="47"/>
        <v>ANA RUBINFELD</v>
      </c>
      <c r="E874" t="s">
        <v>131</v>
      </c>
      <c r="F874" t="s">
        <v>169</v>
      </c>
      <c r="G874" t="s">
        <v>1275</v>
      </c>
      <c r="H874">
        <v>18781057</v>
      </c>
      <c r="I874" t="s">
        <v>70</v>
      </c>
      <c r="J874" t="s">
        <v>71</v>
      </c>
      <c r="K874" t="str">
        <f t="shared" si="50"/>
        <v>JOHN ROKEN</v>
      </c>
      <c r="L874" s="1">
        <v>45413</v>
      </c>
      <c r="M874" s="1">
        <v>46023</v>
      </c>
      <c r="N874" s="2">
        <v>14.95</v>
      </c>
      <c r="O874">
        <f t="shared" si="48"/>
        <v>20</v>
      </c>
      <c r="P874" t="s">
        <v>1370</v>
      </c>
      <c r="Q874" s="4">
        <v>0.08</v>
      </c>
      <c r="R874" t="s">
        <v>60</v>
      </c>
      <c r="S874" t="s">
        <v>61</v>
      </c>
      <c r="T874" s="2">
        <v>1.2</v>
      </c>
      <c r="U874" t="s">
        <v>1274</v>
      </c>
    </row>
    <row r="875" spans="1:21" x14ac:dyDescent="0.25">
      <c r="A875">
        <v>2022853291</v>
      </c>
      <c r="B875" t="s">
        <v>68</v>
      </c>
      <c r="C875" t="s">
        <v>69</v>
      </c>
      <c r="D875" t="str">
        <f t="shared" si="47"/>
        <v>GREG BERLACHER</v>
      </c>
      <c r="E875" t="s">
        <v>52</v>
      </c>
      <c r="F875" t="s">
        <v>169</v>
      </c>
      <c r="G875" t="s">
        <v>170</v>
      </c>
      <c r="H875">
        <v>18781057</v>
      </c>
      <c r="I875" t="s">
        <v>70</v>
      </c>
      <c r="J875" t="s">
        <v>71</v>
      </c>
      <c r="K875" t="str">
        <f t="shared" si="50"/>
        <v>JOHN ROKEN</v>
      </c>
      <c r="L875" s="1">
        <v>45413</v>
      </c>
      <c r="M875" s="1">
        <v>46023</v>
      </c>
      <c r="N875" s="2">
        <v>46.01</v>
      </c>
      <c r="O875">
        <f t="shared" si="48"/>
        <v>20</v>
      </c>
      <c r="P875" t="s">
        <v>1370</v>
      </c>
      <c r="Q875" s="3">
        <v>5.2499999999999998E-2</v>
      </c>
      <c r="R875" t="s">
        <v>60</v>
      </c>
      <c r="S875" t="s">
        <v>61</v>
      </c>
      <c r="T875" s="2">
        <v>2.42</v>
      </c>
      <c r="U875" t="s">
        <v>170</v>
      </c>
    </row>
    <row r="876" spans="1:21" x14ac:dyDescent="0.25">
      <c r="A876">
        <v>2022747853</v>
      </c>
      <c r="B876" t="s">
        <v>634</v>
      </c>
      <c r="C876" t="s">
        <v>635</v>
      </c>
      <c r="D876" t="str">
        <f t="shared" si="47"/>
        <v>NANCY SOLIVAN</v>
      </c>
      <c r="E876" t="s">
        <v>52</v>
      </c>
      <c r="F876" t="s">
        <v>365</v>
      </c>
      <c r="G876" t="s">
        <v>366</v>
      </c>
      <c r="H876">
        <v>18781057</v>
      </c>
      <c r="I876" t="s">
        <v>70</v>
      </c>
      <c r="J876" t="s">
        <v>71</v>
      </c>
      <c r="K876" t="str">
        <f t="shared" si="50"/>
        <v>JOHN ROKEN</v>
      </c>
      <c r="L876" s="1">
        <v>45413</v>
      </c>
      <c r="M876" s="1">
        <v>46023</v>
      </c>
      <c r="N876" s="2">
        <v>61.39</v>
      </c>
      <c r="O876">
        <f t="shared" si="48"/>
        <v>20</v>
      </c>
      <c r="P876" t="s">
        <v>1370</v>
      </c>
      <c r="Q876" s="4">
        <v>0.1</v>
      </c>
      <c r="R876" t="s">
        <v>60</v>
      </c>
      <c r="S876" t="s">
        <v>61</v>
      </c>
      <c r="T876" s="2">
        <v>6.14</v>
      </c>
      <c r="U876" t="s">
        <v>366</v>
      </c>
    </row>
    <row r="877" spans="1:21" x14ac:dyDescent="0.25">
      <c r="A877">
        <v>2022853292</v>
      </c>
      <c r="B877" t="s">
        <v>68</v>
      </c>
      <c r="C877" t="s">
        <v>69</v>
      </c>
      <c r="D877" t="str">
        <f t="shared" si="47"/>
        <v>GREG BERLACHER</v>
      </c>
      <c r="E877" t="s">
        <v>52</v>
      </c>
      <c r="F877" t="s">
        <v>365</v>
      </c>
      <c r="G877" t="s">
        <v>366</v>
      </c>
      <c r="H877">
        <v>18781057</v>
      </c>
      <c r="I877" t="s">
        <v>70</v>
      </c>
      <c r="J877" t="s">
        <v>71</v>
      </c>
      <c r="K877" t="str">
        <f t="shared" si="50"/>
        <v>JOHN ROKEN</v>
      </c>
      <c r="L877" s="1">
        <v>45413</v>
      </c>
      <c r="M877" s="1">
        <v>46023</v>
      </c>
      <c r="N877" s="2">
        <v>116.64</v>
      </c>
      <c r="O877">
        <f t="shared" si="48"/>
        <v>20</v>
      </c>
      <c r="P877" t="s">
        <v>1370</v>
      </c>
      <c r="Q877" s="4">
        <v>0.1</v>
      </c>
      <c r="R877" t="s">
        <v>60</v>
      </c>
      <c r="S877" t="s">
        <v>61</v>
      </c>
      <c r="T877" s="2">
        <v>11.66</v>
      </c>
      <c r="U877" t="s">
        <v>366</v>
      </c>
    </row>
    <row r="878" spans="1:21" x14ac:dyDescent="0.25">
      <c r="A878">
        <v>2022874966</v>
      </c>
      <c r="B878" t="s">
        <v>636</v>
      </c>
      <c r="C878" t="s">
        <v>637</v>
      </c>
      <c r="D878" t="str">
        <f t="shared" si="47"/>
        <v>TERRI SHUMINSKY</v>
      </c>
      <c r="E878" t="s">
        <v>52</v>
      </c>
      <c r="F878" t="s">
        <v>365</v>
      </c>
      <c r="G878" t="s">
        <v>366</v>
      </c>
      <c r="H878">
        <v>18781057</v>
      </c>
      <c r="I878" t="s">
        <v>70</v>
      </c>
      <c r="J878" t="s">
        <v>71</v>
      </c>
      <c r="K878" t="str">
        <f t="shared" si="50"/>
        <v>JOHN ROKEN</v>
      </c>
      <c r="L878" s="1">
        <v>45413</v>
      </c>
      <c r="M878" s="1">
        <v>46023</v>
      </c>
      <c r="N878" s="2">
        <v>69.63</v>
      </c>
      <c r="O878">
        <f t="shared" si="48"/>
        <v>20</v>
      </c>
      <c r="P878" t="s">
        <v>1370</v>
      </c>
      <c r="Q878" s="4">
        <v>0.1</v>
      </c>
      <c r="R878" t="s">
        <v>60</v>
      </c>
      <c r="S878" t="s">
        <v>61</v>
      </c>
      <c r="T878" s="2">
        <v>6.96</v>
      </c>
      <c r="U878" t="s">
        <v>366</v>
      </c>
    </row>
    <row r="879" spans="1:21" x14ac:dyDescent="0.25">
      <c r="A879">
        <v>2023010064</v>
      </c>
      <c r="B879" t="s">
        <v>638</v>
      </c>
      <c r="C879" t="s">
        <v>639</v>
      </c>
      <c r="D879" t="str">
        <f t="shared" si="47"/>
        <v>CARL BROWN</v>
      </c>
      <c r="E879" t="s">
        <v>131</v>
      </c>
      <c r="F879" t="s">
        <v>365</v>
      </c>
      <c r="G879" t="s">
        <v>366</v>
      </c>
      <c r="H879">
        <v>18781057</v>
      </c>
      <c r="I879" t="s">
        <v>70</v>
      </c>
      <c r="J879" t="s">
        <v>71</v>
      </c>
      <c r="K879" t="str">
        <f t="shared" si="50"/>
        <v>JOHN ROKEN</v>
      </c>
      <c r="L879" s="1">
        <v>45419</v>
      </c>
      <c r="M879" s="1">
        <v>46029</v>
      </c>
      <c r="N879" s="2">
        <v>17.34</v>
      </c>
      <c r="O879">
        <f t="shared" si="48"/>
        <v>20</v>
      </c>
      <c r="P879" t="s">
        <v>1370</v>
      </c>
      <c r="Q879" s="4">
        <v>0.1</v>
      </c>
      <c r="R879" t="s">
        <v>60</v>
      </c>
      <c r="S879" t="s">
        <v>61</v>
      </c>
      <c r="T879" s="2">
        <v>1.73</v>
      </c>
      <c r="U879" t="s">
        <v>366</v>
      </c>
    </row>
    <row r="880" spans="1:21" x14ac:dyDescent="0.25">
      <c r="A880">
        <v>2023048531</v>
      </c>
      <c r="B880" t="s">
        <v>640</v>
      </c>
      <c r="C880" t="s">
        <v>322</v>
      </c>
      <c r="D880" t="str">
        <f t="shared" si="47"/>
        <v>RANDY RUBINFELD</v>
      </c>
      <c r="E880" t="s">
        <v>131</v>
      </c>
      <c r="F880" t="s">
        <v>365</v>
      </c>
      <c r="G880" t="s">
        <v>366</v>
      </c>
      <c r="H880">
        <v>18781057</v>
      </c>
      <c r="I880" t="s">
        <v>70</v>
      </c>
      <c r="J880" t="s">
        <v>71</v>
      </c>
      <c r="K880" t="str">
        <f t="shared" si="50"/>
        <v>JOHN ROKEN</v>
      </c>
      <c r="L880" s="1">
        <v>45422</v>
      </c>
      <c r="M880" s="1">
        <v>46032</v>
      </c>
      <c r="N880" s="2">
        <v>55.07</v>
      </c>
      <c r="O880">
        <f t="shared" si="48"/>
        <v>20</v>
      </c>
      <c r="P880" t="s">
        <v>1370</v>
      </c>
      <c r="Q880" s="4">
        <v>0.1</v>
      </c>
      <c r="R880" t="s">
        <v>60</v>
      </c>
      <c r="S880" t="s">
        <v>61</v>
      </c>
      <c r="T880" s="2">
        <v>5.51</v>
      </c>
      <c r="U880" t="s">
        <v>366</v>
      </c>
    </row>
    <row r="881" spans="1:21" x14ac:dyDescent="0.25">
      <c r="A881">
        <v>2022802828</v>
      </c>
      <c r="B881" t="s">
        <v>640</v>
      </c>
      <c r="C881" t="s">
        <v>1273</v>
      </c>
      <c r="D881" t="str">
        <f t="shared" si="47"/>
        <v>ANA RUBINFELD</v>
      </c>
      <c r="E881" t="s">
        <v>131</v>
      </c>
      <c r="F881" t="s">
        <v>169</v>
      </c>
      <c r="G881" t="s">
        <v>1274</v>
      </c>
      <c r="H881">
        <v>18781057</v>
      </c>
      <c r="I881" t="s">
        <v>70</v>
      </c>
      <c r="J881" t="s">
        <v>71</v>
      </c>
      <c r="K881" t="str">
        <f t="shared" si="50"/>
        <v>JOHN ROKEN</v>
      </c>
      <c r="L881" s="1">
        <v>45413</v>
      </c>
      <c r="M881" s="1">
        <v>46023</v>
      </c>
      <c r="N881" s="2">
        <v>35.270000000000003</v>
      </c>
      <c r="O881">
        <f t="shared" si="48"/>
        <v>20</v>
      </c>
      <c r="P881" t="s">
        <v>1370</v>
      </c>
      <c r="Q881" s="4">
        <v>0.08</v>
      </c>
      <c r="R881" t="s">
        <v>60</v>
      </c>
      <c r="S881" t="s">
        <v>61</v>
      </c>
      <c r="T881" s="2">
        <v>2.82</v>
      </c>
      <c r="U881" t="s">
        <v>1274</v>
      </c>
    </row>
    <row r="882" spans="1:21" x14ac:dyDescent="0.25">
      <c r="A882">
        <v>2022747854</v>
      </c>
      <c r="B882" t="s">
        <v>634</v>
      </c>
      <c r="C882" t="s">
        <v>635</v>
      </c>
      <c r="D882" t="str">
        <f t="shared" si="47"/>
        <v>NANCY SOLIVAN</v>
      </c>
      <c r="E882" t="s">
        <v>52</v>
      </c>
      <c r="F882" t="s">
        <v>86</v>
      </c>
      <c r="G882" t="s">
        <v>87</v>
      </c>
      <c r="H882">
        <v>18781057</v>
      </c>
      <c r="I882" t="s">
        <v>70</v>
      </c>
      <c r="J882" t="s">
        <v>71</v>
      </c>
      <c r="K882" t="str">
        <f t="shared" si="50"/>
        <v>JOHN ROKEN</v>
      </c>
      <c r="L882" s="1">
        <v>45413</v>
      </c>
      <c r="M882" s="1">
        <v>46023</v>
      </c>
      <c r="N882" s="2">
        <v>36.11</v>
      </c>
      <c r="O882">
        <f t="shared" si="48"/>
        <v>20</v>
      </c>
      <c r="P882" t="s">
        <v>1370</v>
      </c>
      <c r="Q882" s="4">
        <v>0.06</v>
      </c>
      <c r="R882" t="s">
        <v>60</v>
      </c>
      <c r="S882" t="s">
        <v>61</v>
      </c>
      <c r="T882" s="2">
        <v>2.17</v>
      </c>
      <c r="U882" t="s">
        <v>87</v>
      </c>
    </row>
    <row r="883" spans="1:21" x14ac:dyDescent="0.25">
      <c r="A883">
        <v>2023048530</v>
      </c>
      <c r="B883" t="s">
        <v>640</v>
      </c>
      <c r="C883" t="s">
        <v>322</v>
      </c>
      <c r="D883" t="str">
        <f t="shared" si="47"/>
        <v>RANDY RUBINFELD</v>
      </c>
      <c r="E883" t="s">
        <v>131</v>
      </c>
      <c r="F883" t="s">
        <v>86</v>
      </c>
      <c r="G883" t="s">
        <v>87</v>
      </c>
      <c r="H883">
        <v>18781057</v>
      </c>
      <c r="I883" t="s">
        <v>70</v>
      </c>
      <c r="J883" t="s">
        <v>71</v>
      </c>
      <c r="K883" t="str">
        <f t="shared" si="50"/>
        <v>JOHN ROKEN</v>
      </c>
      <c r="L883" s="1">
        <v>45422</v>
      </c>
      <c r="M883" s="1">
        <v>46032</v>
      </c>
      <c r="N883" s="2">
        <v>119.64</v>
      </c>
      <c r="O883">
        <f t="shared" si="48"/>
        <v>20</v>
      </c>
      <c r="P883" t="s">
        <v>1370</v>
      </c>
      <c r="Q883" s="4">
        <v>0.06</v>
      </c>
      <c r="R883" t="s">
        <v>60</v>
      </c>
      <c r="S883" t="s">
        <v>61</v>
      </c>
      <c r="T883" s="2">
        <v>7.18</v>
      </c>
      <c r="U883" t="s">
        <v>87</v>
      </c>
    </row>
    <row r="884" spans="1:21" x14ac:dyDescent="0.25">
      <c r="A884">
        <v>2022853293</v>
      </c>
      <c r="B884" t="s">
        <v>68</v>
      </c>
      <c r="C884" t="s">
        <v>69</v>
      </c>
      <c r="D884" t="str">
        <f t="shared" si="47"/>
        <v>GREG BERLACHER</v>
      </c>
      <c r="E884" t="s">
        <v>52</v>
      </c>
      <c r="F884" t="s">
        <v>53</v>
      </c>
      <c r="G884" t="s">
        <v>54</v>
      </c>
      <c r="H884">
        <v>18781057</v>
      </c>
      <c r="I884" t="s">
        <v>70</v>
      </c>
      <c r="J884" t="s">
        <v>71</v>
      </c>
      <c r="K884" t="str">
        <f t="shared" si="50"/>
        <v>JOHN ROKEN</v>
      </c>
      <c r="L884" s="1">
        <v>45413</v>
      </c>
      <c r="M884" s="1">
        <v>46023</v>
      </c>
      <c r="N884" s="2">
        <v>79.75</v>
      </c>
      <c r="O884">
        <f t="shared" si="48"/>
        <v>20</v>
      </c>
      <c r="P884" t="s">
        <v>1370</v>
      </c>
      <c r="Q884" s="3">
        <v>6.5000000000000002E-2</v>
      </c>
      <c r="R884" t="s">
        <v>60</v>
      </c>
      <c r="S884" t="s">
        <v>61</v>
      </c>
      <c r="T884" s="2">
        <v>5.18</v>
      </c>
      <c r="U884" t="s">
        <v>54</v>
      </c>
    </row>
    <row r="885" spans="1:21" x14ac:dyDescent="0.25">
      <c r="A885">
        <v>2022645069</v>
      </c>
      <c r="B885" t="s">
        <v>798</v>
      </c>
      <c r="C885" t="s">
        <v>827</v>
      </c>
      <c r="D885" t="str">
        <f t="shared" si="47"/>
        <v>CHRISTOPHER LEVY</v>
      </c>
      <c r="E885" t="s">
        <v>52</v>
      </c>
      <c r="F885" t="s">
        <v>86</v>
      </c>
      <c r="G885" t="s">
        <v>87</v>
      </c>
      <c r="H885">
        <v>19278370</v>
      </c>
      <c r="I885" t="s">
        <v>187</v>
      </c>
      <c r="J885" t="s">
        <v>188</v>
      </c>
      <c r="K885" t="str">
        <f t="shared" si="50"/>
        <v>ANNE MARIE KOZACHECK</v>
      </c>
      <c r="L885" s="1">
        <v>45392</v>
      </c>
      <c r="M885" s="1">
        <v>46032</v>
      </c>
      <c r="N885" s="2">
        <v>39.979999999999997</v>
      </c>
      <c r="O885">
        <f t="shared" si="48"/>
        <v>21</v>
      </c>
      <c r="P885" t="s">
        <v>1370</v>
      </c>
      <c r="Q885" s="4">
        <v>0.06</v>
      </c>
      <c r="R885" t="s">
        <v>60</v>
      </c>
      <c r="S885" t="s">
        <v>61</v>
      </c>
      <c r="T885" s="2">
        <v>2.4</v>
      </c>
      <c r="U885" t="s">
        <v>87</v>
      </c>
    </row>
    <row r="886" spans="1:21" x14ac:dyDescent="0.25">
      <c r="A886">
        <v>2022484796</v>
      </c>
      <c r="B886" t="s">
        <v>711</v>
      </c>
      <c r="C886" t="s">
        <v>182</v>
      </c>
      <c r="D886" t="str">
        <f t="shared" si="47"/>
        <v>MICHAEL SPROAT</v>
      </c>
      <c r="E886" t="s">
        <v>52</v>
      </c>
      <c r="F886" t="s">
        <v>108</v>
      </c>
      <c r="G886" t="s">
        <v>109</v>
      </c>
      <c r="H886" t="s">
        <v>1388</v>
      </c>
      <c r="I886" t="s">
        <v>88</v>
      </c>
      <c r="J886" t="s">
        <v>89</v>
      </c>
      <c r="K886" t="str">
        <f t="shared" si="50"/>
        <v>CAROL FOLEY</v>
      </c>
      <c r="L886" s="1">
        <v>45383</v>
      </c>
      <c r="M886" s="1">
        <v>46023</v>
      </c>
      <c r="N886" s="2">
        <v>131.93</v>
      </c>
      <c r="O886">
        <f t="shared" si="48"/>
        <v>21</v>
      </c>
      <c r="P886" t="s">
        <v>1370</v>
      </c>
      <c r="Q886" s="4">
        <v>0.26</v>
      </c>
      <c r="R886" t="s">
        <v>60</v>
      </c>
      <c r="S886" t="s">
        <v>61</v>
      </c>
      <c r="T886" s="2">
        <v>34.299999999999997</v>
      </c>
      <c r="U886" t="s">
        <v>1384</v>
      </c>
    </row>
    <row r="887" spans="1:21" x14ac:dyDescent="0.25">
      <c r="A887">
        <v>2022548915</v>
      </c>
      <c r="B887" t="s">
        <v>770</v>
      </c>
      <c r="C887" t="s">
        <v>813</v>
      </c>
      <c r="D887" t="str">
        <f t="shared" si="47"/>
        <v>MICHELE FOSTER</v>
      </c>
      <c r="E887" t="s">
        <v>52</v>
      </c>
      <c r="F887" t="s">
        <v>169</v>
      </c>
      <c r="G887" t="s">
        <v>170</v>
      </c>
      <c r="H887">
        <v>17528908</v>
      </c>
      <c r="I887" t="s">
        <v>183</v>
      </c>
      <c r="J887" t="s">
        <v>184</v>
      </c>
      <c r="K887" t="str">
        <f t="shared" si="50"/>
        <v>DEBORAH INSKIPT</v>
      </c>
      <c r="L887" s="1">
        <v>45385</v>
      </c>
      <c r="M887" s="1">
        <v>46025</v>
      </c>
      <c r="N887" s="2">
        <v>56.88</v>
      </c>
      <c r="O887">
        <f t="shared" si="48"/>
        <v>21</v>
      </c>
      <c r="P887" t="s">
        <v>1370</v>
      </c>
      <c r="Q887" s="3">
        <v>5.2499999999999998E-2</v>
      </c>
      <c r="R887" t="s">
        <v>60</v>
      </c>
      <c r="S887" t="s">
        <v>61</v>
      </c>
      <c r="T887" s="2">
        <v>2.99</v>
      </c>
      <c r="U887" t="s">
        <v>170</v>
      </c>
    </row>
    <row r="888" spans="1:21" x14ac:dyDescent="0.25">
      <c r="A888">
        <v>2022532902</v>
      </c>
      <c r="B888" t="s">
        <v>1270</v>
      </c>
      <c r="C888" t="s">
        <v>1188</v>
      </c>
      <c r="D888" t="str">
        <f t="shared" si="47"/>
        <v>EDWARD CHISMAR</v>
      </c>
      <c r="E888" t="s">
        <v>52</v>
      </c>
      <c r="F888" t="s">
        <v>169</v>
      </c>
      <c r="G888" t="s">
        <v>170</v>
      </c>
      <c r="H888">
        <v>17528908</v>
      </c>
      <c r="I888" t="s">
        <v>183</v>
      </c>
      <c r="J888" t="s">
        <v>184</v>
      </c>
      <c r="K888" t="str">
        <f t="shared" si="50"/>
        <v>DEBORAH INSKIPT</v>
      </c>
      <c r="L888" s="1">
        <v>45384</v>
      </c>
      <c r="M888" s="1">
        <v>46024</v>
      </c>
      <c r="N888" s="2">
        <v>50.6</v>
      </c>
      <c r="O888">
        <f t="shared" si="48"/>
        <v>21</v>
      </c>
      <c r="P888" t="s">
        <v>1370</v>
      </c>
      <c r="Q888" s="3">
        <v>5.2499999999999998E-2</v>
      </c>
      <c r="R888" t="s">
        <v>60</v>
      </c>
      <c r="S888" t="s">
        <v>61</v>
      </c>
      <c r="T888" s="2">
        <v>2.66</v>
      </c>
      <c r="U888" t="s">
        <v>170</v>
      </c>
    </row>
    <row r="889" spans="1:21" x14ac:dyDescent="0.25">
      <c r="A889">
        <v>2021795177</v>
      </c>
      <c r="B889" t="s">
        <v>1265</v>
      </c>
      <c r="C889" t="s">
        <v>89</v>
      </c>
      <c r="D889" t="str">
        <f t="shared" si="47"/>
        <v>CAROL TAGUE</v>
      </c>
      <c r="E889" t="s">
        <v>52</v>
      </c>
      <c r="F889" t="s">
        <v>169</v>
      </c>
      <c r="G889" t="s">
        <v>170</v>
      </c>
      <c r="H889">
        <v>17528908</v>
      </c>
      <c r="I889" t="s">
        <v>183</v>
      </c>
      <c r="J889" t="s">
        <v>184</v>
      </c>
      <c r="K889" t="str">
        <f t="shared" si="50"/>
        <v>DEBORAH INSKIPT</v>
      </c>
      <c r="L889" s="1">
        <v>45383</v>
      </c>
      <c r="M889" s="1">
        <v>46023</v>
      </c>
      <c r="N889" s="2">
        <v>43.59</v>
      </c>
      <c r="O889">
        <f t="shared" si="48"/>
        <v>21</v>
      </c>
      <c r="P889" t="s">
        <v>1370</v>
      </c>
      <c r="Q889" s="3">
        <v>5.2499999999999998E-2</v>
      </c>
      <c r="R889" t="s">
        <v>60</v>
      </c>
      <c r="S889" t="s">
        <v>61</v>
      </c>
      <c r="T889" s="2">
        <v>2.29</v>
      </c>
      <c r="U889" t="s">
        <v>170</v>
      </c>
    </row>
    <row r="890" spans="1:21" x14ac:dyDescent="0.25">
      <c r="A890">
        <v>2022253036</v>
      </c>
      <c r="B890" t="s">
        <v>1266</v>
      </c>
      <c r="C890" t="s">
        <v>1267</v>
      </c>
      <c r="D890" t="str">
        <f t="shared" si="47"/>
        <v>CHERYL KENST</v>
      </c>
      <c r="E890" t="s">
        <v>52</v>
      </c>
      <c r="F890" t="s">
        <v>169</v>
      </c>
      <c r="G890" t="s">
        <v>170</v>
      </c>
      <c r="H890">
        <v>17528908</v>
      </c>
      <c r="I890" t="s">
        <v>183</v>
      </c>
      <c r="J890" t="s">
        <v>184</v>
      </c>
      <c r="K890" t="str">
        <f t="shared" si="50"/>
        <v>DEBORAH INSKIPT</v>
      </c>
      <c r="L890" s="1">
        <v>45383</v>
      </c>
      <c r="M890" s="1">
        <v>46023</v>
      </c>
      <c r="N890" s="2">
        <v>43.59</v>
      </c>
      <c r="O890">
        <f t="shared" si="48"/>
        <v>21</v>
      </c>
      <c r="P890" t="s">
        <v>1370</v>
      </c>
      <c r="Q890" s="3">
        <v>5.2499999999999998E-2</v>
      </c>
      <c r="R890" t="s">
        <v>60</v>
      </c>
      <c r="S890" t="s">
        <v>61</v>
      </c>
      <c r="T890" s="2">
        <v>2.29</v>
      </c>
      <c r="U890" t="s">
        <v>170</v>
      </c>
    </row>
    <row r="891" spans="1:21" x14ac:dyDescent="0.25">
      <c r="A891">
        <v>2022385257</v>
      </c>
      <c r="B891" t="s">
        <v>293</v>
      </c>
      <c r="C891" t="s">
        <v>144</v>
      </c>
      <c r="D891" t="str">
        <f t="shared" si="47"/>
        <v>STEVEN JOHNSON</v>
      </c>
      <c r="E891" t="s">
        <v>125</v>
      </c>
      <c r="F891" t="s">
        <v>75</v>
      </c>
      <c r="G891" t="s">
        <v>739</v>
      </c>
      <c r="H891">
        <v>8307933</v>
      </c>
      <c r="I891" t="s">
        <v>246</v>
      </c>
      <c r="J891" t="s">
        <v>247</v>
      </c>
      <c r="K891" t="str">
        <f t="shared" si="50"/>
        <v>GREGORY TEIPEL</v>
      </c>
      <c r="L891" s="1">
        <v>45388</v>
      </c>
      <c r="M891" s="1">
        <v>46028</v>
      </c>
      <c r="N891" s="2">
        <v>17.86</v>
      </c>
      <c r="O891">
        <f t="shared" si="48"/>
        <v>21</v>
      </c>
      <c r="P891" t="s">
        <v>1370</v>
      </c>
      <c r="Q891" s="4">
        <v>0.1</v>
      </c>
      <c r="R891" t="s">
        <v>60</v>
      </c>
      <c r="S891" t="s">
        <v>61</v>
      </c>
      <c r="T891" s="2">
        <v>1.79</v>
      </c>
      <c r="U891" t="s">
        <v>1380</v>
      </c>
    </row>
    <row r="892" spans="1:21" x14ac:dyDescent="0.25">
      <c r="A892">
        <v>2022505612</v>
      </c>
      <c r="B892" t="s">
        <v>762</v>
      </c>
      <c r="C892" t="s">
        <v>411</v>
      </c>
      <c r="D892" t="str">
        <f t="shared" si="47"/>
        <v>LARRY MORRISON</v>
      </c>
      <c r="E892" t="s">
        <v>374</v>
      </c>
      <c r="F892" t="s">
        <v>75</v>
      </c>
      <c r="G892" t="s">
        <v>80</v>
      </c>
      <c r="H892">
        <v>8307933</v>
      </c>
      <c r="I892" t="s">
        <v>246</v>
      </c>
      <c r="J892" t="s">
        <v>247</v>
      </c>
      <c r="K892" t="str">
        <f t="shared" si="50"/>
        <v>GREGORY TEIPEL</v>
      </c>
      <c r="L892" s="1">
        <v>45389</v>
      </c>
      <c r="M892" s="1">
        <v>46029</v>
      </c>
      <c r="N892" s="2">
        <v>180.88</v>
      </c>
      <c r="O892">
        <f t="shared" si="48"/>
        <v>21</v>
      </c>
      <c r="P892" t="s">
        <v>1370</v>
      </c>
      <c r="Q892" s="4">
        <v>0.1</v>
      </c>
      <c r="R892" t="s">
        <v>60</v>
      </c>
      <c r="S892" t="s">
        <v>61</v>
      </c>
      <c r="T892" s="2">
        <v>18.09</v>
      </c>
      <c r="U892" t="s">
        <v>1372</v>
      </c>
    </row>
    <row r="893" spans="1:21" x14ac:dyDescent="0.25">
      <c r="A893">
        <v>2022385258</v>
      </c>
      <c r="B893" t="s">
        <v>293</v>
      </c>
      <c r="C893" t="s">
        <v>144</v>
      </c>
      <c r="D893" t="str">
        <f t="shared" si="47"/>
        <v>STEVEN JOHNSON</v>
      </c>
      <c r="E893" t="s">
        <v>125</v>
      </c>
      <c r="F893" t="s">
        <v>126</v>
      </c>
      <c r="G893" t="s">
        <v>132</v>
      </c>
      <c r="H893">
        <v>8307933</v>
      </c>
      <c r="I893" t="s">
        <v>246</v>
      </c>
      <c r="J893" t="s">
        <v>247</v>
      </c>
      <c r="K893" t="str">
        <f t="shared" si="50"/>
        <v>GREGORY TEIPEL</v>
      </c>
      <c r="L893" s="1">
        <v>45388</v>
      </c>
      <c r="M893" s="1">
        <v>46028</v>
      </c>
      <c r="N893" s="2">
        <v>2.8</v>
      </c>
      <c r="O893">
        <f t="shared" si="48"/>
        <v>21</v>
      </c>
      <c r="P893" t="s">
        <v>1370</v>
      </c>
      <c r="Q893" s="4">
        <v>0.15</v>
      </c>
      <c r="R893" t="s">
        <v>60</v>
      </c>
      <c r="S893" t="s">
        <v>61</v>
      </c>
      <c r="T893" s="2">
        <v>0.42</v>
      </c>
      <c r="U893" t="s">
        <v>132</v>
      </c>
    </row>
    <row r="894" spans="1:21" x14ac:dyDescent="0.25">
      <c r="A894">
        <v>2022623337</v>
      </c>
      <c r="B894" t="s">
        <v>1049</v>
      </c>
      <c r="C894" t="s">
        <v>582</v>
      </c>
      <c r="D894" t="str">
        <f t="shared" si="47"/>
        <v>SCOTT OLSON</v>
      </c>
      <c r="E894" t="s">
        <v>102</v>
      </c>
      <c r="F894" t="s">
        <v>126</v>
      </c>
      <c r="G894" t="s">
        <v>132</v>
      </c>
      <c r="H894">
        <v>8307933</v>
      </c>
      <c r="I894" t="s">
        <v>246</v>
      </c>
      <c r="J894" t="s">
        <v>247</v>
      </c>
      <c r="K894" t="str">
        <f t="shared" si="50"/>
        <v>GREGORY TEIPEL</v>
      </c>
      <c r="L894" s="1">
        <v>45392</v>
      </c>
      <c r="M894" s="1">
        <v>46032</v>
      </c>
      <c r="N894" s="2">
        <v>388.92</v>
      </c>
      <c r="O894">
        <f t="shared" si="48"/>
        <v>21</v>
      </c>
      <c r="P894" t="s">
        <v>1370</v>
      </c>
      <c r="Q894" s="4">
        <v>0.15</v>
      </c>
      <c r="R894" t="s">
        <v>60</v>
      </c>
      <c r="S894" t="s">
        <v>61</v>
      </c>
      <c r="T894" s="2">
        <v>58.34</v>
      </c>
      <c r="U894" t="s">
        <v>132</v>
      </c>
    </row>
    <row r="895" spans="1:21" x14ac:dyDescent="0.25">
      <c r="A895">
        <v>2022273568</v>
      </c>
      <c r="B895" t="s">
        <v>1268</v>
      </c>
      <c r="C895" t="s">
        <v>1269</v>
      </c>
      <c r="D895" t="str">
        <f t="shared" si="47"/>
        <v>TRINIDAD BETINOL</v>
      </c>
      <c r="E895" t="s">
        <v>52</v>
      </c>
      <c r="F895" t="s">
        <v>169</v>
      </c>
      <c r="G895" t="s">
        <v>170</v>
      </c>
      <c r="H895">
        <v>15278437</v>
      </c>
      <c r="I895" t="s">
        <v>64</v>
      </c>
      <c r="J895" t="s">
        <v>65</v>
      </c>
      <c r="K895" t="str">
        <f t="shared" si="50"/>
        <v>JASON HOFFMANN</v>
      </c>
      <c r="L895" s="1">
        <v>45383</v>
      </c>
      <c r="M895" s="1">
        <v>46023</v>
      </c>
      <c r="N895" s="2">
        <v>51.19</v>
      </c>
      <c r="O895">
        <f t="shared" si="48"/>
        <v>21</v>
      </c>
      <c r="P895" t="s">
        <v>1370</v>
      </c>
      <c r="Q895" s="3">
        <v>5.2499999999999998E-2</v>
      </c>
      <c r="R895" t="s">
        <v>60</v>
      </c>
      <c r="S895" t="s">
        <v>61</v>
      </c>
      <c r="T895" s="2">
        <v>2.69</v>
      </c>
      <c r="U895" t="s">
        <v>170</v>
      </c>
    </row>
    <row r="896" spans="1:21" x14ac:dyDescent="0.25">
      <c r="A896">
        <v>2022273838</v>
      </c>
      <c r="B896" t="s">
        <v>733</v>
      </c>
      <c r="C896" t="s">
        <v>734</v>
      </c>
      <c r="D896" t="str">
        <f t="shared" si="47"/>
        <v>GERALDINE STROUPHAR</v>
      </c>
      <c r="E896" t="s">
        <v>52</v>
      </c>
      <c r="F896" t="s">
        <v>86</v>
      </c>
      <c r="G896" t="s">
        <v>87</v>
      </c>
      <c r="H896">
        <v>15278437</v>
      </c>
      <c r="I896" t="s">
        <v>64</v>
      </c>
      <c r="J896" t="s">
        <v>65</v>
      </c>
      <c r="K896" t="str">
        <f t="shared" si="50"/>
        <v>JASON HOFFMANN</v>
      </c>
      <c r="L896" s="1">
        <v>45383</v>
      </c>
      <c r="M896" s="1">
        <v>46023</v>
      </c>
      <c r="N896" s="2">
        <v>35.979999999999997</v>
      </c>
      <c r="O896">
        <f t="shared" si="48"/>
        <v>21</v>
      </c>
      <c r="P896" t="s">
        <v>1370</v>
      </c>
      <c r="Q896" s="4">
        <v>0.06</v>
      </c>
      <c r="R896" t="s">
        <v>60</v>
      </c>
      <c r="S896" t="s">
        <v>61</v>
      </c>
      <c r="T896" s="2">
        <v>2.16</v>
      </c>
      <c r="U896" t="s">
        <v>87</v>
      </c>
    </row>
    <row r="897" spans="1:21" x14ac:dyDescent="0.25">
      <c r="A897">
        <v>2022273839</v>
      </c>
      <c r="B897" t="s">
        <v>733</v>
      </c>
      <c r="C897" t="s">
        <v>734</v>
      </c>
      <c r="D897" t="str">
        <f t="shared" si="47"/>
        <v>GERALDINE STROUPHAR</v>
      </c>
      <c r="E897" t="s">
        <v>52</v>
      </c>
      <c r="F897" t="s">
        <v>53</v>
      </c>
      <c r="G897" t="s">
        <v>54</v>
      </c>
      <c r="H897">
        <v>15278437</v>
      </c>
      <c r="I897" t="s">
        <v>64</v>
      </c>
      <c r="J897" t="s">
        <v>65</v>
      </c>
      <c r="K897" t="str">
        <f t="shared" si="50"/>
        <v>JASON HOFFMANN</v>
      </c>
      <c r="L897" s="1">
        <v>45383</v>
      </c>
      <c r="M897" s="1">
        <v>46023</v>
      </c>
      <c r="N897" s="2">
        <v>52.69</v>
      </c>
      <c r="O897">
        <f t="shared" si="48"/>
        <v>21</v>
      </c>
      <c r="P897" t="s">
        <v>1370</v>
      </c>
      <c r="Q897" s="3">
        <v>6.5000000000000002E-2</v>
      </c>
      <c r="R897" t="s">
        <v>60</v>
      </c>
      <c r="S897" t="s">
        <v>61</v>
      </c>
      <c r="T897" s="2">
        <v>3.42</v>
      </c>
      <c r="U897" t="s">
        <v>54</v>
      </c>
    </row>
    <row r="898" spans="1:21" x14ac:dyDescent="0.25">
      <c r="A898">
        <v>2021645073</v>
      </c>
      <c r="B898" t="s">
        <v>969</v>
      </c>
      <c r="C898" t="s">
        <v>168</v>
      </c>
      <c r="D898" t="str">
        <f t="shared" ref="D898:D961" si="51">CONCATENATE(C898," ",B898)</f>
        <v>DIANE DIDONATO</v>
      </c>
      <c r="E898" t="s">
        <v>52</v>
      </c>
      <c r="F898" t="s">
        <v>86</v>
      </c>
      <c r="G898" t="s">
        <v>87</v>
      </c>
      <c r="H898" t="s">
        <v>1388</v>
      </c>
      <c r="I898" t="s">
        <v>88</v>
      </c>
      <c r="J898" t="s">
        <v>89</v>
      </c>
      <c r="K898" t="str">
        <f t="shared" si="50"/>
        <v>CAROL FOLEY</v>
      </c>
      <c r="L898" s="1">
        <v>45356</v>
      </c>
      <c r="M898" s="1">
        <v>46027</v>
      </c>
      <c r="N898" s="2">
        <v>39.979999999999997</v>
      </c>
      <c r="O898">
        <f t="shared" ref="O898:O961" si="52">DATEDIF(L898,M898,"M")</f>
        <v>22</v>
      </c>
      <c r="P898" t="s">
        <v>1370</v>
      </c>
      <c r="Q898" s="4">
        <v>0.06</v>
      </c>
      <c r="R898" t="s">
        <v>60</v>
      </c>
      <c r="S898" t="s">
        <v>61</v>
      </c>
      <c r="T898" s="2">
        <v>2.4</v>
      </c>
      <c r="U898" t="s">
        <v>87</v>
      </c>
    </row>
    <row r="899" spans="1:21" x14ac:dyDescent="0.25">
      <c r="A899">
        <v>2021802310</v>
      </c>
      <c r="B899" t="s">
        <v>760</v>
      </c>
      <c r="C899" t="s">
        <v>137</v>
      </c>
      <c r="D899" t="str">
        <f t="shared" si="51"/>
        <v>JAMES CAVE</v>
      </c>
      <c r="E899" t="s">
        <v>97</v>
      </c>
      <c r="F899" t="s">
        <v>75</v>
      </c>
      <c r="G899" t="s">
        <v>76</v>
      </c>
      <c r="H899">
        <v>8307933</v>
      </c>
      <c r="I899" t="s">
        <v>246</v>
      </c>
      <c r="J899" t="s">
        <v>247</v>
      </c>
      <c r="K899" t="str">
        <f t="shared" si="50"/>
        <v>GREGORY TEIPEL</v>
      </c>
      <c r="L899" s="1">
        <v>45357</v>
      </c>
      <c r="M899" s="1">
        <v>46028</v>
      </c>
      <c r="N899" s="2">
        <v>113.5</v>
      </c>
      <c r="O899">
        <f t="shared" si="52"/>
        <v>22</v>
      </c>
      <c r="P899" t="s">
        <v>1370</v>
      </c>
      <c r="Q899" s="4">
        <v>0.1</v>
      </c>
      <c r="R899" t="s">
        <v>60</v>
      </c>
      <c r="S899" t="s">
        <v>61</v>
      </c>
      <c r="T899" s="2">
        <v>11.35</v>
      </c>
      <c r="U899" t="s">
        <v>1371</v>
      </c>
    </row>
    <row r="900" spans="1:21" x14ac:dyDescent="0.25">
      <c r="A900">
        <v>2021765999</v>
      </c>
      <c r="B900" t="s">
        <v>758</v>
      </c>
      <c r="C900" t="s">
        <v>759</v>
      </c>
      <c r="D900" t="str">
        <f t="shared" si="51"/>
        <v>BUNNY ROBERTSON</v>
      </c>
      <c r="E900" t="s">
        <v>97</v>
      </c>
      <c r="F900" t="s">
        <v>75</v>
      </c>
      <c r="G900" t="s">
        <v>80</v>
      </c>
      <c r="H900">
        <v>8307933</v>
      </c>
      <c r="I900" t="s">
        <v>246</v>
      </c>
      <c r="J900" t="s">
        <v>247</v>
      </c>
      <c r="K900" t="str">
        <f t="shared" ref="K900:K931" si="53">CONCATENATE(J900," ",I900)</f>
        <v>GREGORY TEIPEL</v>
      </c>
      <c r="L900" s="1">
        <v>45357</v>
      </c>
      <c r="M900" s="1">
        <v>46028</v>
      </c>
      <c r="N900" s="2">
        <v>70.959999999999994</v>
      </c>
      <c r="O900">
        <f t="shared" si="52"/>
        <v>22</v>
      </c>
      <c r="P900" t="s">
        <v>1370</v>
      </c>
      <c r="Q900" s="4">
        <v>0.1</v>
      </c>
      <c r="R900" t="s">
        <v>60</v>
      </c>
      <c r="S900" t="s">
        <v>61</v>
      </c>
      <c r="T900" s="2">
        <v>7.1</v>
      </c>
      <c r="U900" t="s">
        <v>1372</v>
      </c>
    </row>
    <row r="901" spans="1:21" x14ac:dyDescent="0.25">
      <c r="A901">
        <v>2021815679</v>
      </c>
      <c r="B901" t="s">
        <v>761</v>
      </c>
      <c r="C901" t="s">
        <v>182</v>
      </c>
      <c r="D901" t="str">
        <f t="shared" si="51"/>
        <v>MICHAEL HILLMAN</v>
      </c>
      <c r="E901" t="s">
        <v>357</v>
      </c>
      <c r="F901" t="s">
        <v>75</v>
      </c>
      <c r="G901" t="s">
        <v>80</v>
      </c>
      <c r="H901">
        <v>8307933</v>
      </c>
      <c r="I901" t="s">
        <v>246</v>
      </c>
      <c r="J901" t="s">
        <v>247</v>
      </c>
      <c r="K901" t="str">
        <f t="shared" si="53"/>
        <v>GREGORY TEIPEL</v>
      </c>
      <c r="L901" s="1">
        <v>45357</v>
      </c>
      <c r="M901" s="1">
        <v>46028</v>
      </c>
      <c r="N901" s="2">
        <v>185.36</v>
      </c>
      <c r="O901">
        <f t="shared" si="52"/>
        <v>22</v>
      </c>
      <c r="P901" t="s">
        <v>1370</v>
      </c>
      <c r="Q901" s="4">
        <v>0.1</v>
      </c>
      <c r="R901" t="s">
        <v>60</v>
      </c>
      <c r="S901" t="s">
        <v>61</v>
      </c>
      <c r="T901" s="2">
        <v>18.54</v>
      </c>
      <c r="U901" t="s">
        <v>1372</v>
      </c>
    </row>
    <row r="902" spans="1:21" x14ac:dyDescent="0.25">
      <c r="A902">
        <v>2021785654</v>
      </c>
      <c r="B902" t="s">
        <v>244</v>
      </c>
      <c r="C902" t="s">
        <v>168</v>
      </c>
      <c r="D902" t="str">
        <f t="shared" si="51"/>
        <v>DIANE MORRIS</v>
      </c>
      <c r="E902" t="s">
        <v>97</v>
      </c>
      <c r="F902" t="s">
        <v>126</v>
      </c>
      <c r="G902" t="s">
        <v>132</v>
      </c>
      <c r="H902">
        <v>8307933</v>
      </c>
      <c r="I902" t="s">
        <v>246</v>
      </c>
      <c r="J902" t="s">
        <v>247</v>
      </c>
      <c r="K902" t="str">
        <f t="shared" si="53"/>
        <v>GREGORY TEIPEL</v>
      </c>
      <c r="L902" s="1">
        <v>45357</v>
      </c>
      <c r="M902" s="1">
        <v>46028</v>
      </c>
      <c r="N902" s="2">
        <v>67</v>
      </c>
      <c r="O902">
        <f t="shared" si="52"/>
        <v>22</v>
      </c>
      <c r="P902" t="s">
        <v>1370</v>
      </c>
      <c r="Q902" s="4">
        <v>0.15</v>
      </c>
      <c r="R902" t="s">
        <v>60</v>
      </c>
      <c r="S902" t="s">
        <v>61</v>
      </c>
      <c r="T902" s="2">
        <v>10.050000000000001</v>
      </c>
      <c r="U902" t="s">
        <v>132</v>
      </c>
    </row>
    <row r="903" spans="1:21" x14ac:dyDescent="0.25">
      <c r="A903">
        <v>2022025992</v>
      </c>
      <c r="B903" t="s">
        <v>1048</v>
      </c>
      <c r="C903" t="s">
        <v>678</v>
      </c>
      <c r="D903" t="str">
        <f t="shared" si="51"/>
        <v>ANTHONY AUDINO</v>
      </c>
      <c r="E903" t="s">
        <v>102</v>
      </c>
      <c r="F903" t="s">
        <v>126</v>
      </c>
      <c r="G903" t="s">
        <v>132</v>
      </c>
      <c r="H903">
        <v>8307933</v>
      </c>
      <c r="I903" t="s">
        <v>246</v>
      </c>
      <c r="J903" t="s">
        <v>247</v>
      </c>
      <c r="K903" t="str">
        <f t="shared" si="53"/>
        <v>GREGORY TEIPEL</v>
      </c>
      <c r="L903" s="1">
        <v>45357</v>
      </c>
      <c r="M903" s="1">
        <v>46028</v>
      </c>
      <c r="N903" s="2">
        <v>28</v>
      </c>
      <c r="O903">
        <f t="shared" si="52"/>
        <v>22</v>
      </c>
      <c r="P903" t="s">
        <v>1370</v>
      </c>
      <c r="Q903" s="4">
        <v>0.15</v>
      </c>
      <c r="R903" t="s">
        <v>60</v>
      </c>
      <c r="S903" t="s">
        <v>61</v>
      </c>
      <c r="T903" s="2">
        <v>4.2</v>
      </c>
      <c r="U903" t="s">
        <v>132</v>
      </c>
    </row>
    <row r="904" spans="1:21" x14ac:dyDescent="0.25">
      <c r="A904">
        <v>2021802311</v>
      </c>
      <c r="B904" t="s">
        <v>760</v>
      </c>
      <c r="C904" t="s">
        <v>137</v>
      </c>
      <c r="D904" t="str">
        <f t="shared" si="51"/>
        <v>JAMES CAVE</v>
      </c>
      <c r="E904" t="s">
        <v>97</v>
      </c>
      <c r="F904" t="s">
        <v>126</v>
      </c>
      <c r="G904" t="s">
        <v>375</v>
      </c>
      <c r="H904">
        <v>8307933</v>
      </c>
      <c r="I904" t="s">
        <v>246</v>
      </c>
      <c r="J904" t="s">
        <v>247</v>
      </c>
      <c r="K904" t="str">
        <f t="shared" si="53"/>
        <v>GREGORY TEIPEL</v>
      </c>
      <c r="L904" s="1">
        <v>45357</v>
      </c>
      <c r="M904" s="1">
        <v>46028</v>
      </c>
      <c r="N904" s="2">
        <v>83.63</v>
      </c>
      <c r="O904">
        <f t="shared" si="52"/>
        <v>22</v>
      </c>
      <c r="P904" t="s">
        <v>1370</v>
      </c>
      <c r="Q904" s="4">
        <v>0.1</v>
      </c>
      <c r="R904" t="s">
        <v>60</v>
      </c>
      <c r="S904" t="s">
        <v>61</v>
      </c>
      <c r="T904" s="2">
        <v>8.36</v>
      </c>
      <c r="U904" t="s">
        <v>375</v>
      </c>
    </row>
    <row r="905" spans="1:21" x14ac:dyDescent="0.25">
      <c r="A905">
        <v>2021875118</v>
      </c>
      <c r="B905" t="s">
        <v>1047</v>
      </c>
      <c r="C905" t="s">
        <v>553</v>
      </c>
      <c r="D905" t="str">
        <f t="shared" si="51"/>
        <v>CLIFTON PALMER</v>
      </c>
      <c r="E905" t="s">
        <v>374</v>
      </c>
      <c r="F905" t="s">
        <v>126</v>
      </c>
      <c r="G905" t="s">
        <v>375</v>
      </c>
      <c r="H905">
        <v>8307933</v>
      </c>
      <c r="I905" t="s">
        <v>246</v>
      </c>
      <c r="J905" t="s">
        <v>247</v>
      </c>
      <c r="K905" t="str">
        <f t="shared" si="53"/>
        <v>GREGORY TEIPEL</v>
      </c>
      <c r="L905" s="1">
        <v>45357</v>
      </c>
      <c r="M905" s="1">
        <v>46028</v>
      </c>
      <c r="N905" s="2">
        <v>107.33</v>
      </c>
      <c r="O905">
        <f t="shared" si="52"/>
        <v>22</v>
      </c>
      <c r="P905" t="s">
        <v>1370</v>
      </c>
      <c r="Q905" s="4">
        <v>0.1</v>
      </c>
      <c r="R905" t="s">
        <v>60</v>
      </c>
      <c r="S905" t="s">
        <v>61</v>
      </c>
      <c r="T905" s="2">
        <v>10.73</v>
      </c>
      <c r="U905" t="s">
        <v>375</v>
      </c>
    </row>
    <row r="906" spans="1:21" x14ac:dyDescent="0.25">
      <c r="A906">
        <v>2021511833</v>
      </c>
      <c r="B906" t="s">
        <v>189</v>
      </c>
      <c r="C906" t="s">
        <v>190</v>
      </c>
      <c r="D906" t="str">
        <f t="shared" si="51"/>
        <v>DENI CARISE</v>
      </c>
      <c r="E906" t="s">
        <v>52</v>
      </c>
      <c r="F906" t="s">
        <v>169</v>
      </c>
      <c r="G906" t="s">
        <v>170</v>
      </c>
      <c r="H906">
        <v>19278370</v>
      </c>
      <c r="I906" t="s">
        <v>187</v>
      </c>
      <c r="J906" t="s">
        <v>188</v>
      </c>
      <c r="K906" t="str">
        <f t="shared" si="53"/>
        <v>ANNE MARIE KOZACHECK</v>
      </c>
      <c r="L906" s="1">
        <v>45323</v>
      </c>
      <c r="M906" s="1">
        <v>46023</v>
      </c>
      <c r="N906" s="2">
        <v>69.599999999999994</v>
      </c>
      <c r="O906">
        <f t="shared" si="52"/>
        <v>23</v>
      </c>
      <c r="P906" t="s">
        <v>1370</v>
      </c>
      <c r="Q906" s="3">
        <v>5.2499999999999998E-2</v>
      </c>
      <c r="R906" t="s">
        <v>60</v>
      </c>
      <c r="S906" t="s">
        <v>61</v>
      </c>
      <c r="T906" s="2">
        <v>3.65</v>
      </c>
      <c r="U906" t="s">
        <v>170</v>
      </c>
    </row>
    <row r="907" spans="1:21" x14ac:dyDescent="0.25">
      <c r="A907">
        <v>2021194025</v>
      </c>
      <c r="B907" t="s">
        <v>1246</v>
      </c>
      <c r="C907" t="s">
        <v>175</v>
      </c>
      <c r="D907" t="str">
        <f t="shared" si="51"/>
        <v>LISA HOFFMAN</v>
      </c>
      <c r="E907" t="s">
        <v>52</v>
      </c>
      <c r="F907" t="s">
        <v>169</v>
      </c>
      <c r="G907" t="s">
        <v>170</v>
      </c>
      <c r="H907">
        <v>17528908</v>
      </c>
      <c r="I907" t="s">
        <v>183</v>
      </c>
      <c r="J907" t="s">
        <v>184</v>
      </c>
      <c r="K907" t="str">
        <f t="shared" si="53"/>
        <v>DEBORAH INSKIPT</v>
      </c>
      <c r="L907" s="1">
        <v>45323</v>
      </c>
      <c r="M907" s="1">
        <v>46023</v>
      </c>
      <c r="N907" s="2">
        <v>43.59</v>
      </c>
      <c r="O907">
        <f t="shared" si="52"/>
        <v>23</v>
      </c>
      <c r="P907" t="s">
        <v>1370</v>
      </c>
      <c r="Q907" s="3">
        <v>5.2499999999999998E-2</v>
      </c>
      <c r="R907" t="s">
        <v>60</v>
      </c>
      <c r="S907" t="s">
        <v>61</v>
      </c>
      <c r="T907" s="2">
        <v>2.29</v>
      </c>
      <c r="U907" t="s">
        <v>170</v>
      </c>
    </row>
    <row r="908" spans="1:21" x14ac:dyDescent="0.25">
      <c r="A908">
        <v>2021588618</v>
      </c>
      <c r="B908" t="s">
        <v>1263</v>
      </c>
      <c r="C908" t="s">
        <v>1264</v>
      </c>
      <c r="D908" t="str">
        <f t="shared" si="51"/>
        <v>JOAN KAUPINIS</v>
      </c>
      <c r="E908" t="s">
        <v>52</v>
      </c>
      <c r="F908" t="s">
        <v>169</v>
      </c>
      <c r="G908" t="s">
        <v>170</v>
      </c>
      <c r="H908">
        <v>17528908</v>
      </c>
      <c r="I908" t="s">
        <v>183</v>
      </c>
      <c r="J908" t="s">
        <v>184</v>
      </c>
      <c r="K908" t="str">
        <f t="shared" si="53"/>
        <v>DEBORAH INSKIPT</v>
      </c>
      <c r="L908" s="1">
        <v>45323</v>
      </c>
      <c r="M908" s="1">
        <v>46023</v>
      </c>
      <c r="N908" s="2">
        <v>45.54</v>
      </c>
      <c r="O908">
        <f t="shared" si="52"/>
        <v>23</v>
      </c>
      <c r="P908" t="s">
        <v>1370</v>
      </c>
      <c r="Q908" s="3">
        <v>5.2499999999999998E-2</v>
      </c>
      <c r="R908" t="s">
        <v>60</v>
      </c>
      <c r="S908" t="s">
        <v>61</v>
      </c>
      <c r="T908" s="2">
        <v>2.39</v>
      </c>
      <c r="U908" t="s">
        <v>170</v>
      </c>
    </row>
    <row r="909" spans="1:21" x14ac:dyDescent="0.25">
      <c r="A909">
        <v>2021281141</v>
      </c>
      <c r="B909" t="s">
        <v>756</v>
      </c>
      <c r="C909" t="s">
        <v>757</v>
      </c>
      <c r="D909" t="str">
        <f t="shared" si="51"/>
        <v>ANGELIA JACKSON</v>
      </c>
      <c r="E909" t="s">
        <v>131</v>
      </c>
      <c r="F909" t="s">
        <v>75</v>
      </c>
      <c r="G909" t="s">
        <v>80</v>
      </c>
      <c r="H909">
        <v>8307933</v>
      </c>
      <c r="I909" t="s">
        <v>246</v>
      </c>
      <c r="J909" t="s">
        <v>247</v>
      </c>
      <c r="K909" t="str">
        <f t="shared" si="53"/>
        <v>GREGORY TEIPEL</v>
      </c>
      <c r="L909" s="1">
        <v>45323</v>
      </c>
      <c r="M909" s="1">
        <v>46023</v>
      </c>
      <c r="N909" s="2">
        <v>78.27</v>
      </c>
      <c r="O909">
        <f t="shared" si="52"/>
        <v>23</v>
      </c>
      <c r="P909" t="s">
        <v>1370</v>
      </c>
      <c r="Q909" s="4">
        <v>0.1</v>
      </c>
      <c r="R909" t="s">
        <v>60</v>
      </c>
      <c r="S909" t="s">
        <v>61</v>
      </c>
      <c r="T909" s="2">
        <v>7.83</v>
      </c>
      <c r="U909" t="s">
        <v>1372</v>
      </c>
    </row>
    <row r="910" spans="1:21" x14ac:dyDescent="0.25">
      <c r="A910">
        <v>2021646245</v>
      </c>
      <c r="B910" t="s">
        <v>944</v>
      </c>
      <c r="C910" t="s">
        <v>249</v>
      </c>
      <c r="D910" t="str">
        <f t="shared" si="51"/>
        <v>ROBERT COOK</v>
      </c>
      <c r="E910" t="s">
        <v>515</v>
      </c>
      <c r="F910" t="s">
        <v>290</v>
      </c>
      <c r="G910" t="s">
        <v>291</v>
      </c>
      <c r="H910">
        <v>8977234</v>
      </c>
      <c r="I910" t="s">
        <v>81</v>
      </c>
      <c r="J910" t="s">
        <v>82</v>
      </c>
      <c r="K910" t="str">
        <f t="shared" si="53"/>
        <v>RYAN CALTAGIRONE</v>
      </c>
      <c r="L910" s="1">
        <v>45329</v>
      </c>
      <c r="M910" s="1">
        <v>46029</v>
      </c>
      <c r="N910" s="2">
        <v>15</v>
      </c>
      <c r="O910">
        <f t="shared" si="52"/>
        <v>23</v>
      </c>
      <c r="P910" t="s">
        <v>1370</v>
      </c>
      <c r="Q910" s="4">
        <v>0.28999999999999998</v>
      </c>
      <c r="R910" t="s">
        <v>60</v>
      </c>
      <c r="S910" t="s">
        <v>61</v>
      </c>
      <c r="T910" s="2">
        <v>4.3499999999999996</v>
      </c>
      <c r="U910" t="s">
        <v>470</v>
      </c>
    </row>
    <row r="911" spans="1:21" x14ac:dyDescent="0.25">
      <c r="A911">
        <v>2021180346</v>
      </c>
      <c r="B911" t="s">
        <v>185</v>
      </c>
      <c r="C911" t="s">
        <v>186</v>
      </c>
      <c r="D911" t="str">
        <f t="shared" si="51"/>
        <v>LEONARD DIMIDIO</v>
      </c>
      <c r="E911" t="s">
        <v>52</v>
      </c>
      <c r="F911" t="s">
        <v>169</v>
      </c>
      <c r="G911" t="s">
        <v>170</v>
      </c>
      <c r="H911">
        <v>19278370</v>
      </c>
      <c r="I911" t="s">
        <v>187</v>
      </c>
      <c r="J911" t="s">
        <v>188</v>
      </c>
      <c r="K911" t="str">
        <f t="shared" si="53"/>
        <v>ANNE MARIE KOZACHECK</v>
      </c>
      <c r="L911" s="1">
        <v>45292</v>
      </c>
      <c r="M911" s="1">
        <v>46023</v>
      </c>
      <c r="N911" s="2">
        <v>104.08</v>
      </c>
      <c r="O911">
        <f t="shared" si="52"/>
        <v>24</v>
      </c>
      <c r="P911" t="s">
        <v>1370</v>
      </c>
      <c r="Q911" s="3">
        <v>5.2499999999999998E-2</v>
      </c>
      <c r="R911" t="s">
        <v>60</v>
      </c>
      <c r="S911" t="s">
        <v>61</v>
      </c>
      <c r="T911" s="2">
        <v>5.46</v>
      </c>
      <c r="U911" t="s">
        <v>170</v>
      </c>
    </row>
    <row r="912" spans="1:21" x14ac:dyDescent="0.25">
      <c r="A912">
        <v>2021138605</v>
      </c>
      <c r="B912" t="s">
        <v>137</v>
      </c>
      <c r="C912" t="s">
        <v>948</v>
      </c>
      <c r="D912" t="str">
        <f t="shared" si="51"/>
        <v>LAURA JAMES</v>
      </c>
      <c r="E912" t="s">
        <v>52</v>
      </c>
      <c r="F912" t="s">
        <v>169</v>
      </c>
      <c r="G912" t="s">
        <v>170</v>
      </c>
      <c r="H912">
        <v>19278370</v>
      </c>
      <c r="I912" t="s">
        <v>187</v>
      </c>
      <c r="J912" t="s">
        <v>188</v>
      </c>
      <c r="K912" t="str">
        <f t="shared" si="53"/>
        <v>ANNE MARIE KOZACHECK</v>
      </c>
      <c r="L912" s="1">
        <v>45292</v>
      </c>
      <c r="M912" s="1">
        <v>46023</v>
      </c>
      <c r="N912" s="2">
        <v>50.6</v>
      </c>
      <c r="O912">
        <f t="shared" si="52"/>
        <v>24</v>
      </c>
      <c r="P912" t="s">
        <v>1370</v>
      </c>
      <c r="Q912" s="3">
        <v>5.2499999999999998E-2</v>
      </c>
      <c r="R912" t="s">
        <v>60</v>
      </c>
      <c r="S912" t="s">
        <v>61</v>
      </c>
      <c r="T912" s="2">
        <v>2.66</v>
      </c>
      <c r="U912" t="s">
        <v>170</v>
      </c>
    </row>
    <row r="913" spans="1:21" x14ac:dyDescent="0.25">
      <c r="A913">
        <v>2020966338</v>
      </c>
      <c r="B913" t="s">
        <v>181</v>
      </c>
      <c r="C913" t="s">
        <v>182</v>
      </c>
      <c r="D913" t="str">
        <f t="shared" si="51"/>
        <v>MICHAEL YOCHUM</v>
      </c>
      <c r="E913" t="s">
        <v>52</v>
      </c>
      <c r="F913" t="s">
        <v>169</v>
      </c>
      <c r="G913" t="s">
        <v>170</v>
      </c>
      <c r="H913">
        <v>17528908</v>
      </c>
      <c r="I913" t="s">
        <v>183</v>
      </c>
      <c r="J913" t="s">
        <v>184</v>
      </c>
      <c r="K913" t="str">
        <f t="shared" si="53"/>
        <v>DEBORAH INSKIPT</v>
      </c>
      <c r="L913" s="1">
        <v>45292</v>
      </c>
      <c r="M913" s="1">
        <v>46023</v>
      </c>
      <c r="N913" s="2">
        <v>48.22</v>
      </c>
      <c r="O913">
        <f t="shared" si="52"/>
        <v>24</v>
      </c>
      <c r="P913" t="s">
        <v>1370</v>
      </c>
      <c r="Q913" s="3">
        <v>5.2499999999999998E-2</v>
      </c>
      <c r="R913" t="s">
        <v>60</v>
      </c>
      <c r="S913" t="s">
        <v>61</v>
      </c>
      <c r="T913" s="2">
        <v>2.5299999999999998</v>
      </c>
      <c r="U913" t="s">
        <v>170</v>
      </c>
    </row>
    <row r="914" spans="1:21" x14ac:dyDescent="0.25">
      <c r="A914">
        <v>2021160584</v>
      </c>
      <c r="B914" t="s">
        <v>1261</v>
      </c>
      <c r="C914" t="s">
        <v>204</v>
      </c>
      <c r="D914" t="str">
        <f t="shared" si="51"/>
        <v>KIMBERLY WHIGHAM</v>
      </c>
      <c r="E914" t="s">
        <v>52</v>
      </c>
      <c r="F914" t="s">
        <v>169</v>
      </c>
      <c r="G914" t="s">
        <v>170</v>
      </c>
      <c r="H914">
        <v>17528908</v>
      </c>
      <c r="I914" t="s">
        <v>183</v>
      </c>
      <c r="J914" t="s">
        <v>184</v>
      </c>
      <c r="K914" t="str">
        <f t="shared" si="53"/>
        <v>DEBORAH INSKIPT</v>
      </c>
      <c r="L914" s="1">
        <v>45292</v>
      </c>
      <c r="M914" s="1">
        <v>46023</v>
      </c>
      <c r="N914" s="2">
        <v>33.590000000000003</v>
      </c>
      <c r="O914">
        <f t="shared" si="52"/>
        <v>24</v>
      </c>
      <c r="P914" t="s">
        <v>1370</v>
      </c>
      <c r="Q914" s="3">
        <v>5.2499999999999998E-2</v>
      </c>
      <c r="R914" t="s">
        <v>60</v>
      </c>
      <c r="S914" t="s">
        <v>61</v>
      </c>
      <c r="T914" s="2">
        <v>1.76</v>
      </c>
      <c r="U914" t="s">
        <v>170</v>
      </c>
    </row>
    <row r="915" spans="1:21" x14ac:dyDescent="0.25">
      <c r="A915">
        <v>2020851074</v>
      </c>
      <c r="B915" t="s">
        <v>710</v>
      </c>
      <c r="C915" t="s">
        <v>233</v>
      </c>
      <c r="D915" t="str">
        <f t="shared" si="51"/>
        <v>GARY LISIVICK</v>
      </c>
      <c r="E915" t="s">
        <v>52</v>
      </c>
      <c r="F915" t="s">
        <v>108</v>
      </c>
      <c r="G915" t="s">
        <v>109</v>
      </c>
      <c r="H915">
        <v>17528908</v>
      </c>
      <c r="I915" t="s">
        <v>183</v>
      </c>
      <c r="J915" t="s">
        <v>184</v>
      </c>
      <c r="K915" t="str">
        <f t="shared" si="53"/>
        <v>DEBORAH INSKIPT</v>
      </c>
      <c r="L915" s="1">
        <v>45292</v>
      </c>
      <c r="M915" s="1">
        <v>46023</v>
      </c>
      <c r="N915" s="2">
        <v>124.29</v>
      </c>
      <c r="O915">
        <f t="shared" si="52"/>
        <v>24</v>
      </c>
      <c r="P915" t="s">
        <v>1370</v>
      </c>
      <c r="Q915" s="4">
        <v>0.26</v>
      </c>
      <c r="R915" t="s">
        <v>60</v>
      </c>
      <c r="S915" t="s">
        <v>61</v>
      </c>
      <c r="T915" s="2">
        <v>32.32</v>
      </c>
      <c r="U915" t="s">
        <v>1384</v>
      </c>
    </row>
    <row r="916" spans="1:21" x14ac:dyDescent="0.25">
      <c r="A916">
        <v>2021092886</v>
      </c>
      <c r="B916" t="s">
        <v>754</v>
      </c>
      <c r="C916" t="s">
        <v>755</v>
      </c>
      <c r="D916" t="str">
        <f t="shared" si="51"/>
        <v>LUCINDA PENA</v>
      </c>
      <c r="E916" t="s">
        <v>97</v>
      </c>
      <c r="F916" t="s">
        <v>75</v>
      </c>
      <c r="G916" t="s">
        <v>80</v>
      </c>
      <c r="H916">
        <v>8307933</v>
      </c>
      <c r="I916" t="s">
        <v>246</v>
      </c>
      <c r="J916" t="s">
        <v>247</v>
      </c>
      <c r="K916" t="str">
        <f t="shared" si="53"/>
        <v>GREGORY TEIPEL</v>
      </c>
      <c r="L916" s="1">
        <v>45295</v>
      </c>
      <c r="M916" s="1">
        <v>46026</v>
      </c>
      <c r="N916" s="2">
        <v>167.21</v>
      </c>
      <c r="O916">
        <f t="shared" si="52"/>
        <v>24</v>
      </c>
      <c r="P916" t="s">
        <v>1370</v>
      </c>
      <c r="Q916" s="4">
        <v>0.1</v>
      </c>
      <c r="R916" t="s">
        <v>60</v>
      </c>
      <c r="S916" t="s">
        <v>61</v>
      </c>
      <c r="T916" s="2">
        <v>16.72</v>
      </c>
      <c r="U916" t="s">
        <v>1372</v>
      </c>
    </row>
    <row r="917" spans="1:21" x14ac:dyDescent="0.25">
      <c r="A917">
        <v>2021092887</v>
      </c>
      <c r="B917" t="s">
        <v>754</v>
      </c>
      <c r="C917" t="s">
        <v>755</v>
      </c>
      <c r="D917" t="str">
        <f t="shared" si="51"/>
        <v>LUCINDA PENA</v>
      </c>
      <c r="E917" t="s">
        <v>97</v>
      </c>
      <c r="F917" t="s">
        <v>126</v>
      </c>
      <c r="G917" t="s">
        <v>375</v>
      </c>
      <c r="H917">
        <v>8307933</v>
      </c>
      <c r="I917" t="s">
        <v>246</v>
      </c>
      <c r="J917" t="s">
        <v>247</v>
      </c>
      <c r="K917" t="str">
        <f t="shared" si="53"/>
        <v>GREGORY TEIPEL</v>
      </c>
      <c r="L917" s="1">
        <v>45295</v>
      </c>
      <c r="M917" s="1">
        <v>46026</v>
      </c>
      <c r="N917" s="2">
        <v>32.58</v>
      </c>
      <c r="O917">
        <f t="shared" si="52"/>
        <v>24</v>
      </c>
      <c r="P917" t="s">
        <v>1370</v>
      </c>
      <c r="Q917" s="4">
        <v>0.1</v>
      </c>
      <c r="R917" t="s">
        <v>60</v>
      </c>
      <c r="S917" t="s">
        <v>61</v>
      </c>
      <c r="T917" s="2">
        <v>3.26</v>
      </c>
      <c r="U917" t="s">
        <v>375</v>
      </c>
    </row>
    <row r="918" spans="1:21" x14ac:dyDescent="0.25">
      <c r="A918">
        <v>2021055300</v>
      </c>
      <c r="B918" t="s">
        <v>729</v>
      </c>
      <c r="C918" t="s">
        <v>730</v>
      </c>
      <c r="D918" t="str">
        <f t="shared" si="51"/>
        <v>JOANNE STEWART</v>
      </c>
      <c r="E918" t="s">
        <v>52</v>
      </c>
      <c r="F918" t="s">
        <v>126</v>
      </c>
      <c r="G918" t="s">
        <v>127</v>
      </c>
      <c r="H918">
        <v>15278437</v>
      </c>
      <c r="I918" t="s">
        <v>64</v>
      </c>
      <c r="J918" t="s">
        <v>65</v>
      </c>
      <c r="K918" t="str">
        <f t="shared" si="53"/>
        <v>JASON HOFFMANN</v>
      </c>
      <c r="L918" s="1">
        <v>45292</v>
      </c>
      <c r="M918" s="1">
        <v>46023</v>
      </c>
      <c r="N918" s="2">
        <v>25.73</v>
      </c>
      <c r="O918">
        <f t="shared" si="52"/>
        <v>24</v>
      </c>
      <c r="P918" t="s">
        <v>1370</v>
      </c>
      <c r="Q918" s="4">
        <v>0.15</v>
      </c>
      <c r="R918" t="s">
        <v>60</v>
      </c>
      <c r="S918" t="s">
        <v>61</v>
      </c>
      <c r="T918" s="2">
        <v>3.86</v>
      </c>
      <c r="U918" t="s">
        <v>127</v>
      </c>
    </row>
    <row r="919" spans="1:21" x14ac:dyDescent="0.25">
      <c r="A919">
        <v>2021166477</v>
      </c>
      <c r="B919" t="s">
        <v>731</v>
      </c>
      <c r="C919" t="s">
        <v>732</v>
      </c>
      <c r="D919" t="str">
        <f t="shared" si="51"/>
        <v>SYUNGYONG CHOI</v>
      </c>
      <c r="E919" t="s">
        <v>52</v>
      </c>
      <c r="F919" t="s">
        <v>126</v>
      </c>
      <c r="G919" t="s">
        <v>127</v>
      </c>
      <c r="H919">
        <v>15278437</v>
      </c>
      <c r="I919" t="s">
        <v>64</v>
      </c>
      <c r="J919" t="s">
        <v>65</v>
      </c>
      <c r="K919" t="str">
        <f t="shared" si="53"/>
        <v>JASON HOFFMANN</v>
      </c>
      <c r="L919" s="1">
        <v>45292</v>
      </c>
      <c r="M919" s="1">
        <v>46023</v>
      </c>
      <c r="N919" s="2">
        <v>25.73</v>
      </c>
      <c r="O919">
        <f t="shared" si="52"/>
        <v>24</v>
      </c>
      <c r="P919" t="s">
        <v>1370</v>
      </c>
      <c r="Q919" s="4">
        <v>0.15</v>
      </c>
      <c r="R919" t="s">
        <v>60</v>
      </c>
      <c r="S919" t="s">
        <v>61</v>
      </c>
      <c r="T919" s="2">
        <v>3.86</v>
      </c>
      <c r="U919" t="s">
        <v>127</v>
      </c>
    </row>
    <row r="920" spans="1:21" x14ac:dyDescent="0.25">
      <c r="A920">
        <v>2020599250</v>
      </c>
      <c r="B920" t="s">
        <v>177</v>
      </c>
      <c r="C920" t="s">
        <v>178</v>
      </c>
      <c r="D920" t="str">
        <f t="shared" si="51"/>
        <v>LESLIE BRIGHTBILL</v>
      </c>
      <c r="E920" t="s">
        <v>52</v>
      </c>
      <c r="F920" t="s">
        <v>169</v>
      </c>
      <c r="G920" t="s">
        <v>170</v>
      </c>
      <c r="H920">
        <v>15278437</v>
      </c>
      <c r="I920" t="s">
        <v>64</v>
      </c>
      <c r="J920" t="s">
        <v>65</v>
      </c>
      <c r="K920" t="str">
        <f t="shared" si="53"/>
        <v>JASON HOFFMANN</v>
      </c>
      <c r="L920" s="1">
        <v>45292</v>
      </c>
      <c r="M920" s="1">
        <v>46023</v>
      </c>
      <c r="N920" s="2">
        <v>45.54</v>
      </c>
      <c r="O920">
        <f t="shared" si="52"/>
        <v>24</v>
      </c>
      <c r="P920" t="s">
        <v>1370</v>
      </c>
      <c r="Q920" s="3">
        <v>5.2499999999999998E-2</v>
      </c>
      <c r="R920" t="s">
        <v>60</v>
      </c>
      <c r="S920" t="s">
        <v>61</v>
      </c>
      <c r="T920" s="2">
        <v>2.39</v>
      </c>
      <c r="U920" t="s">
        <v>170</v>
      </c>
    </row>
    <row r="921" spans="1:21" x14ac:dyDescent="0.25">
      <c r="A921">
        <v>2020974703</v>
      </c>
      <c r="B921" t="s">
        <v>66</v>
      </c>
      <c r="C921" t="s">
        <v>67</v>
      </c>
      <c r="D921" t="str">
        <f t="shared" si="51"/>
        <v>REGINA VILLANO</v>
      </c>
      <c r="E921" t="s">
        <v>52</v>
      </c>
      <c r="F921" t="s">
        <v>169</v>
      </c>
      <c r="G921" t="s">
        <v>170</v>
      </c>
      <c r="H921">
        <v>15278437</v>
      </c>
      <c r="I921" t="s">
        <v>64</v>
      </c>
      <c r="J921" t="s">
        <v>65</v>
      </c>
      <c r="K921" t="str">
        <f t="shared" si="53"/>
        <v>JASON HOFFMANN</v>
      </c>
      <c r="L921" s="1">
        <v>45292</v>
      </c>
      <c r="M921" s="1">
        <v>46023</v>
      </c>
      <c r="N921" s="2">
        <v>40.99</v>
      </c>
      <c r="O921">
        <f t="shared" si="52"/>
        <v>24</v>
      </c>
      <c r="P921" t="s">
        <v>1370</v>
      </c>
      <c r="Q921" s="3">
        <v>5.2499999999999998E-2</v>
      </c>
      <c r="R921" t="s">
        <v>60</v>
      </c>
      <c r="S921" t="s">
        <v>61</v>
      </c>
      <c r="T921" s="2">
        <v>2.15</v>
      </c>
      <c r="U921" t="s">
        <v>170</v>
      </c>
    </row>
    <row r="922" spans="1:21" x14ac:dyDescent="0.25">
      <c r="A922">
        <v>2020919882</v>
      </c>
      <c r="B922" t="s">
        <v>1257</v>
      </c>
      <c r="C922" t="s">
        <v>1258</v>
      </c>
      <c r="D922" t="str">
        <f t="shared" si="51"/>
        <v>EVONNE SNYDER</v>
      </c>
      <c r="E922" t="s">
        <v>52</v>
      </c>
      <c r="F922" t="s">
        <v>169</v>
      </c>
      <c r="G922" t="s">
        <v>170</v>
      </c>
      <c r="H922">
        <v>15278437</v>
      </c>
      <c r="I922" t="s">
        <v>64</v>
      </c>
      <c r="J922" t="s">
        <v>65</v>
      </c>
      <c r="K922" t="str">
        <f t="shared" si="53"/>
        <v>JASON HOFFMANN</v>
      </c>
      <c r="L922" s="1">
        <v>45292</v>
      </c>
      <c r="M922" s="1">
        <v>46023</v>
      </c>
      <c r="N922" s="2">
        <v>83.35</v>
      </c>
      <c r="O922">
        <f t="shared" si="52"/>
        <v>24</v>
      </c>
      <c r="P922" t="s">
        <v>1370</v>
      </c>
      <c r="Q922" s="3">
        <v>5.2499999999999998E-2</v>
      </c>
      <c r="R922" t="s">
        <v>60</v>
      </c>
      <c r="S922" t="s">
        <v>61</v>
      </c>
      <c r="T922" s="2">
        <v>4.38</v>
      </c>
      <c r="U922" t="s">
        <v>170</v>
      </c>
    </row>
    <row r="923" spans="1:21" x14ac:dyDescent="0.25">
      <c r="A923">
        <v>2021089952</v>
      </c>
      <c r="B923" t="s">
        <v>1259</v>
      </c>
      <c r="C923" t="s">
        <v>1260</v>
      </c>
      <c r="D923" t="str">
        <f t="shared" si="51"/>
        <v>JACQUELINE TRAINOR</v>
      </c>
      <c r="E923" t="s">
        <v>52</v>
      </c>
      <c r="F923" t="s">
        <v>169</v>
      </c>
      <c r="G923" t="s">
        <v>170</v>
      </c>
      <c r="H923">
        <v>15278437</v>
      </c>
      <c r="I923" t="s">
        <v>64</v>
      </c>
      <c r="J923" t="s">
        <v>65</v>
      </c>
      <c r="K923" t="str">
        <f t="shared" si="53"/>
        <v>JASON HOFFMANN</v>
      </c>
      <c r="L923" s="1">
        <v>45292</v>
      </c>
      <c r="M923" s="1">
        <v>46023</v>
      </c>
      <c r="N923" s="2">
        <v>78.83</v>
      </c>
      <c r="O923">
        <f t="shared" si="52"/>
        <v>24</v>
      </c>
      <c r="P923" t="s">
        <v>1370</v>
      </c>
      <c r="Q923" s="3">
        <v>5.2499999999999998E-2</v>
      </c>
      <c r="R923" t="s">
        <v>60</v>
      </c>
      <c r="S923" t="s">
        <v>61</v>
      </c>
      <c r="T923" s="2">
        <v>4.1399999999999997</v>
      </c>
      <c r="U923" t="s">
        <v>170</v>
      </c>
    </row>
    <row r="924" spans="1:21" x14ac:dyDescent="0.25">
      <c r="A924">
        <v>2021206448</v>
      </c>
      <c r="B924" t="s">
        <v>1262</v>
      </c>
      <c r="C924" t="s">
        <v>421</v>
      </c>
      <c r="D924" t="str">
        <f t="shared" si="51"/>
        <v>DEBRA SUMMERS</v>
      </c>
      <c r="E924" t="s">
        <v>52</v>
      </c>
      <c r="F924" t="s">
        <v>169</v>
      </c>
      <c r="G924" t="s">
        <v>170</v>
      </c>
      <c r="H924">
        <v>15278437</v>
      </c>
      <c r="I924" t="s">
        <v>64</v>
      </c>
      <c r="J924" t="s">
        <v>65</v>
      </c>
      <c r="K924" t="str">
        <f t="shared" si="53"/>
        <v>JASON HOFFMANN</v>
      </c>
      <c r="L924" s="1">
        <v>45292</v>
      </c>
      <c r="M924" s="1">
        <v>46023</v>
      </c>
      <c r="N924" s="2">
        <v>104.08</v>
      </c>
      <c r="O924">
        <f t="shared" si="52"/>
        <v>24</v>
      </c>
      <c r="P924" t="s">
        <v>1370</v>
      </c>
      <c r="Q924" s="3">
        <v>5.2499999999999998E-2</v>
      </c>
      <c r="R924" t="s">
        <v>60</v>
      </c>
      <c r="S924" t="s">
        <v>61</v>
      </c>
      <c r="T924" s="2">
        <v>5.46</v>
      </c>
      <c r="U924" t="s">
        <v>170</v>
      </c>
    </row>
    <row r="925" spans="1:21" x14ac:dyDescent="0.25">
      <c r="A925">
        <v>2020974702</v>
      </c>
      <c r="B925" t="s">
        <v>66</v>
      </c>
      <c r="C925" t="s">
        <v>67</v>
      </c>
      <c r="D925" t="str">
        <f t="shared" si="51"/>
        <v>REGINA VILLANO</v>
      </c>
      <c r="E925" t="s">
        <v>52</v>
      </c>
      <c r="F925" t="s">
        <v>53</v>
      </c>
      <c r="G925" t="s">
        <v>54</v>
      </c>
      <c r="H925">
        <v>15278437</v>
      </c>
      <c r="I925" t="s">
        <v>64</v>
      </c>
      <c r="J925" t="s">
        <v>65</v>
      </c>
      <c r="K925" t="str">
        <f t="shared" si="53"/>
        <v>JASON HOFFMANN</v>
      </c>
      <c r="L925" s="1">
        <v>45292</v>
      </c>
      <c r="M925" s="1">
        <v>46023</v>
      </c>
      <c r="N925" s="2">
        <v>52.69</v>
      </c>
      <c r="O925">
        <f t="shared" si="52"/>
        <v>24</v>
      </c>
      <c r="P925" t="s">
        <v>1370</v>
      </c>
      <c r="Q925" s="3">
        <v>6.5000000000000002E-2</v>
      </c>
      <c r="R925" t="s">
        <v>60</v>
      </c>
      <c r="S925" t="s">
        <v>61</v>
      </c>
      <c r="T925" s="2">
        <v>3.42</v>
      </c>
      <c r="U925" t="s">
        <v>54</v>
      </c>
    </row>
    <row r="926" spans="1:21" x14ac:dyDescent="0.25">
      <c r="A926">
        <v>2021055299</v>
      </c>
      <c r="B926" t="s">
        <v>729</v>
      </c>
      <c r="C926" t="s">
        <v>730</v>
      </c>
      <c r="D926" t="str">
        <f t="shared" si="51"/>
        <v>JOANNE STEWART</v>
      </c>
      <c r="E926" t="s">
        <v>52</v>
      </c>
      <c r="F926" t="s">
        <v>53</v>
      </c>
      <c r="G926" t="s">
        <v>54</v>
      </c>
      <c r="H926">
        <v>15278437</v>
      </c>
      <c r="I926" t="s">
        <v>64</v>
      </c>
      <c r="J926" t="s">
        <v>65</v>
      </c>
      <c r="K926" t="str">
        <f t="shared" si="53"/>
        <v>JASON HOFFMANN</v>
      </c>
      <c r="L926" s="1">
        <v>45292</v>
      </c>
      <c r="M926" s="1">
        <v>46023</v>
      </c>
      <c r="N926" s="2">
        <v>52.69</v>
      </c>
      <c r="O926">
        <f t="shared" si="52"/>
        <v>24</v>
      </c>
      <c r="P926" t="s">
        <v>1370</v>
      </c>
      <c r="Q926" s="3">
        <v>6.5000000000000002E-2</v>
      </c>
      <c r="R926" t="s">
        <v>60</v>
      </c>
      <c r="S926" t="s">
        <v>61</v>
      </c>
      <c r="T926" s="2">
        <v>3.42</v>
      </c>
      <c r="U926" t="s">
        <v>54</v>
      </c>
    </row>
    <row r="927" spans="1:21" x14ac:dyDescent="0.25">
      <c r="A927">
        <v>2021166476</v>
      </c>
      <c r="B927" t="s">
        <v>731</v>
      </c>
      <c r="C927" t="s">
        <v>732</v>
      </c>
      <c r="D927" t="str">
        <f t="shared" si="51"/>
        <v>SYUNGYONG CHOI</v>
      </c>
      <c r="E927" t="s">
        <v>52</v>
      </c>
      <c r="F927" t="s">
        <v>53</v>
      </c>
      <c r="G927" t="s">
        <v>54</v>
      </c>
      <c r="H927">
        <v>15278437</v>
      </c>
      <c r="I927" t="s">
        <v>64</v>
      </c>
      <c r="J927" t="s">
        <v>65</v>
      </c>
      <c r="K927" t="str">
        <f t="shared" si="53"/>
        <v>JASON HOFFMANN</v>
      </c>
      <c r="L927" s="1">
        <v>45292</v>
      </c>
      <c r="M927" s="1">
        <v>46023</v>
      </c>
      <c r="N927" s="2">
        <v>52.69</v>
      </c>
      <c r="O927">
        <f t="shared" si="52"/>
        <v>24</v>
      </c>
      <c r="P927" t="s">
        <v>1370</v>
      </c>
      <c r="Q927" s="3">
        <v>6.5000000000000002E-2</v>
      </c>
      <c r="R927" t="s">
        <v>60</v>
      </c>
      <c r="S927" t="s">
        <v>61</v>
      </c>
      <c r="T927" s="2">
        <v>3.42</v>
      </c>
      <c r="U927" t="s">
        <v>54</v>
      </c>
    </row>
    <row r="928" spans="1:21" x14ac:dyDescent="0.25">
      <c r="A928">
        <v>2020953073</v>
      </c>
      <c r="B928" t="s">
        <v>967</v>
      </c>
      <c r="C928" t="s">
        <v>487</v>
      </c>
      <c r="D928" t="str">
        <f t="shared" si="51"/>
        <v>MARY D'ORSANEO</v>
      </c>
      <c r="E928" t="s">
        <v>515</v>
      </c>
      <c r="F928" t="s">
        <v>86</v>
      </c>
      <c r="G928" t="s">
        <v>87</v>
      </c>
      <c r="H928">
        <v>8977234</v>
      </c>
      <c r="I928" t="s">
        <v>81</v>
      </c>
      <c r="J928" t="s">
        <v>82</v>
      </c>
      <c r="K928" t="str">
        <f t="shared" si="53"/>
        <v>RYAN CALTAGIRONE</v>
      </c>
      <c r="L928" s="1">
        <v>45292</v>
      </c>
      <c r="M928" s="1">
        <v>46023</v>
      </c>
      <c r="N928" s="2">
        <v>85.6</v>
      </c>
      <c r="O928">
        <f t="shared" si="52"/>
        <v>24</v>
      </c>
      <c r="P928" t="s">
        <v>1370</v>
      </c>
      <c r="Q928" s="4">
        <v>0.06</v>
      </c>
      <c r="R928" t="s">
        <v>60</v>
      </c>
      <c r="S928" t="s">
        <v>61</v>
      </c>
      <c r="T928" s="2">
        <v>5.14</v>
      </c>
      <c r="U928" t="s">
        <v>87</v>
      </c>
    </row>
    <row r="929" spans="1:51" x14ac:dyDescent="0.25">
      <c r="A929">
        <v>2020801924</v>
      </c>
      <c r="B929" t="s">
        <v>1254</v>
      </c>
      <c r="C929" t="s">
        <v>1255</v>
      </c>
      <c r="D929" t="str">
        <f t="shared" si="51"/>
        <v>AVITAL MENTEL</v>
      </c>
      <c r="E929" t="s">
        <v>52</v>
      </c>
      <c r="F929" t="s">
        <v>169</v>
      </c>
      <c r="G929" t="s">
        <v>170</v>
      </c>
      <c r="H929">
        <v>19278370</v>
      </c>
      <c r="I929" t="s">
        <v>187</v>
      </c>
      <c r="J929" t="s">
        <v>188</v>
      </c>
      <c r="K929" t="str">
        <f t="shared" si="53"/>
        <v>ANNE MARIE KOZACHECK</v>
      </c>
      <c r="L929" s="1">
        <v>45261</v>
      </c>
      <c r="M929" s="1">
        <v>46023</v>
      </c>
      <c r="N929" s="2">
        <v>122.9</v>
      </c>
      <c r="O929">
        <f t="shared" si="52"/>
        <v>25</v>
      </c>
      <c r="P929" t="s">
        <v>1370</v>
      </c>
      <c r="Q929" s="3">
        <v>5.2499999999999998E-2</v>
      </c>
      <c r="R929" t="s">
        <v>60</v>
      </c>
      <c r="S929" t="s">
        <v>61</v>
      </c>
      <c r="T929" s="2">
        <v>6.45</v>
      </c>
      <c r="U929" t="s">
        <v>170</v>
      </c>
    </row>
    <row r="930" spans="1:51" x14ac:dyDescent="0.25">
      <c r="A930">
        <v>2020977489</v>
      </c>
      <c r="B930" t="s">
        <v>770</v>
      </c>
      <c r="C930" t="s">
        <v>236</v>
      </c>
      <c r="D930" t="str">
        <f t="shared" si="51"/>
        <v>PETER FOSTER</v>
      </c>
      <c r="E930" t="s">
        <v>52</v>
      </c>
      <c r="F930" t="s">
        <v>169</v>
      </c>
      <c r="G930" t="s">
        <v>170</v>
      </c>
      <c r="H930">
        <v>19278370</v>
      </c>
      <c r="I930" t="s">
        <v>187</v>
      </c>
      <c r="J930" t="s">
        <v>188</v>
      </c>
      <c r="K930" t="str">
        <f t="shared" si="53"/>
        <v>ANNE MARIE KOZACHECK</v>
      </c>
      <c r="L930" s="1">
        <v>45262</v>
      </c>
      <c r="M930" s="1">
        <v>46024</v>
      </c>
      <c r="N930" s="2">
        <v>115.64</v>
      </c>
      <c r="O930">
        <f t="shared" si="52"/>
        <v>25</v>
      </c>
      <c r="P930" t="s">
        <v>1370</v>
      </c>
      <c r="Q930" s="3">
        <v>5.2499999999999998E-2</v>
      </c>
      <c r="R930" t="s">
        <v>60</v>
      </c>
      <c r="S930" t="s">
        <v>61</v>
      </c>
      <c r="T930" s="2">
        <v>6.07</v>
      </c>
      <c r="U930" t="s">
        <v>170</v>
      </c>
    </row>
    <row r="931" spans="1:51" x14ac:dyDescent="0.25">
      <c r="A931">
        <v>2020542149</v>
      </c>
      <c r="B931" t="s">
        <v>706</v>
      </c>
      <c r="C931" t="s">
        <v>707</v>
      </c>
      <c r="D931" t="str">
        <f t="shared" si="51"/>
        <v>CYNTHIA CROWE</v>
      </c>
      <c r="E931" t="s">
        <v>52</v>
      </c>
      <c r="F931" t="s">
        <v>108</v>
      </c>
      <c r="G931" t="s">
        <v>109</v>
      </c>
      <c r="H931">
        <v>19278370</v>
      </c>
      <c r="I931" t="s">
        <v>187</v>
      </c>
      <c r="J931" t="s">
        <v>188</v>
      </c>
      <c r="K931" t="str">
        <f t="shared" si="53"/>
        <v>ANNE MARIE KOZACHECK</v>
      </c>
      <c r="L931" s="1">
        <v>45261</v>
      </c>
      <c r="M931" s="1">
        <v>46023</v>
      </c>
      <c r="N931" s="2">
        <v>116.79</v>
      </c>
      <c r="O931">
        <f t="shared" si="52"/>
        <v>25</v>
      </c>
      <c r="P931" t="s">
        <v>1370</v>
      </c>
      <c r="Q931" s="4">
        <v>0.26</v>
      </c>
      <c r="R931" t="s">
        <v>60</v>
      </c>
      <c r="S931" t="s">
        <v>61</v>
      </c>
      <c r="T931" s="2">
        <v>30.37</v>
      </c>
      <c r="U931" t="s">
        <v>1384</v>
      </c>
    </row>
    <row r="932" spans="1:51" x14ac:dyDescent="0.25">
      <c r="A932">
        <v>2020736331</v>
      </c>
      <c r="B932" t="s">
        <v>728</v>
      </c>
      <c r="C932" t="s">
        <v>385</v>
      </c>
      <c r="D932" t="str">
        <f t="shared" si="51"/>
        <v>JACK SCAVICCHIO</v>
      </c>
      <c r="E932" t="s">
        <v>52</v>
      </c>
      <c r="F932" t="s">
        <v>126</v>
      </c>
      <c r="G932" t="s">
        <v>127</v>
      </c>
      <c r="H932">
        <v>15278437</v>
      </c>
      <c r="I932" t="s">
        <v>64</v>
      </c>
      <c r="J932" t="s">
        <v>65</v>
      </c>
      <c r="K932" t="str">
        <f t="shared" ref="K932:K963" si="54">CONCATENATE(J932," ",I932)</f>
        <v>JASON HOFFMANN</v>
      </c>
      <c r="L932" s="1">
        <v>45261</v>
      </c>
      <c r="M932" s="1">
        <v>46023</v>
      </c>
      <c r="N932" s="2">
        <v>25.73</v>
      </c>
      <c r="O932">
        <f t="shared" si="52"/>
        <v>25</v>
      </c>
      <c r="P932" t="s">
        <v>1370</v>
      </c>
      <c r="Q932" s="4">
        <v>0.15</v>
      </c>
      <c r="R932" t="s">
        <v>60</v>
      </c>
      <c r="S932" t="s">
        <v>61</v>
      </c>
      <c r="T932" s="2">
        <v>3.86</v>
      </c>
      <c r="U932" t="s">
        <v>127</v>
      </c>
    </row>
    <row r="933" spans="1:51" x14ac:dyDescent="0.25">
      <c r="A933">
        <v>2020891510</v>
      </c>
      <c r="B933" t="s">
        <v>179</v>
      </c>
      <c r="C933" t="s">
        <v>180</v>
      </c>
      <c r="D933" t="str">
        <f t="shared" si="51"/>
        <v>DONNA CLOGSTON</v>
      </c>
      <c r="E933" t="s">
        <v>52</v>
      </c>
      <c r="F933" t="s">
        <v>169</v>
      </c>
      <c r="G933" t="s">
        <v>170</v>
      </c>
      <c r="H933">
        <v>15278437</v>
      </c>
      <c r="I933" t="s">
        <v>64</v>
      </c>
      <c r="J933" t="s">
        <v>65</v>
      </c>
      <c r="K933" t="str">
        <f t="shared" si="54"/>
        <v>JASON HOFFMANN</v>
      </c>
      <c r="L933" s="1">
        <v>45261</v>
      </c>
      <c r="M933" s="1">
        <v>46023</v>
      </c>
      <c r="N933" s="2">
        <v>13.07</v>
      </c>
      <c r="O933">
        <f t="shared" si="52"/>
        <v>25</v>
      </c>
      <c r="P933" t="s">
        <v>1370</v>
      </c>
      <c r="Q933" s="3">
        <v>5.2499999999999998E-2</v>
      </c>
      <c r="R933" t="s">
        <v>60</v>
      </c>
      <c r="S933" t="s">
        <v>61</v>
      </c>
      <c r="T933" s="2">
        <v>0.69</v>
      </c>
      <c r="U933" t="s">
        <v>170</v>
      </c>
    </row>
    <row r="934" spans="1:51" x14ac:dyDescent="0.25">
      <c r="A934">
        <v>2020720597</v>
      </c>
      <c r="B934" t="s">
        <v>728</v>
      </c>
      <c r="C934" t="s">
        <v>678</v>
      </c>
      <c r="D934" t="str">
        <f t="shared" si="51"/>
        <v>ANTHONY SCAVICCHIO</v>
      </c>
      <c r="E934" t="s">
        <v>52</v>
      </c>
      <c r="F934" t="s">
        <v>169</v>
      </c>
      <c r="G934" t="s">
        <v>170</v>
      </c>
      <c r="H934">
        <v>15278437</v>
      </c>
      <c r="I934" t="s">
        <v>64</v>
      </c>
      <c r="J934" t="s">
        <v>65</v>
      </c>
      <c r="K934" t="str">
        <f t="shared" si="54"/>
        <v>JASON HOFFMANN</v>
      </c>
      <c r="L934" s="1">
        <v>45261</v>
      </c>
      <c r="M934" s="1">
        <v>46023</v>
      </c>
      <c r="N934" s="2">
        <v>117.55</v>
      </c>
      <c r="O934">
        <f t="shared" si="52"/>
        <v>25</v>
      </c>
      <c r="P934" t="s">
        <v>1370</v>
      </c>
      <c r="Q934" s="3">
        <v>5.2499999999999998E-2</v>
      </c>
      <c r="R934" t="s">
        <v>60</v>
      </c>
      <c r="S934" t="s">
        <v>61</v>
      </c>
      <c r="T934" s="2">
        <v>6.17</v>
      </c>
      <c r="U934" t="s">
        <v>170</v>
      </c>
    </row>
    <row r="935" spans="1:51" x14ac:dyDescent="0.25">
      <c r="A935">
        <v>2020736329</v>
      </c>
      <c r="B935" t="s">
        <v>728</v>
      </c>
      <c r="C935" t="s">
        <v>385</v>
      </c>
      <c r="D935" t="str">
        <f t="shared" si="51"/>
        <v>JACK SCAVICCHIO</v>
      </c>
      <c r="E935" t="s">
        <v>52</v>
      </c>
      <c r="F935" t="s">
        <v>169</v>
      </c>
      <c r="G935" t="s">
        <v>170</v>
      </c>
      <c r="H935">
        <v>15278437</v>
      </c>
      <c r="I935" t="s">
        <v>64</v>
      </c>
      <c r="J935" t="s">
        <v>65</v>
      </c>
      <c r="K935" t="str">
        <f t="shared" si="54"/>
        <v>JASON HOFFMANN</v>
      </c>
      <c r="L935" s="1">
        <v>45261</v>
      </c>
      <c r="M935" s="1">
        <v>46023</v>
      </c>
      <c r="N935" s="2">
        <v>58.09</v>
      </c>
      <c r="O935">
        <f t="shared" si="52"/>
        <v>25</v>
      </c>
      <c r="P935" t="s">
        <v>1370</v>
      </c>
      <c r="Q935" s="3">
        <v>5.2499999999999998E-2</v>
      </c>
      <c r="R935" t="s">
        <v>60</v>
      </c>
      <c r="S935" t="s">
        <v>61</v>
      </c>
      <c r="T935" s="2">
        <v>3.05</v>
      </c>
      <c r="U935" t="s">
        <v>170</v>
      </c>
    </row>
    <row r="936" spans="1:51" x14ac:dyDescent="0.25">
      <c r="A936">
        <v>2020902469</v>
      </c>
      <c r="B936" t="s">
        <v>1256</v>
      </c>
      <c r="C936" t="s">
        <v>602</v>
      </c>
      <c r="D936" t="str">
        <f t="shared" si="51"/>
        <v>ANNE HADDAD</v>
      </c>
      <c r="E936" t="s">
        <v>52</v>
      </c>
      <c r="F936" t="s">
        <v>169</v>
      </c>
      <c r="G936" t="s">
        <v>170</v>
      </c>
      <c r="H936">
        <v>15278437</v>
      </c>
      <c r="I936" t="s">
        <v>64</v>
      </c>
      <c r="J936" t="s">
        <v>65</v>
      </c>
      <c r="K936" t="str">
        <f t="shared" si="54"/>
        <v>JASON HOFFMANN</v>
      </c>
      <c r="L936" s="1">
        <v>45261</v>
      </c>
      <c r="M936" s="1">
        <v>46023</v>
      </c>
      <c r="N936" s="2">
        <v>61.19</v>
      </c>
      <c r="O936">
        <f t="shared" si="52"/>
        <v>25</v>
      </c>
      <c r="P936" t="s">
        <v>1370</v>
      </c>
      <c r="Q936" s="3">
        <v>5.2499999999999998E-2</v>
      </c>
      <c r="R936" t="s">
        <v>60</v>
      </c>
      <c r="S936" t="s">
        <v>61</v>
      </c>
      <c r="T936" s="2">
        <v>3.21</v>
      </c>
      <c r="U936" t="s">
        <v>170</v>
      </c>
    </row>
    <row r="937" spans="1:51" x14ac:dyDescent="0.25">
      <c r="A937">
        <v>2020736330</v>
      </c>
      <c r="B937" t="s">
        <v>728</v>
      </c>
      <c r="C937" t="s">
        <v>385</v>
      </c>
      <c r="D937" t="str">
        <f t="shared" si="51"/>
        <v>JACK SCAVICCHIO</v>
      </c>
      <c r="E937" t="s">
        <v>52</v>
      </c>
      <c r="F937" t="s">
        <v>53</v>
      </c>
      <c r="G937" t="s">
        <v>722</v>
      </c>
      <c r="H937">
        <v>15278437</v>
      </c>
      <c r="I937" t="s">
        <v>64</v>
      </c>
      <c r="J937" t="s">
        <v>65</v>
      </c>
      <c r="K937" t="str">
        <f t="shared" si="54"/>
        <v>JASON HOFFMANN</v>
      </c>
      <c r="L937" s="1">
        <v>45261</v>
      </c>
      <c r="M937" s="1">
        <v>46023</v>
      </c>
      <c r="N937" s="2">
        <v>105.84</v>
      </c>
      <c r="O937">
        <f t="shared" si="52"/>
        <v>25</v>
      </c>
      <c r="P937" t="s">
        <v>1370</v>
      </c>
      <c r="Q937" s="3">
        <v>6.5000000000000002E-2</v>
      </c>
      <c r="R937" t="s">
        <v>60</v>
      </c>
      <c r="S937" t="s">
        <v>61</v>
      </c>
      <c r="T937" s="2">
        <v>6.88</v>
      </c>
      <c r="U937" t="s">
        <v>726</v>
      </c>
    </row>
    <row r="938" spans="1:51" x14ac:dyDescent="0.25">
      <c r="A938">
        <v>2020720598</v>
      </c>
      <c r="B938" t="s">
        <v>728</v>
      </c>
      <c r="C938" t="s">
        <v>678</v>
      </c>
      <c r="D938" t="str">
        <f t="shared" si="51"/>
        <v>ANTHONY SCAVICCHIO</v>
      </c>
      <c r="E938" t="s">
        <v>52</v>
      </c>
      <c r="F938" t="s">
        <v>53</v>
      </c>
      <c r="G938" t="s">
        <v>54</v>
      </c>
      <c r="H938">
        <v>15278437</v>
      </c>
      <c r="I938" t="s">
        <v>64</v>
      </c>
      <c r="J938" t="s">
        <v>65</v>
      </c>
      <c r="K938" t="str">
        <f t="shared" si="54"/>
        <v>JASON HOFFMANN</v>
      </c>
      <c r="L938" s="1">
        <v>45261</v>
      </c>
      <c r="M938" s="1">
        <v>46023</v>
      </c>
      <c r="N938" s="2">
        <v>92.55</v>
      </c>
      <c r="O938">
        <f t="shared" si="52"/>
        <v>25</v>
      </c>
      <c r="P938" t="s">
        <v>1370</v>
      </c>
      <c r="Q938" s="3">
        <v>6.5000000000000002E-2</v>
      </c>
      <c r="R938" t="s">
        <v>60</v>
      </c>
      <c r="S938" t="s">
        <v>61</v>
      </c>
      <c r="T938" s="2">
        <v>6.02</v>
      </c>
      <c r="U938" t="s">
        <v>54</v>
      </c>
    </row>
    <row r="939" spans="1:51" x14ac:dyDescent="0.25">
      <c r="A939">
        <v>2020891511</v>
      </c>
      <c r="B939" t="s">
        <v>179</v>
      </c>
      <c r="C939" t="s">
        <v>180</v>
      </c>
      <c r="D939" t="str">
        <f t="shared" si="51"/>
        <v>DONNA CLOGSTON</v>
      </c>
      <c r="E939" t="s">
        <v>52</v>
      </c>
      <c r="F939" t="s">
        <v>53</v>
      </c>
      <c r="G939" t="s">
        <v>54</v>
      </c>
      <c r="H939">
        <v>15278437</v>
      </c>
      <c r="I939" t="s">
        <v>64</v>
      </c>
      <c r="J939" t="s">
        <v>65</v>
      </c>
      <c r="K939" t="str">
        <f t="shared" si="54"/>
        <v>JASON HOFFMANN</v>
      </c>
      <c r="L939" s="1">
        <v>45261</v>
      </c>
      <c r="M939" s="1">
        <v>46023</v>
      </c>
      <c r="N939" s="2">
        <v>52.69</v>
      </c>
      <c r="O939">
        <f t="shared" si="52"/>
        <v>25</v>
      </c>
      <c r="P939" t="s">
        <v>1370</v>
      </c>
      <c r="Q939" s="3">
        <v>6.5000000000000002E-2</v>
      </c>
      <c r="R939" t="s">
        <v>60</v>
      </c>
      <c r="S939" t="s">
        <v>61</v>
      </c>
      <c r="T939" s="2">
        <v>3.42</v>
      </c>
      <c r="U939" t="s">
        <v>54</v>
      </c>
    </row>
    <row r="940" spans="1:51" s="5" customFormat="1" x14ac:dyDescent="0.25">
      <c r="A940">
        <v>2020639704</v>
      </c>
      <c r="B940" t="s">
        <v>1252</v>
      </c>
      <c r="C940" t="s">
        <v>619</v>
      </c>
      <c r="D940" t="str">
        <f t="shared" si="51"/>
        <v>KATHLEEN ROKES</v>
      </c>
      <c r="E940" t="s">
        <v>515</v>
      </c>
      <c r="F940" t="s">
        <v>169</v>
      </c>
      <c r="G940" t="s">
        <v>170</v>
      </c>
      <c r="H940">
        <v>8977234</v>
      </c>
      <c r="I940" t="s">
        <v>81</v>
      </c>
      <c r="J940" t="s">
        <v>82</v>
      </c>
      <c r="K940" t="str">
        <f t="shared" si="54"/>
        <v>RYAN CALTAGIRONE</v>
      </c>
      <c r="L940" s="1">
        <v>45261</v>
      </c>
      <c r="M940" s="1">
        <v>46023</v>
      </c>
      <c r="N940" s="2">
        <v>30.04</v>
      </c>
      <c r="O940">
        <f t="shared" si="52"/>
        <v>25</v>
      </c>
      <c r="P940" t="s">
        <v>1370</v>
      </c>
      <c r="Q940" s="3">
        <v>5.2499999999999998E-2</v>
      </c>
      <c r="R940" t="s">
        <v>60</v>
      </c>
      <c r="S940" t="s">
        <v>61</v>
      </c>
      <c r="T940" s="2">
        <v>1.58</v>
      </c>
      <c r="U940" t="s">
        <v>170</v>
      </c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</row>
    <row r="941" spans="1:51" s="5" customFormat="1" x14ac:dyDescent="0.25">
      <c r="A941">
        <v>2020450119</v>
      </c>
      <c r="B941" t="s">
        <v>1248</v>
      </c>
      <c r="C941" t="s">
        <v>1188</v>
      </c>
      <c r="D941" t="str">
        <f t="shared" si="51"/>
        <v>EDWARD GREENHOW</v>
      </c>
      <c r="E941" t="s">
        <v>52</v>
      </c>
      <c r="F941" t="s">
        <v>169</v>
      </c>
      <c r="G941" t="s">
        <v>170</v>
      </c>
      <c r="H941">
        <v>19278370</v>
      </c>
      <c r="I941" t="s">
        <v>187</v>
      </c>
      <c r="J941" t="s">
        <v>188</v>
      </c>
      <c r="K941" t="str">
        <f t="shared" si="54"/>
        <v>ANNE MARIE KOZACHECK</v>
      </c>
      <c r="L941" s="1">
        <v>45231</v>
      </c>
      <c r="M941" s="1">
        <v>46023</v>
      </c>
      <c r="N941" s="2">
        <v>115.64</v>
      </c>
      <c r="O941">
        <f t="shared" si="52"/>
        <v>26</v>
      </c>
      <c r="P941" t="s">
        <v>1370</v>
      </c>
      <c r="Q941" s="3">
        <v>5.2499999999999998E-2</v>
      </c>
      <c r="R941" t="s">
        <v>60</v>
      </c>
      <c r="S941" t="s">
        <v>61</v>
      </c>
      <c r="T941" s="2">
        <v>6.07</v>
      </c>
      <c r="U941" t="s">
        <v>170</v>
      </c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</row>
    <row r="942" spans="1:51" s="5" customFormat="1" x14ac:dyDescent="0.25">
      <c r="A942">
        <v>2020622534</v>
      </c>
      <c r="B942" t="s">
        <v>708</v>
      </c>
      <c r="C942" t="s">
        <v>709</v>
      </c>
      <c r="D942" t="str">
        <f t="shared" si="51"/>
        <v>R AMRAVANESWAREN</v>
      </c>
      <c r="E942" t="s">
        <v>52</v>
      </c>
      <c r="F942" t="s">
        <v>108</v>
      </c>
      <c r="G942" t="s">
        <v>109</v>
      </c>
      <c r="H942">
        <v>19278370</v>
      </c>
      <c r="I942" t="s">
        <v>187</v>
      </c>
      <c r="J942" t="s">
        <v>188</v>
      </c>
      <c r="K942" t="str">
        <f t="shared" si="54"/>
        <v>ANNE MARIE KOZACHECK</v>
      </c>
      <c r="L942" s="1">
        <v>45231</v>
      </c>
      <c r="M942" s="1">
        <v>46023</v>
      </c>
      <c r="N942" s="2">
        <v>125.33</v>
      </c>
      <c r="O942">
        <f t="shared" si="52"/>
        <v>26</v>
      </c>
      <c r="P942" t="s">
        <v>1370</v>
      </c>
      <c r="Q942" s="4">
        <v>0.26</v>
      </c>
      <c r="R942" t="s">
        <v>60</v>
      </c>
      <c r="S942" t="s">
        <v>61</v>
      </c>
      <c r="T942" s="2">
        <v>32.590000000000003</v>
      </c>
      <c r="U942" t="s">
        <v>1384</v>
      </c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</row>
    <row r="943" spans="1:51" s="5" customFormat="1" x14ac:dyDescent="0.25">
      <c r="A943">
        <v>2020488528</v>
      </c>
      <c r="B943" t="s">
        <v>62</v>
      </c>
      <c r="C943" t="s">
        <v>63</v>
      </c>
      <c r="D943" t="str">
        <f t="shared" si="51"/>
        <v>RICHARD SWOGER</v>
      </c>
      <c r="E943" t="s">
        <v>52</v>
      </c>
      <c r="F943" t="s">
        <v>169</v>
      </c>
      <c r="G943" t="s">
        <v>170</v>
      </c>
      <c r="H943">
        <v>15278437</v>
      </c>
      <c r="I943" t="s">
        <v>64</v>
      </c>
      <c r="J943" t="s">
        <v>65</v>
      </c>
      <c r="K943" t="str">
        <f t="shared" si="54"/>
        <v>JASON HOFFMANN</v>
      </c>
      <c r="L943" s="1">
        <v>45231</v>
      </c>
      <c r="M943" s="1">
        <v>46023</v>
      </c>
      <c r="N943" s="2">
        <v>46.01</v>
      </c>
      <c r="O943">
        <f t="shared" si="52"/>
        <v>26</v>
      </c>
      <c r="P943" t="s">
        <v>1370</v>
      </c>
      <c r="Q943" s="3">
        <v>5.2499999999999998E-2</v>
      </c>
      <c r="R943" t="s">
        <v>60</v>
      </c>
      <c r="S943" t="s">
        <v>61</v>
      </c>
      <c r="T943" s="2">
        <v>2.42</v>
      </c>
      <c r="U943" t="s">
        <v>170</v>
      </c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</row>
    <row r="944" spans="1:51" s="5" customFormat="1" x14ac:dyDescent="0.25">
      <c r="A944">
        <v>2020623869</v>
      </c>
      <c r="B944" t="s">
        <v>394</v>
      </c>
      <c r="C944" t="s">
        <v>635</v>
      </c>
      <c r="D944" t="str">
        <f t="shared" si="51"/>
        <v>NANCY GARDNER</v>
      </c>
      <c r="E944" t="s">
        <v>52</v>
      </c>
      <c r="F944" t="s">
        <v>169</v>
      </c>
      <c r="G944" t="s">
        <v>170</v>
      </c>
      <c r="H944">
        <v>15278437</v>
      </c>
      <c r="I944" t="s">
        <v>64</v>
      </c>
      <c r="J944" t="s">
        <v>65</v>
      </c>
      <c r="K944" t="str">
        <f t="shared" si="54"/>
        <v>JASON HOFFMANN</v>
      </c>
      <c r="L944" s="1">
        <v>45232</v>
      </c>
      <c r="M944" s="1">
        <v>46024</v>
      </c>
      <c r="N944" s="2">
        <v>51.19</v>
      </c>
      <c r="O944">
        <f t="shared" si="52"/>
        <v>26</v>
      </c>
      <c r="P944" t="s">
        <v>1370</v>
      </c>
      <c r="Q944" s="3">
        <v>5.2499999999999998E-2</v>
      </c>
      <c r="R944" t="s">
        <v>60</v>
      </c>
      <c r="S944" t="s">
        <v>61</v>
      </c>
      <c r="T944" s="2">
        <v>2.69</v>
      </c>
      <c r="U944" t="s">
        <v>170</v>
      </c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</row>
    <row r="945" spans="1:51" s="5" customFormat="1" x14ac:dyDescent="0.25">
      <c r="A945">
        <v>2020488529</v>
      </c>
      <c r="B945" t="s">
        <v>62</v>
      </c>
      <c r="C945" t="s">
        <v>63</v>
      </c>
      <c r="D945" t="str">
        <f t="shared" si="51"/>
        <v>RICHARD SWOGER</v>
      </c>
      <c r="E945" t="s">
        <v>52</v>
      </c>
      <c r="F945" t="s">
        <v>53</v>
      </c>
      <c r="G945" t="s">
        <v>54</v>
      </c>
      <c r="H945">
        <v>15278437</v>
      </c>
      <c r="I945" t="s">
        <v>64</v>
      </c>
      <c r="J945" t="s">
        <v>65</v>
      </c>
      <c r="K945" t="str">
        <f t="shared" si="54"/>
        <v>JASON HOFFMANN</v>
      </c>
      <c r="L945" s="1">
        <v>45231</v>
      </c>
      <c r="M945" s="1">
        <v>46023</v>
      </c>
      <c r="N945" s="2">
        <v>75.75</v>
      </c>
      <c r="O945">
        <f t="shared" si="52"/>
        <v>26</v>
      </c>
      <c r="P945" t="s">
        <v>1370</v>
      </c>
      <c r="Q945" s="3">
        <v>6.5000000000000002E-2</v>
      </c>
      <c r="R945" t="s">
        <v>60</v>
      </c>
      <c r="S945" t="s">
        <v>61</v>
      </c>
      <c r="T945" s="2">
        <v>4.92</v>
      </c>
      <c r="U945" t="s">
        <v>54</v>
      </c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</row>
    <row r="946" spans="1:51" s="5" customFormat="1" x14ac:dyDescent="0.25">
      <c r="A946">
        <v>2019602458</v>
      </c>
      <c r="B946" t="s">
        <v>1244</v>
      </c>
      <c r="C946" t="s">
        <v>1245</v>
      </c>
      <c r="D946" t="str">
        <f t="shared" si="51"/>
        <v>LORRIE TURNER</v>
      </c>
      <c r="E946" t="s">
        <v>52</v>
      </c>
      <c r="F946" t="s">
        <v>169</v>
      </c>
      <c r="G946" t="s">
        <v>170</v>
      </c>
      <c r="H946">
        <v>20411454</v>
      </c>
      <c r="I946" t="s">
        <v>673</v>
      </c>
      <c r="J946" t="s">
        <v>517</v>
      </c>
      <c r="K946" t="s">
        <v>1377</v>
      </c>
      <c r="L946" s="1">
        <v>45170</v>
      </c>
      <c r="M946" s="1">
        <v>46023</v>
      </c>
      <c r="N946" s="2">
        <v>0.38</v>
      </c>
      <c r="O946">
        <f t="shared" si="52"/>
        <v>28</v>
      </c>
      <c r="P946" t="s">
        <v>1370</v>
      </c>
      <c r="Q946" s="4">
        <v>0</v>
      </c>
      <c r="R946" t="s">
        <v>60</v>
      </c>
      <c r="S946" t="s">
        <v>61</v>
      </c>
      <c r="T946" s="2">
        <v>0.38</v>
      </c>
      <c r="U946" t="s">
        <v>1376</v>
      </c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</row>
    <row r="947" spans="1:51" s="5" customFormat="1" x14ac:dyDescent="0.25">
      <c r="A947">
        <v>2019741130</v>
      </c>
      <c r="B947" t="s">
        <v>1246</v>
      </c>
      <c r="C947" t="s">
        <v>328</v>
      </c>
      <c r="D947" t="str">
        <f t="shared" si="51"/>
        <v>SHARON HOFFMAN</v>
      </c>
      <c r="E947" t="s">
        <v>52</v>
      </c>
      <c r="F947" t="s">
        <v>169</v>
      </c>
      <c r="G947" t="s">
        <v>170</v>
      </c>
      <c r="H947">
        <v>15278437</v>
      </c>
      <c r="I947" t="s">
        <v>64</v>
      </c>
      <c r="J947" t="s">
        <v>65</v>
      </c>
      <c r="K947" t="str">
        <f>CONCATENATE(J947," ",I947)</f>
        <v>JASON HOFFMANN</v>
      </c>
      <c r="L947" s="1">
        <v>45170</v>
      </c>
      <c r="M947" s="1">
        <v>46023</v>
      </c>
      <c r="N947" s="2">
        <v>64.540000000000006</v>
      </c>
      <c r="O947">
        <f t="shared" si="52"/>
        <v>28</v>
      </c>
      <c r="P947" t="s">
        <v>1370</v>
      </c>
      <c r="Q947" s="3">
        <v>5.2499999999999998E-2</v>
      </c>
      <c r="R947" t="s">
        <v>60</v>
      </c>
      <c r="S947" t="s">
        <v>61</v>
      </c>
      <c r="T947" s="2">
        <v>3.39</v>
      </c>
      <c r="U947" t="s">
        <v>170</v>
      </c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</row>
    <row r="948" spans="1:51" s="5" customFormat="1" x14ac:dyDescent="0.25">
      <c r="A948">
        <v>2019345387</v>
      </c>
      <c r="B948" t="s">
        <v>1243</v>
      </c>
      <c r="C948" t="s">
        <v>405</v>
      </c>
      <c r="D948" t="str">
        <f t="shared" si="51"/>
        <v>DAVID FONDA</v>
      </c>
      <c r="E948" t="s">
        <v>52</v>
      </c>
      <c r="F948" t="s">
        <v>169</v>
      </c>
      <c r="G948" t="s">
        <v>170</v>
      </c>
      <c r="H948">
        <v>20411454</v>
      </c>
      <c r="I948" t="s">
        <v>110</v>
      </c>
      <c r="J948" t="s">
        <v>111</v>
      </c>
      <c r="K948" t="s">
        <v>1377</v>
      </c>
      <c r="L948" s="1">
        <v>45139</v>
      </c>
      <c r="M948" s="1">
        <v>46023</v>
      </c>
      <c r="N948" s="2">
        <v>0.69</v>
      </c>
      <c r="O948">
        <f t="shared" si="52"/>
        <v>29</v>
      </c>
      <c r="P948" t="s">
        <v>1370</v>
      </c>
      <c r="Q948" s="4">
        <v>0</v>
      </c>
      <c r="R948" t="s">
        <v>60</v>
      </c>
      <c r="S948" t="s">
        <v>61</v>
      </c>
      <c r="T948" s="2">
        <v>0.69</v>
      </c>
      <c r="U948" t="s">
        <v>1376</v>
      </c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</row>
    <row r="949" spans="1:51" s="5" customFormat="1" x14ac:dyDescent="0.25">
      <c r="A949">
        <v>2019484024</v>
      </c>
      <c r="B949" t="s">
        <v>752</v>
      </c>
      <c r="C949" t="s">
        <v>753</v>
      </c>
      <c r="D949" t="str">
        <f t="shared" si="51"/>
        <v>BRYAN TREHERN</v>
      </c>
      <c r="E949" t="s">
        <v>374</v>
      </c>
      <c r="F949" t="s">
        <v>75</v>
      </c>
      <c r="G949" t="s">
        <v>80</v>
      </c>
      <c r="H949">
        <v>8307933</v>
      </c>
      <c r="I949" t="s">
        <v>246</v>
      </c>
      <c r="J949" t="s">
        <v>247</v>
      </c>
      <c r="K949" t="str">
        <f t="shared" ref="K949:K980" si="55">CONCATENATE(J949," ",I949)</f>
        <v>GREGORY TEIPEL</v>
      </c>
      <c r="L949" s="1">
        <v>45144</v>
      </c>
      <c r="M949" s="1">
        <v>46028</v>
      </c>
      <c r="N949" s="2">
        <v>141.33000000000001</v>
      </c>
      <c r="O949">
        <f t="shared" si="52"/>
        <v>29</v>
      </c>
      <c r="P949" t="s">
        <v>1370</v>
      </c>
      <c r="Q949" s="4">
        <v>0.1</v>
      </c>
      <c r="R949" t="s">
        <v>60</v>
      </c>
      <c r="S949" t="s">
        <v>61</v>
      </c>
      <c r="T949" s="2">
        <v>14.13</v>
      </c>
      <c r="U949" t="s">
        <v>1372</v>
      </c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</row>
    <row r="950" spans="1:51" s="5" customFormat="1" x14ac:dyDescent="0.25">
      <c r="A950">
        <v>2019638944</v>
      </c>
      <c r="B950" t="s">
        <v>961</v>
      </c>
      <c r="C950" t="s">
        <v>962</v>
      </c>
      <c r="D950" t="str">
        <f t="shared" si="51"/>
        <v>MARK PHILLIPS</v>
      </c>
      <c r="E950" t="s">
        <v>267</v>
      </c>
      <c r="F950" t="s">
        <v>86</v>
      </c>
      <c r="G950" t="s">
        <v>87</v>
      </c>
      <c r="H950">
        <v>8307933</v>
      </c>
      <c r="I950" t="s">
        <v>246</v>
      </c>
      <c r="J950" t="s">
        <v>247</v>
      </c>
      <c r="K950" t="str">
        <f t="shared" si="55"/>
        <v>GREGORY TEIPEL</v>
      </c>
      <c r="L950" s="1">
        <v>45146</v>
      </c>
      <c r="M950" s="1">
        <v>46030</v>
      </c>
      <c r="N950" s="2">
        <v>40.07</v>
      </c>
      <c r="O950">
        <f t="shared" si="52"/>
        <v>29</v>
      </c>
      <c r="P950" t="s">
        <v>1370</v>
      </c>
      <c r="Q950" s="4">
        <v>0.06</v>
      </c>
      <c r="R950" t="s">
        <v>60</v>
      </c>
      <c r="S950" t="s">
        <v>61</v>
      </c>
      <c r="T950" s="2">
        <v>2.4</v>
      </c>
      <c r="U950" t="s">
        <v>87</v>
      </c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</row>
    <row r="951" spans="1:51" s="5" customFormat="1" x14ac:dyDescent="0.25">
      <c r="A951">
        <v>2019324243</v>
      </c>
      <c r="B951" t="s">
        <v>173</v>
      </c>
      <c r="C951" t="s">
        <v>71</v>
      </c>
      <c r="D951" t="str">
        <f t="shared" si="51"/>
        <v>JOHN WOODALL</v>
      </c>
      <c r="E951" t="s">
        <v>125</v>
      </c>
      <c r="F951" t="s">
        <v>169</v>
      </c>
      <c r="G951" t="s">
        <v>170</v>
      </c>
      <c r="H951">
        <v>8977234</v>
      </c>
      <c r="I951" t="s">
        <v>81</v>
      </c>
      <c r="J951" t="s">
        <v>82</v>
      </c>
      <c r="K951" t="str">
        <f t="shared" si="55"/>
        <v>RYAN CALTAGIRONE</v>
      </c>
      <c r="L951" s="1">
        <v>45139</v>
      </c>
      <c r="M951" s="1">
        <v>46023</v>
      </c>
      <c r="N951" s="2">
        <v>14.99</v>
      </c>
      <c r="O951">
        <f t="shared" si="52"/>
        <v>29</v>
      </c>
      <c r="P951" t="s">
        <v>1370</v>
      </c>
      <c r="Q951" s="3">
        <v>5.2499999999999998E-2</v>
      </c>
      <c r="R951" t="s">
        <v>60</v>
      </c>
      <c r="S951" t="s">
        <v>61</v>
      </c>
      <c r="T951" s="2">
        <v>0.79</v>
      </c>
      <c r="U951" t="s">
        <v>170</v>
      </c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</row>
    <row r="952" spans="1:51" s="5" customFormat="1" x14ac:dyDescent="0.25">
      <c r="A952">
        <v>2019422323</v>
      </c>
      <c r="B952" t="s">
        <v>174</v>
      </c>
      <c r="C952" t="s">
        <v>175</v>
      </c>
      <c r="D952" t="str">
        <f t="shared" si="51"/>
        <v>LISA CHRISTIANSEN</v>
      </c>
      <c r="E952" t="s">
        <v>176</v>
      </c>
      <c r="F952" t="s">
        <v>169</v>
      </c>
      <c r="G952" t="s">
        <v>170</v>
      </c>
      <c r="H952">
        <v>8977234</v>
      </c>
      <c r="I952" t="s">
        <v>81</v>
      </c>
      <c r="J952" t="s">
        <v>82</v>
      </c>
      <c r="K952" t="str">
        <f t="shared" si="55"/>
        <v>RYAN CALTAGIRONE</v>
      </c>
      <c r="L952" s="1">
        <v>45139</v>
      </c>
      <c r="M952" s="1">
        <v>46023</v>
      </c>
      <c r="N952" s="2">
        <v>42.84</v>
      </c>
      <c r="O952">
        <f t="shared" si="52"/>
        <v>29</v>
      </c>
      <c r="P952" t="s">
        <v>1370</v>
      </c>
      <c r="Q952" s="3">
        <v>5.2499999999999998E-2</v>
      </c>
      <c r="R952" t="s">
        <v>60</v>
      </c>
      <c r="S952" t="s">
        <v>61</v>
      </c>
      <c r="T952" s="2">
        <v>2.25</v>
      </c>
      <c r="U952" t="s">
        <v>170</v>
      </c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</row>
    <row r="953" spans="1:51" s="5" customFormat="1" x14ac:dyDescent="0.25">
      <c r="A953">
        <v>2018920321</v>
      </c>
      <c r="B953" t="s">
        <v>750</v>
      </c>
      <c r="C953" t="s">
        <v>751</v>
      </c>
      <c r="D953" t="str">
        <f t="shared" si="51"/>
        <v>DEVIN PARMER</v>
      </c>
      <c r="E953" t="s">
        <v>125</v>
      </c>
      <c r="F953" t="s">
        <v>75</v>
      </c>
      <c r="G953" t="s">
        <v>739</v>
      </c>
      <c r="H953">
        <v>8307933</v>
      </c>
      <c r="I953" t="s">
        <v>246</v>
      </c>
      <c r="J953" t="s">
        <v>247</v>
      </c>
      <c r="K953" t="str">
        <f t="shared" si="55"/>
        <v>GREGORY TEIPEL</v>
      </c>
      <c r="L953" s="1">
        <v>45112</v>
      </c>
      <c r="M953" s="1">
        <v>46027</v>
      </c>
      <c r="N953" s="2">
        <v>65.41</v>
      </c>
      <c r="O953">
        <f t="shared" si="52"/>
        <v>30</v>
      </c>
      <c r="P953" t="s">
        <v>1370</v>
      </c>
      <c r="Q953" s="4">
        <v>0.1</v>
      </c>
      <c r="R953" t="s">
        <v>60</v>
      </c>
      <c r="S953" t="s">
        <v>61</v>
      </c>
      <c r="T953" s="2">
        <v>6.54</v>
      </c>
      <c r="U953" t="s">
        <v>1380</v>
      </c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</row>
    <row r="954" spans="1:51" s="5" customFormat="1" x14ac:dyDescent="0.25">
      <c r="A954">
        <v>2019319907</v>
      </c>
      <c r="B954" t="s">
        <v>1044</v>
      </c>
      <c r="C954" t="s">
        <v>1045</v>
      </c>
      <c r="D954" t="str">
        <f t="shared" si="51"/>
        <v>CONNIE HAZEN</v>
      </c>
      <c r="E954" t="s">
        <v>386</v>
      </c>
      <c r="F954" t="s">
        <v>126</v>
      </c>
      <c r="G954" t="s">
        <v>375</v>
      </c>
      <c r="H954">
        <v>8307933</v>
      </c>
      <c r="I954" t="s">
        <v>246</v>
      </c>
      <c r="J954" t="s">
        <v>247</v>
      </c>
      <c r="K954" t="str">
        <f t="shared" si="55"/>
        <v>GREGORY TEIPEL</v>
      </c>
      <c r="L954" s="1">
        <v>45118</v>
      </c>
      <c r="M954" s="1">
        <v>46033</v>
      </c>
      <c r="N954" s="2">
        <v>32.58</v>
      </c>
      <c r="O954">
        <f t="shared" si="52"/>
        <v>30</v>
      </c>
      <c r="P954" t="s">
        <v>1370</v>
      </c>
      <c r="Q954" s="4">
        <v>0.1</v>
      </c>
      <c r="R954" t="s">
        <v>60</v>
      </c>
      <c r="S954" t="s">
        <v>61</v>
      </c>
      <c r="T954" s="2">
        <v>3.26</v>
      </c>
      <c r="U954" t="s">
        <v>375</v>
      </c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</row>
    <row r="955" spans="1:51" s="5" customFormat="1" x14ac:dyDescent="0.25">
      <c r="A955">
        <v>2019170689</v>
      </c>
      <c r="B955" t="s">
        <v>1241</v>
      </c>
      <c r="C955" t="s">
        <v>1185</v>
      </c>
      <c r="D955" t="str">
        <f t="shared" si="51"/>
        <v>ROBIN LAICHALK</v>
      </c>
      <c r="E955" t="s">
        <v>220</v>
      </c>
      <c r="F955" t="s">
        <v>169</v>
      </c>
      <c r="G955" t="s">
        <v>170</v>
      </c>
      <c r="H955">
        <v>8977234</v>
      </c>
      <c r="I955" t="s">
        <v>81</v>
      </c>
      <c r="J955" t="s">
        <v>82</v>
      </c>
      <c r="K955" t="str">
        <f t="shared" si="55"/>
        <v>RYAN CALTAGIRONE</v>
      </c>
      <c r="L955" s="1">
        <v>45108</v>
      </c>
      <c r="M955" s="1">
        <v>46023</v>
      </c>
      <c r="N955" s="2">
        <v>32.770000000000003</v>
      </c>
      <c r="O955">
        <f t="shared" si="52"/>
        <v>30</v>
      </c>
      <c r="P955" t="s">
        <v>1370</v>
      </c>
      <c r="Q955" s="3">
        <v>5.2499999999999998E-2</v>
      </c>
      <c r="R955" t="s">
        <v>60</v>
      </c>
      <c r="S955" t="s">
        <v>61</v>
      </c>
      <c r="T955" s="2">
        <v>1.72</v>
      </c>
      <c r="U955" t="s">
        <v>170</v>
      </c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</row>
    <row r="956" spans="1:51" s="5" customFormat="1" x14ac:dyDescent="0.25">
      <c r="A956">
        <v>2019202915</v>
      </c>
      <c r="B956" t="s">
        <v>1242</v>
      </c>
      <c r="C956" t="s">
        <v>89</v>
      </c>
      <c r="D956" t="str">
        <f t="shared" si="51"/>
        <v>CAROL BOTTOMS</v>
      </c>
      <c r="E956" t="s">
        <v>210</v>
      </c>
      <c r="F956" t="s">
        <v>169</v>
      </c>
      <c r="G956" t="s">
        <v>170</v>
      </c>
      <c r="H956">
        <v>8977234</v>
      </c>
      <c r="I956" t="s">
        <v>81</v>
      </c>
      <c r="J956" t="s">
        <v>82</v>
      </c>
      <c r="K956" t="str">
        <f t="shared" si="55"/>
        <v>RYAN CALTAGIRONE</v>
      </c>
      <c r="L956" s="1">
        <v>45108</v>
      </c>
      <c r="M956" s="1">
        <v>46023</v>
      </c>
      <c r="N956" s="2">
        <v>47.55</v>
      </c>
      <c r="O956">
        <f t="shared" si="52"/>
        <v>30</v>
      </c>
      <c r="P956" t="s">
        <v>1370</v>
      </c>
      <c r="Q956" s="3">
        <v>5.2499999999999998E-2</v>
      </c>
      <c r="R956" t="s">
        <v>60</v>
      </c>
      <c r="S956" t="s">
        <v>61</v>
      </c>
      <c r="T956" s="2">
        <v>2.5</v>
      </c>
      <c r="U956" t="s">
        <v>170</v>
      </c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</row>
    <row r="957" spans="1:51" s="5" customFormat="1" x14ac:dyDescent="0.25">
      <c r="A957">
        <v>2018924838</v>
      </c>
      <c r="B957" t="s">
        <v>1041</v>
      </c>
      <c r="C957" t="s">
        <v>260</v>
      </c>
      <c r="D957" t="str">
        <f t="shared" si="51"/>
        <v>WILLIAM NEMETHY</v>
      </c>
      <c r="E957" t="s">
        <v>163</v>
      </c>
      <c r="F957" t="s">
        <v>126</v>
      </c>
      <c r="G957" t="s">
        <v>127</v>
      </c>
      <c r="H957">
        <v>9079571</v>
      </c>
      <c r="I957" t="s">
        <v>235</v>
      </c>
      <c r="J957" t="s">
        <v>438</v>
      </c>
      <c r="K957" t="str">
        <f t="shared" si="55"/>
        <v>ADAM RICHTER</v>
      </c>
      <c r="L957" s="1">
        <v>45084</v>
      </c>
      <c r="M957" s="1">
        <v>46029</v>
      </c>
      <c r="N957" s="2">
        <v>24.61</v>
      </c>
      <c r="O957">
        <f t="shared" si="52"/>
        <v>31</v>
      </c>
      <c r="P957" t="s">
        <v>1370</v>
      </c>
      <c r="Q957" s="4">
        <v>0.15</v>
      </c>
      <c r="R957" t="s">
        <v>60</v>
      </c>
      <c r="S957" t="s">
        <v>61</v>
      </c>
      <c r="T957" s="2">
        <v>3.69</v>
      </c>
      <c r="U957" t="s">
        <v>127</v>
      </c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</row>
    <row r="958" spans="1:51" s="5" customFormat="1" x14ac:dyDescent="0.25">
      <c r="A958">
        <v>2018966124</v>
      </c>
      <c r="B958" t="s">
        <v>1042</v>
      </c>
      <c r="C958" t="s">
        <v>1043</v>
      </c>
      <c r="D958" t="str">
        <f t="shared" si="51"/>
        <v>NAKKIARA POWELL</v>
      </c>
      <c r="E958" t="s">
        <v>163</v>
      </c>
      <c r="F958" t="s">
        <v>126</v>
      </c>
      <c r="G958" t="s">
        <v>127</v>
      </c>
      <c r="H958">
        <v>9079571</v>
      </c>
      <c r="I958" t="s">
        <v>235</v>
      </c>
      <c r="J958" t="s">
        <v>438</v>
      </c>
      <c r="K958" t="str">
        <f t="shared" si="55"/>
        <v>ADAM RICHTER</v>
      </c>
      <c r="L958" s="1">
        <v>45087</v>
      </c>
      <c r="M958" s="1">
        <v>46032</v>
      </c>
      <c r="N958" s="2">
        <v>24.61</v>
      </c>
      <c r="O958">
        <f t="shared" si="52"/>
        <v>31</v>
      </c>
      <c r="P958" t="s">
        <v>1370</v>
      </c>
      <c r="Q958" s="4">
        <v>0.15</v>
      </c>
      <c r="R958" t="s">
        <v>60</v>
      </c>
      <c r="S958" t="s">
        <v>61</v>
      </c>
      <c r="T958" s="2">
        <v>3.69</v>
      </c>
      <c r="U958" t="s">
        <v>127</v>
      </c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</row>
    <row r="959" spans="1:51" s="5" customFormat="1" x14ac:dyDescent="0.25">
      <c r="A959">
        <v>2018753089</v>
      </c>
      <c r="B959" t="s">
        <v>1239</v>
      </c>
      <c r="C959" t="s">
        <v>182</v>
      </c>
      <c r="D959" t="str">
        <f t="shared" si="51"/>
        <v>MICHAEL GEHRON</v>
      </c>
      <c r="E959" t="s">
        <v>52</v>
      </c>
      <c r="F959" t="s">
        <v>169</v>
      </c>
      <c r="G959" t="s">
        <v>170</v>
      </c>
      <c r="H959">
        <v>15278437</v>
      </c>
      <c r="I959" t="s">
        <v>64</v>
      </c>
      <c r="J959" t="s">
        <v>65</v>
      </c>
      <c r="K959" t="str">
        <f t="shared" si="55"/>
        <v>JASON HOFFMANN</v>
      </c>
      <c r="L959" s="1">
        <v>45078</v>
      </c>
      <c r="M959" s="1">
        <v>46023</v>
      </c>
      <c r="N959" s="2">
        <v>51.19</v>
      </c>
      <c r="O959">
        <f t="shared" si="52"/>
        <v>31</v>
      </c>
      <c r="P959" t="s">
        <v>1370</v>
      </c>
      <c r="Q959" s="3">
        <v>5.2499999999999998E-2</v>
      </c>
      <c r="R959" t="s">
        <v>60</v>
      </c>
      <c r="S959" t="s">
        <v>61</v>
      </c>
      <c r="T959" s="2">
        <v>2.69</v>
      </c>
      <c r="U959" t="s">
        <v>170</v>
      </c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</row>
    <row r="960" spans="1:51" s="5" customFormat="1" x14ac:dyDescent="0.25">
      <c r="A960">
        <v>2018855164</v>
      </c>
      <c r="B960" t="s">
        <v>748</v>
      </c>
      <c r="C960" t="s">
        <v>749</v>
      </c>
      <c r="D960" t="str">
        <f t="shared" si="51"/>
        <v>PATRICK EARLY</v>
      </c>
      <c r="E960"/>
      <c r="F960" t="s">
        <v>75</v>
      </c>
      <c r="G960" t="s">
        <v>80</v>
      </c>
      <c r="H960">
        <v>8977234</v>
      </c>
      <c r="I960" t="s">
        <v>81</v>
      </c>
      <c r="J960" t="s">
        <v>82</v>
      </c>
      <c r="K960" t="str">
        <f t="shared" si="55"/>
        <v>RYAN CALTAGIRONE</v>
      </c>
      <c r="L960" s="1">
        <v>45078</v>
      </c>
      <c r="M960" s="1">
        <v>46023</v>
      </c>
      <c r="N960" s="2">
        <v>157.61000000000001</v>
      </c>
      <c r="O960">
        <f t="shared" si="52"/>
        <v>31</v>
      </c>
      <c r="P960" t="s">
        <v>1370</v>
      </c>
      <c r="Q960" s="4">
        <v>0.1</v>
      </c>
      <c r="R960" t="s">
        <v>60</v>
      </c>
      <c r="S960" t="s">
        <v>61</v>
      </c>
      <c r="T960" s="2">
        <v>15.76</v>
      </c>
      <c r="U960" t="s">
        <v>1372</v>
      </c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</row>
    <row r="961" spans="1:51" s="5" customFormat="1" x14ac:dyDescent="0.25">
      <c r="A961">
        <v>2018775433</v>
      </c>
      <c r="B961" t="s">
        <v>942</v>
      </c>
      <c r="C961" t="s">
        <v>827</v>
      </c>
      <c r="D961" t="str">
        <f t="shared" si="51"/>
        <v>CHRISTOPHER STEVANUS</v>
      </c>
      <c r="E961" t="s">
        <v>210</v>
      </c>
      <c r="F961" t="s">
        <v>290</v>
      </c>
      <c r="G961" t="s">
        <v>943</v>
      </c>
      <c r="H961">
        <v>8977234</v>
      </c>
      <c r="I961" t="s">
        <v>81</v>
      </c>
      <c r="J961" t="s">
        <v>82</v>
      </c>
      <c r="K961" t="str">
        <f t="shared" si="55"/>
        <v>RYAN CALTAGIRONE</v>
      </c>
      <c r="L961" s="1">
        <v>45078</v>
      </c>
      <c r="M961" s="1">
        <v>46023</v>
      </c>
      <c r="N961" s="2">
        <v>15</v>
      </c>
      <c r="O961">
        <f t="shared" si="52"/>
        <v>31</v>
      </c>
      <c r="P961" t="s">
        <v>1370</v>
      </c>
      <c r="Q961" s="4">
        <v>0.19</v>
      </c>
      <c r="R961" t="s">
        <v>60</v>
      </c>
      <c r="S961" t="s">
        <v>61</v>
      </c>
      <c r="T961" s="2">
        <v>2.85</v>
      </c>
      <c r="U961" t="s">
        <v>943</v>
      </c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</row>
    <row r="962" spans="1:51" s="5" customFormat="1" x14ac:dyDescent="0.25">
      <c r="A962">
        <v>2018775434</v>
      </c>
      <c r="B962" t="s">
        <v>942</v>
      </c>
      <c r="C962" t="s">
        <v>827</v>
      </c>
      <c r="D962" t="str">
        <f t="shared" ref="D962:D1025" si="56">CONCATENATE(C962," ",B962)</f>
        <v>CHRISTOPHER STEVANUS</v>
      </c>
      <c r="E962" t="s">
        <v>210</v>
      </c>
      <c r="F962" t="s">
        <v>169</v>
      </c>
      <c r="G962" t="s">
        <v>170</v>
      </c>
      <c r="H962">
        <v>8977234</v>
      </c>
      <c r="I962" t="s">
        <v>81</v>
      </c>
      <c r="J962" t="s">
        <v>82</v>
      </c>
      <c r="K962" t="str">
        <f t="shared" si="55"/>
        <v>RYAN CALTAGIRONE</v>
      </c>
      <c r="L962" s="1">
        <v>45078</v>
      </c>
      <c r="M962" s="1">
        <v>46023</v>
      </c>
      <c r="N962" s="2">
        <v>29.77</v>
      </c>
      <c r="O962">
        <f t="shared" ref="O962:O1010" si="57">DATEDIF(L962,M962,"M")</f>
        <v>31</v>
      </c>
      <c r="P962" t="s">
        <v>1370</v>
      </c>
      <c r="Q962" s="3">
        <v>5.2499999999999998E-2</v>
      </c>
      <c r="R962" t="s">
        <v>60</v>
      </c>
      <c r="S962" t="s">
        <v>61</v>
      </c>
      <c r="T962" s="2">
        <v>1.56</v>
      </c>
      <c r="U962" t="s">
        <v>170</v>
      </c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</row>
    <row r="963" spans="1:51" s="5" customFormat="1" x14ac:dyDescent="0.25">
      <c r="A963">
        <v>2018854836</v>
      </c>
      <c r="B963" t="s">
        <v>748</v>
      </c>
      <c r="C963" t="s">
        <v>1040</v>
      </c>
      <c r="D963" t="str">
        <f t="shared" si="56"/>
        <v>LYNDA EARLY</v>
      </c>
      <c r="E963" t="s">
        <v>585</v>
      </c>
      <c r="F963" t="s">
        <v>169</v>
      </c>
      <c r="G963" t="s">
        <v>170</v>
      </c>
      <c r="H963">
        <v>8977234</v>
      </c>
      <c r="I963" t="s">
        <v>81</v>
      </c>
      <c r="J963" t="s">
        <v>82</v>
      </c>
      <c r="K963" t="str">
        <f t="shared" si="55"/>
        <v>RYAN CALTAGIRONE</v>
      </c>
      <c r="L963" s="1">
        <v>45078</v>
      </c>
      <c r="M963" s="1">
        <v>46023</v>
      </c>
      <c r="N963" s="2">
        <v>38.909999999999997</v>
      </c>
      <c r="O963">
        <f t="shared" si="57"/>
        <v>31</v>
      </c>
      <c r="P963" t="s">
        <v>1370</v>
      </c>
      <c r="Q963" s="3">
        <v>5.2499999999999998E-2</v>
      </c>
      <c r="R963" t="s">
        <v>60</v>
      </c>
      <c r="S963" t="s">
        <v>61</v>
      </c>
      <c r="T963" s="2">
        <v>2.04</v>
      </c>
      <c r="U963" t="s">
        <v>170</v>
      </c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</row>
    <row r="964" spans="1:51" s="5" customFormat="1" x14ac:dyDescent="0.25">
      <c r="A964">
        <v>2018855162</v>
      </c>
      <c r="B964" t="s">
        <v>748</v>
      </c>
      <c r="C964" t="s">
        <v>749</v>
      </c>
      <c r="D964" t="str">
        <f t="shared" si="56"/>
        <v>PATRICK EARLY</v>
      </c>
      <c r="E964" t="s">
        <v>585</v>
      </c>
      <c r="F964" t="s">
        <v>169</v>
      </c>
      <c r="G964" t="s">
        <v>170</v>
      </c>
      <c r="H964">
        <v>8977234</v>
      </c>
      <c r="I964" t="s">
        <v>81</v>
      </c>
      <c r="J964" t="s">
        <v>82</v>
      </c>
      <c r="K964" t="str">
        <f t="shared" si="55"/>
        <v>RYAN CALTAGIRONE</v>
      </c>
      <c r="L964" s="1">
        <v>45078</v>
      </c>
      <c r="M964" s="1">
        <v>46023</v>
      </c>
      <c r="N964" s="2">
        <v>38.909999999999997</v>
      </c>
      <c r="O964">
        <f t="shared" si="57"/>
        <v>31</v>
      </c>
      <c r="P964" t="s">
        <v>1370</v>
      </c>
      <c r="Q964" s="3">
        <v>5.2499999999999998E-2</v>
      </c>
      <c r="R964" t="s">
        <v>60</v>
      </c>
      <c r="S964" t="s">
        <v>61</v>
      </c>
      <c r="T964" s="2">
        <v>2.04</v>
      </c>
      <c r="U964" t="s">
        <v>170</v>
      </c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</row>
    <row r="965" spans="1:51" s="5" customFormat="1" x14ac:dyDescent="0.25">
      <c r="A965">
        <v>2018775436</v>
      </c>
      <c r="B965" t="s">
        <v>942</v>
      </c>
      <c r="C965" t="s">
        <v>827</v>
      </c>
      <c r="D965" t="str">
        <f t="shared" si="56"/>
        <v>CHRISTOPHER STEVANUS</v>
      </c>
      <c r="E965" t="s">
        <v>210</v>
      </c>
      <c r="F965" t="s">
        <v>126</v>
      </c>
      <c r="G965" t="s">
        <v>132</v>
      </c>
      <c r="H965">
        <v>8977234</v>
      </c>
      <c r="I965" t="s">
        <v>81</v>
      </c>
      <c r="J965" t="s">
        <v>82</v>
      </c>
      <c r="K965" t="str">
        <f t="shared" si="55"/>
        <v>RYAN CALTAGIRONE</v>
      </c>
      <c r="L965" s="1">
        <v>45078</v>
      </c>
      <c r="M965" s="1">
        <v>46023</v>
      </c>
      <c r="N965" s="2">
        <v>75.56</v>
      </c>
      <c r="O965">
        <f t="shared" si="57"/>
        <v>31</v>
      </c>
      <c r="P965" t="s">
        <v>1370</v>
      </c>
      <c r="Q965" s="4">
        <v>0.15</v>
      </c>
      <c r="R965" t="s">
        <v>60</v>
      </c>
      <c r="S965" t="s">
        <v>61</v>
      </c>
      <c r="T965" s="2">
        <v>11.33</v>
      </c>
      <c r="U965" t="s">
        <v>132</v>
      </c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</row>
    <row r="966" spans="1:51" s="5" customFormat="1" x14ac:dyDescent="0.25">
      <c r="A966">
        <v>2018854837</v>
      </c>
      <c r="B966" t="s">
        <v>748</v>
      </c>
      <c r="C966" t="s">
        <v>1040</v>
      </c>
      <c r="D966" t="str">
        <f t="shared" si="56"/>
        <v>LYNDA EARLY</v>
      </c>
      <c r="E966"/>
      <c r="F966" t="s">
        <v>126</v>
      </c>
      <c r="G966" t="s">
        <v>132</v>
      </c>
      <c r="H966">
        <v>8977234</v>
      </c>
      <c r="I966" t="s">
        <v>81</v>
      </c>
      <c r="J966" t="s">
        <v>82</v>
      </c>
      <c r="K966" t="str">
        <f t="shared" si="55"/>
        <v>RYAN CALTAGIRONE</v>
      </c>
      <c r="L966" s="1">
        <v>45078</v>
      </c>
      <c r="M966" s="1">
        <v>46023</v>
      </c>
      <c r="N966" s="2">
        <v>35.369999999999997</v>
      </c>
      <c r="O966">
        <f t="shared" si="57"/>
        <v>31</v>
      </c>
      <c r="P966" t="s">
        <v>1370</v>
      </c>
      <c r="Q966" s="4">
        <v>0.15</v>
      </c>
      <c r="R966" t="s">
        <v>60</v>
      </c>
      <c r="S966" t="s">
        <v>61</v>
      </c>
      <c r="T966" s="2">
        <v>5.31</v>
      </c>
      <c r="U966" t="s">
        <v>132</v>
      </c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</row>
    <row r="967" spans="1:51" s="5" customFormat="1" x14ac:dyDescent="0.25">
      <c r="A967">
        <v>2018855163</v>
      </c>
      <c r="B967" t="s">
        <v>748</v>
      </c>
      <c r="C967" t="s">
        <v>749</v>
      </c>
      <c r="D967" t="str">
        <f t="shared" si="56"/>
        <v>PATRICK EARLY</v>
      </c>
      <c r="E967"/>
      <c r="F967" t="s">
        <v>126</v>
      </c>
      <c r="G967" t="s">
        <v>132</v>
      </c>
      <c r="H967">
        <v>8977234</v>
      </c>
      <c r="I967" t="s">
        <v>81</v>
      </c>
      <c r="J967" t="s">
        <v>82</v>
      </c>
      <c r="K967" t="str">
        <f t="shared" si="55"/>
        <v>RYAN CALTAGIRONE</v>
      </c>
      <c r="L967" s="1">
        <v>45078</v>
      </c>
      <c r="M967" s="1">
        <v>46023</v>
      </c>
      <c r="N967" s="2">
        <v>97.89</v>
      </c>
      <c r="O967">
        <f t="shared" si="57"/>
        <v>31</v>
      </c>
      <c r="P967" t="s">
        <v>1370</v>
      </c>
      <c r="Q967" s="4">
        <v>0.15</v>
      </c>
      <c r="R967" t="s">
        <v>60</v>
      </c>
      <c r="S967" t="s">
        <v>61</v>
      </c>
      <c r="T967" s="2">
        <v>14.68</v>
      </c>
      <c r="U967" t="s">
        <v>132</v>
      </c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</row>
    <row r="968" spans="1:51" s="5" customFormat="1" x14ac:dyDescent="0.25">
      <c r="A968">
        <v>2018462892</v>
      </c>
      <c r="B968" t="s">
        <v>744</v>
      </c>
      <c r="C968" t="s">
        <v>745</v>
      </c>
      <c r="D968" t="str">
        <f t="shared" si="56"/>
        <v>TANYA LINSLEY</v>
      </c>
      <c r="E968" t="s">
        <v>97</v>
      </c>
      <c r="F968" t="s">
        <v>126</v>
      </c>
      <c r="G968" t="s">
        <v>127</v>
      </c>
      <c r="H968">
        <v>8307933</v>
      </c>
      <c r="I968" t="s">
        <v>246</v>
      </c>
      <c r="J968" t="s">
        <v>247</v>
      </c>
      <c r="K968" t="str">
        <f t="shared" si="55"/>
        <v>GREGORY TEIPEL</v>
      </c>
      <c r="L968" s="1">
        <v>45052</v>
      </c>
      <c r="M968" s="1">
        <v>46028</v>
      </c>
      <c r="N968" s="2">
        <v>51.46</v>
      </c>
      <c r="O968">
        <f t="shared" si="57"/>
        <v>32</v>
      </c>
      <c r="P968" t="s">
        <v>1370</v>
      </c>
      <c r="Q968" s="4">
        <v>0.15</v>
      </c>
      <c r="R968" t="s">
        <v>60</v>
      </c>
      <c r="S968" t="s">
        <v>61</v>
      </c>
      <c r="T968" s="2">
        <v>7.72</v>
      </c>
      <c r="U968" t="s">
        <v>127</v>
      </c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</row>
    <row r="969" spans="1:51" s="5" customFormat="1" x14ac:dyDescent="0.25">
      <c r="A969">
        <v>2018514897</v>
      </c>
      <c r="B969" t="s">
        <v>746</v>
      </c>
      <c r="C969" t="s">
        <v>747</v>
      </c>
      <c r="D969" t="str">
        <f t="shared" si="56"/>
        <v>KYLE WICKS</v>
      </c>
      <c r="E969" t="s">
        <v>220</v>
      </c>
      <c r="F969" t="s">
        <v>126</v>
      </c>
      <c r="G969" t="s">
        <v>127</v>
      </c>
      <c r="H969">
        <v>8307933</v>
      </c>
      <c r="I969" t="s">
        <v>246</v>
      </c>
      <c r="J969" t="s">
        <v>247</v>
      </c>
      <c r="K969" t="str">
        <f t="shared" si="55"/>
        <v>GREGORY TEIPEL</v>
      </c>
      <c r="L969" s="1">
        <v>45052</v>
      </c>
      <c r="M969" s="1">
        <v>46028</v>
      </c>
      <c r="N969" s="2">
        <v>25.73</v>
      </c>
      <c r="O969">
        <f t="shared" si="57"/>
        <v>32</v>
      </c>
      <c r="P969" t="s">
        <v>1370</v>
      </c>
      <c r="Q969" s="4">
        <v>0.15</v>
      </c>
      <c r="R969" t="s">
        <v>60</v>
      </c>
      <c r="S969" t="s">
        <v>61</v>
      </c>
      <c r="T969" s="2">
        <v>3.86</v>
      </c>
      <c r="U969" t="s">
        <v>127</v>
      </c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</row>
    <row r="970" spans="1:51" s="5" customFormat="1" x14ac:dyDescent="0.25">
      <c r="A970">
        <v>2018365034</v>
      </c>
      <c r="B970" t="s">
        <v>742</v>
      </c>
      <c r="C970" t="s">
        <v>481</v>
      </c>
      <c r="D970" t="str">
        <f t="shared" si="56"/>
        <v>KENNETH WHITTAKER</v>
      </c>
      <c r="E970" t="s">
        <v>102</v>
      </c>
      <c r="F970" t="s">
        <v>75</v>
      </c>
      <c r="G970" t="s">
        <v>76</v>
      </c>
      <c r="H970">
        <v>8307933</v>
      </c>
      <c r="I970" t="s">
        <v>246</v>
      </c>
      <c r="J970" t="s">
        <v>247</v>
      </c>
      <c r="K970" t="str">
        <f t="shared" si="55"/>
        <v>GREGORY TEIPEL</v>
      </c>
      <c r="L970" s="1">
        <v>45054</v>
      </c>
      <c r="M970" s="1">
        <v>46030</v>
      </c>
      <c r="N970" s="2">
        <v>171.06</v>
      </c>
      <c r="O970">
        <f t="shared" si="57"/>
        <v>32</v>
      </c>
      <c r="P970" t="s">
        <v>1370</v>
      </c>
      <c r="Q970" s="4">
        <v>0.1</v>
      </c>
      <c r="R970" t="s">
        <v>60</v>
      </c>
      <c r="S970" t="s">
        <v>61</v>
      </c>
      <c r="T970" s="2">
        <v>17.11</v>
      </c>
      <c r="U970" t="s">
        <v>1371</v>
      </c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</row>
    <row r="971" spans="1:51" s="5" customFormat="1" x14ac:dyDescent="0.25">
      <c r="A971">
        <v>2018514896</v>
      </c>
      <c r="B971" t="s">
        <v>746</v>
      </c>
      <c r="C971" t="s">
        <v>747</v>
      </c>
      <c r="D971" t="str">
        <f t="shared" si="56"/>
        <v>KYLE WICKS</v>
      </c>
      <c r="E971" t="s">
        <v>220</v>
      </c>
      <c r="F971" t="s">
        <v>75</v>
      </c>
      <c r="G971" t="s">
        <v>739</v>
      </c>
      <c r="H971">
        <v>8307933</v>
      </c>
      <c r="I971" t="s">
        <v>246</v>
      </c>
      <c r="J971" t="s">
        <v>247</v>
      </c>
      <c r="K971" t="str">
        <f t="shared" si="55"/>
        <v>GREGORY TEIPEL</v>
      </c>
      <c r="L971" s="1">
        <v>45052</v>
      </c>
      <c r="M971" s="1">
        <v>46028</v>
      </c>
      <c r="N971" s="2">
        <v>23.88</v>
      </c>
      <c r="O971">
        <f t="shared" si="57"/>
        <v>32</v>
      </c>
      <c r="P971" t="s">
        <v>1370</v>
      </c>
      <c r="Q971" s="4">
        <v>0.1</v>
      </c>
      <c r="R971" t="s">
        <v>60</v>
      </c>
      <c r="S971" t="s">
        <v>61</v>
      </c>
      <c r="T971" s="2">
        <v>2.39</v>
      </c>
      <c r="U971" t="s">
        <v>1380</v>
      </c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</row>
    <row r="972" spans="1:51" s="5" customFormat="1" x14ac:dyDescent="0.25">
      <c r="A972">
        <v>2018382555</v>
      </c>
      <c r="B972" t="s">
        <v>743</v>
      </c>
      <c r="C972" t="s">
        <v>635</v>
      </c>
      <c r="D972" t="str">
        <f t="shared" si="56"/>
        <v>NANCY MCNARY</v>
      </c>
      <c r="E972" t="s">
        <v>408</v>
      </c>
      <c r="F972" t="s">
        <v>75</v>
      </c>
      <c r="G972" t="s">
        <v>80</v>
      </c>
      <c r="H972">
        <v>8307933</v>
      </c>
      <c r="I972" t="s">
        <v>246</v>
      </c>
      <c r="J972" t="s">
        <v>247</v>
      </c>
      <c r="K972" t="str">
        <f t="shared" si="55"/>
        <v>GREGORY TEIPEL</v>
      </c>
      <c r="L972" s="1">
        <v>45052</v>
      </c>
      <c r="M972" s="1">
        <v>46028</v>
      </c>
      <c r="N972" s="2">
        <v>188.94</v>
      </c>
      <c r="O972">
        <f t="shared" si="57"/>
        <v>32</v>
      </c>
      <c r="P972" t="s">
        <v>1370</v>
      </c>
      <c r="Q972" s="4">
        <v>0.1</v>
      </c>
      <c r="R972" t="s">
        <v>60</v>
      </c>
      <c r="S972" t="s">
        <v>61</v>
      </c>
      <c r="T972" s="2">
        <v>18.89</v>
      </c>
      <c r="U972" t="s">
        <v>1372</v>
      </c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</row>
    <row r="973" spans="1:51" s="5" customFormat="1" x14ac:dyDescent="0.25">
      <c r="A973">
        <v>2018462891</v>
      </c>
      <c r="B973" t="s">
        <v>744</v>
      </c>
      <c r="C973" t="s">
        <v>745</v>
      </c>
      <c r="D973" t="str">
        <f t="shared" si="56"/>
        <v>TANYA LINSLEY</v>
      </c>
      <c r="E973" t="s">
        <v>97</v>
      </c>
      <c r="F973" t="s">
        <v>75</v>
      </c>
      <c r="G973" t="s">
        <v>80</v>
      </c>
      <c r="H973">
        <v>8307933</v>
      </c>
      <c r="I973" t="s">
        <v>246</v>
      </c>
      <c r="J973" t="s">
        <v>247</v>
      </c>
      <c r="K973" t="str">
        <f t="shared" si="55"/>
        <v>GREGORY TEIPEL</v>
      </c>
      <c r="L973" s="1">
        <v>45052</v>
      </c>
      <c r="M973" s="1">
        <v>46028</v>
      </c>
      <c r="N973" s="2">
        <v>213.41</v>
      </c>
      <c r="O973">
        <f t="shared" si="57"/>
        <v>32</v>
      </c>
      <c r="P973" t="s">
        <v>1370</v>
      </c>
      <c r="Q973" s="4">
        <v>0.1</v>
      </c>
      <c r="R973" t="s">
        <v>60</v>
      </c>
      <c r="S973" t="s">
        <v>61</v>
      </c>
      <c r="T973" s="2">
        <v>21.34</v>
      </c>
      <c r="U973" t="s">
        <v>1372</v>
      </c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</row>
    <row r="974" spans="1:51" s="5" customFormat="1" x14ac:dyDescent="0.25">
      <c r="A974">
        <v>2018264457</v>
      </c>
      <c r="B974" t="s">
        <v>960</v>
      </c>
      <c r="C974" t="s">
        <v>122</v>
      </c>
      <c r="D974" t="str">
        <f t="shared" si="56"/>
        <v>COLLEEN KOHLER</v>
      </c>
      <c r="E974" t="s">
        <v>267</v>
      </c>
      <c r="F974" t="s">
        <v>86</v>
      </c>
      <c r="G974" t="s">
        <v>87</v>
      </c>
      <c r="H974">
        <v>8307933</v>
      </c>
      <c r="I974" t="s">
        <v>246</v>
      </c>
      <c r="J974" t="s">
        <v>247</v>
      </c>
      <c r="K974" t="str">
        <f t="shared" si="55"/>
        <v>GREGORY TEIPEL</v>
      </c>
      <c r="L974" s="1">
        <v>45052</v>
      </c>
      <c r="M974" s="1">
        <v>46028</v>
      </c>
      <c r="N974" s="2">
        <v>47.79</v>
      </c>
      <c r="O974">
        <f t="shared" si="57"/>
        <v>32</v>
      </c>
      <c r="P974" t="s">
        <v>1370</v>
      </c>
      <c r="Q974" s="4">
        <v>0.06</v>
      </c>
      <c r="R974" t="s">
        <v>60</v>
      </c>
      <c r="S974" t="s">
        <v>61</v>
      </c>
      <c r="T974" s="2">
        <v>2.87</v>
      </c>
      <c r="U974" t="s">
        <v>87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</row>
    <row r="975" spans="1:51" s="5" customFormat="1" x14ac:dyDescent="0.25">
      <c r="A975">
        <v>2018434794</v>
      </c>
      <c r="B975" t="s">
        <v>171</v>
      </c>
      <c r="C975" t="s">
        <v>172</v>
      </c>
      <c r="D975" t="str">
        <f t="shared" si="56"/>
        <v>DWIGHT WAGNER</v>
      </c>
      <c r="E975" t="s">
        <v>125</v>
      </c>
      <c r="F975" t="s">
        <v>126</v>
      </c>
      <c r="G975" t="s">
        <v>127</v>
      </c>
      <c r="H975">
        <v>8977234</v>
      </c>
      <c r="I975" t="s">
        <v>81</v>
      </c>
      <c r="J975" t="s">
        <v>82</v>
      </c>
      <c r="K975" t="str">
        <f t="shared" si="55"/>
        <v>RYAN CALTAGIRONE</v>
      </c>
      <c r="L975" s="1">
        <v>45047</v>
      </c>
      <c r="M975" s="1">
        <v>46023</v>
      </c>
      <c r="N975" s="2">
        <v>25.73</v>
      </c>
      <c r="O975">
        <f t="shared" si="57"/>
        <v>32</v>
      </c>
      <c r="P975" t="s">
        <v>1370</v>
      </c>
      <c r="Q975" s="4">
        <v>0.15</v>
      </c>
      <c r="R975" t="s">
        <v>60</v>
      </c>
      <c r="S975" t="s">
        <v>61</v>
      </c>
      <c r="T975" s="2">
        <v>3.86</v>
      </c>
      <c r="U975" t="s">
        <v>127</v>
      </c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</row>
    <row r="976" spans="1:51" s="5" customFormat="1" x14ac:dyDescent="0.25">
      <c r="A976">
        <v>2018434791</v>
      </c>
      <c r="B976" t="s">
        <v>171</v>
      </c>
      <c r="C976" t="s">
        <v>172</v>
      </c>
      <c r="D976" t="str">
        <f t="shared" si="56"/>
        <v>DWIGHT WAGNER</v>
      </c>
      <c r="E976" t="s">
        <v>125</v>
      </c>
      <c r="F976" t="s">
        <v>169</v>
      </c>
      <c r="G976" t="s">
        <v>170</v>
      </c>
      <c r="H976">
        <v>8977234</v>
      </c>
      <c r="I976" t="s">
        <v>81</v>
      </c>
      <c r="J976" t="s">
        <v>82</v>
      </c>
      <c r="K976" t="str">
        <f t="shared" si="55"/>
        <v>RYAN CALTAGIRONE</v>
      </c>
      <c r="L976" s="1">
        <v>45047</v>
      </c>
      <c r="M976" s="1">
        <v>46023</v>
      </c>
      <c r="N976" s="2">
        <v>46.65</v>
      </c>
      <c r="O976">
        <f t="shared" si="57"/>
        <v>32</v>
      </c>
      <c r="P976" t="s">
        <v>1370</v>
      </c>
      <c r="Q976" s="3">
        <v>5.2499999999999998E-2</v>
      </c>
      <c r="R976" t="s">
        <v>60</v>
      </c>
      <c r="S976" t="s">
        <v>61</v>
      </c>
      <c r="T976" s="2">
        <v>2.4500000000000002</v>
      </c>
      <c r="U976" t="s">
        <v>170</v>
      </c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</row>
    <row r="977" spans="1:51" s="5" customFormat="1" x14ac:dyDescent="0.25">
      <c r="A977">
        <v>2018276908</v>
      </c>
      <c r="B977" t="s">
        <v>893</v>
      </c>
      <c r="C977" t="s">
        <v>283</v>
      </c>
      <c r="D977" t="str">
        <f t="shared" si="56"/>
        <v>TRACY SHELLEY</v>
      </c>
      <c r="E977" t="s">
        <v>79</v>
      </c>
      <c r="F977" t="s">
        <v>169</v>
      </c>
      <c r="G977" t="s">
        <v>170</v>
      </c>
      <c r="H977">
        <v>8977234</v>
      </c>
      <c r="I977" t="s">
        <v>81</v>
      </c>
      <c r="J977" t="s">
        <v>82</v>
      </c>
      <c r="K977" t="str">
        <f t="shared" si="55"/>
        <v>RYAN CALTAGIRONE</v>
      </c>
      <c r="L977" s="1">
        <v>45047</v>
      </c>
      <c r="M977" s="1">
        <v>46023</v>
      </c>
      <c r="N977" s="2">
        <v>101.73</v>
      </c>
      <c r="O977">
        <f t="shared" si="57"/>
        <v>32</v>
      </c>
      <c r="P977" t="s">
        <v>1370</v>
      </c>
      <c r="Q977" s="3">
        <v>5.2499999999999998E-2</v>
      </c>
      <c r="R977" t="s">
        <v>60</v>
      </c>
      <c r="S977" t="s">
        <v>61</v>
      </c>
      <c r="T977" s="2">
        <v>5.34</v>
      </c>
      <c r="U977" t="s">
        <v>170</v>
      </c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</row>
    <row r="978" spans="1:51" s="5" customFormat="1" x14ac:dyDescent="0.25">
      <c r="A978">
        <v>2018167734</v>
      </c>
      <c r="B978" t="s">
        <v>740</v>
      </c>
      <c r="C978" t="s">
        <v>96</v>
      </c>
      <c r="D978" t="str">
        <f t="shared" si="56"/>
        <v>MICHELLE BROTTEN</v>
      </c>
      <c r="E978" t="s">
        <v>741</v>
      </c>
      <c r="F978" t="s">
        <v>75</v>
      </c>
      <c r="G978" t="s">
        <v>76</v>
      </c>
      <c r="H978">
        <v>8307933</v>
      </c>
      <c r="I978" t="s">
        <v>246</v>
      </c>
      <c r="J978" t="s">
        <v>247</v>
      </c>
      <c r="K978" t="str">
        <f t="shared" si="55"/>
        <v>GREGORY TEIPEL</v>
      </c>
      <c r="L978" s="1">
        <v>45024</v>
      </c>
      <c r="M978" s="1">
        <v>46030</v>
      </c>
      <c r="N978" s="2">
        <v>64.05</v>
      </c>
      <c r="O978">
        <f t="shared" si="57"/>
        <v>33</v>
      </c>
      <c r="P978" t="s">
        <v>1370</v>
      </c>
      <c r="Q978" s="4">
        <v>0.1</v>
      </c>
      <c r="R978" t="s">
        <v>60</v>
      </c>
      <c r="S978" t="s">
        <v>61</v>
      </c>
      <c r="T978" s="2">
        <v>6.4</v>
      </c>
      <c r="U978" t="s">
        <v>1371</v>
      </c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</row>
    <row r="979" spans="1:51" s="5" customFormat="1" x14ac:dyDescent="0.25">
      <c r="A979">
        <v>2018091396</v>
      </c>
      <c r="B979" t="s">
        <v>1038</v>
      </c>
      <c r="C979" t="s">
        <v>1039</v>
      </c>
      <c r="D979" t="str">
        <f t="shared" si="56"/>
        <v>BRENDA RICHARDSON</v>
      </c>
      <c r="E979" t="s">
        <v>374</v>
      </c>
      <c r="F979" t="s">
        <v>126</v>
      </c>
      <c r="G979" t="s">
        <v>375</v>
      </c>
      <c r="H979">
        <v>8307933</v>
      </c>
      <c r="I979" t="s">
        <v>246</v>
      </c>
      <c r="J979" t="s">
        <v>247</v>
      </c>
      <c r="K979" t="str">
        <f t="shared" si="55"/>
        <v>GREGORY TEIPEL</v>
      </c>
      <c r="L979" s="1">
        <v>45022</v>
      </c>
      <c r="M979" s="1">
        <v>46028</v>
      </c>
      <c r="N979" s="2">
        <v>164.06</v>
      </c>
      <c r="O979">
        <f t="shared" si="57"/>
        <v>33</v>
      </c>
      <c r="P979" t="s">
        <v>1370</v>
      </c>
      <c r="Q979" s="4">
        <v>0.1</v>
      </c>
      <c r="R979" t="s">
        <v>60</v>
      </c>
      <c r="S979" t="s">
        <v>61</v>
      </c>
      <c r="T979" s="2">
        <v>16.41</v>
      </c>
      <c r="U979" t="s">
        <v>375</v>
      </c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</row>
    <row r="980" spans="1:51" s="5" customFormat="1" x14ac:dyDescent="0.25">
      <c r="A980">
        <v>2018167735</v>
      </c>
      <c r="B980" t="s">
        <v>740</v>
      </c>
      <c r="C980" t="s">
        <v>96</v>
      </c>
      <c r="D980" t="str">
        <f t="shared" si="56"/>
        <v>MICHELLE BROTTEN</v>
      </c>
      <c r="E980" t="s">
        <v>741</v>
      </c>
      <c r="F980" t="s">
        <v>126</v>
      </c>
      <c r="G980" t="s">
        <v>375</v>
      </c>
      <c r="H980">
        <v>8307933</v>
      </c>
      <c r="I980" t="s">
        <v>246</v>
      </c>
      <c r="J980" t="s">
        <v>247</v>
      </c>
      <c r="K980" t="str">
        <f t="shared" si="55"/>
        <v>GREGORY TEIPEL</v>
      </c>
      <c r="L980" s="1">
        <v>45024</v>
      </c>
      <c r="M980" s="1">
        <v>46030</v>
      </c>
      <c r="N980" s="2">
        <v>75.44</v>
      </c>
      <c r="O980">
        <f t="shared" si="57"/>
        <v>33</v>
      </c>
      <c r="P980" t="s">
        <v>1370</v>
      </c>
      <c r="Q980" s="4">
        <v>0.1</v>
      </c>
      <c r="R980" t="s">
        <v>60</v>
      </c>
      <c r="S980" t="s">
        <v>61</v>
      </c>
      <c r="T980" s="2">
        <v>7.54</v>
      </c>
      <c r="U980" t="s">
        <v>375</v>
      </c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</row>
    <row r="981" spans="1:51" s="5" customFormat="1" x14ac:dyDescent="0.25">
      <c r="A981">
        <v>2017534892</v>
      </c>
      <c r="B981" t="s">
        <v>302</v>
      </c>
      <c r="C981" t="s">
        <v>322</v>
      </c>
      <c r="D981" t="str">
        <f t="shared" si="56"/>
        <v>RANDY RUSSELL</v>
      </c>
      <c r="E981" t="s">
        <v>210</v>
      </c>
      <c r="F981" t="s">
        <v>126</v>
      </c>
      <c r="G981" t="s">
        <v>127</v>
      </c>
      <c r="H981">
        <v>20436896</v>
      </c>
      <c r="I981" t="s">
        <v>81</v>
      </c>
      <c r="J981" t="s">
        <v>128</v>
      </c>
      <c r="K981" t="str">
        <f t="shared" ref="K981:K1012" si="58">CONCATENATE(J981," ",I981)</f>
        <v>KATELENN CALTAGIRONE</v>
      </c>
      <c r="L981" s="1">
        <v>44986</v>
      </c>
      <c r="M981" s="1">
        <v>46023</v>
      </c>
      <c r="N981" s="2">
        <v>42.88</v>
      </c>
      <c r="O981">
        <f t="shared" si="57"/>
        <v>34</v>
      </c>
      <c r="P981" t="s">
        <v>1370</v>
      </c>
      <c r="Q981" s="4">
        <v>0.15</v>
      </c>
      <c r="R981" t="s">
        <v>60</v>
      </c>
      <c r="S981" t="s">
        <v>61</v>
      </c>
      <c r="T981" s="2">
        <v>6.43</v>
      </c>
      <c r="U981" t="s">
        <v>127</v>
      </c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</row>
    <row r="982" spans="1:51" s="5" customFormat="1" x14ac:dyDescent="0.25">
      <c r="A982">
        <v>2017585589</v>
      </c>
      <c r="B982" t="s">
        <v>1034</v>
      </c>
      <c r="C982" t="s">
        <v>1035</v>
      </c>
      <c r="D982" t="str">
        <f t="shared" si="56"/>
        <v>MARIE BULK</v>
      </c>
      <c r="E982" t="s">
        <v>220</v>
      </c>
      <c r="F982" t="s">
        <v>126</v>
      </c>
      <c r="G982" t="s">
        <v>127</v>
      </c>
      <c r="H982">
        <v>20436896</v>
      </c>
      <c r="I982" t="s">
        <v>81</v>
      </c>
      <c r="J982" t="s">
        <v>128</v>
      </c>
      <c r="K982" t="str">
        <f t="shared" si="58"/>
        <v>KATELENN CALTAGIRONE</v>
      </c>
      <c r="L982" s="1">
        <v>44986</v>
      </c>
      <c r="M982" s="1">
        <v>46023</v>
      </c>
      <c r="N982" s="2">
        <v>25.73</v>
      </c>
      <c r="O982">
        <f t="shared" si="57"/>
        <v>34</v>
      </c>
      <c r="P982" t="s">
        <v>1370</v>
      </c>
      <c r="Q982" s="4">
        <v>0.15</v>
      </c>
      <c r="R982" t="s">
        <v>60</v>
      </c>
      <c r="S982" t="s">
        <v>61</v>
      </c>
      <c r="T982" s="2">
        <v>3.86</v>
      </c>
      <c r="U982" t="s">
        <v>127</v>
      </c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</row>
    <row r="983" spans="1:51" s="5" customFormat="1" x14ac:dyDescent="0.25">
      <c r="A983">
        <v>2017629365</v>
      </c>
      <c r="B983" t="s">
        <v>1036</v>
      </c>
      <c r="C983" t="s">
        <v>1037</v>
      </c>
      <c r="D983" t="str">
        <f t="shared" si="56"/>
        <v>JACKIE GLOVER</v>
      </c>
      <c r="E983" t="s">
        <v>308</v>
      </c>
      <c r="F983" t="s">
        <v>126</v>
      </c>
      <c r="G983" t="s">
        <v>127</v>
      </c>
      <c r="H983">
        <v>20436896</v>
      </c>
      <c r="I983" t="s">
        <v>81</v>
      </c>
      <c r="J983" t="s">
        <v>128</v>
      </c>
      <c r="K983" t="str">
        <f t="shared" si="58"/>
        <v>KATELENN CALTAGIRONE</v>
      </c>
      <c r="L983" s="1">
        <v>44994</v>
      </c>
      <c r="M983" s="1">
        <v>46031</v>
      </c>
      <c r="N983" s="2">
        <v>8.3699999999999992</v>
      </c>
      <c r="O983">
        <f t="shared" si="57"/>
        <v>34</v>
      </c>
      <c r="P983" t="s">
        <v>1370</v>
      </c>
      <c r="Q983" s="4">
        <v>0.15</v>
      </c>
      <c r="R983" t="s">
        <v>60</v>
      </c>
      <c r="S983" t="s">
        <v>61</v>
      </c>
      <c r="T983" s="2">
        <v>1.26</v>
      </c>
      <c r="U983" t="s">
        <v>127</v>
      </c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</row>
    <row r="984" spans="1:51" s="5" customFormat="1" x14ac:dyDescent="0.25">
      <c r="A984">
        <v>2017539416</v>
      </c>
      <c r="B984" t="s">
        <v>724</v>
      </c>
      <c r="C984" t="s">
        <v>204</v>
      </c>
      <c r="D984" t="str">
        <f t="shared" si="56"/>
        <v>KIMBERLY HUFF</v>
      </c>
      <c r="E984" t="s">
        <v>176</v>
      </c>
      <c r="F984" t="s">
        <v>169</v>
      </c>
      <c r="G984" t="s">
        <v>170</v>
      </c>
      <c r="H984">
        <v>20436896</v>
      </c>
      <c r="I984" t="s">
        <v>81</v>
      </c>
      <c r="J984" t="s">
        <v>128</v>
      </c>
      <c r="K984" t="str">
        <f t="shared" si="58"/>
        <v>KATELENN CALTAGIRONE</v>
      </c>
      <c r="L984" s="1">
        <v>44986</v>
      </c>
      <c r="M984" s="1">
        <v>46023</v>
      </c>
      <c r="N984" s="2">
        <v>41.11</v>
      </c>
      <c r="O984">
        <f t="shared" si="57"/>
        <v>34</v>
      </c>
      <c r="P984" t="s">
        <v>1370</v>
      </c>
      <c r="Q984" s="3">
        <v>5.2499999999999998E-2</v>
      </c>
      <c r="R984" t="s">
        <v>60</v>
      </c>
      <c r="S984" t="s">
        <v>61</v>
      </c>
      <c r="T984" s="2">
        <v>2.16</v>
      </c>
      <c r="U984" t="s">
        <v>170</v>
      </c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</row>
    <row r="985" spans="1:51" s="5" customFormat="1" x14ac:dyDescent="0.25">
      <c r="A985">
        <v>2017585587</v>
      </c>
      <c r="B985" t="s">
        <v>1034</v>
      </c>
      <c r="C985" t="s">
        <v>1035</v>
      </c>
      <c r="D985" t="str">
        <f t="shared" si="56"/>
        <v>MARIE BULK</v>
      </c>
      <c r="E985" t="s">
        <v>220</v>
      </c>
      <c r="F985" t="s">
        <v>169</v>
      </c>
      <c r="G985" t="s">
        <v>170</v>
      </c>
      <c r="H985">
        <v>20436896</v>
      </c>
      <c r="I985" t="s">
        <v>81</v>
      </c>
      <c r="J985" t="s">
        <v>128</v>
      </c>
      <c r="K985" t="str">
        <f t="shared" si="58"/>
        <v>KATELENN CALTAGIRONE</v>
      </c>
      <c r="L985" s="1">
        <v>44986</v>
      </c>
      <c r="M985" s="1">
        <v>46023</v>
      </c>
      <c r="N985" s="2">
        <v>48.61</v>
      </c>
      <c r="O985">
        <f t="shared" si="57"/>
        <v>34</v>
      </c>
      <c r="P985" t="s">
        <v>1370</v>
      </c>
      <c r="Q985" s="3">
        <v>5.2499999999999998E-2</v>
      </c>
      <c r="R985" t="s">
        <v>60</v>
      </c>
      <c r="S985" t="s">
        <v>61</v>
      </c>
      <c r="T985" s="2">
        <v>2.5499999999999998</v>
      </c>
      <c r="U985" t="s">
        <v>170</v>
      </c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</row>
    <row r="986" spans="1:51" s="10" customFormat="1" x14ac:dyDescent="0.25">
      <c r="A986">
        <v>2017585588</v>
      </c>
      <c r="B986" t="s">
        <v>1034</v>
      </c>
      <c r="C986" t="s">
        <v>1035</v>
      </c>
      <c r="D986" t="str">
        <f t="shared" si="56"/>
        <v>MARIE BULK</v>
      </c>
      <c r="E986" t="s">
        <v>220</v>
      </c>
      <c r="F986" t="s">
        <v>126</v>
      </c>
      <c r="G986" t="s">
        <v>132</v>
      </c>
      <c r="H986">
        <v>20436896</v>
      </c>
      <c r="I986" t="s">
        <v>81</v>
      </c>
      <c r="J986" t="s">
        <v>128</v>
      </c>
      <c r="K986" t="str">
        <f t="shared" si="58"/>
        <v>KATELENN CALTAGIRONE</v>
      </c>
      <c r="L986" s="1">
        <v>44986</v>
      </c>
      <c r="M986" s="1">
        <v>46023</v>
      </c>
      <c r="N986" s="2">
        <v>26.82</v>
      </c>
      <c r="O986">
        <f t="shared" si="57"/>
        <v>34</v>
      </c>
      <c r="P986" t="s">
        <v>1370</v>
      </c>
      <c r="Q986" s="4">
        <v>0.15</v>
      </c>
      <c r="R986" t="s">
        <v>60</v>
      </c>
      <c r="S986" t="s">
        <v>61</v>
      </c>
      <c r="T986" s="2">
        <v>4.0199999999999996</v>
      </c>
      <c r="U986" t="s">
        <v>132</v>
      </c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</row>
    <row r="987" spans="1:51" x14ac:dyDescent="0.25">
      <c r="A987">
        <v>2017629364</v>
      </c>
      <c r="B987" t="s">
        <v>1036</v>
      </c>
      <c r="C987" t="s">
        <v>1037</v>
      </c>
      <c r="D987" t="str">
        <f t="shared" si="56"/>
        <v>JACKIE GLOVER</v>
      </c>
      <c r="E987" t="s">
        <v>308</v>
      </c>
      <c r="F987" t="s">
        <v>126</v>
      </c>
      <c r="G987" t="s">
        <v>132</v>
      </c>
      <c r="H987">
        <v>20436896</v>
      </c>
      <c r="I987" t="s">
        <v>81</v>
      </c>
      <c r="J987" t="s">
        <v>128</v>
      </c>
      <c r="K987" t="str">
        <f t="shared" si="58"/>
        <v>KATELENN CALTAGIRONE</v>
      </c>
      <c r="L987" s="1">
        <v>44994</v>
      </c>
      <c r="M987" s="1">
        <v>46031</v>
      </c>
      <c r="N987" s="2">
        <v>58.95</v>
      </c>
      <c r="O987">
        <f t="shared" si="57"/>
        <v>34</v>
      </c>
      <c r="P987" t="s">
        <v>1370</v>
      </c>
      <c r="Q987" s="4">
        <v>0.15</v>
      </c>
      <c r="R987" t="s">
        <v>60</v>
      </c>
      <c r="S987" t="s">
        <v>61</v>
      </c>
      <c r="T987" s="2">
        <v>8.84</v>
      </c>
      <c r="U987" t="s">
        <v>132</v>
      </c>
    </row>
    <row r="988" spans="1:51" x14ac:dyDescent="0.25">
      <c r="A988">
        <v>2017539417</v>
      </c>
      <c r="B988" t="s">
        <v>724</v>
      </c>
      <c r="C988" t="s">
        <v>204</v>
      </c>
      <c r="D988" t="str">
        <f t="shared" si="56"/>
        <v>KIMBERLY HUFF</v>
      </c>
      <c r="E988" t="s">
        <v>176</v>
      </c>
      <c r="F988" t="s">
        <v>53</v>
      </c>
      <c r="G988" t="s">
        <v>54</v>
      </c>
      <c r="H988">
        <v>20436896</v>
      </c>
      <c r="I988" t="s">
        <v>81</v>
      </c>
      <c r="J988" t="s">
        <v>128</v>
      </c>
      <c r="K988" t="str">
        <f t="shared" si="58"/>
        <v>KATELENN CALTAGIRONE</v>
      </c>
      <c r="L988" s="1">
        <v>44986</v>
      </c>
      <c r="M988" s="1">
        <v>46023</v>
      </c>
      <c r="N988" s="2">
        <v>52.69</v>
      </c>
      <c r="O988">
        <f t="shared" si="57"/>
        <v>34</v>
      </c>
      <c r="P988" t="s">
        <v>1370</v>
      </c>
      <c r="Q988" s="3">
        <v>6.5000000000000002E-2</v>
      </c>
      <c r="R988" t="s">
        <v>60</v>
      </c>
      <c r="S988" t="s">
        <v>61</v>
      </c>
      <c r="T988" s="2">
        <v>3.42</v>
      </c>
      <c r="U988" t="s">
        <v>54</v>
      </c>
    </row>
    <row r="989" spans="1:51" s="5" customFormat="1" x14ac:dyDescent="0.25">
      <c r="A989">
        <v>2017340028</v>
      </c>
      <c r="B989" t="s">
        <v>723</v>
      </c>
      <c r="C989" t="s">
        <v>624</v>
      </c>
      <c r="D989" t="str">
        <f t="shared" si="56"/>
        <v>BENJAMIN LANDER</v>
      </c>
      <c r="E989" t="s">
        <v>52</v>
      </c>
      <c r="F989" t="s">
        <v>126</v>
      </c>
      <c r="G989" t="s">
        <v>127</v>
      </c>
      <c r="H989">
        <v>9079571</v>
      </c>
      <c r="I989" t="s">
        <v>235</v>
      </c>
      <c r="J989" t="s">
        <v>438</v>
      </c>
      <c r="K989" t="str">
        <f t="shared" si="58"/>
        <v>ADAM RICHTER</v>
      </c>
      <c r="L989" s="1">
        <v>44958</v>
      </c>
      <c r="M989" s="1">
        <v>46023</v>
      </c>
      <c r="N989" s="2">
        <v>-51.46</v>
      </c>
      <c r="O989">
        <f t="shared" si="57"/>
        <v>35</v>
      </c>
      <c r="P989" t="s">
        <v>1370</v>
      </c>
      <c r="Q989" s="4">
        <v>0.15</v>
      </c>
      <c r="R989" t="s">
        <v>60</v>
      </c>
      <c r="S989" t="s">
        <v>61</v>
      </c>
      <c r="T989" s="2">
        <v>-7.72</v>
      </c>
      <c r="U989" t="s">
        <v>127</v>
      </c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</row>
    <row r="990" spans="1:51" s="5" customFormat="1" x14ac:dyDescent="0.25">
      <c r="A990">
        <v>2017340031</v>
      </c>
      <c r="B990" t="s">
        <v>723</v>
      </c>
      <c r="C990" t="s">
        <v>624</v>
      </c>
      <c r="D990" t="str">
        <f t="shared" si="56"/>
        <v>BENJAMIN LANDER</v>
      </c>
      <c r="E990" t="s">
        <v>52</v>
      </c>
      <c r="F990" t="s">
        <v>86</v>
      </c>
      <c r="G990" t="s">
        <v>87</v>
      </c>
      <c r="H990">
        <v>9079571</v>
      </c>
      <c r="I990" t="s">
        <v>235</v>
      </c>
      <c r="J990" t="s">
        <v>438</v>
      </c>
      <c r="K990" t="str">
        <f t="shared" si="58"/>
        <v>ADAM RICHTER</v>
      </c>
      <c r="L990" s="1">
        <v>44958</v>
      </c>
      <c r="M990" s="1">
        <v>46023</v>
      </c>
      <c r="N990" s="2">
        <v>-89</v>
      </c>
      <c r="O990">
        <f t="shared" si="57"/>
        <v>35</v>
      </c>
      <c r="P990" t="s">
        <v>1370</v>
      </c>
      <c r="Q990" s="4">
        <v>0.06</v>
      </c>
      <c r="R990" t="s">
        <v>60</v>
      </c>
      <c r="S990" t="s">
        <v>61</v>
      </c>
      <c r="T990" s="2">
        <v>-5.34</v>
      </c>
      <c r="U990" t="s">
        <v>87</v>
      </c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</row>
    <row r="991" spans="1:51" s="5" customFormat="1" x14ac:dyDescent="0.25">
      <c r="A991">
        <v>2017340029</v>
      </c>
      <c r="B991" t="s">
        <v>723</v>
      </c>
      <c r="C991" t="s">
        <v>624</v>
      </c>
      <c r="D991" t="str">
        <f t="shared" si="56"/>
        <v>BENJAMIN LANDER</v>
      </c>
      <c r="E991" t="s">
        <v>52</v>
      </c>
      <c r="F991" t="s">
        <v>53</v>
      </c>
      <c r="G991" t="s">
        <v>722</v>
      </c>
      <c r="H991">
        <v>9079571</v>
      </c>
      <c r="I991" t="s">
        <v>235</v>
      </c>
      <c r="J991" t="s">
        <v>438</v>
      </c>
      <c r="K991" t="str">
        <f t="shared" si="58"/>
        <v>ADAM RICHTER</v>
      </c>
      <c r="L991" s="1">
        <v>44958</v>
      </c>
      <c r="M991" s="1">
        <v>46023</v>
      </c>
      <c r="N991" s="2">
        <v>-71.69</v>
      </c>
      <c r="O991">
        <f t="shared" si="57"/>
        <v>35</v>
      </c>
      <c r="P991" t="s">
        <v>1370</v>
      </c>
      <c r="Q991" s="3">
        <v>6.5000000000000002E-2</v>
      </c>
      <c r="R991" t="s">
        <v>60</v>
      </c>
      <c r="S991" t="s">
        <v>61</v>
      </c>
      <c r="T991" s="2">
        <v>-4.66</v>
      </c>
      <c r="U991" t="s">
        <v>726</v>
      </c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</row>
    <row r="992" spans="1:51" s="5" customFormat="1" x14ac:dyDescent="0.25">
      <c r="A992">
        <v>2017514550</v>
      </c>
      <c r="B992" t="s">
        <v>1237</v>
      </c>
      <c r="C992" t="s">
        <v>147</v>
      </c>
      <c r="D992" t="str">
        <f t="shared" si="56"/>
        <v>MARTIN MOSAKOSKI</v>
      </c>
      <c r="E992" t="s">
        <v>220</v>
      </c>
      <c r="F992" t="s">
        <v>169</v>
      </c>
      <c r="G992" t="s">
        <v>170</v>
      </c>
      <c r="H992">
        <v>20436896</v>
      </c>
      <c r="I992" t="s">
        <v>81</v>
      </c>
      <c r="J992" t="s">
        <v>128</v>
      </c>
      <c r="K992" t="str">
        <f t="shared" si="58"/>
        <v>KATELENN CALTAGIRONE</v>
      </c>
      <c r="L992" s="1">
        <v>44958</v>
      </c>
      <c r="M992" s="1">
        <v>46023</v>
      </c>
      <c r="N992" s="2">
        <v>77.39</v>
      </c>
      <c r="O992">
        <f t="shared" si="57"/>
        <v>35</v>
      </c>
      <c r="P992" t="s">
        <v>1370</v>
      </c>
      <c r="Q992" s="3">
        <v>5.2499999999999998E-2</v>
      </c>
      <c r="R992" t="s">
        <v>60</v>
      </c>
      <c r="S992" t="s">
        <v>61</v>
      </c>
      <c r="T992" s="2">
        <v>4.0599999999999996</v>
      </c>
      <c r="U992" t="s">
        <v>170</v>
      </c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</row>
    <row r="993" spans="1:51" s="5" customFormat="1" x14ac:dyDescent="0.25">
      <c r="A993">
        <v>2017242800</v>
      </c>
      <c r="B993" t="s">
        <v>720</v>
      </c>
      <c r="C993" t="s">
        <v>721</v>
      </c>
      <c r="D993" t="str">
        <f t="shared" si="56"/>
        <v>BONNI STEPHENSON</v>
      </c>
      <c r="E993" t="s">
        <v>125</v>
      </c>
      <c r="F993" t="s">
        <v>126</v>
      </c>
      <c r="G993" t="s">
        <v>127</v>
      </c>
      <c r="H993">
        <v>9079571</v>
      </c>
      <c r="I993" t="s">
        <v>235</v>
      </c>
      <c r="J993" t="s">
        <v>438</v>
      </c>
      <c r="K993" t="str">
        <f t="shared" si="58"/>
        <v>ADAM RICHTER</v>
      </c>
      <c r="L993" s="1">
        <v>44930</v>
      </c>
      <c r="M993" s="1">
        <v>46026</v>
      </c>
      <c r="N993" s="2">
        <v>25.73</v>
      </c>
      <c r="O993">
        <f t="shared" si="57"/>
        <v>36</v>
      </c>
      <c r="P993" t="s">
        <v>1370</v>
      </c>
      <c r="Q993" s="4">
        <v>0.15</v>
      </c>
      <c r="R993" t="s">
        <v>60</v>
      </c>
      <c r="S993" t="s">
        <v>61</v>
      </c>
      <c r="T993" s="2">
        <v>3.86</v>
      </c>
      <c r="U993" t="s">
        <v>127</v>
      </c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</row>
    <row r="994" spans="1:51" s="5" customFormat="1" x14ac:dyDescent="0.25">
      <c r="A994">
        <v>2017242799</v>
      </c>
      <c r="B994" t="s">
        <v>720</v>
      </c>
      <c r="C994" t="s">
        <v>721</v>
      </c>
      <c r="D994" t="str">
        <f t="shared" si="56"/>
        <v>BONNI STEPHENSON</v>
      </c>
      <c r="E994" t="s">
        <v>125</v>
      </c>
      <c r="F994" t="s">
        <v>75</v>
      </c>
      <c r="G994" t="s">
        <v>739</v>
      </c>
      <c r="H994">
        <v>9079571</v>
      </c>
      <c r="I994" t="s">
        <v>235</v>
      </c>
      <c r="J994" t="s">
        <v>438</v>
      </c>
      <c r="K994" t="str">
        <f t="shared" si="58"/>
        <v>ADAM RICHTER</v>
      </c>
      <c r="L994" s="1">
        <v>44930</v>
      </c>
      <c r="M994" s="1">
        <v>46026</v>
      </c>
      <c r="N994" s="2">
        <v>53.56</v>
      </c>
      <c r="O994">
        <f t="shared" si="57"/>
        <v>36</v>
      </c>
      <c r="P994" t="s">
        <v>1370</v>
      </c>
      <c r="Q994" s="4">
        <v>0.1</v>
      </c>
      <c r="R994" t="s">
        <v>60</v>
      </c>
      <c r="S994" t="s">
        <v>61</v>
      </c>
      <c r="T994" s="2">
        <v>5.36</v>
      </c>
      <c r="U994" t="s">
        <v>1380</v>
      </c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</row>
    <row r="995" spans="1:51" s="5" customFormat="1" x14ac:dyDescent="0.25">
      <c r="A995">
        <v>2017242798</v>
      </c>
      <c r="B995" t="s">
        <v>720</v>
      </c>
      <c r="C995" t="s">
        <v>721</v>
      </c>
      <c r="D995" t="str">
        <f t="shared" si="56"/>
        <v>BONNI STEPHENSON</v>
      </c>
      <c r="E995" t="s">
        <v>125</v>
      </c>
      <c r="F995" t="s">
        <v>169</v>
      </c>
      <c r="G995" t="s">
        <v>170</v>
      </c>
      <c r="H995">
        <v>9079571</v>
      </c>
      <c r="I995" t="s">
        <v>235</v>
      </c>
      <c r="J995" t="s">
        <v>438</v>
      </c>
      <c r="K995" t="str">
        <f t="shared" si="58"/>
        <v>ADAM RICHTER</v>
      </c>
      <c r="L995" s="1">
        <v>44930</v>
      </c>
      <c r="M995" s="1">
        <v>46026</v>
      </c>
      <c r="N995" s="2">
        <v>57.84</v>
      </c>
      <c r="O995">
        <f t="shared" si="57"/>
        <v>36</v>
      </c>
      <c r="P995" t="s">
        <v>1370</v>
      </c>
      <c r="Q995" s="3">
        <v>5.2499999999999998E-2</v>
      </c>
      <c r="R995" t="s">
        <v>60</v>
      </c>
      <c r="S995" t="s">
        <v>61</v>
      </c>
      <c r="T995" s="2">
        <v>3.04</v>
      </c>
      <c r="U995" t="s">
        <v>170</v>
      </c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</row>
    <row r="996" spans="1:51" s="5" customFormat="1" x14ac:dyDescent="0.25">
      <c r="A996">
        <v>2017242803</v>
      </c>
      <c r="B996" t="s">
        <v>720</v>
      </c>
      <c r="C996" t="s">
        <v>721</v>
      </c>
      <c r="D996" t="str">
        <f t="shared" si="56"/>
        <v>BONNI STEPHENSON</v>
      </c>
      <c r="E996" t="s">
        <v>125</v>
      </c>
      <c r="F996" t="s">
        <v>126</v>
      </c>
      <c r="G996" t="s">
        <v>375</v>
      </c>
      <c r="H996">
        <v>9079571</v>
      </c>
      <c r="I996" t="s">
        <v>235</v>
      </c>
      <c r="J996" t="s">
        <v>438</v>
      </c>
      <c r="K996" t="str">
        <f t="shared" si="58"/>
        <v>ADAM RICHTER</v>
      </c>
      <c r="L996" s="1">
        <v>44930</v>
      </c>
      <c r="M996" s="1">
        <v>46026</v>
      </c>
      <c r="N996" s="2">
        <v>51.63</v>
      </c>
      <c r="O996">
        <f t="shared" si="57"/>
        <v>36</v>
      </c>
      <c r="P996" t="s">
        <v>1370</v>
      </c>
      <c r="Q996" s="4">
        <v>0.1</v>
      </c>
      <c r="R996" t="s">
        <v>60</v>
      </c>
      <c r="S996" t="s">
        <v>61</v>
      </c>
      <c r="T996" s="2">
        <v>5.16</v>
      </c>
      <c r="U996" t="s">
        <v>375</v>
      </c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</row>
    <row r="997" spans="1:51" s="5" customFormat="1" x14ac:dyDescent="0.25">
      <c r="A997">
        <v>2017242801</v>
      </c>
      <c r="B997" t="s">
        <v>720</v>
      </c>
      <c r="C997" t="s">
        <v>721</v>
      </c>
      <c r="D997" t="str">
        <f t="shared" si="56"/>
        <v>BONNI STEPHENSON</v>
      </c>
      <c r="E997" t="s">
        <v>125</v>
      </c>
      <c r="F997" t="s">
        <v>53</v>
      </c>
      <c r="G997" t="s">
        <v>722</v>
      </c>
      <c r="H997">
        <v>9079571</v>
      </c>
      <c r="I997" t="s">
        <v>235</v>
      </c>
      <c r="J997" t="s">
        <v>438</v>
      </c>
      <c r="K997" t="str">
        <f t="shared" si="58"/>
        <v>ADAM RICHTER</v>
      </c>
      <c r="L997" s="1">
        <v>44930</v>
      </c>
      <c r="M997" s="1">
        <v>46026</v>
      </c>
      <c r="N997" s="2">
        <v>105.84</v>
      </c>
      <c r="O997">
        <f t="shared" si="57"/>
        <v>36</v>
      </c>
      <c r="P997" t="s">
        <v>1370</v>
      </c>
      <c r="Q997" s="3">
        <v>6.5000000000000002E-2</v>
      </c>
      <c r="R997" t="s">
        <v>60</v>
      </c>
      <c r="S997" t="s">
        <v>61</v>
      </c>
      <c r="T997" s="2">
        <v>6.88</v>
      </c>
      <c r="U997" t="s">
        <v>726</v>
      </c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</row>
    <row r="998" spans="1:51" s="5" customFormat="1" x14ac:dyDescent="0.25">
      <c r="A998">
        <v>2016627945</v>
      </c>
      <c r="B998" t="s">
        <v>1232</v>
      </c>
      <c r="C998" t="s">
        <v>635</v>
      </c>
      <c r="D998" t="str">
        <f t="shared" si="56"/>
        <v>NANCY LIEB</v>
      </c>
      <c r="E998" t="s">
        <v>52</v>
      </c>
      <c r="F998" t="s">
        <v>169</v>
      </c>
      <c r="G998" t="s">
        <v>170</v>
      </c>
      <c r="H998">
        <v>15278437</v>
      </c>
      <c r="I998" t="s">
        <v>64</v>
      </c>
      <c r="J998" t="s">
        <v>65</v>
      </c>
      <c r="K998" t="str">
        <f t="shared" si="58"/>
        <v>JASON HOFFMANN</v>
      </c>
      <c r="L998" s="1">
        <v>44927</v>
      </c>
      <c r="M998" s="1">
        <v>46023</v>
      </c>
      <c r="N998" s="2">
        <v>55.54</v>
      </c>
      <c r="O998">
        <f t="shared" si="57"/>
        <v>36</v>
      </c>
      <c r="P998" t="s">
        <v>1370</v>
      </c>
      <c r="Q998" s="3">
        <v>5.2499999999999998E-2</v>
      </c>
      <c r="R998" t="s">
        <v>60</v>
      </c>
      <c r="S998" t="s">
        <v>61</v>
      </c>
      <c r="T998" s="2">
        <v>2.92</v>
      </c>
      <c r="U998" t="s">
        <v>170</v>
      </c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</row>
    <row r="999" spans="1:51" s="5" customFormat="1" x14ac:dyDescent="0.25">
      <c r="A999">
        <v>2017029017</v>
      </c>
      <c r="B999" t="s">
        <v>1233</v>
      </c>
      <c r="C999" t="s">
        <v>1234</v>
      </c>
      <c r="D999" t="str">
        <f t="shared" si="56"/>
        <v>JANET MARCUS</v>
      </c>
      <c r="E999" t="s">
        <v>52</v>
      </c>
      <c r="F999" t="s">
        <v>169</v>
      </c>
      <c r="G999" t="s">
        <v>170</v>
      </c>
      <c r="H999">
        <v>15278437</v>
      </c>
      <c r="I999" t="s">
        <v>64</v>
      </c>
      <c r="J999" t="s">
        <v>65</v>
      </c>
      <c r="K999" t="str">
        <f t="shared" si="58"/>
        <v>JASON HOFFMANN</v>
      </c>
      <c r="L999" s="1">
        <v>44927</v>
      </c>
      <c r="M999" s="1">
        <v>46023</v>
      </c>
      <c r="N999" s="2">
        <v>38.22</v>
      </c>
      <c r="O999">
        <f t="shared" si="57"/>
        <v>36</v>
      </c>
      <c r="P999" t="s">
        <v>1370</v>
      </c>
      <c r="Q999" s="3">
        <v>5.2499999999999998E-2</v>
      </c>
      <c r="R999" t="s">
        <v>60</v>
      </c>
      <c r="S999" t="s">
        <v>61</v>
      </c>
      <c r="T999" s="2">
        <v>2.0099999999999998</v>
      </c>
      <c r="U999" t="s">
        <v>170</v>
      </c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</row>
    <row r="1000" spans="1:51" s="5" customFormat="1" x14ac:dyDescent="0.25">
      <c r="A1000">
        <v>2017064782</v>
      </c>
      <c r="B1000" t="s">
        <v>1235</v>
      </c>
      <c r="C1000" t="s">
        <v>1236</v>
      </c>
      <c r="D1000" t="str">
        <f t="shared" si="56"/>
        <v>LINUS PARK</v>
      </c>
      <c r="E1000" t="s">
        <v>52</v>
      </c>
      <c r="F1000" t="s">
        <v>169</v>
      </c>
      <c r="G1000" t="s">
        <v>170</v>
      </c>
      <c r="H1000">
        <v>15278437</v>
      </c>
      <c r="I1000" t="s">
        <v>64</v>
      </c>
      <c r="J1000" t="s">
        <v>65</v>
      </c>
      <c r="K1000" t="str">
        <f t="shared" si="58"/>
        <v>JASON HOFFMANN</v>
      </c>
      <c r="L1000" s="1">
        <v>44927</v>
      </c>
      <c r="M1000" s="1">
        <v>46023</v>
      </c>
      <c r="N1000" s="2">
        <v>117.8</v>
      </c>
      <c r="O1000">
        <f t="shared" si="57"/>
        <v>36</v>
      </c>
      <c r="P1000" t="s">
        <v>1370</v>
      </c>
      <c r="Q1000" s="3">
        <v>5.2499999999999998E-2</v>
      </c>
      <c r="R1000" t="s">
        <v>60</v>
      </c>
      <c r="S1000" t="s">
        <v>61</v>
      </c>
      <c r="T1000" s="2">
        <v>6.18</v>
      </c>
      <c r="U1000" t="s">
        <v>170</v>
      </c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</row>
    <row r="1001" spans="1:51" s="5" customFormat="1" x14ac:dyDescent="0.25">
      <c r="A1001">
        <v>2017278501</v>
      </c>
      <c r="B1001" t="s">
        <v>661</v>
      </c>
      <c r="C1001" t="s">
        <v>411</v>
      </c>
      <c r="D1001" t="str">
        <f t="shared" si="56"/>
        <v>LARRY ELLIS</v>
      </c>
      <c r="E1001" t="s">
        <v>52</v>
      </c>
      <c r="F1001" t="s">
        <v>169</v>
      </c>
      <c r="G1001" t="s">
        <v>170</v>
      </c>
      <c r="H1001">
        <v>15278437</v>
      </c>
      <c r="I1001" t="s">
        <v>64</v>
      </c>
      <c r="J1001" t="s">
        <v>65</v>
      </c>
      <c r="K1001" t="str">
        <f t="shared" si="58"/>
        <v>JASON HOFFMANN</v>
      </c>
      <c r="L1001" s="1">
        <v>44932</v>
      </c>
      <c r="M1001" s="1">
        <v>46028</v>
      </c>
      <c r="N1001" s="2">
        <v>48.22</v>
      </c>
      <c r="O1001">
        <f t="shared" si="57"/>
        <v>36</v>
      </c>
      <c r="P1001" t="s">
        <v>1370</v>
      </c>
      <c r="Q1001" s="3">
        <v>5.2499999999999998E-2</v>
      </c>
      <c r="R1001" t="s">
        <v>60</v>
      </c>
      <c r="S1001" t="s">
        <v>61</v>
      </c>
      <c r="T1001" s="2">
        <v>2.5299999999999998</v>
      </c>
      <c r="U1001" t="s">
        <v>170</v>
      </c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</row>
    <row r="1002" spans="1:51" s="5" customFormat="1" x14ac:dyDescent="0.25">
      <c r="A1002">
        <v>2016705959</v>
      </c>
      <c r="B1002" t="s">
        <v>123</v>
      </c>
      <c r="C1002" t="s">
        <v>124</v>
      </c>
      <c r="D1002" t="str">
        <f t="shared" si="56"/>
        <v>KIM GULICK</v>
      </c>
      <c r="E1002" t="s">
        <v>125</v>
      </c>
      <c r="F1002" t="s">
        <v>126</v>
      </c>
      <c r="G1002" t="s">
        <v>127</v>
      </c>
      <c r="H1002">
        <v>20436896</v>
      </c>
      <c r="I1002" t="s">
        <v>81</v>
      </c>
      <c r="J1002" t="s">
        <v>128</v>
      </c>
      <c r="K1002" t="str">
        <f t="shared" si="58"/>
        <v>KATELENN CALTAGIRONE</v>
      </c>
      <c r="L1002" s="1">
        <v>44927</v>
      </c>
      <c r="M1002" s="1">
        <v>46023</v>
      </c>
      <c r="N1002" s="2">
        <v>25.73</v>
      </c>
      <c r="O1002">
        <f t="shared" si="57"/>
        <v>36</v>
      </c>
      <c r="P1002" t="s">
        <v>1370</v>
      </c>
      <c r="Q1002" s="4">
        <v>0.15</v>
      </c>
      <c r="R1002" t="s">
        <v>60</v>
      </c>
      <c r="S1002" t="s">
        <v>61</v>
      </c>
      <c r="T1002" s="2">
        <v>3.86</v>
      </c>
      <c r="U1002" t="s">
        <v>127</v>
      </c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</row>
    <row r="1003" spans="1:51" s="5" customFormat="1" x14ac:dyDescent="0.25">
      <c r="A1003">
        <v>2016794187</v>
      </c>
      <c r="B1003" t="s">
        <v>1031</v>
      </c>
      <c r="C1003" t="s">
        <v>1032</v>
      </c>
      <c r="D1003" t="str">
        <f t="shared" si="56"/>
        <v>SUZIE ACKLEY</v>
      </c>
      <c r="E1003" t="s">
        <v>210</v>
      </c>
      <c r="F1003" t="s">
        <v>126</v>
      </c>
      <c r="G1003" t="s">
        <v>127</v>
      </c>
      <c r="H1003">
        <v>20436896</v>
      </c>
      <c r="I1003" t="s">
        <v>81</v>
      </c>
      <c r="J1003" t="s">
        <v>128</v>
      </c>
      <c r="K1003" t="str">
        <f t="shared" si="58"/>
        <v>KATELENN CALTAGIRONE</v>
      </c>
      <c r="L1003" s="1">
        <v>44927</v>
      </c>
      <c r="M1003" s="1">
        <v>46023</v>
      </c>
      <c r="N1003" s="2">
        <v>21.44</v>
      </c>
      <c r="O1003">
        <f t="shared" si="57"/>
        <v>36</v>
      </c>
      <c r="P1003" t="s">
        <v>1370</v>
      </c>
      <c r="Q1003" s="4">
        <v>0.15</v>
      </c>
      <c r="R1003" t="s">
        <v>60</v>
      </c>
      <c r="S1003" t="s">
        <v>61</v>
      </c>
      <c r="T1003" s="2">
        <v>3.22</v>
      </c>
      <c r="U1003" t="s">
        <v>127</v>
      </c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</row>
    <row r="1004" spans="1:51" s="5" customFormat="1" x14ac:dyDescent="0.25">
      <c r="A1004">
        <v>2016814851</v>
      </c>
      <c r="B1004" t="s">
        <v>1033</v>
      </c>
      <c r="C1004" t="s">
        <v>73</v>
      </c>
      <c r="D1004" t="str">
        <f t="shared" si="56"/>
        <v>DANIEL HUEPPCHEN</v>
      </c>
      <c r="E1004" t="s">
        <v>125</v>
      </c>
      <c r="F1004" t="s">
        <v>126</v>
      </c>
      <c r="G1004" t="s">
        <v>127</v>
      </c>
      <c r="H1004">
        <v>20436896</v>
      </c>
      <c r="I1004" t="s">
        <v>81</v>
      </c>
      <c r="J1004" t="s">
        <v>128</v>
      </c>
      <c r="K1004" t="str">
        <f t="shared" si="58"/>
        <v>KATELENN CALTAGIRONE</v>
      </c>
      <c r="L1004" s="1">
        <v>44927</v>
      </c>
      <c r="M1004" s="1">
        <v>46023</v>
      </c>
      <c r="N1004" s="2">
        <v>25.73</v>
      </c>
      <c r="O1004">
        <f t="shared" si="57"/>
        <v>36</v>
      </c>
      <c r="P1004" t="s">
        <v>1370</v>
      </c>
      <c r="Q1004" s="4">
        <v>0.15</v>
      </c>
      <c r="R1004" t="s">
        <v>60</v>
      </c>
      <c r="S1004" t="s">
        <v>61</v>
      </c>
      <c r="T1004" s="2">
        <v>3.86</v>
      </c>
      <c r="U1004" t="s">
        <v>127</v>
      </c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</row>
    <row r="1005" spans="1:51" s="5" customFormat="1" x14ac:dyDescent="0.25">
      <c r="A1005">
        <v>2016794185</v>
      </c>
      <c r="B1005" t="s">
        <v>1031</v>
      </c>
      <c r="C1005" t="s">
        <v>1032</v>
      </c>
      <c r="D1005" t="str">
        <f t="shared" si="56"/>
        <v>SUZIE ACKLEY</v>
      </c>
      <c r="E1005" t="s">
        <v>210</v>
      </c>
      <c r="F1005" t="s">
        <v>169</v>
      </c>
      <c r="G1005" t="s">
        <v>170</v>
      </c>
      <c r="H1005">
        <v>20436896</v>
      </c>
      <c r="I1005" t="s">
        <v>81</v>
      </c>
      <c r="J1005" t="s">
        <v>128</v>
      </c>
      <c r="K1005" t="str">
        <f t="shared" si="58"/>
        <v>KATELENN CALTAGIRONE</v>
      </c>
      <c r="L1005" s="1">
        <v>44927</v>
      </c>
      <c r="M1005" s="1">
        <v>46023</v>
      </c>
      <c r="N1005" s="2">
        <v>57.2</v>
      </c>
      <c r="O1005">
        <f t="shared" si="57"/>
        <v>36</v>
      </c>
      <c r="P1005" t="s">
        <v>1370</v>
      </c>
      <c r="Q1005" s="3">
        <v>5.2499999999999998E-2</v>
      </c>
      <c r="R1005" t="s">
        <v>60</v>
      </c>
      <c r="S1005" t="s">
        <v>61</v>
      </c>
      <c r="T1005" s="2">
        <v>3</v>
      </c>
      <c r="U1005" t="s">
        <v>170</v>
      </c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</row>
    <row r="1006" spans="1:51" s="5" customFormat="1" x14ac:dyDescent="0.25">
      <c r="A1006">
        <v>2016815697</v>
      </c>
      <c r="B1006" t="s">
        <v>167</v>
      </c>
      <c r="C1006" t="s">
        <v>168</v>
      </c>
      <c r="D1006" t="str">
        <f t="shared" si="56"/>
        <v>DIANE LINAHAN</v>
      </c>
      <c r="E1006" t="s">
        <v>52</v>
      </c>
      <c r="F1006" t="s">
        <v>169</v>
      </c>
      <c r="G1006" t="s">
        <v>170</v>
      </c>
      <c r="H1006">
        <v>15278437</v>
      </c>
      <c r="I1006" t="s">
        <v>64</v>
      </c>
      <c r="J1006" t="s">
        <v>65</v>
      </c>
      <c r="K1006" t="str">
        <f t="shared" si="58"/>
        <v>JASON HOFFMANN</v>
      </c>
      <c r="L1006" s="1">
        <v>44896</v>
      </c>
      <c r="M1006" s="1">
        <v>46023</v>
      </c>
      <c r="N1006" s="2">
        <v>49.99</v>
      </c>
      <c r="O1006">
        <f t="shared" si="57"/>
        <v>37</v>
      </c>
      <c r="P1006" t="s">
        <v>1370</v>
      </c>
      <c r="Q1006" s="3">
        <v>5.2499999999999998E-2</v>
      </c>
      <c r="R1006" t="s">
        <v>60</v>
      </c>
      <c r="S1006" t="s">
        <v>61</v>
      </c>
      <c r="T1006" s="2">
        <v>2.62</v>
      </c>
      <c r="U1006" t="s">
        <v>170</v>
      </c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</row>
    <row r="1007" spans="1:51" s="5" customFormat="1" x14ac:dyDescent="0.25">
      <c r="A1007">
        <v>2016750307</v>
      </c>
      <c r="B1007" t="s">
        <v>412</v>
      </c>
      <c r="C1007" t="s">
        <v>719</v>
      </c>
      <c r="D1007" t="str">
        <f t="shared" si="56"/>
        <v>JILL DUNN</v>
      </c>
      <c r="E1007" t="s">
        <v>125</v>
      </c>
      <c r="F1007" t="s">
        <v>86</v>
      </c>
      <c r="G1007" t="s">
        <v>87</v>
      </c>
      <c r="H1007">
        <v>9079571</v>
      </c>
      <c r="I1007" t="s">
        <v>235</v>
      </c>
      <c r="J1007" t="s">
        <v>438</v>
      </c>
      <c r="K1007" t="str">
        <f t="shared" si="58"/>
        <v>ADAM RICHTER</v>
      </c>
      <c r="L1007" s="1">
        <v>44873</v>
      </c>
      <c r="M1007" s="1">
        <v>46030</v>
      </c>
      <c r="N1007" s="2">
        <v>58.09</v>
      </c>
      <c r="O1007">
        <f t="shared" si="57"/>
        <v>38</v>
      </c>
      <c r="P1007" t="s">
        <v>1370</v>
      </c>
      <c r="Q1007" s="4">
        <v>0.06</v>
      </c>
      <c r="R1007" t="s">
        <v>60</v>
      </c>
      <c r="S1007" t="s">
        <v>61</v>
      </c>
      <c r="T1007" s="2">
        <v>3.49</v>
      </c>
      <c r="U1007" t="s">
        <v>87</v>
      </c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</row>
    <row r="1008" spans="1:51" s="5" customFormat="1" x14ac:dyDescent="0.25">
      <c r="A1008">
        <v>2016750308</v>
      </c>
      <c r="B1008" t="s">
        <v>412</v>
      </c>
      <c r="C1008" t="s">
        <v>719</v>
      </c>
      <c r="D1008" t="str">
        <f t="shared" si="56"/>
        <v>JILL DUNN</v>
      </c>
      <c r="E1008" t="s">
        <v>125</v>
      </c>
      <c r="F1008" t="s">
        <v>53</v>
      </c>
      <c r="G1008" t="s">
        <v>54</v>
      </c>
      <c r="H1008">
        <v>9079571</v>
      </c>
      <c r="I1008" t="s">
        <v>235</v>
      </c>
      <c r="J1008" t="s">
        <v>438</v>
      </c>
      <c r="K1008" t="str">
        <f t="shared" si="58"/>
        <v>ADAM RICHTER</v>
      </c>
      <c r="L1008" s="1">
        <v>44873</v>
      </c>
      <c r="M1008" s="1">
        <v>46030</v>
      </c>
      <c r="N1008" s="2">
        <v>36.159999999999997</v>
      </c>
      <c r="O1008">
        <f t="shared" si="57"/>
        <v>38</v>
      </c>
      <c r="P1008" t="s">
        <v>1370</v>
      </c>
      <c r="Q1008" s="3">
        <v>6.5000000000000002E-2</v>
      </c>
      <c r="R1008" t="s">
        <v>60</v>
      </c>
      <c r="S1008" t="s">
        <v>61</v>
      </c>
      <c r="T1008" s="2">
        <v>2.35</v>
      </c>
      <c r="U1008" t="s">
        <v>54</v>
      </c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</row>
    <row r="1009" spans="1:51" s="5" customFormat="1" x14ac:dyDescent="0.25">
      <c r="A1009">
        <v>2016770176</v>
      </c>
      <c r="B1009" t="s">
        <v>958</v>
      </c>
      <c r="C1009" t="s">
        <v>324</v>
      </c>
      <c r="D1009" t="str">
        <f t="shared" si="56"/>
        <v>KEVIN LEMMON</v>
      </c>
      <c r="E1009" t="s">
        <v>97</v>
      </c>
      <c r="F1009" t="s">
        <v>86</v>
      </c>
      <c r="G1009" t="s">
        <v>87</v>
      </c>
      <c r="H1009">
        <v>8307933</v>
      </c>
      <c r="I1009" t="s">
        <v>246</v>
      </c>
      <c r="J1009" t="s">
        <v>247</v>
      </c>
      <c r="K1009" t="str">
        <f t="shared" si="58"/>
        <v>GREGORY TEIPEL</v>
      </c>
      <c r="L1009" s="1">
        <v>44875</v>
      </c>
      <c r="M1009" s="1">
        <v>46032</v>
      </c>
      <c r="N1009" s="2">
        <v>38.83</v>
      </c>
      <c r="O1009">
        <f t="shared" si="57"/>
        <v>38</v>
      </c>
      <c r="P1009" t="s">
        <v>1370</v>
      </c>
      <c r="Q1009" s="4">
        <v>0.06</v>
      </c>
      <c r="R1009" t="s">
        <v>60</v>
      </c>
      <c r="S1009" t="s">
        <v>61</v>
      </c>
      <c r="T1009" s="2">
        <v>2.33</v>
      </c>
      <c r="U1009" t="s">
        <v>87</v>
      </c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</row>
    <row r="1010" spans="1:51" s="5" customFormat="1" x14ac:dyDescent="0.25">
      <c r="A1010">
        <v>2016468518</v>
      </c>
      <c r="B1010" t="s">
        <v>1230</v>
      </c>
      <c r="C1010" t="s">
        <v>1231</v>
      </c>
      <c r="D1010" t="str">
        <f t="shared" si="56"/>
        <v>BERNICE BELGER</v>
      </c>
      <c r="E1010" t="s">
        <v>52</v>
      </c>
      <c r="F1010" t="s">
        <v>169</v>
      </c>
      <c r="G1010" t="s">
        <v>170</v>
      </c>
      <c r="H1010">
        <v>15278437</v>
      </c>
      <c r="I1010" t="s">
        <v>64</v>
      </c>
      <c r="J1010" t="s">
        <v>65</v>
      </c>
      <c r="K1010" t="str">
        <f t="shared" si="58"/>
        <v>JASON HOFFMANN</v>
      </c>
      <c r="L1010" s="1">
        <v>44866</v>
      </c>
      <c r="M1010" s="1">
        <v>46023</v>
      </c>
      <c r="N1010" s="2">
        <v>61.19</v>
      </c>
      <c r="O1010">
        <f t="shared" si="57"/>
        <v>38</v>
      </c>
      <c r="P1010" t="s">
        <v>1370</v>
      </c>
      <c r="Q1010" s="3">
        <v>5.2499999999999998E-2</v>
      </c>
      <c r="R1010" t="s">
        <v>60</v>
      </c>
      <c r="S1010" t="s">
        <v>61</v>
      </c>
      <c r="T1010" s="2">
        <v>3.21</v>
      </c>
      <c r="U1010" t="s">
        <v>170</v>
      </c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</row>
  </sheetData>
  <sortState xmlns:xlrd2="http://schemas.microsoft.com/office/spreadsheetml/2017/richdata2" ref="A2:AY1332">
    <sortCondition sortBy="cellColor" ref="A2:A1332" dxfId="0"/>
    <sortCondition ref="O2:O133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69DB-E64E-4709-841A-27281A23D96C}">
  <dimension ref="A1:AZ89"/>
  <sheetViews>
    <sheetView topLeftCell="A58" workbookViewId="0">
      <selection activeCell="H93" sqref="H93"/>
    </sheetView>
  </sheetViews>
  <sheetFormatPr defaultRowHeight="15" x14ac:dyDescent="0.25"/>
  <cols>
    <col min="1" max="1" width="11" bestFit="1" customWidth="1"/>
    <col min="4" max="4" width="17.5703125" bestFit="1" customWidth="1"/>
    <col min="8" max="8" width="40.28515625" customWidth="1"/>
    <col min="9" max="9" width="11.28515625" style="16" customWidth="1"/>
    <col min="12" max="12" width="15.28515625" bestFit="1" customWidth="1"/>
    <col min="14" max="14" width="13.5703125" bestFit="1" customWidth="1"/>
    <col min="15" max="15" width="12" bestFit="1" customWidth="1"/>
    <col min="16" max="16" width="7.28515625" customWidth="1"/>
    <col min="17" max="17" width="7.140625" customWidth="1"/>
  </cols>
  <sheetData>
    <row r="1" spans="1:52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8</v>
      </c>
      <c r="H1" t="s">
        <v>9</v>
      </c>
      <c r="I1" s="16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R1" t="s">
        <v>17</v>
      </c>
      <c r="S1" t="s">
        <v>21</v>
      </c>
      <c r="T1" t="s">
        <v>27</v>
      </c>
      <c r="U1" t="s">
        <v>38</v>
      </c>
      <c r="V1" t="s">
        <v>39</v>
      </c>
      <c r="W1" t="s">
        <v>40</v>
      </c>
    </row>
    <row r="2" spans="1:52" s="5" customFormat="1" x14ac:dyDescent="0.25">
      <c r="A2">
        <v>2029137106</v>
      </c>
      <c r="B2" t="s">
        <v>854</v>
      </c>
      <c r="C2" t="s">
        <v>855</v>
      </c>
      <c r="D2" t="str">
        <f t="shared" ref="D2:D44" si="0">CONCATENATE(C2," ",B2)</f>
        <v>ALLISON SOLOMON</v>
      </c>
      <c r="E2" t="s">
        <v>51</v>
      </c>
      <c r="F2" t="s">
        <v>79</v>
      </c>
      <c r="G2" t="s">
        <v>75</v>
      </c>
      <c r="H2" t="s">
        <v>76</v>
      </c>
      <c r="I2" s="16">
        <v>8977234</v>
      </c>
      <c r="J2" t="s">
        <v>81</v>
      </c>
      <c r="K2" t="s">
        <v>82</v>
      </c>
      <c r="L2" t="str">
        <f t="shared" ref="L2:L44" si="1">CONCATENATE(K2," ",J2)</f>
        <v>RYAN CALTAGIRONE</v>
      </c>
      <c r="M2" t="s">
        <v>94</v>
      </c>
      <c r="N2" s="1">
        <v>45809</v>
      </c>
      <c r="O2" s="1">
        <v>46023</v>
      </c>
      <c r="P2">
        <f t="shared" ref="P2:P44" si="2">DATEDIF(N2,O2,"M")</f>
        <v>7</v>
      </c>
      <c r="Q2" t="s">
        <v>1370</v>
      </c>
      <c r="R2" s="2">
        <v>-59.41</v>
      </c>
      <c r="S2" s="4">
        <v>0.75</v>
      </c>
      <c r="T2" s="2">
        <v>0</v>
      </c>
      <c r="U2" s="2">
        <v>-44.56</v>
      </c>
      <c r="V2" s="2">
        <v>-44.56</v>
      </c>
      <c r="W2" s="2">
        <v>0</v>
      </c>
      <c r="X2" t="s">
        <v>1371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x14ac:dyDescent="0.25">
      <c r="A3">
        <v>2031244628</v>
      </c>
      <c r="B3" t="s">
        <v>910</v>
      </c>
      <c r="C3" t="s">
        <v>911</v>
      </c>
      <c r="D3" t="str">
        <f t="shared" si="0"/>
        <v>TRAVUS DEVORE</v>
      </c>
      <c r="E3" t="s">
        <v>51</v>
      </c>
      <c r="F3" t="s">
        <v>515</v>
      </c>
      <c r="G3" t="s">
        <v>75</v>
      </c>
      <c r="H3" t="s">
        <v>243</v>
      </c>
      <c r="I3" s="16">
        <v>8977234</v>
      </c>
      <c r="J3" t="s">
        <v>81</v>
      </c>
      <c r="K3" t="s">
        <v>82</v>
      </c>
      <c r="L3" t="str">
        <f t="shared" si="1"/>
        <v>RYAN CALTAGIRONE</v>
      </c>
      <c r="M3" t="s">
        <v>94</v>
      </c>
      <c r="N3" s="1">
        <v>45931</v>
      </c>
      <c r="O3" s="1">
        <v>46023</v>
      </c>
      <c r="P3">
        <f t="shared" si="2"/>
        <v>3</v>
      </c>
      <c r="Q3" t="s">
        <v>1370</v>
      </c>
      <c r="R3" s="2">
        <v>-65.930000000000007</v>
      </c>
      <c r="S3" s="4">
        <v>0.75</v>
      </c>
      <c r="T3" s="2">
        <v>0</v>
      </c>
      <c r="U3" s="2">
        <v>-49.45</v>
      </c>
      <c r="V3" s="2">
        <v>-49.45</v>
      </c>
      <c r="W3" s="2">
        <v>0</v>
      </c>
      <c r="X3" t="s">
        <v>1371</v>
      </c>
    </row>
    <row r="4" spans="1:52" x14ac:dyDescent="0.25">
      <c r="A4">
        <v>2032159245</v>
      </c>
      <c r="B4" t="s">
        <v>940</v>
      </c>
      <c r="C4" t="s">
        <v>941</v>
      </c>
      <c r="D4" t="str">
        <f t="shared" si="0"/>
        <v>MAURICE SCALES</v>
      </c>
      <c r="E4" t="s">
        <v>51</v>
      </c>
      <c r="F4" t="s">
        <v>97</v>
      </c>
      <c r="G4" t="s">
        <v>75</v>
      </c>
      <c r="H4" t="s">
        <v>80</v>
      </c>
      <c r="I4" s="16">
        <v>1706194</v>
      </c>
      <c r="J4" t="s">
        <v>396</v>
      </c>
      <c r="K4" t="s">
        <v>397</v>
      </c>
      <c r="L4" t="str">
        <f t="shared" si="1"/>
        <v>MATTHEW DAUGHERTY</v>
      </c>
      <c r="M4" t="s">
        <v>94</v>
      </c>
      <c r="N4" s="1">
        <v>45992</v>
      </c>
      <c r="O4" s="1">
        <v>46023</v>
      </c>
      <c r="P4">
        <f t="shared" si="2"/>
        <v>1</v>
      </c>
      <c r="Q4" t="s">
        <v>1370</v>
      </c>
      <c r="R4" s="2">
        <v>-121.4</v>
      </c>
      <c r="S4" s="4">
        <v>0.9</v>
      </c>
      <c r="T4" s="2">
        <v>0</v>
      </c>
      <c r="U4" s="2">
        <v>-109.26</v>
      </c>
      <c r="V4" s="2">
        <v>-109.26</v>
      </c>
      <c r="W4" s="2">
        <v>0</v>
      </c>
      <c r="X4" t="s">
        <v>1372</v>
      </c>
    </row>
    <row r="5" spans="1:52" x14ac:dyDescent="0.25">
      <c r="A5" s="5">
        <v>2024266937</v>
      </c>
      <c r="B5" s="5" t="s">
        <v>945</v>
      </c>
      <c r="C5" s="5" t="s">
        <v>946</v>
      </c>
      <c r="D5" s="5" t="str">
        <f t="shared" si="0"/>
        <v>LORA KISIN</v>
      </c>
      <c r="E5" s="5" t="s">
        <v>51</v>
      </c>
      <c r="F5" s="5" t="s">
        <v>125</v>
      </c>
      <c r="G5" s="5" t="s">
        <v>290</v>
      </c>
      <c r="H5" s="5" t="s">
        <v>291</v>
      </c>
      <c r="I5" s="17">
        <v>16912722</v>
      </c>
      <c r="J5" s="5" t="s">
        <v>206</v>
      </c>
      <c r="K5" s="5" t="s">
        <v>207</v>
      </c>
      <c r="L5" s="5" t="str">
        <f t="shared" si="1"/>
        <v>ANDREA PETRUNGARO</v>
      </c>
      <c r="M5" s="5" t="s">
        <v>94</v>
      </c>
      <c r="N5" s="6">
        <v>45566</v>
      </c>
      <c r="O5" s="6">
        <v>46023</v>
      </c>
      <c r="P5" s="5">
        <f t="shared" si="2"/>
        <v>15</v>
      </c>
      <c r="Q5" s="5" t="s">
        <v>1370</v>
      </c>
      <c r="R5" s="7">
        <v>-30</v>
      </c>
      <c r="S5" s="8">
        <v>0.28999999999999998</v>
      </c>
      <c r="T5" s="7">
        <v>0</v>
      </c>
      <c r="U5" s="7">
        <v>-8.6999999999999993</v>
      </c>
      <c r="V5" s="7">
        <v>-8.6999999999999993</v>
      </c>
      <c r="W5" s="7">
        <v>0</v>
      </c>
      <c r="X5" s="5" t="s">
        <v>1373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>
        <v>2030806870</v>
      </c>
      <c r="B6" s="5" t="s">
        <v>1329</v>
      </c>
      <c r="C6" s="5" t="s">
        <v>1330</v>
      </c>
      <c r="D6" s="5" t="str">
        <f t="shared" si="0"/>
        <v>FRANCISCO CALDERON</v>
      </c>
      <c r="E6" s="5" t="s">
        <v>51</v>
      </c>
      <c r="F6" s="5" t="s">
        <v>102</v>
      </c>
      <c r="G6" s="5" t="s">
        <v>169</v>
      </c>
      <c r="H6" s="5" t="s">
        <v>1275</v>
      </c>
      <c r="I6" s="17">
        <v>19200754</v>
      </c>
      <c r="J6" s="5" t="s">
        <v>151</v>
      </c>
      <c r="K6" s="5" t="s">
        <v>152</v>
      </c>
      <c r="L6" s="5" t="str">
        <f t="shared" si="1"/>
        <v>RICARDO SANTOS</v>
      </c>
      <c r="M6" s="5" t="s">
        <v>94</v>
      </c>
      <c r="N6" s="6">
        <v>45902</v>
      </c>
      <c r="O6" s="6">
        <v>46024</v>
      </c>
      <c r="P6" s="5">
        <f t="shared" si="2"/>
        <v>4</v>
      </c>
      <c r="Q6" s="5" t="s">
        <v>1368</v>
      </c>
      <c r="R6" s="7">
        <v>-15.45</v>
      </c>
      <c r="S6" s="8">
        <v>0.51</v>
      </c>
      <c r="T6" s="7">
        <v>0</v>
      </c>
      <c r="U6" s="7">
        <v>-7.88</v>
      </c>
      <c r="V6" s="7">
        <v>-7.88</v>
      </c>
      <c r="W6" s="7">
        <v>0</v>
      </c>
      <c r="X6" s="5" t="s">
        <v>1274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5">
        <v>2030806870</v>
      </c>
      <c r="B7" s="5" t="s">
        <v>1329</v>
      </c>
      <c r="C7" s="5" t="s">
        <v>1330</v>
      </c>
      <c r="D7" s="5" t="str">
        <f t="shared" si="0"/>
        <v>FRANCISCO CALDERON</v>
      </c>
      <c r="E7" s="5" t="s">
        <v>51</v>
      </c>
      <c r="F7" s="5" t="s">
        <v>102</v>
      </c>
      <c r="G7" s="5" t="s">
        <v>169</v>
      </c>
      <c r="H7" s="5" t="s">
        <v>1275</v>
      </c>
      <c r="I7" s="17">
        <v>19200754</v>
      </c>
      <c r="J7" s="5" t="s">
        <v>151</v>
      </c>
      <c r="K7" s="5" t="s">
        <v>152</v>
      </c>
      <c r="L7" s="5" t="str">
        <f t="shared" si="1"/>
        <v>RICARDO SANTOS</v>
      </c>
      <c r="M7" s="5" t="s">
        <v>94</v>
      </c>
      <c r="N7" s="6">
        <v>45902</v>
      </c>
      <c r="O7" s="6">
        <v>46024</v>
      </c>
      <c r="P7" s="5">
        <f t="shared" si="2"/>
        <v>4</v>
      </c>
      <c r="Q7" s="5" t="s">
        <v>1368</v>
      </c>
      <c r="R7" s="7">
        <v>14.95</v>
      </c>
      <c r="S7" s="8">
        <v>0.51</v>
      </c>
      <c r="T7" s="7">
        <v>0</v>
      </c>
      <c r="U7" s="7">
        <v>7.62</v>
      </c>
      <c r="V7" s="7">
        <v>7.62</v>
      </c>
      <c r="W7" s="7">
        <v>0</v>
      </c>
      <c r="X7" s="5" t="s">
        <v>1274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s="5" customFormat="1" x14ac:dyDescent="0.25">
      <c r="A8" s="5">
        <v>2030807232</v>
      </c>
      <c r="B8" s="5" t="s">
        <v>1331</v>
      </c>
      <c r="C8" s="5" t="s">
        <v>1332</v>
      </c>
      <c r="D8" s="5" t="str">
        <f t="shared" si="0"/>
        <v>MINDA MAINIT</v>
      </c>
      <c r="E8" s="5" t="s">
        <v>51</v>
      </c>
      <c r="F8" s="5" t="s">
        <v>102</v>
      </c>
      <c r="G8" s="5" t="s">
        <v>169</v>
      </c>
      <c r="H8" s="5" t="s">
        <v>1275</v>
      </c>
      <c r="I8" s="17">
        <v>19200754</v>
      </c>
      <c r="J8" s="5" t="s">
        <v>151</v>
      </c>
      <c r="K8" s="5" t="s">
        <v>152</v>
      </c>
      <c r="L8" s="5" t="str">
        <f t="shared" si="1"/>
        <v>RICARDO SANTOS</v>
      </c>
      <c r="M8" s="5" t="s">
        <v>94</v>
      </c>
      <c r="N8" s="6">
        <v>45902</v>
      </c>
      <c r="O8" s="6">
        <v>46024</v>
      </c>
      <c r="P8" s="5">
        <f t="shared" si="2"/>
        <v>4</v>
      </c>
      <c r="Q8" s="5" t="s">
        <v>1368</v>
      </c>
      <c r="R8" s="7">
        <v>14.95</v>
      </c>
      <c r="S8" s="8">
        <v>0.51</v>
      </c>
      <c r="T8" s="7">
        <v>0</v>
      </c>
      <c r="U8" s="7">
        <v>7.62</v>
      </c>
      <c r="V8" s="7">
        <v>7.62</v>
      </c>
      <c r="W8" s="7">
        <v>0</v>
      </c>
      <c r="X8" s="5" t="s">
        <v>1274</v>
      </c>
    </row>
    <row r="9" spans="1:52" s="5" customFormat="1" x14ac:dyDescent="0.25">
      <c r="A9" s="5">
        <v>2030807232</v>
      </c>
      <c r="B9" s="5" t="s">
        <v>1331</v>
      </c>
      <c r="C9" s="5" t="s">
        <v>1332</v>
      </c>
      <c r="D9" s="5" t="str">
        <f t="shared" si="0"/>
        <v>MINDA MAINIT</v>
      </c>
      <c r="E9" s="5" t="s">
        <v>51</v>
      </c>
      <c r="F9" s="5" t="s">
        <v>102</v>
      </c>
      <c r="G9" s="5" t="s">
        <v>169</v>
      </c>
      <c r="H9" s="5" t="s">
        <v>1275</v>
      </c>
      <c r="I9" s="17">
        <v>19200754</v>
      </c>
      <c r="J9" s="5" t="s">
        <v>151</v>
      </c>
      <c r="K9" s="5" t="s">
        <v>152</v>
      </c>
      <c r="L9" s="5" t="str">
        <f t="shared" si="1"/>
        <v>RICARDO SANTOS</v>
      </c>
      <c r="M9" s="5" t="s">
        <v>94</v>
      </c>
      <c r="N9" s="6">
        <v>45902</v>
      </c>
      <c r="O9" s="6">
        <v>46024</v>
      </c>
      <c r="P9" s="5">
        <f t="shared" si="2"/>
        <v>4</v>
      </c>
      <c r="Q9" s="5" t="s">
        <v>1368</v>
      </c>
      <c r="R9" s="7">
        <v>-15.45</v>
      </c>
      <c r="S9" s="8">
        <v>0.51</v>
      </c>
      <c r="T9" s="7">
        <v>0</v>
      </c>
      <c r="U9" s="7">
        <v>-7.88</v>
      </c>
      <c r="V9" s="7">
        <v>-7.88</v>
      </c>
      <c r="W9" s="7">
        <v>0</v>
      </c>
      <c r="X9" s="5" t="s">
        <v>1274</v>
      </c>
    </row>
    <row r="10" spans="1:52" x14ac:dyDescent="0.25">
      <c r="A10" s="5">
        <v>2030806868</v>
      </c>
      <c r="B10" s="5" t="s">
        <v>1329</v>
      </c>
      <c r="C10" s="5" t="s">
        <v>1330</v>
      </c>
      <c r="D10" s="5" t="str">
        <f t="shared" si="0"/>
        <v>FRANCISCO CALDERON</v>
      </c>
      <c r="E10" s="5" t="s">
        <v>51</v>
      </c>
      <c r="F10" s="5" t="s">
        <v>102</v>
      </c>
      <c r="G10" s="5" t="s">
        <v>169</v>
      </c>
      <c r="H10" s="5" t="s">
        <v>170</v>
      </c>
      <c r="I10" s="17">
        <v>19200754</v>
      </c>
      <c r="J10" s="5" t="s">
        <v>151</v>
      </c>
      <c r="K10" s="5" t="s">
        <v>152</v>
      </c>
      <c r="L10" s="5" t="str">
        <f t="shared" si="1"/>
        <v>RICARDO SANTOS</v>
      </c>
      <c r="M10" s="5" t="s">
        <v>94</v>
      </c>
      <c r="N10" s="6">
        <v>45902</v>
      </c>
      <c r="O10" s="6">
        <v>46024</v>
      </c>
      <c r="P10" s="5">
        <f t="shared" si="2"/>
        <v>4</v>
      </c>
      <c r="Q10" s="5" t="s">
        <v>1368</v>
      </c>
      <c r="R10" s="7">
        <v>-51.37</v>
      </c>
      <c r="S10" s="8">
        <v>0.47</v>
      </c>
      <c r="T10" s="7">
        <v>0</v>
      </c>
      <c r="U10" s="7">
        <v>-24.14</v>
      </c>
      <c r="V10" s="7">
        <v>-24.14</v>
      </c>
      <c r="W10" s="7">
        <v>0</v>
      </c>
      <c r="X10" s="5" t="s">
        <v>170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>
        <v>2030806868</v>
      </c>
      <c r="B11" s="5" t="s">
        <v>1329</v>
      </c>
      <c r="C11" s="5" t="s">
        <v>1330</v>
      </c>
      <c r="D11" s="5" t="str">
        <f t="shared" si="0"/>
        <v>FRANCISCO CALDERON</v>
      </c>
      <c r="E11" s="5" t="s">
        <v>51</v>
      </c>
      <c r="F11" s="5" t="s">
        <v>102</v>
      </c>
      <c r="G11" s="5" t="s">
        <v>169</v>
      </c>
      <c r="H11" s="5" t="s">
        <v>170</v>
      </c>
      <c r="I11" s="17">
        <v>19200754</v>
      </c>
      <c r="J11" s="5" t="s">
        <v>151</v>
      </c>
      <c r="K11" s="5" t="s">
        <v>152</v>
      </c>
      <c r="L11" s="5" t="str">
        <f t="shared" si="1"/>
        <v>RICARDO SANTOS</v>
      </c>
      <c r="M11" s="5" t="s">
        <v>94</v>
      </c>
      <c r="N11" s="6">
        <v>45902</v>
      </c>
      <c r="O11" s="6">
        <v>46024</v>
      </c>
      <c r="P11" s="5">
        <f t="shared" si="2"/>
        <v>4</v>
      </c>
      <c r="Q11" s="5" t="s">
        <v>1368</v>
      </c>
      <c r="R11" s="7">
        <v>49.71</v>
      </c>
      <c r="S11" s="8">
        <v>0.47</v>
      </c>
      <c r="T11" s="7">
        <v>0</v>
      </c>
      <c r="U11" s="7">
        <v>23.36</v>
      </c>
      <c r="V11" s="7">
        <v>23.36</v>
      </c>
      <c r="W11" s="7">
        <v>0</v>
      </c>
      <c r="X11" s="5" t="s">
        <v>170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s="5" customFormat="1" x14ac:dyDescent="0.25">
      <c r="A12" s="5">
        <v>2030807230</v>
      </c>
      <c r="B12" s="5" t="s">
        <v>1331</v>
      </c>
      <c r="C12" s="5" t="s">
        <v>1332</v>
      </c>
      <c r="D12" s="5" t="str">
        <f t="shared" si="0"/>
        <v>MINDA MAINIT</v>
      </c>
      <c r="E12" s="5" t="s">
        <v>51</v>
      </c>
      <c r="F12" s="5" t="s">
        <v>102</v>
      </c>
      <c r="G12" s="5" t="s">
        <v>169</v>
      </c>
      <c r="H12" s="5" t="s">
        <v>170</v>
      </c>
      <c r="I12" s="17">
        <v>19200754</v>
      </c>
      <c r="J12" s="5" t="s">
        <v>151</v>
      </c>
      <c r="K12" s="5" t="s">
        <v>152</v>
      </c>
      <c r="L12" s="5" t="str">
        <f t="shared" si="1"/>
        <v>RICARDO SANTOS</v>
      </c>
      <c r="M12" s="5" t="s">
        <v>94</v>
      </c>
      <c r="N12" s="6">
        <v>45902</v>
      </c>
      <c r="O12" s="6">
        <v>46024</v>
      </c>
      <c r="P12" s="5">
        <f t="shared" si="2"/>
        <v>4</v>
      </c>
      <c r="Q12" s="5" t="s">
        <v>1368</v>
      </c>
      <c r="R12" s="7">
        <v>49.71</v>
      </c>
      <c r="S12" s="8">
        <v>0.47</v>
      </c>
      <c r="T12" s="7">
        <v>0</v>
      </c>
      <c r="U12" s="7">
        <v>23.36</v>
      </c>
      <c r="V12" s="7">
        <v>23.36</v>
      </c>
      <c r="W12" s="7">
        <v>0</v>
      </c>
      <c r="X12" s="5" t="s">
        <v>170</v>
      </c>
    </row>
    <row r="13" spans="1:52" s="5" customFormat="1" x14ac:dyDescent="0.25">
      <c r="A13" s="5">
        <v>2030807230</v>
      </c>
      <c r="B13" s="5" t="s">
        <v>1331</v>
      </c>
      <c r="C13" s="5" t="s">
        <v>1332</v>
      </c>
      <c r="D13" s="5" t="str">
        <f t="shared" si="0"/>
        <v>MINDA MAINIT</v>
      </c>
      <c r="E13" s="5" t="s">
        <v>51</v>
      </c>
      <c r="F13" s="5" t="s">
        <v>102</v>
      </c>
      <c r="G13" s="5" t="s">
        <v>169</v>
      </c>
      <c r="H13" s="5" t="s">
        <v>170</v>
      </c>
      <c r="I13" s="17">
        <v>19200754</v>
      </c>
      <c r="J13" s="5" t="s">
        <v>151</v>
      </c>
      <c r="K13" s="5" t="s">
        <v>152</v>
      </c>
      <c r="L13" s="5" t="str">
        <f t="shared" si="1"/>
        <v>RICARDO SANTOS</v>
      </c>
      <c r="M13" s="5" t="s">
        <v>94</v>
      </c>
      <c r="N13" s="6">
        <v>45902</v>
      </c>
      <c r="O13" s="6">
        <v>46024</v>
      </c>
      <c r="P13" s="5">
        <f t="shared" si="2"/>
        <v>4</v>
      </c>
      <c r="Q13" s="5" t="s">
        <v>1368</v>
      </c>
      <c r="R13" s="7">
        <v>-51.37</v>
      </c>
      <c r="S13" s="8">
        <v>0.47</v>
      </c>
      <c r="T13" s="7">
        <v>0</v>
      </c>
      <c r="U13" s="7">
        <v>-24.14</v>
      </c>
      <c r="V13" s="7">
        <v>-24.14</v>
      </c>
      <c r="W13" s="7">
        <v>0</v>
      </c>
      <c r="X13" s="5" t="s">
        <v>170</v>
      </c>
    </row>
    <row r="14" spans="1:52" x14ac:dyDescent="0.25">
      <c r="A14">
        <v>2026107902</v>
      </c>
      <c r="B14" t="s">
        <v>1303</v>
      </c>
      <c r="C14" t="s">
        <v>1304</v>
      </c>
      <c r="D14" t="str">
        <f t="shared" si="0"/>
        <v>TAWNI BECK</v>
      </c>
      <c r="E14" t="s">
        <v>51</v>
      </c>
      <c r="F14" t="s">
        <v>52</v>
      </c>
      <c r="G14" t="s">
        <v>169</v>
      </c>
      <c r="H14" t="s">
        <v>170</v>
      </c>
      <c r="I14" s="16">
        <v>17528908</v>
      </c>
      <c r="J14" t="s">
        <v>183</v>
      </c>
      <c r="K14" t="s">
        <v>184</v>
      </c>
      <c r="L14" t="str">
        <f t="shared" si="1"/>
        <v>DEBORAH INSKIPT</v>
      </c>
      <c r="M14" t="s">
        <v>94</v>
      </c>
      <c r="N14" s="1">
        <v>45658</v>
      </c>
      <c r="O14" s="1">
        <v>46023</v>
      </c>
      <c r="P14">
        <f t="shared" si="2"/>
        <v>12</v>
      </c>
      <c r="Q14" t="s">
        <v>1370</v>
      </c>
      <c r="R14" s="2">
        <v>1.08</v>
      </c>
      <c r="S14" s="4">
        <v>0.47</v>
      </c>
      <c r="T14" s="2">
        <v>0</v>
      </c>
      <c r="U14" s="2">
        <v>0.51</v>
      </c>
      <c r="V14" s="2">
        <v>0.51</v>
      </c>
      <c r="W14" s="2">
        <v>0</v>
      </c>
      <c r="X14" t="s">
        <v>170</v>
      </c>
    </row>
    <row r="15" spans="1:52" x14ac:dyDescent="0.25">
      <c r="A15">
        <v>2029646226</v>
      </c>
      <c r="B15" t="s">
        <v>1226</v>
      </c>
      <c r="C15" t="s">
        <v>1225</v>
      </c>
      <c r="D15" t="str">
        <f t="shared" si="0"/>
        <v>POOLE COLLETTE</v>
      </c>
      <c r="E15" t="s">
        <v>51</v>
      </c>
      <c r="F15" t="s">
        <v>509</v>
      </c>
      <c r="G15" t="s">
        <v>169</v>
      </c>
      <c r="H15" t="s">
        <v>170</v>
      </c>
      <c r="I15" s="16" t="s">
        <v>1366</v>
      </c>
      <c r="J15" t="s">
        <v>409</v>
      </c>
      <c r="K15" t="s">
        <v>410</v>
      </c>
      <c r="L15" t="str">
        <f t="shared" si="1"/>
        <v>JARED KINYUA</v>
      </c>
      <c r="M15" t="s">
        <v>94</v>
      </c>
      <c r="N15" s="1">
        <v>45834</v>
      </c>
      <c r="O15" s="1">
        <v>46017</v>
      </c>
      <c r="P15">
        <f t="shared" si="2"/>
        <v>6</v>
      </c>
      <c r="Q15" t="s">
        <v>1370</v>
      </c>
      <c r="R15" s="2">
        <v>-13.99</v>
      </c>
      <c r="S15" s="4">
        <v>0.47</v>
      </c>
      <c r="T15" s="2">
        <v>0</v>
      </c>
      <c r="U15" s="2">
        <v>-6.58</v>
      </c>
      <c r="V15" s="2">
        <v>-6.58</v>
      </c>
      <c r="W15" s="2">
        <v>0</v>
      </c>
      <c r="X15" t="s">
        <v>170</v>
      </c>
    </row>
    <row r="16" spans="1:52" x14ac:dyDescent="0.25">
      <c r="A16" s="5">
        <v>2025952183</v>
      </c>
      <c r="B16" s="5" t="s">
        <v>1298</v>
      </c>
      <c r="C16" s="5" t="s">
        <v>249</v>
      </c>
      <c r="D16" s="5" t="str">
        <f t="shared" si="0"/>
        <v>ROBERT FINKE</v>
      </c>
      <c r="E16" s="5" t="s">
        <v>51</v>
      </c>
      <c r="F16" s="5" t="s">
        <v>102</v>
      </c>
      <c r="G16" s="5" t="s">
        <v>169</v>
      </c>
      <c r="H16" s="5" t="s">
        <v>170</v>
      </c>
      <c r="I16" s="17" t="s">
        <v>1367</v>
      </c>
      <c r="J16" s="5" t="s">
        <v>155</v>
      </c>
      <c r="K16" s="5" t="s">
        <v>156</v>
      </c>
      <c r="L16" s="5" t="str">
        <f t="shared" si="1"/>
        <v>VICTOR FUENTES</v>
      </c>
      <c r="M16" s="5" t="s">
        <v>94</v>
      </c>
      <c r="N16" s="6">
        <v>45627</v>
      </c>
      <c r="O16" s="6">
        <v>46023</v>
      </c>
      <c r="P16" s="5">
        <f t="shared" si="2"/>
        <v>13</v>
      </c>
      <c r="Q16" s="5" t="s">
        <v>1370</v>
      </c>
      <c r="R16" s="7">
        <v>72.010000000000005</v>
      </c>
      <c r="S16" s="9">
        <v>5.2499999999999998E-2</v>
      </c>
      <c r="T16" s="7">
        <v>0</v>
      </c>
      <c r="U16" s="7">
        <v>3.78</v>
      </c>
      <c r="V16" s="7">
        <v>3.78</v>
      </c>
      <c r="W16" s="7">
        <v>0</v>
      </c>
      <c r="X16" s="5" t="s">
        <v>170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>
        <v>2032204739</v>
      </c>
      <c r="B17" t="s">
        <v>693</v>
      </c>
      <c r="C17" t="s">
        <v>694</v>
      </c>
      <c r="D17" t="str">
        <f t="shared" si="0"/>
        <v>JEROME PALUMBO</v>
      </c>
      <c r="E17" t="s">
        <v>51</v>
      </c>
      <c r="F17" t="s">
        <v>52</v>
      </c>
      <c r="G17" t="s">
        <v>365</v>
      </c>
      <c r="H17" t="s">
        <v>366</v>
      </c>
      <c r="I17" s="16">
        <v>17425766</v>
      </c>
      <c r="J17" t="s">
        <v>88</v>
      </c>
      <c r="K17" t="s">
        <v>89</v>
      </c>
      <c r="L17" t="str">
        <f t="shared" si="1"/>
        <v>CAROL FOLEY</v>
      </c>
      <c r="M17" t="s">
        <v>94</v>
      </c>
      <c r="N17" s="1">
        <v>45992</v>
      </c>
      <c r="O17" s="1">
        <v>46023</v>
      </c>
      <c r="P17">
        <f t="shared" si="2"/>
        <v>1</v>
      </c>
      <c r="Q17" t="s">
        <v>1370</v>
      </c>
      <c r="R17" s="2">
        <v>-61.39</v>
      </c>
      <c r="S17" s="4">
        <v>0.38</v>
      </c>
      <c r="T17" s="2">
        <v>0</v>
      </c>
      <c r="U17" s="2">
        <v>-23.33</v>
      </c>
      <c r="V17" s="2">
        <v>-23.33</v>
      </c>
      <c r="W17" s="2">
        <v>0</v>
      </c>
      <c r="X17" t="s">
        <v>366</v>
      </c>
    </row>
    <row r="18" spans="1:52" s="5" customFormat="1" x14ac:dyDescent="0.25">
      <c r="A18" s="5">
        <v>2030806869</v>
      </c>
      <c r="B18" s="5" t="s">
        <v>1329</v>
      </c>
      <c r="C18" s="5" t="s">
        <v>1330</v>
      </c>
      <c r="D18" s="5" t="str">
        <f t="shared" si="0"/>
        <v>FRANCISCO CALDERON</v>
      </c>
      <c r="E18" s="5" t="s">
        <v>51</v>
      </c>
      <c r="F18" s="5" t="s">
        <v>102</v>
      </c>
      <c r="G18" s="5" t="s">
        <v>169</v>
      </c>
      <c r="H18" s="5" t="s">
        <v>1274</v>
      </c>
      <c r="I18" s="17">
        <v>19200754</v>
      </c>
      <c r="J18" s="5" t="s">
        <v>151</v>
      </c>
      <c r="K18" s="5" t="s">
        <v>152</v>
      </c>
      <c r="L18" s="5" t="str">
        <f t="shared" si="1"/>
        <v>RICARDO SANTOS</v>
      </c>
      <c r="M18" s="5" t="s">
        <v>94</v>
      </c>
      <c r="N18" s="6">
        <v>45902</v>
      </c>
      <c r="O18" s="6">
        <v>46024</v>
      </c>
      <c r="P18" s="5">
        <f t="shared" si="2"/>
        <v>4</v>
      </c>
      <c r="Q18" s="5" t="s">
        <v>1368</v>
      </c>
      <c r="R18" s="7">
        <v>-129.19</v>
      </c>
      <c r="S18" s="8">
        <v>0.51</v>
      </c>
      <c r="T18" s="7">
        <v>0</v>
      </c>
      <c r="U18" s="7">
        <v>-65.89</v>
      </c>
      <c r="V18" s="7">
        <v>-65.89</v>
      </c>
      <c r="W18" s="7">
        <v>0</v>
      </c>
      <c r="X18" s="5" t="s">
        <v>1274</v>
      </c>
    </row>
    <row r="19" spans="1:52" x14ac:dyDescent="0.25">
      <c r="A19" s="5">
        <v>2030806869</v>
      </c>
      <c r="B19" s="5" t="s">
        <v>1329</v>
      </c>
      <c r="C19" s="5" t="s">
        <v>1330</v>
      </c>
      <c r="D19" s="5" t="str">
        <f t="shared" si="0"/>
        <v>FRANCISCO CALDERON</v>
      </c>
      <c r="E19" s="5" t="s">
        <v>51</v>
      </c>
      <c r="F19" s="5" t="s">
        <v>102</v>
      </c>
      <c r="G19" s="5" t="s">
        <v>169</v>
      </c>
      <c r="H19" s="5" t="s">
        <v>1274</v>
      </c>
      <c r="I19" s="17">
        <v>19200754</v>
      </c>
      <c r="J19" s="5" t="s">
        <v>151</v>
      </c>
      <c r="K19" s="5" t="s">
        <v>152</v>
      </c>
      <c r="L19" s="5" t="str">
        <f t="shared" si="1"/>
        <v>RICARDO SANTOS</v>
      </c>
      <c r="M19" s="5" t="s">
        <v>94</v>
      </c>
      <c r="N19" s="6">
        <v>45902</v>
      </c>
      <c r="O19" s="6">
        <v>46024</v>
      </c>
      <c r="P19" s="5">
        <f t="shared" si="2"/>
        <v>4</v>
      </c>
      <c r="Q19" s="5" t="s">
        <v>1368</v>
      </c>
      <c r="R19" s="7">
        <v>125.02</v>
      </c>
      <c r="S19" s="8">
        <v>0.51</v>
      </c>
      <c r="T19" s="7">
        <v>0</v>
      </c>
      <c r="U19" s="7">
        <v>63.76</v>
      </c>
      <c r="V19" s="7">
        <v>63.76</v>
      </c>
      <c r="W19" s="7">
        <v>0</v>
      </c>
      <c r="X19" s="5" t="s">
        <v>1274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5">
        <v>2030807231</v>
      </c>
      <c r="B20" s="5" t="s">
        <v>1331</v>
      </c>
      <c r="C20" s="5" t="s">
        <v>1332</v>
      </c>
      <c r="D20" s="5" t="str">
        <f t="shared" si="0"/>
        <v>MINDA MAINIT</v>
      </c>
      <c r="E20" s="5" t="s">
        <v>51</v>
      </c>
      <c r="F20" s="5" t="s">
        <v>102</v>
      </c>
      <c r="G20" s="5" t="s">
        <v>169</v>
      </c>
      <c r="H20" s="5" t="s">
        <v>1274</v>
      </c>
      <c r="I20" s="17">
        <v>19200754</v>
      </c>
      <c r="J20" s="5" t="s">
        <v>151</v>
      </c>
      <c r="K20" s="5" t="s">
        <v>152</v>
      </c>
      <c r="L20" s="5" t="str">
        <f t="shared" si="1"/>
        <v>RICARDO SANTOS</v>
      </c>
      <c r="M20" s="5" t="s">
        <v>94</v>
      </c>
      <c r="N20" s="6">
        <v>45902</v>
      </c>
      <c r="O20" s="6">
        <v>46024</v>
      </c>
      <c r="P20" s="5">
        <f t="shared" si="2"/>
        <v>4</v>
      </c>
      <c r="Q20" s="5" t="s">
        <v>1368</v>
      </c>
      <c r="R20" s="7">
        <v>-64.59</v>
      </c>
      <c r="S20" s="8">
        <v>0.51</v>
      </c>
      <c r="T20" s="7">
        <v>0</v>
      </c>
      <c r="U20" s="7">
        <v>-32.94</v>
      </c>
      <c r="V20" s="7">
        <v>-32.94</v>
      </c>
      <c r="W20" s="7">
        <v>0</v>
      </c>
      <c r="X20" s="5" t="s">
        <v>1274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5">
        <v>2030807231</v>
      </c>
      <c r="B21" s="5" t="s">
        <v>1331</v>
      </c>
      <c r="C21" s="5" t="s">
        <v>1332</v>
      </c>
      <c r="D21" s="5" t="str">
        <f t="shared" si="0"/>
        <v>MINDA MAINIT</v>
      </c>
      <c r="E21" s="5" t="s">
        <v>51</v>
      </c>
      <c r="F21" s="5" t="s">
        <v>102</v>
      </c>
      <c r="G21" s="5" t="s">
        <v>169</v>
      </c>
      <c r="H21" s="5" t="s">
        <v>1274</v>
      </c>
      <c r="I21" s="17">
        <v>19200754</v>
      </c>
      <c r="J21" s="5" t="s">
        <v>151</v>
      </c>
      <c r="K21" s="5" t="s">
        <v>152</v>
      </c>
      <c r="L21" s="5" t="str">
        <f t="shared" si="1"/>
        <v>RICARDO SANTOS</v>
      </c>
      <c r="M21" s="5" t="s">
        <v>94</v>
      </c>
      <c r="N21" s="6">
        <v>45902</v>
      </c>
      <c r="O21" s="6">
        <v>46024</v>
      </c>
      <c r="P21" s="5">
        <f t="shared" si="2"/>
        <v>4</v>
      </c>
      <c r="Q21" s="5" t="s">
        <v>1368</v>
      </c>
      <c r="R21" s="7">
        <v>62.51</v>
      </c>
      <c r="S21" s="8">
        <v>0.51</v>
      </c>
      <c r="T21" s="7">
        <v>0</v>
      </c>
      <c r="U21" s="7">
        <v>31.88</v>
      </c>
      <c r="V21" s="7">
        <v>31.88</v>
      </c>
      <c r="W21" s="7">
        <v>0</v>
      </c>
      <c r="X21" s="5" t="s">
        <v>1274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s="5" customFormat="1" x14ac:dyDescent="0.25">
      <c r="A22" s="5">
        <v>2032222994</v>
      </c>
      <c r="B22" s="5" t="s">
        <v>1225</v>
      </c>
      <c r="C22" s="5" t="s">
        <v>1226</v>
      </c>
      <c r="D22" s="5" t="str">
        <f t="shared" si="0"/>
        <v>COLLETTE POOLE</v>
      </c>
      <c r="E22" s="5" t="s">
        <v>51</v>
      </c>
      <c r="F22" s="5" t="s">
        <v>509</v>
      </c>
      <c r="G22" s="5" t="s">
        <v>126</v>
      </c>
      <c r="H22" s="5" t="s">
        <v>132</v>
      </c>
      <c r="I22" s="17">
        <v>19279958</v>
      </c>
      <c r="J22" s="5" t="s">
        <v>409</v>
      </c>
      <c r="K22" s="5" t="s">
        <v>410</v>
      </c>
      <c r="L22" s="5" t="str">
        <f t="shared" si="1"/>
        <v>JARED KINYUA</v>
      </c>
      <c r="M22" s="5" t="s">
        <v>94</v>
      </c>
      <c r="N22" s="6">
        <v>45979</v>
      </c>
      <c r="O22" s="6">
        <v>46009</v>
      </c>
      <c r="P22" s="5">
        <f t="shared" si="2"/>
        <v>1</v>
      </c>
      <c r="Q22" s="5" t="s">
        <v>1368</v>
      </c>
      <c r="R22" s="7">
        <v>-15.29</v>
      </c>
      <c r="S22" s="8">
        <v>0.7</v>
      </c>
      <c r="T22" s="7">
        <v>0</v>
      </c>
      <c r="U22" s="7">
        <v>-10.7</v>
      </c>
      <c r="V22" s="7">
        <v>-10.7</v>
      </c>
      <c r="W22" s="7">
        <v>0</v>
      </c>
      <c r="X22" s="5" t="s">
        <v>132</v>
      </c>
    </row>
    <row r="23" spans="1:52" s="5" customFormat="1" x14ac:dyDescent="0.25">
      <c r="A23" s="5">
        <v>2031636638</v>
      </c>
      <c r="B23" s="5" t="s">
        <v>613</v>
      </c>
      <c r="C23" s="5" t="s">
        <v>124</v>
      </c>
      <c r="D23" s="5" t="str">
        <f t="shared" si="0"/>
        <v>KIM TONEY</v>
      </c>
      <c r="E23" s="5" t="s">
        <v>51</v>
      </c>
      <c r="F23" s="5" t="s">
        <v>220</v>
      </c>
      <c r="G23" s="5" t="s">
        <v>126</v>
      </c>
      <c r="H23" s="5" t="s">
        <v>132</v>
      </c>
      <c r="I23" s="17">
        <v>19681796</v>
      </c>
      <c r="J23" s="5" t="s">
        <v>361</v>
      </c>
      <c r="K23" s="5" t="s">
        <v>362</v>
      </c>
      <c r="L23" s="5" t="str">
        <f t="shared" si="1"/>
        <v>CHRISTIAN TAUGNER</v>
      </c>
      <c r="M23" s="5" t="s">
        <v>94</v>
      </c>
      <c r="N23" s="6">
        <v>45946</v>
      </c>
      <c r="O23" s="6">
        <v>46007</v>
      </c>
      <c r="P23" s="5">
        <f t="shared" si="2"/>
        <v>2</v>
      </c>
      <c r="Q23" s="5" t="s">
        <v>1368</v>
      </c>
      <c r="R23" s="7">
        <v>-10.31</v>
      </c>
      <c r="S23" s="8">
        <v>0.7</v>
      </c>
      <c r="T23" s="7">
        <v>0</v>
      </c>
      <c r="U23" s="7">
        <v>-7.22</v>
      </c>
      <c r="V23" s="7">
        <v>-7.22</v>
      </c>
      <c r="W23" s="7">
        <v>0</v>
      </c>
      <c r="X23" s="5" t="s">
        <v>132</v>
      </c>
    </row>
    <row r="24" spans="1:52" s="5" customFormat="1" x14ac:dyDescent="0.25">
      <c r="A24" s="5">
        <v>2029274820</v>
      </c>
      <c r="B24" s="5" t="s">
        <v>149</v>
      </c>
      <c r="C24" s="5" t="s">
        <v>150</v>
      </c>
      <c r="D24" s="5" t="str">
        <f t="shared" si="0"/>
        <v>LYNN PUANGCO</v>
      </c>
      <c r="E24" s="5" t="s">
        <v>51</v>
      </c>
      <c r="F24" s="5" t="s">
        <v>102</v>
      </c>
      <c r="G24" s="5" t="s">
        <v>126</v>
      </c>
      <c r="H24" s="5" t="s">
        <v>132</v>
      </c>
      <c r="I24" s="17">
        <v>19200754</v>
      </c>
      <c r="J24" s="5" t="s">
        <v>151</v>
      </c>
      <c r="K24" s="5" t="s">
        <v>152</v>
      </c>
      <c r="L24" s="5" t="str">
        <f t="shared" si="1"/>
        <v>RICARDO SANTOS</v>
      </c>
      <c r="M24" s="5" t="s">
        <v>94</v>
      </c>
      <c r="N24" s="6">
        <v>45839</v>
      </c>
      <c r="O24" s="6">
        <v>46023</v>
      </c>
      <c r="P24" s="5">
        <f t="shared" si="2"/>
        <v>6</v>
      </c>
      <c r="Q24" s="5" t="s">
        <v>1370</v>
      </c>
      <c r="R24" s="7">
        <v>-377.02</v>
      </c>
      <c r="S24" s="8">
        <v>0.7</v>
      </c>
      <c r="T24" s="7">
        <v>0</v>
      </c>
      <c r="U24" s="7">
        <v>-263.91000000000003</v>
      </c>
      <c r="V24" s="7">
        <v>-263.91000000000003</v>
      </c>
      <c r="W24" s="7">
        <v>0</v>
      </c>
      <c r="X24" s="5" t="s">
        <v>132</v>
      </c>
    </row>
    <row r="25" spans="1:52" x14ac:dyDescent="0.25">
      <c r="A25" s="5">
        <v>2028076164</v>
      </c>
      <c r="B25" s="5" t="s">
        <v>90</v>
      </c>
      <c r="C25" s="5" t="s">
        <v>91</v>
      </c>
      <c r="D25" s="5" t="str">
        <f t="shared" si="0"/>
        <v>MONIKA BROMLEY</v>
      </c>
      <c r="E25" s="5" t="s">
        <v>51</v>
      </c>
      <c r="F25" s="5" t="s">
        <v>79</v>
      </c>
      <c r="G25" s="5" t="s">
        <v>126</v>
      </c>
      <c r="H25" s="5" t="s">
        <v>132</v>
      </c>
      <c r="I25" s="17">
        <v>19586992</v>
      </c>
      <c r="J25" s="5" t="s">
        <v>92</v>
      </c>
      <c r="K25" s="5" t="s">
        <v>93</v>
      </c>
      <c r="L25" s="5" t="str">
        <f t="shared" si="1"/>
        <v>Barry Schumann</v>
      </c>
      <c r="M25" s="5" t="s">
        <v>94</v>
      </c>
      <c r="N25" s="6">
        <v>45748</v>
      </c>
      <c r="O25" s="6">
        <v>46023</v>
      </c>
      <c r="P25" s="5">
        <f t="shared" si="2"/>
        <v>9</v>
      </c>
      <c r="Q25" s="5" t="s">
        <v>1370</v>
      </c>
      <c r="R25" s="7">
        <v>-101.99</v>
      </c>
      <c r="S25" s="8">
        <v>0.7</v>
      </c>
      <c r="T25" s="7">
        <v>0</v>
      </c>
      <c r="U25" s="7">
        <v>-71.39</v>
      </c>
      <c r="V25" s="7">
        <v>-71.39</v>
      </c>
      <c r="W25" s="7">
        <v>0</v>
      </c>
      <c r="X25" s="5" t="s">
        <v>132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>
        <v>2028043912</v>
      </c>
      <c r="B26" t="s">
        <v>147</v>
      </c>
      <c r="C26" t="s">
        <v>148</v>
      </c>
      <c r="D26" t="str">
        <f t="shared" si="0"/>
        <v>TRACEY MARTIN</v>
      </c>
      <c r="E26" t="s">
        <v>51</v>
      </c>
      <c r="F26" t="s">
        <v>102</v>
      </c>
      <c r="G26" t="s">
        <v>126</v>
      </c>
      <c r="H26" t="s">
        <v>132</v>
      </c>
      <c r="I26" s="16">
        <v>21348299</v>
      </c>
      <c r="J26" t="s">
        <v>98</v>
      </c>
      <c r="K26" t="s">
        <v>99</v>
      </c>
      <c r="L26" t="str">
        <f t="shared" si="1"/>
        <v>BARRY BRENNER</v>
      </c>
      <c r="M26" t="s">
        <v>94</v>
      </c>
      <c r="N26" s="1">
        <v>45748</v>
      </c>
      <c r="O26" s="1">
        <v>46023</v>
      </c>
      <c r="P26">
        <f t="shared" si="2"/>
        <v>9</v>
      </c>
      <c r="Q26" t="s">
        <v>1370</v>
      </c>
      <c r="R26" s="2">
        <v>-19</v>
      </c>
      <c r="S26" s="4">
        <v>0.7</v>
      </c>
      <c r="T26" s="2">
        <v>0</v>
      </c>
      <c r="U26" s="2">
        <v>-13.3</v>
      </c>
      <c r="V26" s="2">
        <v>-13.3</v>
      </c>
      <c r="W26" s="2">
        <v>0</v>
      </c>
      <c r="X26" t="s">
        <v>132</v>
      </c>
    </row>
    <row r="27" spans="1:52" x14ac:dyDescent="0.25">
      <c r="A27">
        <v>2029168908</v>
      </c>
      <c r="B27" t="s">
        <v>95</v>
      </c>
      <c r="C27" t="s">
        <v>96</v>
      </c>
      <c r="D27" t="str">
        <f t="shared" si="0"/>
        <v>MICHELLE WEBB</v>
      </c>
      <c r="E27" t="s">
        <v>51</v>
      </c>
      <c r="F27" t="s">
        <v>97</v>
      </c>
      <c r="G27" t="s">
        <v>126</v>
      </c>
      <c r="H27" t="s">
        <v>132</v>
      </c>
      <c r="I27" s="16">
        <v>21348299</v>
      </c>
      <c r="J27" t="s">
        <v>98</v>
      </c>
      <c r="K27" t="s">
        <v>99</v>
      </c>
      <c r="L27" t="str">
        <f t="shared" si="1"/>
        <v>BARRY BRENNER</v>
      </c>
      <c r="M27" t="s">
        <v>94</v>
      </c>
      <c r="N27" s="1">
        <v>45809</v>
      </c>
      <c r="O27" s="1">
        <v>46023</v>
      </c>
      <c r="P27">
        <f t="shared" si="2"/>
        <v>7</v>
      </c>
      <c r="Q27" t="s">
        <v>1370</v>
      </c>
      <c r="R27" s="2">
        <v>-82.05</v>
      </c>
      <c r="S27" s="4">
        <v>0.7</v>
      </c>
      <c r="T27" s="2">
        <v>0</v>
      </c>
      <c r="U27" s="2">
        <v>-57.44</v>
      </c>
      <c r="V27" s="2">
        <v>-57.44</v>
      </c>
      <c r="W27" s="2">
        <v>0</v>
      </c>
      <c r="X27" t="s">
        <v>132</v>
      </c>
    </row>
    <row r="28" spans="1:52" x14ac:dyDescent="0.25">
      <c r="A28">
        <v>2026083912</v>
      </c>
      <c r="B28" t="s">
        <v>1086</v>
      </c>
      <c r="C28" t="s">
        <v>1087</v>
      </c>
      <c r="D28" t="str">
        <f t="shared" si="0"/>
        <v>CHAMAIPORN SWAIN</v>
      </c>
      <c r="E28" t="s">
        <v>51</v>
      </c>
      <c r="F28" t="s">
        <v>97</v>
      </c>
      <c r="G28" t="s">
        <v>126</v>
      </c>
      <c r="H28" t="s">
        <v>132</v>
      </c>
      <c r="I28" s="16">
        <v>8307933</v>
      </c>
      <c r="J28" t="s">
        <v>246</v>
      </c>
      <c r="K28" t="s">
        <v>247</v>
      </c>
      <c r="L28" t="str">
        <f t="shared" si="1"/>
        <v>GREGORY TEIPEL</v>
      </c>
      <c r="M28" t="s">
        <v>94</v>
      </c>
      <c r="N28" s="1">
        <v>45664</v>
      </c>
      <c r="O28" s="1">
        <v>46029</v>
      </c>
      <c r="P28">
        <f t="shared" si="2"/>
        <v>12</v>
      </c>
      <c r="Q28" t="s">
        <v>1370</v>
      </c>
      <c r="R28" s="2">
        <v>210.64</v>
      </c>
      <c r="S28" s="4">
        <v>0.7</v>
      </c>
      <c r="T28" s="2">
        <v>0</v>
      </c>
      <c r="U28" s="2">
        <v>147.44999999999999</v>
      </c>
      <c r="V28" s="2">
        <v>147.44999999999999</v>
      </c>
      <c r="W28" s="2">
        <v>0</v>
      </c>
      <c r="X28" t="s">
        <v>132</v>
      </c>
    </row>
    <row r="29" spans="1:52" x14ac:dyDescent="0.25">
      <c r="A29">
        <v>2029137105</v>
      </c>
      <c r="B29" t="s">
        <v>854</v>
      </c>
      <c r="C29" t="s">
        <v>855</v>
      </c>
      <c r="D29" t="str">
        <f t="shared" si="0"/>
        <v>ALLISON SOLOMON</v>
      </c>
      <c r="E29" t="s">
        <v>51</v>
      </c>
      <c r="F29" t="s">
        <v>79</v>
      </c>
      <c r="G29" t="s">
        <v>126</v>
      </c>
      <c r="H29" t="s">
        <v>132</v>
      </c>
      <c r="I29" s="16">
        <v>8977234</v>
      </c>
      <c r="J29" t="s">
        <v>81</v>
      </c>
      <c r="K29" t="s">
        <v>82</v>
      </c>
      <c r="L29" t="str">
        <f t="shared" si="1"/>
        <v>RYAN CALTAGIRONE</v>
      </c>
      <c r="M29" t="s">
        <v>94</v>
      </c>
      <c r="N29" s="1">
        <v>45809</v>
      </c>
      <c r="O29" s="1">
        <v>46023</v>
      </c>
      <c r="P29">
        <f t="shared" si="2"/>
        <v>7</v>
      </c>
      <c r="Q29" t="s">
        <v>1370</v>
      </c>
      <c r="R29" s="2">
        <v>-56.08</v>
      </c>
      <c r="S29" s="4">
        <v>0.7</v>
      </c>
      <c r="T29" s="2">
        <v>0</v>
      </c>
      <c r="U29" s="2">
        <v>-39.26</v>
      </c>
      <c r="V29" s="2">
        <v>-39.26</v>
      </c>
      <c r="W29" s="2">
        <v>0</v>
      </c>
      <c r="X29" t="s">
        <v>132</v>
      </c>
    </row>
    <row r="30" spans="1:52" x14ac:dyDescent="0.25">
      <c r="A30">
        <v>2031244629</v>
      </c>
      <c r="B30" t="s">
        <v>910</v>
      </c>
      <c r="C30" t="s">
        <v>911</v>
      </c>
      <c r="D30" t="str">
        <f t="shared" si="0"/>
        <v>TRAVUS DEVORE</v>
      </c>
      <c r="E30" t="s">
        <v>51</v>
      </c>
      <c r="F30" t="s">
        <v>515</v>
      </c>
      <c r="G30" t="s">
        <v>126</v>
      </c>
      <c r="H30" t="s">
        <v>132</v>
      </c>
      <c r="I30" s="16">
        <v>8977234</v>
      </c>
      <c r="J30" t="s">
        <v>81</v>
      </c>
      <c r="K30" t="s">
        <v>82</v>
      </c>
      <c r="L30" t="str">
        <f t="shared" si="1"/>
        <v>RYAN CALTAGIRONE</v>
      </c>
      <c r="M30" t="s">
        <v>94</v>
      </c>
      <c r="N30" s="1">
        <v>45931</v>
      </c>
      <c r="O30" s="1">
        <v>46023</v>
      </c>
      <c r="P30">
        <f t="shared" si="2"/>
        <v>3</v>
      </c>
      <c r="Q30" t="s">
        <v>1370</v>
      </c>
      <c r="R30" s="2">
        <v>-38.83</v>
      </c>
      <c r="S30" s="4">
        <v>0.7</v>
      </c>
      <c r="T30" s="2">
        <v>0</v>
      </c>
      <c r="U30" s="2">
        <v>-27.18</v>
      </c>
      <c r="V30" s="2">
        <v>-27.18</v>
      </c>
      <c r="W30" s="2">
        <v>0</v>
      </c>
      <c r="X30" t="s">
        <v>132</v>
      </c>
    </row>
    <row r="31" spans="1:52" x14ac:dyDescent="0.25">
      <c r="A31">
        <v>2020706449</v>
      </c>
      <c r="B31" t="s">
        <v>129</v>
      </c>
      <c r="C31" t="s">
        <v>130</v>
      </c>
      <c r="D31" t="str">
        <f t="shared" si="0"/>
        <v>CAROLINE ROBLES</v>
      </c>
      <c r="E31" t="s">
        <v>51</v>
      </c>
      <c r="F31" t="s">
        <v>131</v>
      </c>
      <c r="G31" t="s">
        <v>126</v>
      </c>
      <c r="H31" t="s">
        <v>132</v>
      </c>
      <c r="I31" s="16">
        <v>8977234</v>
      </c>
      <c r="J31" t="s">
        <v>81</v>
      </c>
      <c r="K31" t="s">
        <v>82</v>
      </c>
      <c r="L31" t="str">
        <f t="shared" si="1"/>
        <v>RYAN CALTAGIRONE</v>
      </c>
      <c r="M31" t="s">
        <v>94</v>
      </c>
      <c r="N31" s="1">
        <v>45261</v>
      </c>
      <c r="O31" s="1">
        <v>46023</v>
      </c>
      <c r="P31">
        <f t="shared" si="2"/>
        <v>25</v>
      </c>
      <c r="Q31" t="s">
        <v>1370</v>
      </c>
      <c r="R31" s="2">
        <v>-25.47</v>
      </c>
      <c r="S31" s="4">
        <v>0.15</v>
      </c>
      <c r="T31" s="2">
        <v>0</v>
      </c>
      <c r="U31" s="2">
        <v>-3.82</v>
      </c>
      <c r="V31" s="2">
        <v>-3.82</v>
      </c>
      <c r="W31" s="2">
        <v>0</v>
      </c>
      <c r="X31" t="s">
        <v>132</v>
      </c>
    </row>
    <row r="32" spans="1:52" x14ac:dyDescent="0.25">
      <c r="A32" s="5">
        <v>2031636639</v>
      </c>
      <c r="B32" s="5" t="s">
        <v>613</v>
      </c>
      <c r="C32" s="5" t="s">
        <v>124</v>
      </c>
      <c r="D32" s="5" t="str">
        <f t="shared" si="0"/>
        <v>KIM TONEY</v>
      </c>
      <c r="E32" s="5" t="s">
        <v>51</v>
      </c>
      <c r="F32" s="5" t="s">
        <v>220</v>
      </c>
      <c r="G32" s="5" t="s">
        <v>86</v>
      </c>
      <c r="H32" s="5" t="s">
        <v>87</v>
      </c>
      <c r="I32" s="17">
        <v>19681796</v>
      </c>
      <c r="J32" s="5" t="s">
        <v>361</v>
      </c>
      <c r="K32" s="5" t="s">
        <v>362</v>
      </c>
      <c r="L32" s="5" t="str">
        <f t="shared" si="1"/>
        <v>CHRISTIAN TAUGNER</v>
      </c>
      <c r="M32" s="5" t="s">
        <v>94</v>
      </c>
      <c r="N32" s="6">
        <v>45946</v>
      </c>
      <c r="O32" s="6">
        <v>46007</v>
      </c>
      <c r="P32" s="5">
        <f t="shared" si="2"/>
        <v>2</v>
      </c>
      <c r="Q32" s="5" t="s">
        <v>1368</v>
      </c>
      <c r="R32" s="7">
        <v>-25.66</v>
      </c>
      <c r="S32" s="9">
        <v>0.375</v>
      </c>
      <c r="T32" s="7">
        <v>0</v>
      </c>
      <c r="U32" s="7">
        <v>-9.6199999999999992</v>
      </c>
      <c r="V32" s="7">
        <v>-9.6199999999999992</v>
      </c>
      <c r="W32" s="7">
        <v>0</v>
      </c>
      <c r="X32" s="5" t="s">
        <v>87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>
        <v>2028076165</v>
      </c>
      <c r="B33" s="5" t="s">
        <v>90</v>
      </c>
      <c r="C33" s="5" t="s">
        <v>91</v>
      </c>
      <c r="D33" s="5" t="str">
        <f t="shared" si="0"/>
        <v>MONIKA BROMLEY</v>
      </c>
      <c r="E33" s="5" t="s">
        <v>51</v>
      </c>
      <c r="F33" s="5" t="s">
        <v>79</v>
      </c>
      <c r="G33" s="5" t="s">
        <v>86</v>
      </c>
      <c r="H33" s="5" t="s">
        <v>87</v>
      </c>
      <c r="I33" s="17">
        <v>19586992</v>
      </c>
      <c r="J33" s="5" t="s">
        <v>92</v>
      </c>
      <c r="K33" s="5" t="s">
        <v>93</v>
      </c>
      <c r="L33" s="5" t="str">
        <f t="shared" si="1"/>
        <v>Barry Schumann</v>
      </c>
      <c r="M33" s="5" t="s">
        <v>94</v>
      </c>
      <c r="N33" s="6">
        <v>45748</v>
      </c>
      <c r="O33" s="6">
        <v>46023</v>
      </c>
      <c r="P33" s="5">
        <f t="shared" si="2"/>
        <v>9</v>
      </c>
      <c r="Q33" s="5" t="s">
        <v>1370</v>
      </c>
      <c r="R33" s="7">
        <v>-55.04</v>
      </c>
      <c r="S33" s="9">
        <v>0.375</v>
      </c>
      <c r="T33" s="7">
        <v>0</v>
      </c>
      <c r="U33" s="7">
        <v>-20.64</v>
      </c>
      <c r="V33" s="7">
        <v>-20.64</v>
      </c>
      <c r="W33" s="7">
        <v>0</v>
      </c>
      <c r="X33" s="5" t="s">
        <v>87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>
        <v>2029168909</v>
      </c>
      <c r="B34" t="s">
        <v>95</v>
      </c>
      <c r="C34" t="s">
        <v>96</v>
      </c>
      <c r="D34" t="str">
        <f t="shared" si="0"/>
        <v>MICHELLE WEBB</v>
      </c>
      <c r="E34" t="s">
        <v>51</v>
      </c>
      <c r="F34" t="s">
        <v>97</v>
      </c>
      <c r="G34" t="s">
        <v>86</v>
      </c>
      <c r="H34" t="s">
        <v>87</v>
      </c>
      <c r="I34" s="16">
        <v>21348299</v>
      </c>
      <c r="J34" t="s">
        <v>98</v>
      </c>
      <c r="K34" t="s">
        <v>99</v>
      </c>
      <c r="L34" t="str">
        <f t="shared" si="1"/>
        <v>BARRY BRENNER</v>
      </c>
      <c r="M34" t="s">
        <v>94</v>
      </c>
      <c r="N34" s="1">
        <v>45809</v>
      </c>
      <c r="O34" s="1">
        <v>46023</v>
      </c>
      <c r="P34">
        <f t="shared" si="2"/>
        <v>7</v>
      </c>
      <c r="Q34" t="s">
        <v>1370</v>
      </c>
      <c r="R34" s="2">
        <v>-55.75</v>
      </c>
      <c r="S34" s="3">
        <v>0.375</v>
      </c>
      <c r="T34" s="2">
        <v>0</v>
      </c>
      <c r="U34" s="2">
        <v>-20.91</v>
      </c>
      <c r="V34" s="2">
        <v>-20.91</v>
      </c>
      <c r="W34" s="2">
        <v>0</v>
      </c>
      <c r="X34" t="s">
        <v>87</v>
      </c>
    </row>
    <row r="35" spans="1:52" x14ac:dyDescent="0.25">
      <c r="A35">
        <v>2028043911</v>
      </c>
      <c r="B35" t="s">
        <v>147</v>
      </c>
      <c r="C35" t="s">
        <v>148</v>
      </c>
      <c r="D35" t="str">
        <f t="shared" si="0"/>
        <v>TRACEY MARTIN</v>
      </c>
      <c r="E35" t="s">
        <v>51</v>
      </c>
      <c r="F35" t="s">
        <v>102</v>
      </c>
      <c r="G35" t="s">
        <v>86</v>
      </c>
      <c r="H35" t="s">
        <v>87</v>
      </c>
      <c r="I35" s="16">
        <v>21348299</v>
      </c>
      <c r="J35" t="s">
        <v>98</v>
      </c>
      <c r="K35" t="s">
        <v>99</v>
      </c>
      <c r="L35" t="str">
        <f t="shared" si="1"/>
        <v>BARRY BRENNER</v>
      </c>
      <c r="M35" t="s">
        <v>94</v>
      </c>
      <c r="N35" s="1">
        <v>45748</v>
      </c>
      <c r="O35" s="1">
        <v>46023</v>
      </c>
      <c r="P35">
        <f t="shared" si="2"/>
        <v>9</v>
      </c>
      <c r="Q35" t="s">
        <v>1370</v>
      </c>
      <c r="R35" s="2">
        <v>-90.76</v>
      </c>
      <c r="S35" s="3">
        <v>0.375</v>
      </c>
      <c r="T35" s="2">
        <v>0</v>
      </c>
      <c r="U35" s="2">
        <v>-34.04</v>
      </c>
      <c r="V35" s="2">
        <v>-34.04</v>
      </c>
      <c r="W35" s="2">
        <v>0</v>
      </c>
      <c r="X35" t="s">
        <v>87</v>
      </c>
    </row>
    <row r="36" spans="1:52" x14ac:dyDescent="0.25">
      <c r="A36">
        <v>2032404817</v>
      </c>
      <c r="B36" t="s">
        <v>632</v>
      </c>
      <c r="C36" t="s">
        <v>633</v>
      </c>
      <c r="D36" t="str">
        <f t="shared" si="0"/>
        <v>SHAUNDA OGLETREE</v>
      </c>
      <c r="E36" t="s">
        <v>51</v>
      </c>
      <c r="F36" t="s">
        <v>102</v>
      </c>
      <c r="G36" t="s">
        <v>86</v>
      </c>
      <c r="H36" t="s">
        <v>87</v>
      </c>
      <c r="I36" s="16">
        <v>21348299</v>
      </c>
      <c r="J36" t="s">
        <v>98</v>
      </c>
      <c r="K36" t="s">
        <v>99</v>
      </c>
      <c r="L36" t="str">
        <f t="shared" si="1"/>
        <v>BARRY BRENNER</v>
      </c>
      <c r="M36" t="s">
        <v>94</v>
      </c>
      <c r="N36" s="1">
        <v>45990</v>
      </c>
      <c r="O36" s="1">
        <v>46020</v>
      </c>
      <c r="P36">
        <f t="shared" si="2"/>
        <v>1</v>
      </c>
      <c r="Q36" t="s">
        <v>1370</v>
      </c>
      <c r="R36" s="2">
        <v>-63.37</v>
      </c>
      <c r="S36" s="3">
        <v>0.375</v>
      </c>
      <c r="T36" s="2">
        <v>0</v>
      </c>
      <c r="U36" s="2">
        <v>-23.76</v>
      </c>
      <c r="V36" s="2">
        <v>-23.76</v>
      </c>
      <c r="W36" s="2">
        <v>0</v>
      </c>
      <c r="X36" t="s">
        <v>87</v>
      </c>
    </row>
    <row r="37" spans="1:52" x14ac:dyDescent="0.25">
      <c r="A37">
        <v>2025934341</v>
      </c>
      <c r="B37" t="s">
        <v>996</v>
      </c>
      <c r="C37" t="s">
        <v>789</v>
      </c>
      <c r="D37" t="str">
        <f t="shared" si="0"/>
        <v>SARAH KENNEDY</v>
      </c>
      <c r="E37" t="s">
        <v>51</v>
      </c>
      <c r="F37" t="s">
        <v>79</v>
      </c>
      <c r="G37" t="s">
        <v>86</v>
      </c>
      <c r="H37" t="s">
        <v>87</v>
      </c>
      <c r="I37" s="16">
        <v>20436896</v>
      </c>
      <c r="J37" t="s">
        <v>81</v>
      </c>
      <c r="K37" t="s">
        <v>128</v>
      </c>
      <c r="L37" t="str">
        <f t="shared" si="1"/>
        <v>KATELENN CALTAGIRONE</v>
      </c>
      <c r="M37" t="s">
        <v>94</v>
      </c>
      <c r="N37" s="1">
        <v>45658</v>
      </c>
      <c r="O37" s="1">
        <v>46023</v>
      </c>
      <c r="P37">
        <f t="shared" si="2"/>
        <v>12</v>
      </c>
      <c r="Q37" t="s">
        <v>1370</v>
      </c>
      <c r="R37" s="2">
        <v>-49.62</v>
      </c>
      <c r="S37" s="3">
        <v>0.375</v>
      </c>
      <c r="T37" s="2">
        <v>0</v>
      </c>
      <c r="U37" s="2">
        <v>-18.61</v>
      </c>
      <c r="V37" s="2">
        <v>-18.61</v>
      </c>
      <c r="W37" s="2">
        <v>0</v>
      </c>
      <c r="X37" t="s">
        <v>87</v>
      </c>
    </row>
    <row r="38" spans="1:52" x14ac:dyDescent="0.25">
      <c r="A38" s="5">
        <v>2025254889</v>
      </c>
      <c r="B38" s="5" t="s">
        <v>779</v>
      </c>
      <c r="C38" s="5" t="s">
        <v>780</v>
      </c>
      <c r="D38" s="5" t="str">
        <f t="shared" si="0"/>
        <v>KRISTIN DICKINSON</v>
      </c>
      <c r="E38" s="5" t="s">
        <v>51</v>
      </c>
      <c r="F38" s="5" t="s">
        <v>386</v>
      </c>
      <c r="G38" s="5" t="s">
        <v>86</v>
      </c>
      <c r="H38" s="5" t="s">
        <v>87</v>
      </c>
      <c r="I38" s="17">
        <v>371819</v>
      </c>
      <c r="J38" s="5" t="s">
        <v>138</v>
      </c>
      <c r="K38" s="5" t="s">
        <v>107</v>
      </c>
      <c r="L38" s="5" t="str">
        <f t="shared" si="1"/>
        <v>THOMAS PARDUE</v>
      </c>
      <c r="M38" s="5" t="s">
        <v>94</v>
      </c>
      <c r="N38" s="6">
        <v>45576</v>
      </c>
      <c r="O38" s="6">
        <v>46002</v>
      </c>
      <c r="P38" s="5">
        <f t="shared" si="2"/>
        <v>14</v>
      </c>
      <c r="Q38" s="5" t="s">
        <v>1370</v>
      </c>
      <c r="R38" s="7">
        <v>-4.71</v>
      </c>
      <c r="S38" s="8">
        <v>0.06</v>
      </c>
      <c r="T38" s="7">
        <v>0</v>
      </c>
      <c r="U38" s="7">
        <v>-0.28000000000000003</v>
      </c>
      <c r="V38" s="7">
        <v>-0.28000000000000003</v>
      </c>
      <c r="W38" s="7">
        <v>0</v>
      </c>
      <c r="X38" s="5" t="s">
        <v>87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>
        <v>2026038650</v>
      </c>
      <c r="B39" t="s">
        <v>997</v>
      </c>
      <c r="C39" t="s">
        <v>182</v>
      </c>
      <c r="D39" t="str">
        <f t="shared" si="0"/>
        <v>MICHAEL TREADWELL</v>
      </c>
      <c r="E39" t="s">
        <v>51</v>
      </c>
      <c r="F39" t="s">
        <v>97</v>
      </c>
      <c r="G39" t="s">
        <v>86</v>
      </c>
      <c r="H39" t="s">
        <v>87</v>
      </c>
      <c r="I39" s="16">
        <v>8307933</v>
      </c>
      <c r="J39" t="s">
        <v>246</v>
      </c>
      <c r="K39" t="s">
        <v>247</v>
      </c>
      <c r="L39" t="str">
        <f t="shared" si="1"/>
        <v>GREGORY TEIPEL</v>
      </c>
      <c r="M39" t="s">
        <v>94</v>
      </c>
      <c r="N39" s="1">
        <v>45633</v>
      </c>
      <c r="O39" s="1">
        <v>46029</v>
      </c>
      <c r="P39">
        <f t="shared" si="2"/>
        <v>13</v>
      </c>
      <c r="Q39" t="s">
        <v>1370</v>
      </c>
      <c r="R39" s="2">
        <v>-69.849999999999994</v>
      </c>
      <c r="S39" s="4">
        <v>0.06</v>
      </c>
      <c r="T39" s="2">
        <v>0</v>
      </c>
      <c r="U39" s="2">
        <v>-4.1900000000000004</v>
      </c>
      <c r="V39" s="2">
        <v>-4.1900000000000004</v>
      </c>
      <c r="W39" s="2">
        <v>0</v>
      </c>
      <c r="X39" t="s">
        <v>87</v>
      </c>
    </row>
    <row r="40" spans="1:52" x14ac:dyDescent="0.25">
      <c r="A40">
        <v>2026038650</v>
      </c>
      <c r="B40" t="s">
        <v>997</v>
      </c>
      <c r="C40" t="s">
        <v>182</v>
      </c>
      <c r="D40" t="str">
        <f t="shared" si="0"/>
        <v>MICHAEL TREADWELL</v>
      </c>
      <c r="E40" t="s">
        <v>51</v>
      </c>
      <c r="F40" t="s">
        <v>97</v>
      </c>
      <c r="G40" t="s">
        <v>86</v>
      </c>
      <c r="H40" t="s">
        <v>87</v>
      </c>
      <c r="I40" s="16">
        <v>8307933</v>
      </c>
      <c r="J40" t="s">
        <v>246</v>
      </c>
      <c r="K40" t="s">
        <v>247</v>
      </c>
      <c r="L40" t="str">
        <f t="shared" si="1"/>
        <v>GREGORY TEIPEL</v>
      </c>
      <c r="M40" t="s">
        <v>94</v>
      </c>
      <c r="N40" s="1">
        <v>45633</v>
      </c>
      <c r="O40" s="1">
        <v>46029</v>
      </c>
      <c r="P40">
        <f t="shared" si="2"/>
        <v>13</v>
      </c>
      <c r="Q40" t="s">
        <v>1370</v>
      </c>
      <c r="R40" s="2">
        <v>65.48</v>
      </c>
      <c r="S40" s="4">
        <v>0.06</v>
      </c>
      <c r="T40" s="2">
        <v>0</v>
      </c>
      <c r="U40" s="2">
        <v>3.93</v>
      </c>
      <c r="V40" s="2">
        <v>3.93</v>
      </c>
      <c r="W40" s="2">
        <v>0</v>
      </c>
      <c r="X40" t="s">
        <v>87</v>
      </c>
    </row>
    <row r="41" spans="1:52" x14ac:dyDescent="0.25">
      <c r="A41" s="5">
        <v>2032208867</v>
      </c>
      <c r="B41" s="5" t="s">
        <v>649</v>
      </c>
      <c r="C41" s="5" t="s">
        <v>1224</v>
      </c>
      <c r="D41" s="5" t="str">
        <f t="shared" si="0"/>
        <v>JUNETTA WRIGHT</v>
      </c>
      <c r="E41" s="5" t="s">
        <v>51</v>
      </c>
      <c r="F41" s="5" t="s">
        <v>357</v>
      </c>
      <c r="G41" s="5" t="s">
        <v>126</v>
      </c>
      <c r="H41" s="5" t="s">
        <v>375</v>
      </c>
      <c r="I41" s="17">
        <v>371819</v>
      </c>
      <c r="J41" s="5" t="s">
        <v>138</v>
      </c>
      <c r="K41" s="5" t="s">
        <v>107</v>
      </c>
      <c r="L41" s="5" t="str">
        <f t="shared" si="1"/>
        <v>THOMAS PARDUE</v>
      </c>
      <c r="M41" s="5" t="s">
        <v>94</v>
      </c>
      <c r="N41" s="6">
        <v>45988</v>
      </c>
      <c r="O41" s="6">
        <v>46018</v>
      </c>
      <c r="P41" s="5">
        <f t="shared" si="2"/>
        <v>1</v>
      </c>
      <c r="Q41" s="5" t="s">
        <v>1368</v>
      </c>
      <c r="R41" s="7">
        <v>-26.33</v>
      </c>
      <c r="S41" s="8">
        <v>0.9</v>
      </c>
      <c r="T41" s="7">
        <v>0</v>
      </c>
      <c r="U41" s="7">
        <v>-23.7</v>
      </c>
      <c r="V41" s="7">
        <v>-23.7</v>
      </c>
      <c r="W41" s="7">
        <v>0</v>
      </c>
      <c r="X41" s="5" t="s">
        <v>375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5">
        <v>2032245740</v>
      </c>
      <c r="B42" s="5" t="s">
        <v>1227</v>
      </c>
      <c r="C42" s="5" t="s">
        <v>233</v>
      </c>
      <c r="D42" s="5" t="str">
        <f t="shared" si="0"/>
        <v>GARY CONCHO</v>
      </c>
      <c r="E42" s="5" t="s">
        <v>51</v>
      </c>
      <c r="F42" s="5" t="s">
        <v>1228</v>
      </c>
      <c r="G42" s="5" t="s">
        <v>126</v>
      </c>
      <c r="H42" s="5" t="s">
        <v>375</v>
      </c>
      <c r="I42" s="17">
        <v>371819</v>
      </c>
      <c r="J42" s="5" t="s">
        <v>138</v>
      </c>
      <c r="K42" s="5" t="s">
        <v>107</v>
      </c>
      <c r="L42" s="5" t="str">
        <f t="shared" si="1"/>
        <v>THOMAS PARDUE</v>
      </c>
      <c r="M42" s="5" t="s">
        <v>94</v>
      </c>
      <c r="N42" s="6">
        <v>45982</v>
      </c>
      <c r="O42" s="6">
        <v>46012</v>
      </c>
      <c r="P42" s="5">
        <f t="shared" si="2"/>
        <v>1</v>
      </c>
      <c r="Q42" s="5" t="s">
        <v>1368</v>
      </c>
      <c r="R42" s="7">
        <v>-39.96</v>
      </c>
      <c r="S42" s="8">
        <v>0.9</v>
      </c>
      <c r="T42" s="7">
        <v>0</v>
      </c>
      <c r="U42" s="7">
        <v>-35.96</v>
      </c>
      <c r="V42" s="7">
        <v>-35.96</v>
      </c>
      <c r="W42" s="7">
        <v>0</v>
      </c>
      <c r="X42" s="5" t="s">
        <v>375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>
        <v>2032204740</v>
      </c>
      <c r="B43" t="s">
        <v>693</v>
      </c>
      <c r="C43" t="s">
        <v>694</v>
      </c>
      <c r="D43" t="str">
        <f t="shared" si="0"/>
        <v>JEROME PALUMBO</v>
      </c>
      <c r="E43" t="s">
        <v>51</v>
      </c>
      <c r="F43" t="s">
        <v>52</v>
      </c>
      <c r="G43" t="s">
        <v>53</v>
      </c>
      <c r="H43" t="s">
        <v>54</v>
      </c>
      <c r="I43" s="16">
        <v>17425766</v>
      </c>
      <c r="J43" t="s">
        <v>88</v>
      </c>
      <c r="K43" t="s">
        <v>89</v>
      </c>
      <c r="L43" t="str">
        <f t="shared" si="1"/>
        <v>CAROL FOLEY</v>
      </c>
      <c r="M43" t="s">
        <v>94</v>
      </c>
      <c r="N43" s="1">
        <v>45992</v>
      </c>
      <c r="O43" s="1">
        <v>46023</v>
      </c>
      <c r="P43">
        <f t="shared" si="2"/>
        <v>1</v>
      </c>
      <c r="Q43" t="s">
        <v>1370</v>
      </c>
      <c r="R43" s="2">
        <v>-40.159999999999997</v>
      </c>
      <c r="S43" s="4">
        <v>0.6</v>
      </c>
      <c r="T43" s="2">
        <v>0</v>
      </c>
      <c r="U43" s="2">
        <v>-24.1</v>
      </c>
      <c r="V43" s="2">
        <v>-24.1</v>
      </c>
      <c r="W43" s="2">
        <v>0</v>
      </c>
      <c r="X43" t="s">
        <v>54</v>
      </c>
    </row>
    <row r="44" spans="1:52" x14ac:dyDescent="0.25">
      <c r="A44">
        <v>2020706450</v>
      </c>
      <c r="B44" t="s">
        <v>129</v>
      </c>
      <c r="C44" t="s">
        <v>130</v>
      </c>
      <c r="D44" t="str">
        <f t="shared" si="0"/>
        <v>CAROLINE ROBLES</v>
      </c>
      <c r="E44" t="s">
        <v>51</v>
      </c>
      <c r="F44" t="s">
        <v>131</v>
      </c>
      <c r="G44" t="s">
        <v>53</v>
      </c>
      <c r="H44" t="s">
        <v>54</v>
      </c>
      <c r="I44" s="16">
        <v>8977234</v>
      </c>
      <c r="J44" t="s">
        <v>81</v>
      </c>
      <c r="K44" t="s">
        <v>82</v>
      </c>
      <c r="L44" t="str">
        <f t="shared" si="1"/>
        <v>RYAN CALTAGIRONE</v>
      </c>
      <c r="M44" t="s">
        <v>94</v>
      </c>
      <c r="N44" s="1">
        <v>45261</v>
      </c>
      <c r="O44" s="1">
        <v>46023</v>
      </c>
      <c r="P44">
        <f t="shared" si="2"/>
        <v>25</v>
      </c>
      <c r="Q44" t="s">
        <v>1370</v>
      </c>
      <c r="R44" s="2">
        <v>-52.69</v>
      </c>
      <c r="S44" s="3">
        <v>6.5000000000000002E-2</v>
      </c>
      <c r="T44" s="2">
        <v>0</v>
      </c>
      <c r="U44" s="2">
        <v>-3.42</v>
      </c>
      <c r="V44" s="2">
        <v>-3.42</v>
      </c>
      <c r="W44" s="2">
        <v>0</v>
      </c>
      <c r="X44" t="s">
        <v>54</v>
      </c>
    </row>
    <row r="45" spans="1:52" x14ac:dyDescent="0.25">
      <c r="N45" s="1"/>
      <c r="O45" s="1"/>
      <c r="R45" s="2"/>
      <c r="S45" s="4"/>
      <c r="T45" s="2"/>
      <c r="U45" s="2"/>
      <c r="V45" s="2"/>
      <c r="W45" s="2"/>
    </row>
    <row r="46" spans="1:52" s="13" customFormat="1" x14ac:dyDescent="0.25">
      <c r="A46" s="13">
        <v>2029276298</v>
      </c>
      <c r="B46" s="13" t="s">
        <v>1341</v>
      </c>
      <c r="C46" s="13" t="s">
        <v>1338</v>
      </c>
      <c r="D46" s="13" t="str">
        <f t="shared" ref="D46:D89" si="3">CONCATENATE(C46," ",B46)</f>
        <v>APRIL FERNANDEZ</v>
      </c>
      <c r="E46" s="13" t="s">
        <v>51</v>
      </c>
      <c r="G46" s="13" t="s">
        <v>86</v>
      </c>
      <c r="H46" s="13" t="s">
        <v>87</v>
      </c>
      <c r="I46" s="18">
        <v>824062</v>
      </c>
      <c r="J46" s="13" t="s">
        <v>261</v>
      </c>
      <c r="K46" s="13" t="s">
        <v>262</v>
      </c>
      <c r="L46" s="13" t="str">
        <f t="shared" ref="L46:L89" si="4">CONCATENATE(K46," ",J46)</f>
        <v>Andrew Choi</v>
      </c>
      <c r="M46" s="13" t="s">
        <v>94</v>
      </c>
      <c r="N46" s="14">
        <v>45812</v>
      </c>
      <c r="R46" s="15">
        <v>0</v>
      </c>
      <c r="T46" s="15">
        <v>92.63</v>
      </c>
      <c r="U46" s="15">
        <v>92.63</v>
      </c>
      <c r="V46" s="15">
        <v>0</v>
      </c>
      <c r="W46" s="15">
        <v>0</v>
      </c>
      <c r="X46" s="13">
        <v>6</v>
      </c>
    </row>
    <row r="47" spans="1:52" s="13" customFormat="1" x14ac:dyDescent="0.25">
      <c r="A47" s="13">
        <v>2029276299</v>
      </c>
      <c r="B47" s="13" t="s">
        <v>1341</v>
      </c>
      <c r="C47" s="13" t="s">
        <v>1338</v>
      </c>
      <c r="D47" s="13" t="str">
        <f t="shared" si="3"/>
        <v>APRIL FERNANDEZ</v>
      </c>
      <c r="E47" s="13" t="s">
        <v>51</v>
      </c>
      <c r="G47" s="13" t="s">
        <v>126</v>
      </c>
      <c r="H47" s="13" t="s">
        <v>375</v>
      </c>
      <c r="I47" s="18">
        <v>824062</v>
      </c>
      <c r="J47" s="13" t="s">
        <v>261</v>
      </c>
      <c r="K47" s="13" t="s">
        <v>262</v>
      </c>
      <c r="L47" s="13" t="str">
        <f t="shared" si="4"/>
        <v>Andrew Choi</v>
      </c>
      <c r="M47" s="13" t="s">
        <v>94</v>
      </c>
      <c r="N47" s="14">
        <v>45812</v>
      </c>
      <c r="R47" s="15">
        <v>0</v>
      </c>
      <c r="T47" s="15">
        <v>238.3</v>
      </c>
      <c r="U47" s="15">
        <v>238.3</v>
      </c>
      <c r="V47" s="15">
        <v>0</v>
      </c>
      <c r="W47" s="15">
        <v>0</v>
      </c>
      <c r="X47" s="13">
        <v>6</v>
      </c>
    </row>
    <row r="48" spans="1:52" s="13" customFormat="1" x14ac:dyDescent="0.25">
      <c r="A48" s="13">
        <v>2029276300</v>
      </c>
      <c r="B48" s="13" t="s">
        <v>1341</v>
      </c>
      <c r="C48" s="13" t="s">
        <v>1338</v>
      </c>
      <c r="D48" s="13" t="str">
        <f t="shared" si="3"/>
        <v>APRIL FERNANDEZ</v>
      </c>
      <c r="E48" s="13" t="s">
        <v>51</v>
      </c>
      <c r="G48" s="13" t="s">
        <v>126</v>
      </c>
      <c r="H48" s="13" t="s">
        <v>132</v>
      </c>
      <c r="I48" s="18">
        <v>824062</v>
      </c>
      <c r="J48" s="13" t="s">
        <v>261</v>
      </c>
      <c r="K48" s="13" t="s">
        <v>262</v>
      </c>
      <c r="L48" s="13" t="str">
        <f t="shared" si="4"/>
        <v>Andrew Choi</v>
      </c>
      <c r="M48" s="13" t="s">
        <v>94</v>
      </c>
      <c r="N48" s="14">
        <v>45812</v>
      </c>
      <c r="R48" s="15">
        <v>0</v>
      </c>
      <c r="T48" s="15">
        <v>240.87</v>
      </c>
      <c r="U48" s="15">
        <v>240.87</v>
      </c>
      <c r="V48" s="15">
        <v>0</v>
      </c>
      <c r="W48" s="15">
        <v>0</v>
      </c>
      <c r="X48" s="13">
        <v>6</v>
      </c>
    </row>
    <row r="49" spans="1:24" s="10" customFormat="1" x14ac:dyDescent="0.25">
      <c r="A49" s="10">
        <v>2031801581</v>
      </c>
      <c r="B49" s="10" t="s">
        <v>1364</v>
      </c>
      <c r="C49" s="10" t="s">
        <v>1365</v>
      </c>
      <c r="D49" s="10" t="str">
        <f t="shared" si="3"/>
        <v>ROSENDO DIAZ</v>
      </c>
      <c r="E49" s="10" t="s">
        <v>51</v>
      </c>
      <c r="G49" s="10" t="s">
        <v>126</v>
      </c>
      <c r="H49" s="10" t="s">
        <v>132</v>
      </c>
      <c r="I49" s="19">
        <v>840313</v>
      </c>
      <c r="J49" s="10" t="s">
        <v>525</v>
      </c>
      <c r="K49" s="10" t="s">
        <v>526</v>
      </c>
      <c r="L49" s="10" t="str">
        <f t="shared" si="4"/>
        <v>Anthony Hunsberger</v>
      </c>
      <c r="M49" s="10" t="s">
        <v>94</v>
      </c>
      <c r="N49" s="11">
        <v>45992</v>
      </c>
      <c r="R49" s="12">
        <v>0</v>
      </c>
      <c r="T49" s="12">
        <v>403.2</v>
      </c>
      <c r="U49" s="12">
        <v>67.2</v>
      </c>
      <c r="V49" s="12">
        <v>-336</v>
      </c>
      <c r="W49" s="12">
        <v>-336</v>
      </c>
      <c r="X49" s="12">
        <v>1</v>
      </c>
    </row>
    <row r="50" spans="1:24" s="10" customFormat="1" x14ac:dyDescent="0.25">
      <c r="A50" s="10">
        <v>2029880668</v>
      </c>
      <c r="B50" s="10" t="s">
        <v>1348</v>
      </c>
      <c r="C50" s="10" t="s">
        <v>1349</v>
      </c>
      <c r="D50" s="10" t="str">
        <f t="shared" si="3"/>
        <v>OSCAR KLIS</v>
      </c>
      <c r="E50" s="10" t="s">
        <v>51</v>
      </c>
      <c r="G50" s="10" t="s">
        <v>126</v>
      </c>
      <c r="H50" s="10" t="s">
        <v>132</v>
      </c>
      <c r="I50" s="19">
        <v>840313</v>
      </c>
      <c r="J50" s="10" t="s">
        <v>525</v>
      </c>
      <c r="K50" s="10" t="s">
        <v>526</v>
      </c>
      <c r="L50" s="10" t="str">
        <f t="shared" si="4"/>
        <v>Anthony Hunsberger</v>
      </c>
      <c r="M50" s="10" t="s">
        <v>94</v>
      </c>
      <c r="N50" s="11">
        <v>45848</v>
      </c>
      <c r="R50" s="12">
        <v>0</v>
      </c>
      <c r="T50" s="12">
        <v>237.3</v>
      </c>
      <c r="U50" s="12">
        <v>158.19999999999999</v>
      </c>
      <c r="V50" s="12">
        <v>-79.099999999999994</v>
      </c>
      <c r="W50" s="12">
        <v>-79.099999999999994</v>
      </c>
      <c r="X50" s="10">
        <f>158.2/39.55</f>
        <v>4</v>
      </c>
    </row>
    <row r="51" spans="1:24" s="10" customFormat="1" x14ac:dyDescent="0.25">
      <c r="A51" s="10">
        <v>2029880669</v>
      </c>
      <c r="B51" s="10" t="s">
        <v>1348</v>
      </c>
      <c r="C51" s="10" t="s">
        <v>1349</v>
      </c>
      <c r="D51" s="10" t="str">
        <f t="shared" si="3"/>
        <v>OSCAR KLIS</v>
      </c>
      <c r="E51" s="10" t="s">
        <v>51</v>
      </c>
      <c r="G51" s="10" t="s">
        <v>86</v>
      </c>
      <c r="H51" s="10" t="s">
        <v>87</v>
      </c>
      <c r="I51" s="19">
        <v>840313</v>
      </c>
      <c r="J51" s="10" t="s">
        <v>525</v>
      </c>
      <c r="K51" s="10" t="s">
        <v>526</v>
      </c>
      <c r="L51" s="10" t="str">
        <f t="shared" si="4"/>
        <v>Anthony Hunsberger</v>
      </c>
      <c r="M51" s="10" t="s">
        <v>94</v>
      </c>
      <c r="N51" s="11">
        <v>45848</v>
      </c>
      <c r="R51" s="12">
        <v>0</v>
      </c>
      <c r="T51" s="12">
        <v>174.33</v>
      </c>
      <c r="U51" s="12">
        <v>116.23</v>
      </c>
      <c r="V51" s="12">
        <v>-58.1</v>
      </c>
      <c r="W51" s="12">
        <v>-58.1</v>
      </c>
      <c r="X51" s="10">
        <v>4</v>
      </c>
    </row>
    <row r="52" spans="1:24" s="13" customFormat="1" x14ac:dyDescent="0.25">
      <c r="A52" s="13">
        <v>2032404817</v>
      </c>
      <c r="B52" s="13" t="s">
        <v>632</v>
      </c>
      <c r="C52" s="13" t="s">
        <v>633</v>
      </c>
      <c r="D52" s="13" t="str">
        <f t="shared" si="3"/>
        <v>SHAUNDA OGLETREE</v>
      </c>
      <c r="E52" s="13" t="s">
        <v>51</v>
      </c>
      <c r="G52" s="13" t="s">
        <v>86</v>
      </c>
      <c r="H52" s="13" t="s">
        <v>87</v>
      </c>
      <c r="I52" s="18">
        <v>649163</v>
      </c>
      <c r="J52" s="13" t="s">
        <v>98</v>
      </c>
      <c r="K52" s="13" t="s">
        <v>99</v>
      </c>
      <c r="L52" s="13" t="str">
        <f t="shared" si="4"/>
        <v>BARRY BRENNER</v>
      </c>
      <c r="M52" s="13" t="s">
        <v>94</v>
      </c>
      <c r="N52" s="14">
        <v>45990</v>
      </c>
      <c r="R52" s="15">
        <v>0</v>
      </c>
      <c r="T52" s="15">
        <v>142.56</v>
      </c>
      <c r="U52" s="15">
        <v>23.76</v>
      </c>
      <c r="V52" s="15">
        <v>-118.8</v>
      </c>
      <c r="W52" s="15">
        <v>-118.8</v>
      </c>
      <c r="X52" s="15">
        <v>1</v>
      </c>
    </row>
    <row r="53" spans="1:24" s="13" customFormat="1" x14ac:dyDescent="0.25">
      <c r="A53" s="13">
        <v>2032204740</v>
      </c>
      <c r="B53" s="13" t="s">
        <v>693</v>
      </c>
      <c r="C53" s="13" t="s">
        <v>694</v>
      </c>
      <c r="D53" s="13" t="str">
        <f t="shared" si="3"/>
        <v>JEROME PALUMBO</v>
      </c>
      <c r="E53" s="13" t="s">
        <v>51</v>
      </c>
      <c r="G53" s="13" t="s">
        <v>53</v>
      </c>
      <c r="H53" s="13" t="s">
        <v>54</v>
      </c>
      <c r="I53" s="18">
        <v>649163</v>
      </c>
      <c r="J53" s="13" t="s">
        <v>88</v>
      </c>
      <c r="K53" s="13" t="s">
        <v>89</v>
      </c>
      <c r="L53" s="13" t="str">
        <f t="shared" si="4"/>
        <v>CAROL FOLEY</v>
      </c>
      <c r="M53" s="13" t="s">
        <v>94</v>
      </c>
      <c r="N53" s="14">
        <v>45992</v>
      </c>
      <c r="R53" s="15">
        <v>0</v>
      </c>
      <c r="T53" s="15">
        <v>144.6</v>
      </c>
      <c r="U53" s="15">
        <v>24.1</v>
      </c>
      <c r="V53" s="15">
        <v>-120.5</v>
      </c>
      <c r="W53" s="15">
        <v>-120.5</v>
      </c>
      <c r="X53" s="15">
        <v>1</v>
      </c>
    </row>
    <row r="54" spans="1:24" s="13" customFormat="1" x14ac:dyDescent="0.25">
      <c r="A54" s="13">
        <v>2032204739</v>
      </c>
      <c r="B54" s="13" t="s">
        <v>693</v>
      </c>
      <c r="C54" s="13" t="s">
        <v>694</v>
      </c>
      <c r="D54" s="13" t="str">
        <f t="shared" si="3"/>
        <v>JEROME PALUMBO</v>
      </c>
      <c r="E54" s="13" t="s">
        <v>51</v>
      </c>
      <c r="G54" s="13" t="s">
        <v>365</v>
      </c>
      <c r="H54" s="13" t="s">
        <v>366</v>
      </c>
      <c r="I54" s="18">
        <v>649163</v>
      </c>
      <c r="J54" s="13" t="s">
        <v>88</v>
      </c>
      <c r="K54" s="13" t="s">
        <v>89</v>
      </c>
      <c r="L54" s="13" t="str">
        <f t="shared" si="4"/>
        <v>CAROL FOLEY</v>
      </c>
      <c r="M54" s="13" t="s">
        <v>94</v>
      </c>
      <c r="N54" s="14">
        <v>45992</v>
      </c>
      <c r="R54" s="15">
        <v>0</v>
      </c>
      <c r="T54" s="15">
        <v>139.97999999999999</v>
      </c>
      <c r="U54" s="15">
        <v>23.33</v>
      </c>
      <c r="V54" s="15">
        <v>-116.65</v>
      </c>
      <c r="W54" s="15">
        <v>-116.65</v>
      </c>
      <c r="X54" s="15">
        <v>1</v>
      </c>
    </row>
    <row r="55" spans="1:24" s="10" customFormat="1" x14ac:dyDescent="0.25">
      <c r="A55" s="10">
        <v>2031636639</v>
      </c>
      <c r="B55" s="10" t="s">
        <v>613</v>
      </c>
      <c r="C55" s="10" t="s">
        <v>124</v>
      </c>
      <c r="D55" s="10" t="str">
        <f t="shared" si="3"/>
        <v>KIM TONEY</v>
      </c>
      <c r="E55" s="10" t="s">
        <v>51</v>
      </c>
      <c r="G55" s="10" t="s">
        <v>86</v>
      </c>
      <c r="H55" s="10" t="s">
        <v>87</v>
      </c>
      <c r="I55" s="19">
        <v>649163</v>
      </c>
      <c r="J55" s="10" t="s">
        <v>361</v>
      </c>
      <c r="K55" s="10" t="s">
        <v>362</v>
      </c>
      <c r="L55" s="10" t="str">
        <f t="shared" si="4"/>
        <v>CHRISTIAN TAUGNER</v>
      </c>
      <c r="M55" s="10" t="s">
        <v>94</v>
      </c>
      <c r="N55" s="11">
        <v>45946</v>
      </c>
      <c r="R55" s="12">
        <v>0</v>
      </c>
      <c r="T55" s="12">
        <v>144.36000000000001</v>
      </c>
      <c r="U55" s="12">
        <v>48.12</v>
      </c>
      <c r="V55" s="12">
        <v>-96.24</v>
      </c>
      <c r="W55" s="12">
        <v>-96.24</v>
      </c>
      <c r="X55" s="10">
        <f>48.12/24.06</f>
        <v>2</v>
      </c>
    </row>
    <row r="56" spans="1:24" s="10" customFormat="1" x14ac:dyDescent="0.25">
      <c r="A56" s="10">
        <v>2031636638</v>
      </c>
      <c r="B56" s="10" t="s">
        <v>613</v>
      </c>
      <c r="C56" s="10" t="s">
        <v>124</v>
      </c>
      <c r="D56" s="10" t="str">
        <f t="shared" si="3"/>
        <v>KIM TONEY</v>
      </c>
      <c r="E56" s="10" t="s">
        <v>51</v>
      </c>
      <c r="G56" s="10" t="s">
        <v>126</v>
      </c>
      <c r="H56" s="10" t="s">
        <v>132</v>
      </c>
      <c r="I56" s="19">
        <v>649163</v>
      </c>
      <c r="J56" s="10" t="s">
        <v>361</v>
      </c>
      <c r="K56" s="10" t="s">
        <v>362</v>
      </c>
      <c r="L56" s="10" t="str">
        <f t="shared" si="4"/>
        <v>CHRISTIAN TAUGNER</v>
      </c>
      <c r="M56" s="10" t="s">
        <v>94</v>
      </c>
      <c r="N56" s="11">
        <v>45946</v>
      </c>
      <c r="R56" s="12">
        <v>0</v>
      </c>
      <c r="T56" s="12">
        <v>108.24</v>
      </c>
      <c r="U56" s="12">
        <v>36.08</v>
      </c>
      <c r="V56" s="12">
        <v>-72.16</v>
      </c>
      <c r="W56" s="12">
        <v>-72.16</v>
      </c>
      <c r="X56" s="10">
        <f>36.08/18.04</f>
        <v>2</v>
      </c>
    </row>
    <row r="57" spans="1:24" s="10" customFormat="1" x14ac:dyDescent="0.25">
      <c r="A57" s="10">
        <v>2030333350</v>
      </c>
      <c r="B57" s="10" t="s">
        <v>1350</v>
      </c>
      <c r="C57" s="10" t="s">
        <v>1351</v>
      </c>
      <c r="D57" s="10" t="str">
        <f t="shared" si="3"/>
        <v>INMAN MARQUITA</v>
      </c>
      <c r="E57" s="10" t="s">
        <v>51</v>
      </c>
      <c r="G57" s="10" t="s">
        <v>126</v>
      </c>
      <c r="H57" s="10" t="s">
        <v>132</v>
      </c>
      <c r="I57" s="19">
        <v>813184</v>
      </c>
      <c r="J57" s="10" t="s">
        <v>361</v>
      </c>
      <c r="K57" s="10" t="s">
        <v>362</v>
      </c>
      <c r="L57" s="10" t="str">
        <f t="shared" si="4"/>
        <v>CHRISTIAN TAUGNER</v>
      </c>
      <c r="M57" s="10" t="s">
        <v>94</v>
      </c>
      <c r="N57" s="11">
        <v>45879</v>
      </c>
      <c r="R57" s="12">
        <v>0</v>
      </c>
      <c r="T57" s="12">
        <v>82.24</v>
      </c>
      <c r="U57" s="12">
        <v>41.13</v>
      </c>
      <c r="V57" s="12">
        <v>-41.11</v>
      </c>
      <c r="W57" s="12">
        <v>-41.11</v>
      </c>
      <c r="X57" s="10">
        <f>41.13/13.71</f>
        <v>3</v>
      </c>
    </row>
    <row r="58" spans="1:24" s="10" customFormat="1" x14ac:dyDescent="0.25">
      <c r="A58" s="10">
        <v>2030333349</v>
      </c>
      <c r="B58" s="10" t="s">
        <v>1350</v>
      </c>
      <c r="C58" s="10" t="s">
        <v>1351</v>
      </c>
      <c r="D58" s="10" t="str">
        <f t="shared" si="3"/>
        <v>INMAN MARQUITA</v>
      </c>
      <c r="E58" s="10" t="s">
        <v>51</v>
      </c>
      <c r="G58" s="10" t="s">
        <v>86</v>
      </c>
      <c r="H58" s="10" t="s">
        <v>87</v>
      </c>
      <c r="I58" s="19">
        <v>813184</v>
      </c>
      <c r="J58" s="10" t="s">
        <v>361</v>
      </c>
      <c r="K58" s="10" t="s">
        <v>362</v>
      </c>
      <c r="L58" s="10" t="str">
        <f t="shared" si="4"/>
        <v>CHRISTIAN TAUGNER</v>
      </c>
      <c r="M58" s="10" t="s">
        <v>94</v>
      </c>
      <c r="N58" s="11">
        <v>45879</v>
      </c>
      <c r="R58" s="12">
        <v>0</v>
      </c>
      <c r="T58" s="12">
        <v>75.62</v>
      </c>
      <c r="U58" s="12">
        <v>37.799999999999997</v>
      </c>
      <c r="V58" s="12">
        <v>-37.82</v>
      </c>
      <c r="W58" s="12">
        <v>-37.82</v>
      </c>
      <c r="X58" s="10">
        <f>37.8/12.6</f>
        <v>3</v>
      </c>
    </row>
    <row r="59" spans="1:24" s="13" customFormat="1" x14ac:dyDescent="0.25">
      <c r="A59" s="13">
        <v>2031497534</v>
      </c>
      <c r="B59" s="13" t="s">
        <v>147</v>
      </c>
      <c r="C59" s="13" t="s">
        <v>1361</v>
      </c>
      <c r="D59" s="13" t="str">
        <f t="shared" si="3"/>
        <v>FANTAYIJA MARTIN</v>
      </c>
      <c r="E59" s="13" t="s">
        <v>51</v>
      </c>
      <c r="G59" s="13" t="s">
        <v>126</v>
      </c>
      <c r="H59" s="13" t="s">
        <v>132</v>
      </c>
      <c r="I59" s="18">
        <v>669316</v>
      </c>
      <c r="J59" s="13" t="s">
        <v>1362</v>
      </c>
      <c r="K59" s="13" t="s">
        <v>122</v>
      </c>
      <c r="L59" s="13" t="str">
        <f t="shared" si="4"/>
        <v>COLLEEN FINNIGAN</v>
      </c>
      <c r="M59" s="13" t="s">
        <v>94</v>
      </c>
      <c r="N59" s="14">
        <v>45938</v>
      </c>
      <c r="R59" s="15">
        <v>0</v>
      </c>
      <c r="T59" s="15">
        <v>121.38</v>
      </c>
      <c r="U59" s="15">
        <v>20.23</v>
      </c>
      <c r="V59" s="15">
        <v>-101.15</v>
      </c>
      <c r="W59" s="15">
        <v>-101.15</v>
      </c>
      <c r="X59" s="15">
        <v>1</v>
      </c>
    </row>
    <row r="60" spans="1:24" s="13" customFormat="1" x14ac:dyDescent="0.25">
      <c r="A60" s="13">
        <v>2031497533</v>
      </c>
      <c r="B60" s="13" t="s">
        <v>147</v>
      </c>
      <c r="C60" s="13" t="s">
        <v>1361</v>
      </c>
      <c r="D60" s="13" t="str">
        <f t="shared" si="3"/>
        <v>FANTAYIJA MARTIN</v>
      </c>
      <c r="E60" s="13" t="s">
        <v>51</v>
      </c>
      <c r="G60" s="13" t="s">
        <v>86</v>
      </c>
      <c r="H60" s="13" t="s">
        <v>87</v>
      </c>
      <c r="I60" s="18">
        <v>669316</v>
      </c>
      <c r="J60" s="13" t="s">
        <v>1362</v>
      </c>
      <c r="K60" s="13" t="s">
        <v>122</v>
      </c>
      <c r="L60" s="13" t="str">
        <f t="shared" si="4"/>
        <v>COLLEEN FINNIGAN</v>
      </c>
      <c r="M60" s="13" t="s">
        <v>94</v>
      </c>
      <c r="N60" s="14">
        <v>45938</v>
      </c>
      <c r="R60" s="15">
        <v>0</v>
      </c>
      <c r="T60" s="15">
        <v>121.2</v>
      </c>
      <c r="U60" s="15">
        <v>20.2</v>
      </c>
      <c r="V60" s="15">
        <v>-101</v>
      </c>
      <c r="W60" s="15">
        <v>-101</v>
      </c>
      <c r="X60" s="15">
        <v>1</v>
      </c>
    </row>
    <row r="61" spans="1:24" s="13" customFormat="1" x14ac:dyDescent="0.25">
      <c r="A61" s="13">
        <v>2031361019</v>
      </c>
      <c r="B61" s="13" t="s">
        <v>1355</v>
      </c>
      <c r="C61" s="13" t="s">
        <v>1356</v>
      </c>
      <c r="D61" s="13" t="str">
        <f t="shared" si="3"/>
        <v>CODY GOKAN</v>
      </c>
      <c r="E61" s="13" t="s">
        <v>51</v>
      </c>
      <c r="G61" s="13" t="s">
        <v>126</v>
      </c>
      <c r="H61" s="13" t="s">
        <v>132</v>
      </c>
      <c r="I61" s="18">
        <v>651818</v>
      </c>
      <c r="J61" s="13" t="s">
        <v>246</v>
      </c>
      <c r="K61" s="13" t="s">
        <v>247</v>
      </c>
      <c r="L61" s="13" t="str">
        <f t="shared" si="4"/>
        <v>GREGORY TEIPEL</v>
      </c>
      <c r="M61" s="13" t="s">
        <v>94</v>
      </c>
      <c r="N61" s="14">
        <v>45937</v>
      </c>
      <c r="R61" s="15">
        <v>0</v>
      </c>
      <c r="T61" s="15">
        <v>191.88</v>
      </c>
      <c r="U61" s="15">
        <v>31.98</v>
      </c>
      <c r="V61" s="15">
        <v>-159.9</v>
      </c>
      <c r="W61" s="15">
        <v>-159.9</v>
      </c>
      <c r="X61" s="15">
        <v>1</v>
      </c>
    </row>
    <row r="62" spans="1:24" s="13" customFormat="1" x14ac:dyDescent="0.25">
      <c r="A62" s="13">
        <v>2029242158</v>
      </c>
      <c r="B62" s="13" t="s">
        <v>1344</v>
      </c>
      <c r="C62" s="13" t="s">
        <v>1345</v>
      </c>
      <c r="D62" s="13" t="str">
        <f t="shared" si="3"/>
        <v>CARTER DONA</v>
      </c>
      <c r="E62" s="13" t="s">
        <v>51</v>
      </c>
      <c r="G62" s="13" t="s">
        <v>75</v>
      </c>
      <c r="H62" s="13" t="s">
        <v>76</v>
      </c>
      <c r="I62" s="18">
        <v>651818</v>
      </c>
      <c r="J62" s="13" t="s">
        <v>246</v>
      </c>
      <c r="K62" s="13" t="s">
        <v>247</v>
      </c>
      <c r="L62" s="13" t="str">
        <f t="shared" si="4"/>
        <v>GREGORY TEIPEL</v>
      </c>
      <c r="M62" s="13" t="s">
        <v>94</v>
      </c>
      <c r="N62" s="14">
        <v>45845</v>
      </c>
      <c r="R62" s="15">
        <v>0</v>
      </c>
      <c r="T62" s="15">
        <v>538.65</v>
      </c>
      <c r="U62" s="15">
        <v>538.65</v>
      </c>
      <c r="V62" s="15">
        <v>0</v>
      </c>
      <c r="W62" s="15">
        <v>0</v>
      </c>
      <c r="X62" s="13">
        <v>6</v>
      </c>
    </row>
    <row r="63" spans="1:24" s="13" customFormat="1" x14ac:dyDescent="0.25">
      <c r="A63" s="13">
        <v>2029242159</v>
      </c>
      <c r="B63" s="13" t="s">
        <v>1344</v>
      </c>
      <c r="C63" s="13" t="s">
        <v>1345</v>
      </c>
      <c r="D63" s="13" t="str">
        <f t="shared" si="3"/>
        <v>CARTER DONA</v>
      </c>
      <c r="E63" s="13" t="s">
        <v>51</v>
      </c>
      <c r="G63" s="13" t="s">
        <v>86</v>
      </c>
      <c r="H63" s="13" t="s">
        <v>87</v>
      </c>
      <c r="I63" s="18">
        <v>651818</v>
      </c>
      <c r="J63" s="13" t="s">
        <v>246</v>
      </c>
      <c r="K63" s="13" t="s">
        <v>247</v>
      </c>
      <c r="L63" s="13" t="str">
        <f t="shared" si="4"/>
        <v>GREGORY TEIPEL</v>
      </c>
      <c r="M63" s="13" t="s">
        <v>94</v>
      </c>
      <c r="N63" s="14">
        <v>45845</v>
      </c>
      <c r="R63" s="15">
        <v>0</v>
      </c>
      <c r="T63" s="15">
        <v>108.52</v>
      </c>
      <c r="U63" s="15">
        <v>108.52</v>
      </c>
      <c r="V63" s="15">
        <v>0</v>
      </c>
      <c r="W63" s="15">
        <v>0</v>
      </c>
      <c r="X63" s="13">
        <v>6</v>
      </c>
    </row>
    <row r="64" spans="1:24" s="10" customFormat="1" x14ac:dyDescent="0.25">
      <c r="A64" s="10">
        <v>2031494983</v>
      </c>
      <c r="B64" s="10" t="s">
        <v>1359</v>
      </c>
      <c r="C64" s="10" t="s">
        <v>1360</v>
      </c>
      <c r="D64" s="10" t="str">
        <f t="shared" si="3"/>
        <v>EWAN MACKINNON</v>
      </c>
      <c r="E64" s="10" t="s">
        <v>51</v>
      </c>
      <c r="G64" s="10" t="s">
        <v>86</v>
      </c>
      <c r="H64" s="10" t="s">
        <v>87</v>
      </c>
      <c r="I64" s="19">
        <v>816021</v>
      </c>
      <c r="J64" s="10" t="s">
        <v>201</v>
      </c>
      <c r="K64" s="10" t="s">
        <v>202</v>
      </c>
      <c r="L64" s="10" t="str">
        <f t="shared" si="4"/>
        <v>Heather Geske</v>
      </c>
      <c r="M64" s="10" t="s">
        <v>94</v>
      </c>
      <c r="N64" s="11">
        <v>45938</v>
      </c>
      <c r="R64" s="12">
        <v>0</v>
      </c>
      <c r="T64" s="12">
        <v>122.76</v>
      </c>
      <c r="U64" s="12">
        <v>20.46</v>
      </c>
      <c r="V64" s="12">
        <v>-102.3</v>
      </c>
      <c r="W64" s="12">
        <v>-102.3</v>
      </c>
      <c r="X64" s="12">
        <v>1</v>
      </c>
    </row>
    <row r="65" spans="1:24" s="10" customFormat="1" x14ac:dyDescent="0.25">
      <c r="A65" s="10">
        <v>2031494985</v>
      </c>
      <c r="B65" s="10" t="s">
        <v>1359</v>
      </c>
      <c r="C65" s="10" t="s">
        <v>1360</v>
      </c>
      <c r="D65" s="10" t="str">
        <f t="shared" si="3"/>
        <v>EWAN MACKINNON</v>
      </c>
      <c r="E65" s="10" t="s">
        <v>51</v>
      </c>
      <c r="G65" s="10" t="s">
        <v>75</v>
      </c>
      <c r="H65" s="10" t="s">
        <v>80</v>
      </c>
      <c r="I65" s="19">
        <v>816021</v>
      </c>
      <c r="J65" s="10" t="s">
        <v>201</v>
      </c>
      <c r="K65" s="10" t="s">
        <v>202</v>
      </c>
      <c r="L65" s="10" t="str">
        <f t="shared" si="4"/>
        <v>Heather Geske</v>
      </c>
      <c r="M65" s="10" t="s">
        <v>94</v>
      </c>
      <c r="N65" s="11">
        <v>45938</v>
      </c>
      <c r="R65" s="12">
        <v>0</v>
      </c>
      <c r="T65" s="12">
        <v>89.52</v>
      </c>
      <c r="U65" s="12">
        <v>14.92</v>
      </c>
      <c r="V65" s="12">
        <v>-74.599999999999994</v>
      </c>
      <c r="W65" s="12">
        <v>-74.599999999999994</v>
      </c>
      <c r="X65" s="12">
        <v>1</v>
      </c>
    </row>
    <row r="66" spans="1:24" s="10" customFormat="1" x14ac:dyDescent="0.25">
      <c r="A66" s="10">
        <v>2031494984</v>
      </c>
      <c r="B66" s="10" t="s">
        <v>1359</v>
      </c>
      <c r="C66" s="10" t="s">
        <v>1360</v>
      </c>
      <c r="D66" s="10" t="str">
        <f t="shared" si="3"/>
        <v>EWAN MACKINNON</v>
      </c>
      <c r="E66" s="10" t="s">
        <v>51</v>
      </c>
      <c r="G66" s="10" t="s">
        <v>126</v>
      </c>
      <c r="H66" s="10" t="s">
        <v>132</v>
      </c>
      <c r="I66" s="19">
        <v>816021</v>
      </c>
      <c r="J66" s="10" t="s">
        <v>201</v>
      </c>
      <c r="K66" s="10" t="s">
        <v>202</v>
      </c>
      <c r="L66" s="10" t="str">
        <f t="shared" si="4"/>
        <v>Heather Geske</v>
      </c>
      <c r="M66" s="10" t="s">
        <v>94</v>
      </c>
      <c r="N66" s="11">
        <v>45938</v>
      </c>
      <c r="R66" s="12">
        <v>0</v>
      </c>
      <c r="T66" s="12">
        <v>29.88</v>
      </c>
      <c r="U66" s="12">
        <v>4.9800000000000004</v>
      </c>
      <c r="V66" s="12">
        <v>-24.9</v>
      </c>
      <c r="W66" s="12">
        <v>-24.9</v>
      </c>
      <c r="X66" s="12">
        <v>1</v>
      </c>
    </row>
    <row r="67" spans="1:24" s="13" customFormat="1" x14ac:dyDescent="0.25">
      <c r="A67" s="13">
        <v>2029299955</v>
      </c>
      <c r="B67" s="13" t="s">
        <v>1342</v>
      </c>
      <c r="C67" s="13" t="s">
        <v>1343</v>
      </c>
      <c r="D67" s="13" t="str">
        <f t="shared" si="3"/>
        <v>ABIGAIL AMOATENG</v>
      </c>
      <c r="E67" s="13" t="s">
        <v>51</v>
      </c>
      <c r="G67" s="13" t="s">
        <v>365</v>
      </c>
      <c r="H67" s="13" t="s">
        <v>366</v>
      </c>
      <c r="I67" s="18">
        <v>856824</v>
      </c>
      <c r="J67" s="13" t="s">
        <v>145</v>
      </c>
      <c r="K67" s="13" t="s">
        <v>146</v>
      </c>
      <c r="L67" s="13" t="str">
        <f t="shared" si="4"/>
        <v>Jake Shulman</v>
      </c>
      <c r="M67" s="13" t="s">
        <v>94</v>
      </c>
      <c r="N67" s="14">
        <v>45813</v>
      </c>
      <c r="R67" s="15">
        <v>0</v>
      </c>
      <c r="T67" s="15">
        <v>31.14</v>
      </c>
      <c r="U67" s="15">
        <v>31.14</v>
      </c>
      <c r="V67" s="15">
        <v>0</v>
      </c>
      <c r="W67" s="15">
        <v>0</v>
      </c>
      <c r="X67" s="13">
        <f>31.14/5.19</f>
        <v>6</v>
      </c>
    </row>
    <row r="68" spans="1:24" s="13" customFormat="1" x14ac:dyDescent="0.25">
      <c r="A68" s="13">
        <v>2029299956</v>
      </c>
      <c r="B68" s="13" t="s">
        <v>1342</v>
      </c>
      <c r="C68" s="13" t="s">
        <v>1343</v>
      </c>
      <c r="D68" s="13" t="str">
        <f t="shared" si="3"/>
        <v>ABIGAIL AMOATENG</v>
      </c>
      <c r="E68" s="13" t="s">
        <v>51</v>
      </c>
      <c r="G68" s="13" t="s">
        <v>86</v>
      </c>
      <c r="H68" s="13" t="s">
        <v>87</v>
      </c>
      <c r="I68" s="18">
        <v>856824</v>
      </c>
      <c r="J68" s="13" t="s">
        <v>145</v>
      </c>
      <c r="K68" s="13" t="s">
        <v>146</v>
      </c>
      <c r="L68" s="13" t="str">
        <f t="shared" si="4"/>
        <v>Jake Shulman</v>
      </c>
      <c r="M68" s="13" t="s">
        <v>94</v>
      </c>
      <c r="N68" s="14">
        <v>45813</v>
      </c>
      <c r="R68" s="15">
        <v>0</v>
      </c>
      <c r="T68" s="15">
        <v>43.76</v>
      </c>
      <c r="U68" s="15">
        <v>43.76</v>
      </c>
      <c r="V68" s="15">
        <v>0</v>
      </c>
      <c r="W68" s="15">
        <v>0</v>
      </c>
      <c r="X68" s="13">
        <v>6</v>
      </c>
    </row>
    <row r="69" spans="1:24" s="13" customFormat="1" x14ac:dyDescent="0.25">
      <c r="A69" s="13">
        <v>2029299957</v>
      </c>
      <c r="B69" s="13" t="s">
        <v>1342</v>
      </c>
      <c r="C69" s="13" t="s">
        <v>1343</v>
      </c>
      <c r="D69" s="13" t="str">
        <f t="shared" si="3"/>
        <v>ABIGAIL AMOATENG</v>
      </c>
      <c r="E69" s="13" t="s">
        <v>51</v>
      </c>
      <c r="G69" s="13" t="s">
        <v>290</v>
      </c>
      <c r="H69" s="13" t="s">
        <v>295</v>
      </c>
      <c r="I69" s="18">
        <v>856824</v>
      </c>
      <c r="J69" s="13" t="s">
        <v>145</v>
      </c>
      <c r="K69" s="13" t="s">
        <v>146</v>
      </c>
      <c r="L69" s="13" t="str">
        <f t="shared" si="4"/>
        <v>Jake Shulman</v>
      </c>
      <c r="M69" s="13" t="s">
        <v>94</v>
      </c>
      <c r="N69" s="14">
        <v>45813</v>
      </c>
      <c r="R69" s="15">
        <v>0</v>
      </c>
      <c r="T69" s="15">
        <v>34.200000000000003</v>
      </c>
      <c r="U69" s="15">
        <v>34.200000000000003</v>
      </c>
      <c r="V69" s="15">
        <v>0</v>
      </c>
      <c r="W69" s="15">
        <v>0</v>
      </c>
      <c r="X69" s="13">
        <f>34.2/5.7</f>
        <v>6</v>
      </c>
    </row>
    <row r="70" spans="1:24" s="13" customFormat="1" x14ac:dyDescent="0.25">
      <c r="A70" s="13">
        <v>2030941928</v>
      </c>
      <c r="B70" s="13" t="s">
        <v>1353</v>
      </c>
      <c r="C70" s="13" t="s">
        <v>1354</v>
      </c>
      <c r="D70" s="13" t="str">
        <f t="shared" si="3"/>
        <v>KELBY MURPHREE</v>
      </c>
      <c r="E70" s="13" t="s">
        <v>51</v>
      </c>
      <c r="G70" s="13" t="s">
        <v>53</v>
      </c>
      <c r="H70" s="13" t="s">
        <v>54</v>
      </c>
      <c r="I70" s="18">
        <v>751867</v>
      </c>
      <c r="J70" s="13" t="s">
        <v>70</v>
      </c>
      <c r="K70" s="13" t="s">
        <v>71</v>
      </c>
      <c r="L70" s="13" t="str">
        <f t="shared" si="4"/>
        <v>JOHN ROKEN</v>
      </c>
      <c r="M70" s="13" t="s">
        <v>94</v>
      </c>
      <c r="N70" s="14">
        <v>45909</v>
      </c>
      <c r="R70" s="15">
        <v>0</v>
      </c>
      <c r="T70" s="15">
        <v>204.06</v>
      </c>
      <c r="U70" s="15">
        <v>68.02</v>
      </c>
      <c r="V70" s="15">
        <v>-136.04</v>
      </c>
      <c r="W70" s="15">
        <v>-136.04</v>
      </c>
      <c r="X70" s="13">
        <v>2</v>
      </c>
    </row>
    <row r="71" spans="1:24" s="13" customFormat="1" x14ac:dyDescent="0.25">
      <c r="A71" s="13">
        <v>2030941927</v>
      </c>
      <c r="B71" s="13" t="s">
        <v>1353</v>
      </c>
      <c r="C71" s="13" t="s">
        <v>1354</v>
      </c>
      <c r="D71" s="13" t="str">
        <f t="shared" si="3"/>
        <v>KELBY MURPHREE</v>
      </c>
      <c r="E71" s="13" t="s">
        <v>51</v>
      </c>
      <c r="G71" s="13" t="s">
        <v>365</v>
      </c>
      <c r="H71" s="13" t="s">
        <v>366</v>
      </c>
      <c r="I71" s="18">
        <v>751867</v>
      </c>
      <c r="J71" s="13" t="s">
        <v>70</v>
      </c>
      <c r="K71" s="13" t="s">
        <v>71</v>
      </c>
      <c r="L71" s="13" t="str">
        <f t="shared" si="4"/>
        <v>JOHN ROKEN</v>
      </c>
      <c r="M71" s="13" t="s">
        <v>94</v>
      </c>
      <c r="N71" s="14">
        <v>45909</v>
      </c>
      <c r="R71" s="15">
        <v>0</v>
      </c>
      <c r="T71" s="15">
        <v>34.32</v>
      </c>
      <c r="U71" s="15">
        <v>11.44</v>
      </c>
      <c r="V71" s="15">
        <v>-22.88</v>
      </c>
      <c r="W71" s="15">
        <v>-22.88</v>
      </c>
      <c r="X71" s="13">
        <f>11.44/5.72</f>
        <v>2</v>
      </c>
    </row>
    <row r="72" spans="1:24" s="13" customFormat="1" x14ac:dyDescent="0.25">
      <c r="A72" s="13">
        <v>2030375983</v>
      </c>
      <c r="B72" s="13" t="s">
        <v>279</v>
      </c>
      <c r="C72" s="13" t="s">
        <v>950</v>
      </c>
      <c r="D72" s="13" t="str">
        <f t="shared" si="3"/>
        <v>MOENKHAUS ERIC</v>
      </c>
      <c r="E72" s="13" t="s">
        <v>51</v>
      </c>
      <c r="G72" s="13" t="s">
        <v>469</v>
      </c>
      <c r="H72" s="13" t="s">
        <v>1352</v>
      </c>
      <c r="I72" s="18">
        <v>877790</v>
      </c>
      <c r="J72" s="13" t="s">
        <v>310</v>
      </c>
      <c r="K72" s="13" t="s">
        <v>311</v>
      </c>
      <c r="L72" s="13" t="str">
        <f t="shared" si="4"/>
        <v>Marsha Sanderock</v>
      </c>
      <c r="M72" s="13" t="s">
        <v>94</v>
      </c>
      <c r="N72" s="14">
        <v>45877</v>
      </c>
      <c r="R72" s="15">
        <v>0</v>
      </c>
      <c r="T72" s="15">
        <v>70.319999999999993</v>
      </c>
      <c r="U72" s="15">
        <v>70.319999999999993</v>
      </c>
      <c r="V72" s="15">
        <v>0</v>
      </c>
      <c r="W72" s="15">
        <v>0</v>
      </c>
      <c r="X72" s="13">
        <f>70.32/23.44</f>
        <v>2.9999999999999996</v>
      </c>
    </row>
    <row r="73" spans="1:24" s="13" customFormat="1" x14ac:dyDescent="0.25">
      <c r="A73" s="13">
        <v>2032159245</v>
      </c>
      <c r="B73" s="13" t="s">
        <v>940</v>
      </c>
      <c r="C73" s="13" t="s">
        <v>941</v>
      </c>
      <c r="D73" s="13" t="str">
        <f t="shared" si="3"/>
        <v>MAURICE SCALES</v>
      </c>
      <c r="E73" s="13" t="s">
        <v>51</v>
      </c>
      <c r="G73" s="13" t="s">
        <v>75</v>
      </c>
      <c r="H73" s="13" t="s">
        <v>80</v>
      </c>
      <c r="I73" s="18">
        <v>649163</v>
      </c>
      <c r="J73" s="13" t="s">
        <v>396</v>
      </c>
      <c r="K73" s="13" t="s">
        <v>397</v>
      </c>
      <c r="L73" s="13" t="str">
        <f t="shared" si="4"/>
        <v>MATTHEW DAUGHERTY</v>
      </c>
      <c r="M73" s="13" t="s">
        <v>94</v>
      </c>
      <c r="N73" s="14">
        <v>45992</v>
      </c>
      <c r="R73" s="15">
        <v>0</v>
      </c>
      <c r="T73" s="15">
        <v>655.56</v>
      </c>
      <c r="U73" s="15">
        <v>109.26</v>
      </c>
      <c r="V73" s="15">
        <v>-546.29999999999995</v>
      </c>
      <c r="W73" s="15">
        <v>-546.29999999999995</v>
      </c>
      <c r="X73" s="15">
        <v>1</v>
      </c>
    </row>
    <row r="74" spans="1:24" s="10" customFormat="1" x14ac:dyDescent="0.25">
      <c r="A74" s="10">
        <v>2031525706</v>
      </c>
      <c r="B74" s="10" t="s">
        <v>1363</v>
      </c>
      <c r="C74" s="10" t="s">
        <v>403</v>
      </c>
      <c r="D74" s="10" t="str">
        <f t="shared" si="3"/>
        <v>CRISTIAN MADRIGAL</v>
      </c>
      <c r="E74" s="10" t="s">
        <v>51</v>
      </c>
      <c r="G74" s="10" t="s">
        <v>126</v>
      </c>
      <c r="H74" s="10" t="s">
        <v>132</v>
      </c>
      <c r="I74" s="19">
        <v>884312</v>
      </c>
      <c r="J74" s="10" t="s">
        <v>353</v>
      </c>
      <c r="K74" s="10" t="s">
        <v>354</v>
      </c>
      <c r="L74" s="10" t="str">
        <f t="shared" si="4"/>
        <v>Noah Dionesotes</v>
      </c>
      <c r="M74" s="10" t="s">
        <v>94</v>
      </c>
      <c r="N74" s="11">
        <v>45939</v>
      </c>
      <c r="R74" s="12">
        <v>0</v>
      </c>
      <c r="T74" s="12">
        <v>415.8</v>
      </c>
      <c r="U74" s="12">
        <v>69.3</v>
      </c>
      <c r="V74" s="12">
        <v>-346.5</v>
      </c>
      <c r="W74" s="12">
        <v>-346.5</v>
      </c>
      <c r="X74" s="12">
        <v>1</v>
      </c>
    </row>
    <row r="75" spans="1:24" s="10" customFormat="1" x14ac:dyDescent="0.25">
      <c r="A75" s="10">
        <v>2030806869</v>
      </c>
      <c r="B75" s="10" t="s">
        <v>1329</v>
      </c>
      <c r="C75" s="10" t="s">
        <v>1330</v>
      </c>
      <c r="D75" s="10" t="str">
        <f t="shared" si="3"/>
        <v>FRANCISCO CALDERON</v>
      </c>
      <c r="E75" s="10" t="s">
        <v>51</v>
      </c>
      <c r="G75" s="10" t="s">
        <v>169</v>
      </c>
      <c r="H75" s="10" t="s">
        <v>1274</v>
      </c>
      <c r="I75" s="19">
        <v>649163</v>
      </c>
      <c r="J75" s="10" t="s">
        <v>151</v>
      </c>
      <c r="K75" s="10" t="s">
        <v>152</v>
      </c>
      <c r="L75" s="10" t="str">
        <f t="shared" si="4"/>
        <v>RICARDO SANTOS</v>
      </c>
      <c r="M75" s="10" t="s">
        <v>94</v>
      </c>
      <c r="N75" s="11">
        <v>45902</v>
      </c>
      <c r="R75" s="12">
        <v>0</v>
      </c>
      <c r="T75" s="12">
        <v>382.56</v>
      </c>
      <c r="U75" s="12">
        <v>255.04</v>
      </c>
      <c r="V75" s="12">
        <v>-127.52</v>
      </c>
      <c r="W75" s="12">
        <v>-127.52</v>
      </c>
      <c r="X75" s="10">
        <f>255.04/63.76</f>
        <v>4</v>
      </c>
    </row>
    <row r="76" spans="1:24" s="10" customFormat="1" x14ac:dyDescent="0.25">
      <c r="A76" s="10">
        <v>2030807231</v>
      </c>
      <c r="B76" s="10" t="s">
        <v>1331</v>
      </c>
      <c r="C76" s="10" t="s">
        <v>1332</v>
      </c>
      <c r="D76" s="10" t="str">
        <f t="shared" si="3"/>
        <v>MINDA MAINIT</v>
      </c>
      <c r="E76" s="10" t="s">
        <v>51</v>
      </c>
      <c r="G76" s="10" t="s">
        <v>169</v>
      </c>
      <c r="H76" s="10" t="s">
        <v>1274</v>
      </c>
      <c r="I76" s="19">
        <v>649163</v>
      </c>
      <c r="J76" s="10" t="s">
        <v>151</v>
      </c>
      <c r="K76" s="10" t="s">
        <v>152</v>
      </c>
      <c r="L76" s="10" t="str">
        <f t="shared" si="4"/>
        <v>RICARDO SANTOS</v>
      </c>
      <c r="M76" s="10" t="s">
        <v>94</v>
      </c>
      <c r="N76" s="11">
        <v>45902</v>
      </c>
      <c r="R76" s="12">
        <v>0</v>
      </c>
      <c r="T76" s="12">
        <v>191.28</v>
      </c>
      <c r="U76" s="12">
        <v>127.52</v>
      </c>
      <c r="V76" s="12">
        <v>-63.76</v>
      </c>
      <c r="W76" s="12">
        <v>-63.76</v>
      </c>
      <c r="X76" s="10">
        <f>127.52/31.88</f>
        <v>4</v>
      </c>
    </row>
    <row r="77" spans="1:24" s="10" customFormat="1" x14ac:dyDescent="0.25">
      <c r="A77" s="10">
        <v>2030806868</v>
      </c>
      <c r="B77" s="10" t="s">
        <v>1329</v>
      </c>
      <c r="C77" s="10" t="s">
        <v>1330</v>
      </c>
      <c r="D77" s="10" t="str">
        <f t="shared" si="3"/>
        <v>FRANCISCO CALDERON</v>
      </c>
      <c r="E77" s="10" t="s">
        <v>51</v>
      </c>
      <c r="G77" s="10" t="s">
        <v>169</v>
      </c>
      <c r="H77" s="10" t="s">
        <v>170</v>
      </c>
      <c r="I77" s="19">
        <v>649163</v>
      </c>
      <c r="J77" s="10" t="s">
        <v>151</v>
      </c>
      <c r="K77" s="10" t="s">
        <v>152</v>
      </c>
      <c r="L77" s="10" t="str">
        <f t="shared" si="4"/>
        <v>RICARDO SANTOS</v>
      </c>
      <c r="M77" s="10" t="s">
        <v>94</v>
      </c>
      <c r="N77" s="11">
        <v>45902</v>
      </c>
      <c r="R77" s="12">
        <v>0</v>
      </c>
      <c r="T77" s="12">
        <v>140.18</v>
      </c>
      <c r="U77" s="12">
        <v>93.44</v>
      </c>
      <c r="V77" s="12">
        <v>-46.74</v>
      </c>
      <c r="W77" s="12">
        <v>-46.74</v>
      </c>
      <c r="X77" s="10">
        <f>93.44/23.36</f>
        <v>4</v>
      </c>
    </row>
    <row r="78" spans="1:24" s="10" customFormat="1" x14ac:dyDescent="0.25">
      <c r="A78" s="10">
        <v>2030807230</v>
      </c>
      <c r="B78" s="10" t="s">
        <v>1331</v>
      </c>
      <c r="C78" s="10" t="s">
        <v>1332</v>
      </c>
      <c r="D78" s="10" t="str">
        <f t="shared" si="3"/>
        <v>MINDA MAINIT</v>
      </c>
      <c r="E78" s="10" t="s">
        <v>51</v>
      </c>
      <c r="G78" s="10" t="s">
        <v>169</v>
      </c>
      <c r="H78" s="10" t="s">
        <v>170</v>
      </c>
      <c r="I78" s="19">
        <v>649163</v>
      </c>
      <c r="J78" s="10" t="s">
        <v>151</v>
      </c>
      <c r="K78" s="10" t="s">
        <v>152</v>
      </c>
      <c r="L78" s="10" t="str">
        <f t="shared" si="4"/>
        <v>RICARDO SANTOS</v>
      </c>
      <c r="M78" s="10" t="s">
        <v>94</v>
      </c>
      <c r="N78" s="11">
        <v>45902</v>
      </c>
      <c r="R78" s="12">
        <v>0</v>
      </c>
      <c r="T78" s="12">
        <v>140.18</v>
      </c>
      <c r="U78" s="12">
        <v>93.44</v>
      </c>
      <c r="V78" s="12">
        <v>-46.74</v>
      </c>
      <c r="W78" s="12">
        <v>-46.74</v>
      </c>
      <c r="X78" s="10">
        <f>93.44/23.36</f>
        <v>4</v>
      </c>
    </row>
    <row r="79" spans="1:24" s="10" customFormat="1" x14ac:dyDescent="0.25">
      <c r="A79" s="10">
        <v>2030806870</v>
      </c>
      <c r="B79" s="10" t="s">
        <v>1329</v>
      </c>
      <c r="C79" s="10" t="s">
        <v>1330</v>
      </c>
      <c r="D79" s="10" t="str">
        <f t="shared" si="3"/>
        <v>FRANCISCO CALDERON</v>
      </c>
      <c r="E79" s="10" t="s">
        <v>51</v>
      </c>
      <c r="G79" s="10" t="s">
        <v>169</v>
      </c>
      <c r="H79" s="10" t="s">
        <v>1275</v>
      </c>
      <c r="I79" s="19">
        <v>649163</v>
      </c>
      <c r="J79" s="10" t="s">
        <v>151</v>
      </c>
      <c r="K79" s="10" t="s">
        <v>152</v>
      </c>
      <c r="L79" s="10" t="str">
        <f t="shared" si="4"/>
        <v>RICARDO SANTOS</v>
      </c>
      <c r="M79" s="10" t="s">
        <v>94</v>
      </c>
      <c r="N79" s="11">
        <v>45902</v>
      </c>
      <c r="R79" s="12">
        <v>0</v>
      </c>
      <c r="T79" s="12">
        <v>91.65</v>
      </c>
      <c r="U79" s="12">
        <v>45.78</v>
      </c>
      <c r="V79" s="12">
        <v>-45.87</v>
      </c>
      <c r="W79" s="12">
        <v>-45.87</v>
      </c>
      <c r="X79" s="10">
        <v>3</v>
      </c>
    </row>
    <row r="80" spans="1:24" s="10" customFormat="1" x14ac:dyDescent="0.25">
      <c r="A80" s="10">
        <v>2030807232</v>
      </c>
      <c r="B80" s="10" t="s">
        <v>1331</v>
      </c>
      <c r="C80" s="10" t="s">
        <v>1332</v>
      </c>
      <c r="D80" s="10" t="str">
        <f t="shared" si="3"/>
        <v>MINDA MAINIT</v>
      </c>
      <c r="E80" s="10" t="s">
        <v>51</v>
      </c>
      <c r="G80" s="10" t="s">
        <v>169</v>
      </c>
      <c r="H80" s="10" t="s">
        <v>1275</v>
      </c>
      <c r="I80" s="19">
        <v>649163</v>
      </c>
      <c r="J80" s="10" t="s">
        <v>151</v>
      </c>
      <c r="K80" s="10" t="s">
        <v>152</v>
      </c>
      <c r="L80" s="10" t="str">
        <f t="shared" si="4"/>
        <v>RICARDO SANTOS</v>
      </c>
      <c r="M80" s="10" t="s">
        <v>94</v>
      </c>
      <c r="N80" s="11">
        <v>45902</v>
      </c>
      <c r="R80" s="12">
        <v>0</v>
      </c>
      <c r="T80" s="12">
        <v>91.65</v>
      </c>
      <c r="U80" s="12">
        <v>45.78</v>
      </c>
      <c r="V80" s="12">
        <v>-45.87</v>
      </c>
      <c r="W80" s="12">
        <v>-45.87</v>
      </c>
      <c r="X80" s="12">
        <v>3</v>
      </c>
    </row>
    <row r="81" spans="1:24" s="13" customFormat="1" x14ac:dyDescent="0.25">
      <c r="A81" s="13">
        <v>2029274820</v>
      </c>
      <c r="B81" s="13" t="s">
        <v>149</v>
      </c>
      <c r="C81" s="13" t="s">
        <v>150</v>
      </c>
      <c r="D81" s="13" t="str">
        <f t="shared" si="3"/>
        <v>LYNN PUANGCO</v>
      </c>
      <c r="E81" s="13" t="s">
        <v>51</v>
      </c>
      <c r="G81" s="13" t="s">
        <v>126</v>
      </c>
      <c r="H81" s="13" t="s">
        <v>132</v>
      </c>
      <c r="I81" s="18">
        <v>812994</v>
      </c>
      <c r="J81" s="13" t="s">
        <v>151</v>
      </c>
      <c r="K81" s="13" t="s">
        <v>152</v>
      </c>
      <c r="L81" s="13" t="str">
        <f t="shared" si="4"/>
        <v>RICARDO SANTOS</v>
      </c>
      <c r="M81" s="13" t="s">
        <v>94</v>
      </c>
      <c r="N81" s="14">
        <v>45839</v>
      </c>
      <c r="R81" s="15">
        <v>0</v>
      </c>
      <c r="T81" s="15">
        <v>1583.48</v>
      </c>
      <c r="U81" s="15">
        <v>1583.47</v>
      </c>
      <c r="V81" s="15">
        <v>-0.01</v>
      </c>
      <c r="W81" s="15">
        <v>-0.01</v>
      </c>
      <c r="X81" s="13">
        <v>6</v>
      </c>
    </row>
    <row r="82" spans="1:24" s="13" customFormat="1" x14ac:dyDescent="0.25">
      <c r="A82" s="13">
        <v>2031244628</v>
      </c>
      <c r="B82" s="13" t="s">
        <v>910</v>
      </c>
      <c r="C82" s="13" t="s">
        <v>911</v>
      </c>
      <c r="D82" s="13" t="str">
        <f t="shared" si="3"/>
        <v>TRAVUS DEVORE</v>
      </c>
      <c r="E82" s="13" t="s">
        <v>51</v>
      </c>
      <c r="G82" s="13" t="s">
        <v>75</v>
      </c>
      <c r="H82" s="13" t="s">
        <v>243</v>
      </c>
      <c r="I82" s="18">
        <v>649163</v>
      </c>
      <c r="J82" s="13" t="s">
        <v>81</v>
      </c>
      <c r="K82" s="13" t="s">
        <v>82</v>
      </c>
      <c r="L82" s="13" t="str">
        <f t="shared" si="4"/>
        <v>RYAN CALTAGIRONE</v>
      </c>
      <c r="M82" s="13" t="s">
        <v>94</v>
      </c>
      <c r="N82" s="14">
        <v>45931</v>
      </c>
      <c r="R82" s="15">
        <v>0</v>
      </c>
      <c r="T82" s="15">
        <v>296.7</v>
      </c>
      <c r="U82" s="15">
        <v>148.35</v>
      </c>
      <c r="V82" s="15">
        <v>-148.35</v>
      </c>
      <c r="W82" s="15">
        <v>-148.35</v>
      </c>
      <c r="X82" s="13">
        <f>148.35/49.45</f>
        <v>2.9999999999999996</v>
      </c>
    </row>
    <row r="83" spans="1:24" s="13" customFormat="1" x14ac:dyDescent="0.25">
      <c r="A83" s="13">
        <v>2031244629</v>
      </c>
      <c r="B83" s="13" t="s">
        <v>910</v>
      </c>
      <c r="C83" s="13" t="s">
        <v>911</v>
      </c>
      <c r="D83" s="13" t="str">
        <f t="shared" si="3"/>
        <v>TRAVUS DEVORE</v>
      </c>
      <c r="E83" s="13" t="s">
        <v>51</v>
      </c>
      <c r="G83" s="13" t="s">
        <v>126</v>
      </c>
      <c r="H83" s="13" t="s">
        <v>132</v>
      </c>
      <c r="I83" s="18">
        <v>649163</v>
      </c>
      <c r="J83" s="13" t="s">
        <v>81</v>
      </c>
      <c r="K83" s="13" t="s">
        <v>82</v>
      </c>
      <c r="L83" s="13" t="str">
        <f t="shared" si="4"/>
        <v>RYAN CALTAGIRONE</v>
      </c>
      <c r="M83" s="13" t="s">
        <v>94</v>
      </c>
      <c r="N83" s="14">
        <v>45931</v>
      </c>
      <c r="R83" s="15">
        <v>0</v>
      </c>
      <c r="T83" s="15">
        <v>163.08000000000001</v>
      </c>
      <c r="U83" s="15">
        <v>81.540000000000006</v>
      </c>
      <c r="V83" s="15">
        <v>-81.540000000000006</v>
      </c>
      <c r="W83" s="15">
        <v>-81.540000000000006</v>
      </c>
      <c r="X83" s="13">
        <f>81.54/27.18</f>
        <v>3.0000000000000004</v>
      </c>
    </row>
    <row r="84" spans="1:24" s="13" customFormat="1" x14ac:dyDescent="0.25">
      <c r="A84" s="13">
        <v>2029137105</v>
      </c>
      <c r="B84" s="13" t="s">
        <v>854</v>
      </c>
      <c r="C84" s="13" t="s">
        <v>855</v>
      </c>
      <c r="D84" s="13" t="str">
        <f t="shared" si="3"/>
        <v>ALLISON SOLOMON</v>
      </c>
      <c r="E84" s="13" t="s">
        <v>51</v>
      </c>
      <c r="G84" s="13" t="s">
        <v>126</v>
      </c>
      <c r="H84" s="13" t="s">
        <v>132</v>
      </c>
      <c r="I84" s="18">
        <v>649163</v>
      </c>
      <c r="J84" s="13" t="s">
        <v>81</v>
      </c>
      <c r="K84" s="13" t="s">
        <v>82</v>
      </c>
      <c r="L84" s="13" t="str">
        <f t="shared" si="4"/>
        <v>RYAN CALTAGIRONE</v>
      </c>
      <c r="M84" s="13" t="s">
        <v>94</v>
      </c>
      <c r="N84" s="14">
        <v>45809</v>
      </c>
      <c r="R84" s="15">
        <v>0</v>
      </c>
      <c r="T84" s="15">
        <v>280.81</v>
      </c>
      <c r="U84" s="15">
        <v>280.81</v>
      </c>
      <c r="V84" s="15">
        <v>0</v>
      </c>
      <c r="W84" s="15">
        <v>0</v>
      </c>
      <c r="X84" s="13">
        <v>6</v>
      </c>
    </row>
    <row r="85" spans="1:24" s="13" customFormat="1" x14ac:dyDescent="0.25">
      <c r="A85" s="13">
        <v>2029137106</v>
      </c>
      <c r="B85" s="13" t="s">
        <v>854</v>
      </c>
      <c r="C85" s="13" t="s">
        <v>855</v>
      </c>
      <c r="D85" s="13" t="str">
        <f t="shared" si="3"/>
        <v>ALLISON SOLOMON</v>
      </c>
      <c r="E85" s="13" t="s">
        <v>51</v>
      </c>
      <c r="G85" s="13" t="s">
        <v>75</v>
      </c>
      <c r="H85" s="13" t="s">
        <v>76</v>
      </c>
      <c r="I85" s="18">
        <v>649163</v>
      </c>
      <c r="J85" s="13" t="s">
        <v>81</v>
      </c>
      <c r="K85" s="13" t="s">
        <v>82</v>
      </c>
      <c r="L85" s="13" t="str">
        <f t="shared" si="4"/>
        <v>RYAN CALTAGIRONE</v>
      </c>
      <c r="M85" s="13" t="s">
        <v>94</v>
      </c>
      <c r="N85" s="14">
        <v>45809</v>
      </c>
      <c r="R85" s="15">
        <v>0</v>
      </c>
      <c r="T85" s="15">
        <v>318.74</v>
      </c>
      <c r="U85" s="15">
        <v>318.74</v>
      </c>
      <c r="V85" s="15">
        <v>0</v>
      </c>
      <c r="W85" s="15">
        <v>0</v>
      </c>
      <c r="X85" s="13">
        <v>6</v>
      </c>
    </row>
    <row r="86" spans="1:24" s="10" customFormat="1" x14ac:dyDescent="0.25">
      <c r="A86" s="10">
        <v>2032245740</v>
      </c>
      <c r="B86" s="10" t="s">
        <v>1227</v>
      </c>
      <c r="C86" s="10" t="s">
        <v>233</v>
      </c>
      <c r="D86" s="10" t="str">
        <f t="shared" si="3"/>
        <v>GARY CONCHO</v>
      </c>
      <c r="E86" s="10" t="s">
        <v>51</v>
      </c>
      <c r="G86" s="10" t="s">
        <v>126</v>
      </c>
      <c r="H86" s="10" t="s">
        <v>375</v>
      </c>
      <c r="I86" s="19">
        <v>649163</v>
      </c>
      <c r="J86" s="10" t="s">
        <v>138</v>
      </c>
      <c r="K86" s="10" t="s">
        <v>107</v>
      </c>
      <c r="L86" s="10" t="str">
        <f t="shared" si="4"/>
        <v>THOMAS PARDUE</v>
      </c>
      <c r="M86" s="10" t="s">
        <v>94</v>
      </c>
      <c r="N86" s="11">
        <v>45982</v>
      </c>
      <c r="R86" s="12">
        <v>0</v>
      </c>
      <c r="T86" s="12">
        <v>404.58</v>
      </c>
      <c r="U86" s="12">
        <v>67.430000000000007</v>
      </c>
      <c r="V86" s="12">
        <v>-337.15</v>
      </c>
      <c r="W86" s="12">
        <v>-337.15</v>
      </c>
      <c r="X86" s="12">
        <v>1</v>
      </c>
    </row>
    <row r="87" spans="1:24" s="10" customFormat="1" x14ac:dyDescent="0.25">
      <c r="A87" s="10">
        <v>2032208867</v>
      </c>
      <c r="B87" s="10" t="s">
        <v>649</v>
      </c>
      <c r="C87" s="10" t="s">
        <v>1224</v>
      </c>
      <c r="D87" s="10" t="str">
        <f t="shared" si="3"/>
        <v>JUNETTA WRIGHT</v>
      </c>
      <c r="E87" s="10" t="s">
        <v>51</v>
      </c>
      <c r="G87" s="10" t="s">
        <v>126</v>
      </c>
      <c r="H87" s="10" t="s">
        <v>375</v>
      </c>
      <c r="I87" s="19">
        <v>649163</v>
      </c>
      <c r="J87" s="10" t="s">
        <v>138</v>
      </c>
      <c r="K87" s="10" t="s">
        <v>107</v>
      </c>
      <c r="L87" s="10" t="str">
        <f t="shared" si="4"/>
        <v>THOMAS PARDUE</v>
      </c>
      <c r="M87" s="10" t="s">
        <v>94</v>
      </c>
      <c r="N87" s="11">
        <v>45988</v>
      </c>
      <c r="R87" s="12">
        <v>0</v>
      </c>
      <c r="T87" s="12">
        <v>142.19999999999999</v>
      </c>
      <c r="U87" s="12">
        <v>23.7</v>
      </c>
      <c r="V87" s="12">
        <v>-118.5</v>
      </c>
      <c r="W87" s="12">
        <v>-118.5</v>
      </c>
      <c r="X87" s="12">
        <v>1</v>
      </c>
    </row>
    <row r="88" spans="1:24" s="10" customFormat="1" x14ac:dyDescent="0.25">
      <c r="A88" s="10">
        <v>2029752466</v>
      </c>
      <c r="B88" s="10" t="s">
        <v>1346</v>
      </c>
      <c r="C88" s="10" t="s">
        <v>1347</v>
      </c>
      <c r="D88" s="10" t="str">
        <f t="shared" si="3"/>
        <v>ROBINSON TOWANNA</v>
      </c>
      <c r="E88" s="10" t="s">
        <v>51</v>
      </c>
      <c r="G88" s="10" t="s">
        <v>126</v>
      </c>
      <c r="H88" s="10" t="s">
        <v>132</v>
      </c>
      <c r="I88" s="19">
        <v>767312</v>
      </c>
      <c r="J88" s="10" t="s">
        <v>138</v>
      </c>
      <c r="K88" s="10" t="s">
        <v>107</v>
      </c>
      <c r="L88" s="10" t="str">
        <f t="shared" si="4"/>
        <v>THOMAS PARDUE</v>
      </c>
      <c r="M88" s="10" t="s">
        <v>94</v>
      </c>
      <c r="N88" s="11">
        <v>45840</v>
      </c>
      <c r="R88" s="12">
        <v>0</v>
      </c>
      <c r="T88" s="12">
        <v>77.53</v>
      </c>
      <c r="U88" s="12">
        <v>64.599999999999994</v>
      </c>
      <c r="V88" s="12">
        <v>-12.93</v>
      </c>
      <c r="W88" s="12">
        <v>-12.93</v>
      </c>
      <c r="X88" s="10">
        <f>64.6/12.92</f>
        <v>5</v>
      </c>
    </row>
    <row r="89" spans="1:24" s="10" customFormat="1" x14ac:dyDescent="0.25">
      <c r="A89" s="10">
        <v>2029752465</v>
      </c>
      <c r="B89" s="10" t="s">
        <v>1346</v>
      </c>
      <c r="C89" s="10" t="s">
        <v>1347</v>
      </c>
      <c r="D89" s="10" t="str">
        <f t="shared" si="3"/>
        <v>ROBINSON TOWANNA</v>
      </c>
      <c r="E89" s="10" t="s">
        <v>51</v>
      </c>
      <c r="G89" s="10" t="s">
        <v>86</v>
      </c>
      <c r="H89" s="10" t="s">
        <v>87</v>
      </c>
      <c r="I89" s="19">
        <v>767312</v>
      </c>
      <c r="J89" s="10" t="s">
        <v>138</v>
      </c>
      <c r="K89" s="10" t="s">
        <v>107</v>
      </c>
      <c r="L89" s="10" t="str">
        <f t="shared" si="4"/>
        <v>THOMAS PARDUE</v>
      </c>
      <c r="M89" s="10" t="s">
        <v>94</v>
      </c>
      <c r="N89" s="11">
        <v>45840</v>
      </c>
      <c r="R89" s="12">
        <v>0</v>
      </c>
      <c r="T89" s="12">
        <v>55.22</v>
      </c>
      <c r="U89" s="12">
        <v>46.01</v>
      </c>
      <c r="V89" s="12">
        <v>-9.2100000000000009</v>
      </c>
      <c r="W89" s="12">
        <v>-9.2100000000000009</v>
      </c>
      <c r="X89" s="10">
        <v>5</v>
      </c>
    </row>
  </sheetData>
  <sortState xmlns:xlrd2="http://schemas.microsoft.com/office/spreadsheetml/2017/richdata2" ref="A2:AZ44">
    <sortCondition ref="H2:H44"/>
    <sortCondition descending="1" ref="S2:S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82F7-22D6-4C7F-BF9B-EC14E221A9B4}">
  <dimension ref="A1:BB206"/>
  <sheetViews>
    <sheetView tabSelected="1" topLeftCell="L67" workbookViewId="0">
      <selection activeCell="AF84" sqref="AF84"/>
    </sheetView>
  </sheetViews>
  <sheetFormatPr defaultRowHeight="15" x14ac:dyDescent="0.25"/>
  <cols>
    <col min="1" max="1" width="11" bestFit="1" customWidth="1"/>
    <col min="5" max="5" width="5" customWidth="1"/>
    <col min="7" max="7" width="19.7109375" customWidth="1"/>
    <col min="8" max="9" width="11.5703125" customWidth="1"/>
    <col min="10" max="10" width="12.5703125" bestFit="1" customWidth="1"/>
    <col min="15" max="15" width="11" customWidth="1"/>
    <col min="16" max="16" width="9.7109375" customWidth="1"/>
  </cols>
  <sheetData>
    <row r="1" spans="1:26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U1" t="s">
        <v>21</v>
      </c>
      <c r="V1" t="s">
        <v>24</v>
      </c>
      <c r="W1" t="s">
        <v>25</v>
      </c>
      <c r="X1" t="s">
        <v>27</v>
      </c>
      <c r="Y1" t="s">
        <v>37</v>
      </c>
    </row>
    <row r="2" spans="1:26" x14ac:dyDescent="0.25">
      <c r="A2">
        <v>2032477986</v>
      </c>
      <c r="B2" t="s">
        <v>436</v>
      </c>
      <c r="C2" t="s">
        <v>437</v>
      </c>
      <c r="D2" t="str">
        <f>CONCATENATE(C2," ",B2)</f>
        <v>FLORETTA KAMARA</v>
      </c>
      <c r="E2" t="s">
        <v>163</v>
      </c>
      <c r="F2" t="s">
        <v>126</v>
      </c>
      <c r="G2" t="s">
        <v>164</v>
      </c>
      <c r="H2">
        <v>9079571</v>
      </c>
      <c r="J2">
        <v>9079571</v>
      </c>
      <c r="K2" t="s">
        <v>235</v>
      </c>
      <c r="L2" t="s">
        <v>438</v>
      </c>
      <c r="M2" t="str">
        <f>CONCATENATE(L2," ",K2)</f>
        <v>ADAM RICHTER</v>
      </c>
      <c r="N2" t="s">
        <v>57</v>
      </c>
      <c r="O2" s="1">
        <v>45995</v>
      </c>
      <c r="P2" s="1">
        <v>46026</v>
      </c>
      <c r="Q2" s="2">
        <v>24.61</v>
      </c>
      <c r="R2">
        <f>DATEDIF(O2,P2,"M")</f>
        <v>1</v>
      </c>
      <c r="S2" t="s">
        <v>60</v>
      </c>
      <c r="T2" t="s">
        <v>1370</v>
      </c>
      <c r="U2" s="4">
        <v>0.7</v>
      </c>
      <c r="V2" t="s">
        <v>83</v>
      </c>
      <c r="W2" t="s">
        <v>221</v>
      </c>
      <c r="X2" s="2">
        <v>103.38</v>
      </c>
      <c r="Y2" s="2">
        <v>17.23</v>
      </c>
      <c r="Z2" t="s">
        <v>127</v>
      </c>
    </row>
    <row r="3" spans="1:26" x14ac:dyDescent="0.25">
      <c r="A3">
        <v>2032477985</v>
      </c>
      <c r="B3" t="s">
        <v>436</v>
      </c>
      <c r="C3" t="s">
        <v>437</v>
      </c>
      <c r="D3" t="str">
        <f>CONCATENATE(C3," ",B3)</f>
        <v>FLORETTA KAMARA</v>
      </c>
      <c r="E3" t="s">
        <v>163</v>
      </c>
      <c r="F3" t="s">
        <v>75</v>
      </c>
      <c r="G3" t="s">
        <v>80</v>
      </c>
      <c r="H3">
        <v>9079571</v>
      </c>
      <c r="J3">
        <v>9079571</v>
      </c>
      <c r="K3" t="s">
        <v>235</v>
      </c>
      <c r="L3" t="s">
        <v>438</v>
      </c>
      <c r="M3" t="str">
        <f>CONCATENATE(L3," ",K3)</f>
        <v>ADAM RICHTER</v>
      </c>
      <c r="N3" t="s">
        <v>57</v>
      </c>
      <c r="O3" s="1">
        <v>45995</v>
      </c>
      <c r="P3" s="1">
        <v>46026</v>
      </c>
      <c r="Q3" s="2">
        <v>84.38</v>
      </c>
      <c r="R3">
        <f>DATEDIF(O3,P3,"M")</f>
        <v>1</v>
      </c>
      <c r="S3" t="s">
        <v>60</v>
      </c>
      <c r="T3" t="s">
        <v>1370</v>
      </c>
      <c r="U3" s="4">
        <v>0.9</v>
      </c>
      <c r="V3" t="s">
        <v>83</v>
      </c>
      <c r="W3" t="s">
        <v>221</v>
      </c>
      <c r="X3" s="2">
        <v>455.64</v>
      </c>
      <c r="Y3" s="2">
        <v>75.94</v>
      </c>
      <c r="Z3" t="s">
        <v>1372</v>
      </c>
    </row>
    <row r="4" spans="1:26" x14ac:dyDescent="0.25">
      <c r="A4">
        <v>2032492104</v>
      </c>
      <c r="B4" t="s">
        <v>714</v>
      </c>
      <c r="C4" t="s">
        <v>249</v>
      </c>
      <c r="D4" t="str">
        <f>CONCATENATE(C4," ",B4)</f>
        <v>ROBERT MURRAY</v>
      </c>
      <c r="E4" t="s">
        <v>163</v>
      </c>
      <c r="F4" t="s">
        <v>469</v>
      </c>
      <c r="G4" t="s">
        <v>471</v>
      </c>
      <c r="H4">
        <v>9079571</v>
      </c>
      <c r="J4">
        <v>9079571</v>
      </c>
      <c r="K4" t="s">
        <v>235</v>
      </c>
      <c r="L4" t="s">
        <v>438</v>
      </c>
      <c r="M4" t="str">
        <f>CONCATENATE(L4," ",K4)</f>
        <v>ADAM RICHTER</v>
      </c>
      <c r="N4" t="s">
        <v>57</v>
      </c>
      <c r="O4" s="1">
        <v>45995</v>
      </c>
      <c r="P4" s="1">
        <v>46026</v>
      </c>
      <c r="Q4" s="2">
        <v>252.65</v>
      </c>
      <c r="R4">
        <f>DATEDIF(O4,P4,"M")</f>
        <v>1</v>
      </c>
      <c r="S4" t="s">
        <v>60</v>
      </c>
      <c r="T4" t="s">
        <v>1370</v>
      </c>
      <c r="U4" s="4">
        <v>0.27</v>
      </c>
      <c r="V4" t="s">
        <v>83</v>
      </c>
      <c r="W4" t="s">
        <v>221</v>
      </c>
      <c r="X4" s="2">
        <v>0</v>
      </c>
      <c r="Y4" s="2">
        <v>68.22</v>
      </c>
      <c r="Z4" t="s">
        <v>1375</v>
      </c>
    </row>
    <row r="5" spans="1:26" x14ac:dyDescent="0.25">
      <c r="A5">
        <v>2032450942</v>
      </c>
      <c r="B5" t="s">
        <v>474</v>
      </c>
      <c r="C5" t="s">
        <v>475</v>
      </c>
      <c r="D5" t="str">
        <f>CONCATENATE(C5," ",B5)</f>
        <v>ESTHER HAUSS</v>
      </c>
      <c r="E5" t="s">
        <v>163</v>
      </c>
      <c r="F5" t="s">
        <v>469</v>
      </c>
      <c r="G5" t="s">
        <v>471</v>
      </c>
      <c r="H5">
        <v>9079571</v>
      </c>
      <c r="J5">
        <v>9079571</v>
      </c>
      <c r="K5" t="s">
        <v>235</v>
      </c>
      <c r="L5" t="s">
        <v>438</v>
      </c>
      <c r="M5" t="str">
        <f>CONCATENATE(L5," ",K5)</f>
        <v>ADAM RICHTER</v>
      </c>
      <c r="N5" t="s">
        <v>57</v>
      </c>
      <c r="O5" s="1">
        <v>45993</v>
      </c>
      <c r="P5" s="1">
        <v>46024</v>
      </c>
      <c r="Q5" s="2">
        <v>143.30000000000001</v>
      </c>
      <c r="R5">
        <f>DATEDIF(O5,P5,"M")</f>
        <v>1</v>
      </c>
      <c r="S5" t="s">
        <v>60</v>
      </c>
      <c r="T5" t="s">
        <v>1370</v>
      </c>
      <c r="U5" s="4">
        <v>0.27</v>
      </c>
      <c r="V5" t="s">
        <v>83</v>
      </c>
      <c r="W5" t="s">
        <v>221</v>
      </c>
      <c r="X5" s="2">
        <v>0</v>
      </c>
      <c r="Y5" s="2">
        <v>38.69</v>
      </c>
      <c r="Z5" t="s">
        <v>1375</v>
      </c>
    </row>
    <row r="6" spans="1:26" s="5" customFormat="1" x14ac:dyDescent="0.25">
      <c r="A6" s="5">
        <v>2032437757</v>
      </c>
      <c r="B6" s="5" t="s">
        <v>398</v>
      </c>
      <c r="C6" s="5" t="s">
        <v>399</v>
      </c>
      <c r="D6" s="5" t="str">
        <f>CONCATENATE(C6," ",B6)</f>
        <v>NECKO CIVIC</v>
      </c>
      <c r="E6" s="5" t="s">
        <v>125</v>
      </c>
      <c r="F6" s="5" t="s">
        <v>126</v>
      </c>
      <c r="G6" s="5" t="s">
        <v>132</v>
      </c>
      <c r="H6" s="5">
        <v>16912722</v>
      </c>
      <c r="I6" s="5" t="s">
        <v>1369</v>
      </c>
      <c r="J6" s="5" t="str">
        <f>CONCATENATE(H6,I6)</f>
        <v>16912722AV6</v>
      </c>
      <c r="K6" s="5" t="s">
        <v>206</v>
      </c>
      <c r="L6" s="5" t="s">
        <v>207</v>
      </c>
      <c r="M6" s="5" t="str">
        <f>CONCATENATE(L6," ",K6)</f>
        <v>ANDREA PETRUNGARO</v>
      </c>
      <c r="N6" s="5" t="s">
        <v>57</v>
      </c>
      <c r="O6" s="6">
        <v>46023</v>
      </c>
      <c r="P6" s="6">
        <v>46054</v>
      </c>
      <c r="Q6" s="7">
        <v>41.59</v>
      </c>
      <c r="R6" s="5">
        <f>DATEDIF(O6,P6,"M")</f>
        <v>1</v>
      </c>
      <c r="S6" s="5" t="s">
        <v>1378</v>
      </c>
      <c r="T6" s="5" t="s">
        <v>1379</v>
      </c>
      <c r="U6" s="8">
        <v>0.7</v>
      </c>
      <c r="V6" s="5" t="s">
        <v>83</v>
      </c>
      <c r="W6" s="5" t="s">
        <v>221</v>
      </c>
      <c r="X6" s="7">
        <v>174.66</v>
      </c>
      <c r="Y6" s="7">
        <v>29.11</v>
      </c>
      <c r="Z6" s="5" t="s">
        <v>132</v>
      </c>
    </row>
    <row r="7" spans="1:26" s="5" customFormat="1" x14ac:dyDescent="0.25">
      <c r="A7" s="5">
        <v>2032480159</v>
      </c>
      <c r="B7" s="5" t="s">
        <v>349</v>
      </c>
      <c r="C7" s="5" t="s">
        <v>350</v>
      </c>
      <c r="D7" s="5" t="str">
        <f>CONCATENATE(C7," ",B7)</f>
        <v>DANIELA DEBARTOLO</v>
      </c>
      <c r="E7" s="5" t="s">
        <v>102</v>
      </c>
      <c r="F7" s="5" t="s">
        <v>75</v>
      </c>
      <c r="G7" s="5" t="s">
        <v>76</v>
      </c>
      <c r="H7" s="5">
        <v>7470776</v>
      </c>
      <c r="I7" s="5" t="s">
        <v>1369</v>
      </c>
      <c r="J7" s="5" t="str">
        <f>CONCATENATE(H7,I7)</f>
        <v>7470776AV6</v>
      </c>
      <c r="K7" s="5" t="s">
        <v>261</v>
      </c>
      <c r="L7" s="5" t="s">
        <v>262</v>
      </c>
      <c r="M7" s="5" t="str">
        <f>CONCATENATE(L7," ",K7)</f>
        <v>Andrew Choi</v>
      </c>
      <c r="N7" s="5" t="s">
        <v>57</v>
      </c>
      <c r="O7" s="6">
        <v>46023</v>
      </c>
      <c r="P7" s="6">
        <v>46054</v>
      </c>
      <c r="Q7" s="7">
        <v>20.6</v>
      </c>
      <c r="R7" s="5">
        <f>DATEDIF(O7,P7,"M")</f>
        <v>1</v>
      </c>
      <c r="S7" s="5" t="s">
        <v>1378</v>
      </c>
      <c r="T7" s="5" t="s">
        <v>1379</v>
      </c>
      <c r="U7" s="8">
        <v>0.75</v>
      </c>
      <c r="V7" s="5" t="s">
        <v>83</v>
      </c>
      <c r="W7" s="5" t="s">
        <v>221</v>
      </c>
      <c r="X7" s="7">
        <v>92.7</v>
      </c>
      <c r="Y7" s="7">
        <v>15.45</v>
      </c>
      <c r="Z7" s="5" t="s">
        <v>1371</v>
      </c>
    </row>
    <row r="8" spans="1:26" s="5" customFormat="1" x14ac:dyDescent="0.25">
      <c r="A8" s="5">
        <v>2032445034</v>
      </c>
      <c r="B8" s="5" t="s">
        <v>259</v>
      </c>
      <c r="C8" s="5" t="s">
        <v>260</v>
      </c>
      <c r="D8" s="5" t="str">
        <f>CONCATENATE(C8," ",B8)</f>
        <v>WILLIAM RESURRECCION</v>
      </c>
      <c r="E8" s="5" t="s">
        <v>102</v>
      </c>
      <c r="F8" s="5" t="s">
        <v>75</v>
      </c>
      <c r="G8" s="5" t="s">
        <v>80</v>
      </c>
      <c r="H8" s="5">
        <v>7470776</v>
      </c>
      <c r="I8" s="5" t="s">
        <v>1369</v>
      </c>
      <c r="J8" s="5" t="str">
        <f>CONCATENATE(H8,I8)</f>
        <v>7470776AV6</v>
      </c>
      <c r="K8" s="5" t="s">
        <v>261</v>
      </c>
      <c r="L8" s="5" t="s">
        <v>262</v>
      </c>
      <c r="M8" s="5" t="str">
        <f>CONCATENATE(L8," ",K8)</f>
        <v>Andrew Choi</v>
      </c>
      <c r="N8" s="5" t="s">
        <v>57</v>
      </c>
      <c r="O8" s="6">
        <v>46006</v>
      </c>
      <c r="P8" s="6">
        <v>46037</v>
      </c>
      <c r="Q8" s="7">
        <v>29.67</v>
      </c>
      <c r="R8" s="5">
        <f>DATEDIF(O8,P8,"M")</f>
        <v>1</v>
      </c>
      <c r="S8" s="5" t="s">
        <v>1378</v>
      </c>
      <c r="T8" s="5" t="s">
        <v>1379</v>
      </c>
      <c r="U8" s="8">
        <v>0.9</v>
      </c>
      <c r="V8" s="5" t="s">
        <v>83</v>
      </c>
      <c r="W8" s="5" t="s">
        <v>221</v>
      </c>
      <c r="X8" s="7">
        <v>160.19999999999999</v>
      </c>
      <c r="Y8" s="7">
        <v>26.7</v>
      </c>
      <c r="Z8" s="5" t="s">
        <v>1372</v>
      </c>
    </row>
    <row r="9" spans="1:26" s="5" customFormat="1" x14ac:dyDescent="0.25">
      <c r="A9" s="5">
        <v>2032480160</v>
      </c>
      <c r="B9" s="5" t="s">
        <v>349</v>
      </c>
      <c r="C9" s="5" t="s">
        <v>350</v>
      </c>
      <c r="D9" s="5" t="str">
        <f>CONCATENATE(C9," ",B9)</f>
        <v>DANIELA DEBARTOLO</v>
      </c>
      <c r="E9" s="5" t="s">
        <v>102</v>
      </c>
      <c r="F9" s="5" t="s">
        <v>75</v>
      </c>
      <c r="G9" s="5" t="s">
        <v>80</v>
      </c>
      <c r="H9" s="5">
        <v>7470776</v>
      </c>
      <c r="I9" s="5" t="s">
        <v>1369</v>
      </c>
      <c r="J9" s="5" t="str">
        <f>CONCATENATE(H9,I9)</f>
        <v>7470776AV6</v>
      </c>
      <c r="K9" s="5" t="s">
        <v>261</v>
      </c>
      <c r="L9" s="5" t="s">
        <v>262</v>
      </c>
      <c r="M9" s="5" t="str">
        <f>CONCATENATE(L9," ",K9)</f>
        <v>Andrew Choi</v>
      </c>
      <c r="N9" s="5" t="s">
        <v>57</v>
      </c>
      <c r="O9" s="6">
        <v>46023</v>
      </c>
      <c r="P9" s="6">
        <v>46054</v>
      </c>
      <c r="Q9" s="7">
        <v>47.75</v>
      </c>
      <c r="R9" s="5">
        <f>DATEDIF(O9,P9,"M")</f>
        <v>1</v>
      </c>
      <c r="S9" s="5" t="s">
        <v>1378</v>
      </c>
      <c r="T9" s="5" t="s">
        <v>1379</v>
      </c>
      <c r="U9" s="8">
        <v>0.9</v>
      </c>
      <c r="V9" s="5" t="s">
        <v>83</v>
      </c>
      <c r="W9" s="5" t="s">
        <v>221</v>
      </c>
      <c r="X9" s="7">
        <v>257.88</v>
      </c>
      <c r="Y9" s="7">
        <v>42.98</v>
      </c>
      <c r="Z9" s="5" t="s">
        <v>1372</v>
      </c>
    </row>
    <row r="10" spans="1:26" s="5" customFormat="1" x14ac:dyDescent="0.25">
      <c r="A10" s="5">
        <v>2032445035</v>
      </c>
      <c r="B10" s="5" t="s">
        <v>259</v>
      </c>
      <c r="C10" s="5" t="s">
        <v>260</v>
      </c>
      <c r="D10" s="5" t="str">
        <f>CONCATENATE(C10," ",B10)</f>
        <v>WILLIAM RESURRECCION</v>
      </c>
      <c r="E10" s="5" t="s">
        <v>102</v>
      </c>
      <c r="F10" s="5" t="s">
        <v>290</v>
      </c>
      <c r="G10" s="5" t="s">
        <v>298</v>
      </c>
      <c r="H10" s="5">
        <v>7470776</v>
      </c>
      <c r="I10" s="5" t="s">
        <v>1369</v>
      </c>
      <c r="J10" s="5" t="str">
        <f>CONCATENATE(H10,I10)</f>
        <v>7470776AV6</v>
      </c>
      <c r="K10" s="5" t="s">
        <v>261</v>
      </c>
      <c r="L10" s="5" t="s">
        <v>262</v>
      </c>
      <c r="M10" s="5" t="str">
        <f>CONCATENATE(L10," ",K10)</f>
        <v>Andrew Choi</v>
      </c>
      <c r="N10" s="5" t="s">
        <v>57</v>
      </c>
      <c r="O10" s="6">
        <v>46006</v>
      </c>
      <c r="P10" s="6">
        <v>46037</v>
      </c>
      <c r="Q10" s="7">
        <v>15</v>
      </c>
      <c r="R10" s="5">
        <f>DATEDIF(O10,P10,"M")</f>
        <v>1</v>
      </c>
      <c r="S10" s="5" t="s">
        <v>1378</v>
      </c>
      <c r="T10" s="5" t="s">
        <v>1379</v>
      </c>
      <c r="U10" s="8">
        <v>0.38</v>
      </c>
      <c r="V10" s="5" t="s">
        <v>83</v>
      </c>
      <c r="W10" s="5" t="s">
        <v>221</v>
      </c>
      <c r="X10" s="7">
        <v>34.200000000000003</v>
      </c>
      <c r="Y10" s="7">
        <v>5.7</v>
      </c>
      <c r="Z10" s="5" t="s">
        <v>298</v>
      </c>
    </row>
    <row r="11" spans="1:26" s="5" customFormat="1" x14ac:dyDescent="0.25">
      <c r="A11" s="5">
        <v>2032480157</v>
      </c>
      <c r="B11" s="5" t="s">
        <v>349</v>
      </c>
      <c r="C11" s="5" t="s">
        <v>350</v>
      </c>
      <c r="D11" s="5" t="str">
        <f>CONCATENATE(C11," ",B11)</f>
        <v>DANIELA DEBARTOLO</v>
      </c>
      <c r="E11" s="5" t="s">
        <v>102</v>
      </c>
      <c r="F11" s="5" t="s">
        <v>86</v>
      </c>
      <c r="G11" s="5" t="s">
        <v>87</v>
      </c>
      <c r="H11" s="5">
        <v>7470776</v>
      </c>
      <c r="I11" s="5" t="s">
        <v>1369</v>
      </c>
      <c r="J11" s="5" t="str">
        <f>CONCATENATE(H11,I11)</f>
        <v>7470776AV6</v>
      </c>
      <c r="K11" s="5" t="s">
        <v>261</v>
      </c>
      <c r="L11" s="5" t="s">
        <v>262</v>
      </c>
      <c r="M11" s="5" t="str">
        <f>CONCATENATE(L11," ",K11)</f>
        <v>Andrew Choi</v>
      </c>
      <c r="N11" s="5" t="s">
        <v>57</v>
      </c>
      <c r="O11" s="6">
        <v>46023</v>
      </c>
      <c r="P11" s="6">
        <v>46054</v>
      </c>
      <c r="Q11" s="7">
        <v>78.760000000000005</v>
      </c>
      <c r="R11" s="5">
        <f>DATEDIF(O11,P11,"M")</f>
        <v>1</v>
      </c>
      <c r="S11" s="5" t="s">
        <v>1378</v>
      </c>
      <c r="T11" s="5" t="s">
        <v>1379</v>
      </c>
      <c r="U11" s="9">
        <v>0.375</v>
      </c>
      <c r="V11" s="5" t="s">
        <v>83</v>
      </c>
      <c r="W11" s="5" t="s">
        <v>221</v>
      </c>
      <c r="X11" s="7">
        <v>177.24</v>
      </c>
      <c r="Y11" s="7">
        <v>29.54</v>
      </c>
      <c r="Z11" s="5" t="s">
        <v>87</v>
      </c>
    </row>
    <row r="12" spans="1:26" s="5" customFormat="1" x14ac:dyDescent="0.25">
      <c r="A12" s="5">
        <v>2032445031</v>
      </c>
      <c r="B12" s="5" t="s">
        <v>259</v>
      </c>
      <c r="C12" s="5" t="s">
        <v>260</v>
      </c>
      <c r="D12" s="5" t="str">
        <f>CONCATENATE(C12," ",B12)</f>
        <v>WILLIAM RESURRECCION</v>
      </c>
      <c r="E12" s="5" t="s">
        <v>102</v>
      </c>
      <c r="F12" s="5" t="s">
        <v>365</v>
      </c>
      <c r="G12" s="5" t="s">
        <v>370</v>
      </c>
      <c r="H12" s="5">
        <v>7470776</v>
      </c>
      <c r="I12" s="5" t="s">
        <v>1369</v>
      </c>
      <c r="J12" s="5" t="str">
        <f>CONCATENATE(H12,I12)</f>
        <v>7470776AV6</v>
      </c>
      <c r="K12" s="5" t="s">
        <v>261</v>
      </c>
      <c r="L12" s="5" t="s">
        <v>262</v>
      </c>
      <c r="M12" s="5" t="str">
        <f>CONCATENATE(L12," ",K12)</f>
        <v>Andrew Choi</v>
      </c>
      <c r="N12" s="5" t="s">
        <v>57</v>
      </c>
      <c r="O12" s="6">
        <v>46006</v>
      </c>
      <c r="P12" s="6">
        <v>46037</v>
      </c>
      <c r="Q12" s="7">
        <v>118.19</v>
      </c>
      <c r="R12" s="5">
        <f>DATEDIF(O12,P12,"M")</f>
        <v>1</v>
      </c>
      <c r="S12" s="5" t="s">
        <v>1378</v>
      </c>
      <c r="T12" s="5" t="s">
        <v>1379</v>
      </c>
      <c r="U12" s="8">
        <v>0.38</v>
      </c>
      <c r="V12" s="5" t="s">
        <v>83</v>
      </c>
      <c r="W12" s="5" t="s">
        <v>221</v>
      </c>
      <c r="X12" s="7">
        <v>269.45999999999998</v>
      </c>
      <c r="Y12" s="7">
        <v>44.91</v>
      </c>
      <c r="Z12" s="5" t="s">
        <v>370</v>
      </c>
    </row>
    <row r="13" spans="1:26" s="5" customFormat="1" x14ac:dyDescent="0.25">
      <c r="A13" s="5">
        <v>2032445032</v>
      </c>
      <c r="B13" s="5" t="s">
        <v>259</v>
      </c>
      <c r="C13" s="5" t="s">
        <v>260</v>
      </c>
      <c r="D13" s="5" t="str">
        <f>CONCATENATE(C13," ",B13)</f>
        <v>WILLIAM RESURRECCION</v>
      </c>
      <c r="E13" s="5" t="s">
        <v>102</v>
      </c>
      <c r="F13" s="5" t="s">
        <v>365</v>
      </c>
      <c r="G13" s="5" t="s">
        <v>371</v>
      </c>
      <c r="H13" s="5">
        <v>7470776</v>
      </c>
      <c r="I13" s="5" t="s">
        <v>1369</v>
      </c>
      <c r="J13" s="5" t="str">
        <f>CONCATENATE(H13,I13)</f>
        <v>7470776AV6</v>
      </c>
      <c r="K13" s="5" t="s">
        <v>261</v>
      </c>
      <c r="L13" s="5" t="s">
        <v>262</v>
      </c>
      <c r="M13" s="5" t="str">
        <f>CONCATENATE(L13," ",K13)</f>
        <v>Andrew Choi</v>
      </c>
      <c r="N13" s="5" t="s">
        <v>57</v>
      </c>
      <c r="O13" s="6">
        <v>46006</v>
      </c>
      <c r="P13" s="6">
        <v>46037</v>
      </c>
      <c r="Q13" s="7">
        <v>7.09</v>
      </c>
      <c r="R13" s="5">
        <f>DATEDIF(O13,P13,"M")</f>
        <v>1</v>
      </c>
      <c r="S13" s="5" t="s">
        <v>1378</v>
      </c>
      <c r="T13" s="5" t="s">
        <v>1379</v>
      </c>
      <c r="U13" s="8">
        <v>0.38</v>
      </c>
      <c r="V13" s="5" t="s">
        <v>83</v>
      </c>
      <c r="W13" s="5" t="s">
        <v>221</v>
      </c>
      <c r="X13" s="7">
        <v>16.14</v>
      </c>
      <c r="Y13" s="7">
        <v>2.69</v>
      </c>
      <c r="Z13" s="5" t="s">
        <v>370</v>
      </c>
    </row>
    <row r="14" spans="1:26" s="5" customFormat="1" x14ac:dyDescent="0.25">
      <c r="A14" s="5">
        <v>2032445033</v>
      </c>
      <c r="B14" s="5" t="s">
        <v>259</v>
      </c>
      <c r="C14" s="5" t="s">
        <v>260</v>
      </c>
      <c r="D14" s="5" t="str">
        <f>CONCATENATE(C14," ",B14)</f>
        <v>WILLIAM RESURRECCION</v>
      </c>
      <c r="E14" s="5" t="s">
        <v>102</v>
      </c>
      <c r="F14" s="5" t="s">
        <v>126</v>
      </c>
      <c r="G14" s="5" t="s">
        <v>132</v>
      </c>
      <c r="H14" s="5">
        <v>7470776</v>
      </c>
      <c r="I14" s="5" t="s">
        <v>1369</v>
      </c>
      <c r="J14" s="5" t="str">
        <f>CONCATENATE(H14,I14)</f>
        <v>7470776AV6</v>
      </c>
      <c r="K14" s="5" t="s">
        <v>261</v>
      </c>
      <c r="L14" s="5" t="s">
        <v>262</v>
      </c>
      <c r="M14" s="5" t="str">
        <f>CONCATENATE(L14," ",K14)</f>
        <v>Andrew Choi</v>
      </c>
      <c r="N14" s="5" t="s">
        <v>57</v>
      </c>
      <c r="O14" s="6">
        <v>46006</v>
      </c>
      <c r="P14" s="6">
        <v>46037</v>
      </c>
      <c r="Q14" s="7">
        <v>22</v>
      </c>
      <c r="R14" s="5">
        <f>DATEDIF(O14,P14,"M")</f>
        <v>1</v>
      </c>
      <c r="S14" s="5" t="s">
        <v>1378</v>
      </c>
      <c r="T14" s="5" t="s">
        <v>1379</v>
      </c>
      <c r="U14" s="8">
        <v>0.7</v>
      </c>
      <c r="V14" s="5" t="s">
        <v>83</v>
      </c>
      <c r="W14" s="5" t="s">
        <v>221</v>
      </c>
      <c r="X14" s="7">
        <v>92.4</v>
      </c>
      <c r="Y14" s="7">
        <v>15.4</v>
      </c>
      <c r="Z14" s="5" t="s">
        <v>132</v>
      </c>
    </row>
    <row r="15" spans="1:26" s="5" customFormat="1" x14ac:dyDescent="0.25">
      <c r="A15" s="5">
        <v>2032480158</v>
      </c>
      <c r="B15" s="5" t="s">
        <v>349</v>
      </c>
      <c r="C15" s="5" t="s">
        <v>350</v>
      </c>
      <c r="D15" s="5" t="str">
        <f>CONCATENATE(C15," ",B15)</f>
        <v>DANIELA DEBARTOLO</v>
      </c>
      <c r="E15" s="5" t="s">
        <v>102</v>
      </c>
      <c r="F15" s="5" t="s">
        <v>126</v>
      </c>
      <c r="G15" s="5" t="s">
        <v>132</v>
      </c>
      <c r="H15" s="5">
        <v>7470776</v>
      </c>
      <c r="I15" s="5" t="s">
        <v>1369</v>
      </c>
      <c r="J15" s="5" t="str">
        <f>CONCATENATE(H15,I15)</f>
        <v>7470776AV6</v>
      </c>
      <c r="K15" s="5" t="s">
        <v>261</v>
      </c>
      <c r="L15" s="5" t="s">
        <v>262</v>
      </c>
      <c r="M15" s="5" t="str">
        <f>CONCATENATE(L15," ",K15)</f>
        <v>Andrew Choi</v>
      </c>
      <c r="N15" s="5" t="s">
        <v>57</v>
      </c>
      <c r="O15" s="6">
        <v>46023</v>
      </c>
      <c r="P15" s="6">
        <v>46054</v>
      </c>
      <c r="Q15" s="7">
        <v>22</v>
      </c>
      <c r="R15" s="5">
        <f>DATEDIF(O15,P15,"M")</f>
        <v>1</v>
      </c>
      <c r="S15" s="5" t="s">
        <v>1378</v>
      </c>
      <c r="T15" s="5" t="s">
        <v>1379</v>
      </c>
      <c r="U15" s="8">
        <v>0.7</v>
      </c>
      <c r="V15" s="5" t="s">
        <v>83</v>
      </c>
      <c r="W15" s="5" t="s">
        <v>221</v>
      </c>
      <c r="X15" s="7">
        <v>92.4</v>
      </c>
      <c r="Y15" s="7">
        <v>15.4</v>
      </c>
      <c r="Z15" s="5" t="s">
        <v>132</v>
      </c>
    </row>
    <row r="16" spans="1:26" x14ac:dyDescent="0.25">
      <c r="A16">
        <v>2032515207</v>
      </c>
      <c r="B16" t="s">
        <v>238</v>
      </c>
      <c r="C16" t="s">
        <v>65</v>
      </c>
      <c r="D16" t="str">
        <f>CONCATENATE(C16," ",B16)</f>
        <v>JASON MCMILLEN</v>
      </c>
      <c r="E16" t="s">
        <v>52</v>
      </c>
      <c r="F16" t="s">
        <v>365</v>
      </c>
      <c r="G16" t="s">
        <v>366</v>
      </c>
      <c r="H16">
        <v>19278370</v>
      </c>
      <c r="J16">
        <v>19278370</v>
      </c>
      <c r="K16" t="s">
        <v>187</v>
      </c>
      <c r="L16" t="s">
        <v>188</v>
      </c>
      <c r="M16" t="str">
        <f>CONCATENATE(L16," ",K16)</f>
        <v>ANNE MARIE KOZACHECK</v>
      </c>
      <c r="N16" t="s">
        <v>57</v>
      </c>
      <c r="O16" s="1">
        <v>46023</v>
      </c>
      <c r="P16" s="1">
        <v>46054</v>
      </c>
      <c r="Q16" s="2">
        <v>63.67</v>
      </c>
      <c r="R16">
        <f>DATEDIF(O16,P16,"M")</f>
        <v>1</v>
      </c>
      <c r="S16" t="s">
        <v>60</v>
      </c>
      <c r="T16" t="s">
        <v>1370</v>
      </c>
      <c r="U16" s="4">
        <v>0.38</v>
      </c>
      <c r="V16" t="s">
        <v>83</v>
      </c>
      <c r="W16" t="s">
        <v>221</v>
      </c>
      <c r="X16" s="2">
        <v>145.13999999999999</v>
      </c>
      <c r="Y16" s="2">
        <v>24.19</v>
      </c>
      <c r="Z16" t="s">
        <v>366</v>
      </c>
    </row>
    <row r="17" spans="1:26" x14ac:dyDescent="0.25">
      <c r="A17">
        <v>2032515206</v>
      </c>
      <c r="B17" t="s">
        <v>238</v>
      </c>
      <c r="C17" t="s">
        <v>65</v>
      </c>
      <c r="D17" t="str">
        <f>CONCATENATE(C17," ",B17)</f>
        <v>JASON MCMILLEN</v>
      </c>
      <c r="E17" t="s">
        <v>52</v>
      </c>
      <c r="F17" t="s">
        <v>53</v>
      </c>
      <c r="G17" t="s">
        <v>54</v>
      </c>
      <c r="H17">
        <v>19278370</v>
      </c>
      <c r="J17">
        <v>19278370</v>
      </c>
      <c r="K17" t="s">
        <v>187</v>
      </c>
      <c r="L17" t="s">
        <v>188</v>
      </c>
      <c r="M17" t="str">
        <f>CONCATENATE(L17," ",K17)</f>
        <v>ANNE MARIE KOZACHECK</v>
      </c>
      <c r="N17" t="s">
        <v>57</v>
      </c>
      <c r="O17" s="1">
        <v>46023</v>
      </c>
      <c r="P17" s="1">
        <v>46054</v>
      </c>
      <c r="Q17" s="2">
        <v>79.75</v>
      </c>
      <c r="R17">
        <f>DATEDIF(O17,P17,"M")</f>
        <v>1</v>
      </c>
      <c r="S17" t="s">
        <v>60</v>
      </c>
      <c r="T17" t="s">
        <v>1370</v>
      </c>
      <c r="U17" s="4">
        <v>0.6</v>
      </c>
      <c r="V17" t="s">
        <v>83</v>
      </c>
      <c r="W17" t="s">
        <v>221</v>
      </c>
      <c r="X17" s="2">
        <v>287.10000000000002</v>
      </c>
      <c r="Y17" s="2">
        <v>47.85</v>
      </c>
      <c r="Z17" t="s">
        <v>54</v>
      </c>
    </row>
    <row r="18" spans="1:26" x14ac:dyDescent="0.25">
      <c r="A18">
        <v>2032471094</v>
      </c>
      <c r="B18" t="s">
        <v>345</v>
      </c>
      <c r="C18" t="s">
        <v>346</v>
      </c>
      <c r="D18" t="str">
        <f>CONCATENATE(C18," ",B18)</f>
        <v>MAYER SHERMAN</v>
      </c>
      <c r="E18" t="s">
        <v>102</v>
      </c>
      <c r="F18" t="s">
        <v>126</v>
      </c>
      <c r="G18" t="s">
        <v>132</v>
      </c>
      <c r="H18">
        <v>21348299</v>
      </c>
      <c r="J18">
        <v>21348299</v>
      </c>
      <c r="K18" t="s">
        <v>98</v>
      </c>
      <c r="L18" t="s">
        <v>99</v>
      </c>
      <c r="M18" t="str">
        <f>CONCATENATE(L18," ",K18)</f>
        <v>BARRY BRENNER</v>
      </c>
      <c r="N18" t="s">
        <v>57</v>
      </c>
      <c r="O18" s="1">
        <v>46023</v>
      </c>
      <c r="P18" s="1">
        <v>46054</v>
      </c>
      <c r="Q18" s="2">
        <v>269.38</v>
      </c>
      <c r="R18">
        <f>DATEDIF(O18,P18,"M")</f>
        <v>1</v>
      </c>
      <c r="S18" t="s">
        <v>60</v>
      </c>
      <c r="T18" t="s">
        <v>1370</v>
      </c>
      <c r="U18" s="4">
        <v>0.7</v>
      </c>
      <c r="V18" t="s">
        <v>83</v>
      </c>
      <c r="W18" t="s">
        <v>221</v>
      </c>
      <c r="X18" s="2">
        <v>1131.42</v>
      </c>
      <c r="Y18" s="2">
        <v>188.57</v>
      </c>
      <c r="Z18" t="s">
        <v>132</v>
      </c>
    </row>
    <row r="19" spans="1:26" x14ac:dyDescent="0.25">
      <c r="A19">
        <v>2032496246</v>
      </c>
      <c r="B19" t="s">
        <v>450</v>
      </c>
      <c r="C19" t="s">
        <v>451</v>
      </c>
      <c r="D19" t="str">
        <f>CONCATENATE(C19," ",B19)</f>
        <v>TANIA CASTRO</v>
      </c>
      <c r="E19" t="s">
        <v>97</v>
      </c>
      <c r="F19" t="s">
        <v>126</v>
      </c>
      <c r="G19" t="s">
        <v>132</v>
      </c>
      <c r="H19">
        <v>21348299</v>
      </c>
      <c r="J19">
        <v>21348299</v>
      </c>
      <c r="K19" t="s">
        <v>98</v>
      </c>
      <c r="L19" t="s">
        <v>99</v>
      </c>
      <c r="M19" t="str">
        <f>CONCATENATE(L19," ",K19)</f>
        <v>BARRY BRENNER</v>
      </c>
      <c r="N19" t="s">
        <v>57</v>
      </c>
      <c r="O19" s="1">
        <v>46023</v>
      </c>
      <c r="P19" s="1">
        <v>46054</v>
      </c>
      <c r="Q19" s="2">
        <v>60.4</v>
      </c>
      <c r="R19">
        <f>DATEDIF(O19,P19,"M")</f>
        <v>1</v>
      </c>
      <c r="S19" t="s">
        <v>60</v>
      </c>
      <c r="T19" t="s">
        <v>1370</v>
      </c>
      <c r="U19" s="4">
        <v>0.7</v>
      </c>
      <c r="V19" t="s">
        <v>83</v>
      </c>
      <c r="W19" t="s">
        <v>221</v>
      </c>
      <c r="X19" s="2">
        <v>253.68</v>
      </c>
      <c r="Y19" s="2">
        <v>42.28</v>
      </c>
      <c r="Z19" t="s">
        <v>132</v>
      </c>
    </row>
    <row r="20" spans="1:26" x14ac:dyDescent="0.25">
      <c r="A20">
        <v>2032551265</v>
      </c>
      <c r="B20" t="s">
        <v>363</v>
      </c>
      <c r="C20" t="s">
        <v>364</v>
      </c>
      <c r="D20" t="str">
        <f>CONCATENATE(C20," ",B20)</f>
        <v>ZOE ZELENSKY</v>
      </c>
      <c r="E20" t="s">
        <v>102</v>
      </c>
      <c r="F20" t="s">
        <v>126</v>
      </c>
      <c r="G20" t="s">
        <v>132</v>
      </c>
      <c r="H20">
        <v>21348299</v>
      </c>
      <c r="J20">
        <v>21348299</v>
      </c>
      <c r="K20" t="s">
        <v>98</v>
      </c>
      <c r="L20" t="s">
        <v>99</v>
      </c>
      <c r="M20" t="str">
        <f>CONCATENATE(L20," ",K20)</f>
        <v>BARRY BRENNER</v>
      </c>
      <c r="N20" t="s">
        <v>57</v>
      </c>
      <c r="O20" s="1">
        <v>46023</v>
      </c>
      <c r="P20" s="1">
        <v>46054</v>
      </c>
      <c r="Q20" s="2">
        <v>49.8</v>
      </c>
      <c r="R20">
        <f>DATEDIF(O20,P20,"M")</f>
        <v>1</v>
      </c>
      <c r="S20" t="s">
        <v>60</v>
      </c>
      <c r="T20" t="s">
        <v>1370</v>
      </c>
      <c r="U20" s="4">
        <v>0.7</v>
      </c>
      <c r="V20" t="s">
        <v>83</v>
      </c>
      <c r="W20" t="s">
        <v>221</v>
      </c>
      <c r="X20" s="2">
        <v>209.16</v>
      </c>
      <c r="Y20" s="2">
        <v>34.86</v>
      </c>
      <c r="Z20" t="s">
        <v>132</v>
      </c>
    </row>
    <row r="21" spans="1:26" x14ac:dyDescent="0.25">
      <c r="A21">
        <v>2032471095</v>
      </c>
      <c r="B21" t="s">
        <v>345</v>
      </c>
      <c r="C21" t="s">
        <v>346</v>
      </c>
      <c r="D21" t="str">
        <f>CONCATENATE(C21," ",B21)</f>
        <v>MAYER SHERMAN</v>
      </c>
      <c r="E21" t="s">
        <v>102</v>
      </c>
      <c r="F21" t="s">
        <v>86</v>
      </c>
      <c r="G21" t="s">
        <v>87</v>
      </c>
      <c r="H21">
        <v>21348299</v>
      </c>
      <c r="J21">
        <v>21348299</v>
      </c>
      <c r="K21" t="s">
        <v>98</v>
      </c>
      <c r="L21" t="s">
        <v>99</v>
      </c>
      <c r="M21" t="str">
        <f>CONCATENATE(L21," ",K21)</f>
        <v>BARRY BRENNER</v>
      </c>
      <c r="N21" t="s">
        <v>57</v>
      </c>
      <c r="O21" s="1">
        <v>46023</v>
      </c>
      <c r="P21" s="1">
        <v>46054</v>
      </c>
      <c r="Q21" s="2">
        <v>152.33000000000001</v>
      </c>
      <c r="R21">
        <f>DATEDIF(O21,P21,"M")</f>
        <v>1</v>
      </c>
      <c r="S21" t="s">
        <v>60</v>
      </c>
      <c r="T21" t="s">
        <v>1370</v>
      </c>
      <c r="U21" s="3">
        <v>0.375</v>
      </c>
      <c r="V21" t="s">
        <v>83</v>
      </c>
      <c r="W21" t="s">
        <v>221</v>
      </c>
      <c r="X21" s="2">
        <v>342.72</v>
      </c>
      <c r="Y21" s="2">
        <v>57.12</v>
      </c>
      <c r="Z21" t="s">
        <v>87</v>
      </c>
    </row>
    <row r="22" spans="1:26" x14ac:dyDescent="0.25">
      <c r="A22">
        <v>2032551264</v>
      </c>
      <c r="B22" t="s">
        <v>363</v>
      </c>
      <c r="C22" t="s">
        <v>364</v>
      </c>
      <c r="D22" t="str">
        <f>CONCATENATE(C22," ",B22)</f>
        <v>ZOE ZELENSKY</v>
      </c>
      <c r="E22" t="s">
        <v>102</v>
      </c>
      <c r="F22" t="s">
        <v>86</v>
      </c>
      <c r="G22" t="s">
        <v>87</v>
      </c>
      <c r="H22">
        <v>21348299</v>
      </c>
      <c r="J22">
        <v>21348299</v>
      </c>
      <c r="K22" t="s">
        <v>98</v>
      </c>
      <c r="L22" t="s">
        <v>99</v>
      </c>
      <c r="M22" t="str">
        <f>CONCATENATE(L22," ",K22)</f>
        <v>BARRY BRENNER</v>
      </c>
      <c r="N22" t="s">
        <v>57</v>
      </c>
      <c r="O22" s="1">
        <v>46023</v>
      </c>
      <c r="P22" s="1">
        <v>46054</v>
      </c>
      <c r="Q22" s="2">
        <v>54.7</v>
      </c>
      <c r="R22">
        <f>DATEDIF(O22,P22,"M")</f>
        <v>1</v>
      </c>
      <c r="S22" t="s">
        <v>60</v>
      </c>
      <c r="T22" t="s">
        <v>1370</v>
      </c>
      <c r="U22" s="3">
        <v>0.375</v>
      </c>
      <c r="V22" t="s">
        <v>83</v>
      </c>
      <c r="W22" t="s">
        <v>221</v>
      </c>
      <c r="X22" s="2">
        <v>123.06</v>
      </c>
      <c r="Y22" s="2">
        <v>20.51</v>
      </c>
      <c r="Z22" t="s">
        <v>87</v>
      </c>
    </row>
    <row r="23" spans="1:26" s="5" customFormat="1" x14ac:dyDescent="0.25">
      <c r="A23" s="5">
        <v>2032403821</v>
      </c>
      <c r="B23" s="5" t="s">
        <v>331</v>
      </c>
      <c r="C23" s="5" t="s">
        <v>332</v>
      </c>
      <c r="D23" s="5" t="str">
        <f>CONCATENATE(C23," ",B23)</f>
        <v>TIANNA ROUS</v>
      </c>
      <c r="E23" s="5" t="s">
        <v>102</v>
      </c>
      <c r="F23" s="5" t="s">
        <v>86</v>
      </c>
      <c r="G23" s="5" t="s">
        <v>87</v>
      </c>
      <c r="H23" s="5">
        <v>19586992</v>
      </c>
      <c r="I23" s="5" t="s">
        <v>1369</v>
      </c>
      <c r="J23" s="5" t="str">
        <f>CONCATENATE(H23,I23)</f>
        <v>19586992AV6</v>
      </c>
      <c r="K23" s="5" t="s">
        <v>92</v>
      </c>
      <c r="L23" s="5" t="s">
        <v>93</v>
      </c>
      <c r="M23" s="5" t="str">
        <f>CONCATENATE(L23," ",K23)</f>
        <v>Barry Schumann</v>
      </c>
      <c r="N23" s="5" t="s">
        <v>57</v>
      </c>
      <c r="O23" s="6">
        <v>46023</v>
      </c>
      <c r="P23" s="6">
        <v>46054</v>
      </c>
      <c r="Q23" s="7">
        <v>78.760000000000005</v>
      </c>
      <c r="R23" s="5">
        <f>DATEDIF(O23,P23,"M")</f>
        <v>1</v>
      </c>
      <c r="S23" s="5" t="s">
        <v>1378</v>
      </c>
      <c r="T23" s="5" t="s">
        <v>1379</v>
      </c>
      <c r="U23" s="9">
        <v>0.375</v>
      </c>
      <c r="V23" s="5" t="s">
        <v>83</v>
      </c>
      <c r="W23" s="5" t="s">
        <v>221</v>
      </c>
      <c r="X23" s="7">
        <v>177.24</v>
      </c>
      <c r="Y23" s="7">
        <v>29.54</v>
      </c>
      <c r="Z23" s="5" t="s">
        <v>87</v>
      </c>
    </row>
    <row r="24" spans="1:26" s="5" customFormat="1" x14ac:dyDescent="0.25">
      <c r="A24" s="5">
        <v>2032403820</v>
      </c>
      <c r="B24" s="5" t="s">
        <v>331</v>
      </c>
      <c r="C24" s="5" t="s">
        <v>332</v>
      </c>
      <c r="D24" s="5" t="str">
        <f>CONCATENATE(C24," ",B24)</f>
        <v>TIANNA ROUS</v>
      </c>
      <c r="E24" s="5" t="s">
        <v>102</v>
      </c>
      <c r="F24" s="5" t="s">
        <v>126</v>
      </c>
      <c r="G24" s="5" t="s">
        <v>132</v>
      </c>
      <c r="H24" s="5">
        <v>19586992</v>
      </c>
      <c r="I24" s="5" t="s">
        <v>1369</v>
      </c>
      <c r="J24" s="5" t="str">
        <f>CONCATENATE(H24,I24)</f>
        <v>19586992AV6</v>
      </c>
      <c r="K24" s="5" t="s">
        <v>92</v>
      </c>
      <c r="L24" s="5" t="s">
        <v>93</v>
      </c>
      <c r="M24" s="5" t="str">
        <f>CONCATENATE(L24," ",K24)</f>
        <v>Barry Schumann</v>
      </c>
      <c r="N24" s="5" t="s">
        <v>57</v>
      </c>
      <c r="O24" s="6">
        <v>46023</v>
      </c>
      <c r="P24" s="6">
        <v>46054</v>
      </c>
      <c r="Q24" s="7">
        <v>78.569999999999993</v>
      </c>
      <c r="R24" s="5">
        <f>DATEDIF(O24,P24,"M")</f>
        <v>1</v>
      </c>
      <c r="S24" s="5" t="s">
        <v>1378</v>
      </c>
      <c r="T24" s="5" t="s">
        <v>1379</v>
      </c>
      <c r="U24" s="8">
        <v>0.7</v>
      </c>
      <c r="V24" s="5" t="s">
        <v>83</v>
      </c>
      <c r="W24" s="5" t="s">
        <v>221</v>
      </c>
      <c r="X24" s="7">
        <v>330</v>
      </c>
      <c r="Y24" s="7">
        <v>55</v>
      </c>
      <c r="Z24" s="5" t="s">
        <v>132</v>
      </c>
    </row>
    <row r="25" spans="1:26" s="5" customFormat="1" x14ac:dyDescent="0.25">
      <c r="A25" s="5">
        <v>2032456510</v>
      </c>
      <c r="B25" s="5" t="s">
        <v>412</v>
      </c>
      <c r="C25" s="5" t="s">
        <v>413</v>
      </c>
      <c r="D25" s="5" t="str">
        <f>CONCATENATE(C25," ",B25)</f>
        <v>PATRICIA DUNN</v>
      </c>
      <c r="E25" s="5" t="s">
        <v>163</v>
      </c>
      <c r="F25" s="5" t="s">
        <v>126</v>
      </c>
      <c r="G25" s="5" t="s">
        <v>402</v>
      </c>
      <c r="H25" s="5">
        <v>17554531</v>
      </c>
      <c r="I25" s="5" t="s">
        <v>1369</v>
      </c>
      <c r="J25" s="5" t="str">
        <f>CONCATENATE(H25,I25)</f>
        <v>17554531AV6</v>
      </c>
      <c r="K25" s="5" t="s">
        <v>414</v>
      </c>
      <c r="L25" s="5" t="s">
        <v>415</v>
      </c>
      <c r="M25" s="5" t="str">
        <f>CONCATENATE(L25," ",K25)</f>
        <v>Brittany Oliver</v>
      </c>
      <c r="N25" s="5" t="s">
        <v>57</v>
      </c>
      <c r="O25" s="6">
        <v>46023</v>
      </c>
      <c r="P25" s="6">
        <v>46054</v>
      </c>
      <c r="Q25" s="7">
        <v>24.8</v>
      </c>
      <c r="R25" s="5">
        <f>DATEDIF(O25,P25,"M")</f>
        <v>1</v>
      </c>
      <c r="S25" s="5" t="s">
        <v>1378</v>
      </c>
      <c r="T25" s="5" t="s">
        <v>1379</v>
      </c>
      <c r="U25" s="8">
        <v>0.42</v>
      </c>
      <c r="V25" s="5" t="s">
        <v>83</v>
      </c>
      <c r="W25" s="5" t="s">
        <v>221</v>
      </c>
      <c r="X25" s="7">
        <v>62.52</v>
      </c>
      <c r="Y25" s="7">
        <v>10.42</v>
      </c>
      <c r="Z25" s="5" t="s">
        <v>402</v>
      </c>
    </row>
    <row r="26" spans="1:26" x14ac:dyDescent="0.25">
      <c r="A26">
        <v>2032549293</v>
      </c>
      <c r="B26" t="s">
        <v>323</v>
      </c>
      <c r="C26" t="s">
        <v>324</v>
      </c>
      <c r="D26" t="str">
        <f>CONCATENATE(C26," ",B26)</f>
        <v>KEVIN HIRSHORN</v>
      </c>
      <c r="E26" t="s">
        <v>125</v>
      </c>
      <c r="F26" t="s">
        <v>290</v>
      </c>
      <c r="G26" t="s">
        <v>291</v>
      </c>
      <c r="H26">
        <v>17425766</v>
      </c>
      <c r="J26">
        <v>17425766</v>
      </c>
      <c r="K26" t="s">
        <v>88</v>
      </c>
      <c r="L26" t="s">
        <v>89</v>
      </c>
      <c r="M26" t="str">
        <f>CONCATENATE(L26," ",K26)</f>
        <v>CAROL FOLEY</v>
      </c>
      <c r="N26" t="s">
        <v>57</v>
      </c>
      <c r="O26" s="1">
        <v>46023</v>
      </c>
      <c r="P26" s="1">
        <v>46054</v>
      </c>
      <c r="Q26" s="2">
        <v>15</v>
      </c>
      <c r="R26">
        <f>DATEDIF(O26,P26,"M")</f>
        <v>1</v>
      </c>
      <c r="S26" t="s">
        <v>60</v>
      </c>
      <c r="T26" t="s">
        <v>1370</v>
      </c>
      <c r="U26" s="4">
        <v>0.28999999999999998</v>
      </c>
      <c r="V26" t="s">
        <v>83</v>
      </c>
      <c r="W26" t="s">
        <v>221</v>
      </c>
      <c r="X26" s="2">
        <v>26.1</v>
      </c>
      <c r="Y26" s="2">
        <v>4.3499999999999996</v>
      </c>
      <c r="Z26" t="s">
        <v>1373</v>
      </c>
    </row>
    <row r="27" spans="1:26" x14ac:dyDescent="0.25">
      <c r="A27">
        <v>2032549292</v>
      </c>
      <c r="B27" t="s">
        <v>323</v>
      </c>
      <c r="C27" t="s">
        <v>324</v>
      </c>
      <c r="D27" t="str">
        <f>CONCATENATE(C27," ",B27)</f>
        <v>KEVIN HIRSHORN</v>
      </c>
      <c r="E27" t="s">
        <v>125</v>
      </c>
      <c r="F27" t="s">
        <v>469</v>
      </c>
      <c r="G27" t="s">
        <v>718</v>
      </c>
      <c r="H27">
        <v>17425766</v>
      </c>
      <c r="J27">
        <v>17425766</v>
      </c>
      <c r="K27" t="s">
        <v>88</v>
      </c>
      <c r="L27" t="s">
        <v>89</v>
      </c>
      <c r="M27" t="str">
        <f>CONCATENATE(L27," ",K27)</f>
        <v>CAROL FOLEY</v>
      </c>
      <c r="N27" t="s">
        <v>57</v>
      </c>
      <c r="O27" s="1">
        <v>46023</v>
      </c>
      <c r="P27" s="1">
        <v>46054</v>
      </c>
      <c r="Q27" s="2">
        <v>312.98</v>
      </c>
      <c r="R27">
        <f>DATEDIF(O27,P27,"M")</f>
        <v>1</v>
      </c>
      <c r="S27" t="s">
        <v>60</v>
      </c>
      <c r="T27" t="s">
        <v>1370</v>
      </c>
      <c r="U27" s="4">
        <v>0.28999999999999998</v>
      </c>
      <c r="V27" t="s">
        <v>83</v>
      </c>
      <c r="W27" t="s">
        <v>221</v>
      </c>
      <c r="X27" s="2">
        <v>544.55999999999995</v>
      </c>
      <c r="Y27" s="2">
        <v>90.76</v>
      </c>
      <c r="Z27" t="s">
        <v>470</v>
      </c>
    </row>
    <row r="28" spans="1:26" x14ac:dyDescent="0.25">
      <c r="A28">
        <v>2032549291</v>
      </c>
      <c r="B28" t="s">
        <v>323</v>
      </c>
      <c r="C28" t="s">
        <v>324</v>
      </c>
      <c r="D28" t="str">
        <f>CONCATENATE(C28," ",B28)</f>
        <v>KEVIN HIRSHORN</v>
      </c>
      <c r="E28" t="s">
        <v>125</v>
      </c>
      <c r="F28" t="s">
        <v>469</v>
      </c>
      <c r="G28" t="s">
        <v>717</v>
      </c>
      <c r="H28">
        <v>17425766</v>
      </c>
      <c r="J28">
        <v>17425766</v>
      </c>
      <c r="K28" t="s">
        <v>88</v>
      </c>
      <c r="L28" t="s">
        <v>89</v>
      </c>
      <c r="M28" t="str">
        <f>CONCATENATE(L28," ",K28)</f>
        <v>CAROL FOLEY</v>
      </c>
      <c r="N28" t="s">
        <v>57</v>
      </c>
      <c r="O28" s="1">
        <v>46023</v>
      </c>
      <c r="P28" s="1">
        <v>46054</v>
      </c>
      <c r="Q28" s="2">
        <v>9.9499999999999993</v>
      </c>
      <c r="R28">
        <f>DATEDIF(O28,P28,"M")</f>
        <v>1</v>
      </c>
      <c r="S28" t="s">
        <v>60</v>
      </c>
      <c r="T28" t="s">
        <v>1370</v>
      </c>
      <c r="U28" s="4">
        <v>0.28999999999999998</v>
      </c>
      <c r="V28" t="s">
        <v>83</v>
      </c>
      <c r="W28" t="s">
        <v>221</v>
      </c>
      <c r="X28" s="2">
        <v>17.34</v>
      </c>
      <c r="Y28" s="2">
        <v>2.89</v>
      </c>
      <c r="Z28" t="s">
        <v>470</v>
      </c>
    </row>
    <row r="29" spans="1:26" x14ac:dyDescent="0.25">
      <c r="A29">
        <v>2032467049</v>
      </c>
      <c r="B29" t="s">
        <v>425</v>
      </c>
      <c r="C29" t="s">
        <v>305</v>
      </c>
      <c r="D29" t="str">
        <f>CONCATENATE(C29," ",B29)</f>
        <v>KURT JABLONSKI</v>
      </c>
      <c r="E29" t="s">
        <v>383</v>
      </c>
      <c r="F29" t="s">
        <v>126</v>
      </c>
      <c r="G29" t="s">
        <v>132</v>
      </c>
      <c r="H29">
        <v>20003537</v>
      </c>
      <c r="J29">
        <v>20003537</v>
      </c>
      <c r="K29" t="s">
        <v>257</v>
      </c>
      <c r="L29" t="s">
        <v>426</v>
      </c>
      <c r="M29" t="str">
        <f>CONCATENATE(L29," ",K29)</f>
        <v>Chad Yale</v>
      </c>
      <c r="N29" t="s">
        <v>57</v>
      </c>
      <c r="O29" s="1">
        <v>46023</v>
      </c>
      <c r="P29" s="1">
        <v>46054</v>
      </c>
      <c r="Q29" s="2">
        <v>36</v>
      </c>
      <c r="R29">
        <f>DATEDIF(O29,P29,"M")</f>
        <v>1</v>
      </c>
      <c r="S29" t="s">
        <v>60</v>
      </c>
      <c r="T29" t="s">
        <v>1370</v>
      </c>
      <c r="U29" s="4">
        <v>0.7</v>
      </c>
      <c r="V29" t="s">
        <v>83</v>
      </c>
      <c r="W29" t="s">
        <v>221</v>
      </c>
      <c r="X29" s="2">
        <v>151.19999999999999</v>
      </c>
      <c r="Y29" s="2">
        <v>25.2</v>
      </c>
      <c r="Z29" t="s">
        <v>132</v>
      </c>
    </row>
    <row r="30" spans="1:26" x14ac:dyDescent="0.25">
      <c r="A30">
        <v>2032468387</v>
      </c>
      <c r="B30" t="s">
        <v>427</v>
      </c>
      <c r="C30" t="s">
        <v>428</v>
      </c>
      <c r="D30" t="str">
        <f>CONCATENATE(C30," ",B30)</f>
        <v>RENITA BRINSON</v>
      </c>
      <c r="E30" t="s">
        <v>97</v>
      </c>
      <c r="F30" t="s">
        <v>126</v>
      </c>
      <c r="G30" t="s">
        <v>132</v>
      </c>
      <c r="H30">
        <v>20003537</v>
      </c>
      <c r="J30">
        <v>20003537</v>
      </c>
      <c r="K30" t="s">
        <v>257</v>
      </c>
      <c r="L30" t="s">
        <v>426</v>
      </c>
      <c r="M30" t="str">
        <f>CONCATENATE(L30," ",K30)</f>
        <v>Chad Yale</v>
      </c>
      <c r="N30" t="s">
        <v>57</v>
      </c>
      <c r="O30" s="1">
        <v>46023</v>
      </c>
      <c r="P30" s="1">
        <v>46054</v>
      </c>
      <c r="Q30" s="2">
        <v>51.09</v>
      </c>
      <c r="R30">
        <f>DATEDIF(O30,P30,"M")</f>
        <v>1</v>
      </c>
      <c r="S30" t="s">
        <v>60</v>
      </c>
      <c r="T30" t="s">
        <v>1370</v>
      </c>
      <c r="U30" s="4">
        <v>0.7</v>
      </c>
      <c r="V30" t="s">
        <v>83</v>
      </c>
      <c r="W30" t="s">
        <v>221</v>
      </c>
      <c r="X30" s="2">
        <v>214.56</v>
      </c>
      <c r="Y30" s="2">
        <v>35.76</v>
      </c>
      <c r="Z30" t="s">
        <v>132</v>
      </c>
    </row>
    <row r="31" spans="1:26" s="5" customFormat="1" x14ac:dyDescent="0.25">
      <c r="A31" s="5">
        <v>2032547050</v>
      </c>
      <c r="B31" s="5" t="s">
        <v>359</v>
      </c>
      <c r="C31" s="5" t="s">
        <v>360</v>
      </c>
      <c r="D31" s="5" t="str">
        <f>CONCATENATE(C31," ",B31)</f>
        <v>BEVERLY WASHINGTON</v>
      </c>
      <c r="E31" s="5" t="s">
        <v>97</v>
      </c>
      <c r="F31" s="5" t="s">
        <v>86</v>
      </c>
      <c r="G31" s="5" t="s">
        <v>87</v>
      </c>
      <c r="H31" s="5">
        <v>19681796</v>
      </c>
      <c r="I31" s="5" t="s">
        <v>1369</v>
      </c>
      <c r="J31" s="5" t="str">
        <f>CONCATENATE(H31,I31)</f>
        <v>19681796AV6</v>
      </c>
      <c r="K31" s="5" t="s">
        <v>361</v>
      </c>
      <c r="L31" s="5" t="s">
        <v>362</v>
      </c>
      <c r="M31" s="5" t="str">
        <f>CONCATENATE(L31," ",K31)</f>
        <v>CHRISTIAN TAUGNER</v>
      </c>
      <c r="N31" s="5" t="s">
        <v>57</v>
      </c>
      <c r="O31" s="6">
        <v>45998</v>
      </c>
      <c r="P31" s="6">
        <v>46029</v>
      </c>
      <c r="Q31" s="7">
        <v>41.29</v>
      </c>
      <c r="R31" s="5">
        <f>DATEDIF(O31,P31,"M")</f>
        <v>1</v>
      </c>
      <c r="S31" s="5" t="s">
        <v>1378</v>
      </c>
      <c r="T31" s="5" t="s">
        <v>1379</v>
      </c>
      <c r="U31" s="9">
        <v>0.375</v>
      </c>
      <c r="V31" s="5" t="s">
        <v>83</v>
      </c>
      <c r="W31" s="5" t="s">
        <v>221</v>
      </c>
      <c r="X31" s="7">
        <v>92.88</v>
      </c>
      <c r="Y31" s="7">
        <v>15.48</v>
      </c>
      <c r="Z31" s="5" t="s">
        <v>87</v>
      </c>
    </row>
    <row r="32" spans="1:26" s="5" customFormat="1" x14ac:dyDescent="0.25">
      <c r="A32" s="5">
        <v>2032430515</v>
      </c>
      <c r="B32" s="5" t="s">
        <v>390</v>
      </c>
      <c r="C32" s="5" t="s">
        <v>391</v>
      </c>
      <c r="D32" s="5" t="str">
        <f>CONCATENATE(C32," ",B32)</f>
        <v>JOSEPH OWENS</v>
      </c>
      <c r="E32" s="5" t="s">
        <v>383</v>
      </c>
      <c r="F32" s="5" t="s">
        <v>126</v>
      </c>
      <c r="G32" s="5" t="s">
        <v>132</v>
      </c>
      <c r="H32" s="5">
        <v>19681796</v>
      </c>
      <c r="I32" s="5" t="s">
        <v>1369</v>
      </c>
      <c r="J32" s="5" t="str">
        <f>CONCATENATE(H32,I32)</f>
        <v>19681796AV6</v>
      </c>
      <c r="K32" s="5" t="s">
        <v>361</v>
      </c>
      <c r="L32" s="5" t="s">
        <v>362</v>
      </c>
      <c r="M32" s="5" t="str">
        <f>CONCATENATE(L32," ",K32)</f>
        <v>CHRISTIAN TAUGNER</v>
      </c>
      <c r="N32" s="5" t="s">
        <v>57</v>
      </c>
      <c r="O32" s="6">
        <v>45993</v>
      </c>
      <c r="P32" s="6">
        <v>46024</v>
      </c>
      <c r="Q32" s="7">
        <v>93.74</v>
      </c>
      <c r="R32" s="5">
        <f>DATEDIF(O32,P32,"M")</f>
        <v>1</v>
      </c>
      <c r="S32" s="5" t="s">
        <v>1378</v>
      </c>
      <c r="T32" s="5" t="s">
        <v>1379</v>
      </c>
      <c r="U32" s="8">
        <v>0.7</v>
      </c>
      <c r="V32" s="5" t="s">
        <v>83</v>
      </c>
      <c r="W32" s="5" t="s">
        <v>221</v>
      </c>
      <c r="X32" s="7">
        <v>393.72</v>
      </c>
      <c r="Y32" s="7">
        <v>65.62</v>
      </c>
      <c r="Z32" s="5" t="s">
        <v>132</v>
      </c>
    </row>
    <row r="33" spans="1:26" s="5" customFormat="1" x14ac:dyDescent="0.25">
      <c r="A33" s="5">
        <v>2032547051</v>
      </c>
      <c r="B33" s="5" t="s">
        <v>359</v>
      </c>
      <c r="C33" s="5" t="s">
        <v>360</v>
      </c>
      <c r="D33" s="5" t="str">
        <f>CONCATENATE(C33," ",B33)</f>
        <v>BEVERLY WASHINGTON</v>
      </c>
      <c r="E33" s="5" t="s">
        <v>97</v>
      </c>
      <c r="F33" s="5" t="s">
        <v>126</v>
      </c>
      <c r="G33" s="5" t="s">
        <v>132</v>
      </c>
      <c r="H33" s="5">
        <v>19681796</v>
      </c>
      <c r="I33" s="5" t="s">
        <v>1369</v>
      </c>
      <c r="J33" s="5" t="str">
        <f>CONCATENATE(H33,I33)</f>
        <v>19681796AV6</v>
      </c>
      <c r="K33" s="5" t="s">
        <v>361</v>
      </c>
      <c r="L33" s="5" t="s">
        <v>362</v>
      </c>
      <c r="M33" s="5" t="str">
        <f>CONCATENATE(L33," ",K33)</f>
        <v>CHRISTIAN TAUGNER</v>
      </c>
      <c r="N33" s="5" t="s">
        <v>57</v>
      </c>
      <c r="O33" s="6">
        <v>45998</v>
      </c>
      <c r="P33" s="6">
        <v>46029</v>
      </c>
      <c r="Q33" s="7">
        <v>129.22</v>
      </c>
      <c r="R33" s="5">
        <f>DATEDIF(O33,P33,"M")</f>
        <v>1</v>
      </c>
      <c r="S33" s="5" t="s">
        <v>1378</v>
      </c>
      <c r="T33" s="5" t="s">
        <v>1379</v>
      </c>
      <c r="U33" s="8">
        <v>0.7</v>
      </c>
      <c r="V33" s="5" t="s">
        <v>83</v>
      </c>
      <c r="W33" s="5" t="s">
        <v>221</v>
      </c>
      <c r="X33" s="7">
        <v>542.70000000000005</v>
      </c>
      <c r="Y33" s="7">
        <v>90.45</v>
      </c>
      <c r="Z33" s="5" t="s">
        <v>132</v>
      </c>
    </row>
    <row r="34" spans="1:26" x14ac:dyDescent="0.25">
      <c r="A34">
        <v>2032469958</v>
      </c>
      <c r="B34" t="s">
        <v>432</v>
      </c>
      <c r="C34" t="s">
        <v>433</v>
      </c>
      <c r="D34" t="str">
        <f>CONCATENATE(C34," ",B34)</f>
        <v>RYLEE SCHLICKER</v>
      </c>
      <c r="E34" t="s">
        <v>267</v>
      </c>
      <c r="F34" t="s">
        <v>126</v>
      </c>
      <c r="G34" t="s">
        <v>164</v>
      </c>
      <c r="H34">
        <v>21435997</v>
      </c>
      <c r="J34">
        <v>21435997</v>
      </c>
      <c r="K34" t="s">
        <v>224</v>
      </c>
      <c r="L34" t="s">
        <v>225</v>
      </c>
      <c r="M34" t="str">
        <f>CONCATENATE(L34," ",K34)</f>
        <v>Christopher Brousseau</v>
      </c>
      <c r="N34" t="s">
        <v>57</v>
      </c>
      <c r="O34" s="1">
        <v>45994</v>
      </c>
      <c r="P34" s="1">
        <v>46025</v>
      </c>
      <c r="Q34" s="2">
        <v>25.73</v>
      </c>
      <c r="R34">
        <f>DATEDIF(O34,P34,"M")</f>
        <v>1</v>
      </c>
      <c r="S34" t="s">
        <v>60</v>
      </c>
      <c r="T34" t="s">
        <v>1370</v>
      </c>
      <c r="U34" s="4">
        <v>0.7</v>
      </c>
      <c r="V34" t="s">
        <v>83</v>
      </c>
      <c r="W34" t="s">
        <v>221</v>
      </c>
      <c r="X34" s="2">
        <v>108.06</v>
      </c>
      <c r="Y34" s="2">
        <v>18.010000000000002</v>
      </c>
      <c r="Z34" t="s">
        <v>127</v>
      </c>
    </row>
    <row r="35" spans="1:26" x14ac:dyDescent="0.25">
      <c r="A35">
        <v>2032469959</v>
      </c>
      <c r="B35" t="s">
        <v>432</v>
      </c>
      <c r="C35" t="s">
        <v>433</v>
      </c>
      <c r="D35" t="str">
        <f>CONCATENATE(C35," ",B35)</f>
        <v>RYLEE SCHLICKER</v>
      </c>
      <c r="E35" t="s">
        <v>267</v>
      </c>
      <c r="F35" t="s">
        <v>75</v>
      </c>
      <c r="G35" t="s">
        <v>243</v>
      </c>
      <c r="H35">
        <v>21435997</v>
      </c>
      <c r="J35">
        <v>21435997</v>
      </c>
      <c r="K35" t="s">
        <v>224</v>
      </c>
      <c r="L35" t="s">
        <v>225</v>
      </c>
      <c r="M35" t="str">
        <f>CONCATENATE(L35," ",K35)</f>
        <v>Christopher Brousseau</v>
      </c>
      <c r="N35" t="s">
        <v>57</v>
      </c>
      <c r="O35" s="1">
        <v>45994</v>
      </c>
      <c r="P35" s="1">
        <v>46025</v>
      </c>
      <c r="Q35" s="2">
        <v>12.82</v>
      </c>
      <c r="R35">
        <f>DATEDIF(O35,P35,"M")</f>
        <v>1</v>
      </c>
      <c r="S35" t="s">
        <v>60</v>
      </c>
      <c r="T35" t="s">
        <v>1370</v>
      </c>
      <c r="U35" s="4">
        <v>0.75</v>
      </c>
      <c r="V35" t="s">
        <v>83</v>
      </c>
      <c r="W35" t="s">
        <v>221</v>
      </c>
      <c r="X35" s="2">
        <v>57.72</v>
      </c>
      <c r="Y35" s="2">
        <v>9.6199999999999992</v>
      </c>
      <c r="Z35" t="s">
        <v>1371</v>
      </c>
    </row>
    <row r="36" spans="1:26" x14ac:dyDescent="0.25">
      <c r="A36">
        <v>2032469960</v>
      </c>
      <c r="B36" t="s">
        <v>432</v>
      </c>
      <c r="C36" t="s">
        <v>433</v>
      </c>
      <c r="D36" t="str">
        <f>CONCATENATE(C36," ",B36)</f>
        <v>RYLEE SCHLICKER</v>
      </c>
      <c r="E36" t="s">
        <v>267</v>
      </c>
      <c r="F36" t="s">
        <v>126</v>
      </c>
      <c r="G36" t="s">
        <v>402</v>
      </c>
      <c r="H36">
        <v>21435997</v>
      </c>
      <c r="J36">
        <v>21435997</v>
      </c>
      <c r="K36" t="s">
        <v>224</v>
      </c>
      <c r="L36" t="s">
        <v>225</v>
      </c>
      <c r="M36" t="str">
        <f>CONCATENATE(L36," ",K36)</f>
        <v>Christopher Brousseau</v>
      </c>
      <c r="N36" t="s">
        <v>57</v>
      </c>
      <c r="O36" s="1">
        <v>45994</v>
      </c>
      <c r="P36" s="1">
        <v>46025</v>
      </c>
      <c r="Q36" s="2">
        <v>30.09</v>
      </c>
      <c r="R36">
        <f>DATEDIF(O36,P36,"M")</f>
        <v>1</v>
      </c>
      <c r="S36" t="s">
        <v>60</v>
      </c>
      <c r="T36" t="s">
        <v>1370</v>
      </c>
      <c r="U36" s="4">
        <v>0.42</v>
      </c>
      <c r="V36" t="s">
        <v>83</v>
      </c>
      <c r="W36" t="s">
        <v>221</v>
      </c>
      <c r="X36" s="2">
        <v>75.84</v>
      </c>
      <c r="Y36" s="2">
        <v>12.64</v>
      </c>
      <c r="Z36" t="s">
        <v>402</v>
      </c>
    </row>
    <row r="37" spans="1:26" x14ac:dyDescent="0.25">
      <c r="A37">
        <v>2032429445</v>
      </c>
      <c r="B37" t="s">
        <v>222</v>
      </c>
      <c r="C37" t="s">
        <v>223</v>
      </c>
      <c r="D37" t="str">
        <f>CONCATENATE(C37," ",B37)</f>
        <v>NICHOLAS WATKINS</v>
      </c>
      <c r="E37" t="s">
        <v>220</v>
      </c>
      <c r="F37" t="s">
        <v>290</v>
      </c>
      <c r="G37" t="s">
        <v>291</v>
      </c>
      <c r="H37">
        <v>21435997</v>
      </c>
      <c r="J37">
        <v>21435997</v>
      </c>
      <c r="K37" t="s">
        <v>224</v>
      </c>
      <c r="L37" t="s">
        <v>225</v>
      </c>
      <c r="M37" t="str">
        <f>CONCATENATE(L37," ",K37)</f>
        <v>Christopher Brousseau</v>
      </c>
      <c r="N37" t="s">
        <v>57</v>
      </c>
      <c r="O37" s="1">
        <v>45993</v>
      </c>
      <c r="P37" s="1">
        <v>46024</v>
      </c>
      <c r="Q37" s="2">
        <v>15</v>
      </c>
      <c r="R37">
        <f>DATEDIF(O37,P37,"M")</f>
        <v>1</v>
      </c>
      <c r="S37" t="s">
        <v>60</v>
      </c>
      <c r="T37" t="s">
        <v>1370</v>
      </c>
      <c r="U37" s="4">
        <v>0.28999999999999998</v>
      </c>
      <c r="V37" t="s">
        <v>83</v>
      </c>
      <c r="W37" t="s">
        <v>221</v>
      </c>
      <c r="X37" s="2">
        <v>0</v>
      </c>
      <c r="Y37" s="2">
        <v>4.3499999999999996</v>
      </c>
      <c r="Z37" t="s">
        <v>1373</v>
      </c>
    </row>
    <row r="38" spans="1:26" x14ac:dyDescent="0.25">
      <c r="A38">
        <v>2032429444</v>
      </c>
      <c r="B38" t="s">
        <v>222</v>
      </c>
      <c r="C38" t="s">
        <v>223</v>
      </c>
      <c r="D38" t="str">
        <f>CONCATENATE(C38," ",B38)</f>
        <v>NICHOLAS WATKINS</v>
      </c>
      <c r="E38" t="s">
        <v>220</v>
      </c>
      <c r="F38" t="s">
        <v>469</v>
      </c>
      <c r="G38" t="s">
        <v>470</v>
      </c>
      <c r="H38">
        <v>21435997</v>
      </c>
      <c r="J38">
        <v>21435997</v>
      </c>
      <c r="K38" t="s">
        <v>224</v>
      </c>
      <c r="L38" t="s">
        <v>225</v>
      </c>
      <c r="M38" t="str">
        <f>CONCATENATE(L38," ",K38)</f>
        <v>Christopher Brousseau</v>
      </c>
      <c r="N38" t="s">
        <v>57</v>
      </c>
      <c r="O38" s="1">
        <v>45993</v>
      </c>
      <c r="P38" s="1">
        <v>46024</v>
      </c>
      <c r="Q38" s="2">
        <v>347.41</v>
      </c>
      <c r="R38">
        <f>DATEDIF(O38,P38,"M")</f>
        <v>1</v>
      </c>
      <c r="S38" t="s">
        <v>60</v>
      </c>
      <c r="T38" t="s">
        <v>1370</v>
      </c>
      <c r="U38" s="4">
        <v>0.28999999999999998</v>
      </c>
      <c r="V38" t="s">
        <v>83</v>
      </c>
      <c r="W38" t="s">
        <v>221</v>
      </c>
      <c r="X38" s="2">
        <v>0</v>
      </c>
      <c r="Y38" s="2">
        <v>100.75</v>
      </c>
      <c r="Z38" t="s">
        <v>470</v>
      </c>
    </row>
    <row r="39" spans="1:26" x14ac:dyDescent="0.25">
      <c r="A39">
        <v>2032430002</v>
      </c>
      <c r="B39" t="s">
        <v>222</v>
      </c>
      <c r="C39" t="s">
        <v>223</v>
      </c>
      <c r="D39" t="str">
        <f>CONCATENATE(C39," ",B39)</f>
        <v>NICHOLAS WATKINS</v>
      </c>
      <c r="E39" t="s">
        <v>220</v>
      </c>
      <c r="F39" t="s">
        <v>53</v>
      </c>
      <c r="G39" t="s">
        <v>54</v>
      </c>
      <c r="H39">
        <v>21435997</v>
      </c>
      <c r="J39">
        <v>21435997</v>
      </c>
      <c r="K39" t="s">
        <v>224</v>
      </c>
      <c r="L39" t="s">
        <v>225</v>
      </c>
      <c r="M39" t="str">
        <f>CONCATENATE(L39," ",K39)</f>
        <v>Christopher Brousseau</v>
      </c>
      <c r="N39" t="s">
        <v>57</v>
      </c>
      <c r="O39" s="1">
        <v>45993</v>
      </c>
      <c r="P39" s="1">
        <v>46024</v>
      </c>
      <c r="Q39" s="2">
        <v>52.69</v>
      </c>
      <c r="R39">
        <f>DATEDIF(O39,P39,"M")</f>
        <v>1</v>
      </c>
      <c r="S39" t="s">
        <v>60</v>
      </c>
      <c r="T39" t="s">
        <v>1370</v>
      </c>
      <c r="U39" s="4">
        <v>0.6</v>
      </c>
      <c r="V39" t="s">
        <v>83</v>
      </c>
      <c r="W39" t="s">
        <v>221</v>
      </c>
      <c r="X39" s="2">
        <v>189.66</v>
      </c>
      <c r="Y39" s="2">
        <v>31.61</v>
      </c>
      <c r="Z39" t="s">
        <v>54</v>
      </c>
    </row>
    <row r="40" spans="1:26" s="5" customFormat="1" x14ac:dyDescent="0.25">
      <c r="A40" s="5">
        <v>2032459592</v>
      </c>
      <c r="B40" s="5" t="s">
        <v>339</v>
      </c>
      <c r="C40" s="5" t="s">
        <v>229</v>
      </c>
      <c r="D40" s="5" t="str">
        <f>CONCATENATE(C40," ",B40)</f>
        <v>AARON BALLEZA</v>
      </c>
      <c r="E40" s="5" t="s">
        <v>97</v>
      </c>
      <c r="F40" s="5" t="s">
        <v>86</v>
      </c>
      <c r="G40" s="5" t="s">
        <v>87</v>
      </c>
      <c r="H40" s="5">
        <v>3333476</v>
      </c>
      <c r="I40" s="5" t="s">
        <v>1369</v>
      </c>
      <c r="J40" s="5" t="str">
        <f>CONCATENATE(H40,I40)</f>
        <v>3333476AV6</v>
      </c>
      <c r="K40" s="5" t="s">
        <v>340</v>
      </c>
      <c r="L40" s="5" t="s">
        <v>341</v>
      </c>
      <c r="M40" s="5" t="str">
        <f>CONCATENATE(L40," ",K40)</f>
        <v>Colleen Jerger</v>
      </c>
      <c r="N40" s="5" t="s">
        <v>57</v>
      </c>
      <c r="O40" s="6">
        <v>46023</v>
      </c>
      <c r="P40" s="6">
        <v>46054</v>
      </c>
      <c r="Q40" s="7">
        <v>138.22</v>
      </c>
      <c r="R40" s="5">
        <f>DATEDIF(O40,P40,"M")</f>
        <v>1</v>
      </c>
      <c r="S40" s="5" t="s">
        <v>1378</v>
      </c>
      <c r="T40" s="5" t="s">
        <v>1379</v>
      </c>
      <c r="U40" s="9">
        <v>0.375</v>
      </c>
      <c r="V40" s="5" t="s">
        <v>83</v>
      </c>
      <c r="W40" s="5" t="s">
        <v>221</v>
      </c>
      <c r="X40" s="7">
        <v>310.98</v>
      </c>
      <c r="Y40" s="7">
        <v>51.83</v>
      </c>
      <c r="Z40" s="5" t="s">
        <v>87</v>
      </c>
    </row>
    <row r="41" spans="1:26" s="5" customFormat="1" x14ac:dyDescent="0.25">
      <c r="A41" s="5">
        <v>2032330624</v>
      </c>
      <c r="B41" s="5" t="s">
        <v>384</v>
      </c>
      <c r="C41" s="5" t="s">
        <v>385</v>
      </c>
      <c r="D41" s="5" t="str">
        <f>CONCATENATE(C41," ",B41)</f>
        <v>JACK TUTLLE</v>
      </c>
      <c r="E41" s="5" t="s">
        <v>386</v>
      </c>
      <c r="F41" s="5" t="s">
        <v>126</v>
      </c>
      <c r="G41" s="5" t="s">
        <v>132</v>
      </c>
      <c r="H41" s="5">
        <v>3333476</v>
      </c>
      <c r="I41" s="5" t="s">
        <v>1369</v>
      </c>
      <c r="J41" s="5" t="str">
        <f>CONCATENATE(H41,I41)</f>
        <v>3333476AV6</v>
      </c>
      <c r="K41" s="5" t="s">
        <v>340</v>
      </c>
      <c r="L41" s="5" t="s">
        <v>341</v>
      </c>
      <c r="M41" s="5" t="str">
        <f>CONCATENATE(L41," ",K41)</f>
        <v>Colleen Jerger</v>
      </c>
      <c r="N41" s="5" t="s">
        <v>57</v>
      </c>
      <c r="O41" s="6">
        <v>46023</v>
      </c>
      <c r="P41" s="6">
        <v>46054</v>
      </c>
      <c r="Q41" s="7">
        <v>28.87</v>
      </c>
      <c r="R41" s="5">
        <f>DATEDIF(O41,P41,"M")</f>
        <v>1</v>
      </c>
      <c r="S41" s="5" t="s">
        <v>1378</v>
      </c>
      <c r="T41" s="5" t="s">
        <v>1379</v>
      </c>
      <c r="U41" s="8">
        <v>0.7</v>
      </c>
      <c r="V41" s="5" t="s">
        <v>83</v>
      </c>
      <c r="W41" s="5" t="s">
        <v>221</v>
      </c>
      <c r="X41" s="7">
        <v>121.26</v>
      </c>
      <c r="Y41" s="7">
        <v>20.21</v>
      </c>
      <c r="Z41" s="5" t="s">
        <v>132</v>
      </c>
    </row>
    <row r="42" spans="1:26" s="5" customFormat="1" x14ac:dyDescent="0.25">
      <c r="A42" s="5">
        <v>2032459590</v>
      </c>
      <c r="B42" s="5" t="s">
        <v>339</v>
      </c>
      <c r="C42" s="5" t="s">
        <v>229</v>
      </c>
      <c r="D42" s="5" t="str">
        <f>CONCATENATE(C42," ",B42)</f>
        <v>AARON BALLEZA</v>
      </c>
      <c r="E42" s="5" t="s">
        <v>97</v>
      </c>
      <c r="F42" s="5" t="s">
        <v>126</v>
      </c>
      <c r="G42" s="5" t="s">
        <v>132</v>
      </c>
      <c r="H42" s="5">
        <v>3333476</v>
      </c>
      <c r="I42" s="5" t="s">
        <v>1369</v>
      </c>
      <c r="J42" s="5" t="str">
        <f>CONCATENATE(H42,I42)</f>
        <v>3333476AV6</v>
      </c>
      <c r="K42" s="5" t="s">
        <v>340</v>
      </c>
      <c r="L42" s="5" t="s">
        <v>341</v>
      </c>
      <c r="M42" s="5" t="str">
        <f>CONCATENATE(L42," ",K42)</f>
        <v>Colleen Jerger</v>
      </c>
      <c r="N42" s="5" t="s">
        <v>57</v>
      </c>
      <c r="O42" s="6">
        <v>46023</v>
      </c>
      <c r="P42" s="6">
        <v>46054</v>
      </c>
      <c r="Q42" s="7">
        <v>50.24</v>
      </c>
      <c r="R42" s="5">
        <f>DATEDIF(O42,P42,"M")</f>
        <v>1</v>
      </c>
      <c r="S42" s="5" t="s">
        <v>1378</v>
      </c>
      <c r="T42" s="5" t="s">
        <v>1379</v>
      </c>
      <c r="U42" s="8">
        <v>0.7</v>
      </c>
      <c r="V42" s="5" t="s">
        <v>83</v>
      </c>
      <c r="W42" s="5" t="s">
        <v>221</v>
      </c>
      <c r="X42" s="7">
        <v>211.02</v>
      </c>
      <c r="Y42" s="7">
        <v>35.17</v>
      </c>
      <c r="Z42" s="5" t="s">
        <v>132</v>
      </c>
    </row>
    <row r="43" spans="1:26" s="5" customFormat="1" x14ac:dyDescent="0.25">
      <c r="A43" s="5">
        <v>2032459591</v>
      </c>
      <c r="B43" s="5" t="s">
        <v>339</v>
      </c>
      <c r="C43" s="5" t="s">
        <v>229</v>
      </c>
      <c r="D43" s="5" t="str">
        <f>CONCATENATE(C43," ",B43)</f>
        <v>AARON BALLEZA</v>
      </c>
      <c r="E43" s="5" t="s">
        <v>97</v>
      </c>
      <c r="F43" s="5" t="s">
        <v>126</v>
      </c>
      <c r="G43" s="5" t="s">
        <v>375</v>
      </c>
      <c r="H43" s="5">
        <v>3333476</v>
      </c>
      <c r="I43" s="5" t="s">
        <v>1369</v>
      </c>
      <c r="J43" s="5" t="str">
        <f>CONCATENATE(H43,I43)</f>
        <v>3333476AV6</v>
      </c>
      <c r="K43" s="5" t="s">
        <v>340</v>
      </c>
      <c r="L43" s="5" t="s">
        <v>341</v>
      </c>
      <c r="M43" s="5" t="str">
        <f>CONCATENATE(L43," ",K43)</f>
        <v>Colleen Jerger</v>
      </c>
      <c r="N43" s="5" t="s">
        <v>57</v>
      </c>
      <c r="O43" s="6">
        <v>46023</v>
      </c>
      <c r="P43" s="6">
        <v>46054</v>
      </c>
      <c r="Q43" s="7">
        <v>15.58</v>
      </c>
      <c r="R43" s="5">
        <f>DATEDIF(O43,P43,"M")</f>
        <v>1</v>
      </c>
      <c r="S43" s="5" t="s">
        <v>1378</v>
      </c>
      <c r="T43" s="5" t="s">
        <v>1379</v>
      </c>
      <c r="U43" s="8">
        <v>0.9</v>
      </c>
      <c r="V43" s="5" t="s">
        <v>83</v>
      </c>
      <c r="W43" s="5" t="s">
        <v>221</v>
      </c>
      <c r="X43" s="7">
        <v>84.12</v>
      </c>
      <c r="Y43" s="7">
        <v>14.02</v>
      </c>
      <c r="Z43" s="5" t="s">
        <v>375</v>
      </c>
    </row>
    <row r="44" spans="1:26" s="5" customFormat="1" x14ac:dyDescent="0.25">
      <c r="A44" s="5">
        <v>2032541421</v>
      </c>
      <c r="B44" s="5" t="s">
        <v>282</v>
      </c>
      <c r="C44" s="5" t="s">
        <v>283</v>
      </c>
      <c r="D44" s="5" t="str">
        <f>CONCATENATE(C44," ",B44)</f>
        <v>TRACY WARREN</v>
      </c>
      <c r="E44" s="5" t="s">
        <v>102</v>
      </c>
      <c r="F44" s="5" t="s">
        <v>75</v>
      </c>
      <c r="G44" s="5" t="s">
        <v>243</v>
      </c>
      <c r="H44" s="5">
        <v>8814784</v>
      </c>
      <c r="I44" s="5" t="s">
        <v>1369</v>
      </c>
      <c r="J44" s="5" t="str">
        <f>CONCATENATE(H44,I44)</f>
        <v>8814784AV6</v>
      </c>
      <c r="K44" s="5" t="s">
        <v>284</v>
      </c>
      <c r="L44" s="5" t="s">
        <v>285</v>
      </c>
      <c r="M44" s="5" t="str">
        <f>CONCATENATE(L44," ",K44)</f>
        <v>FRANK LISKOVEC</v>
      </c>
      <c r="N44" s="5" t="s">
        <v>57</v>
      </c>
      <c r="O44" s="6">
        <v>46023</v>
      </c>
      <c r="P44" s="6">
        <v>46054</v>
      </c>
      <c r="Q44" s="7">
        <v>74.62</v>
      </c>
      <c r="R44" s="5">
        <f>DATEDIF(O44,P44,"M")</f>
        <v>1</v>
      </c>
      <c r="S44" s="5" t="s">
        <v>1378</v>
      </c>
      <c r="T44" s="5" t="s">
        <v>1379</v>
      </c>
      <c r="U44" s="8">
        <v>0.75</v>
      </c>
      <c r="V44" s="5" t="s">
        <v>83</v>
      </c>
      <c r="W44" s="5" t="s">
        <v>221</v>
      </c>
      <c r="X44" s="7">
        <v>335.76</v>
      </c>
      <c r="Y44" s="7">
        <v>55.96</v>
      </c>
      <c r="Z44" s="5" t="s">
        <v>1371</v>
      </c>
    </row>
    <row r="45" spans="1:26" s="5" customFormat="1" x14ac:dyDescent="0.25">
      <c r="A45" s="5">
        <v>2032490525</v>
      </c>
      <c r="B45" s="5" t="s">
        <v>355</v>
      </c>
      <c r="C45" s="5" t="s">
        <v>194</v>
      </c>
      <c r="D45" s="5" t="str">
        <f>CONCATENATE(C45," ",B45)</f>
        <v>KAREN TANNEHILL</v>
      </c>
      <c r="E45" s="5" t="s">
        <v>102</v>
      </c>
      <c r="F45" s="5" t="s">
        <v>86</v>
      </c>
      <c r="G45" s="5" t="s">
        <v>87</v>
      </c>
      <c r="H45" s="5">
        <v>8814784</v>
      </c>
      <c r="I45" s="5" t="s">
        <v>1369</v>
      </c>
      <c r="J45" s="5" t="str">
        <f>CONCATENATE(H45,I45)</f>
        <v>8814784AV6</v>
      </c>
      <c r="K45" s="5" t="s">
        <v>284</v>
      </c>
      <c r="L45" s="5" t="s">
        <v>285</v>
      </c>
      <c r="M45" s="5" t="str">
        <f>CONCATENATE(L45," ",K45)</f>
        <v>FRANK LISKOVEC</v>
      </c>
      <c r="N45" s="5" t="s">
        <v>57</v>
      </c>
      <c r="O45" s="6">
        <v>46023</v>
      </c>
      <c r="P45" s="6">
        <v>46054</v>
      </c>
      <c r="Q45" s="7">
        <v>54.7</v>
      </c>
      <c r="R45" s="5">
        <f>DATEDIF(O45,P45,"M")</f>
        <v>1</v>
      </c>
      <c r="S45" s="5" t="s">
        <v>1378</v>
      </c>
      <c r="T45" s="5" t="s">
        <v>1379</v>
      </c>
      <c r="U45" s="9">
        <v>0.375</v>
      </c>
      <c r="V45" s="5" t="s">
        <v>83</v>
      </c>
      <c r="W45" s="5" t="s">
        <v>221</v>
      </c>
      <c r="X45" s="7">
        <v>123.06</v>
      </c>
      <c r="Y45" s="7">
        <v>20.51</v>
      </c>
      <c r="Z45" s="5" t="s">
        <v>87</v>
      </c>
    </row>
    <row r="46" spans="1:26" s="5" customFormat="1" x14ac:dyDescent="0.25">
      <c r="A46" s="5">
        <v>2032450579</v>
      </c>
      <c r="B46" s="5" t="s">
        <v>404</v>
      </c>
      <c r="C46" s="5" t="s">
        <v>405</v>
      </c>
      <c r="D46" s="5" t="str">
        <f>CONCATENATE(C46," ",B46)</f>
        <v>DAVID HANNA</v>
      </c>
      <c r="E46" s="5" t="s">
        <v>102</v>
      </c>
      <c r="F46" s="5" t="s">
        <v>126</v>
      </c>
      <c r="G46" s="5" t="s">
        <v>132</v>
      </c>
      <c r="H46" s="5">
        <v>8814784</v>
      </c>
      <c r="I46" s="5" t="s">
        <v>1369</v>
      </c>
      <c r="J46" s="5" t="str">
        <f>CONCATENATE(H46,I46)</f>
        <v>8814784AV6</v>
      </c>
      <c r="K46" s="5" t="s">
        <v>284</v>
      </c>
      <c r="L46" s="5" t="s">
        <v>285</v>
      </c>
      <c r="M46" s="5" t="str">
        <f>CONCATENATE(L46," ",K46)</f>
        <v>FRANK LISKOVEC</v>
      </c>
      <c r="N46" s="5" t="s">
        <v>57</v>
      </c>
      <c r="O46" s="6">
        <v>45993</v>
      </c>
      <c r="P46" s="6">
        <v>46024</v>
      </c>
      <c r="Q46" s="7">
        <v>95.54</v>
      </c>
      <c r="R46" s="5">
        <f>DATEDIF(O46,P46,"M")</f>
        <v>1</v>
      </c>
      <c r="S46" s="5" t="s">
        <v>1378</v>
      </c>
      <c r="T46" s="5" t="s">
        <v>1379</v>
      </c>
      <c r="U46" s="8">
        <v>0.7</v>
      </c>
      <c r="V46" s="5" t="s">
        <v>83</v>
      </c>
      <c r="W46" s="5" t="s">
        <v>221</v>
      </c>
      <c r="X46" s="7">
        <v>401.28</v>
      </c>
      <c r="Y46" s="7">
        <v>66.88</v>
      </c>
      <c r="Z46" s="5" t="s">
        <v>132</v>
      </c>
    </row>
    <row r="47" spans="1:26" s="5" customFormat="1" x14ac:dyDescent="0.25">
      <c r="A47" s="5">
        <v>2032490526</v>
      </c>
      <c r="B47" s="5" t="s">
        <v>355</v>
      </c>
      <c r="C47" s="5" t="s">
        <v>194</v>
      </c>
      <c r="D47" s="5" t="str">
        <f>CONCATENATE(C47," ",B47)</f>
        <v>KAREN TANNEHILL</v>
      </c>
      <c r="E47" s="5" t="s">
        <v>102</v>
      </c>
      <c r="F47" s="5" t="s">
        <v>126</v>
      </c>
      <c r="G47" s="5" t="s">
        <v>132</v>
      </c>
      <c r="H47" s="5">
        <v>8814784</v>
      </c>
      <c r="I47" s="5" t="s">
        <v>1369</v>
      </c>
      <c r="J47" s="5" t="str">
        <f>CONCATENATE(H47,I47)</f>
        <v>8814784AV6</v>
      </c>
      <c r="K47" s="5" t="s">
        <v>284</v>
      </c>
      <c r="L47" s="5" t="s">
        <v>285</v>
      </c>
      <c r="M47" s="5" t="str">
        <f>CONCATENATE(L47," ",K47)</f>
        <v>FRANK LISKOVEC</v>
      </c>
      <c r="N47" s="5" t="s">
        <v>57</v>
      </c>
      <c r="O47" s="6">
        <v>46023</v>
      </c>
      <c r="P47" s="6">
        <v>46054</v>
      </c>
      <c r="Q47" s="7">
        <v>95.54</v>
      </c>
      <c r="R47" s="5">
        <f>DATEDIF(O47,P47,"M")</f>
        <v>1</v>
      </c>
      <c r="S47" s="5" t="s">
        <v>1378</v>
      </c>
      <c r="T47" s="5" t="s">
        <v>1379</v>
      </c>
      <c r="U47" s="8">
        <v>0.7</v>
      </c>
      <c r="V47" s="5" t="s">
        <v>83</v>
      </c>
      <c r="W47" s="5" t="s">
        <v>221</v>
      </c>
      <c r="X47" s="7">
        <v>401.28</v>
      </c>
      <c r="Y47" s="7">
        <v>66.88</v>
      </c>
      <c r="Z47" s="5" t="s">
        <v>132</v>
      </c>
    </row>
    <row r="48" spans="1:26" s="5" customFormat="1" x14ac:dyDescent="0.25">
      <c r="A48" s="5">
        <v>2032538422</v>
      </c>
      <c r="B48" s="5" t="s">
        <v>461</v>
      </c>
      <c r="C48" s="5" t="s">
        <v>462</v>
      </c>
      <c r="D48" s="5" t="str">
        <f>CONCATENATE(C48," ",B48)</f>
        <v>NATANIEL DOEREN</v>
      </c>
      <c r="E48" s="5" t="s">
        <v>125</v>
      </c>
      <c r="F48" s="5" t="s">
        <v>126</v>
      </c>
      <c r="G48" s="5" t="s">
        <v>132</v>
      </c>
      <c r="H48" s="5">
        <v>8814784</v>
      </c>
      <c r="I48" s="5" t="s">
        <v>1369</v>
      </c>
      <c r="J48" s="5" t="str">
        <f>CONCATENATE(H48,I48)</f>
        <v>8814784AV6</v>
      </c>
      <c r="K48" s="5" t="s">
        <v>284</v>
      </c>
      <c r="L48" s="5" t="s">
        <v>285</v>
      </c>
      <c r="M48" s="5" t="str">
        <f>CONCATENATE(L48," ",K48)</f>
        <v>FRANK LISKOVEC</v>
      </c>
      <c r="N48" s="5" t="s">
        <v>57</v>
      </c>
      <c r="O48" s="6">
        <v>46023</v>
      </c>
      <c r="P48" s="6">
        <v>46054</v>
      </c>
      <c r="Q48" s="7">
        <v>27.89</v>
      </c>
      <c r="R48" s="5">
        <f>DATEDIF(O48,P48,"M")</f>
        <v>1</v>
      </c>
      <c r="S48" s="5" t="s">
        <v>1378</v>
      </c>
      <c r="T48" s="5" t="s">
        <v>1379</v>
      </c>
      <c r="U48" s="8">
        <v>0.7</v>
      </c>
      <c r="V48" s="5" t="s">
        <v>83</v>
      </c>
      <c r="W48" s="5" t="s">
        <v>221</v>
      </c>
      <c r="X48" s="7">
        <v>117.12</v>
      </c>
      <c r="Y48" s="7">
        <v>19.52</v>
      </c>
      <c r="Z48" s="5" t="s">
        <v>132</v>
      </c>
    </row>
    <row r="49" spans="1:26" s="5" customFormat="1" x14ac:dyDescent="0.25">
      <c r="A49" s="5">
        <v>2032541420</v>
      </c>
      <c r="B49" s="5" t="s">
        <v>282</v>
      </c>
      <c r="C49" s="5" t="s">
        <v>283</v>
      </c>
      <c r="D49" s="5" t="str">
        <f>CONCATENATE(C49," ",B49)</f>
        <v>TRACY WARREN</v>
      </c>
      <c r="E49" s="5" t="s">
        <v>102</v>
      </c>
      <c r="F49" s="5" t="s">
        <v>126</v>
      </c>
      <c r="G49" s="5" t="s">
        <v>132</v>
      </c>
      <c r="H49" s="5">
        <v>8814784</v>
      </c>
      <c r="I49" s="5" t="s">
        <v>1369</v>
      </c>
      <c r="J49" s="5" t="str">
        <f>CONCATENATE(H49,I49)</f>
        <v>8814784AV6</v>
      </c>
      <c r="K49" s="5" t="s">
        <v>284</v>
      </c>
      <c r="L49" s="5" t="s">
        <v>285</v>
      </c>
      <c r="M49" s="5" t="str">
        <f>CONCATENATE(L49," ",K49)</f>
        <v>FRANK LISKOVEC</v>
      </c>
      <c r="N49" s="5" t="s">
        <v>57</v>
      </c>
      <c r="O49" s="6">
        <v>46023</v>
      </c>
      <c r="P49" s="6">
        <v>46054</v>
      </c>
      <c r="Q49" s="7">
        <v>78.03</v>
      </c>
      <c r="R49" s="5">
        <f>DATEDIF(O49,P49,"M")</f>
        <v>1</v>
      </c>
      <c r="S49" s="5" t="s">
        <v>1378</v>
      </c>
      <c r="T49" s="5" t="s">
        <v>1379</v>
      </c>
      <c r="U49" s="8">
        <v>0.7</v>
      </c>
      <c r="V49" s="5" t="s">
        <v>83</v>
      </c>
      <c r="W49" s="5" t="s">
        <v>221</v>
      </c>
      <c r="X49" s="7">
        <v>327.72</v>
      </c>
      <c r="Y49" s="7">
        <v>54.62</v>
      </c>
      <c r="Z49" s="5" t="s">
        <v>132</v>
      </c>
    </row>
    <row r="50" spans="1:26" x14ac:dyDescent="0.25">
      <c r="A50">
        <v>2032448026</v>
      </c>
      <c r="B50" t="s">
        <v>400</v>
      </c>
      <c r="C50" t="s">
        <v>168</v>
      </c>
      <c r="D50" t="str">
        <f>CONCATENATE(C50," ",B50)</f>
        <v>DIANE BAILEY</v>
      </c>
      <c r="E50" t="s">
        <v>125</v>
      </c>
      <c r="F50" t="s">
        <v>126</v>
      </c>
      <c r="G50" t="s">
        <v>132</v>
      </c>
      <c r="H50">
        <v>9213293</v>
      </c>
      <c r="J50">
        <v>9213293</v>
      </c>
      <c r="K50" t="s">
        <v>401</v>
      </c>
      <c r="L50" t="s">
        <v>233</v>
      </c>
      <c r="M50" t="str">
        <f>CONCATENATE(L50," ",K50)</f>
        <v>GARY PORTUGAL</v>
      </c>
      <c r="N50" t="s">
        <v>57</v>
      </c>
      <c r="O50" s="1">
        <v>45993</v>
      </c>
      <c r="P50" s="1">
        <v>46024</v>
      </c>
      <c r="Q50" s="2">
        <v>41.59</v>
      </c>
      <c r="R50">
        <f>DATEDIF(O50,P50,"M")</f>
        <v>1</v>
      </c>
      <c r="S50" t="s">
        <v>60</v>
      </c>
      <c r="T50" t="s">
        <v>1370</v>
      </c>
      <c r="U50" s="4">
        <v>0.7</v>
      </c>
      <c r="V50" t="s">
        <v>83</v>
      </c>
      <c r="W50" t="s">
        <v>221</v>
      </c>
      <c r="X50" s="2">
        <v>174.66</v>
      </c>
      <c r="Y50" s="2">
        <v>29.11</v>
      </c>
      <c r="Z50" t="s">
        <v>132</v>
      </c>
    </row>
    <row r="51" spans="1:26" x14ac:dyDescent="0.25">
      <c r="A51">
        <v>2032431199</v>
      </c>
      <c r="B51" t="s">
        <v>255</v>
      </c>
      <c r="C51" t="s">
        <v>192</v>
      </c>
      <c r="D51" t="str">
        <f>CONCATENATE(C51," ",B51)</f>
        <v>TRINA KIRKVOLD</v>
      </c>
      <c r="E51" t="s">
        <v>256</v>
      </c>
      <c r="F51" t="s">
        <v>126</v>
      </c>
      <c r="G51" t="s">
        <v>164</v>
      </c>
      <c r="H51">
        <v>8307933</v>
      </c>
      <c r="J51">
        <v>8307933</v>
      </c>
      <c r="K51" t="s">
        <v>246</v>
      </c>
      <c r="L51" t="s">
        <v>247</v>
      </c>
      <c r="M51" t="str">
        <f>CONCATENATE(L51," ",K51)</f>
        <v>GREGORY TEIPEL</v>
      </c>
      <c r="N51" t="s">
        <v>57</v>
      </c>
      <c r="O51" s="1">
        <v>45994</v>
      </c>
      <c r="P51" s="1">
        <v>46025</v>
      </c>
      <c r="Q51" s="2">
        <v>21.44</v>
      </c>
      <c r="R51">
        <f>DATEDIF(O51,P51,"M")</f>
        <v>1</v>
      </c>
      <c r="S51" t="s">
        <v>60</v>
      </c>
      <c r="T51" t="s">
        <v>1370</v>
      </c>
      <c r="U51" s="4">
        <v>0.7</v>
      </c>
      <c r="V51" t="s">
        <v>83</v>
      </c>
      <c r="W51" t="s">
        <v>221</v>
      </c>
      <c r="X51" s="2">
        <v>90.06</v>
      </c>
      <c r="Y51" s="2">
        <v>15.01</v>
      </c>
      <c r="Z51" t="s">
        <v>127</v>
      </c>
    </row>
    <row r="52" spans="1:26" x14ac:dyDescent="0.25">
      <c r="A52">
        <v>2032077086</v>
      </c>
      <c r="B52" t="s">
        <v>248</v>
      </c>
      <c r="C52" t="s">
        <v>249</v>
      </c>
      <c r="D52" t="str">
        <f>CONCATENATE(C52," ",B52)</f>
        <v>ROBERT JESSIE</v>
      </c>
      <c r="E52" t="s">
        <v>97</v>
      </c>
      <c r="F52" t="s">
        <v>75</v>
      </c>
      <c r="G52" t="s">
        <v>243</v>
      </c>
      <c r="H52">
        <v>8307933</v>
      </c>
      <c r="J52">
        <v>8307933</v>
      </c>
      <c r="K52" t="s">
        <v>246</v>
      </c>
      <c r="L52" t="s">
        <v>247</v>
      </c>
      <c r="M52" t="str">
        <f>CONCATENATE(L52," ",K52)</f>
        <v>GREGORY TEIPEL</v>
      </c>
      <c r="N52" t="s">
        <v>57</v>
      </c>
      <c r="O52" s="1">
        <v>45997</v>
      </c>
      <c r="P52" s="1">
        <v>46028</v>
      </c>
      <c r="Q52" s="2">
        <v>79.8</v>
      </c>
      <c r="R52">
        <f>DATEDIF(O52,P52,"M")</f>
        <v>1</v>
      </c>
      <c r="S52" t="s">
        <v>60</v>
      </c>
      <c r="T52" t="s">
        <v>1370</v>
      </c>
      <c r="U52" s="4">
        <v>0.75</v>
      </c>
      <c r="V52" t="s">
        <v>83</v>
      </c>
      <c r="W52" t="s">
        <v>221</v>
      </c>
      <c r="X52" s="2">
        <v>359.1</v>
      </c>
      <c r="Y52" s="2">
        <v>59.85</v>
      </c>
      <c r="Z52" t="s">
        <v>1371</v>
      </c>
    </row>
    <row r="53" spans="1:26" x14ac:dyDescent="0.25">
      <c r="A53">
        <v>2032283205</v>
      </c>
      <c r="B53" t="s">
        <v>250</v>
      </c>
      <c r="C53" t="s">
        <v>96</v>
      </c>
      <c r="D53" t="str">
        <f>CONCATENATE(C53," ",B53)</f>
        <v>MICHELLE VOLLAND</v>
      </c>
      <c r="E53" t="s">
        <v>102</v>
      </c>
      <c r="F53" t="s">
        <v>75</v>
      </c>
      <c r="G53" t="s">
        <v>243</v>
      </c>
      <c r="H53">
        <v>8307933</v>
      </c>
      <c r="J53">
        <v>8307933</v>
      </c>
      <c r="K53" t="s">
        <v>246</v>
      </c>
      <c r="L53" t="s">
        <v>247</v>
      </c>
      <c r="M53" t="str">
        <f>CONCATENATE(L53," ",K53)</f>
        <v>GREGORY TEIPEL</v>
      </c>
      <c r="N53" t="s">
        <v>57</v>
      </c>
      <c r="O53" s="1">
        <v>45997</v>
      </c>
      <c r="P53" s="1">
        <v>46028</v>
      </c>
      <c r="Q53" s="2">
        <v>177.01</v>
      </c>
      <c r="R53">
        <f>DATEDIF(O53,P53,"M")</f>
        <v>1</v>
      </c>
      <c r="S53" t="s">
        <v>60</v>
      </c>
      <c r="T53" t="s">
        <v>1370</v>
      </c>
      <c r="U53" s="4">
        <v>0.75</v>
      </c>
      <c r="V53" t="s">
        <v>83</v>
      </c>
      <c r="W53" t="s">
        <v>221</v>
      </c>
      <c r="X53" s="2">
        <v>796.56</v>
      </c>
      <c r="Y53" s="2">
        <v>132.76</v>
      </c>
      <c r="Z53" t="s">
        <v>1371</v>
      </c>
    </row>
    <row r="54" spans="1:26" x14ac:dyDescent="0.25">
      <c r="A54">
        <v>2031988912</v>
      </c>
      <c r="B54" t="s">
        <v>244</v>
      </c>
      <c r="C54" t="s">
        <v>245</v>
      </c>
      <c r="D54" t="str">
        <f>CONCATENATE(C54," ",B54)</f>
        <v>LAUREN MORRIS</v>
      </c>
      <c r="E54" t="s">
        <v>102</v>
      </c>
      <c r="F54" t="s">
        <v>75</v>
      </c>
      <c r="G54" t="s">
        <v>80</v>
      </c>
      <c r="H54">
        <v>8307933</v>
      </c>
      <c r="J54">
        <v>8307933</v>
      </c>
      <c r="K54" t="s">
        <v>246</v>
      </c>
      <c r="L54" t="s">
        <v>247</v>
      </c>
      <c r="M54" t="str">
        <f>CONCATENATE(L54," ",K54)</f>
        <v>GREGORY TEIPEL</v>
      </c>
      <c r="N54" t="s">
        <v>57</v>
      </c>
      <c r="O54" s="1">
        <v>45996</v>
      </c>
      <c r="P54" s="1">
        <v>46027</v>
      </c>
      <c r="Q54" s="2">
        <v>36.130000000000003</v>
      </c>
      <c r="R54">
        <f>DATEDIF(O54,P54,"M")</f>
        <v>1</v>
      </c>
      <c r="S54" t="s">
        <v>60</v>
      </c>
      <c r="T54" t="s">
        <v>1370</v>
      </c>
      <c r="U54" s="4">
        <v>0.9</v>
      </c>
      <c r="V54" t="s">
        <v>83</v>
      </c>
      <c r="W54" t="s">
        <v>221</v>
      </c>
      <c r="X54" s="2">
        <v>195.12</v>
      </c>
      <c r="Y54" s="2">
        <v>32.520000000000003</v>
      </c>
      <c r="Z54" t="s">
        <v>1372</v>
      </c>
    </row>
    <row r="55" spans="1:26" x14ac:dyDescent="0.25">
      <c r="A55">
        <v>2032431198</v>
      </c>
      <c r="B55" t="s">
        <v>255</v>
      </c>
      <c r="C55" t="s">
        <v>192</v>
      </c>
      <c r="D55" t="str">
        <f>CONCATENATE(C55," ",B55)</f>
        <v>TRINA KIRKVOLD</v>
      </c>
      <c r="E55" t="s">
        <v>256</v>
      </c>
      <c r="F55" t="s">
        <v>75</v>
      </c>
      <c r="G55" t="s">
        <v>80</v>
      </c>
      <c r="H55">
        <v>8307933</v>
      </c>
      <c r="J55">
        <v>8307933</v>
      </c>
      <c r="K55" t="s">
        <v>246</v>
      </c>
      <c r="L55" t="s">
        <v>247</v>
      </c>
      <c r="M55" t="str">
        <f>CONCATENATE(L55," ",K55)</f>
        <v>GREGORY TEIPEL</v>
      </c>
      <c r="N55" t="s">
        <v>57</v>
      </c>
      <c r="O55" s="1">
        <v>45994</v>
      </c>
      <c r="P55" s="1">
        <v>46025</v>
      </c>
      <c r="Q55" s="2">
        <v>65.650000000000006</v>
      </c>
      <c r="R55">
        <f>DATEDIF(O55,P55,"M")</f>
        <v>1</v>
      </c>
      <c r="S55" t="s">
        <v>60</v>
      </c>
      <c r="T55" t="s">
        <v>1370</v>
      </c>
      <c r="U55" s="4">
        <v>0.9</v>
      </c>
      <c r="V55" t="s">
        <v>83</v>
      </c>
      <c r="W55" t="s">
        <v>221</v>
      </c>
      <c r="X55" s="2">
        <v>354.48</v>
      </c>
      <c r="Y55" s="2">
        <v>59.08</v>
      </c>
      <c r="Z55" t="s">
        <v>1372</v>
      </c>
    </row>
    <row r="56" spans="1:26" x14ac:dyDescent="0.25">
      <c r="A56">
        <v>2032431197</v>
      </c>
      <c r="B56" t="s">
        <v>255</v>
      </c>
      <c r="C56" t="s">
        <v>192</v>
      </c>
      <c r="D56" t="str">
        <f>CONCATENATE(C56," ",B56)</f>
        <v>TRINA KIRKVOLD</v>
      </c>
      <c r="E56" t="s">
        <v>256</v>
      </c>
      <c r="F56" t="s">
        <v>469</v>
      </c>
      <c r="G56" t="s">
        <v>471</v>
      </c>
      <c r="H56">
        <v>8307933</v>
      </c>
      <c r="J56">
        <v>8307933</v>
      </c>
      <c r="K56" t="s">
        <v>246</v>
      </c>
      <c r="L56" t="s">
        <v>247</v>
      </c>
      <c r="M56" t="str">
        <f>CONCATENATE(L56," ",K56)</f>
        <v>GREGORY TEIPEL</v>
      </c>
      <c r="N56" t="s">
        <v>57</v>
      </c>
      <c r="O56" s="1">
        <v>45994</v>
      </c>
      <c r="P56" s="1">
        <v>46025</v>
      </c>
      <c r="Q56" s="2">
        <v>508.85</v>
      </c>
      <c r="R56">
        <f>DATEDIF(O56,P56,"M")</f>
        <v>1</v>
      </c>
      <c r="S56" t="s">
        <v>60</v>
      </c>
      <c r="T56" t="s">
        <v>1370</v>
      </c>
      <c r="U56" s="4">
        <v>0.27</v>
      </c>
      <c r="V56" t="s">
        <v>83</v>
      </c>
      <c r="W56" t="s">
        <v>221</v>
      </c>
      <c r="X56" s="2">
        <v>824.34</v>
      </c>
      <c r="Y56" s="2">
        <v>137.38999999999999</v>
      </c>
      <c r="Z56" t="s">
        <v>1375</v>
      </c>
    </row>
    <row r="57" spans="1:26" x14ac:dyDescent="0.25">
      <c r="A57">
        <v>2031970926</v>
      </c>
      <c r="B57" t="s">
        <v>372</v>
      </c>
      <c r="C57" t="s">
        <v>373</v>
      </c>
      <c r="D57" t="str">
        <f>CONCATENATE(C57," ",B57)</f>
        <v>ELIZABETH CULVERHOUSE</v>
      </c>
      <c r="E57" t="s">
        <v>374</v>
      </c>
      <c r="F57" t="s">
        <v>126</v>
      </c>
      <c r="G57" t="s">
        <v>132</v>
      </c>
      <c r="H57">
        <v>8307933</v>
      </c>
      <c r="J57">
        <v>8307933</v>
      </c>
      <c r="K57" t="s">
        <v>246</v>
      </c>
      <c r="L57" t="s">
        <v>247</v>
      </c>
      <c r="M57" t="str">
        <f>CONCATENATE(L57," ",K57)</f>
        <v>GREGORY TEIPEL</v>
      </c>
      <c r="N57" t="s">
        <v>57</v>
      </c>
      <c r="O57" s="1">
        <v>45997</v>
      </c>
      <c r="P57" s="1">
        <v>46028</v>
      </c>
      <c r="Q57" s="2">
        <v>51.19</v>
      </c>
      <c r="R57">
        <f>DATEDIF(O57,P57,"M")</f>
        <v>1</v>
      </c>
      <c r="S57" t="s">
        <v>60</v>
      </c>
      <c r="T57" t="s">
        <v>1370</v>
      </c>
      <c r="U57" s="4">
        <v>0.7</v>
      </c>
      <c r="V57" t="s">
        <v>83</v>
      </c>
      <c r="W57" t="s">
        <v>221</v>
      </c>
      <c r="X57" s="2">
        <v>214.98</v>
      </c>
      <c r="Y57" s="2">
        <v>35.83</v>
      </c>
      <c r="Z57" t="s">
        <v>132</v>
      </c>
    </row>
    <row r="58" spans="1:26" x14ac:dyDescent="0.25">
      <c r="A58">
        <v>2031988911</v>
      </c>
      <c r="B58" t="s">
        <v>244</v>
      </c>
      <c r="C58" t="s">
        <v>245</v>
      </c>
      <c r="D58" t="str">
        <f>CONCATENATE(C58," ",B58)</f>
        <v>LAUREN MORRIS</v>
      </c>
      <c r="E58" t="s">
        <v>102</v>
      </c>
      <c r="F58" t="s">
        <v>126</v>
      </c>
      <c r="G58" t="s">
        <v>132</v>
      </c>
      <c r="H58">
        <v>8307933</v>
      </c>
      <c r="J58">
        <v>8307933</v>
      </c>
      <c r="K58" t="s">
        <v>246</v>
      </c>
      <c r="L58" t="s">
        <v>247</v>
      </c>
      <c r="M58" t="str">
        <f>CONCATENATE(L58," ",K58)</f>
        <v>GREGORY TEIPEL</v>
      </c>
      <c r="N58" t="s">
        <v>57</v>
      </c>
      <c r="O58" s="1">
        <v>45996</v>
      </c>
      <c r="P58" s="1">
        <v>46027</v>
      </c>
      <c r="Q58" s="2">
        <v>81.150000000000006</v>
      </c>
      <c r="R58">
        <f>DATEDIF(O58,P58,"M")</f>
        <v>1</v>
      </c>
      <c r="S58" t="s">
        <v>60</v>
      </c>
      <c r="T58" t="s">
        <v>1370</v>
      </c>
      <c r="U58" s="4">
        <v>0.7</v>
      </c>
      <c r="V58" t="s">
        <v>83</v>
      </c>
      <c r="W58" t="s">
        <v>221</v>
      </c>
      <c r="X58" s="2">
        <v>340.8</v>
      </c>
      <c r="Y58" s="2">
        <v>56.8</v>
      </c>
      <c r="Z58" t="s">
        <v>132</v>
      </c>
    </row>
    <row r="59" spans="1:26" x14ac:dyDescent="0.25">
      <c r="A59">
        <v>2032077085</v>
      </c>
      <c r="B59" t="s">
        <v>248</v>
      </c>
      <c r="C59" t="s">
        <v>249</v>
      </c>
      <c r="D59" t="str">
        <f>CONCATENATE(C59," ",B59)</f>
        <v>ROBERT JESSIE</v>
      </c>
      <c r="E59" t="s">
        <v>97</v>
      </c>
      <c r="F59" t="s">
        <v>126</v>
      </c>
      <c r="G59" t="s">
        <v>132</v>
      </c>
      <c r="H59">
        <v>8307933</v>
      </c>
      <c r="J59">
        <v>8307933</v>
      </c>
      <c r="K59" t="s">
        <v>246</v>
      </c>
      <c r="L59" t="s">
        <v>247</v>
      </c>
      <c r="M59" t="str">
        <f>CONCATENATE(L59," ",K59)</f>
        <v>GREGORY TEIPEL</v>
      </c>
      <c r="N59" t="s">
        <v>57</v>
      </c>
      <c r="O59" s="1">
        <v>45997</v>
      </c>
      <c r="P59" s="1">
        <v>46028</v>
      </c>
      <c r="Q59" s="2">
        <v>73.22</v>
      </c>
      <c r="R59">
        <f>DATEDIF(O59,P59,"M")</f>
        <v>1</v>
      </c>
      <c r="S59" t="s">
        <v>60</v>
      </c>
      <c r="T59" t="s">
        <v>1370</v>
      </c>
      <c r="U59" s="4">
        <v>0.7</v>
      </c>
      <c r="V59" t="s">
        <v>83</v>
      </c>
      <c r="W59" t="s">
        <v>221</v>
      </c>
      <c r="X59" s="2">
        <v>307.5</v>
      </c>
      <c r="Y59" s="2">
        <v>51.25</v>
      </c>
      <c r="Z59" t="s">
        <v>132</v>
      </c>
    </row>
    <row r="60" spans="1:26" x14ac:dyDescent="0.25">
      <c r="A60">
        <v>2032082996</v>
      </c>
      <c r="B60" t="s">
        <v>107</v>
      </c>
      <c r="C60" t="s">
        <v>377</v>
      </c>
      <c r="D60" t="str">
        <f>CONCATENATE(C60," ",B60)</f>
        <v>PATSY THOMAS</v>
      </c>
      <c r="E60" t="s">
        <v>102</v>
      </c>
      <c r="F60" t="s">
        <v>126</v>
      </c>
      <c r="G60" t="s">
        <v>132</v>
      </c>
      <c r="H60">
        <v>8307933</v>
      </c>
      <c r="J60">
        <v>8307933</v>
      </c>
      <c r="K60" t="s">
        <v>246</v>
      </c>
      <c r="L60" t="s">
        <v>247</v>
      </c>
      <c r="M60" t="str">
        <f>CONCATENATE(L60," ",K60)</f>
        <v>GREGORY TEIPEL</v>
      </c>
      <c r="N60" t="s">
        <v>57</v>
      </c>
      <c r="O60" s="1">
        <v>45997</v>
      </c>
      <c r="P60" s="1">
        <v>46028</v>
      </c>
      <c r="Q60" s="2">
        <v>61.08</v>
      </c>
      <c r="R60">
        <f>DATEDIF(O60,P60,"M")</f>
        <v>1</v>
      </c>
      <c r="S60" t="s">
        <v>60</v>
      </c>
      <c r="T60" t="s">
        <v>1370</v>
      </c>
      <c r="U60" s="4">
        <v>0.7</v>
      </c>
      <c r="V60" t="s">
        <v>83</v>
      </c>
      <c r="W60" t="s">
        <v>221</v>
      </c>
      <c r="X60" s="2">
        <v>256.56</v>
      </c>
      <c r="Y60" s="2">
        <v>42.76</v>
      </c>
      <c r="Z60" t="s">
        <v>132</v>
      </c>
    </row>
    <row r="61" spans="1:26" x14ac:dyDescent="0.25">
      <c r="A61">
        <v>2032233871</v>
      </c>
      <c r="B61" t="s">
        <v>382</v>
      </c>
      <c r="C61" t="s">
        <v>264</v>
      </c>
      <c r="D61" t="str">
        <f>CONCATENATE(C61," ",B61)</f>
        <v>ASHLEY PAGE</v>
      </c>
      <c r="E61" t="s">
        <v>383</v>
      </c>
      <c r="F61" t="s">
        <v>126</v>
      </c>
      <c r="G61" t="s">
        <v>132</v>
      </c>
      <c r="H61">
        <v>8307933</v>
      </c>
      <c r="J61">
        <v>8307933</v>
      </c>
      <c r="K61" t="s">
        <v>246</v>
      </c>
      <c r="L61" t="s">
        <v>247</v>
      </c>
      <c r="M61" t="str">
        <f>CONCATENATE(L61," ",K61)</f>
        <v>GREGORY TEIPEL</v>
      </c>
      <c r="N61" t="s">
        <v>57</v>
      </c>
      <c r="O61" s="1">
        <v>45997</v>
      </c>
      <c r="P61" s="1">
        <v>46028</v>
      </c>
      <c r="Q61" s="2">
        <v>45.75</v>
      </c>
      <c r="R61">
        <f>DATEDIF(O61,P61,"M")</f>
        <v>1</v>
      </c>
      <c r="S61" t="s">
        <v>60</v>
      </c>
      <c r="T61" t="s">
        <v>1370</v>
      </c>
      <c r="U61" s="4">
        <v>0.7</v>
      </c>
      <c r="V61" t="s">
        <v>83</v>
      </c>
      <c r="W61" t="s">
        <v>221</v>
      </c>
      <c r="X61" s="2">
        <v>192.12</v>
      </c>
      <c r="Y61" s="2">
        <v>32.020000000000003</v>
      </c>
      <c r="Z61" t="s">
        <v>132</v>
      </c>
    </row>
    <row r="62" spans="1:26" x14ac:dyDescent="0.25">
      <c r="A62">
        <v>2032283204</v>
      </c>
      <c r="B62" t="s">
        <v>250</v>
      </c>
      <c r="C62" t="s">
        <v>96</v>
      </c>
      <c r="D62" t="str">
        <f>CONCATENATE(C62," ",B62)</f>
        <v>MICHELLE VOLLAND</v>
      </c>
      <c r="E62" t="s">
        <v>102</v>
      </c>
      <c r="F62" t="s">
        <v>126</v>
      </c>
      <c r="G62" t="s">
        <v>132</v>
      </c>
      <c r="H62">
        <v>8307933</v>
      </c>
      <c r="J62">
        <v>8307933</v>
      </c>
      <c r="K62" t="s">
        <v>246</v>
      </c>
      <c r="L62" t="s">
        <v>247</v>
      </c>
      <c r="M62" t="str">
        <f>CONCATENATE(L62," ",K62)</f>
        <v>GREGORY TEIPEL</v>
      </c>
      <c r="N62" t="s">
        <v>57</v>
      </c>
      <c r="O62" s="1">
        <v>45997</v>
      </c>
      <c r="P62" s="1">
        <v>46028</v>
      </c>
      <c r="Q62" s="2">
        <v>269.38</v>
      </c>
      <c r="R62">
        <f>DATEDIF(O62,P62,"M")</f>
        <v>1</v>
      </c>
      <c r="S62" t="s">
        <v>60</v>
      </c>
      <c r="T62" t="s">
        <v>1370</v>
      </c>
      <c r="U62" s="4">
        <v>0.7</v>
      </c>
      <c r="V62" t="s">
        <v>83</v>
      </c>
      <c r="W62" t="s">
        <v>221</v>
      </c>
      <c r="X62" s="2">
        <v>1131.42</v>
      </c>
      <c r="Y62" s="2">
        <v>188.57</v>
      </c>
      <c r="Z62" t="s">
        <v>132</v>
      </c>
    </row>
    <row r="63" spans="1:26" x14ac:dyDescent="0.25">
      <c r="A63">
        <v>2032337377</v>
      </c>
      <c r="B63" t="s">
        <v>387</v>
      </c>
      <c r="C63" t="s">
        <v>388</v>
      </c>
      <c r="D63" t="str">
        <f>CONCATENATE(C63," ",B63)</f>
        <v>ALEXANDER BARNETT</v>
      </c>
      <c r="E63" t="s">
        <v>389</v>
      </c>
      <c r="F63" t="s">
        <v>126</v>
      </c>
      <c r="G63" t="s">
        <v>132</v>
      </c>
      <c r="H63">
        <v>8307933</v>
      </c>
      <c r="J63">
        <v>8307933</v>
      </c>
      <c r="K63" t="s">
        <v>246</v>
      </c>
      <c r="L63" t="s">
        <v>247</v>
      </c>
      <c r="M63" t="str">
        <f>CONCATENATE(L63," ",K63)</f>
        <v>GREGORY TEIPEL</v>
      </c>
      <c r="N63" t="s">
        <v>57</v>
      </c>
      <c r="O63" s="1">
        <v>45997</v>
      </c>
      <c r="P63" s="1">
        <v>46028</v>
      </c>
      <c r="Q63" s="2">
        <v>38.5</v>
      </c>
      <c r="R63">
        <f>DATEDIF(O63,P63,"M")</f>
        <v>1</v>
      </c>
      <c r="S63" t="s">
        <v>60</v>
      </c>
      <c r="T63" t="s">
        <v>1370</v>
      </c>
      <c r="U63" s="4">
        <v>0.7</v>
      </c>
      <c r="V63" t="s">
        <v>83</v>
      </c>
      <c r="W63" t="s">
        <v>221</v>
      </c>
      <c r="X63" s="2">
        <v>161.69999999999999</v>
      </c>
      <c r="Y63" s="2">
        <v>26.95</v>
      </c>
      <c r="Z63" t="s">
        <v>132</v>
      </c>
    </row>
    <row r="64" spans="1:26" x14ac:dyDescent="0.25">
      <c r="A64">
        <v>2032077087</v>
      </c>
      <c r="B64" t="s">
        <v>248</v>
      </c>
      <c r="C64" t="s">
        <v>249</v>
      </c>
      <c r="D64" t="str">
        <f>CONCATENATE(C64," ",B64)</f>
        <v>ROBERT JESSIE</v>
      </c>
      <c r="E64" t="s">
        <v>97</v>
      </c>
      <c r="F64" t="s">
        <v>86</v>
      </c>
      <c r="G64" t="s">
        <v>87</v>
      </c>
      <c r="H64">
        <v>8307933</v>
      </c>
      <c r="J64">
        <v>8307933</v>
      </c>
      <c r="K64" t="s">
        <v>246</v>
      </c>
      <c r="L64" t="s">
        <v>247</v>
      </c>
      <c r="M64" t="str">
        <f>CONCATENATE(L64," ",K64)</f>
        <v>GREGORY TEIPEL</v>
      </c>
      <c r="N64" t="s">
        <v>57</v>
      </c>
      <c r="O64" s="1">
        <v>45997</v>
      </c>
      <c r="P64" s="1">
        <v>46028</v>
      </c>
      <c r="Q64" s="2">
        <v>38.72</v>
      </c>
      <c r="R64">
        <f>DATEDIF(O64,P64,"M")</f>
        <v>1</v>
      </c>
      <c r="S64" t="s">
        <v>60</v>
      </c>
      <c r="T64" t="s">
        <v>1370</v>
      </c>
      <c r="U64" s="3">
        <v>0.375</v>
      </c>
      <c r="V64" t="s">
        <v>83</v>
      </c>
      <c r="W64" t="s">
        <v>221</v>
      </c>
      <c r="X64" s="2">
        <v>87.12</v>
      </c>
      <c r="Y64" s="2">
        <v>14.52</v>
      </c>
      <c r="Z64" t="s">
        <v>87</v>
      </c>
    </row>
    <row r="65" spans="1:26" x14ac:dyDescent="0.25">
      <c r="A65">
        <v>2031970927</v>
      </c>
      <c r="B65" t="s">
        <v>372</v>
      </c>
      <c r="C65" t="s">
        <v>373</v>
      </c>
      <c r="D65" t="str">
        <f>CONCATENATE(C65," ",B65)</f>
        <v>ELIZABETH CULVERHOUSE</v>
      </c>
      <c r="E65" t="s">
        <v>374</v>
      </c>
      <c r="F65" t="s">
        <v>126</v>
      </c>
      <c r="G65" t="s">
        <v>375</v>
      </c>
      <c r="H65">
        <v>8307933</v>
      </c>
      <c r="J65">
        <v>8307933</v>
      </c>
      <c r="K65" t="s">
        <v>246</v>
      </c>
      <c r="L65" t="s">
        <v>247</v>
      </c>
      <c r="M65" t="str">
        <f>CONCATENATE(L65," ",K65)</f>
        <v>GREGORY TEIPEL</v>
      </c>
      <c r="N65" t="s">
        <v>57</v>
      </c>
      <c r="O65" s="1">
        <v>45997</v>
      </c>
      <c r="P65" s="1">
        <v>46028</v>
      </c>
      <c r="Q65" s="2">
        <v>98.38</v>
      </c>
      <c r="R65">
        <f>DATEDIF(O65,P65,"M")</f>
        <v>1</v>
      </c>
      <c r="S65" t="s">
        <v>60</v>
      </c>
      <c r="T65" t="s">
        <v>1370</v>
      </c>
      <c r="U65" s="4">
        <v>0.9</v>
      </c>
      <c r="V65" t="s">
        <v>83</v>
      </c>
      <c r="W65" t="s">
        <v>221</v>
      </c>
      <c r="X65" s="2">
        <v>531.24</v>
      </c>
      <c r="Y65" s="2">
        <v>88.54</v>
      </c>
      <c r="Z65" t="s">
        <v>375</v>
      </c>
    </row>
    <row r="66" spans="1:26" x14ac:dyDescent="0.25">
      <c r="A66">
        <v>2031995944</v>
      </c>
      <c r="B66" t="s">
        <v>376</v>
      </c>
      <c r="C66" t="s">
        <v>270</v>
      </c>
      <c r="D66" t="str">
        <f>CONCATENATE(C66," ",B66)</f>
        <v>JOYCE TRASK</v>
      </c>
      <c r="E66" t="s">
        <v>267</v>
      </c>
      <c r="F66" t="s">
        <v>126</v>
      </c>
      <c r="G66" t="s">
        <v>375</v>
      </c>
      <c r="H66">
        <v>8307933</v>
      </c>
      <c r="J66">
        <v>8307933</v>
      </c>
      <c r="K66" t="s">
        <v>246</v>
      </c>
      <c r="L66" t="s">
        <v>247</v>
      </c>
      <c r="M66" t="str">
        <f>CONCATENATE(L66," ",K66)</f>
        <v>GREGORY TEIPEL</v>
      </c>
      <c r="N66" t="s">
        <v>57</v>
      </c>
      <c r="O66" s="1">
        <v>45997</v>
      </c>
      <c r="P66" s="1">
        <v>46028</v>
      </c>
      <c r="Q66" s="2">
        <v>168.88</v>
      </c>
      <c r="R66">
        <f>DATEDIF(O66,P66,"M")</f>
        <v>1</v>
      </c>
      <c r="S66" t="s">
        <v>60</v>
      </c>
      <c r="T66" t="s">
        <v>1370</v>
      </c>
      <c r="U66" s="4">
        <v>0.9</v>
      </c>
      <c r="V66" t="s">
        <v>83</v>
      </c>
      <c r="W66" t="s">
        <v>221</v>
      </c>
      <c r="X66" s="2">
        <v>911.94</v>
      </c>
      <c r="Y66" s="2">
        <v>151.99</v>
      </c>
      <c r="Z66" t="s">
        <v>375</v>
      </c>
    </row>
    <row r="67" spans="1:26" x14ac:dyDescent="0.25">
      <c r="A67">
        <v>2032129357</v>
      </c>
      <c r="B67" t="s">
        <v>378</v>
      </c>
      <c r="C67" t="s">
        <v>379</v>
      </c>
      <c r="D67" t="str">
        <f>CONCATENATE(C67," ",B67)</f>
        <v>ANITA GINNEVER</v>
      </c>
      <c r="E67" t="s">
        <v>267</v>
      </c>
      <c r="F67" t="s">
        <v>126</v>
      </c>
      <c r="G67" t="s">
        <v>375</v>
      </c>
      <c r="H67">
        <v>8307933</v>
      </c>
      <c r="J67">
        <v>8307933</v>
      </c>
      <c r="K67" t="s">
        <v>246</v>
      </c>
      <c r="L67" t="s">
        <v>247</v>
      </c>
      <c r="M67" t="str">
        <f>CONCATENATE(L67," ",K67)</f>
        <v>GREGORY TEIPEL</v>
      </c>
      <c r="N67" t="s">
        <v>57</v>
      </c>
      <c r="O67" s="1">
        <v>45997</v>
      </c>
      <c r="P67" s="1">
        <v>46028</v>
      </c>
      <c r="Q67" s="2">
        <v>146.88</v>
      </c>
      <c r="R67">
        <f>DATEDIF(O67,P67,"M")</f>
        <v>1</v>
      </c>
      <c r="S67" t="s">
        <v>60</v>
      </c>
      <c r="T67" t="s">
        <v>1370</v>
      </c>
      <c r="U67" s="4">
        <v>0.9</v>
      </c>
      <c r="V67" t="s">
        <v>83</v>
      </c>
      <c r="W67" t="s">
        <v>221</v>
      </c>
      <c r="X67" s="2">
        <v>793.14</v>
      </c>
      <c r="Y67" s="2">
        <v>132.19</v>
      </c>
      <c r="Z67" t="s">
        <v>375</v>
      </c>
    </row>
    <row r="68" spans="1:26" s="5" customFormat="1" x14ac:dyDescent="0.25">
      <c r="A68" s="5">
        <v>2032548721</v>
      </c>
      <c r="B68" s="5" t="s">
        <v>288</v>
      </c>
      <c r="C68" s="5" t="s">
        <v>289</v>
      </c>
      <c r="D68" s="5" t="str">
        <f>CONCATENATE(C68," ",B68)</f>
        <v>DEVON KENDIG</v>
      </c>
      <c r="E68" s="5" t="s">
        <v>200</v>
      </c>
      <c r="F68" s="5" t="s">
        <v>75</v>
      </c>
      <c r="G68" s="5" t="s">
        <v>243</v>
      </c>
      <c r="H68" s="5">
        <v>16865615</v>
      </c>
      <c r="I68" s="5" t="s">
        <v>1369</v>
      </c>
      <c r="J68" s="5" t="str">
        <f>CONCATENATE(H68,I68)</f>
        <v>16865615AV6</v>
      </c>
      <c r="K68" s="5" t="s">
        <v>201</v>
      </c>
      <c r="L68" s="5" t="s">
        <v>202</v>
      </c>
      <c r="M68" s="5" t="str">
        <f>CONCATENATE(L68," ",K68)</f>
        <v>Heather Geske</v>
      </c>
      <c r="N68" s="5" t="s">
        <v>57</v>
      </c>
      <c r="O68" s="6">
        <v>45998</v>
      </c>
      <c r="P68" s="6">
        <v>46029</v>
      </c>
      <c r="Q68" s="7">
        <v>7</v>
      </c>
      <c r="R68" s="5">
        <f>DATEDIF(O68,P68,"M")</f>
        <v>1</v>
      </c>
      <c r="S68" s="5" t="s">
        <v>1378</v>
      </c>
      <c r="T68" s="5" t="s">
        <v>1379</v>
      </c>
      <c r="U68" s="8">
        <v>0.75</v>
      </c>
      <c r="V68" s="5" t="s">
        <v>83</v>
      </c>
      <c r="W68" s="5" t="s">
        <v>221</v>
      </c>
      <c r="X68" s="7">
        <v>31.5</v>
      </c>
      <c r="Y68" s="7">
        <v>5.25</v>
      </c>
      <c r="Z68" s="5" t="s">
        <v>1371</v>
      </c>
    </row>
    <row r="69" spans="1:26" s="5" customFormat="1" x14ac:dyDescent="0.25">
      <c r="A69" s="5">
        <v>2032548720</v>
      </c>
      <c r="B69" s="5" t="s">
        <v>288</v>
      </c>
      <c r="C69" s="5" t="s">
        <v>289</v>
      </c>
      <c r="D69" s="5" t="str">
        <f>CONCATENATE(C69," ",B69)</f>
        <v>DEVON KENDIG</v>
      </c>
      <c r="E69" s="5" t="s">
        <v>200</v>
      </c>
      <c r="F69" s="5" t="s">
        <v>86</v>
      </c>
      <c r="G69" s="5" t="s">
        <v>87</v>
      </c>
      <c r="H69" s="5">
        <v>16865615</v>
      </c>
      <c r="I69" s="5" t="s">
        <v>1369</v>
      </c>
      <c r="J69" s="5" t="str">
        <f>CONCATENATE(H69,I69)</f>
        <v>16865615AV6</v>
      </c>
      <c r="K69" s="5" t="s">
        <v>201</v>
      </c>
      <c r="L69" s="5" t="s">
        <v>202</v>
      </c>
      <c r="M69" s="5" t="str">
        <f>CONCATENATE(L69," ",K69)</f>
        <v>Heather Geske</v>
      </c>
      <c r="N69" s="5" t="s">
        <v>57</v>
      </c>
      <c r="O69" s="6">
        <v>45998</v>
      </c>
      <c r="P69" s="6">
        <v>46029</v>
      </c>
      <c r="Q69" s="7">
        <v>54.57</v>
      </c>
      <c r="R69" s="5">
        <f>DATEDIF(O69,P69,"M")</f>
        <v>1</v>
      </c>
      <c r="S69" s="5" t="s">
        <v>1378</v>
      </c>
      <c r="T69" s="5" t="s">
        <v>1379</v>
      </c>
      <c r="U69" s="9">
        <v>0.375</v>
      </c>
      <c r="V69" s="5" t="s">
        <v>83</v>
      </c>
      <c r="W69" s="5" t="s">
        <v>221</v>
      </c>
      <c r="X69" s="7">
        <v>122.76</v>
      </c>
      <c r="Y69" s="7">
        <v>20.46</v>
      </c>
      <c r="Z69" s="5" t="s">
        <v>87</v>
      </c>
    </row>
    <row r="70" spans="1:26" x14ac:dyDescent="0.25">
      <c r="A70">
        <v>2032512773</v>
      </c>
      <c r="B70" t="s">
        <v>274</v>
      </c>
      <c r="C70" t="s">
        <v>144</v>
      </c>
      <c r="D70" t="str">
        <f>CONCATENATE(C70," ",B70)</f>
        <v>STEVEN NABOR</v>
      </c>
      <c r="E70" t="s">
        <v>102</v>
      </c>
      <c r="F70" t="s">
        <v>75</v>
      </c>
      <c r="G70" t="s">
        <v>243</v>
      </c>
      <c r="H70">
        <v>18754354</v>
      </c>
      <c r="J70">
        <v>18754354</v>
      </c>
      <c r="K70" t="s">
        <v>159</v>
      </c>
      <c r="L70" t="s">
        <v>160</v>
      </c>
      <c r="M70" t="str">
        <f>CONCATENATE(L70," ",K70)</f>
        <v>JACOB YALE</v>
      </c>
      <c r="N70" t="s">
        <v>57</v>
      </c>
      <c r="O70" s="1">
        <v>46023</v>
      </c>
      <c r="P70" s="1">
        <v>46054</v>
      </c>
      <c r="Q70" s="2">
        <v>50.62</v>
      </c>
      <c r="R70">
        <f>DATEDIF(O70,P70,"M")</f>
        <v>1</v>
      </c>
      <c r="S70" t="s">
        <v>60</v>
      </c>
      <c r="T70" t="s">
        <v>1370</v>
      </c>
      <c r="U70" s="4">
        <v>0.75</v>
      </c>
      <c r="V70" t="s">
        <v>83</v>
      </c>
      <c r="W70" t="s">
        <v>221</v>
      </c>
      <c r="X70" s="2">
        <v>227.76</v>
      </c>
      <c r="Y70" s="2">
        <v>37.96</v>
      </c>
      <c r="Z70" t="s">
        <v>1371</v>
      </c>
    </row>
    <row r="71" spans="1:26" x14ac:dyDescent="0.25">
      <c r="A71">
        <v>2032512772</v>
      </c>
      <c r="B71" t="s">
        <v>274</v>
      </c>
      <c r="C71" t="s">
        <v>144</v>
      </c>
      <c r="D71" t="str">
        <f>CONCATENATE(C71," ",B71)</f>
        <v>STEVEN NABOR</v>
      </c>
      <c r="E71" t="s">
        <v>102</v>
      </c>
      <c r="F71" t="s">
        <v>126</v>
      </c>
      <c r="G71" t="s">
        <v>132</v>
      </c>
      <c r="H71">
        <v>18754354</v>
      </c>
      <c r="J71">
        <v>18754354</v>
      </c>
      <c r="K71" t="s">
        <v>159</v>
      </c>
      <c r="L71" t="s">
        <v>160</v>
      </c>
      <c r="M71" t="str">
        <f>CONCATENATE(L71," ",K71)</f>
        <v>JACOB YALE</v>
      </c>
      <c r="N71" t="s">
        <v>57</v>
      </c>
      <c r="O71" s="1">
        <v>46023</v>
      </c>
      <c r="P71" s="1">
        <v>46054</v>
      </c>
      <c r="Q71" s="2">
        <v>145.41999999999999</v>
      </c>
      <c r="R71">
        <f>DATEDIF(O71,P71,"M")</f>
        <v>1</v>
      </c>
      <c r="S71" t="s">
        <v>60</v>
      </c>
      <c r="T71" t="s">
        <v>1370</v>
      </c>
      <c r="U71" s="4">
        <v>0.7</v>
      </c>
      <c r="V71" t="s">
        <v>83</v>
      </c>
      <c r="W71" t="s">
        <v>221</v>
      </c>
      <c r="X71" s="2">
        <v>610.74</v>
      </c>
      <c r="Y71" s="2">
        <v>101.79</v>
      </c>
      <c r="Z71" t="s">
        <v>132</v>
      </c>
    </row>
    <row r="72" spans="1:26" s="5" customFormat="1" x14ac:dyDescent="0.25">
      <c r="A72" s="5">
        <v>2032540065</v>
      </c>
      <c r="B72" s="5" t="s">
        <v>280</v>
      </c>
      <c r="C72" s="5" t="s">
        <v>281</v>
      </c>
      <c r="D72" s="5" t="str">
        <f>CONCATENATE(C72," ",B72)</f>
        <v>RAY HERNANDEZ</v>
      </c>
      <c r="E72" s="5" t="s">
        <v>97</v>
      </c>
      <c r="F72" s="5" t="s">
        <v>75</v>
      </c>
      <c r="G72" s="5" t="s">
        <v>243</v>
      </c>
      <c r="H72" s="5">
        <v>18201929</v>
      </c>
      <c r="I72" s="5" t="s">
        <v>1369</v>
      </c>
      <c r="J72" s="5" t="str">
        <f>CONCATENATE(H72,I72)</f>
        <v>18201929AV6</v>
      </c>
      <c r="K72" s="5" t="s">
        <v>145</v>
      </c>
      <c r="L72" s="5" t="s">
        <v>146</v>
      </c>
      <c r="M72" s="5" t="str">
        <f>CONCATENATE(L72," ",K72)</f>
        <v>Jake Shulman</v>
      </c>
      <c r="N72" s="5" t="s">
        <v>57</v>
      </c>
      <c r="O72" s="6">
        <v>45997</v>
      </c>
      <c r="P72" s="6">
        <v>46028</v>
      </c>
      <c r="Q72" s="7">
        <v>155.74</v>
      </c>
      <c r="R72" s="5">
        <f>DATEDIF(O72,P72,"M")</f>
        <v>1</v>
      </c>
      <c r="S72" s="5" t="s">
        <v>1378</v>
      </c>
      <c r="T72" s="5" t="s">
        <v>1379</v>
      </c>
      <c r="U72" s="8">
        <v>0.75</v>
      </c>
      <c r="V72" s="5" t="s">
        <v>83</v>
      </c>
      <c r="W72" s="5" t="s">
        <v>221</v>
      </c>
      <c r="X72" s="7">
        <v>700.8</v>
      </c>
      <c r="Y72" s="7">
        <v>116.8</v>
      </c>
      <c r="Z72" s="5" t="s">
        <v>1371</v>
      </c>
    </row>
    <row r="73" spans="1:26" s="5" customFormat="1" x14ac:dyDescent="0.25">
      <c r="A73" s="5">
        <v>2032540064</v>
      </c>
      <c r="B73" s="5" t="s">
        <v>280</v>
      </c>
      <c r="C73" s="5" t="s">
        <v>281</v>
      </c>
      <c r="D73" s="5" t="str">
        <f>CONCATENATE(C73," ",B73)</f>
        <v>RAY HERNANDEZ</v>
      </c>
      <c r="E73" s="5" t="s">
        <v>97</v>
      </c>
      <c r="F73" s="5" t="s">
        <v>126</v>
      </c>
      <c r="G73" s="5" t="s">
        <v>132</v>
      </c>
      <c r="H73" s="5">
        <v>18201929</v>
      </c>
      <c r="I73" s="5" t="s">
        <v>1369</v>
      </c>
      <c r="J73" s="5" t="str">
        <f>CONCATENATE(H73,I73)</f>
        <v>18201929AV6</v>
      </c>
      <c r="K73" s="5" t="s">
        <v>145</v>
      </c>
      <c r="L73" s="5" t="s">
        <v>146</v>
      </c>
      <c r="M73" s="5" t="str">
        <f>CONCATENATE(L73," ",K73)</f>
        <v>Jake Shulman</v>
      </c>
      <c r="N73" s="5" t="s">
        <v>57</v>
      </c>
      <c r="O73" s="6">
        <v>45997</v>
      </c>
      <c r="P73" s="6">
        <v>46028</v>
      </c>
      <c r="Q73" s="7">
        <v>176.94</v>
      </c>
      <c r="R73" s="5">
        <f>DATEDIF(O73,P73,"M")</f>
        <v>1</v>
      </c>
      <c r="S73" s="5" t="s">
        <v>1378</v>
      </c>
      <c r="T73" s="5" t="s">
        <v>1379</v>
      </c>
      <c r="U73" s="8">
        <v>0.7</v>
      </c>
      <c r="V73" s="5" t="s">
        <v>83</v>
      </c>
      <c r="W73" s="5" t="s">
        <v>221</v>
      </c>
      <c r="X73" s="7">
        <v>743.16</v>
      </c>
      <c r="Y73" s="7">
        <v>123.86</v>
      </c>
      <c r="Z73" s="5" t="s">
        <v>132</v>
      </c>
    </row>
    <row r="74" spans="1:26" s="5" customFormat="1" x14ac:dyDescent="0.25">
      <c r="A74" s="5">
        <v>2032333660</v>
      </c>
      <c r="B74" s="5" t="s">
        <v>251</v>
      </c>
      <c r="C74" s="5" t="s">
        <v>252</v>
      </c>
      <c r="D74" s="5" t="str">
        <f>CONCATENATE(C74," ",B74)</f>
        <v>JAIDEV SHARMA</v>
      </c>
      <c r="E74" s="5" t="s">
        <v>102</v>
      </c>
      <c r="F74" s="5" t="s">
        <v>75</v>
      </c>
      <c r="G74" s="5" t="s">
        <v>243</v>
      </c>
      <c r="H74" s="5">
        <v>17143996</v>
      </c>
      <c r="I74" s="5" t="s">
        <v>1369</v>
      </c>
      <c r="J74" s="5" t="str">
        <f>CONCATENATE(H74,I74)</f>
        <v>17143996AV6</v>
      </c>
      <c r="K74" s="5" t="s">
        <v>253</v>
      </c>
      <c r="L74" s="5" t="s">
        <v>254</v>
      </c>
      <c r="M74" s="5" t="str">
        <f>CONCATENATE(L74," ",K74)</f>
        <v>James Allen</v>
      </c>
      <c r="N74" s="5" t="s">
        <v>57</v>
      </c>
      <c r="O74" s="6">
        <v>45993</v>
      </c>
      <c r="P74" s="6">
        <v>46024</v>
      </c>
      <c r="Q74" s="7">
        <v>149.29</v>
      </c>
      <c r="R74" s="5">
        <f>DATEDIF(O74,P74,"M")</f>
        <v>1</v>
      </c>
      <c r="S74" s="5" t="s">
        <v>1378</v>
      </c>
      <c r="T74" s="5" t="s">
        <v>1379</v>
      </c>
      <c r="U74" s="8">
        <v>0.75</v>
      </c>
      <c r="V74" s="5" t="s">
        <v>83</v>
      </c>
      <c r="W74" s="5" t="s">
        <v>221</v>
      </c>
      <c r="X74" s="7">
        <v>671.82</v>
      </c>
      <c r="Y74" s="7">
        <v>111.97</v>
      </c>
      <c r="Z74" s="5" t="s">
        <v>1371</v>
      </c>
    </row>
    <row r="75" spans="1:26" s="5" customFormat="1" x14ac:dyDescent="0.25">
      <c r="A75" s="5">
        <v>2032333658</v>
      </c>
      <c r="B75" s="5" t="s">
        <v>251</v>
      </c>
      <c r="C75" s="5" t="s">
        <v>252</v>
      </c>
      <c r="D75" s="5" t="str">
        <f>CONCATENATE(C75," ",B75)</f>
        <v>JAIDEV SHARMA</v>
      </c>
      <c r="E75" s="5" t="s">
        <v>102</v>
      </c>
      <c r="F75" s="5" t="s">
        <v>86</v>
      </c>
      <c r="G75" s="5" t="s">
        <v>87</v>
      </c>
      <c r="H75" s="5">
        <v>17143996</v>
      </c>
      <c r="I75" s="5" t="s">
        <v>1369</v>
      </c>
      <c r="J75" s="5" t="str">
        <f>CONCATENATE(H75,I75)</f>
        <v>17143996AV6</v>
      </c>
      <c r="K75" s="5" t="s">
        <v>253</v>
      </c>
      <c r="L75" s="5" t="s">
        <v>254</v>
      </c>
      <c r="M75" s="5" t="str">
        <f>CONCATENATE(L75," ",K75)</f>
        <v>James Allen</v>
      </c>
      <c r="N75" s="5" t="s">
        <v>57</v>
      </c>
      <c r="O75" s="6">
        <v>45993</v>
      </c>
      <c r="P75" s="6">
        <v>46024</v>
      </c>
      <c r="Q75" s="7">
        <v>257.49</v>
      </c>
      <c r="R75" s="5">
        <f>DATEDIF(O75,P75,"M")</f>
        <v>1</v>
      </c>
      <c r="S75" s="5" t="s">
        <v>1378</v>
      </c>
      <c r="T75" s="5" t="s">
        <v>1379</v>
      </c>
      <c r="U75" s="9">
        <v>0.375</v>
      </c>
      <c r="V75" s="5" t="s">
        <v>83</v>
      </c>
      <c r="W75" s="5" t="s">
        <v>221</v>
      </c>
      <c r="X75" s="7">
        <v>579.36</v>
      </c>
      <c r="Y75" s="7">
        <v>96.56</v>
      </c>
      <c r="Z75" s="5" t="s">
        <v>87</v>
      </c>
    </row>
    <row r="76" spans="1:26" s="5" customFormat="1" x14ac:dyDescent="0.25">
      <c r="A76" s="5">
        <v>2032228229</v>
      </c>
      <c r="B76" s="5" t="s">
        <v>380</v>
      </c>
      <c r="C76" s="5" t="s">
        <v>381</v>
      </c>
      <c r="D76" s="5" t="str">
        <f>CONCATENATE(C76," ",B76)</f>
        <v>JOANNIE CHIRAFISI</v>
      </c>
      <c r="E76" s="5" t="s">
        <v>102</v>
      </c>
      <c r="F76" s="5" t="s">
        <v>126</v>
      </c>
      <c r="G76" s="5" t="s">
        <v>132</v>
      </c>
      <c r="H76" s="5">
        <v>17143996</v>
      </c>
      <c r="I76" s="5" t="s">
        <v>1369</v>
      </c>
      <c r="J76" s="5" t="str">
        <f>CONCATENATE(H76,I76)</f>
        <v>17143996AV6</v>
      </c>
      <c r="K76" s="5" t="s">
        <v>253</v>
      </c>
      <c r="L76" s="5" t="s">
        <v>254</v>
      </c>
      <c r="M76" s="5" t="str">
        <f>CONCATENATE(L76," ",K76)</f>
        <v>James Allen</v>
      </c>
      <c r="N76" s="5" t="s">
        <v>57</v>
      </c>
      <c r="O76" s="6">
        <v>45993</v>
      </c>
      <c r="P76" s="6">
        <v>46024</v>
      </c>
      <c r="Q76" s="7">
        <v>57.94</v>
      </c>
      <c r="R76" s="5">
        <f>DATEDIF(O76,P76,"M")</f>
        <v>1</v>
      </c>
      <c r="S76" s="5" t="s">
        <v>1378</v>
      </c>
      <c r="T76" s="5" t="s">
        <v>1379</v>
      </c>
      <c r="U76" s="8">
        <v>0.7</v>
      </c>
      <c r="V76" s="5" t="s">
        <v>83</v>
      </c>
      <c r="W76" s="5" t="s">
        <v>221</v>
      </c>
      <c r="X76" s="7">
        <v>243.36</v>
      </c>
      <c r="Y76" s="7">
        <v>40.56</v>
      </c>
      <c r="Z76" s="5" t="s">
        <v>132</v>
      </c>
    </row>
    <row r="77" spans="1:26" s="5" customFormat="1" x14ac:dyDescent="0.25">
      <c r="A77" s="5">
        <v>2032333659</v>
      </c>
      <c r="B77" s="5" t="s">
        <v>251</v>
      </c>
      <c r="C77" s="5" t="s">
        <v>252</v>
      </c>
      <c r="D77" s="5" t="str">
        <f>CONCATENATE(C77," ",B77)</f>
        <v>JAIDEV SHARMA</v>
      </c>
      <c r="E77" s="5" t="s">
        <v>102</v>
      </c>
      <c r="F77" s="5" t="s">
        <v>126</v>
      </c>
      <c r="G77" s="5" t="s">
        <v>132</v>
      </c>
      <c r="H77" s="5">
        <v>17143996</v>
      </c>
      <c r="I77" s="5" t="s">
        <v>1369</v>
      </c>
      <c r="J77" s="5" t="str">
        <f>CONCATENATE(H77,I77)</f>
        <v>17143996AV6</v>
      </c>
      <c r="K77" s="5" t="s">
        <v>253</v>
      </c>
      <c r="L77" s="5" t="s">
        <v>254</v>
      </c>
      <c r="M77" s="5" t="str">
        <f>CONCATENATE(L77," ",K77)</f>
        <v>James Allen</v>
      </c>
      <c r="N77" s="5" t="s">
        <v>57</v>
      </c>
      <c r="O77" s="6">
        <v>45993</v>
      </c>
      <c r="P77" s="6">
        <v>46024</v>
      </c>
      <c r="Q77" s="7">
        <v>103.18</v>
      </c>
      <c r="R77" s="5">
        <f>DATEDIF(O77,P77,"M")</f>
        <v>1</v>
      </c>
      <c r="S77" s="5" t="s">
        <v>1378</v>
      </c>
      <c r="T77" s="5" t="s">
        <v>1379</v>
      </c>
      <c r="U77" s="8">
        <v>0.7</v>
      </c>
      <c r="V77" s="5" t="s">
        <v>83</v>
      </c>
      <c r="W77" s="5" t="s">
        <v>221</v>
      </c>
      <c r="X77" s="7">
        <v>433.38</v>
      </c>
      <c r="Y77" s="7">
        <v>72.23</v>
      </c>
      <c r="Z77" s="5" t="s">
        <v>132</v>
      </c>
    </row>
    <row r="78" spans="1:26" s="5" customFormat="1" x14ac:dyDescent="0.25">
      <c r="A78" s="5">
        <v>2032515413</v>
      </c>
      <c r="B78" s="5" t="s">
        <v>453</v>
      </c>
      <c r="C78" s="5" t="s">
        <v>454</v>
      </c>
      <c r="D78" s="5" t="str">
        <f>CONCATENATE(C78," ",B78)</f>
        <v>TAMERA HESS</v>
      </c>
      <c r="E78" s="5" t="s">
        <v>102</v>
      </c>
      <c r="F78" s="5" t="s">
        <v>126</v>
      </c>
      <c r="G78" s="5" t="s">
        <v>132</v>
      </c>
      <c r="H78" s="5">
        <v>17143996</v>
      </c>
      <c r="I78" s="5" t="s">
        <v>1369</v>
      </c>
      <c r="J78" s="5" t="str">
        <f>CONCATENATE(H78,I78)</f>
        <v>17143996AV6</v>
      </c>
      <c r="K78" s="5" t="s">
        <v>253</v>
      </c>
      <c r="L78" s="5" t="s">
        <v>254</v>
      </c>
      <c r="M78" s="5" t="str">
        <f>CONCATENATE(L78," ",K78)</f>
        <v>James Allen</v>
      </c>
      <c r="N78" s="5" t="s">
        <v>57</v>
      </c>
      <c r="O78" s="6">
        <v>45997</v>
      </c>
      <c r="P78" s="6">
        <v>46028</v>
      </c>
      <c r="Q78" s="7">
        <v>78.400000000000006</v>
      </c>
      <c r="R78" s="5">
        <f>DATEDIF(O78,P78,"M")</f>
        <v>1</v>
      </c>
      <c r="S78" s="5" t="s">
        <v>1378</v>
      </c>
      <c r="T78" s="5" t="s">
        <v>1379</v>
      </c>
      <c r="U78" s="8">
        <v>0.7</v>
      </c>
      <c r="V78" s="5" t="s">
        <v>83</v>
      </c>
      <c r="W78" s="5" t="s">
        <v>221</v>
      </c>
      <c r="X78" s="7">
        <v>329.28</v>
      </c>
      <c r="Y78" s="7">
        <v>54.88</v>
      </c>
      <c r="Z78" s="5" t="s">
        <v>132</v>
      </c>
    </row>
    <row r="79" spans="1:26" s="5" customFormat="1" x14ac:dyDescent="0.25">
      <c r="A79" s="5">
        <v>2032451714</v>
      </c>
      <c r="B79" s="5" t="s">
        <v>406</v>
      </c>
      <c r="C79" s="5" t="s">
        <v>407</v>
      </c>
      <c r="D79" s="5" t="str">
        <f>CONCATENATE(C79," ",B79)</f>
        <v>MADISON ALPERS</v>
      </c>
      <c r="E79" s="5" t="s">
        <v>408</v>
      </c>
      <c r="F79" s="5" t="s">
        <v>126</v>
      </c>
      <c r="G79" s="5" t="s">
        <v>132</v>
      </c>
      <c r="H79" s="5">
        <v>19279958</v>
      </c>
      <c r="I79" s="5" t="s">
        <v>1369</v>
      </c>
      <c r="J79" s="5" t="str">
        <f>CONCATENATE(H79,I79)</f>
        <v>19279958AV6</v>
      </c>
      <c r="K79" s="5" t="s">
        <v>409</v>
      </c>
      <c r="L79" s="5" t="s">
        <v>410</v>
      </c>
      <c r="M79" s="5" t="str">
        <f>CONCATENATE(L79," ",K79)</f>
        <v>JARED KINYUA</v>
      </c>
      <c r="N79" s="5" t="s">
        <v>57</v>
      </c>
      <c r="O79" s="6">
        <v>45993</v>
      </c>
      <c r="P79" s="6">
        <v>46024</v>
      </c>
      <c r="Q79" s="7">
        <v>34.340000000000003</v>
      </c>
      <c r="R79" s="5">
        <f>DATEDIF(O79,P79,"M")</f>
        <v>1</v>
      </c>
      <c r="S79" s="5" t="s">
        <v>1378</v>
      </c>
      <c r="T79" s="5" t="s">
        <v>1379</v>
      </c>
      <c r="U79" s="8">
        <v>0.7</v>
      </c>
      <c r="V79" s="5" t="s">
        <v>83</v>
      </c>
      <c r="W79" s="5" t="s">
        <v>221</v>
      </c>
      <c r="X79" s="7">
        <v>144.24</v>
      </c>
      <c r="Y79" s="7">
        <v>24.04</v>
      </c>
      <c r="Z79" s="5" t="s">
        <v>132</v>
      </c>
    </row>
    <row r="80" spans="1:26" s="5" customFormat="1" x14ac:dyDescent="0.25">
      <c r="A80" s="5">
        <v>2032469446</v>
      </c>
      <c r="B80" s="5" t="s">
        <v>430</v>
      </c>
      <c r="C80" s="5" t="s">
        <v>431</v>
      </c>
      <c r="D80" s="5" t="str">
        <f>CONCATENATE(C80," ",B80)</f>
        <v>TAMI RAWLINS</v>
      </c>
      <c r="E80" s="5" t="s">
        <v>210</v>
      </c>
      <c r="F80" s="5" t="s">
        <v>126</v>
      </c>
      <c r="G80" s="5" t="s">
        <v>132</v>
      </c>
      <c r="H80" s="5">
        <v>19279958</v>
      </c>
      <c r="I80" s="5" t="s">
        <v>1369</v>
      </c>
      <c r="J80" s="5" t="str">
        <f>CONCATENATE(H80,I80)</f>
        <v>19279958AV6</v>
      </c>
      <c r="K80" s="5" t="s">
        <v>409</v>
      </c>
      <c r="L80" s="5" t="s">
        <v>410</v>
      </c>
      <c r="M80" s="5" t="str">
        <f>CONCATENATE(L80," ",K80)</f>
        <v>JARED KINYUA</v>
      </c>
      <c r="N80" s="5" t="s">
        <v>57</v>
      </c>
      <c r="O80" s="6">
        <v>45994</v>
      </c>
      <c r="P80" s="6">
        <v>46025</v>
      </c>
      <c r="Q80" s="7">
        <v>34</v>
      </c>
      <c r="R80" s="5">
        <f>DATEDIF(O80,P80,"M")</f>
        <v>1</v>
      </c>
      <c r="S80" s="5" t="s">
        <v>1378</v>
      </c>
      <c r="T80" s="5" t="s">
        <v>1379</v>
      </c>
      <c r="U80" s="8">
        <v>0.7</v>
      </c>
      <c r="V80" s="5" t="s">
        <v>83</v>
      </c>
      <c r="W80" s="5" t="s">
        <v>221</v>
      </c>
      <c r="X80" s="7">
        <v>142.80000000000001</v>
      </c>
      <c r="Y80" s="7">
        <v>23.8</v>
      </c>
      <c r="Z80" s="5" t="s">
        <v>132</v>
      </c>
    </row>
    <row r="81" spans="1:54" s="5" customFormat="1" x14ac:dyDescent="0.25">
      <c r="A81" s="5">
        <v>2032437705</v>
      </c>
      <c r="B81" s="5" t="s">
        <v>333</v>
      </c>
      <c r="C81" s="5" t="s">
        <v>249</v>
      </c>
      <c r="D81" s="5" t="str">
        <f>CONCATENATE(C81," ",B81)</f>
        <v>ROBERT DUMPER</v>
      </c>
      <c r="E81" s="5" t="s">
        <v>102</v>
      </c>
      <c r="F81" s="5" t="s">
        <v>86</v>
      </c>
      <c r="G81" s="5" t="s">
        <v>87</v>
      </c>
      <c r="H81" s="5">
        <v>2158366</v>
      </c>
      <c r="I81" s="5" t="s">
        <v>1369</v>
      </c>
      <c r="J81" s="5" t="str">
        <f>CONCATENATE(H81,I81)</f>
        <v>2158366AV6</v>
      </c>
      <c r="K81" s="5" t="s">
        <v>334</v>
      </c>
      <c r="L81" s="5" t="s">
        <v>335</v>
      </c>
      <c r="M81" s="5" t="str">
        <f>CONCATENATE(L81," ",K81)</f>
        <v>Jeffrey Horn</v>
      </c>
      <c r="N81" s="5" t="s">
        <v>57</v>
      </c>
      <c r="O81" s="6">
        <v>45993</v>
      </c>
      <c r="P81" s="6">
        <v>46024</v>
      </c>
      <c r="Q81" s="7">
        <v>77.48</v>
      </c>
      <c r="R81" s="5">
        <f>DATEDIF(O81,P81,"M")</f>
        <v>1</v>
      </c>
      <c r="S81" s="5" t="s">
        <v>1378</v>
      </c>
      <c r="T81" s="5" t="s">
        <v>1379</v>
      </c>
      <c r="U81" s="9">
        <v>0.375</v>
      </c>
      <c r="V81" s="5" t="s">
        <v>83</v>
      </c>
      <c r="W81" s="5" t="s">
        <v>221</v>
      </c>
      <c r="X81" s="7">
        <v>174.36</v>
      </c>
      <c r="Y81" s="7">
        <v>29.06</v>
      </c>
      <c r="Z81" s="5" t="s">
        <v>87</v>
      </c>
    </row>
    <row r="82" spans="1:54" s="5" customFormat="1" x14ac:dyDescent="0.25">
      <c r="A82" s="5">
        <v>2032437706</v>
      </c>
      <c r="B82" s="5" t="s">
        <v>333</v>
      </c>
      <c r="C82" s="5" t="s">
        <v>249</v>
      </c>
      <c r="D82" s="5" t="str">
        <f>CONCATENATE(C82," ",B82)</f>
        <v>ROBERT DUMPER</v>
      </c>
      <c r="E82" s="5" t="s">
        <v>102</v>
      </c>
      <c r="F82" s="5" t="s">
        <v>126</v>
      </c>
      <c r="G82" s="5" t="s">
        <v>132</v>
      </c>
      <c r="H82" s="5">
        <v>2158366</v>
      </c>
      <c r="I82" s="5" t="s">
        <v>1369</v>
      </c>
      <c r="J82" s="5" t="str">
        <f>CONCATENATE(H82,I82)</f>
        <v>2158366AV6</v>
      </c>
      <c r="K82" s="5" t="s">
        <v>334</v>
      </c>
      <c r="L82" s="5" t="s">
        <v>335</v>
      </c>
      <c r="M82" s="5" t="str">
        <f>CONCATENATE(L82," ",K82)</f>
        <v>Jeffrey Horn</v>
      </c>
      <c r="N82" s="5" t="s">
        <v>57</v>
      </c>
      <c r="O82" s="6">
        <v>45993</v>
      </c>
      <c r="P82" s="6">
        <v>46024</v>
      </c>
      <c r="Q82" s="7">
        <v>19</v>
      </c>
      <c r="R82" s="5">
        <f>DATEDIF(O82,P82,"M")</f>
        <v>1</v>
      </c>
      <c r="S82" s="5" t="s">
        <v>1378</v>
      </c>
      <c r="T82" s="5" t="s">
        <v>1379</v>
      </c>
      <c r="U82" s="8">
        <v>0.7</v>
      </c>
      <c r="V82" s="5" t="s">
        <v>83</v>
      </c>
      <c r="W82" s="5" t="s">
        <v>221</v>
      </c>
      <c r="X82" s="7">
        <v>79.8</v>
      </c>
      <c r="Y82" s="7">
        <v>13.3</v>
      </c>
      <c r="Z82" s="5" t="s">
        <v>132</v>
      </c>
    </row>
    <row r="83" spans="1:54" s="22" customFormat="1" x14ac:dyDescent="0.25">
      <c r="A83" s="22">
        <v>2032551330</v>
      </c>
      <c r="B83" s="22" t="s">
        <v>466</v>
      </c>
      <c r="C83" s="22" t="s">
        <v>223</v>
      </c>
      <c r="D83" s="22" t="str">
        <f>CONCATENATE(C83," ",B83)</f>
        <v>NICHOLAS GANNASCOLI</v>
      </c>
      <c r="E83" s="22" t="s">
        <v>125</v>
      </c>
      <c r="F83" s="22" t="s">
        <v>126</v>
      </c>
      <c r="G83" s="22" t="s">
        <v>132</v>
      </c>
      <c r="H83" s="22">
        <v>17740520</v>
      </c>
      <c r="J83" s="22">
        <v>17740520</v>
      </c>
      <c r="K83" s="22" t="s">
        <v>467</v>
      </c>
      <c r="L83" s="22" t="s">
        <v>468</v>
      </c>
      <c r="M83" s="22" t="str">
        <f>CONCATENATE(L83," ",K83)</f>
        <v>Jennifer Hess</v>
      </c>
      <c r="N83" s="22" t="s">
        <v>57</v>
      </c>
      <c r="O83" s="23">
        <v>46023</v>
      </c>
      <c r="P83" s="23">
        <v>46054</v>
      </c>
      <c r="Q83" s="24">
        <v>57.38</v>
      </c>
      <c r="R83" s="22">
        <f>DATEDIF(O83,P83,"M")</f>
        <v>1</v>
      </c>
      <c r="S83" s="22" t="s">
        <v>60</v>
      </c>
      <c r="T83" s="22" t="s">
        <v>1370</v>
      </c>
      <c r="U83" s="25">
        <v>0.7</v>
      </c>
      <c r="V83" s="22" t="s">
        <v>83</v>
      </c>
      <c r="W83" s="22" t="s">
        <v>221</v>
      </c>
      <c r="X83" s="24">
        <v>241.02</v>
      </c>
      <c r="Y83" s="24">
        <v>40.17</v>
      </c>
      <c r="Z83" s="22" t="s">
        <v>132</v>
      </c>
    </row>
    <row r="84" spans="1:54" x14ac:dyDescent="0.25">
      <c r="A84">
        <v>2032465281</v>
      </c>
      <c r="B84" t="s">
        <v>302</v>
      </c>
      <c r="C84" t="s">
        <v>303</v>
      </c>
      <c r="D84" t="str">
        <f>CONCATENATE(C84," ",B84)</f>
        <v>DONALD RUSSELL</v>
      </c>
      <c r="E84" t="s">
        <v>131</v>
      </c>
      <c r="F84" t="s">
        <v>290</v>
      </c>
      <c r="G84" t="s">
        <v>295</v>
      </c>
      <c r="H84">
        <v>18781057</v>
      </c>
      <c r="J84">
        <v>18781057</v>
      </c>
      <c r="K84" t="s">
        <v>70</v>
      </c>
      <c r="L84" t="s">
        <v>71</v>
      </c>
      <c r="M84" t="str">
        <f>CONCATENATE(L84," ",K84)</f>
        <v>JOHN ROKEN</v>
      </c>
      <c r="N84" t="s">
        <v>57</v>
      </c>
      <c r="O84" s="1">
        <v>46023</v>
      </c>
      <c r="P84" s="1">
        <v>46054</v>
      </c>
      <c r="Q84" s="2">
        <v>15</v>
      </c>
      <c r="R84">
        <f>DATEDIF(O84,P84,"M")</f>
        <v>1</v>
      </c>
      <c r="S84" t="s">
        <v>60</v>
      </c>
      <c r="T84" t="s">
        <v>1370</v>
      </c>
      <c r="U84" s="4">
        <v>0.38</v>
      </c>
      <c r="V84" t="s">
        <v>83</v>
      </c>
      <c r="W84" t="s">
        <v>221</v>
      </c>
      <c r="X84" s="2">
        <v>34.200000000000003</v>
      </c>
      <c r="Y84" s="2">
        <v>5.7</v>
      </c>
      <c r="Z84" t="s">
        <v>295</v>
      </c>
    </row>
    <row r="85" spans="1:54" x14ac:dyDescent="0.25">
      <c r="A85">
        <v>2032465279</v>
      </c>
      <c r="B85" t="s">
        <v>302</v>
      </c>
      <c r="C85" t="s">
        <v>303</v>
      </c>
      <c r="D85" t="str">
        <f>CONCATENATE(C85," ",B85)</f>
        <v>DONALD RUSSELL</v>
      </c>
      <c r="E85" t="s">
        <v>131</v>
      </c>
      <c r="F85" t="s">
        <v>365</v>
      </c>
      <c r="G85" t="s">
        <v>366</v>
      </c>
      <c r="H85">
        <v>18781057</v>
      </c>
      <c r="J85">
        <v>18781057</v>
      </c>
      <c r="K85" t="s">
        <v>70</v>
      </c>
      <c r="L85" t="s">
        <v>71</v>
      </c>
      <c r="M85" t="str">
        <f>CONCATENATE(L85," ",K85)</f>
        <v>JOHN ROKEN</v>
      </c>
      <c r="N85" t="s">
        <v>57</v>
      </c>
      <c r="O85" s="1">
        <v>46023</v>
      </c>
      <c r="P85" s="1">
        <v>46054</v>
      </c>
      <c r="Q85" s="2">
        <v>31.64</v>
      </c>
      <c r="R85">
        <f>DATEDIF(O85,P85,"M")</f>
        <v>1</v>
      </c>
      <c r="S85" t="s">
        <v>60</v>
      </c>
      <c r="T85" t="s">
        <v>1370</v>
      </c>
      <c r="U85" s="4">
        <v>0.38</v>
      </c>
      <c r="V85" t="s">
        <v>83</v>
      </c>
      <c r="W85" t="s">
        <v>221</v>
      </c>
      <c r="X85" s="2">
        <v>72.12</v>
      </c>
      <c r="Y85" s="2">
        <v>12.02</v>
      </c>
      <c r="Z85" t="s">
        <v>366</v>
      </c>
    </row>
    <row r="86" spans="1:54" x14ac:dyDescent="0.25">
      <c r="A86">
        <v>2032492817</v>
      </c>
      <c r="B86" t="s">
        <v>232</v>
      </c>
      <c r="C86" t="s">
        <v>233</v>
      </c>
      <c r="D86" t="str">
        <f>CONCATENATE(C86," ",B86)</f>
        <v>GARY HUNTINGTON</v>
      </c>
      <c r="E86" t="s">
        <v>52</v>
      </c>
      <c r="F86" t="s">
        <v>365</v>
      </c>
      <c r="G86" t="s">
        <v>366</v>
      </c>
      <c r="H86">
        <v>18781057</v>
      </c>
      <c r="J86">
        <v>18781057</v>
      </c>
      <c r="K86" t="s">
        <v>70</v>
      </c>
      <c r="L86" t="s">
        <v>71</v>
      </c>
      <c r="M86" t="str">
        <f>CONCATENATE(L86," ",K86)</f>
        <v>JOHN ROKEN</v>
      </c>
      <c r="N86" t="s">
        <v>57</v>
      </c>
      <c r="O86" s="1">
        <v>46023</v>
      </c>
      <c r="P86" s="1">
        <v>46054</v>
      </c>
      <c r="Q86" s="2">
        <v>55.16</v>
      </c>
      <c r="R86">
        <f>DATEDIF(O86,P86,"M")</f>
        <v>1</v>
      </c>
      <c r="S86" t="s">
        <v>60</v>
      </c>
      <c r="T86" t="s">
        <v>1370</v>
      </c>
      <c r="U86" s="4">
        <v>0.38</v>
      </c>
      <c r="V86" t="s">
        <v>83</v>
      </c>
      <c r="W86" t="s">
        <v>221</v>
      </c>
      <c r="X86" s="2">
        <v>125.76</v>
      </c>
      <c r="Y86" s="2">
        <v>20.96</v>
      </c>
      <c r="Z86" t="s">
        <v>366</v>
      </c>
    </row>
    <row r="87" spans="1:54" x14ac:dyDescent="0.25">
      <c r="A87">
        <v>2032465280</v>
      </c>
      <c r="B87" t="s">
        <v>302</v>
      </c>
      <c r="C87" t="s">
        <v>303</v>
      </c>
      <c r="D87" t="str">
        <f>CONCATENATE(C87," ",B87)</f>
        <v>DONALD RUSSELL</v>
      </c>
      <c r="E87" t="s">
        <v>131</v>
      </c>
      <c r="F87" t="s">
        <v>126</v>
      </c>
      <c r="G87" t="s">
        <v>132</v>
      </c>
      <c r="H87">
        <v>18781057</v>
      </c>
      <c r="J87">
        <v>18781057</v>
      </c>
      <c r="K87" t="s">
        <v>70</v>
      </c>
      <c r="L87" t="s">
        <v>71</v>
      </c>
      <c r="M87" t="str">
        <f>CONCATENATE(L87," ",K87)</f>
        <v>JOHN ROKEN</v>
      </c>
      <c r="N87" t="s">
        <v>57</v>
      </c>
      <c r="O87" s="1">
        <v>46023</v>
      </c>
      <c r="P87" s="1">
        <v>46054</v>
      </c>
      <c r="Q87" s="2">
        <v>23.28</v>
      </c>
      <c r="R87">
        <f>DATEDIF(O87,P87,"M")</f>
        <v>1</v>
      </c>
      <c r="S87" t="s">
        <v>60</v>
      </c>
      <c r="T87" t="s">
        <v>1370</v>
      </c>
      <c r="U87" s="4">
        <v>0.7</v>
      </c>
      <c r="V87" t="s">
        <v>83</v>
      </c>
      <c r="W87" t="s">
        <v>221</v>
      </c>
      <c r="X87" s="2">
        <v>97.8</v>
      </c>
      <c r="Y87" s="2">
        <v>16.3</v>
      </c>
      <c r="Z87" t="s">
        <v>132</v>
      </c>
    </row>
    <row r="88" spans="1:54" x14ac:dyDescent="0.25">
      <c r="A88">
        <v>2032492816</v>
      </c>
      <c r="B88" t="s">
        <v>232</v>
      </c>
      <c r="C88" t="s">
        <v>233</v>
      </c>
      <c r="D88" t="str">
        <f>CONCATENATE(C88," ",B88)</f>
        <v>GARY HUNTINGTON</v>
      </c>
      <c r="E88" t="s">
        <v>52</v>
      </c>
      <c r="F88" t="s">
        <v>86</v>
      </c>
      <c r="G88" t="s">
        <v>87</v>
      </c>
      <c r="H88">
        <v>18781057</v>
      </c>
      <c r="J88">
        <v>18781057</v>
      </c>
      <c r="K88" t="s">
        <v>70</v>
      </c>
      <c r="L88" t="s">
        <v>71</v>
      </c>
      <c r="M88" t="str">
        <f>CONCATENATE(L88," ",K88)</f>
        <v>JOHN ROKEN</v>
      </c>
      <c r="N88" t="s">
        <v>57</v>
      </c>
      <c r="O88" s="1">
        <v>46023</v>
      </c>
      <c r="P88" s="1">
        <v>46054</v>
      </c>
      <c r="Q88" s="2">
        <v>61.58</v>
      </c>
      <c r="R88">
        <f>DATEDIF(O88,P88,"M")</f>
        <v>1</v>
      </c>
      <c r="S88" t="s">
        <v>60</v>
      </c>
      <c r="T88" t="s">
        <v>1370</v>
      </c>
      <c r="U88" s="3">
        <v>0.375</v>
      </c>
      <c r="V88" t="s">
        <v>83</v>
      </c>
      <c r="W88" t="s">
        <v>221</v>
      </c>
      <c r="X88" s="2">
        <v>138.54</v>
      </c>
      <c r="Y88" s="2">
        <v>23.09</v>
      </c>
      <c r="Z88" t="s">
        <v>87</v>
      </c>
    </row>
    <row r="89" spans="1:54" x14ac:dyDescent="0.25">
      <c r="A89">
        <v>2032492818</v>
      </c>
      <c r="B89" t="s">
        <v>232</v>
      </c>
      <c r="C89" t="s">
        <v>233</v>
      </c>
      <c r="D89" t="str">
        <f>CONCATENATE(C89," ",B89)</f>
        <v>GARY HUNTINGTON</v>
      </c>
      <c r="E89" t="s">
        <v>52</v>
      </c>
      <c r="F89" t="s">
        <v>53</v>
      </c>
      <c r="G89" t="s">
        <v>54</v>
      </c>
      <c r="H89">
        <v>18781057</v>
      </c>
      <c r="J89">
        <v>18781057</v>
      </c>
      <c r="K89" t="s">
        <v>70</v>
      </c>
      <c r="L89" t="s">
        <v>71</v>
      </c>
      <c r="M89" t="str">
        <f>CONCATENATE(L89," ",K89)</f>
        <v>JOHN ROKEN</v>
      </c>
      <c r="N89" t="s">
        <v>57</v>
      </c>
      <c r="O89" s="1">
        <v>46023</v>
      </c>
      <c r="P89" s="1">
        <v>46054</v>
      </c>
      <c r="Q89" s="2">
        <v>46.45</v>
      </c>
      <c r="R89">
        <f>DATEDIF(O89,P89,"M")</f>
        <v>1</v>
      </c>
      <c r="S89" t="s">
        <v>60</v>
      </c>
      <c r="T89" t="s">
        <v>1370</v>
      </c>
      <c r="U89" s="4">
        <v>0.6</v>
      </c>
      <c r="V89" t="s">
        <v>83</v>
      </c>
      <c r="W89" t="s">
        <v>221</v>
      </c>
      <c r="X89" s="2">
        <v>167.22</v>
      </c>
      <c r="Y89" s="2">
        <v>27.87</v>
      </c>
      <c r="Z89" t="s">
        <v>54</v>
      </c>
    </row>
    <row r="90" spans="1:54" x14ac:dyDescent="0.25">
      <c r="A90">
        <v>2032495685</v>
      </c>
      <c r="B90" t="s">
        <v>445</v>
      </c>
      <c r="C90" t="s">
        <v>446</v>
      </c>
      <c r="D90" t="str">
        <f>CONCATENATE(C90," ",B90)</f>
        <v>PAXTON GUTIERREZ</v>
      </c>
      <c r="E90" t="s">
        <v>447</v>
      </c>
      <c r="F90" t="s">
        <v>126</v>
      </c>
      <c r="G90" t="s">
        <v>132</v>
      </c>
      <c r="H90">
        <v>17516272</v>
      </c>
      <c r="J90">
        <v>17516272</v>
      </c>
      <c r="K90" t="s">
        <v>448</v>
      </c>
      <c r="L90" t="s">
        <v>449</v>
      </c>
      <c r="M90" t="str">
        <f>CONCATENATE(L90," ",K90)</f>
        <v>Kenneth Weitzman</v>
      </c>
      <c r="N90" t="s">
        <v>57</v>
      </c>
      <c r="O90" s="1">
        <v>45995</v>
      </c>
      <c r="P90" s="1">
        <v>46026</v>
      </c>
      <c r="Q90" s="2">
        <v>95.86</v>
      </c>
      <c r="R90">
        <f>DATEDIF(O90,P90,"M")</f>
        <v>1</v>
      </c>
      <c r="S90" t="s">
        <v>60</v>
      </c>
      <c r="T90" t="s">
        <v>1370</v>
      </c>
      <c r="U90" s="4">
        <v>0.7</v>
      </c>
      <c r="V90" t="s">
        <v>83</v>
      </c>
      <c r="W90" t="s">
        <v>221</v>
      </c>
      <c r="X90" s="2">
        <v>402.6</v>
      </c>
      <c r="Y90" s="2">
        <v>67.099999999999994</v>
      </c>
      <c r="Z90" t="s">
        <v>132</v>
      </c>
    </row>
    <row r="91" spans="1:54" x14ac:dyDescent="0.25">
      <c r="A91">
        <v>2032534866</v>
      </c>
      <c r="B91" t="s">
        <v>459</v>
      </c>
      <c r="C91" t="s">
        <v>460</v>
      </c>
      <c r="D91" t="str">
        <f>CONCATENATE(C91," ",B91)</f>
        <v>BRANDON ROWLAND</v>
      </c>
      <c r="E91" t="s">
        <v>125</v>
      </c>
      <c r="F91" t="s">
        <v>126</v>
      </c>
      <c r="G91" t="s">
        <v>132</v>
      </c>
      <c r="H91">
        <v>17516272</v>
      </c>
      <c r="J91">
        <v>17516272</v>
      </c>
      <c r="K91" t="s">
        <v>448</v>
      </c>
      <c r="L91" t="s">
        <v>449</v>
      </c>
      <c r="M91" t="str">
        <f>CONCATENATE(L91," ",K91)</f>
        <v>Kenneth Weitzman</v>
      </c>
      <c r="N91" t="s">
        <v>57</v>
      </c>
      <c r="O91" s="1">
        <v>46001</v>
      </c>
      <c r="P91" s="1">
        <v>46032</v>
      </c>
      <c r="Q91" s="2">
        <v>10.75</v>
      </c>
      <c r="R91">
        <f>DATEDIF(O91,P91,"M")</f>
        <v>1</v>
      </c>
      <c r="S91" t="s">
        <v>60</v>
      </c>
      <c r="T91" t="s">
        <v>1370</v>
      </c>
      <c r="U91" s="4">
        <v>0.7</v>
      </c>
      <c r="V91" t="s">
        <v>83</v>
      </c>
      <c r="W91" t="s">
        <v>221</v>
      </c>
      <c r="X91" s="2">
        <v>45.12</v>
      </c>
      <c r="Y91" s="2">
        <v>7.52</v>
      </c>
      <c r="Z91" t="s">
        <v>132</v>
      </c>
    </row>
    <row r="92" spans="1:54" x14ac:dyDescent="0.25">
      <c r="A92" s="5">
        <v>2032487879</v>
      </c>
      <c r="B92" s="5" t="s">
        <v>440</v>
      </c>
      <c r="C92" s="5" t="s">
        <v>393</v>
      </c>
      <c r="D92" s="5" t="str">
        <f>CONCATENATE(C92," ",B92)</f>
        <v>KATHY PLASKEY</v>
      </c>
      <c r="E92" s="5" t="s">
        <v>383</v>
      </c>
      <c r="F92" s="5" t="s">
        <v>126</v>
      </c>
      <c r="G92" s="5" t="s">
        <v>132</v>
      </c>
      <c r="H92" s="5">
        <v>21436172</v>
      </c>
      <c r="I92" s="5" t="s">
        <v>1369</v>
      </c>
      <c r="J92" s="5" t="str">
        <f>CONCATENATE(H92,I92)</f>
        <v>21436172AV6</v>
      </c>
      <c r="K92" s="5" t="s">
        <v>441</v>
      </c>
      <c r="L92" s="5" t="s">
        <v>442</v>
      </c>
      <c r="M92" s="5" t="str">
        <f>CONCATENATE(L92," ",K92)</f>
        <v>Latesha Rose</v>
      </c>
      <c r="N92" s="5" t="s">
        <v>57</v>
      </c>
      <c r="O92" s="6">
        <v>45995</v>
      </c>
      <c r="P92" s="6">
        <v>46026</v>
      </c>
      <c r="Q92" s="7">
        <v>36.58</v>
      </c>
      <c r="R92" s="5">
        <f>DATEDIF(O92,P92,"M")</f>
        <v>1</v>
      </c>
      <c r="S92" s="5" t="s">
        <v>1378</v>
      </c>
      <c r="T92" s="5" t="s">
        <v>1379</v>
      </c>
      <c r="U92" s="8">
        <v>0.7</v>
      </c>
      <c r="V92" s="5" t="s">
        <v>83</v>
      </c>
      <c r="W92" s="5" t="s">
        <v>221</v>
      </c>
      <c r="X92" s="7">
        <v>153.66</v>
      </c>
      <c r="Y92" s="7">
        <v>25.61</v>
      </c>
      <c r="Z92" s="5" t="s">
        <v>132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spans="1:54" x14ac:dyDescent="0.25">
      <c r="A93" s="5">
        <v>2032521325</v>
      </c>
      <c r="B93" s="5" t="s">
        <v>457</v>
      </c>
      <c r="C93" s="5" t="s">
        <v>458</v>
      </c>
      <c r="D93" s="5" t="str">
        <f>CONCATENATE(C93," ",B93)</f>
        <v>RUDY CALSONCIN</v>
      </c>
      <c r="E93" s="5" t="s">
        <v>97</v>
      </c>
      <c r="F93" s="5" t="s">
        <v>126</v>
      </c>
      <c r="G93" s="5" t="s">
        <v>132</v>
      </c>
      <c r="H93" s="5">
        <v>21436172</v>
      </c>
      <c r="I93" s="5" t="s">
        <v>1369</v>
      </c>
      <c r="J93" s="5" t="str">
        <f>CONCATENATE(H93,I93)</f>
        <v>21436172AV6</v>
      </c>
      <c r="K93" s="5" t="s">
        <v>441</v>
      </c>
      <c r="L93" s="5" t="s">
        <v>442</v>
      </c>
      <c r="M93" s="5" t="str">
        <f>CONCATENATE(L93," ",K93)</f>
        <v>Latesha Rose</v>
      </c>
      <c r="N93" s="5" t="s">
        <v>57</v>
      </c>
      <c r="O93" s="6">
        <v>45996</v>
      </c>
      <c r="P93" s="6">
        <v>46027</v>
      </c>
      <c r="Q93" s="7">
        <v>159.53</v>
      </c>
      <c r="R93" s="5">
        <f>DATEDIF(O93,P93,"M")</f>
        <v>1</v>
      </c>
      <c r="S93" s="5" t="s">
        <v>1378</v>
      </c>
      <c r="T93" s="5" t="s">
        <v>1379</v>
      </c>
      <c r="U93" s="8">
        <v>0.7</v>
      </c>
      <c r="V93" s="5" t="s">
        <v>83</v>
      </c>
      <c r="W93" s="5" t="s">
        <v>221</v>
      </c>
      <c r="X93" s="7">
        <v>670.02</v>
      </c>
      <c r="Y93" s="7">
        <v>111.67</v>
      </c>
      <c r="Z93" s="5" t="s">
        <v>132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spans="1:54" x14ac:dyDescent="0.25">
      <c r="A94">
        <v>2032523595</v>
      </c>
      <c r="B94" t="s">
        <v>356</v>
      </c>
      <c r="C94" t="s">
        <v>175</v>
      </c>
      <c r="D94" t="str">
        <f>CONCATENATE(C94," ",B94)</f>
        <v>LISA HATCHER</v>
      </c>
      <c r="E94" t="s">
        <v>357</v>
      </c>
      <c r="F94" t="s">
        <v>86</v>
      </c>
      <c r="G94" t="s">
        <v>87</v>
      </c>
      <c r="J94">
        <v>20411454</v>
      </c>
      <c r="K94" t="s">
        <v>358</v>
      </c>
      <c r="L94" t="s">
        <v>231</v>
      </c>
      <c r="M94" t="s">
        <v>1377</v>
      </c>
      <c r="N94" t="s">
        <v>57</v>
      </c>
      <c r="O94" s="1">
        <v>45997</v>
      </c>
      <c r="P94" s="1">
        <v>46028</v>
      </c>
      <c r="Q94" s="2">
        <v>25.2</v>
      </c>
      <c r="R94">
        <f>DATEDIF(O94,P94,"M")</f>
        <v>1</v>
      </c>
      <c r="S94" t="s">
        <v>60</v>
      </c>
      <c r="T94" t="s">
        <v>1370</v>
      </c>
      <c r="U94" s="3">
        <v>9.5000000000000001E-2</v>
      </c>
      <c r="V94" t="s">
        <v>83</v>
      </c>
      <c r="W94" t="s">
        <v>221</v>
      </c>
      <c r="X94" s="2">
        <v>25.2</v>
      </c>
      <c r="Y94" s="2">
        <v>4.2</v>
      </c>
      <c r="Z94" t="s">
        <v>1376</v>
      </c>
    </row>
    <row r="95" spans="1:54" x14ac:dyDescent="0.25">
      <c r="A95" s="5">
        <v>2032491249</v>
      </c>
      <c r="B95" s="5" t="s">
        <v>306</v>
      </c>
      <c r="C95" s="5" t="s">
        <v>307</v>
      </c>
      <c r="D95" s="5" t="str">
        <f>CONCATENATE(C95," ",B95)</f>
        <v>CALEB BOUWKAMP</v>
      </c>
      <c r="E95" s="5" t="s">
        <v>308</v>
      </c>
      <c r="F95" s="5" t="s">
        <v>290</v>
      </c>
      <c r="G95" s="5" t="s">
        <v>309</v>
      </c>
      <c r="H95" s="5">
        <v>20724564</v>
      </c>
      <c r="I95" s="5" t="s">
        <v>1369</v>
      </c>
      <c r="J95" s="5" t="str">
        <f>CONCATENATE(H95,I95)</f>
        <v>20724564AV6</v>
      </c>
      <c r="K95" s="5" t="s">
        <v>310</v>
      </c>
      <c r="L95" s="5" t="s">
        <v>311</v>
      </c>
      <c r="M95" s="5" t="str">
        <f>CONCATENATE(L95," ",K95)</f>
        <v>Marsha Sanderock</v>
      </c>
      <c r="N95" s="5" t="s">
        <v>57</v>
      </c>
      <c r="O95" s="6">
        <v>45995</v>
      </c>
      <c r="P95" s="6">
        <v>46026</v>
      </c>
      <c r="Q95" s="7">
        <v>15</v>
      </c>
      <c r="R95" s="5">
        <f>DATEDIF(O95,P95,"M")</f>
        <v>1</v>
      </c>
      <c r="S95" s="5" t="s">
        <v>1378</v>
      </c>
      <c r="T95" s="5" t="s">
        <v>1379</v>
      </c>
      <c r="U95" s="8">
        <v>0.19</v>
      </c>
      <c r="V95" s="5" t="s">
        <v>83</v>
      </c>
      <c r="W95" s="5" t="s">
        <v>221</v>
      </c>
      <c r="X95" s="7">
        <v>17.100000000000001</v>
      </c>
      <c r="Y95" s="7">
        <v>2.85</v>
      </c>
      <c r="Z95" s="5" t="s">
        <v>309</v>
      </c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</row>
    <row r="96" spans="1:54" x14ac:dyDescent="0.25">
      <c r="A96" s="5">
        <v>2032499984</v>
      </c>
      <c r="B96" s="5" t="s">
        <v>317</v>
      </c>
      <c r="C96" s="5" t="s">
        <v>318</v>
      </c>
      <c r="D96" s="5" t="str">
        <f>CONCATENATE(C96," ",B96)</f>
        <v>DANNA GREEN</v>
      </c>
      <c r="E96" s="5" t="s">
        <v>308</v>
      </c>
      <c r="F96" s="5" t="s">
        <v>290</v>
      </c>
      <c r="G96" s="5" t="s">
        <v>309</v>
      </c>
      <c r="H96" s="5">
        <v>20724564</v>
      </c>
      <c r="I96" s="5" t="s">
        <v>1369</v>
      </c>
      <c r="J96" s="5" t="str">
        <f>CONCATENATE(H96,I96)</f>
        <v>20724564AV6</v>
      </c>
      <c r="K96" s="5" t="s">
        <v>310</v>
      </c>
      <c r="L96" s="5" t="s">
        <v>311</v>
      </c>
      <c r="M96" s="5" t="str">
        <f>CONCATENATE(L96," ",K96)</f>
        <v>Marsha Sanderock</v>
      </c>
      <c r="N96" s="5" t="s">
        <v>57</v>
      </c>
      <c r="O96" s="6">
        <v>45996</v>
      </c>
      <c r="P96" s="6">
        <v>46027</v>
      </c>
      <c r="Q96" s="7">
        <v>15</v>
      </c>
      <c r="R96" s="5">
        <f>DATEDIF(O96,P96,"M")</f>
        <v>1</v>
      </c>
      <c r="S96" s="5" t="s">
        <v>1378</v>
      </c>
      <c r="T96" s="5" t="s">
        <v>1379</v>
      </c>
      <c r="U96" s="8">
        <v>0.19</v>
      </c>
      <c r="V96" s="5" t="s">
        <v>83</v>
      </c>
      <c r="W96" s="5" t="s">
        <v>221</v>
      </c>
      <c r="X96" s="7">
        <v>17.100000000000001</v>
      </c>
      <c r="Y96" s="7">
        <v>2.85</v>
      </c>
      <c r="Z96" s="5" t="s">
        <v>309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</row>
    <row r="97" spans="1:54" x14ac:dyDescent="0.25">
      <c r="A97" s="5">
        <v>2032476389</v>
      </c>
      <c r="B97" s="5" t="s">
        <v>347</v>
      </c>
      <c r="C97" s="5" t="s">
        <v>348</v>
      </c>
      <c r="D97" s="5" t="str">
        <f>CONCATENATE(C97," ",B97)</f>
        <v>KAITLIN TAYLOR</v>
      </c>
      <c r="E97" s="5" t="s">
        <v>308</v>
      </c>
      <c r="F97" s="5" t="s">
        <v>86</v>
      </c>
      <c r="G97" s="5" t="s">
        <v>87</v>
      </c>
      <c r="H97" s="5">
        <v>20724564</v>
      </c>
      <c r="I97" s="5" t="s">
        <v>1369</v>
      </c>
      <c r="J97" s="5" t="str">
        <f>CONCATENATE(H97,I97)</f>
        <v>20724564AV6</v>
      </c>
      <c r="K97" s="5" t="s">
        <v>310</v>
      </c>
      <c r="L97" s="5" t="s">
        <v>311</v>
      </c>
      <c r="M97" s="5" t="str">
        <f>CONCATENATE(L97," ",K97)</f>
        <v>Marsha Sanderock</v>
      </c>
      <c r="N97" s="5" t="s">
        <v>57</v>
      </c>
      <c r="O97" s="6">
        <v>45995</v>
      </c>
      <c r="P97" s="6">
        <v>46026</v>
      </c>
      <c r="Q97" s="7">
        <v>45.79</v>
      </c>
      <c r="R97" s="5">
        <f>DATEDIF(O97,P97,"M")</f>
        <v>1</v>
      </c>
      <c r="S97" s="5" t="s">
        <v>1378</v>
      </c>
      <c r="T97" s="5" t="s">
        <v>1379</v>
      </c>
      <c r="U97" s="9">
        <v>0.375</v>
      </c>
      <c r="V97" s="5" t="s">
        <v>83</v>
      </c>
      <c r="W97" s="5" t="s">
        <v>221</v>
      </c>
      <c r="X97" s="7">
        <v>103.02</v>
      </c>
      <c r="Y97" s="7">
        <v>17.170000000000002</v>
      </c>
      <c r="Z97" s="5" t="s">
        <v>87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</row>
    <row r="98" spans="1:54" x14ac:dyDescent="0.25">
      <c r="A98" s="5">
        <v>2032476390</v>
      </c>
      <c r="B98" s="5" t="s">
        <v>347</v>
      </c>
      <c r="C98" s="5" t="s">
        <v>348</v>
      </c>
      <c r="D98" s="5" t="str">
        <f>CONCATENATE(C98," ",B98)</f>
        <v>KAITLIN TAYLOR</v>
      </c>
      <c r="E98" s="5" t="s">
        <v>308</v>
      </c>
      <c r="F98" s="5" t="s">
        <v>126</v>
      </c>
      <c r="G98" s="5" t="s">
        <v>132</v>
      </c>
      <c r="H98" s="5">
        <v>20724564</v>
      </c>
      <c r="I98" s="5" t="s">
        <v>1369</v>
      </c>
      <c r="J98" s="5" t="str">
        <f>CONCATENATE(H98,I98)</f>
        <v>20724564AV6</v>
      </c>
      <c r="K98" s="5" t="s">
        <v>310</v>
      </c>
      <c r="L98" s="5" t="s">
        <v>311</v>
      </c>
      <c r="M98" s="5" t="str">
        <f>CONCATENATE(L98," ",K98)</f>
        <v>Marsha Sanderock</v>
      </c>
      <c r="N98" s="5" t="s">
        <v>57</v>
      </c>
      <c r="O98" s="6">
        <v>45995</v>
      </c>
      <c r="P98" s="6">
        <v>46026</v>
      </c>
      <c r="Q98" s="7">
        <v>10.18</v>
      </c>
      <c r="R98" s="5">
        <f>DATEDIF(O98,P98,"M")</f>
        <v>1</v>
      </c>
      <c r="S98" s="5" t="s">
        <v>1378</v>
      </c>
      <c r="T98" s="5" t="s">
        <v>1379</v>
      </c>
      <c r="U98" s="8">
        <v>0.7</v>
      </c>
      <c r="V98" s="5" t="s">
        <v>83</v>
      </c>
      <c r="W98" s="5" t="s">
        <v>221</v>
      </c>
      <c r="X98" s="7">
        <v>42.78</v>
      </c>
      <c r="Y98" s="7">
        <v>7.13</v>
      </c>
      <c r="Z98" s="5" t="s">
        <v>132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</row>
    <row r="99" spans="1:54" x14ac:dyDescent="0.25">
      <c r="A99">
        <v>2032491248</v>
      </c>
      <c r="B99" t="s">
        <v>306</v>
      </c>
      <c r="C99" t="s">
        <v>307</v>
      </c>
      <c r="D99" t="str">
        <f>CONCATENATE(C99," ",B99)</f>
        <v>CALEB BOUWKAMP</v>
      </c>
      <c r="E99" t="s">
        <v>308</v>
      </c>
      <c r="F99" t="s">
        <v>469</v>
      </c>
      <c r="G99" t="s">
        <v>477</v>
      </c>
      <c r="H99">
        <v>20724564</v>
      </c>
      <c r="I99" t="s">
        <v>1369</v>
      </c>
      <c r="J99">
        <v>20724564</v>
      </c>
      <c r="K99" t="s">
        <v>310</v>
      </c>
      <c r="L99" t="s">
        <v>311</v>
      </c>
      <c r="M99" t="str">
        <f>CONCATENATE(L99," ",K99)</f>
        <v>Marsha Sanderock</v>
      </c>
      <c r="N99" t="s">
        <v>57</v>
      </c>
      <c r="O99" s="1">
        <v>45995</v>
      </c>
      <c r="P99" s="1">
        <v>46026</v>
      </c>
      <c r="Q99" s="2">
        <v>194.66</v>
      </c>
      <c r="R99">
        <f>DATEDIF(O99,P99,"M")</f>
        <v>1</v>
      </c>
      <c r="S99" t="s">
        <v>60</v>
      </c>
      <c r="T99" t="s">
        <v>1370</v>
      </c>
      <c r="U99" s="4">
        <v>0.19</v>
      </c>
      <c r="V99" t="s">
        <v>83</v>
      </c>
      <c r="W99" t="s">
        <v>221</v>
      </c>
      <c r="X99" s="2">
        <v>221.94</v>
      </c>
      <c r="Y99" s="2">
        <v>36.99</v>
      </c>
      <c r="Z99" t="s">
        <v>1352</v>
      </c>
    </row>
    <row r="100" spans="1:54" x14ac:dyDescent="0.25">
      <c r="A100">
        <v>2032499983</v>
      </c>
      <c r="B100" t="s">
        <v>317</v>
      </c>
      <c r="C100" t="s">
        <v>318</v>
      </c>
      <c r="D100" t="str">
        <f>CONCATENATE(C100," ",B100)</f>
        <v>DANNA GREEN</v>
      </c>
      <c r="E100" t="s">
        <v>308</v>
      </c>
      <c r="F100" t="s">
        <v>469</v>
      </c>
      <c r="G100" t="s">
        <v>715</v>
      </c>
      <c r="H100">
        <v>20724564</v>
      </c>
      <c r="I100" t="s">
        <v>1369</v>
      </c>
      <c r="J100">
        <v>20724564</v>
      </c>
      <c r="K100" t="s">
        <v>310</v>
      </c>
      <c r="L100" t="s">
        <v>311</v>
      </c>
      <c r="M100" t="str">
        <f>CONCATENATE(L100," ",K100)</f>
        <v>Marsha Sanderock</v>
      </c>
      <c r="N100" t="s">
        <v>57</v>
      </c>
      <c r="O100" s="1">
        <v>45996</v>
      </c>
      <c r="P100" s="1">
        <v>46027</v>
      </c>
      <c r="Q100" s="2">
        <v>382.08</v>
      </c>
      <c r="R100">
        <f>DATEDIF(O100,P100,"M")</f>
        <v>1</v>
      </c>
      <c r="S100" t="s">
        <v>60</v>
      </c>
      <c r="T100" t="s">
        <v>1370</v>
      </c>
      <c r="U100" s="4">
        <v>0.19</v>
      </c>
      <c r="V100" t="s">
        <v>83</v>
      </c>
      <c r="W100" t="s">
        <v>221</v>
      </c>
      <c r="X100" s="2">
        <v>435.6</v>
      </c>
      <c r="Y100" s="2">
        <v>72.599999999999994</v>
      </c>
      <c r="Z100" t="s">
        <v>1352</v>
      </c>
    </row>
    <row r="101" spans="1:54" x14ac:dyDescent="0.25">
      <c r="A101">
        <v>2032436341</v>
      </c>
      <c r="B101" t="s">
        <v>394</v>
      </c>
      <c r="C101" t="s">
        <v>82</v>
      </c>
      <c r="D101" t="str">
        <f>CONCATENATE(C101," ",B101)</f>
        <v>RYAN GARDNER</v>
      </c>
      <c r="E101" t="s">
        <v>395</v>
      </c>
      <c r="F101" t="s">
        <v>469</v>
      </c>
      <c r="G101" t="s">
        <v>471</v>
      </c>
      <c r="H101">
        <v>1706194</v>
      </c>
      <c r="J101">
        <v>1706194</v>
      </c>
      <c r="K101" t="s">
        <v>396</v>
      </c>
      <c r="L101" t="s">
        <v>397</v>
      </c>
      <c r="M101" t="str">
        <f>CONCATENATE(L101," ",K101)</f>
        <v>MATTHEW DAUGHERTY</v>
      </c>
      <c r="N101" t="s">
        <v>57</v>
      </c>
      <c r="O101" s="1">
        <v>45993</v>
      </c>
      <c r="P101" s="1">
        <v>46024</v>
      </c>
      <c r="Q101" s="2">
        <v>228.84</v>
      </c>
      <c r="R101">
        <f>DATEDIF(O101,P101,"M")</f>
        <v>1</v>
      </c>
      <c r="S101" t="s">
        <v>60</v>
      </c>
      <c r="T101" t="s">
        <v>1370</v>
      </c>
      <c r="U101" s="4">
        <v>0.27</v>
      </c>
      <c r="V101" t="s">
        <v>83</v>
      </c>
      <c r="W101" t="s">
        <v>221</v>
      </c>
      <c r="X101" s="2">
        <v>185.37</v>
      </c>
      <c r="Y101" s="2">
        <v>61.79</v>
      </c>
      <c r="Z101" t="s">
        <v>1375</v>
      </c>
    </row>
    <row r="102" spans="1:54" x14ac:dyDescent="0.25">
      <c r="A102">
        <v>2032436342</v>
      </c>
      <c r="B102" t="s">
        <v>394</v>
      </c>
      <c r="C102" t="s">
        <v>82</v>
      </c>
      <c r="D102" t="str">
        <f>CONCATENATE(C102," ",B102)</f>
        <v>RYAN GARDNER</v>
      </c>
      <c r="E102" t="s">
        <v>395</v>
      </c>
      <c r="F102" t="s">
        <v>126</v>
      </c>
      <c r="G102" t="s">
        <v>132</v>
      </c>
      <c r="H102">
        <v>1706194</v>
      </c>
      <c r="J102">
        <v>1706194</v>
      </c>
      <c r="K102" t="s">
        <v>396</v>
      </c>
      <c r="L102" t="s">
        <v>397</v>
      </c>
      <c r="M102" t="str">
        <f>CONCATENATE(L102," ",K102)</f>
        <v>MATTHEW DAUGHERTY</v>
      </c>
      <c r="N102" t="s">
        <v>57</v>
      </c>
      <c r="O102" s="1">
        <v>45993</v>
      </c>
      <c r="P102" s="1">
        <v>46024</v>
      </c>
      <c r="Q102" s="2">
        <v>22.72</v>
      </c>
      <c r="R102">
        <f>DATEDIF(O102,P102,"M")</f>
        <v>1</v>
      </c>
      <c r="S102" t="s">
        <v>60</v>
      </c>
      <c r="T102" t="s">
        <v>1370</v>
      </c>
      <c r="U102" s="4">
        <v>0.7</v>
      </c>
      <c r="V102" t="s">
        <v>83</v>
      </c>
      <c r="W102" t="s">
        <v>221</v>
      </c>
      <c r="X102" s="2">
        <v>95.4</v>
      </c>
      <c r="Y102" s="2">
        <v>15.9</v>
      </c>
      <c r="Z102" t="s">
        <v>132</v>
      </c>
    </row>
    <row r="103" spans="1:54" x14ac:dyDescent="0.25">
      <c r="A103">
        <v>2032436343</v>
      </c>
      <c r="B103" t="s">
        <v>394</v>
      </c>
      <c r="C103" t="s">
        <v>82</v>
      </c>
      <c r="D103" t="str">
        <f>CONCATENATE(C103," ",B103)</f>
        <v>RYAN GARDNER</v>
      </c>
      <c r="E103" t="s">
        <v>395</v>
      </c>
      <c r="F103" t="s">
        <v>126</v>
      </c>
      <c r="G103" t="s">
        <v>375</v>
      </c>
      <c r="H103">
        <v>1706194</v>
      </c>
      <c r="J103">
        <v>1706194</v>
      </c>
      <c r="K103" t="s">
        <v>396</v>
      </c>
      <c r="L103" t="s">
        <v>397</v>
      </c>
      <c r="M103" t="str">
        <f>CONCATENATE(L103," ",K103)</f>
        <v>MATTHEW DAUGHERTY</v>
      </c>
      <c r="N103" t="s">
        <v>57</v>
      </c>
      <c r="O103" s="1">
        <v>45993</v>
      </c>
      <c r="P103" s="1">
        <v>46024</v>
      </c>
      <c r="Q103" s="2">
        <v>13.92</v>
      </c>
      <c r="R103">
        <f>DATEDIF(O103,P103,"M")</f>
        <v>1</v>
      </c>
      <c r="S103" t="s">
        <v>60</v>
      </c>
      <c r="T103" t="s">
        <v>1370</v>
      </c>
      <c r="U103" s="4">
        <v>0.9</v>
      </c>
      <c r="V103" t="s">
        <v>83</v>
      </c>
      <c r="W103" t="s">
        <v>221</v>
      </c>
      <c r="X103" s="2">
        <v>75.180000000000007</v>
      </c>
      <c r="Y103" s="2">
        <v>12.53</v>
      </c>
      <c r="Z103" t="s">
        <v>375</v>
      </c>
    </row>
    <row r="104" spans="1:54" x14ac:dyDescent="0.25">
      <c r="A104" s="5">
        <v>2032465133</v>
      </c>
      <c r="B104" s="5" t="s">
        <v>228</v>
      </c>
      <c r="C104" s="5" t="s">
        <v>229</v>
      </c>
      <c r="D104" s="5" t="str">
        <f>CONCATENATE(C104," ",B104)</f>
        <v>AARON KINCAID</v>
      </c>
      <c r="E104" s="5" t="s">
        <v>102</v>
      </c>
      <c r="F104" s="5" t="s">
        <v>53</v>
      </c>
      <c r="G104" s="5" t="s">
        <v>54</v>
      </c>
      <c r="H104" s="5">
        <v>8812322</v>
      </c>
      <c r="I104" s="5" t="s">
        <v>1369</v>
      </c>
      <c r="J104" s="5" t="str">
        <f>CONCATENATE(H104,I104)</f>
        <v>8812322AV6</v>
      </c>
      <c r="K104" s="5" t="s">
        <v>230</v>
      </c>
      <c r="L104" s="5" t="s">
        <v>231</v>
      </c>
      <c r="M104" s="5" t="str">
        <f>CONCATENATE(L104," ",K104)</f>
        <v>Matthew Sherman</v>
      </c>
      <c r="N104" s="5" t="s">
        <v>57</v>
      </c>
      <c r="O104" s="6">
        <v>46023</v>
      </c>
      <c r="P104" s="6">
        <v>46054</v>
      </c>
      <c r="Q104" s="7">
        <v>96.55</v>
      </c>
      <c r="R104" s="5">
        <f>DATEDIF(O104,P104,"M")</f>
        <v>1</v>
      </c>
      <c r="S104" s="5" t="s">
        <v>1378</v>
      </c>
      <c r="T104" s="5" t="s">
        <v>1379</v>
      </c>
      <c r="U104" s="8">
        <v>0.6</v>
      </c>
      <c r="V104" s="5" t="s">
        <v>83</v>
      </c>
      <c r="W104" s="5" t="s">
        <v>221</v>
      </c>
      <c r="X104" s="7">
        <v>347.58</v>
      </c>
      <c r="Y104" s="7">
        <v>57.93</v>
      </c>
      <c r="Z104" s="5" t="s">
        <v>54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</row>
    <row r="105" spans="1:54" x14ac:dyDescent="0.25">
      <c r="A105" s="5">
        <v>2032543859</v>
      </c>
      <c r="B105" s="5" t="s">
        <v>286</v>
      </c>
      <c r="C105" s="5" t="s">
        <v>287</v>
      </c>
      <c r="D105" s="5" t="str">
        <f>CONCATENATE(C105," ",B105)</f>
        <v>DUSTIN DEALEY</v>
      </c>
      <c r="E105" s="5" t="s">
        <v>102</v>
      </c>
      <c r="F105" s="5" t="s">
        <v>75</v>
      </c>
      <c r="G105" s="5" t="s">
        <v>80</v>
      </c>
      <c r="H105" s="5">
        <v>8812322</v>
      </c>
      <c r="I105" s="5" t="s">
        <v>1369</v>
      </c>
      <c r="J105" s="5" t="str">
        <f>CONCATENATE(H105,I105)</f>
        <v>8812322AV6</v>
      </c>
      <c r="K105" s="5" t="s">
        <v>230</v>
      </c>
      <c r="L105" s="5" t="s">
        <v>231</v>
      </c>
      <c r="M105" s="5" t="str">
        <f>CONCATENATE(L105," ",K105)</f>
        <v>Matthew Sherman</v>
      </c>
      <c r="N105" s="5" t="s">
        <v>57</v>
      </c>
      <c r="O105" s="6">
        <v>46023</v>
      </c>
      <c r="P105" s="6">
        <v>46054</v>
      </c>
      <c r="Q105" s="7">
        <v>29.88</v>
      </c>
      <c r="R105" s="5">
        <f>DATEDIF(O105,P105,"M")</f>
        <v>1</v>
      </c>
      <c r="S105" s="5" t="s">
        <v>1378</v>
      </c>
      <c r="T105" s="5" t="s">
        <v>1379</v>
      </c>
      <c r="U105" s="8">
        <v>0.9</v>
      </c>
      <c r="V105" s="5" t="s">
        <v>83</v>
      </c>
      <c r="W105" s="5" t="s">
        <v>221</v>
      </c>
      <c r="X105" s="7">
        <v>161.34</v>
      </c>
      <c r="Y105" s="7">
        <v>26.89</v>
      </c>
      <c r="Z105" s="5" t="s">
        <v>1372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</row>
    <row r="106" spans="1:54" x14ac:dyDescent="0.25">
      <c r="A106" s="5">
        <v>2032486498</v>
      </c>
      <c r="B106" s="5" t="s">
        <v>304</v>
      </c>
      <c r="C106" s="5" t="s">
        <v>305</v>
      </c>
      <c r="D106" s="5" t="str">
        <f>CONCATENATE(C106," ",B106)</f>
        <v>KURT TIRADES</v>
      </c>
      <c r="E106" s="5" t="s">
        <v>102</v>
      </c>
      <c r="F106" s="5" t="s">
        <v>290</v>
      </c>
      <c r="G106" s="5" t="s">
        <v>298</v>
      </c>
      <c r="H106" s="5">
        <v>8812322</v>
      </c>
      <c r="I106" s="5" t="s">
        <v>1369</v>
      </c>
      <c r="J106" s="5" t="str">
        <f>CONCATENATE(H106,I106)</f>
        <v>8812322AV6</v>
      </c>
      <c r="K106" s="5" t="s">
        <v>230</v>
      </c>
      <c r="L106" s="5" t="s">
        <v>231</v>
      </c>
      <c r="M106" s="5" t="str">
        <f>CONCATENATE(L106," ",K106)</f>
        <v>Matthew Sherman</v>
      </c>
      <c r="N106" s="5" t="s">
        <v>57</v>
      </c>
      <c r="O106" s="6">
        <v>46023</v>
      </c>
      <c r="P106" s="6">
        <v>46054</v>
      </c>
      <c r="Q106" s="7">
        <v>15</v>
      </c>
      <c r="R106" s="5">
        <f>DATEDIF(O106,P106,"M")</f>
        <v>1</v>
      </c>
      <c r="S106" s="5" t="s">
        <v>1378</v>
      </c>
      <c r="T106" s="5" t="s">
        <v>1379</v>
      </c>
      <c r="U106" s="8">
        <v>0.38</v>
      </c>
      <c r="V106" s="5" t="s">
        <v>83</v>
      </c>
      <c r="W106" s="5" t="s">
        <v>221</v>
      </c>
      <c r="X106" s="7">
        <v>34.200000000000003</v>
      </c>
      <c r="Y106" s="7">
        <v>5.7</v>
      </c>
      <c r="Z106" s="5" t="s">
        <v>298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</row>
    <row r="107" spans="1:54" x14ac:dyDescent="0.25">
      <c r="A107" s="5">
        <v>2032493080</v>
      </c>
      <c r="B107" s="5" t="s">
        <v>313</v>
      </c>
      <c r="C107" s="5" t="s">
        <v>314</v>
      </c>
      <c r="D107" s="5" t="str">
        <f>CONCATENATE(C107," ",B107)</f>
        <v>WESLEY BLANCHARD</v>
      </c>
      <c r="E107" s="5" t="s">
        <v>102</v>
      </c>
      <c r="F107" s="5" t="s">
        <v>290</v>
      </c>
      <c r="G107" s="5" t="s">
        <v>298</v>
      </c>
      <c r="H107" s="5">
        <v>8812322</v>
      </c>
      <c r="I107" s="5" t="s">
        <v>1369</v>
      </c>
      <c r="J107" s="5" t="str">
        <f>CONCATENATE(H107,I107)</f>
        <v>8812322AV6</v>
      </c>
      <c r="K107" s="5" t="s">
        <v>230</v>
      </c>
      <c r="L107" s="5" t="s">
        <v>231</v>
      </c>
      <c r="M107" s="5" t="str">
        <f>CONCATENATE(L107," ",K107)</f>
        <v>Matthew Sherman</v>
      </c>
      <c r="N107" s="5" t="s">
        <v>57</v>
      </c>
      <c r="O107" s="6">
        <v>46023</v>
      </c>
      <c r="P107" s="6">
        <v>46054</v>
      </c>
      <c r="Q107" s="7">
        <v>15</v>
      </c>
      <c r="R107" s="5">
        <f>DATEDIF(O107,P107,"M")</f>
        <v>1</v>
      </c>
      <c r="S107" s="5" t="s">
        <v>1378</v>
      </c>
      <c r="T107" s="5" t="s">
        <v>1379</v>
      </c>
      <c r="U107" s="8">
        <v>0.38</v>
      </c>
      <c r="V107" s="5" t="s">
        <v>83</v>
      </c>
      <c r="W107" s="5" t="s">
        <v>221</v>
      </c>
      <c r="X107" s="7">
        <v>34.200000000000003</v>
      </c>
      <c r="Y107" s="7">
        <v>5.7</v>
      </c>
      <c r="Z107" s="5" t="s">
        <v>298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</row>
    <row r="108" spans="1:54" x14ac:dyDescent="0.25">
      <c r="A108" s="5">
        <v>2032495261</v>
      </c>
      <c r="B108" s="5" t="s">
        <v>315</v>
      </c>
      <c r="C108" s="5" t="s">
        <v>316</v>
      </c>
      <c r="D108" s="5" t="str">
        <f>CONCATENATE(C108," ",B108)</f>
        <v>BRADLEY MORELAND</v>
      </c>
      <c r="E108" s="5" t="s">
        <v>102</v>
      </c>
      <c r="F108" s="5" t="s">
        <v>290</v>
      </c>
      <c r="G108" s="5" t="s">
        <v>298</v>
      </c>
      <c r="H108" s="5">
        <v>8812322</v>
      </c>
      <c r="I108" s="5" t="s">
        <v>1369</v>
      </c>
      <c r="J108" s="5" t="str">
        <f>CONCATENATE(H108,I108)</f>
        <v>8812322AV6</v>
      </c>
      <c r="K108" s="5" t="s">
        <v>230</v>
      </c>
      <c r="L108" s="5" t="s">
        <v>231</v>
      </c>
      <c r="M108" s="5" t="str">
        <f>CONCATENATE(L108," ",K108)</f>
        <v>Matthew Sherman</v>
      </c>
      <c r="N108" s="5" t="s">
        <v>57</v>
      </c>
      <c r="O108" s="6">
        <v>46023</v>
      </c>
      <c r="P108" s="6">
        <v>46054</v>
      </c>
      <c r="Q108" s="7">
        <v>15</v>
      </c>
      <c r="R108" s="5">
        <f>DATEDIF(O108,P108,"M")</f>
        <v>1</v>
      </c>
      <c r="S108" s="5" t="s">
        <v>1378</v>
      </c>
      <c r="T108" s="5" t="s">
        <v>1379</v>
      </c>
      <c r="U108" s="8">
        <v>0.38</v>
      </c>
      <c r="V108" s="5" t="s">
        <v>83</v>
      </c>
      <c r="W108" s="5" t="s">
        <v>221</v>
      </c>
      <c r="X108" s="7">
        <v>34.200000000000003</v>
      </c>
      <c r="Y108" s="7">
        <v>5.7</v>
      </c>
      <c r="Z108" s="5" t="s">
        <v>298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</row>
    <row r="109" spans="1:54" x14ac:dyDescent="0.25">
      <c r="A109" s="5">
        <v>2032519631</v>
      </c>
      <c r="B109" s="5" t="s">
        <v>321</v>
      </c>
      <c r="C109" s="5" t="s">
        <v>322</v>
      </c>
      <c r="D109" s="5" t="str">
        <f>CONCATENATE(C109," ",B109)</f>
        <v>RANDY TORNQUIST</v>
      </c>
      <c r="E109" s="5" t="s">
        <v>102</v>
      </c>
      <c r="F109" s="5" t="s">
        <v>290</v>
      </c>
      <c r="G109" s="5" t="s">
        <v>298</v>
      </c>
      <c r="H109" s="5">
        <v>8812322</v>
      </c>
      <c r="I109" s="5" t="s">
        <v>1369</v>
      </c>
      <c r="J109" s="5" t="str">
        <f>CONCATENATE(H109,I109)</f>
        <v>8812322AV6</v>
      </c>
      <c r="K109" s="5" t="s">
        <v>230</v>
      </c>
      <c r="L109" s="5" t="s">
        <v>231</v>
      </c>
      <c r="M109" s="5" t="str">
        <f>CONCATENATE(L109," ",K109)</f>
        <v>Matthew Sherman</v>
      </c>
      <c r="N109" s="5" t="s">
        <v>57</v>
      </c>
      <c r="O109" s="6">
        <v>46023</v>
      </c>
      <c r="P109" s="6">
        <v>46054</v>
      </c>
      <c r="Q109" s="7">
        <v>15</v>
      </c>
      <c r="R109" s="5">
        <f>DATEDIF(O109,P109,"M")</f>
        <v>1</v>
      </c>
      <c r="S109" s="5" t="s">
        <v>1378</v>
      </c>
      <c r="T109" s="5" t="s">
        <v>1379</v>
      </c>
      <c r="U109" s="8">
        <v>0.38</v>
      </c>
      <c r="V109" s="5" t="s">
        <v>83</v>
      </c>
      <c r="W109" s="5" t="s">
        <v>221</v>
      </c>
      <c r="X109" s="7">
        <v>34.200000000000003</v>
      </c>
      <c r="Y109" s="7">
        <v>5.7</v>
      </c>
      <c r="Z109" s="5" t="s">
        <v>298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</row>
    <row r="110" spans="1:54" x14ac:dyDescent="0.25">
      <c r="A110" s="5">
        <v>2032434022</v>
      </c>
      <c r="B110" s="5" t="s">
        <v>293</v>
      </c>
      <c r="C110" s="5" t="s">
        <v>294</v>
      </c>
      <c r="D110" s="5" t="str">
        <f>CONCATENATE(C110," ",B110)</f>
        <v>ROBLEY JOHNSON</v>
      </c>
      <c r="E110" s="5" t="s">
        <v>102</v>
      </c>
      <c r="F110" s="5" t="s">
        <v>290</v>
      </c>
      <c r="G110" s="5" t="s">
        <v>295</v>
      </c>
      <c r="H110" s="5">
        <v>8812322</v>
      </c>
      <c r="I110" s="5" t="s">
        <v>1369</v>
      </c>
      <c r="J110" s="5" t="str">
        <f>CONCATENATE(H110,I110)</f>
        <v>8812322AV6</v>
      </c>
      <c r="K110" s="5" t="s">
        <v>230</v>
      </c>
      <c r="L110" s="5" t="s">
        <v>231</v>
      </c>
      <c r="M110" s="5" t="str">
        <f>CONCATENATE(L110," ",K110)</f>
        <v>Matthew Sherman</v>
      </c>
      <c r="N110" s="5" t="s">
        <v>57</v>
      </c>
      <c r="O110" s="6">
        <v>46023</v>
      </c>
      <c r="P110" s="6">
        <v>46054</v>
      </c>
      <c r="Q110" s="7">
        <v>15</v>
      </c>
      <c r="R110" s="5">
        <f>DATEDIF(O110,P110,"M")</f>
        <v>1</v>
      </c>
      <c r="S110" s="5" t="s">
        <v>1378</v>
      </c>
      <c r="T110" s="5" t="s">
        <v>1379</v>
      </c>
      <c r="U110" s="8">
        <v>0.38</v>
      </c>
      <c r="V110" s="5" t="s">
        <v>83</v>
      </c>
      <c r="W110" s="5" t="s">
        <v>221</v>
      </c>
      <c r="X110" s="7">
        <v>34.200000000000003</v>
      </c>
      <c r="Y110" s="7">
        <v>5.7</v>
      </c>
      <c r="Z110" s="5" t="s">
        <v>295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</row>
    <row r="111" spans="1:54" x14ac:dyDescent="0.25">
      <c r="A111" s="5">
        <v>2032443157</v>
      </c>
      <c r="B111" s="5" t="s">
        <v>296</v>
      </c>
      <c r="C111" s="5" t="s">
        <v>297</v>
      </c>
      <c r="D111" s="5" t="str">
        <f>CONCATENATE(C111," ",B111)</f>
        <v>GRANT HEGSTROM</v>
      </c>
      <c r="E111" s="5" t="s">
        <v>102</v>
      </c>
      <c r="F111" s="5" t="s">
        <v>290</v>
      </c>
      <c r="G111" s="5" t="s">
        <v>295</v>
      </c>
      <c r="H111" s="5">
        <v>8812322</v>
      </c>
      <c r="I111" s="5" t="s">
        <v>1369</v>
      </c>
      <c r="J111" s="5" t="str">
        <f>CONCATENATE(H111,I111)</f>
        <v>8812322AV6</v>
      </c>
      <c r="K111" s="5" t="s">
        <v>230</v>
      </c>
      <c r="L111" s="5" t="s">
        <v>231</v>
      </c>
      <c r="M111" s="5" t="str">
        <f>CONCATENATE(L111," ",K111)</f>
        <v>Matthew Sherman</v>
      </c>
      <c r="N111" s="5" t="s">
        <v>57</v>
      </c>
      <c r="O111" s="6">
        <v>46023</v>
      </c>
      <c r="P111" s="6">
        <v>46054</v>
      </c>
      <c r="Q111" s="7">
        <v>15</v>
      </c>
      <c r="R111" s="5">
        <f>DATEDIF(O111,P111,"M")</f>
        <v>1</v>
      </c>
      <c r="S111" s="5" t="s">
        <v>1378</v>
      </c>
      <c r="T111" s="5" t="s">
        <v>1379</v>
      </c>
      <c r="U111" s="8">
        <v>0.38</v>
      </c>
      <c r="V111" s="5" t="s">
        <v>83</v>
      </c>
      <c r="W111" s="5" t="s">
        <v>221</v>
      </c>
      <c r="X111" s="7">
        <v>34.200000000000003</v>
      </c>
      <c r="Y111" s="7">
        <v>5.7</v>
      </c>
      <c r="Z111" s="5" t="s">
        <v>295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</row>
    <row r="112" spans="1:54" x14ac:dyDescent="0.25">
      <c r="A112" s="5">
        <v>2032486496</v>
      </c>
      <c r="B112" s="5" t="s">
        <v>304</v>
      </c>
      <c r="C112" s="5" t="s">
        <v>305</v>
      </c>
      <c r="D112" s="5" t="str">
        <f>CONCATENATE(C112," ",B112)</f>
        <v>KURT TIRADES</v>
      </c>
      <c r="E112" s="5" t="s">
        <v>102</v>
      </c>
      <c r="F112" s="5" t="s">
        <v>365</v>
      </c>
      <c r="G112" s="5" t="s">
        <v>370</v>
      </c>
      <c r="H112" s="5">
        <v>8812322</v>
      </c>
      <c r="I112" s="5" t="s">
        <v>1369</v>
      </c>
      <c r="J112" s="5" t="str">
        <f>CONCATENATE(H112,I112)</f>
        <v>8812322AV6</v>
      </c>
      <c r="K112" s="5" t="s">
        <v>230</v>
      </c>
      <c r="L112" s="5" t="s">
        <v>231</v>
      </c>
      <c r="M112" s="5" t="str">
        <f>CONCATENATE(L112," ",K112)</f>
        <v>Matthew Sherman</v>
      </c>
      <c r="N112" s="5" t="s">
        <v>57</v>
      </c>
      <c r="O112" s="6">
        <v>46023</v>
      </c>
      <c r="P112" s="6">
        <v>46054</v>
      </c>
      <c r="Q112" s="7">
        <v>173.24</v>
      </c>
      <c r="R112" s="5">
        <f>DATEDIF(O112,P112,"M")</f>
        <v>1</v>
      </c>
      <c r="S112" s="5" t="s">
        <v>1378</v>
      </c>
      <c r="T112" s="5" t="s">
        <v>1379</v>
      </c>
      <c r="U112" s="8">
        <v>0.38</v>
      </c>
      <c r="V112" s="5" t="s">
        <v>83</v>
      </c>
      <c r="W112" s="5" t="s">
        <v>221</v>
      </c>
      <c r="X112" s="7">
        <v>394.98</v>
      </c>
      <c r="Y112" s="7">
        <v>65.83</v>
      </c>
      <c r="Z112" s="5" t="s">
        <v>370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</row>
    <row r="113" spans="1:54" x14ac:dyDescent="0.25">
      <c r="A113" s="5">
        <v>2032493079</v>
      </c>
      <c r="B113" s="5" t="s">
        <v>313</v>
      </c>
      <c r="C113" s="5" t="s">
        <v>314</v>
      </c>
      <c r="D113" s="5" t="str">
        <f>CONCATENATE(C113," ",B113)</f>
        <v>WESLEY BLANCHARD</v>
      </c>
      <c r="E113" s="5" t="s">
        <v>102</v>
      </c>
      <c r="F113" s="5" t="s">
        <v>365</v>
      </c>
      <c r="G113" s="5" t="s">
        <v>370</v>
      </c>
      <c r="H113" s="5">
        <v>8812322</v>
      </c>
      <c r="I113" s="5" t="s">
        <v>1369</v>
      </c>
      <c r="J113" s="5" t="str">
        <f>CONCATENATE(H113,I113)</f>
        <v>8812322AV6</v>
      </c>
      <c r="K113" s="5" t="s">
        <v>230</v>
      </c>
      <c r="L113" s="5" t="s">
        <v>231</v>
      </c>
      <c r="M113" s="5" t="str">
        <f>CONCATENATE(L113," ",K113)</f>
        <v>Matthew Sherman</v>
      </c>
      <c r="N113" s="5" t="s">
        <v>57</v>
      </c>
      <c r="O113" s="6">
        <v>46023</v>
      </c>
      <c r="P113" s="6">
        <v>46054</v>
      </c>
      <c r="Q113" s="7">
        <v>195.81</v>
      </c>
      <c r="R113" s="5">
        <f>DATEDIF(O113,P113,"M")</f>
        <v>1</v>
      </c>
      <c r="S113" s="5" t="s">
        <v>1378</v>
      </c>
      <c r="T113" s="5" t="s">
        <v>1379</v>
      </c>
      <c r="U113" s="8">
        <v>0.38</v>
      </c>
      <c r="V113" s="5" t="s">
        <v>83</v>
      </c>
      <c r="W113" s="5" t="s">
        <v>221</v>
      </c>
      <c r="X113" s="7">
        <v>446.46</v>
      </c>
      <c r="Y113" s="7">
        <v>74.41</v>
      </c>
      <c r="Z113" s="5" t="s">
        <v>370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</row>
    <row r="114" spans="1:54" x14ac:dyDescent="0.25">
      <c r="A114" s="5">
        <v>2032495260</v>
      </c>
      <c r="B114" s="5" t="s">
        <v>315</v>
      </c>
      <c r="C114" s="5" t="s">
        <v>316</v>
      </c>
      <c r="D114" s="5" t="str">
        <f>CONCATENATE(C114," ",B114)</f>
        <v>BRADLEY MORELAND</v>
      </c>
      <c r="E114" s="5" t="s">
        <v>102</v>
      </c>
      <c r="F114" s="5" t="s">
        <v>365</v>
      </c>
      <c r="G114" s="5" t="s">
        <v>370</v>
      </c>
      <c r="H114" s="5">
        <v>8812322</v>
      </c>
      <c r="I114" s="5" t="s">
        <v>1369</v>
      </c>
      <c r="J114" s="5" t="str">
        <f>CONCATENATE(H114,I114)</f>
        <v>8812322AV6</v>
      </c>
      <c r="K114" s="5" t="s">
        <v>230</v>
      </c>
      <c r="L114" s="5" t="s">
        <v>231</v>
      </c>
      <c r="M114" s="5" t="str">
        <f>CONCATENATE(L114," ",K114)</f>
        <v>Matthew Sherman</v>
      </c>
      <c r="N114" s="5" t="s">
        <v>57</v>
      </c>
      <c r="O114" s="6">
        <v>46023</v>
      </c>
      <c r="P114" s="6">
        <v>46054</v>
      </c>
      <c r="Q114" s="7">
        <v>195.81</v>
      </c>
      <c r="R114" s="5">
        <f>DATEDIF(O114,P114,"M")</f>
        <v>1</v>
      </c>
      <c r="S114" s="5" t="s">
        <v>1378</v>
      </c>
      <c r="T114" s="5" t="s">
        <v>1379</v>
      </c>
      <c r="U114" s="8">
        <v>0.38</v>
      </c>
      <c r="V114" s="5" t="s">
        <v>83</v>
      </c>
      <c r="W114" s="5" t="s">
        <v>221</v>
      </c>
      <c r="X114" s="7">
        <v>446.46</v>
      </c>
      <c r="Y114" s="7">
        <v>74.41</v>
      </c>
      <c r="Z114" s="5" t="s">
        <v>370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</row>
    <row r="115" spans="1:54" x14ac:dyDescent="0.25">
      <c r="A115" s="5">
        <v>2032519629</v>
      </c>
      <c r="B115" s="5" t="s">
        <v>321</v>
      </c>
      <c r="C115" s="5" t="s">
        <v>322</v>
      </c>
      <c r="D115" s="5" t="str">
        <f>CONCATENATE(C115," ",B115)</f>
        <v>RANDY TORNQUIST</v>
      </c>
      <c r="E115" s="5" t="s">
        <v>102</v>
      </c>
      <c r="F115" s="5" t="s">
        <v>365</v>
      </c>
      <c r="G115" s="5" t="s">
        <v>370</v>
      </c>
      <c r="H115" s="5">
        <v>8812322</v>
      </c>
      <c r="I115" s="5" t="s">
        <v>1369</v>
      </c>
      <c r="J115" s="5" t="str">
        <f>CONCATENATE(H115,I115)</f>
        <v>8812322AV6</v>
      </c>
      <c r="K115" s="5" t="s">
        <v>230</v>
      </c>
      <c r="L115" s="5" t="s">
        <v>231</v>
      </c>
      <c r="M115" s="5" t="str">
        <f>CONCATENATE(L115," ",K115)</f>
        <v>Matthew Sherman</v>
      </c>
      <c r="N115" s="5" t="s">
        <v>57</v>
      </c>
      <c r="O115" s="6">
        <v>46023</v>
      </c>
      <c r="P115" s="6">
        <v>46054</v>
      </c>
      <c r="Q115" s="7">
        <v>173.24</v>
      </c>
      <c r="R115" s="5">
        <f>DATEDIF(O115,P115,"M")</f>
        <v>1</v>
      </c>
      <c r="S115" s="5" t="s">
        <v>1378</v>
      </c>
      <c r="T115" s="5" t="s">
        <v>1379</v>
      </c>
      <c r="U115" s="8">
        <v>0.38</v>
      </c>
      <c r="V115" s="5" t="s">
        <v>83</v>
      </c>
      <c r="W115" s="5" t="s">
        <v>221</v>
      </c>
      <c r="X115" s="7">
        <v>394.98</v>
      </c>
      <c r="Y115" s="7">
        <v>65.83</v>
      </c>
      <c r="Z115" s="5" t="s">
        <v>370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spans="1:54" x14ac:dyDescent="0.25">
      <c r="A116" s="5">
        <v>2032486497</v>
      </c>
      <c r="B116" s="5" t="s">
        <v>304</v>
      </c>
      <c r="C116" s="5" t="s">
        <v>305</v>
      </c>
      <c r="D116" s="5" t="str">
        <f>CONCATENATE(C116," ",B116)</f>
        <v>KURT TIRADES</v>
      </c>
      <c r="E116" s="5" t="s">
        <v>102</v>
      </c>
      <c r="F116" s="5" t="s">
        <v>365</v>
      </c>
      <c r="G116" s="5" t="s">
        <v>371</v>
      </c>
      <c r="H116" s="5">
        <v>8812322</v>
      </c>
      <c r="I116" s="5" t="s">
        <v>1369</v>
      </c>
      <c r="J116" s="5" t="str">
        <f>CONCATENATE(H116,I116)</f>
        <v>8812322AV6</v>
      </c>
      <c r="K116" s="5" t="s">
        <v>230</v>
      </c>
      <c r="L116" s="5" t="s">
        <v>231</v>
      </c>
      <c r="M116" s="5" t="str">
        <f>CONCATENATE(L116," ",K116)</f>
        <v>Matthew Sherman</v>
      </c>
      <c r="N116" s="5" t="s">
        <v>57</v>
      </c>
      <c r="O116" s="6">
        <v>46023</v>
      </c>
      <c r="P116" s="6">
        <v>46054</v>
      </c>
      <c r="Q116" s="7">
        <v>7.09</v>
      </c>
      <c r="R116" s="5">
        <f>DATEDIF(O116,P116,"M")</f>
        <v>1</v>
      </c>
      <c r="S116" s="5" t="s">
        <v>1378</v>
      </c>
      <c r="T116" s="5" t="s">
        <v>1379</v>
      </c>
      <c r="U116" s="8">
        <v>0.38</v>
      </c>
      <c r="V116" s="5" t="s">
        <v>83</v>
      </c>
      <c r="W116" s="5" t="s">
        <v>221</v>
      </c>
      <c r="X116" s="7">
        <v>16.14</v>
      </c>
      <c r="Y116" s="7">
        <v>2.69</v>
      </c>
      <c r="Z116" s="5" t="s">
        <v>370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</row>
    <row r="117" spans="1:54" x14ac:dyDescent="0.25">
      <c r="A117" s="5">
        <v>2032519630</v>
      </c>
      <c r="B117" s="5" t="s">
        <v>321</v>
      </c>
      <c r="C117" s="5" t="s">
        <v>322</v>
      </c>
      <c r="D117" s="5" t="str">
        <f>CONCATENATE(C117," ",B117)</f>
        <v>RANDY TORNQUIST</v>
      </c>
      <c r="E117" s="5" t="s">
        <v>102</v>
      </c>
      <c r="F117" s="5" t="s">
        <v>365</v>
      </c>
      <c r="G117" s="5" t="s">
        <v>371</v>
      </c>
      <c r="H117" s="5">
        <v>8812322</v>
      </c>
      <c r="I117" s="5" t="s">
        <v>1369</v>
      </c>
      <c r="J117" s="5" t="str">
        <f>CONCATENATE(H117,I117)</f>
        <v>8812322AV6</v>
      </c>
      <c r="K117" s="5" t="s">
        <v>230</v>
      </c>
      <c r="L117" s="5" t="s">
        <v>231</v>
      </c>
      <c r="M117" s="5" t="str">
        <f>CONCATENATE(L117," ",K117)</f>
        <v>Matthew Sherman</v>
      </c>
      <c r="N117" s="5" t="s">
        <v>57</v>
      </c>
      <c r="O117" s="6">
        <v>46023</v>
      </c>
      <c r="P117" s="6">
        <v>46054</v>
      </c>
      <c r="Q117" s="7">
        <v>7.09</v>
      </c>
      <c r="R117" s="5">
        <f>DATEDIF(O117,P117,"M")</f>
        <v>1</v>
      </c>
      <c r="S117" s="5" t="s">
        <v>1378</v>
      </c>
      <c r="T117" s="5" t="s">
        <v>1379</v>
      </c>
      <c r="U117" s="8">
        <v>0.38</v>
      </c>
      <c r="V117" s="5" t="s">
        <v>83</v>
      </c>
      <c r="W117" s="5" t="s">
        <v>221</v>
      </c>
      <c r="X117" s="7">
        <v>16.14</v>
      </c>
      <c r="Y117" s="7">
        <v>2.69</v>
      </c>
      <c r="Z117" s="5" t="s">
        <v>370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</row>
    <row r="118" spans="1:54" x14ac:dyDescent="0.25">
      <c r="A118" s="5">
        <v>2032434020</v>
      </c>
      <c r="B118" s="5" t="s">
        <v>293</v>
      </c>
      <c r="C118" s="5" t="s">
        <v>294</v>
      </c>
      <c r="D118" s="5" t="str">
        <f>CONCATENATE(C118," ",B118)</f>
        <v>ROBLEY JOHNSON</v>
      </c>
      <c r="E118" s="5" t="s">
        <v>102</v>
      </c>
      <c r="F118" s="5" t="s">
        <v>365</v>
      </c>
      <c r="G118" s="5" t="s">
        <v>366</v>
      </c>
      <c r="H118" s="5">
        <v>8812322</v>
      </c>
      <c r="I118" s="5" t="s">
        <v>1369</v>
      </c>
      <c r="J118" s="5" t="str">
        <f>CONCATENATE(H118,I118)</f>
        <v>8812322AV6</v>
      </c>
      <c r="K118" s="5" t="s">
        <v>230</v>
      </c>
      <c r="L118" s="5" t="s">
        <v>231</v>
      </c>
      <c r="M118" s="5" t="str">
        <f>CONCATENATE(L118," ",K118)</f>
        <v>Matthew Sherman</v>
      </c>
      <c r="N118" s="5" t="s">
        <v>57</v>
      </c>
      <c r="O118" s="6">
        <v>46023</v>
      </c>
      <c r="P118" s="6">
        <v>46054</v>
      </c>
      <c r="Q118" s="7">
        <v>42.1</v>
      </c>
      <c r="R118" s="5">
        <f>DATEDIF(O118,P118,"M")</f>
        <v>1</v>
      </c>
      <c r="S118" s="5" t="s">
        <v>1378</v>
      </c>
      <c r="T118" s="5" t="s">
        <v>1379</v>
      </c>
      <c r="U118" s="8">
        <v>0.38</v>
      </c>
      <c r="V118" s="5" t="s">
        <v>83</v>
      </c>
      <c r="W118" s="5" t="s">
        <v>221</v>
      </c>
      <c r="X118" s="7">
        <v>96</v>
      </c>
      <c r="Y118" s="7">
        <v>16</v>
      </c>
      <c r="Z118" s="5" t="s">
        <v>366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</row>
    <row r="119" spans="1:54" x14ac:dyDescent="0.25">
      <c r="A119" s="5">
        <v>2032443156</v>
      </c>
      <c r="B119" s="5" t="s">
        <v>296</v>
      </c>
      <c r="C119" s="5" t="s">
        <v>297</v>
      </c>
      <c r="D119" s="5" t="str">
        <f>CONCATENATE(C119," ",B119)</f>
        <v>GRANT HEGSTROM</v>
      </c>
      <c r="E119" s="5" t="s">
        <v>102</v>
      </c>
      <c r="F119" s="5" t="s">
        <v>365</v>
      </c>
      <c r="G119" s="5" t="s">
        <v>366</v>
      </c>
      <c r="H119" s="5">
        <v>8812322</v>
      </c>
      <c r="I119" s="5" t="s">
        <v>1369</v>
      </c>
      <c r="J119" s="5" t="str">
        <f>CONCATENATE(H119,I119)</f>
        <v>8812322AV6</v>
      </c>
      <c r="K119" s="5" t="s">
        <v>230</v>
      </c>
      <c r="L119" s="5" t="s">
        <v>231</v>
      </c>
      <c r="M119" s="5" t="str">
        <f>CONCATENATE(L119," ",K119)</f>
        <v>Matthew Sherman</v>
      </c>
      <c r="N119" s="5" t="s">
        <v>57</v>
      </c>
      <c r="O119" s="6">
        <v>46023</v>
      </c>
      <c r="P119" s="6">
        <v>46054</v>
      </c>
      <c r="Q119" s="7">
        <v>55.07</v>
      </c>
      <c r="R119" s="5">
        <f>DATEDIF(O119,P119,"M")</f>
        <v>1</v>
      </c>
      <c r="S119" s="5" t="s">
        <v>1378</v>
      </c>
      <c r="T119" s="5" t="s">
        <v>1379</v>
      </c>
      <c r="U119" s="8">
        <v>0.38</v>
      </c>
      <c r="V119" s="5" t="s">
        <v>83</v>
      </c>
      <c r="W119" s="5" t="s">
        <v>221</v>
      </c>
      <c r="X119" s="7">
        <v>125.58</v>
      </c>
      <c r="Y119" s="7">
        <v>20.93</v>
      </c>
      <c r="Z119" s="5" t="s">
        <v>366</v>
      </c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</row>
    <row r="120" spans="1:54" x14ac:dyDescent="0.25">
      <c r="A120" s="5">
        <v>2032465134</v>
      </c>
      <c r="B120" s="5" t="s">
        <v>228</v>
      </c>
      <c r="C120" s="5" t="s">
        <v>229</v>
      </c>
      <c r="D120" s="5" t="str">
        <f>CONCATENATE(C120," ",B120)</f>
        <v>AARON KINCAID</v>
      </c>
      <c r="E120" s="5" t="s">
        <v>102</v>
      </c>
      <c r="F120" s="5" t="s">
        <v>365</v>
      </c>
      <c r="G120" s="5" t="s">
        <v>366</v>
      </c>
      <c r="H120" s="5">
        <v>8812322</v>
      </c>
      <c r="I120" s="5" t="s">
        <v>1369</v>
      </c>
      <c r="J120" s="5" t="str">
        <f>CONCATENATE(H120,I120)</f>
        <v>8812322AV6</v>
      </c>
      <c r="K120" s="5" t="s">
        <v>230</v>
      </c>
      <c r="L120" s="5" t="s">
        <v>231</v>
      </c>
      <c r="M120" s="5" t="str">
        <f>CONCATENATE(L120," ",K120)</f>
        <v>Matthew Sherman</v>
      </c>
      <c r="N120" s="5" t="s">
        <v>57</v>
      </c>
      <c r="O120" s="6">
        <v>46023</v>
      </c>
      <c r="P120" s="6">
        <v>46054</v>
      </c>
      <c r="Q120" s="7">
        <v>74.98</v>
      </c>
      <c r="R120" s="5">
        <f>DATEDIF(O120,P120,"M")</f>
        <v>1</v>
      </c>
      <c r="S120" s="5" t="s">
        <v>1378</v>
      </c>
      <c r="T120" s="5" t="s">
        <v>1379</v>
      </c>
      <c r="U120" s="8">
        <v>0.38</v>
      </c>
      <c r="V120" s="5" t="s">
        <v>83</v>
      </c>
      <c r="W120" s="5" t="s">
        <v>221</v>
      </c>
      <c r="X120" s="7">
        <v>170.94</v>
      </c>
      <c r="Y120" s="7">
        <v>28.49</v>
      </c>
      <c r="Z120" s="5" t="s">
        <v>366</v>
      </c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</row>
    <row r="121" spans="1:54" x14ac:dyDescent="0.25">
      <c r="A121" s="5">
        <v>2032434021</v>
      </c>
      <c r="B121" s="5" t="s">
        <v>293</v>
      </c>
      <c r="C121" s="5" t="s">
        <v>294</v>
      </c>
      <c r="D121" s="5" t="str">
        <f>CONCATENATE(C121," ",B121)</f>
        <v>ROBLEY JOHNSON</v>
      </c>
      <c r="E121" s="5" t="s">
        <v>102</v>
      </c>
      <c r="F121" s="5" t="s">
        <v>126</v>
      </c>
      <c r="G121" s="5" t="s">
        <v>132</v>
      </c>
      <c r="H121" s="5">
        <v>8812322</v>
      </c>
      <c r="I121" s="5" t="s">
        <v>1369</v>
      </c>
      <c r="J121" s="5" t="str">
        <f>CONCATENATE(H121,I121)</f>
        <v>8812322AV6</v>
      </c>
      <c r="K121" s="5" t="s">
        <v>230</v>
      </c>
      <c r="L121" s="5" t="s">
        <v>231</v>
      </c>
      <c r="M121" s="5" t="str">
        <f>CONCATENATE(L121," ",K121)</f>
        <v>Matthew Sherman</v>
      </c>
      <c r="N121" s="5" t="s">
        <v>57</v>
      </c>
      <c r="O121" s="6">
        <v>46023</v>
      </c>
      <c r="P121" s="6">
        <v>46054</v>
      </c>
      <c r="Q121" s="7">
        <v>34</v>
      </c>
      <c r="R121" s="5">
        <f>DATEDIF(O121,P121,"M")</f>
        <v>1</v>
      </c>
      <c r="S121" s="5" t="s">
        <v>1378</v>
      </c>
      <c r="T121" s="5" t="s">
        <v>1379</v>
      </c>
      <c r="U121" s="8">
        <v>0.7</v>
      </c>
      <c r="V121" s="5" t="s">
        <v>83</v>
      </c>
      <c r="W121" s="5" t="s">
        <v>221</v>
      </c>
      <c r="X121" s="7">
        <v>142.80000000000001</v>
      </c>
      <c r="Y121" s="7">
        <v>23.8</v>
      </c>
      <c r="Z121" s="5" t="s">
        <v>132</v>
      </c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</row>
    <row r="122" spans="1:54" x14ac:dyDescent="0.25">
      <c r="A122" s="5">
        <v>2032443155</v>
      </c>
      <c r="B122" s="5" t="s">
        <v>296</v>
      </c>
      <c r="C122" s="5" t="s">
        <v>297</v>
      </c>
      <c r="D122" s="5" t="str">
        <f>CONCATENATE(C122," ",B122)</f>
        <v>GRANT HEGSTROM</v>
      </c>
      <c r="E122" s="5" t="s">
        <v>102</v>
      </c>
      <c r="F122" s="5" t="s">
        <v>126</v>
      </c>
      <c r="G122" s="5" t="s">
        <v>132</v>
      </c>
      <c r="H122" s="5">
        <v>8812322</v>
      </c>
      <c r="I122" s="5" t="s">
        <v>1369</v>
      </c>
      <c r="J122" s="5" t="str">
        <f>CONCATENATE(H122,I122)</f>
        <v>8812322AV6</v>
      </c>
      <c r="K122" s="5" t="s">
        <v>230</v>
      </c>
      <c r="L122" s="5" t="s">
        <v>231</v>
      </c>
      <c r="M122" s="5" t="str">
        <f>CONCATENATE(L122," ",K122)</f>
        <v>Matthew Sherman</v>
      </c>
      <c r="N122" s="5" t="s">
        <v>57</v>
      </c>
      <c r="O122" s="6">
        <v>46023</v>
      </c>
      <c r="P122" s="6">
        <v>46054</v>
      </c>
      <c r="Q122" s="7">
        <v>53.82</v>
      </c>
      <c r="R122" s="5">
        <f>DATEDIF(O122,P122,"M")</f>
        <v>1</v>
      </c>
      <c r="S122" s="5" t="s">
        <v>1378</v>
      </c>
      <c r="T122" s="5" t="s">
        <v>1379</v>
      </c>
      <c r="U122" s="8">
        <v>0.7</v>
      </c>
      <c r="V122" s="5" t="s">
        <v>83</v>
      </c>
      <c r="W122" s="5" t="s">
        <v>221</v>
      </c>
      <c r="X122" s="7">
        <v>226.02</v>
      </c>
      <c r="Y122" s="7">
        <v>37.67</v>
      </c>
      <c r="Z122" s="5" t="s">
        <v>132</v>
      </c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</row>
    <row r="123" spans="1:54" x14ac:dyDescent="0.25">
      <c r="A123" s="5">
        <v>2032457642</v>
      </c>
      <c r="B123" s="5" t="s">
        <v>416</v>
      </c>
      <c r="C123" s="5" t="s">
        <v>417</v>
      </c>
      <c r="D123" s="5" t="str">
        <f>CONCATENATE(C123," ",B123)</f>
        <v>EGSHIGLEN BATTUR</v>
      </c>
      <c r="E123" s="5" t="s">
        <v>102</v>
      </c>
      <c r="F123" s="5" t="s">
        <v>126</v>
      </c>
      <c r="G123" s="5" t="s">
        <v>132</v>
      </c>
      <c r="H123" s="21">
        <v>20220688</v>
      </c>
      <c r="I123" s="5" t="s">
        <v>1369</v>
      </c>
      <c r="J123" s="5" t="str">
        <f>CONCATENATE(H123,I123)</f>
        <v>20220688AV6</v>
      </c>
      <c r="K123" s="5" t="s">
        <v>418</v>
      </c>
      <c r="L123" s="5" t="s">
        <v>419</v>
      </c>
      <c r="M123" s="5" t="str">
        <f>CONCATENATE(L123," ",K123)</f>
        <v>NASANDELGER ZANA</v>
      </c>
      <c r="N123" s="5" t="s">
        <v>57</v>
      </c>
      <c r="O123" s="6">
        <v>45994</v>
      </c>
      <c r="P123" s="6">
        <v>46025</v>
      </c>
      <c r="Q123" s="7">
        <v>19</v>
      </c>
      <c r="R123" s="5">
        <f>DATEDIF(O123,P123,"M")</f>
        <v>1</v>
      </c>
      <c r="S123" s="5" t="s">
        <v>1378</v>
      </c>
      <c r="T123" s="5" t="s">
        <v>1379</v>
      </c>
      <c r="U123" s="8">
        <v>0.7</v>
      </c>
      <c r="V123" s="5" t="s">
        <v>83</v>
      </c>
      <c r="W123" s="5" t="s">
        <v>221</v>
      </c>
      <c r="X123" s="7">
        <v>79.8</v>
      </c>
      <c r="Y123" s="7">
        <v>13.3</v>
      </c>
      <c r="Z123" s="5" t="s">
        <v>132</v>
      </c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</row>
    <row r="124" spans="1:54" x14ac:dyDescent="0.25">
      <c r="A124" s="5">
        <v>2032466034</v>
      </c>
      <c r="B124" s="5" t="s">
        <v>293</v>
      </c>
      <c r="C124" s="5" t="s">
        <v>422</v>
      </c>
      <c r="D124" s="5" t="str">
        <f>CONCATENATE(C124," ",B124)</f>
        <v>CLAYTON JOHNSON</v>
      </c>
      <c r="E124" s="5" t="s">
        <v>210</v>
      </c>
      <c r="F124" s="5" t="s">
        <v>126</v>
      </c>
      <c r="G124" s="5" t="s">
        <v>132</v>
      </c>
      <c r="H124" s="5">
        <v>19219478</v>
      </c>
      <c r="I124" s="5" t="s">
        <v>1369</v>
      </c>
      <c r="J124" s="5" t="str">
        <f>CONCATENATE(H124,I124)</f>
        <v>19219478AV6</v>
      </c>
      <c r="K124" s="5" t="s">
        <v>423</v>
      </c>
      <c r="L124" s="5" t="s">
        <v>424</v>
      </c>
      <c r="M124" s="5" t="str">
        <f>CONCATENATE(L124," ",K124)</f>
        <v>Nathan Weller</v>
      </c>
      <c r="N124" s="5" t="s">
        <v>57</v>
      </c>
      <c r="O124" s="6">
        <v>45994</v>
      </c>
      <c r="P124" s="6">
        <v>46025</v>
      </c>
      <c r="Q124" s="7">
        <v>44</v>
      </c>
      <c r="R124" s="5">
        <f>DATEDIF(O124,P124,"M")</f>
        <v>1</v>
      </c>
      <c r="S124" s="5" t="s">
        <v>1378</v>
      </c>
      <c r="T124" s="5" t="s">
        <v>1379</v>
      </c>
      <c r="U124" s="8">
        <v>0.7</v>
      </c>
      <c r="V124" s="5" t="s">
        <v>83</v>
      </c>
      <c r="W124" s="5" t="s">
        <v>221</v>
      </c>
      <c r="X124" s="7">
        <v>184.8</v>
      </c>
      <c r="Y124" s="7">
        <v>30.8</v>
      </c>
      <c r="Z124" s="5" t="s">
        <v>132</v>
      </c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</row>
    <row r="125" spans="1:54" x14ac:dyDescent="0.25">
      <c r="A125" s="5">
        <v>2032489610</v>
      </c>
      <c r="B125" s="5" t="s">
        <v>351</v>
      </c>
      <c r="C125" s="5" t="s">
        <v>352</v>
      </c>
      <c r="D125" s="5" t="str">
        <f>CONCATENATE(C125," ",B125)</f>
        <v>NOAH DIONESOTES</v>
      </c>
      <c r="E125" s="5" t="s">
        <v>102</v>
      </c>
      <c r="F125" s="5" t="s">
        <v>86</v>
      </c>
      <c r="G125" s="5" t="s">
        <v>87</v>
      </c>
      <c r="H125" s="5">
        <v>21607778</v>
      </c>
      <c r="I125" s="5" t="s">
        <v>1369</v>
      </c>
      <c r="J125" s="5" t="str">
        <f>CONCATENATE(H125,I125)</f>
        <v>21607778AV6</v>
      </c>
      <c r="K125" s="5" t="s">
        <v>353</v>
      </c>
      <c r="L125" s="5" t="s">
        <v>354</v>
      </c>
      <c r="M125" s="5" t="str">
        <f>CONCATENATE(L125," ",K125)</f>
        <v>Noah Dionesotes</v>
      </c>
      <c r="N125" s="5" t="s">
        <v>57</v>
      </c>
      <c r="O125" s="6">
        <v>45999</v>
      </c>
      <c r="P125" s="6">
        <v>46030</v>
      </c>
      <c r="Q125" s="7">
        <v>77.48</v>
      </c>
      <c r="R125" s="5">
        <f>DATEDIF(O125,P125,"M")</f>
        <v>1</v>
      </c>
      <c r="S125" s="5" t="s">
        <v>1378</v>
      </c>
      <c r="T125" s="5" t="s">
        <v>1379</v>
      </c>
      <c r="U125" s="9">
        <v>0.375</v>
      </c>
      <c r="V125" s="5" t="s">
        <v>83</v>
      </c>
      <c r="W125" s="5" t="s">
        <v>221</v>
      </c>
      <c r="X125" s="7">
        <v>174.36</v>
      </c>
      <c r="Y125" s="7">
        <v>29.06</v>
      </c>
      <c r="Z125" s="5" t="s">
        <v>87</v>
      </c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</row>
    <row r="126" spans="1:54" x14ac:dyDescent="0.25">
      <c r="A126" s="5">
        <v>2032489609</v>
      </c>
      <c r="B126" s="5" t="s">
        <v>351</v>
      </c>
      <c r="C126" s="5" t="s">
        <v>352</v>
      </c>
      <c r="D126" s="5" t="str">
        <f>CONCATENATE(C126," ",B126)</f>
        <v>NOAH DIONESOTES</v>
      </c>
      <c r="E126" s="5" t="s">
        <v>102</v>
      </c>
      <c r="F126" s="5" t="s">
        <v>126</v>
      </c>
      <c r="G126" s="5" t="s">
        <v>132</v>
      </c>
      <c r="H126" s="5">
        <v>21607778</v>
      </c>
      <c r="I126" s="5" t="s">
        <v>1369</v>
      </c>
      <c r="J126" s="5" t="str">
        <f>CONCATENATE(H126,I126)</f>
        <v>21607778AV6</v>
      </c>
      <c r="K126" s="5" t="s">
        <v>353</v>
      </c>
      <c r="L126" s="5" t="s">
        <v>354</v>
      </c>
      <c r="M126" s="5" t="str">
        <f>CONCATENATE(L126," ",K126)</f>
        <v>Noah Dionesotes</v>
      </c>
      <c r="N126" s="5" t="s">
        <v>57</v>
      </c>
      <c r="O126" s="6">
        <v>45999</v>
      </c>
      <c r="P126" s="6">
        <v>46030</v>
      </c>
      <c r="Q126" s="7">
        <v>41.29</v>
      </c>
      <c r="R126" s="5">
        <f>DATEDIF(O126,P126,"M")</f>
        <v>1</v>
      </c>
      <c r="S126" s="5" t="s">
        <v>1378</v>
      </c>
      <c r="T126" s="5" t="s">
        <v>1379</v>
      </c>
      <c r="U126" s="8">
        <v>0.7</v>
      </c>
      <c r="V126" s="5" t="s">
        <v>83</v>
      </c>
      <c r="W126" s="5" t="s">
        <v>221</v>
      </c>
      <c r="X126" s="7">
        <v>173.4</v>
      </c>
      <c r="Y126" s="7">
        <v>28.9</v>
      </c>
      <c r="Z126" s="5" t="s">
        <v>132</v>
      </c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</row>
    <row r="127" spans="1:54" x14ac:dyDescent="0.25">
      <c r="A127">
        <v>2032547838</v>
      </c>
      <c r="B127" t="s">
        <v>463</v>
      </c>
      <c r="C127" t="s">
        <v>464</v>
      </c>
      <c r="D127" t="str">
        <f>CONCATENATE(C127," ",B127)</f>
        <v>DESIREE REGGI</v>
      </c>
      <c r="E127" t="s">
        <v>102</v>
      </c>
      <c r="F127" t="s">
        <v>126</v>
      </c>
      <c r="G127" t="s">
        <v>132</v>
      </c>
      <c r="H127">
        <v>21726248</v>
      </c>
      <c r="J127">
        <v>21726248</v>
      </c>
      <c r="K127" t="s">
        <v>201</v>
      </c>
      <c r="L127" t="s">
        <v>465</v>
      </c>
      <c r="M127" t="str">
        <f>CONCATENATE(L127," ",K127)</f>
        <v>Patrick Geske</v>
      </c>
      <c r="N127" t="s">
        <v>57</v>
      </c>
      <c r="O127" s="1">
        <v>45999</v>
      </c>
      <c r="P127" s="1">
        <v>46030</v>
      </c>
      <c r="Q127" s="2">
        <v>34</v>
      </c>
      <c r="R127">
        <f>DATEDIF(O127,P127,"M")</f>
        <v>1</v>
      </c>
      <c r="S127" t="s">
        <v>60</v>
      </c>
      <c r="T127" t="s">
        <v>1370</v>
      </c>
      <c r="U127" s="4">
        <v>0.7</v>
      </c>
      <c r="V127" t="s">
        <v>83</v>
      </c>
      <c r="W127" t="s">
        <v>221</v>
      </c>
      <c r="X127" s="2">
        <v>142.80000000000001</v>
      </c>
      <c r="Y127" s="2">
        <v>23.8</v>
      </c>
      <c r="Z127" t="s">
        <v>132</v>
      </c>
    </row>
    <row r="128" spans="1:54" x14ac:dyDescent="0.25">
      <c r="A128" s="5">
        <v>2032496013</v>
      </c>
      <c r="B128" s="5" t="s">
        <v>234</v>
      </c>
      <c r="C128" s="5" t="s">
        <v>182</v>
      </c>
      <c r="D128" s="5" t="str">
        <f>CONCATENATE(C128," ",B128)</f>
        <v>MICHAEL FANIA</v>
      </c>
      <c r="E128" s="5" t="s">
        <v>52</v>
      </c>
      <c r="F128" s="5" t="s">
        <v>53</v>
      </c>
      <c r="G128" s="5" t="s">
        <v>54</v>
      </c>
      <c r="H128" s="5">
        <v>16509456</v>
      </c>
      <c r="I128" s="5" t="s">
        <v>1369</v>
      </c>
      <c r="J128" s="5" t="str">
        <f>CONCATENATE(H128,I128)</f>
        <v>16509456AV6</v>
      </c>
      <c r="K128" s="5" t="s">
        <v>235</v>
      </c>
      <c r="L128" s="5" t="s">
        <v>236</v>
      </c>
      <c r="M128" s="5" t="str">
        <f>CONCATENATE(L128," ",K128)</f>
        <v>PETER RICHTER</v>
      </c>
      <c r="N128" s="5" t="s">
        <v>57</v>
      </c>
      <c r="O128" s="6">
        <v>46023</v>
      </c>
      <c r="P128" s="6">
        <v>46054</v>
      </c>
      <c r="Q128" s="7">
        <v>69.5</v>
      </c>
      <c r="R128" s="5">
        <f>DATEDIF(O128,P128,"M")</f>
        <v>1</v>
      </c>
      <c r="S128" s="5" t="s">
        <v>1378</v>
      </c>
      <c r="T128" s="5" t="s">
        <v>1379</v>
      </c>
      <c r="U128" s="8">
        <v>0.6</v>
      </c>
      <c r="V128" s="5" t="s">
        <v>83</v>
      </c>
      <c r="W128" s="5" t="s">
        <v>221</v>
      </c>
      <c r="X128" s="7">
        <v>250.2</v>
      </c>
      <c r="Y128" s="7">
        <v>41.7</v>
      </c>
      <c r="Z128" s="5" t="s">
        <v>54</v>
      </c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</row>
    <row r="129" spans="1:54" x14ac:dyDescent="0.25">
      <c r="A129" s="5">
        <v>2032537368</v>
      </c>
      <c r="B129" s="5" t="s">
        <v>239</v>
      </c>
      <c r="C129" s="5" t="s">
        <v>240</v>
      </c>
      <c r="D129" s="5" t="str">
        <f>CONCATENATE(C129," ",B129)</f>
        <v>SHERYL MCCLELLAND</v>
      </c>
      <c r="E129" s="5" t="s">
        <v>52</v>
      </c>
      <c r="F129" s="5" t="s">
        <v>53</v>
      </c>
      <c r="G129" s="5" t="s">
        <v>54</v>
      </c>
      <c r="H129" s="5">
        <v>16509456</v>
      </c>
      <c r="I129" s="5" t="s">
        <v>1369</v>
      </c>
      <c r="J129" s="5" t="str">
        <f>CONCATENATE(H129,I129)</f>
        <v>16509456AV6</v>
      </c>
      <c r="K129" s="5" t="s">
        <v>235</v>
      </c>
      <c r="L129" s="5" t="s">
        <v>236</v>
      </c>
      <c r="M129" s="5" t="str">
        <f>CONCATENATE(L129," ",K129)</f>
        <v>PETER RICHTER</v>
      </c>
      <c r="N129" s="5" t="s">
        <v>57</v>
      </c>
      <c r="O129" s="6">
        <v>46023</v>
      </c>
      <c r="P129" s="6">
        <v>46054</v>
      </c>
      <c r="Q129" s="7">
        <v>69.5</v>
      </c>
      <c r="R129" s="5">
        <f>DATEDIF(O129,P129,"M")</f>
        <v>1</v>
      </c>
      <c r="S129" s="5" t="s">
        <v>1378</v>
      </c>
      <c r="T129" s="5" t="s">
        <v>1379</v>
      </c>
      <c r="U129" s="8">
        <v>0.6</v>
      </c>
      <c r="V129" s="5" t="s">
        <v>83</v>
      </c>
      <c r="W129" s="5" t="s">
        <v>221</v>
      </c>
      <c r="X129" s="7">
        <v>250.2</v>
      </c>
      <c r="Y129" s="7">
        <v>41.7</v>
      </c>
      <c r="Z129" s="5" t="s">
        <v>54</v>
      </c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</row>
    <row r="130" spans="1:54" x14ac:dyDescent="0.25">
      <c r="A130" s="5">
        <v>2032382702</v>
      </c>
      <c r="B130" s="5" t="s">
        <v>327</v>
      </c>
      <c r="C130" s="5" t="s">
        <v>328</v>
      </c>
      <c r="D130" s="5" t="str">
        <f>CONCATENATE(C130," ",B130)</f>
        <v>SHARON STENGEL</v>
      </c>
      <c r="E130" s="5" t="s">
        <v>102</v>
      </c>
      <c r="F130" s="5" t="s">
        <v>86</v>
      </c>
      <c r="G130" s="5" t="s">
        <v>87</v>
      </c>
      <c r="H130" s="5">
        <v>21648482</v>
      </c>
      <c r="I130" s="5" t="s">
        <v>1369</v>
      </c>
      <c r="J130" s="5" t="str">
        <f>CONCATENATE(H130,I130)</f>
        <v>21648482AV6</v>
      </c>
      <c r="K130" s="5" t="s">
        <v>329</v>
      </c>
      <c r="L130" s="5" t="s">
        <v>330</v>
      </c>
      <c r="M130" s="5" t="str">
        <f>CONCATENATE(L130," ",K130)</f>
        <v>Raluca Cheregi</v>
      </c>
      <c r="N130" s="5" t="s">
        <v>57</v>
      </c>
      <c r="O130" s="6">
        <v>45994</v>
      </c>
      <c r="P130" s="6">
        <v>46025</v>
      </c>
      <c r="Q130" s="7">
        <v>77.48</v>
      </c>
      <c r="R130" s="5">
        <f>DATEDIF(O130,P130,"M")</f>
        <v>1</v>
      </c>
      <c r="S130" s="5" t="s">
        <v>1378</v>
      </c>
      <c r="T130" s="5" t="s">
        <v>1379</v>
      </c>
      <c r="U130" s="9">
        <v>0.375</v>
      </c>
      <c r="V130" s="5" t="s">
        <v>83</v>
      </c>
      <c r="W130" s="5" t="s">
        <v>221</v>
      </c>
      <c r="X130" s="7">
        <v>174.36</v>
      </c>
      <c r="Y130" s="7">
        <v>29.06</v>
      </c>
      <c r="Z130" s="5" t="s">
        <v>87</v>
      </c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</row>
    <row r="131" spans="1:54" x14ac:dyDescent="0.25">
      <c r="A131" s="5">
        <v>2032382701</v>
      </c>
      <c r="B131" s="5" t="s">
        <v>327</v>
      </c>
      <c r="C131" s="5" t="s">
        <v>328</v>
      </c>
      <c r="D131" s="5" t="str">
        <f>CONCATENATE(C131," ",B131)</f>
        <v>SHARON STENGEL</v>
      </c>
      <c r="E131" s="5" t="s">
        <v>102</v>
      </c>
      <c r="F131" s="5" t="s">
        <v>126</v>
      </c>
      <c r="G131" s="5" t="s">
        <v>132</v>
      </c>
      <c r="H131" s="5">
        <v>21648482</v>
      </c>
      <c r="I131" s="5" t="s">
        <v>1369</v>
      </c>
      <c r="J131" s="5" t="str">
        <f>CONCATENATE(H131,I131)</f>
        <v>21648482AV6</v>
      </c>
      <c r="K131" s="5" t="s">
        <v>329</v>
      </c>
      <c r="L131" s="5" t="s">
        <v>330</v>
      </c>
      <c r="M131" s="5" t="str">
        <f>CONCATENATE(L131," ",K131)</f>
        <v>Raluca Cheregi</v>
      </c>
      <c r="N131" s="5" t="s">
        <v>57</v>
      </c>
      <c r="O131" s="6">
        <v>45994</v>
      </c>
      <c r="P131" s="6">
        <v>46025</v>
      </c>
      <c r="Q131" s="7">
        <v>124.72</v>
      </c>
      <c r="R131" s="5">
        <f>DATEDIF(O131,P131,"M")</f>
        <v>1</v>
      </c>
      <c r="S131" s="5" t="s">
        <v>1378</v>
      </c>
      <c r="T131" s="5" t="s">
        <v>1379</v>
      </c>
      <c r="U131" s="8">
        <v>0.7</v>
      </c>
      <c r="V131" s="5" t="s">
        <v>83</v>
      </c>
      <c r="W131" s="5" t="s">
        <v>221</v>
      </c>
      <c r="X131" s="7">
        <v>523.79999999999995</v>
      </c>
      <c r="Y131" s="7">
        <v>87.3</v>
      </c>
      <c r="Z131" s="5" t="s">
        <v>132</v>
      </c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</row>
    <row r="132" spans="1:54" x14ac:dyDescent="0.25">
      <c r="A132" s="5">
        <v>2032450244</v>
      </c>
      <c r="B132" s="5" t="s">
        <v>403</v>
      </c>
      <c r="C132" s="5" t="s">
        <v>249</v>
      </c>
      <c r="D132" s="5" t="str">
        <f>CONCATENATE(C132," ",B132)</f>
        <v>ROBERT CRISTIAN</v>
      </c>
      <c r="E132" s="5" t="s">
        <v>102</v>
      </c>
      <c r="F132" s="5" t="s">
        <v>126</v>
      </c>
      <c r="G132" s="5" t="s">
        <v>132</v>
      </c>
      <c r="H132" s="5">
        <v>21648482</v>
      </c>
      <c r="I132" s="5" t="s">
        <v>1369</v>
      </c>
      <c r="J132" s="5" t="str">
        <f>CONCATENATE(H132,I132)</f>
        <v>21648482AV6</v>
      </c>
      <c r="K132" s="5" t="s">
        <v>329</v>
      </c>
      <c r="L132" s="5" t="s">
        <v>330</v>
      </c>
      <c r="M132" s="5" t="str">
        <f>CONCATENATE(L132," ",K132)</f>
        <v>Raluca Cheregi</v>
      </c>
      <c r="N132" s="5" t="s">
        <v>57</v>
      </c>
      <c r="O132" s="6">
        <v>45993</v>
      </c>
      <c r="P132" s="6">
        <v>46024</v>
      </c>
      <c r="Q132" s="7">
        <v>198.36</v>
      </c>
      <c r="R132" s="5">
        <f>DATEDIF(O132,P132,"M")</f>
        <v>1</v>
      </c>
      <c r="S132" s="5" t="s">
        <v>1378</v>
      </c>
      <c r="T132" s="5" t="s">
        <v>1379</v>
      </c>
      <c r="U132" s="8">
        <v>0.7</v>
      </c>
      <c r="V132" s="5" t="s">
        <v>83</v>
      </c>
      <c r="W132" s="5" t="s">
        <v>221</v>
      </c>
      <c r="X132" s="7">
        <v>833.1</v>
      </c>
      <c r="Y132" s="7">
        <v>138.85</v>
      </c>
      <c r="Z132" s="5" t="s">
        <v>132</v>
      </c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</row>
    <row r="133" spans="1:54" x14ac:dyDescent="0.25">
      <c r="A133" s="5">
        <v>2032470587</v>
      </c>
      <c r="B133" s="5" t="s">
        <v>137</v>
      </c>
      <c r="C133" s="5" t="s">
        <v>434</v>
      </c>
      <c r="D133" s="5" t="str">
        <f>CONCATENATE(C133," ",B133)</f>
        <v>JASEN JAMES</v>
      </c>
      <c r="E133" s="5" t="s">
        <v>102</v>
      </c>
      <c r="F133" s="5" t="s">
        <v>126</v>
      </c>
      <c r="G133" s="5" t="s">
        <v>132</v>
      </c>
      <c r="H133" s="5">
        <v>21648482</v>
      </c>
      <c r="I133" s="5" t="s">
        <v>1369</v>
      </c>
      <c r="J133" s="5" t="str">
        <f>CONCATENATE(H133,I133)</f>
        <v>21648482AV6</v>
      </c>
      <c r="K133" s="5" t="s">
        <v>329</v>
      </c>
      <c r="L133" s="5" t="s">
        <v>330</v>
      </c>
      <c r="M133" s="5" t="str">
        <f>CONCATENATE(L133," ",K133)</f>
        <v>Raluca Cheregi</v>
      </c>
      <c r="N133" s="5" t="s">
        <v>57</v>
      </c>
      <c r="O133" s="6">
        <v>45994</v>
      </c>
      <c r="P133" s="6">
        <v>46025</v>
      </c>
      <c r="Q133" s="7">
        <v>121.06</v>
      </c>
      <c r="R133" s="5">
        <f>DATEDIF(O133,P133,"M")</f>
        <v>1</v>
      </c>
      <c r="S133" s="5" t="s">
        <v>1378</v>
      </c>
      <c r="T133" s="5" t="s">
        <v>1379</v>
      </c>
      <c r="U133" s="8">
        <v>0.7</v>
      </c>
      <c r="V133" s="5" t="s">
        <v>83</v>
      </c>
      <c r="W133" s="5" t="s">
        <v>221</v>
      </c>
      <c r="X133" s="7">
        <v>508.44</v>
      </c>
      <c r="Y133" s="7">
        <v>84.74</v>
      </c>
      <c r="Z133" s="5" t="s">
        <v>132</v>
      </c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</row>
    <row r="134" spans="1:54" x14ac:dyDescent="0.25">
      <c r="A134" s="5">
        <v>2032516255</v>
      </c>
      <c r="B134" s="5" t="s">
        <v>455</v>
      </c>
      <c r="C134" s="5" t="s">
        <v>456</v>
      </c>
      <c r="D134" s="5" t="str">
        <f>CONCATENATE(C134," ",B134)</f>
        <v>VICKI WINTER</v>
      </c>
      <c r="E134" s="5" t="s">
        <v>97</v>
      </c>
      <c r="F134" s="5" t="s">
        <v>126</v>
      </c>
      <c r="G134" s="5" t="s">
        <v>132</v>
      </c>
      <c r="H134" s="5">
        <v>21648482</v>
      </c>
      <c r="I134" s="5" t="s">
        <v>1369</v>
      </c>
      <c r="J134" s="5" t="str">
        <f>CONCATENATE(H134,I134)</f>
        <v>21648482AV6</v>
      </c>
      <c r="K134" s="5" t="s">
        <v>329</v>
      </c>
      <c r="L134" s="5" t="s">
        <v>330</v>
      </c>
      <c r="M134" s="5" t="str">
        <f>CONCATENATE(L134," ",K134)</f>
        <v>Raluca Cheregi</v>
      </c>
      <c r="N134" s="5" t="s">
        <v>57</v>
      </c>
      <c r="O134" s="6">
        <v>45996</v>
      </c>
      <c r="P134" s="6">
        <v>46027</v>
      </c>
      <c r="Q134" s="7">
        <v>103.8</v>
      </c>
      <c r="R134" s="5">
        <f>DATEDIF(O134,P134,"M")</f>
        <v>1</v>
      </c>
      <c r="S134" s="5" t="s">
        <v>1378</v>
      </c>
      <c r="T134" s="5" t="s">
        <v>1379</v>
      </c>
      <c r="U134" s="8">
        <v>0.7</v>
      </c>
      <c r="V134" s="5" t="s">
        <v>83</v>
      </c>
      <c r="W134" s="5" t="s">
        <v>221</v>
      </c>
      <c r="X134" s="7">
        <v>435.96</v>
      </c>
      <c r="Y134" s="7">
        <v>72.66</v>
      </c>
      <c r="Z134" s="5" t="s">
        <v>132</v>
      </c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</row>
    <row r="135" spans="1:54" x14ac:dyDescent="0.25">
      <c r="A135" s="5">
        <v>2032444198</v>
      </c>
      <c r="B135" s="5" t="s">
        <v>244</v>
      </c>
      <c r="C135" s="5" t="s">
        <v>147</v>
      </c>
      <c r="D135" s="5" t="str">
        <f>CONCATENATE(C135," ",B135)</f>
        <v>MARTIN MORRIS</v>
      </c>
      <c r="E135" s="5" t="s">
        <v>220</v>
      </c>
      <c r="F135" s="5" t="s">
        <v>75</v>
      </c>
      <c r="G135" s="5" t="s">
        <v>243</v>
      </c>
      <c r="H135" s="5">
        <v>16633294</v>
      </c>
      <c r="I135" s="5" t="s">
        <v>1369</v>
      </c>
      <c r="J135" s="5" t="str">
        <f>CONCATENATE(H135,I135)</f>
        <v>16633294AV6</v>
      </c>
      <c r="K135" s="5" t="s">
        <v>257</v>
      </c>
      <c r="L135" s="5" t="s">
        <v>258</v>
      </c>
      <c r="M135" s="5" t="str">
        <f>CONCATENATE(L135," ",K135)</f>
        <v>Richard Yale</v>
      </c>
      <c r="N135" s="5" t="s">
        <v>57</v>
      </c>
      <c r="O135" s="6">
        <v>45995</v>
      </c>
      <c r="P135" s="6">
        <v>46026</v>
      </c>
      <c r="Q135" s="7">
        <v>96.75</v>
      </c>
      <c r="R135" s="5">
        <f>DATEDIF(O135,P135,"M")</f>
        <v>1</v>
      </c>
      <c r="S135" s="5" t="s">
        <v>1378</v>
      </c>
      <c r="T135" s="5" t="s">
        <v>1379</v>
      </c>
      <c r="U135" s="8">
        <v>0.75</v>
      </c>
      <c r="V135" s="5" t="s">
        <v>83</v>
      </c>
      <c r="W135" s="5" t="s">
        <v>221</v>
      </c>
      <c r="X135" s="7">
        <v>435.36</v>
      </c>
      <c r="Y135" s="7">
        <v>72.56</v>
      </c>
      <c r="Z135" s="5" t="s">
        <v>1371</v>
      </c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</row>
    <row r="136" spans="1:54" x14ac:dyDescent="0.25">
      <c r="A136" s="5">
        <v>2032444197</v>
      </c>
      <c r="B136" s="5" t="s">
        <v>244</v>
      </c>
      <c r="C136" s="5" t="s">
        <v>147</v>
      </c>
      <c r="D136" s="5" t="str">
        <f>CONCATENATE(C136," ",B136)</f>
        <v>MARTIN MORRIS</v>
      </c>
      <c r="E136" s="5" t="s">
        <v>220</v>
      </c>
      <c r="F136" s="5" t="s">
        <v>126</v>
      </c>
      <c r="G136" s="5" t="s">
        <v>132</v>
      </c>
      <c r="H136" s="5">
        <v>16633294</v>
      </c>
      <c r="I136" s="5" t="s">
        <v>1369</v>
      </c>
      <c r="J136" s="5" t="str">
        <f>CONCATENATE(H136,I136)</f>
        <v>16633294AV6</v>
      </c>
      <c r="K136" s="5" t="s">
        <v>257</v>
      </c>
      <c r="L136" s="5" t="s">
        <v>258</v>
      </c>
      <c r="M136" s="5" t="str">
        <f>CONCATENATE(L136," ",K136)</f>
        <v>Richard Yale</v>
      </c>
      <c r="N136" s="5" t="s">
        <v>57</v>
      </c>
      <c r="O136" s="6">
        <v>45995</v>
      </c>
      <c r="P136" s="6">
        <v>46026</v>
      </c>
      <c r="Q136" s="7">
        <v>32.979999999999997</v>
      </c>
      <c r="R136" s="5">
        <f>DATEDIF(O136,P136,"M")</f>
        <v>1</v>
      </c>
      <c r="S136" s="5" t="s">
        <v>1378</v>
      </c>
      <c r="T136" s="5" t="s">
        <v>1379</v>
      </c>
      <c r="U136" s="8">
        <v>0.7</v>
      </c>
      <c r="V136" s="5" t="s">
        <v>83</v>
      </c>
      <c r="W136" s="5" t="s">
        <v>221</v>
      </c>
      <c r="X136" s="7">
        <v>138.54</v>
      </c>
      <c r="Y136" s="7">
        <v>23.09</v>
      </c>
      <c r="Z136" s="5" t="s">
        <v>132</v>
      </c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</row>
    <row r="137" spans="1:54" x14ac:dyDescent="0.25">
      <c r="A137">
        <v>2032431567</v>
      </c>
      <c r="B137" t="s">
        <v>392</v>
      </c>
      <c r="C137" t="s">
        <v>393</v>
      </c>
      <c r="D137" t="str">
        <f>CONCATENATE(C137," ",B137)</f>
        <v>KATHY MUCCI</v>
      </c>
      <c r="E137" t="s">
        <v>163</v>
      </c>
      <c r="F137" t="s">
        <v>126</v>
      </c>
      <c r="G137" t="s">
        <v>164</v>
      </c>
      <c r="H137">
        <v>5442438</v>
      </c>
      <c r="J137">
        <v>5442438</v>
      </c>
      <c r="K137" t="s">
        <v>165</v>
      </c>
      <c r="L137" t="s">
        <v>166</v>
      </c>
      <c r="M137" t="str">
        <f>CONCATENATE(L137," ",K137)</f>
        <v>Ronald Max</v>
      </c>
      <c r="N137" t="s">
        <v>57</v>
      </c>
      <c r="O137" s="1">
        <v>45993</v>
      </c>
      <c r="P137" s="1">
        <v>46024</v>
      </c>
      <c r="Q137" s="2">
        <v>24.61</v>
      </c>
      <c r="R137">
        <f>DATEDIF(O137,P137,"M")</f>
        <v>1</v>
      </c>
      <c r="S137" t="s">
        <v>60</v>
      </c>
      <c r="T137" t="s">
        <v>1370</v>
      </c>
      <c r="U137" s="4">
        <v>0.7</v>
      </c>
      <c r="V137" t="s">
        <v>83</v>
      </c>
      <c r="W137" t="s">
        <v>221</v>
      </c>
      <c r="X137" s="2">
        <v>103.38</v>
      </c>
      <c r="Y137" s="2">
        <v>17.23</v>
      </c>
      <c r="Z137" t="s">
        <v>127</v>
      </c>
    </row>
    <row r="138" spans="1:54" x14ac:dyDescent="0.25">
      <c r="A138">
        <v>2032448443</v>
      </c>
      <c r="B138" t="s">
        <v>263</v>
      </c>
      <c r="C138" t="s">
        <v>264</v>
      </c>
      <c r="D138" t="str">
        <f>CONCATENATE(C138," ",B138)</f>
        <v>ASHLEY SANDERS</v>
      </c>
      <c r="E138" t="s">
        <v>163</v>
      </c>
      <c r="F138" t="s">
        <v>126</v>
      </c>
      <c r="G138" t="s">
        <v>164</v>
      </c>
      <c r="H138">
        <v>5442438</v>
      </c>
      <c r="J138">
        <v>5442438</v>
      </c>
      <c r="K138" t="s">
        <v>165</v>
      </c>
      <c r="L138" t="s">
        <v>166</v>
      </c>
      <c r="M138" t="str">
        <f>CONCATENATE(L138," ",K138)</f>
        <v>Ronald Max</v>
      </c>
      <c r="N138" t="s">
        <v>57</v>
      </c>
      <c r="O138" s="1">
        <v>45993</v>
      </c>
      <c r="P138" s="1">
        <v>46024</v>
      </c>
      <c r="Q138" s="2">
        <v>24.61</v>
      </c>
      <c r="R138">
        <f>DATEDIF(O138,P138,"M")</f>
        <v>1</v>
      </c>
      <c r="S138" t="s">
        <v>60</v>
      </c>
      <c r="T138" t="s">
        <v>1370</v>
      </c>
      <c r="U138" s="4">
        <v>0.7</v>
      </c>
      <c r="V138" t="s">
        <v>83</v>
      </c>
      <c r="W138" t="s">
        <v>221</v>
      </c>
      <c r="X138" s="2">
        <v>103.38</v>
      </c>
      <c r="Y138" s="2">
        <v>17.23</v>
      </c>
      <c r="Z138" t="s">
        <v>127</v>
      </c>
    </row>
    <row r="139" spans="1:54" x14ac:dyDescent="0.25">
      <c r="A139">
        <v>2032448984</v>
      </c>
      <c r="B139" t="s">
        <v>263</v>
      </c>
      <c r="C139" t="s">
        <v>182</v>
      </c>
      <c r="D139" t="str">
        <f>CONCATENATE(C139," ",B139)</f>
        <v>MICHAEL SANDERS</v>
      </c>
      <c r="E139" t="s">
        <v>163</v>
      </c>
      <c r="F139" t="s">
        <v>126</v>
      </c>
      <c r="G139" t="s">
        <v>164</v>
      </c>
      <c r="H139">
        <v>5442438</v>
      </c>
      <c r="J139">
        <v>5442438</v>
      </c>
      <c r="K139" t="s">
        <v>165</v>
      </c>
      <c r="L139" t="s">
        <v>166</v>
      </c>
      <c r="M139" t="str">
        <f>CONCATENATE(L139," ",K139)</f>
        <v>Ronald Max</v>
      </c>
      <c r="N139" t="s">
        <v>57</v>
      </c>
      <c r="O139" s="1">
        <v>45993</v>
      </c>
      <c r="P139" s="1">
        <v>46024</v>
      </c>
      <c r="Q139" s="2">
        <v>24.61</v>
      </c>
      <c r="R139">
        <f>DATEDIF(O139,P139,"M")</f>
        <v>1</v>
      </c>
      <c r="S139" t="s">
        <v>60</v>
      </c>
      <c r="T139" t="s">
        <v>1370</v>
      </c>
      <c r="U139" s="4">
        <v>0.7</v>
      </c>
      <c r="V139" t="s">
        <v>83</v>
      </c>
      <c r="W139" t="s">
        <v>221</v>
      </c>
      <c r="X139" s="2">
        <v>103.38</v>
      </c>
      <c r="Y139" s="2">
        <v>17.23</v>
      </c>
      <c r="Z139" t="s">
        <v>127</v>
      </c>
    </row>
    <row r="140" spans="1:54" x14ac:dyDescent="0.25">
      <c r="A140">
        <v>2032454750</v>
      </c>
      <c r="B140" t="s">
        <v>161</v>
      </c>
      <c r="C140" t="s">
        <v>411</v>
      </c>
      <c r="D140" t="str">
        <f>CONCATENATE(C140," ",B140)</f>
        <v>LARRY SMITH</v>
      </c>
      <c r="E140" t="s">
        <v>163</v>
      </c>
      <c r="F140" t="s">
        <v>126</v>
      </c>
      <c r="G140" t="s">
        <v>164</v>
      </c>
      <c r="H140">
        <v>5442438</v>
      </c>
      <c r="J140">
        <v>5442438</v>
      </c>
      <c r="K140" t="s">
        <v>165</v>
      </c>
      <c r="L140" t="s">
        <v>166</v>
      </c>
      <c r="M140" t="str">
        <f>CONCATENATE(L140," ",K140)</f>
        <v>Ronald Max</v>
      </c>
      <c r="N140" t="s">
        <v>57</v>
      </c>
      <c r="O140" s="1">
        <v>46022</v>
      </c>
      <c r="P140" s="1">
        <v>46053</v>
      </c>
      <c r="Q140" s="2">
        <v>48</v>
      </c>
      <c r="R140">
        <f>DATEDIF(O140,P140,"M")</f>
        <v>1</v>
      </c>
      <c r="S140" t="s">
        <v>60</v>
      </c>
      <c r="T140" t="s">
        <v>1370</v>
      </c>
      <c r="U140" s="4">
        <v>0.7</v>
      </c>
      <c r="V140" t="s">
        <v>83</v>
      </c>
      <c r="W140" t="s">
        <v>221</v>
      </c>
      <c r="X140" s="2">
        <v>201.6</v>
      </c>
      <c r="Y140" s="2">
        <v>33.6</v>
      </c>
      <c r="Z140" t="s">
        <v>127</v>
      </c>
    </row>
    <row r="141" spans="1:54" x14ac:dyDescent="0.25">
      <c r="A141">
        <v>2032480604</v>
      </c>
      <c r="B141" t="s">
        <v>268</v>
      </c>
      <c r="C141" t="s">
        <v>260</v>
      </c>
      <c r="D141" t="str">
        <f>CONCATENATE(C141," ",B141)</f>
        <v>WILLIAM WHITE</v>
      </c>
      <c r="E141" t="s">
        <v>163</v>
      </c>
      <c r="F141" t="s">
        <v>126</v>
      </c>
      <c r="G141" t="s">
        <v>164</v>
      </c>
      <c r="H141">
        <v>5442438</v>
      </c>
      <c r="J141">
        <v>5442438</v>
      </c>
      <c r="K141" t="s">
        <v>165</v>
      </c>
      <c r="L141" t="s">
        <v>166</v>
      </c>
      <c r="M141" t="str">
        <f>CONCATENATE(L141," ",K141)</f>
        <v>Ronald Max</v>
      </c>
      <c r="N141" t="s">
        <v>57</v>
      </c>
      <c r="O141" s="1">
        <v>45995</v>
      </c>
      <c r="P141" s="1">
        <v>46026</v>
      </c>
      <c r="Q141" s="2">
        <v>24.61</v>
      </c>
      <c r="R141">
        <f>DATEDIF(O141,P141,"M")</f>
        <v>1</v>
      </c>
      <c r="S141" t="s">
        <v>60</v>
      </c>
      <c r="T141" t="s">
        <v>1370</v>
      </c>
      <c r="U141" s="4">
        <v>0.7</v>
      </c>
      <c r="V141" t="s">
        <v>83</v>
      </c>
      <c r="W141" t="s">
        <v>221</v>
      </c>
      <c r="X141" s="2">
        <v>103.38</v>
      </c>
      <c r="Y141" s="2">
        <v>17.23</v>
      </c>
      <c r="Z141" t="s">
        <v>127</v>
      </c>
    </row>
    <row r="142" spans="1:54" x14ac:dyDescent="0.25">
      <c r="A142">
        <v>2032515284</v>
      </c>
      <c r="B142" t="s">
        <v>452</v>
      </c>
      <c r="C142" t="s">
        <v>107</v>
      </c>
      <c r="D142" t="str">
        <f>CONCATENATE(C142," ",B142)</f>
        <v>THOMAS DYE</v>
      </c>
      <c r="E142" t="s">
        <v>163</v>
      </c>
      <c r="F142" t="s">
        <v>126</v>
      </c>
      <c r="G142" t="s">
        <v>164</v>
      </c>
      <c r="H142">
        <v>5442438</v>
      </c>
      <c r="J142">
        <v>5442438</v>
      </c>
      <c r="K142" t="s">
        <v>165</v>
      </c>
      <c r="L142" t="s">
        <v>166</v>
      </c>
      <c r="M142" t="str">
        <f>CONCATENATE(L142," ",K142)</f>
        <v>Ronald Max</v>
      </c>
      <c r="N142" t="s">
        <v>57</v>
      </c>
      <c r="O142" s="1">
        <v>46023</v>
      </c>
      <c r="P142" s="1">
        <v>46054</v>
      </c>
      <c r="Q142" s="2">
        <v>24.61</v>
      </c>
      <c r="R142">
        <f>DATEDIF(O142,P142,"M")</f>
        <v>1</v>
      </c>
      <c r="S142" t="s">
        <v>60</v>
      </c>
      <c r="T142" t="s">
        <v>1370</v>
      </c>
      <c r="U142" s="4">
        <v>0.7</v>
      </c>
      <c r="V142" t="s">
        <v>83</v>
      </c>
      <c r="W142" t="s">
        <v>221</v>
      </c>
      <c r="X142" s="2">
        <v>103.38</v>
      </c>
      <c r="Y142" s="2">
        <v>17.23</v>
      </c>
      <c r="Z142" t="s">
        <v>127</v>
      </c>
    </row>
    <row r="143" spans="1:54" x14ac:dyDescent="0.25">
      <c r="A143">
        <v>2032535519</v>
      </c>
      <c r="B143" t="s">
        <v>278</v>
      </c>
      <c r="C143" t="s">
        <v>279</v>
      </c>
      <c r="D143" t="str">
        <f>CONCATENATE(C143," ",B143)</f>
        <v>ERIC SIMMONS</v>
      </c>
      <c r="E143" t="s">
        <v>163</v>
      </c>
      <c r="F143" t="s">
        <v>126</v>
      </c>
      <c r="G143" t="s">
        <v>164</v>
      </c>
      <c r="H143">
        <v>5442438</v>
      </c>
      <c r="J143">
        <v>5442438</v>
      </c>
      <c r="K143" t="s">
        <v>165</v>
      </c>
      <c r="L143" t="s">
        <v>166</v>
      </c>
      <c r="M143" t="str">
        <f>CONCATENATE(L143," ",K143)</f>
        <v>Ronald Max</v>
      </c>
      <c r="N143" t="s">
        <v>57</v>
      </c>
      <c r="O143" s="1">
        <v>46023</v>
      </c>
      <c r="P143" s="1">
        <v>46054</v>
      </c>
      <c r="Q143" s="2">
        <v>48</v>
      </c>
      <c r="R143">
        <f>DATEDIF(O143,P143,"M")</f>
        <v>1</v>
      </c>
      <c r="S143" t="s">
        <v>60</v>
      </c>
      <c r="T143" t="s">
        <v>1370</v>
      </c>
      <c r="U143" s="4">
        <v>0.7</v>
      </c>
      <c r="V143" t="s">
        <v>83</v>
      </c>
      <c r="W143" t="s">
        <v>221</v>
      </c>
      <c r="X143" s="2">
        <v>201.6</v>
      </c>
      <c r="Y143" s="2">
        <v>33.6</v>
      </c>
      <c r="Z143" t="s">
        <v>127</v>
      </c>
    </row>
    <row r="144" spans="1:54" x14ac:dyDescent="0.25">
      <c r="A144">
        <v>2032448444</v>
      </c>
      <c r="B144" t="s">
        <v>263</v>
      </c>
      <c r="C144" t="s">
        <v>264</v>
      </c>
      <c r="D144" t="str">
        <f>CONCATENATE(C144," ",B144)</f>
        <v>ASHLEY SANDERS</v>
      </c>
      <c r="E144" t="s">
        <v>163</v>
      </c>
      <c r="F144" t="s">
        <v>75</v>
      </c>
      <c r="G144" t="s">
        <v>80</v>
      </c>
      <c r="H144">
        <v>5442438</v>
      </c>
      <c r="J144">
        <v>5442438</v>
      </c>
      <c r="K144" t="s">
        <v>165</v>
      </c>
      <c r="L144" t="s">
        <v>166</v>
      </c>
      <c r="M144" t="str">
        <f>CONCATENATE(L144," ",K144)</f>
        <v>Ronald Max</v>
      </c>
      <c r="N144" t="s">
        <v>57</v>
      </c>
      <c r="O144" s="1">
        <v>45993</v>
      </c>
      <c r="P144" s="1">
        <v>46024</v>
      </c>
      <c r="Q144" s="2">
        <v>15.25</v>
      </c>
      <c r="R144">
        <f>DATEDIF(O144,P144,"M")</f>
        <v>1</v>
      </c>
      <c r="S144" t="s">
        <v>60</v>
      </c>
      <c r="T144" t="s">
        <v>1370</v>
      </c>
      <c r="U144" s="4">
        <v>0.9</v>
      </c>
      <c r="V144" t="s">
        <v>83</v>
      </c>
      <c r="W144" t="s">
        <v>221</v>
      </c>
      <c r="X144" s="2">
        <v>82.32</v>
      </c>
      <c r="Y144" s="2">
        <v>13.72</v>
      </c>
      <c r="Z144" t="s">
        <v>1372</v>
      </c>
    </row>
    <row r="145" spans="1:26" x14ac:dyDescent="0.25">
      <c r="A145">
        <v>2032448985</v>
      </c>
      <c r="B145" t="s">
        <v>263</v>
      </c>
      <c r="C145" t="s">
        <v>182</v>
      </c>
      <c r="D145" t="str">
        <f>CONCATENATE(C145," ",B145)</f>
        <v>MICHAEL SANDERS</v>
      </c>
      <c r="E145" t="s">
        <v>163</v>
      </c>
      <c r="F145" t="s">
        <v>75</v>
      </c>
      <c r="G145" t="s">
        <v>80</v>
      </c>
      <c r="H145">
        <v>5442438</v>
      </c>
      <c r="J145">
        <v>5442438</v>
      </c>
      <c r="K145" t="s">
        <v>165</v>
      </c>
      <c r="L145" t="s">
        <v>166</v>
      </c>
      <c r="M145" t="str">
        <f>CONCATENATE(L145," ",K145)</f>
        <v>Ronald Max</v>
      </c>
      <c r="N145" t="s">
        <v>57</v>
      </c>
      <c r="O145" s="1">
        <v>45993</v>
      </c>
      <c r="P145" s="1">
        <v>46024</v>
      </c>
      <c r="Q145" s="2">
        <v>129.13999999999999</v>
      </c>
      <c r="R145">
        <f>DATEDIF(O145,P145,"M")</f>
        <v>1</v>
      </c>
      <c r="S145" t="s">
        <v>60</v>
      </c>
      <c r="T145" t="s">
        <v>1370</v>
      </c>
      <c r="U145" s="4">
        <v>0.9</v>
      </c>
      <c r="V145" t="s">
        <v>83</v>
      </c>
      <c r="W145" t="s">
        <v>221</v>
      </c>
      <c r="X145" s="2">
        <v>697.38</v>
      </c>
      <c r="Y145" s="2">
        <v>116.23</v>
      </c>
      <c r="Z145" t="s">
        <v>1372</v>
      </c>
    </row>
    <row r="146" spans="1:26" x14ac:dyDescent="0.25">
      <c r="A146">
        <v>2032480605</v>
      </c>
      <c r="B146" t="s">
        <v>268</v>
      </c>
      <c r="C146" t="s">
        <v>260</v>
      </c>
      <c r="D146" t="str">
        <f>CONCATENATE(C146," ",B146)</f>
        <v>WILLIAM WHITE</v>
      </c>
      <c r="E146" t="s">
        <v>163</v>
      </c>
      <c r="F146" t="s">
        <v>75</v>
      </c>
      <c r="G146" t="s">
        <v>80</v>
      </c>
      <c r="H146">
        <v>5442438</v>
      </c>
      <c r="J146">
        <v>5442438</v>
      </c>
      <c r="K146" t="s">
        <v>165</v>
      </c>
      <c r="L146" t="s">
        <v>166</v>
      </c>
      <c r="M146" t="str">
        <f>CONCATENATE(L146," ",K146)</f>
        <v>Ronald Max</v>
      </c>
      <c r="N146" t="s">
        <v>57</v>
      </c>
      <c r="O146" s="1">
        <v>45995</v>
      </c>
      <c r="P146" s="1">
        <v>46026</v>
      </c>
      <c r="Q146" s="2">
        <v>41.03</v>
      </c>
      <c r="R146">
        <f>DATEDIF(O146,P146,"M")</f>
        <v>1</v>
      </c>
      <c r="S146" t="s">
        <v>60</v>
      </c>
      <c r="T146" t="s">
        <v>1370</v>
      </c>
      <c r="U146" s="4">
        <v>0.9</v>
      </c>
      <c r="V146" t="s">
        <v>83</v>
      </c>
      <c r="W146" t="s">
        <v>221</v>
      </c>
      <c r="X146" s="2">
        <v>221.58</v>
      </c>
      <c r="Y146" s="2">
        <v>36.93</v>
      </c>
      <c r="Z146" t="s">
        <v>1372</v>
      </c>
    </row>
    <row r="147" spans="1:26" x14ac:dyDescent="0.25">
      <c r="A147">
        <v>2032483380</v>
      </c>
      <c r="B147" t="s">
        <v>269</v>
      </c>
      <c r="C147" t="s">
        <v>270</v>
      </c>
      <c r="D147" t="str">
        <f>CONCATENATE(C147," ",B147)</f>
        <v>JOYCE TUCKER</v>
      </c>
      <c r="E147" t="s">
        <v>163</v>
      </c>
      <c r="F147" t="s">
        <v>75</v>
      </c>
      <c r="G147" t="s">
        <v>80</v>
      </c>
      <c r="H147">
        <v>5442438</v>
      </c>
      <c r="J147">
        <v>5442438</v>
      </c>
      <c r="K147" t="s">
        <v>165</v>
      </c>
      <c r="L147" t="s">
        <v>166</v>
      </c>
      <c r="M147" t="str">
        <f>CONCATENATE(L147," ",K147)</f>
        <v>Ronald Max</v>
      </c>
      <c r="N147" t="s">
        <v>57</v>
      </c>
      <c r="O147" s="1">
        <v>46011</v>
      </c>
      <c r="P147" s="1">
        <v>46042</v>
      </c>
      <c r="Q147" s="2">
        <v>77.540000000000006</v>
      </c>
      <c r="R147">
        <f>DATEDIF(O147,P147,"M")</f>
        <v>1</v>
      </c>
      <c r="S147" t="s">
        <v>60</v>
      </c>
      <c r="T147" t="s">
        <v>1370</v>
      </c>
      <c r="U147" s="4">
        <v>0.9</v>
      </c>
      <c r="V147" t="s">
        <v>83</v>
      </c>
      <c r="W147" t="s">
        <v>221</v>
      </c>
      <c r="X147" s="2">
        <v>418.74</v>
      </c>
      <c r="Y147" s="2">
        <v>69.790000000000006</v>
      </c>
      <c r="Z147" t="s">
        <v>1372</v>
      </c>
    </row>
    <row r="148" spans="1:26" x14ac:dyDescent="0.25">
      <c r="A148">
        <v>2032535520</v>
      </c>
      <c r="B148" t="s">
        <v>278</v>
      </c>
      <c r="C148" t="s">
        <v>279</v>
      </c>
      <c r="D148" t="str">
        <f>CONCATENATE(C148," ",B148)</f>
        <v>ERIC SIMMONS</v>
      </c>
      <c r="E148" t="s">
        <v>163</v>
      </c>
      <c r="F148" t="s">
        <v>75</v>
      </c>
      <c r="G148" t="s">
        <v>80</v>
      </c>
      <c r="H148">
        <v>5442438</v>
      </c>
      <c r="J148">
        <v>5442438</v>
      </c>
      <c r="K148" t="s">
        <v>165</v>
      </c>
      <c r="L148" t="s">
        <v>166</v>
      </c>
      <c r="M148" t="str">
        <f>CONCATENATE(L148," ",K148)</f>
        <v>Ronald Max</v>
      </c>
      <c r="N148" t="s">
        <v>57</v>
      </c>
      <c r="O148" s="1">
        <v>46023</v>
      </c>
      <c r="P148" s="1">
        <v>46054</v>
      </c>
      <c r="Q148" s="2">
        <v>92.59</v>
      </c>
      <c r="R148">
        <f>DATEDIF(O148,P148,"M")</f>
        <v>1</v>
      </c>
      <c r="S148" t="s">
        <v>60</v>
      </c>
      <c r="T148" t="s">
        <v>1370</v>
      </c>
      <c r="U148" s="4">
        <v>0.9</v>
      </c>
      <c r="V148" t="s">
        <v>83</v>
      </c>
      <c r="W148" t="s">
        <v>221</v>
      </c>
      <c r="X148" s="2">
        <v>499.98</v>
      </c>
      <c r="Y148" s="2">
        <v>83.33</v>
      </c>
      <c r="Z148" t="s">
        <v>1372</v>
      </c>
    </row>
    <row r="149" spans="1:26" x14ac:dyDescent="0.25">
      <c r="A149">
        <v>2032454751</v>
      </c>
      <c r="B149" t="s">
        <v>161</v>
      </c>
      <c r="C149" t="s">
        <v>411</v>
      </c>
      <c r="D149" t="str">
        <f>CONCATENATE(C149," ",B149)</f>
        <v>LARRY SMITH</v>
      </c>
      <c r="E149" t="s">
        <v>163</v>
      </c>
      <c r="F149" t="s">
        <v>75</v>
      </c>
      <c r="G149" t="s">
        <v>80</v>
      </c>
      <c r="H149">
        <v>5442438</v>
      </c>
      <c r="J149">
        <v>5442438</v>
      </c>
      <c r="K149" t="s">
        <v>165</v>
      </c>
      <c r="L149" t="s">
        <v>166</v>
      </c>
      <c r="M149" t="str">
        <f>CONCATENATE(L149," ",K149)</f>
        <v>Ronald Max</v>
      </c>
      <c r="N149" t="s">
        <v>57</v>
      </c>
      <c r="O149" s="1">
        <v>46022</v>
      </c>
      <c r="P149" s="1">
        <v>46053</v>
      </c>
      <c r="Q149" s="2">
        <v>223.83</v>
      </c>
      <c r="R149">
        <f>DATEDIF(O149,P149,"M")</f>
        <v>1</v>
      </c>
      <c r="S149" t="s">
        <v>60</v>
      </c>
      <c r="T149" t="s">
        <v>1370</v>
      </c>
      <c r="U149" s="4">
        <v>0.9</v>
      </c>
      <c r="V149" t="s">
        <v>83</v>
      </c>
      <c r="W149" t="s">
        <v>221</v>
      </c>
      <c r="X149" s="2">
        <v>1208.7</v>
      </c>
      <c r="Y149" s="2">
        <v>201.45</v>
      </c>
      <c r="Z149" t="s">
        <v>1372</v>
      </c>
    </row>
    <row r="150" spans="1:26" x14ac:dyDescent="0.25">
      <c r="A150">
        <v>2032448442</v>
      </c>
      <c r="B150" t="s">
        <v>263</v>
      </c>
      <c r="C150" t="s">
        <v>264</v>
      </c>
      <c r="D150" t="str">
        <f>CONCATENATE(C150," ",B150)</f>
        <v>ASHLEY SANDERS</v>
      </c>
      <c r="E150" t="s">
        <v>163</v>
      </c>
      <c r="F150" t="s">
        <v>126</v>
      </c>
      <c r="G150" t="s">
        <v>402</v>
      </c>
      <c r="H150">
        <v>5442438</v>
      </c>
      <c r="J150">
        <v>5442438</v>
      </c>
      <c r="K150" t="s">
        <v>165</v>
      </c>
      <c r="L150" t="s">
        <v>166</v>
      </c>
      <c r="M150" t="str">
        <f>CONCATENATE(L150," ",K150)</f>
        <v>Ronald Max</v>
      </c>
      <c r="N150" t="s">
        <v>57</v>
      </c>
      <c r="O150" s="1">
        <v>45993</v>
      </c>
      <c r="P150" s="1">
        <v>46024</v>
      </c>
      <c r="Q150" s="2">
        <v>27.8</v>
      </c>
      <c r="R150">
        <f>DATEDIF(O150,P150,"M")</f>
        <v>1</v>
      </c>
      <c r="S150" t="s">
        <v>60</v>
      </c>
      <c r="T150" t="s">
        <v>1370</v>
      </c>
      <c r="U150" s="4">
        <v>0.42</v>
      </c>
      <c r="V150" t="s">
        <v>83</v>
      </c>
      <c r="W150" t="s">
        <v>221</v>
      </c>
      <c r="X150" s="2">
        <v>70.08</v>
      </c>
      <c r="Y150" s="2">
        <v>11.68</v>
      </c>
      <c r="Z150" t="s">
        <v>402</v>
      </c>
    </row>
    <row r="151" spans="1:26" x14ac:dyDescent="0.25">
      <c r="A151">
        <v>2032448983</v>
      </c>
      <c r="B151" t="s">
        <v>263</v>
      </c>
      <c r="C151" t="s">
        <v>182</v>
      </c>
      <c r="D151" t="str">
        <f>CONCATENATE(C151," ",B151)</f>
        <v>MICHAEL SANDERS</v>
      </c>
      <c r="E151" t="s">
        <v>163</v>
      </c>
      <c r="F151" t="s">
        <v>126</v>
      </c>
      <c r="G151" t="s">
        <v>402</v>
      </c>
      <c r="H151">
        <v>5442438</v>
      </c>
      <c r="J151">
        <v>5442438</v>
      </c>
      <c r="K151" t="s">
        <v>165</v>
      </c>
      <c r="L151" t="s">
        <v>166</v>
      </c>
      <c r="M151" t="str">
        <f>CONCATENATE(L151," ",K151)</f>
        <v>Ronald Max</v>
      </c>
      <c r="N151" t="s">
        <v>57</v>
      </c>
      <c r="O151" s="1">
        <v>45993</v>
      </c>
      <c r="P151" s="1">
        <v>46024</v>
      </c>
      <c r="Q151" s="2">
        <v>43.86</v>
      </c>
      <c r="R151">
        <f>DATEDIF(O151,P151,"M")</f>
        <v>1</v>
      </c>
      <c r="S151" t="s">
        <v>60</v>
      </c>
      <c r="T151" t="s">
        <v>1370</v>
      </c>
      <c r="U151" s="4">
        <v>0.42</v>
      </c>
      <c r="V151" t="s">
        <v>83</v>
      </c>
      <c r="W151" t="s">
        <v>221</v>
      </c>
      <c r="X151" s="2">
        <v>110.52</v>
      </c>
      <c r="Y151" s="2">
        <v>18.420000000000002</v>
      </c>
      <c r="Z151" t="s">
        <v>402</v>
      </c>
    </row>
    <row r="152" spans="1:26" x14ac:dyDescent="0.25">
      <c r="A152">
        <v>2032480606</v>
      </c>
      <c r="B152" t="s">
        <v>268</v>
      </c>
      <c r="C152" t="s">
        <v>260</v>
      </c>
      <c r="D152" t="str">
        <f>CONCATENATE(C152," ",B152)</f>
        <v>WILLIAM WHITE</v>
      </c>
      <c r="E152" t="s">
        <v>163</v>
      </c>
      <c r="F152" t="s">
        <v>126</v>
      </c>
      <c r="G152" t="s">
        <v>402</v>
      </c>
      <c r="H152">
        <v>5442438</v>
      </c>
      <c r="J152">
        <v>5442438</v>
      </c>
      <c r="K152" t="s">
        <v>165</v>
      </c>
      <c r="L152" t="s">
        <v>166</v>
      </c>
      <c r="M152" t="str">
        <f>CONCATENATE(L152," ",K152)</f>
        <v>Ronald Max</v>
      </c>
      <c r="N152" t="s">
        <v>57</v>
      </c>
      <c r="O152" s="1">
        <v>45995</v>
      </c>
      <c r="P152" s="1">
        <v>46026</v>
      </c>
      <c r="Q152" s="2">
        <v>38.85</v>
      </c>
      <c r="R152">
        <f>DATEDIF(O152,P152,"M")</f>
        <v>1</v>
      </c>
      <c r="S152" t="s">
        <v>60</v>
      </c>
      <c r="T152" t="s">
        <v>1370</v>
      </c>
      <c r="U152" s="4">
        <v>0.42</v>
      </c>
      <c r="V152" t="s">
        <v>83</v>
      </c>
      <c r="W152" t="s">
        <v>221</v>
      </c>
      <c r="X152" s="2">
        <v>97.92</v>
      </c>
      <c r="Y152" s="2">
        <v>16.32</v>
      </c>
      <c r="Z152" t="s">
        <v>402</v>
      </c>
    </row>
    <row r="153" spans="1:26" x14ac:dyDescent="0.25">
      <c r="A153">
        <v>2032431565</v>
      </c>
      <c r="B153" t="s">
        <v>392</v>
      </c>
      <c r="C153" t="s">
        <v>393</v>
      </c>
      <c r="D153" t="str">
        <f>CONCATENATE(C153," ",B153)</f>
        <v>KATHY MUCCI</v>
      </c>
      <c r="E153" t="s">
        <v>163</v>
      </c>
      <c r="F153" t="s">
        <v>469</v>
      </c>
      <c r="G153" t="s">
        <v>471</v>
      </c>
      <c r="H153">
        <v>5442438</v>
      </c>
      <c r="J153">
        <v>5442438</v>
      </c>
      <c r="K153" t="s">
        <v>165</v>
      </c>
      <c r="L153" t="s">
        <v>166</v>
      </c>
      <c r="M153" t="str">
        <f>CONCATENATE(L153," ",K153)</f>
        <v>Ronald Max</v>
      </c>
      <c r="N153" t="s">
        <v>57</v>
      </c>
      <c r="O153" s="1">
        <v>45993</v>
      </c>
      <c r="P153" s="1">
        <v>46024</v>
      </c>
      <c r="Q153" s="2">
        <v>340.29</v>
      </c>
      <c r="R153">
        <f>DATEDIF(O153,P153,"M")</f>
        <v>1</v>
      </c>
      <c r="S153" t="s">
        <v>60</v>
      </c>
      <c r="T153" t="s">
        <v>1370</v>
      </c>
      <c r="U153" s="4">
        <v>0.27</v>
      </c>
      <c r="V153" t="s">
        <v>83</v>
      </c>
      <c r="W153" t="s">
        <v>221</v>
      </c>
      <c r="X153" s="2">
        <v>275.64</v>
      </c>
      <c r="Y153" s="2">
        <v>91.88</v>
      </c>
      <c r="Z153" t="s">
        <v>1375</v>
      </c>
    </row>
    <row r="154" spans="1:26" x14ac:dyDescent="0.25">
      <c r="A154">
        <v>2032431566</v>
      </c>
      <c r="B154" t="s">
        <v>392</v>
      </c>
      <c r="C154" t="s">
        <v>393</v>
      </c>
      <c r="D154" t="str">
        <f>CONCATENATE(C154," ",B154)</f>
        <v>KATHY MUCCI</v>
      </c>
      <c r="E154" t="s">
        <v>163</v>
      </c>
      <c r="F154" t="s">
        <v>469</v>
      </c>
      <c r="G154" t="s">
        <v>473</v>
      </c>
      <c r="H154">
        <v>5442438</v>
      </c>
      <c r="J154">
        <v>5442438</v>
      </c>
      <c r="K154" t="s">
        <v>165</v>
      </c>
      <c r="L154" t="s">
        <v>166</v>
      </c>
      <c r="M154" t="str">
        <f>CONCATENATE(L154," ",K154)</f>
        <v>Ronald Max</v>
      </c>
      <c r="N154" t="s">
        <v>57</v>
      </c>
      <c r="O154" s="1">
        <v>45993</v>
      </c>
      <c r="P154" s="1">
        <v>46024</v>
      </c>
      <c r="Q154" s="2">
        <v>5</v>
      </c>
      <c r="R154">
        <f>DATEDIF(O154,P154,"M")</f>
        <v>1</v>
      </c>
      <c r="S154" t="s">
        <v>60</v>
      </c>
      <c r="T154" t="s">
        <v>1370</v>
      </c>
      <c r="U154" s="4">
        <v>0.27</v>
      </c>
      <c r="V154" t="s">
        <v>83</v>
      </c>
      <c r="W154" t="s">
        <v>221</v>
      </c>
      <c r="X154" s="2">
        <v>4.05</v>
      </c>
      <c r="Y154" s="2">
        <v>1.35</v>
      </c>
      <c r="Z154" t="s">
        <v>1375</v>
      </c>
    </row>
    <row r="155" spans="1:26" x14ac:dyDescent="0.25">
      <c r="A155">
        <v>2032431568</v>
      </c>
      <c r="B155" t="s">
        <v>392</v>
      </c>
      <c r="C155" t="s">
        <v>393</v>
      </c>
      <c r="D155" t="str">
        <f>CONCATENATE(C155," ",B155)</f>
        <v>KATHY MUCCI</v>
      </c>
      <c r="E155" t="s">
        <v>163</v>
      </c>
      <c r="F155" t="s">
        <v>469</v>
      </c>
      <c r="G155" t="s">
        <v>473</v>
      </c>
      <c r="H155">
        <v>5442438</v>
      </c>
      <c r="J155">
        <v>5442438</v>
      </c>
      <c r="K155" t="s">
        <v>165</v>
      </c>
      <c r="L155" t="s">
        <v>166</v>
      </c>
      <c r="M155" t="str">
        <f>CONCATENATE(L155," ",K155)</f>
        <v>Ronald Max</v>
      </c>
      <c r="N155" t="s">
        <v>57</v>
      </c>
      <c r="O155" s="1">
        <v>45993</v>
      </c>
      <c r="P155" s="1">
        <v>46024</v>
      </c>
      <c r="Q155" s="2">
        <v>9.9499999999999993</v>
      </c>
      <c r="R155">
        <f>DATEDIF(O155,P155,"M")</f>
        <v>1</v>
      </c>
      <c r="S155" t="s">
        <v>60</v>
      </c>
      <c r="T155" t="s">
        <v>1370</v>
      </c>
      <c r="U155" s="4">
        <v>0.27</v>
      </c>
      <c r="V155" t="s">
        <v>83</v>
      </c>
      <c r="W155" t="s">
        <v>221</v>
      </c>
      <c r="X155" s="2">
        <v>8.07</v>
      </c>
      <c r="Y155" s="2">
        <v>2.69</v>
      </c>
      <c r="Z155" t="s">
        <v>1375</v>
      </c>
    </row>
    <row r="156" spans="1:26" x14ac:dyDescent="0.25">
      <c r="A156">
        <v>2032515283</v>
      </c>
      <c r="B156" t="s">
        <v>452</v>
      </c>
      <c r="C156" t="s">
        <v>107</v>
      </c>
      <c r="D156" t="str">
        <f>CONCATENATE(C156," ",B156)</f>
        <v>THOMAS DYE</v>
      </c>
      <c r="E156" t="s">
        <v>163</v>
      </c>
      <c r="F156" t="s">
        <v>126</v>
      </c>
      <c r="G156" t="s">
        <v>375</v>
      </c>
      <c r="H156">
        <v>5442438</v>
      </c>
      <c r="J156">
        <v>5442438</v>
      </c>
      <c r="K156" t="s">
        <v>165</v>
      </c>
      <c r="L156" t="s">
        <v>166</v>
      </c>
      <c r="M156" t="str">
        <f>CONCATENATE(L156," ",K156)</f>
        <v>Ronald Max</v>
      </c>
      <c r="N156" t="s">
        <v>57</v>
      </c>
      <c r="O156" s="1">
        <v>46023</v>
      </c>
      <c r="P156" s="1">
        <v>46054</v>
      </c>
      <c r="Q156" s="2">
        <v>41.88</v>
      </c>
      <c r="R156">
        <f>DATEDIF(O156,P156,"M")</f>
        <v>1</v>
      </c>
      <c r="S156" t="s">
        <v>60</v>
      </c>
      <c r="T156" t="s">
        <v>1370</v>
      </c>
      <c r="U156" s="4">
        <v>0.9</v>
      </c>
      <c r="V156" t="s">
        <v>83</v>
      </c>
      <c r="W156" t="s">
        <v>221</v>
      </c>
      <c r="X156" s="2">
        <v>226.14</v>
      </c>
      <c r="Y156" s="2">
        <v>37.69</v>
      </c>
      <c r="Z156" t="s">
        <v>375</v>
      </c>
    </row>
    <row r="157" spans="1:26" x14ac:dyDescent="0.25">
      <c r="A157">
        <v>2032459535</v>
      </c>
      <c r="B157" t="s">
        <v>420</v>
      </c>
      <c r="C157" t="s">
        <v>421</v>
      </c>
      <c r="D157" t="str">
        <f>CONCATENATE(C157," ",B157)</f>
        <v>DEBRA PITTENGER</v>
      </c>
      <c r="E157" t="s">
        <v>210</v>
      </c>
      <c r="F157" t="s">
        <v>126</v>
      </c>
      <c r="G157" t="s">
        <v>164</v>
      </c>
      <c r="H157">
        <v>8977234</v>
      </c>
      <c r="J157">
        <v>8977234</v>
      </c>
      <c r="K157" t="s">
        <v>81</v>
      </c>
      <c r="L157" t="s">
        <v>82</v>
      </c>
      <c r="M157" t="str">
        <f>CONCATENATE(L157," ",K157)</f>
        <v>RYAN CALTAGIRONE</v>
      </c>
      <c r="N157" t="s">
        <v>57</v>
      </c>
      <c r="O157" s="1">
        <v>46023</v>
      </c>
      <c r="P157" s="1">
        <v>46054</v>
      </c>
      <c r="Q157" s="2">
        <v>21.44</v>
      </c>
      <c r="R157">
        <f>DATEDIF(O157,P157,"M")</f>
        <v>1</v>
      </c>
      <c r="S157" t="s">
        <v>60</v>
      </c>
      <c r="T157" t="s">
        <v>1370</v>
      </c>
      <c r="U157" s="4">
        <v>0.7</v>
      </c>
      <c r="V157" t="s">
        <v>83</v>
      </c>
      <c r="W157" t="s">
        <v>221</v>
      </c>
      <c r="X157" s="2">
        <v>90.06</v>
      </c>
      <c r="Y157" s="2">
        <v>15.01</v>
      </c>
      <c r="Z157" t="s">
        <v>127</v>
      </c>
    </row>
    <row r="158" spans="1:26" x14ac:dyDescent="0.25">
      <c r="A158">
        <v>2032496771</v>
      </c>
      <c r="B158" t="s">
        <v>237</v>
      </c>
      <c r="C158" t="s">
        <v>157</v>
      </c>
      <c r="D158" t="str">
        <f>CONCATENATE(C158," ",B158)</f>
        <v>MELANIE EBIN</v>
      </c>
      <c r="E158" t="s">
        <v>210</v>
      </c>
      <c r="F158" t="s">
        <v>365</v>
      </c>
      <c r="G158" t="s">
        <v>369</v>
      </c>
      <c r="H158">
        <v>8977234</v>
      </c>
      <c r="J158">
        <v>8977234</v>
      </c>
      <c r="K158" t="s">
        <v>81</v>
      </c>
      <c r="L158" t="s">
        <v>82</v>
      </c>
      <c r="M158" t="str">
        <f>CONCATENATE(L158," ",K158)</f>
        <v>RYAN CALTAGIRONE</v>
      </c>
      <c r="N158" t="s">
        <v>57</v>
      </c>
      <c r="O158" s="1">
        <v>46023</v>
      </c>
      <c r="P158" s="1">
        <v>46054</v>
      </c>
      <c r="Q158" s="2">
        <v>196.68</v>
      </c>
      <c r="R158">
        <f>DATEDIF(O158,P158,"M")</f>
        <v>1</v>
      </c>
      <c r="S158" t="s">
        <v>60</v>
      </c>
      <c r="T158" t="s">
        <v>1370</v>
      </c>
      <c r="U158" s="4">
        <v>0.19</v>
      </c>
      <c r="V158" t="s">
        <v>83</v>
      </c>
      <c r="W158" t="s">
        <v>221</v>
      </c>
      <c r="X158" s="2">
        <v>224.22</v>
      </c>
      <c r="Y158" s="2">
        <v>37.369999999999997</v>
      </c>
      <c r="Z158" t="s">
        <v>1374</v>
      </c>
    </row>
    <row r="159" spans="1:26" x14ac:dyDescent="0.25">
      <c r="A159">
        <v>2032459534</v>
      </c>
      <c r="B159" t="s">
        <v>420</v>
      </c>
      <c r="C159" t="s">
        <v>421</v>
      </c>
      <c r="D159" t="str">
        <f>CONCATENATE(C159," ",B159)</f>
        <v>DEBRA PITTENGER</v>
      </c>
      <c r="E159" t="s">
        <v>210</v>
      </c>
      <c r="F159" t="s">
        <v>75</v>
      </c>
      <c r="G159" t="s">
        <v>76</v>
      </c>
      <c r="H159">
        <v>8977234</v>
      </c>
      <c r="J159">
        <v>8977234</v>
      </c>
      <c r="K159" t="s">
        <v>81</v>
      </c>
      <c r="L159" t="s">
        <v>82</v>
      </c>
      <c r="M159" t="str">
        <f>CONCATENATE(L159," ",K159)</f>
        <v>RYAN CALTAGIRONE</v>
      </c>
      <c r="N159" t="s">
        <v>57</v>
      </c>
      <c r="O159" s="1">
        <v>46023</v>
      </c>
      <c r="P159" s="1">
        <v>46054</v>
      </c>
      <c r="Q159" s="2">
        <v>187.23</v>
      </c>
      <c r="R159">
        <f>DATEDIF(O159,P159,"M")</f>
        <v>1</v>
      </c>
      <c r="S159" t="s">
        <v>60</v>
      </c>
      <c r="T159" t="s">
        <v>1370</v>
      </c>
      <c r="U159" s="4">
        <v>0.75</v>
      </c>
      <c r="V159" t="s">
        <v>83</v>
      </c>
      <c r="W159" t="s">
        <v>221</v>
      </c>
      <c r="X159" s="2">
        <v>842.52</v>
      </c>
      <c r="Y159" s="2">
        <v>140.41999999999999</v>
      </c>
      <c r="Z159" t="s">
        <v>1371</v>
      </c>
    </row>
    <row r="160" spans="1:26" x14ac:dyDescent="0.25">
      <c r="A160">
        <v>2031947561</v>
      </c>
      <c r="B160" t="s">
        <v>241</v>
      </c>
      <c r="C160" t="s">
        <v>242</v>
      </c>
      <c r="D160" t="str">
        <f>CONCATENATE(C160," ",B160)</f>
        <v>QUILLAN HANNIBAL</v>
      </c>
      <c r="E160" t="s">
        <v>97</v>
      </c>
      <c r="F160" t="s">
        <v>75</v>
      </c>
      <c r="G160" t="s">
        <v>243</v>
      </c>
      <c r="H160">
        <v>8977234</v>
      </c>
      <c r="J160">
        <v>8977234</v>
      </c>
      <c r="K160" t="s">
        <v>81</v>
      </c>
      <c r="L160" t="s">
        <v>82</v>
      </c>
      <c r="M160" t="str">
        <f>CONCATENATE(L160," ",K160)</f>
        <v>RYAN CALTAGIRONE</v>
      </c>
      <c r="N160" t="s">
        <v>57</v>
      </c>
      <c r="O160" s="1">
        <v>46023</v>
      </c>
      <c r="P160" s="1">
        <v>46054</v>
      </c>
      <c r="Q160" s="2">
        <v>22.15</v>
      </c>
      <c r="R160">
        <f>DATEDIF(O160,P160,"M")</f>
        <v>1</v>
      </c>
      <c r="S160" t="s">
        <v>60</v>
      </c>
      <c r="T160" t="s">
        <v>1370</v>
      </c>
      <c r="U160" s="4">
        <v>0.75</v>
      </c>
      <c r="V160" t="s">
        <v>83</v>
      </c>
      <c r="W160" t="s">
        <v>221</v>
      </c>
      <c r="X160" s="2">
        <v>99.66</v>
      </c>
      <c r="Y160" s="2">
        <v>16.61</v>
      </c>
      <c r="Z160" t="s">
        <v>1371</v>
      </c>
    </row>
    <row r="161" spans="1:26" x14ac:dyDescent="0.25">
      <c r="A161">
        <v>2032496774</v>
      </c>
      <c r="B161" t="s">
        <v>237</v>
      </c>
      <c r="C161" t="s">
        <v>157</v>
      </c>
      <c r="D161" t="str">
        <f>CONCATENATE(C161," ",B161)</f>
        <v>MELANIE EBIN</v>
      </c>
      <c r="E161" t="s">
        <v>210</v>
      </c>
      <c r="F161" t="s">
        <v>75</v>
      </c>
      <c r="G161" t="s">
        <v>243</v>
      </c>
      <c r="H161">
        <v>8977234</v>
      </c>
      <c r="J161">
        <v>8977234</v>
      </c>
      <c r="K161" t="s">
        <v>81</v>
      </c>
      <c r="L161" t="s">
        <v>82</v>
      </c>
      <c r="M161" t="str">
        <f>CONCATENATE(L161," ",K161)</f>
        <v>RYAN CALTAGIRONE</v>
      </c>
      <c r="N161" t="s">
        <v>57</v>
      </c>
      <c r="O161" s="1">
        <v>46023</v>
      </c>
      <c r="P161" s="1">
        <v>46054</v>
      </c>
      <c r="Q161" s="2">
        <v>77.290000000000006</v>
      </c>
      <c r="R161">
        <f>DATEDIF(O161,P161,"M")</f>
        <v>1</v>
      </c>
      <c r="S161" t="s">
        <v>60</v>
      </c>
      <c r="T161" t="s">
        <v>1370</v>
      </c>
      <c r="U161" s="4">
        <v>0.75</v>
      </c>
      <c r="V161" t="s">
        <v>83</v>
      </c>
      <c r="W161" t="s">
        <v>221</v>
      </c>
      <c r="X161" s="2">
        <v>347.82</v>
      </c>
      <c r="Y161" s="2">
        <v>57.97</v>
      </c>
      <c r="Z161" t="s">
        <v>1371</v>
      </c>
    </row>
    <row r="162" spans="1:26" x14ac:dyDescent="0.25">
      <c r="A162">
        <v>2032515031</v>
      </c>
      <c r="B162" t="s">
        <v>275</v>
      </c>
      <c r="C162" t="s">
        <v>236</v>
      </c>
      <c r="D162" t="str">
        <f>CONCATENATE(C162," ",B162)</f>
        <v>PETER SHADA</v>
      </c>
      <c r="E162" t="s">
        <v>102</v>
      </c>
      <c r="F162" t="s">
        <v>75</v>
      </c>
      <c r="G162" t="s">
        <v>243</v>
      </c>
      <c r="H162">
        <v>8977234</v>
      </c>
      <c r="J162">
        <v>8977234</v>
      </c>
      <c r="K162" t="s">
        <v>81</v>
      </c>
      <c r="L162" t="s">
        <v>82</v>
      </c>
      <c r="M162" t="str">
        <f>CONCATENATE(L162," ",K162)</f>
        <v>RYAN CALTAGIRONE</v>
      </c>
      <c r="N162" t="s">
        <v>57</v>
      </c>
      <c r="O162" s="1">
        <v>46023</v>
      </c>
      <c r="P162" s="1">
        <v>46054</v>
      </c>
      <c r="Q162" s="2">
        <v>155.38</v>
      </c>
      <c r="R162">
        <f>DATEDIF(O162,P162,"M")</f>
        <v>1</v>
      </c>
      <c r="S162" t="s">
        <v>60</v>
      </c>
      <c r="T162" t="s">
        <v>1370</v>
      </c>
      <c r="U162" s="4">
        <v>0.75</v>
      </c>
      <c r="V162" t="s">
        <v>83</v>
      </c>
      <c r="W162" t="s">
        <v>221</v>
      </c>
      <c r="X162" s="2">
        <v>699.24</v>
      </c>
      <c r="Y162" s="2">
        <v>116.54</v>
      </c>
      <c r="Z162" t="s">
        <v>1371</v>
      </c>
    </row>
    <row r="163" spans="1:26" x14ac:dyDescent="0.25">
      <c r="A163">
        <v>2032474626</v>
      </c>
      <c r="B163" t="s">
        <v>435</v>
      </c>
      <c r="C163" t="s">
        <v>421</v>
      </c>
      <c r="D163" t="str">
        <f>CONCATENATE(C163," ",B163)</f>
        <v>DEBRA IRLBACKER</v>
      </c>
      <c r="E163" t="s">
        <v>102</v>
      </c>
      <c r="F163" t="s">
        <v>75</v>
      </c>
      <c r="G163" t="s">
        <v>243</v>
      </c>
      <c r="H163">
        <v>8977234</v>
      </c>
      <c r="J163">
        <v>8977234</v>
      </c>
      <c r="K163" t="s">
        <v>81</v>
      </c>
      <c r="L163" t="s">
        <v>82</v>
      </c>
      <c r="M163" t="str">
        <f>CONCATENATE(L163," ",K163)</f>
        <v>RYAN CALTAGIRONE</v>
      </c>
      <c r="N163" t="s">
        <v>57</v>
      </c>
      <c r="O163" s="1">
        <v>46023</v>
      </c>
      <c r="P163" s="1">
        <v>46054</v>
      </c>
      <c r="Q163" s="2">
        <v>64.3</v>
      </c>
      <c r="R163">
        <f>DATEDIF(O163,P163,"M")</f>
        <v>1</v>
      </c>
      <c r="S163" t="s">
        <v>60</v>
      </c>
      <c r="T163" t="s">
        <v>1370</v>
      </c>
      <c r="U163" s="4">
        <v>0.75</v>
      </c>
      <c r="V163" t="s">
        <v>83</v>
      </c>
      <c r="W163" t="s">
        <v>221</v>
      </c>
      <c r="X163" s="2">
        <v>289.32</v>
      </c>
      <c r="Y163" s="2">
        <v>48.22</v>
      </c>
      <c r="Z163" t="s">
        <v>1371</v>
      </c>
    </row>
    <row r="164" spans="1:26" x14ac:dyDescent="0.25">
      <c r="A164">
        <v>2032478164</v>
      </c>
      <c r="B164" t="s">
        <v>439</v>
      </c>
      <c r="C164" t="s">
        <v>233</v>
      </c>
      <c r="D164" t="str">
        <f>CONCATENATE(C164," ",B164)</f>
        <v>GARY COKER</v>
      </c>
      <c r="E164" t="s">
        <v>125</v>
      </c>
      <c r="F164" t="s">
        <v>75</v>
      </c>
      <c r="G164" t="s">
        <v>243</v>
      </c>
      <c r="H164">
        <v>8977234</v>
      </c>
      <c r="J164">
        <v>8977234</v>
      </c>
      <c r="K164" t="s">
        <v>81</v>
      </c>
      <c r="L164" t="s">
        <v>82</v>
      </c>
      <c r="M164" t="str">
        <f>CONCATENATE(L164," ",K164)</f>
        <v>RYAN CALTAGIRONE</v>
      </c>
      <c r="N164" t="s">
        <v>57</v>
      </c>
      <c r="O164" s="1">
        <v>46023</v>
      </c>
      <c r="P164" s="1">
        <v>46054</v>
      </c>
      <c r="Q164" s="2">
        <v>121.21</v>
      </c>
      <c r="R164">
        <f>DATEDIF(O164,P164,"M")</f>
        <v>1</v>
      </c>
      <c r="S164" t="s">
        <v>60</v>
      </c>
      <c r="T164" t="s">
        <v>1370</v>
      </c>
      <c r="U164" s="4">
        <v>0.75</v>
      </c>
      <c r="V164" t="s">
        <v>83</v>
      </c>
      <c r="W164" t="s">
        <v>221</v>
      </c>
      <c r="X164" s="2">
        <v>545.46</v>
      </c>
      <c r="Y164" s="2">
        <v>90.91</v>
      </c>
      <c r="Z164" t="s">
        <v>1371</v>
      </c>
    </row>
    <row r="165" spans="1:26" x14ac:dyDescent="0.25">
      <c r="A165">
        <v>2032417243</v>
      </c>
      <c r="B165" t="s">
        <v>219</v>
      </c>
      <c r="C165" t="s">
        <v>82</v>
      </c>
      <c r="D165" t="str">
        <f>CONCATENATE(C165," ",B165)</f>
        <v>RYAN MCCOLLUM</v>
      </c>
      <c r="E165" t="s">
        <v>220</v>
      </c>
      <c r="F165" t="s">
        <v>75</v>
      </c>
      <c r="G165" t="s">
        <v>80</v>
      </c>
      <c r="H165">
        <v>8977234</v>
      </c>
      <c r="J165">
        <v>8977234</v>
      </c>
      <c r="K165" t="s">
        <v>81</v>
      </c>
      <c r="L165" t="s">
        <v>82</v>
      </c>
      <c r="M165" t="str">
        <f>CONCATENATE(L165," ",K165)</f>
        <v>RYAN CALTAGIRONE</v>
      </c>
      <c r="N165" t="s">
        <v>57</v>
      </c>
      <c r="O165" s="1">
        <v>46023</v>
      </c>
      <c r="P165" s="1">
        <v>46054</v>
      </c>
      <c r="Q165" s="2">
        <v>90.94</v>
      </c>
      <c r="R165">
        <f>DATEDIF(O165,P165,"M")</f>
        <v>1</v>
      </c>
      <c r="S165" t="s">
        <v>60</v>
      </c>
      <c r="T165" t="s">
        <v>1370</v>
      </c>
      <c r="U165" s="4">
        <v>0.9</v>
      </c>
      <c r="V165" t="s">
        <v>83</v>
      </c>
      <c r="W165" t="s">
        <v>221</v>
      </c>
      <c r="X165" s="2">
        <v>491.1</v>
      </c>
      <c r="Y165" s="2">
        <v>81.849999999999994</v>
      </c>
      <c r="Z165" t="s">
        <v>1372</v>
      </c>
    </row>
    <row r="166" spans="1:26" x14ac:dyDescent="0.25">
      <c r="A166">
        <v>2032486186</v>
      </c>
      <c r="B166" t="s">
        <v>271</v>
      </c>
      <c r="C166" t="s">
        <v>272</v>
      </c>
      <c r="D166" t="str">
        <f>CONCATENATE(C166," ",B166)</f>
        <v>STACEY WHEELER</v>
      </c>
      <c r="E166" t="s">
        <v>79</v>
      </c>
      <c r="F166" t="s">
        <v>75</v>
      </c>
      <c r="G166" t="s">
        <v>80</v>
      </c>
      <c r="H166">
        <v>8977234</v>
      </c>
      <c r="J166">
        <v>8977234</v>
      </c>
      <c r="K166" t="s">
        <v>81</v>
      </c>
      <c r="L166" t="s">
        <v>82</v>
      </c>
      <c r="M166" t="str">
        <f>CONCATENATE(L166," ",K166)</f>
        <v>RYAN CALTAGIRONE</v>
      </c>
      <c r="N166" t="s">
        <v>57</v>
      </c>
      <c r="O166" s="1">
        <v>46023</v>
      </c>
      <c r="P166" s="1">
        <v>46054</v>
      </c>
      <c r="Q166" s="2">
        <v>93.13</v>
      </c>
      <c r="R166">
        <f>DATEDIF(O166,P166,"M")</f>
        <v>1</v>
      </c>
      <c r="S166" t="s">
        <v>60</v>
      </c>
      <c r="T166" t="s">
        <v>1370</v>
      </c>
      <c r="U166" s="4">
        <v>0.9</v>
      </c>
      <c r="V166" t="s">
        <v>83</v>
      </c>
      <c r="W166" t="s">
        <v>221</v>
      </c>
      <c r="X166" s="2">
        <v>502.92</v>
      </c>
      <c r="Y166" s="2">
        <v>83.82</v>
      </c>
      <c r="Z166" t="s">
        <v>1372</v>
      </c>
    </row>
    <row r="167" spans="1:26" x14ac:dyDescent="0.25">
      <c r="A167">
        <v>2032490376</v>
      </c>
      <c r="B167" t="s">
        <v>273</v>
      </c>
      <c r="C167" t="s">
        <v>96</v>
      </c>
      <c r="D167" t="str">
        <f>CONCATENATE(C167," ",B167)</f>
        <v>MICHELLE WALDEN</v>
      </c>
      <c r="E167" t="s">
        <v>131</v>
      </c>
      <c r="F167" t="s">
        <v>75</v>
      </c>
      <c r="G167" t="s">
        <v>80</v>
      </c>
      <c r="H167">
        <v>8977234</v>
      </c>
      <c r="J167">
        <v>8977234</v>
      </c>
      <c r="K167" t="s">
        <v>81</v>
      </c>
      <c r="L167" t="s">
        <v>82</v>
      </c>
      <c r="M167" t="str">
        <f>CONCATENATE(L167," ",K167)</f>
        <v>RYAN CALTAGIRONE</v>
      </c>
      <c r="N167" t="s">
        <v>57</v>
      </c>
      <c r="O167" s="1">
        <v>46023</v>
      </c>
      <c r="P167" s="1">
        <v>46054</v>
      </c>
      <c r="Q167" s="2">
        <v>65.650000000000006</v>
      </c>
      <c r="R167">
        <f>DATEDIF(O167,P167,"M")</f>
        <v>1</v>
      </c>
      <c r="S167" t="s">
        <v>60</v>
      </c>
      <c r="T167" t="s">
        <v>1370</v>
      </c>
      <c r="U167" s="4">
        <v>0.9</v>
      </c>
      <c r="V167" t="s">
        <v>83</v>
      </c>
      <c r="W167" t="s">
        <v>221</v>
      </c>
      <c r="X167" s="2">
        <v>354.48</v>
      </c>
      <c r="Y167" s="2">
        <v>59.08</v>
      </c>
      <c r="Z167" t="s">
        <v>1372</v>
      </c>
    </row>
    <row r="168" spans="1:26" x14ac:dyDescent="0.25">
      <c r="A168">
        <v>2032516838</v>
      </c>
      <c r="B168" t="s">
        <v>319</v>
      </c>
      <c r="C168" t="s">
        <v>320</v>
      </c>
      <c r="D168" t="str">
        <f>CONCATENATE(C168," ",B168)</f>
        <v>CORRINE DITTLINGER</v>
      </c>
      <c r="E168" t="s">
        <v>308</v>
      </c>
      <c r="F168" t="s">
        <v>290</v>
      </c>
      <c r="G168" t="s">
        <v>309</v>
      </c>
      <c r="H168">
        <v>8977234</v>
      </c>
      <c r="J168">
        <v>8977234</v>
      </c>
      <c r="K168" t="s">
        <v>81</v>
      </c>
      <c r="L168" t="s">
        <v>82</v>
      </c>
      <c r="M168" t="str">
        <f>CONCATENATE(L168," ",K168)</f>
        <v>RYAN CALTAGIRONE</v>
      </c>
      <c r="N168" t="s">
        <v>57</v>
      </c>
      <c r="O168" s="1">
        <v>46023</v>
      </c>
      <c r="P168" s="1">
        <v>46054</v>
      </c>
      <c r="Q168" s="2">
        <v>15</v>
      </c>
      <c r="R168">
        <f>DATEDIF(O168,P168,"M")</f>
        <v>1</v>
      </c>
      <c r="S168" t="s">
        <v>60</v>
      </c>
      <c r="T168" t="s">
        <v>1370</v>
      </c>
      <c r="U168" s="4">
        <v>0.19</v>
      </c>
      <c r="V168" t="s">
        <v>83</v>
      </c>
      <c r="W168" t="s">
        <v>221</v>
      </c>
      <c r="X168" s="2">
        <v>17.100000000000001</v>
      </c>
      <c r="Y168" s="2">
        <v>2.85</v>
      </c>
      <c r="Z168" t="s">
        <v>309</v>
      </c>
    </row>
    <row r="169" spans="1:26" x14ac:dyDescent="0.25">
      <c r="A169">
        <v>2032486188</v>
      </c>
      <c r="B169" t="s">
        <v>271</v>
      </c>
      <c r="C169" t="s">
        <v>272</v>
      </c>
      <c r="D169" t="str">
        <f>CONCATENATE(C169," ",B169)</f>
        <v>STACEY WHEELER</v>
      </c>
      <c r="E169" t="s">
        <v>79</v>
      </c>
      <c r="F169" t="s">
        <v>290</v>
      </c>
      <c r="G169" t="s">
        <v>291</v>
      </c>
      <c r="H169">
        <v>8977234</v>
      </c>
      <c r="J169">
        <v>8977234</v>
      </c>
      <c r="K169" t="s">
        <v>81</v>
      </c>
      <c r="L169" t="s">
        <v>82</v>
      </c>
      <c r="M169" t="str">
        <f>CONCATENATE(L169," ",K169)</f>
        <v>RYAN CALTAGIRONE</v>
      </c>
      <c r="N169" t="s">
        <v>57</v>
      </c>
      <c r="O169" s="1">
        <v>46023</v>
      </c>
      <c r="P169" s="1">
        <v>46054</v>
      </c>
      <c r="Q169" s="2">
        <v>15</v>
      </c>
      <c r="R169">
        <f>DATEDIF(O169,P169,"M")</f>
        <v>1</v>
      </c>
      <c r="S169" t="s">
        <v>60</v>
      </c>
      <c r="T169" t="s">
        <v>1370</v>
      </c>
      <c r="U169" s="4">
        <v>0.28999999999999998</v>
      </c>
      <c r="V169" t="s">
        <v>83</v>
      </c>
      <c r="W169" t="s">
        <v>221</v>
      </c>
      <c r="X169" s="2">
        <v>26.1</v>
      </c>
      <c r="Y169" s="2">
        <v>4.3499999999999996</v>
      </c>
      <c r="Z169" t="s">
        <v>1373</v>
      </c>
    </row>
    <row r="170" spans="1:26" x14ac:dyDescent="0.25">
      <c r="A170">
        <v>2032516836</v>
      </c>
      <c r="B170" t="s">
        <v>319</v>
      </c>
      <c r="C170" t="s">
        <v>320</v>
      </c>
      <c r="D170" t="str">
        <f>CONCATENATE(C170," ",B170)</f>
        <v>CORRINE DITTLINGER</v>
      </c>
      <c r="E170" t="s">
        <v>308</v>
      </c>
      <c r="F170" t="s">
        <v>469</v>
      </c>
      <c r="G170" t="s">
        <v>715</v>
      </c>
      <c r="H170">
        <v>8977234</v>
      </c>
      <c r="J170">
        <v>8977234</v>
      </c>
      <c r="K170" t="s">
        <v>81</v>
      </c>
      <c r="L170" t="s">
        <v>82</v>
      </c>
      <c r="M170" t="str">
        <f>CONCATENATE(L170," ",K170)</f>
        <v>RYAN CALTAGIRONE</v>
      </c>
      <c r="N170" t="s">
        <v>57</v>
      </c>
      <c r="O170" s="1">
        <v>46023</v>
      </c>
      <c r="P170" s="1">
        <v>46054</v>
      </c>
      <c r="Q170" s="2">
        <v>472.49</v>
      </c>
      <c r="R170">
        <f>DATEDIF(O170,P170,"M")</f>
        <v>1</v>
      </c>
      <c r="S170" t="s">
        <v>60</v>
      </c>
      <c r="T170" t="s">
        <v>1370</v>
      </c>
      <c r="U170" s="4">
        <v>0.19</v>
      </c>
      <c r="V170" t="s">
        <v>83</v>
      </c>
      <c r="W170" t="s">
        <v>221</v>
      </c>
      <c r="X170" s="2">
        <v>538.62</v>
      </c>
      <c r="Y170" s="2">
        <v>89.77</v>
      </c>
      <c r="Z170" t="s">
        <v>1352</v>
      </c>
    </row>
    <row r="171" spans="1:26" x14ac:dyDescent="0.25">
      <c r="A171">
        <v>2032486184</v>
      </c>
      <c r="B171" t="s">
        <v>271</v>
      </c>
      <c r="C171" t="s">
        <v>272</v>
      </c>
      <c r="D171" t="str">
        <f>CONCATENATE(C171," ",B171)</f>
        <v>STACEY WHEELER</v>
      </c>
      <c r="E171" t="s">
        <v>79</v>
      </c>
      <c r="F171" t="s">
        <v>469</v>
      </c>
      <c r="G171" t="s">
        <v>470</v>
      </c>
      <c r="H171">
        <v>8977234</v>
      </c>
      <c r="J171">
        <v>8977234</v>
      </c>
      <c r="K171" t="s">
        <v>81</v>
      </c>
      <c r="L171" t="s">
        <v>82</v>
      </c>
      <c r="M171" t="str">
        <f>CONCATENATE(L171," ",K171)</f>
        <v>RYAN CALTAGIRONE</v>
      </c>
      <c r="N171" t="s">
        <v>57</v>
      </c>
      <c r="O171" s="1">
        <v>46023</v>
      </c>
      <c r="P171" s="1">
        <v>46054</v>
      </c>
      <c r="Q171" s="2">
        <v>374.87</v>
      </c>
      <c r="R171">
        <f>DATEDIF(O171,P171,"M")</f>
        <v>1</v>
      </c>
      <c r="S171" t="s">
        <v>60</v>
      </c>
      <c r="T171" t="s">
        <v>1370</v>
      </c>
      <c r="U171" s="4">
        <v>0.28999999999999998</v>
      </c>
      <c r="V171" t="s">
        <v>83</v>
      </c>
      <c r="W171" t="s">
        <v>221</v>
      </c>
      <c r="X171" s="2">
        <v>652.26</v>
      </c>
      <c r="Y171" s="2">
        <v>108.71</v>
      </c>
      <c r="Z171" t="s">
        <v>470</v>
      </c>
    </row>
    <row r="172" spans="1:26" x14ac:dyDescent="0.25">
      <c r="A172">
        <v>2031947560</v>
      </c>
      <c r="B172" t="s">
        <v>241</v>
      </c>
      <c r="C172" t="s">
        <v>242</v>
      </c>
      <c r="D172" t="str">
        <f>CONCATENATE(C172," ",B172)</f>
        <v>QUILLAN HANNIBAL</v>
      </c>
      <c r="E172" t="s">
        <v>97</v>
      </c>
      <c r="F172" t="s">
        <v>126</v>
      </c>
      <c r="G172" t="s">
        <v>132</v>
      </c>
      <c r="H172">
        <v>8977234</v>
      </c>
      <c r="J172">
        <v>8977234</v>
      </c>
      <c r="K172" t="s">
        <v>81</v>
      </c>
      <c r="L172" t="s">
        <v>82</v>
      </c>
      <c r="M172" t="str">
        <f>CONCATENATE(L172," ",K172)</f>
        <v>RYAN CALTAGIRONE</v>
      </c>
      <c r="N172" t="s">
        <v>57</v>
      </c>
      <c r="O172" s="1">
        <v>46023</v>
      </c>
      <c r="P172" s="1">
        <v>46054</v>
      </c>
      <c r="Q172" s="2">
        <v>74.44</v>
      </c>
      <c r="R172">
        <f>DATEDIF(O172,P172,"M")</f>
        <v>1</v>
      </c>
      <c r="S172" t="s">
        <v>60</v>
      </c>
      <c r="T172" t="s">
        <v>1370</v>
      </c>
      <c r="U172" s="4">
        <v>0.7</v>
      </c>
      <c r="V172" t="s">
        <v>83</v>
      </c>
      <c r="W172" t="s">
        <v>221</v>
      </c>
      <c r="X172" s="2">
        <v>312.66000000000003</v>
      </c>
      <c r="Y172" s="2">
        <v>52.11</v>
      </c>
      <c r="Z172" t="s">
        <v>132</v>
      </c>
    </row>
    <row r="173" spans="1:26" x14ac:dyDescent="0.25">
      <c r="A173">
        <v>2032417240</v>
      </c>
      <c r="B173" t="s">
        <v>219</v>
      </c>
      <c r="C173" t="s">
        <v>82</v>
      </c>
      <c r="D173" t="str">
        <f>CONCATENATE(C173," ",B173)</f>
        <v>RYAN MCCOLLUM</v>
      </c>
      <c r="E173" t="s">
        <v>220</v>
      </c>
      <c r="F173" t="s">
        <v>126</v>
      </c>
      <c r="G173" t="s">
        <v>132</v>
      </c>
      <c r="H173">
        <v>8977234</v>
      </c>
      <c r="J173">
        <v>8977234</v>
      </c>
      <c r="K173" t="s">
        <v>81</v>
      </c>
      <c r="L173" t="s">
        <v>82</v>
      </c>
      <c r="M173" t="str">
        <f>CONCATENATE(L173," ",K173)</f>
        <v>RYAN CALTAGIRONE</v>
      </c>
      <c r="N173" t="s">
        <v>57</v>
      </c>
      <c r="O173" s="1">
        <v>46023</v>
      </c>
      <c r="P173" s="1">
        <v>46054</v>
      </c>
      <c r="Q173" s="2">
        <v>28.87</v>
      </c>
      <c r="R173">
        <f>DATEDIF(O173,P173,"M")</f>
        <v>1</v>
      </c>
      <c r="S173" t="s">
        <v>60</v>
      </c>
      <c r="T173" t="s">
        <v>1370</v>
      </c>
      <c r="U173" s="4">
        <v>0.7</v>
      </c>
      <c r="V173" t="s">
        <v>83</v>
      </c>
      <c r="W173" t="s">
        <v>221</v>
      </c>
      <c r="X173" s="2">
        <v>121.26</v>
      </c>
      <c r="Y173" s="2">
        <v>20.21</v>
      </c>
      <c r="Z173" t="s">
        <v>132</v>
      </c>
    </row>
    <row r="174" spans="1:26" x14ac:dyDescent="0.25">
      <c r="A174">
        <v>2032459533</v>
      </c>
      <c r="B174" t="s">
        <v>420</v>
      </c>
      <c r="C174" t="s">
        <v>421</v>
      </c>
      <c r="D174" t="str">
        <f>CONCATENATE(C174," ",B174)</f>
        <v>DEBRA PITTENGER</v>
      </c>
      <c r="E174" t="s">
        <v>210</v>
      </c>
      <c r="F174" t="s">
        <v>126</v>
      </c>
      <c r="G174" t="s">
        <v>132</v>
      </c>
      <c r="H174">
        <v>8977234</v>
      </c>
      <c r="J174">
        <v>8977234</v>
      </c>
      <c r="K174" t="s">
        <v>81</v>
      </c>
      <c r="L174" t="s">
        <v>82</v>
      </c>
      <c r="M174" t="str">
        <f>CONCATENATE(L174," ",K174)</f>
        <v>RYAN CALTAGIRONE</v>
      </c>
      <c r="N174" t="s">
        <v>57</v>
      </c>
      <c r="O174" s="1">
        <v>46023</v>
      </c>
      <c r="P174" s="1">
        <v>46054</v>
      </c>
      <c r="Q174" s="2">
        <v>122.88</v>
      </c>
      <c r="R174">
        <f>DATEDIF(O174,P174,"M")</f>
        <v>1</v>
      </c>
      <c r="S174" t="s">
        <v>60</v>
      </c>
      <c r="T174" t="s">
        <v>1370</v>
      </c>
      <c r="U174" s="4">
        <v>0.7</v>
      </c>
      <c r="V174" t="s">
        <v>83</v>
      </c>
      <c r="W174" t="s">
        <v>221</v>
      </c>
      <c r="X174" s="2">
        <v>516.12</v>
      </c>
      <c r="Y174" s="2">
        <v>86.02</v>
      </c>
      <c r="Z174" t="s">
        <v>132</v>
      </c>
    </row>
    <row r="175" spans="1:26" x14ac:dyDescent="0.25">
      <c r="A175">
        <v>2032462073</v>
      </c>
      <c r="B175" t="s">
        <v>226</v>
      </c>
      <c r="C175" t="s">
        <v>227</v>
      </c>
      <c r="D175" t="str">
        <f>CONCATENATE(C175," ",B175)</f>
        <v>INGA BENNETT</v>
      </c>
      <c r="E175" t="s">
        <v>131</v>
      </c>
      <c r="F175" t="s">
        <v>126</v>
      </c>
      <c r="G175" t="s">
        <v>132</v>
      </c>
      <c r="H175">
        <v>8977234</v>
      </c>
      <c r="J175">
        <v>8977234</v>
      </c>
      <c r="K175" t="s">
        <v>81</v>
      </c>
      <c r="L175" t="s">
        <v>82</v>
      </c>
      <c r="M175" t="str">
        <f>CONCATENATE(L175," ",K175)</f>
        <v>RYAN CALTAGIRONE</v>
      </c>
      <c r="N175" t="s">
        <v>57</v>
      </c>
      <c r="O175" s="1">
        <v>46023</v>
      </c>
      <c r="P175" s="1">
        <v>46054</v>
      </c>
      <c r="Q175" s="2">
        <v>26.32</v>
      </c>
      <c r="R175">
        <f>DATEDIF(O175,P175,"M")</f>
        <v>1</v>
      </c>
      <c r="S175" t="s">
        <v>60</v>
      </c>
      <c r="T175" t="s">
        <v>1370</v>
      </c>
      <c r="U175" s="4">
        <v>0.7</v>
      </c>
      <c r="V175" t="s">
        <v>83</v>
      </c>
      <c r="W175" t="s">
        <v>221</v>
      </c>
      <c r="X175" s="2">
        <v>110.52</v>
      </c>
      <c r="Y175" s="2">
        <v>18.420000000000002</v>
      </c>
      <c r="Z175" t="s">
        <v>132</v>
      </c>
    </row>
    <row r="176" spans="1:26" x14ac:dyDescent="0.25">
      <c r="A176">
        <v>2032474627</v>
      </c>
      <c r="B176" t="s">
        <v>435</v>
      </c>
      <c r="C176" t="s">
        <v>421</v>
      </c>
      <c r="D176" t="str">
        <f>CONCATENATE(C176," ",B176)</f>
        <v>DEBRA IRLBACKER</v>
      </c>
      <c r="E176" t="s">
        <v>102</v>
      </c>
      <c r="F176" t="s">
        <v>126</v>
      </c>
      <c r="G176" t="s">
        <v>132</v>
      </c>
      <c r="H176">
        <v>8977234</v>
      </c>
      <c r="J176">
        <v>8977234</v>
      </c>
      <c r="K176" t="s">
        <v>81</v>
      </c>
      <c r="L176" t="s">
        <v>82</v>
      </c>
      <c r="M176" t="str">
        <f>CONCATENATE(L176," ",K176)</f>
        <v>RYAN CALTAGIRONE</v>
      </c>
      <c r="N176" t="s">
        <v>57</v>
      </c>
      <c r="O176" s="1">
        <v>46023</v>
      </c>
      <c r="P176" s="1">
        <v>46054</v>
      </c>
      <c r="Q176" s="2">
        <v>118</v>
      </c>
      <c r="R176">
        <f>DATEDIF(O176,P176,"M")</f>
        <v>1</v>
      </c>
      <c r="S176" t="s">
        <v>60</v>
      </c>
      <c r="T176" t="s">
        <v>1370</v>
      </c>
      <c r="U176" s="4">
        <v>0.7</v>
      </c>
      <c r="V176" t="s">
        <v>83</v>
      </c>
      <c r="W176" t="s">
        <v>221</v>
      </c>
      <c r="X176" s="2">
        <v>495.6</v>
      </c>
      <c r="Y176" s="2">
        <v>82.6</v>
      </c>
      <c r="Z176" t="s">
        <v>132</v>
      </c>
    </row>
    <row r="177" spans="1:26" x14ac:dyDescent="0.25">
      <c r="A177">
        <v>2032478163</v>
      </c>
      <c r="B177" t="s">
        <v>439</v>
      </c>
      <c r="C177" t="s">
        <v>233</v>
      </c>
      <c r="D177" t="str">
        <f>CONCATENATE(C177," ",B177)</f>
        <v>GARY COKER</v>
      </c>
      <c r="E177" t="s">
        <v>125</v>
      </c>
      <c r="F177" t="s">
        <v>126</v>
      </c>
      <c r="G177" t="s">
        <v>132</v>
      </c>
      <c r="H177">
        <v>8977234</v>
      </c>
      <c r="J177">
        <v>8977234</v>
      </c>
      <c r="K177" t="s">
        <v>81</v>
      </c>
      <c r="L177" t="s">
        <v>82</v>
      </c>
      <c r="M177" t="str">
        <f>CONCATENATE(L177," ",K177)</f>
        <v>RYAN CALTAGIRONE</v>
      </c>
      <c r="N177" t="s">
        <v>57</v>
      </c>
      <c r="O177" s="1">
        <v>46023</v>
      </c>
      <c r="P177" s="1">
        <v>46054</v>
      </c>
      <c r="Q177" s="2">
        <v>27.21</v>
      </c>
      <c r="R177">
        <f>DATEDIF(O177,P177,"M")</f>
        <v>1</v>
      </c>
      <c r="S177" t="s">
        <v>60</v>
      </c>
      <c r="T177" t="s">
        <v>1370</v>
      </c>
      <c r="U177" s="4">
        <v>0.7</v>
      </c>
      <c r="V177" t="s">
        <v>83</v>
      </c>
      <c r="W177" t="s">
        <v>221</v>
      </c>
      <c r="X177" s="2">
        <v>114.3</v>
      </c>
      <c r="Y177" s="2">
        <v>19.05</v>
      </c>
      <c r="Z177" t="s">
        <v>132</v>
      </c>
    </row>
    <row r="178" spans="1:26" x14ac:dyDescent="0.25">
      <c r="A178">
        <v>2032486187</v>
      </c>
      <c r="B178" t="s">
        <v>271</v>
      </c>
      <c r="C178" t="s">
        <v>272</v>
      </c>
      <c r="D178" t="str">
        <f>CONCATENATE(C178," ",B178)</f>
        <v>STACEY WHEELER</v>
      </c>
      <c r="E178" t="s">
        <v>79</v>
      </c>
      <c r="F178" t="s">
        <v>126</v>
      </c>
      <c r="G178" t="s">
        <v>132</v>
      </c>
      <c r="H178">
        <v>8977234</v>
      </c>
      <c r="J178">
        <v>8977234</v>
      </c>
      <c r="K178" t="s">
        <v>81</v>
      </c>
      <c r="L178" t="s">
        <v>82</v>
      </c>
      <c r="M178" t="str">
        <f>CONCATENATE(L178," ",K178)</f>
        <v>RYAN CALTAGIRONE</v>
      </c>
      <c r="N178" t="s">
        <v>57</v>
      </c>
      <c r="O178" s="1">
        <v>46023</v>
      </c>
      <c r="P178" s="1">
        <v>46054</v>
      </c>
      <c r="Q178" s="2">
        <v>85.36</v>
      </c>
      <c r="R178">
        <f>DATEDIF(O178,P178,"M")</f>
        <v>1</v>
      </c>
      <c r="S178" t="s">
        <v>60</v>
      </c>
      <c r="T178" t="s">
        <v>1370</v>
      </c>
      <c r="U178" s="4">
        <v>0.7</v>
      </c>
      <c r="V178" t="s">
        <v>83</v>
      </c>
      <c r="W178" t="s">
        <v>221</v>
      </c>
      <c r="X178" s="2">
        <v>358.5</v>
      </c>
      <c r="Y178" s="2">
        <v>59.75</v>
      </c>
      <c r="Z178" t="s">
        <v>132</v>
      </c>
    </row>
    <row r="179" spans="1:26" x14ac:dyDescent="0.25">
      <c r="A179">
        <v>2032490377</v>
      </c>
      <c r="B179" t="s">
        <v>273</v>
      </c>
      <c r="C179" t="s">
        <v>96</v>
      </c>
      <c r="D179" t="str">
        <f>CONCATENATE(C179," ",B179)</f>
        <v>MICHELLE WALDEN</v>
      </c>
      <c r="E179" t="s">
        <v>131</v>
      </c>
      <c r="F179" t="s">
        <v>126</v>
      </c>
      <c r="G179" t="s">
        <v>132</v>
      </c>
      <c r="H179">
        <v>8977234</v>
      </c>
      <c r="J179">
        <v>8977234</v>
      </c>
      <c r="K179" t="s">
        <v>81</v>
      </c>
      <c r="L179" t="s">
        <v>82</v>
      </c>
      <c r="M179" t="str">
        <f>CONCATENATE(L179," ",K179)</f>
        <v>RYAN CALTAGIRONE</v>
      </c>
      <c r="N179" t="s">
        <v>57</v>
      </c>
      <c r="O179" s="1">
        <v>46023</v>
      </c>
      <c r="P179" s="1">
        <v>46054</v>
      </c>
      <c r="Q179" s="2">
        <v>23.25</v>
      </c>
      <c r="R179">
        <f>DATEDIF(O179,P179,"M")</f>
        <v>1</v>
      </c>
      <c r="S179" t="s">
        <v>60</v>
      </c>
      <c r="T179" t="s">
        <v>1370</v>
      </c>
      <c r="U179" s="4">
        <v>0.7</v>
      </c>
      <c r="V179" t="s">
        <v>83</v>
      </c>
      <c r="W179" t="s">
        <v>221</v>
      </c>
      <c r="X179" s="2">
        <v>97.68</v>
      </c>
      <c r="Y179" s="2">
        <v>16.28</v>
      </c>
      <c r="Z179" t="s">
        <v>132</v>
      </c>
    </row>
    <row r="180" spans="1:26" x14ac:dyDescent="0.25">
      <c r="A180">
        <v>2032496772</v>
      </c>
      <c r="B180" t="s">
        <v>237</v>
      </c>
      <c r="C180" t="s">
        <v>157</v>
      </c>
      <c r="D180" t="str">
        <f>CONCATENATE(C180," ",B180)</f>
        <v>MELANIE EBIN</v>
      </c>
      <c r="E180" t="s">
        <v>210</v>
      </c>
      <c r="F180" t="s">
        <v>126</v>
      </c>
      <c r="G180" t="s">
        <v>132</v>
      </c>
      <c r="H180">
        <v>8977234</v>
      </c>
      <c r="J180">
        <v>8977234</v>
      </c>
      <c r="K180" t="s">
        <v>81</v>
      </c>
      <c r="L180" t="s">
        <v>82</v>
      </c>
      <c r="M180" t="str">
        <f>CONCATENATE(L180," ",K180)</f>
        <v>RYAN CALTAGIRONE</v>
      </c>
      <c r="N180" t="s">
        <v>57</v>
      </c>
      <c r="O180" s="1">
        <v>46023</v>
      </c>
      <c r="P180" s="1">
        <v>46054</v>
      </c>
      <c r="Q180" s="2">
        <v>196.02</v>
      </c>
      <c r="R180">
        <f>DATEDIF(O180,P180,"M")</f>
        <v>1</v>
      </c>
      <c r="S180" t="s">
        <v>60</v>
      </c>
      <c r="T180" t="s">
        <v>1370</v>
      </c>
      <c r="U180" s="4">
        <v>0.7</v>
      </c>
      <c r="V180" t="s">
        <v>83</v>
      </c>
      <c r="W180" t="s">
        <v>221</v>
      </c>
      <c r="X180" s="2">
        <v>823.26</v>
      </c>
      <c r="Y180" s="2">
        <v>137.21</v>
      </c>
      <c r="Z180" t="s">
        <v>132</v>
      </c>
    </row>
    <row r="181" spans="1:26" x14ac:dyDescent="0.25">
      <c r="A181">
        <v>2032515032</v>
      </c>
      <c r="B181" t="s">
        <v>275</v>
      </c>
      <c r="C181" t="s">
        <v>236</v>
      </c>
      <c r="D181" t="str">
        <f>CONCATENATE(C181," ",B181)</f>
        <v>PETER SHADA</v>
      </c>
      <c r="E181" t="s">
        <v>102</v>
      </c>
      <c r="F181" t="s">
        <v>126</v>
      </c>
      <c r="G181" t="s">
        <v>132</v>
      </c>
      <c r="H181">
        <v>8977234</v>
      </c>
      <c r="J181">
        <v>8977234</v>
      </c>
      <c r="K181" t="s">
        <v>81</v>
      </c>
      <c r="L181" t="s">
        <v>82</v>
      </c>
      <c r="M181" t="str">
        <f>CONCATENATE(L181," ",K181)</f>
        <v>RYAN CALTAGIRONE</v>
      </c>
      <c r="N181" t="s">
        <v>57</v>
      </c>
      <c r="O181" s="1">
        <v>46023</v>
      </c>
      <c r="P181" s="1">
        <v>46054</v>
      </c>
      <c r="Q181" s="2">
        <v>62.75</v>
      </c>
      <c r="R181">
        <f>DATEDIF(O181,P181,"M")</f>
        <v>1</v>
      </c>
      <c r="S181" t="s">
        <v>60</v>
      </c>
      <c r="T181" t="s">
        <v>1370</v>
      </c>
      <c r="U181" s="4">
        <v>0.7</v>
      </c>
      <c r="V181" t="s">
        <v>83</v>
      </c>
      <c r="W181" t="s">
        <v>221</v>
      </c>
      <c r="X181" s="2">
        <v>263.52</v>
      </c>
      <c r="Y181" s="2">
        <v>43.92</v>
      </c>
      <c r="Z181" t="s">
        <v>132</v>
      </c>
    </row>
    <row r="182" spans="1:26" x14ac:dyDescent="0.25">
      <c r="A182">
        <v>2032516837</v>
      </c>
      <c r="B182" t="s">
        <v>319</v>
      </c>
      <c r="C182" t="s">
        <v>320</v>
      </c>
      <c r="D182" t="str">
        <f>CONCATENATE(C182," ",B182)</f>
        <v>CORRINE DITTLINGER</v>
      </c>
      <c r="E182" t="s">
        <v>308</v>
      </c>
      <c r="F182" t="s">
        <v>469</v>
      </c>
      <c r="G182" t="s">
        <v>716</v>
      </c>
      <c r="H182">
        <v>8977234</v>
      </c>
      <c r="J182">
        <v>8977234</v>
      </c>
      <c r="K182" t="s">
        <v>81</v>
      </c>
      <c r="L182" t="s">
        <v>82</v>
      </c>
      <c r="M182" t="str">
        <f>CONCATENATE(L182," ",K182)</f>
        <v>RYAN CALTAGIRONE</v>
      </c>
      <c r="N182" t="s">
        <v>57</v>
      </c>
      <c r="O182" s="1">
        <v>46023</v>
      </c>
      <c r="P182" s="1">
        <v>46054</v>
      </c>
      <c r="Q182" s="2">
        <v>9.9499999999999993</v>
      </c>
      <c r="R182">
        <f>DATEDIF(O182,P182,"M")</f>
        <v>1</v>
      </c>
      <c r="S182" t="s">
        <v>60</v>
      </c>
      <c r="T182" t="s">
        <v>1370</v>
      </c>
      <c r="U182" s="4">
        <v>0.19</v>
      </c>
      <c r="V182" t="s">
        <v>83</v>
      </c>
      <c r="W182" t="s">
        <v>221</v>
      </c>
      <c r="X182" s="2">
        <v>11.34</v>
      </c>
      <c r="Y182" s="2">
        <v>1.89</v>
      </c>
      <c r="Z182" t="s">
        <v>309</v>
      </c>
    </row>
    <row r="183" spans="1:26" x14ac:dyDescent="0.25">
      <c r="A183">
        <v>2032486185</v>
      </c>
      <c r="B183" t="s">
        <v>271</v>
      </c>
      <c r="C183" t="s">
        <v>272</v>
      </c>
      <c r="D183" t="str">
        <f>CONCATENATE(C183," ",B183)</f>
        <v>STACEY WHEELER</v>
      </c>
      <c r="E183" t="s">
        <v>79</v>
      </c>
      <c r="F183" t="s">
        <v>469</v>
      </c>
      <c r="G183" t="s">
        <v>476</v>
      </c>
      <c r="H183">
        <v>8977234</v>
      </c>
      <c r="J183">
        <v>8977234</v>
      </c>
      <c r="K183" t="s">
        <v>81</v>
      </c>
      <c r="L183" t="s">
        <v>82</v>
      </c>
      <c r="M183" t="str">
        <f>CONCATENATE(L183," ",K183)</f>
        <v>RYAN CALTAGIRONE</v>
      </c>
      <c r="N183" t="s">
        <v>57</v>
      </c>
      <c r="O183" s="1">
        <v>46023</v>
      </c>
      <c r="P183" s="1">
        <v>46054</v>
      </c>
      <c r="Q183" s="2">
        <v>9.9499999999999993</v>
      </c>
      <c r="R183">
        <f>DATEDIF(O183,P183,"M")</f>
        <v>1</v>
      </c>
      <c r="S183" t="s">
        <v>60</v>
      </c>
      <c r="T183" t="s">
        <v>1370</v>
      </c>
      <c r="U183" s="4">
        <v>0.28999999999999998</v>
      </c>
      <c r="V183" t="s">
        <v>83</v>
      </c>
      <c r="W183" t="s">
        <v>221</v>
      </c>
      <c r="X183" s="2">
        <v>17.34</v>
      </c>
      <c r="Y183" s="2">
        <v>2.89</v>
      </c>
      <c r="Z183" t="s">
        <v>470</v>
      </c>
    </row>
    <row r="184" spans="1:26" x14ac:dyDescent="0.25">
      <c r="A184">
        <v>2031947562</v>
      </c>
      <c r="B184" t="s">
        <v>241</v>
      </c>
      <c r="C184" t="s">
        <v>242</v>
      </c>
      <c r="D184" t="str">
        <f>CONCATENATE(C184," ",B184)</f>
        <v>QUILLAN HANNIBAL</v>
      </c>
      <c r="E184" t="s">
        <v>97</v>
      </c>
      <c r="F184" t="s">
        <v>86</v>
      </c>
      <c r="G184" t="s">
        <v>87</v>
      </c>
      <c r="H184">
        <v>8977234</v>
      </c>
      <c r="J184">
        <v>8977234</v>
      </c>
      <c r="K184" t="s">
        <v>81</v>
      </c>
      <c r="L184" t="s">
        <v>82</v>
      </c>
      <c r="M184" t="str">
        <f>CONCATENATE(L184," ",K184)</f>
        <v>RYAN CALTAGIRONE</v>
      </c>
      <c r="N184" t="s">
        <v>57</v>
      </c>
      <c r="O184" s="1">
        <v>46023</v>
      </c>
      <c r="P184" s="1">
        <v>46054</v>
      </c>
      <c r="Q184" s="2">
        <v>61.4</v>
      </c>
      <c r="R184">
        <f>DATEDIF(O184,P184,"M")</f>
        <v>1</v>
      </c>
      <c r="S184" t="s">
        <v>60</v>
      </c>
      <c r="T184" t="s">
        <v>1370</v>
      </c>
      <c r="U184" s="3">
        <v>0.375</v>
      </c>
      <c r="V184" t="s">
        <v>83</v>
      </c>
      <c r="W184" t="s">
        <v>221</v>
      </c>
      <c r="X184" s="2">
        <v>138.12</v>
      </c>
      <c r="Y184" s="2">
        <v>23.02</v>
      </c>
      <c r="Z184" t="s">
        <v>87</v>
      </c>
    </row>
    <row r="185" spans="1:26" x14ac:dyDescent="0.25">
      <c r="A185">
        <v>2032417241</v>
      </c>
      <c r="B185" t="s">
        <v>219</v>
      </c>
      <c r="C185" t="s">
        <v>82</v>
      </c>
      <c r="D185" t="str">
        <f>CONCATENATE(C185," ",B185)</f>
        <v>RYAN MCCOLLUM</v>
      </c>
      <c r="E185" t="s">
        <v>220</v>
      </c>
      <c r="F185" t="s">
        <v>86</v>
      </c>
      <c r="G185" t="s">
        <v>87</v>
      </c>
      <c r="H185">
        <v>8977234</v>
      </c>
      <c r="J185">
        <v>8977234</v>
      </c>
      <c r="K185" t="s">
        <v>81</v>
      </c>
      <c r="L185" t="s">
        <v>82</v>
      </c>
      <c r="M185" t="str">
        <f>CONCATENATE(L185," ",K185)</f>
        <v>RYAN CALTAGIRONE</v>
      </c>
      <c r="N185" t="s">
        <v>57</v>
      </c>
      <c r="O185" s="1">
        <v>46023</v>
      </c>
      <c r="P185" s="1">
        <v>46054</v>
      </c>
      <c r="Q185" s="2">
        <v>21.23</v>
      </c>
      <c r="R185">
        <f>DATEDIF(O185,P185,"M")</f>
        <v>1</v>
      </c>
      <c r="S185" t="s">
        <v>60</v>
      </c>
      <c r="T185" t="s">
        <v>1370</v>
      </c>
      <c r="U185" s="3">
        <v>0.375</v>
      </c>
      <c r="V185" t="s">
        <v>83</v>
      </c>
      <c r="W185" t="s">
        <v>221</v>
      </c>
      <c r="X185" s="2">
        <v>47.76</v>
      </c>
      <c r="Y185" s="2">
        <v>7.96</v>
      </c>
      <c r="Z185" t="s">
        <v>87</v>
      </c>
    </row>
    <row r="186" spans="1:26" x14ac:dyDescent="0.25">
      <c r="A186">
        <v>2032462075</v>
      </c>
      <c r="B186" t="s">
        <v>226</v>
      </c>
      <c r="C186" t="s">
        <v>227</v>
      </c>
      <c r="D186" t="str">
        <f>CONCATENATE(C186," ",B186)</f>
        <v>INGA BENNETT</v>
      </c>
      <c r="E186" t="s">
        <v>131</v>
      </c>
      <c r="F186" t="s">
        <v>86</v>
      </c>
      <c r="G186" t="s">
        <v>87</v>
      </c>
      <c r="H186">
        <v>8977234</v>
      </c>
      <c r="J186">
        <v>8977234</v>
      </c>
      <c r="K186" t="s">
        <v>81</v>
      </c>
      <c r="L186" t="s">
        <v>82</v>
      </c>
      <c r="M186" t="str">
        <f>CONCATENATE(L186," ",K186)</f>
        <v>RYAN CALTAGIRONE</v>
      </c>
      <c r="N186" t="s">
        <v>57</v>
      </c>
      <c r="O186" s="1">
        <v>46023</v>
      </c>
      <c r="P186" s="1">
        <v>46054</v>
      </c>
      <c r="Q186" s="2">
        <v>37.409999999999997</v>
      </c>
      <c r="R186">
        <f>DATEDIF(O186,P186,"M")</f>
        <v>1</v>
      </c>
      <c r="S186" t="s">
        <v>60</v>
      </c>
      <c r="T186" t="s">
        <v>1370</v>
      </c>
      <c r="U186" s="3">
        <v>0.375</v>
      </c>
      <c r="V186" t="s">
        <v>83</v>
      </c>
      <c r="W186" t="s">
        <v>221</v>
      </c>
      <c r="X186" s="2">
        <v>84.18</v>
      </c>
      <c r="Y186" s="2">
        <v>14.03</v>
      </c>
      <c r="Z186" t="s">
        <v>87</v>
      </c>
    </row>
    <row r="187" spans="1:26" x14ac:dyDescent="0.25">
      <c r="A187">
        <v>2032417242</v>
      </c>
      <c r="B187" t="s">
        <v>219</v>
      </c>
      <c r="C187" t="s">
        <v>82</v>
      </c>
      <c r="D187" t="str">
        <f>CONCATENATE(C187," ",B187)</f>
        <v>RYAN MCCOLLUM</v>
      </c>
      <c r="E187" t="s">
        <v>220</v>
      </c>
      <c r="F187" t="s">
        <v>53</v>
      </c>
      <c r="G187" t="s">
        <v>54</v>
      </c>
      <c r="H187">
        <v>8977234</v>
      </c>
      <c r="J187">
        <v>8977234</v>
      </c>
      <c r="K187" t="s">
        <v>81</v>
      </c>
      <c r="L187" t="s">
        <v>82</v>
      </c>
      <c r="M187" t="str">
        <f>CONCATENATE(L187," ",K187)</f>
        <v>RYAN CALTAGIRONE</v>
      </c>
      <c r="N187" t="s">
        <v>57</v>
      </c>
      <c r="O187" s="1">
        <v>46023</v>
      </c>
      <c r="P187" s="1">
        <v>46054</v>
      </c>
      <c r="Q187" s="2">
        <v>75.67</v>
      </c>
      <c r="R187">
        <f>DATEDIF(O187,P187,"M")</f>
        <v>1</v>
      </c>
      <c r="S187" t="s">
        <v>60</v>
      </c>
      <c r="T187" t="s">
        <v>1370</v>
      </c>
      <c r="U187" s="4">
        <v>0.6</v>
      </c>
      <c r="V187" t="s">
        <v>83</v>
      </c>
      <c r="W187" t="s">
        <v>221</v>
      </c>
      <c r="X187" s="2">
        <v>272.39999999999998</v>
      </c>
      <c r="Y187" s="2">
        <v>45.4</v>
      </c>
      <c r="Z187" t="s">
        <v>54</v>
      </c>
    </row>
    <row r="188" spans="1:26" x14ac:dyDescent="0.25">
      <c r="A188">
        <v>2032462074</v>
      </c>
      <c r="B188" t="s">
        <v>226</v>
      </c>
      <c r="C188" t="s">
        <v>227</v>
      </c>
      <c r="D188" t="str">
        <f>CONCATENATE(C188," ",B188)</f>
        <v>INGA BENNETT</v>
      </c>
      <c r="E188" t="s">
        <v>131</v>
      </c>
      <c r="F188" t="s">
        <v>53</v>
      </c>
      <c r="G188" t="s">
        <v>54</v>
      </c>
      <c r="H188">
        <v>8977234</v>
      </c>
      <c r="J188">
        <v>8977234</v>
      </c>
      <c r="K188" t="s">
        <v>81</v>
      </c>
      <c r="L188" t="s">
        <v>82</v>
      </c>
      <c r="M188" t="str">
        <f>CONCATENATE(L188," ",K188)</f>
        <v>RYAN CALTAGIRONE</v>
      </c>
      <c r="N188" t="s">
        <v>57</v>
      </c>
      <c r="O188" s="1">
        <v>46023</v>
      </c>
      <c r="P188" s="1">
        <v>46054</v>
      </c>
      <c r="Q188" s="2">
        <v>75.67</v>
      </c>
      <c r="R188">
        <f>DATEDIF(O188,P188,"M")</f>
        <v>1</v>
      </c>
      <c r="S188" t="s">
        <v>60</v>
      </c>
      <c r="T188" t="s">
        <v>1370</v>
      </c>
      <c r="U188" s="4">
        <v>0.6</v>
      </c>
      <c r="V188" t="s">
        <v>83</v>
      </c>
      <c r="W188" t="s">
        <v>221</v>
      </c>
      <c r="X188" s="2">
        <v>272.39999999999998</v>
      </c>
      <c r="Y188" s="2">
        <v>45.4</v>
      </c>
      <c r="Z188" t="s">
        <v>54</v>
      </c>
    </row>
    <row r="189" spans="1:26" x14ac:dyDescent="0.25">
      <c r="A189">
        <v>2032496773</v>
      </c>
      <c r="B189" t="s">
        <v>237</v>
      </c>
      <c r="C189" t="s">
        <v>157</v>
      </c>
      <c r="D189" t="str">
        <f>CONCATENATE(C189," ",B189)</f>
        <v>MELANIE EBIN</v>
      </c>
      <c r="E189" t="s">
        <v>210</v>
      </c>
      <c r="F189" t="s">
        <v>53</v>
      </c>
      <c r="G189" t="s">
        <v>54</v>
      </c>
      <c r="H189">
        <v>8977234</v>
      </c>
      <c r="J189">
        <v>8977234</v>
      </c>
      <c r="K189" t="s">
        <v>81</v>
      </c>
      <c r="L189" t="s">
        <v>82</v>
      </c>
      <c r="M189" t="str">
        <f>CONCATENATE(L189," ",K189)</f>
        <v>RYAN CALTAGIRONE</v>
      </c>
      <c r="N189" t="s">
        <v>57</v>
      </c>
      <c r="O189" s="1">
        <v>46023</v>
      </c>
      <c r="P189" s="1">
        <v>46054</v>
      </c>
      <c r="Q189" s="2">
        <v>93.26</v>
      </c>
      <c r="R189">
        <f>DATEDIF(O189,P189,"M")</f>
        <v>1</v>
      </c>
      <c r="S189" t="s">
        <v>60</v>
      </c>
      <c r="T189" t="s">
        <v>1370</v>
      </c>
      <c r="U189" s="4">
        <v>0.6</v>
      </c>
      <c r="V189" t="s">
        <v>83</v>
      </c>
      <c r="W189" t="s">
        <v>221</v>
      </c>
      <c r="X189" s="2">
        <v>335.76</v>
      </c>
      <c r="Y189" s="2">
        <v>55.96</v>
      </c>
      <c r="Z189" t="s">
        <v>54</v>
      </c>
    </row>
    <row r="190" spans="1:26" x14ac:dyDescent="0.25">
      <c r="A190">
        <v>2032554456</v>
      </c>
      <c r="B190" t="s">
        <v>325</v>
      </c>
      <c r="C190" t="s">
        <v>326</v>
      </c>
      <c r="D190" t="str">
        <f>CONCATENATE(C190," ",B190)</f>
        <v>MONICA LAROCCO-MCVAY</v>
      </c>
      <c r="E190" t="s">
        <v>102</v>
      </c>
      <c r="F190" t="s">
        <v>365</v>
      </c>
      <c r="G190" t="s">
        <v>370</v>
      </c>
      <c r="H190">
        <v>19396223</v>
      </c>
      <c r="J190">
        <v>19396223</v>
      </c>
      <c r="K190" t="s">
        <v>213</v>
      </c>
      <c r="L190" t="s">
        <v>214</v>
      </c>
      <c r="M190" t="str">
        <f>CONCATENATE(L190," ",K190)</f>
        <v>Saadia Abdul</v>
      </c>
      <c r="N190" t="s">
        <v>57</v>
      </c>
      <c r="O190" s="1">
        <v>45998</v>
      </c>
      <c r="P190" s="1">
        <v>46029</v>
      </c>
      <c r="Q190" s="2">
        <v>152.06</v>
      </c>
      <c r="R190">
        <f>DATEDIF(O190,P190,"M")</f>
        <v>1</v>
      </c>
      <c r="S190" t="s">
        <v>60</v>
      </c>
      <c r="T190" t="s">
        <v>1370</v>
      </c>
      <c r="U190" s="4">
        <v>0.38</v>
      </c>
      <c r="V190" t="s">
        <v>83</v>
      </c>
      <c r="W190" t="s">
        <v>221</v>
      </c>
      <c r="X190" s="2">
        <v>346.68</v>
      </c>
      <c r="Y190" s="2">
        <v>57.78</v>
      </c>
      <c r="Z190" t="s">
        <v>370</v>
      </c>
    </row>
    <row r="191" spans="1:26" x14ac:dyDescent="0.25">
      <c r="A191">
        <v>2032554457</v>
      </c>
      <c r="B191" t="s">
        <v>325</v>
      </c>
      <c r="C191" t="s">
        <v>326</v>
      </c>
      <c r="D191" t="str">
        <f>CONCATENATE(C191," ",B191)</f>
        <v>MONICA LAROCCO-MCVAY</v>
      </c>
      <c r="E191" t="s">
        <v>102</v>
      </c>
      <c r="F191" t="s">
        <v>365</v>
      </c>
      <c r="G191" t="s">
        <v>371</v>
      </c>
      <c r="H191">
        <v>19396223</v>
      </c>
      <c r="J191">
        <v>19396223</v>
      </c>
      <c r="K191" t="s">
        <v>213</v>
      </c>
      <c r="L191" t="s">
        <v>214</v>
      </c>
      <c r="M191" t="str">
        <f>CONCATENATE(L191," ",K191)</f>
        <v>Saadia Abdul</v>
      </c>
      <c r="N191" t="s">
        <v>57</v>
      </c>
      <c r="O191" s="1">
        <v>45998</v>
      </c>
      <c r="P191" s="1">
        <v>46029</v>
      </c>
      <c r="Q191" s="2">
        <v>7.09</v>
      </c>
      <c r="R191">
        <f>DATEDIF(O191,P191,"M")</f>
        <v>1</v>
      </c>
      <c r="S191" t="s">
        <v>60</v>
      </c>
      <c r="T191" t="s">
        <v>1370</v>
      </c>
      <c r="U191" s="4">
        <v>0.38</v>
      </c>
      <c r="V191" t="s">
        <v>83</v>
      </c>
      <c r="W191" t="s">
        <v>221</v>
      </c>
      <c r="X191" s="2">
        <v>16.14</v>
      </c>
      <c r="Y191" s="2">
        <v>2.69</v>
      </c>
      <c r="Z191" t="s">
        <v>370</v>
      </c>
    </row>
    <row r="192" spans="1:26" x14ac:dyDescent="0.25">
      <c r="A192">
        <v>2032554458</v>
      </c>
      <c r="B192" t="s">
        <v>325</v>
      </c>
      <c r="C192" t="s">
        <v>326</v>
      </c>
      <c r="D192" t="str">
        <f>CONCATENATE(C192," ",B192)</f>
        <v>MONICA LAROCCO-MCVAY</v>
      </c>
      <c r="E192" t="s">
        <v>102</v>
      </c>
      <c r="F192" t="s">
        <v>290</v>
      </c>
      <c r="G192" t="s">
        <v>298</v>
      </c>
      <c r="H192">
        <v>19396223</v>
      </c>
      <c r="J192">
        <v>19396223</v>
      </c>
      <c r="K192" t="s">
        <v>213</v>
      </c>
      <c r="L192" t="s">
        <v>214</v>
      </c>
      <c r="M192" t="str">
        <f>CONCATENATE(L192," ",K192)</f>
        <v>Saadia Abdul</v>
      </c>
      <c r="N192" t="s">
        <v>57</v>
      </c>
      <c r="O192" s="1">
        <v>45998</v>
      </c>
      <c r="P192" s="1">
        <v>46029</v>
      </c>
      <c r="Q192" s="2">
        <v>15</v>
      </c>
      <c r="R192">
        <f>DATEDIF(O192,P192,"M")</f>
        <v>1</v>
      </c>
      <c r="S192" t="s">
        <v>60</v>
      </c>
      <c r="T192" t="s">
        <v>1370</v>
      </c>
      <c r="U192" s="4">
        <v>0.38</v>
      </c>
      <c r="V192" t="s">
        <v>83</v>
      </c>
      <c r="W192" t="s">
        <v>221</v>
      </c>
      <c r="X192" s="2">
        <v>34.200000000000003</v>
      </c>
      <c r="Y192" s="2">
        <v>5.7</v>
      </c>
      <c r="Z192" t="s">
        <v>298</v>
      </c>
    </row>
    <row r="193" spans="1:54" x14ac:dyDescent="0.25">
      <c r="A193" s="5">
        <v>2032516770</v>
      </c>
      <c r="B193" s="5" t="s">
        <v>276</v>
      </c>
      <c r="C193" s="5" t="s">
        <v>277</v>
      </c>
      <c r="D193" s="5" t="str">
        <f>CONCATENATE(C193," ",B193)</f>
        <v>AMANDA TLACIL</v>
      </c>
      <c r="E193" s="5" t="s">
        <v>131</v>
      </c>
      <c r="F193" s="5" t="s">
        <v>75</v>
      </c>
      <c r="G193" s="5" t="s">
        <v>80</v>
      </c>
      <c r="H193" s="5">
        <v>371819</v>
      </c>
      <c r="I193" s="5" t="s">
        <v>1369</v>
      </c>
      <c r="J193" s="5" t="str">
        <f>CONCATENATE(H193,I193)</f>
        <v>371819AV6</v>
      </c>
      <c r="K193" s="5" t="s">
        <v>138</v>
      </c>
      <c r="L193" s="5" t="s">
        <v>107</v>
      </c>
      <c r="M193" s="5" t="str">
        <f>CONCATENATE(L193," ",K193)</f>
        <v>THOMAS PARDUE</v>
      </c>
      <c r="N193" s="5" t="s">
        <v>57</v>
      </c>
      <c r="O193" s="6">
        <v>45996</v>
      </c>
      <c r="P193" s="6">
        <v>46027</v>
      </c>
      <c r="Q193" s="7">
        <v>47.75</v>
      </c>
      <c r="R193" s="5">
        <f>DATEDIF(O193,P193,"M")</f>
        <v>1</v>
      </c>
      <c r="S193" s="5" t="s">
        <v>1378</v>
      </c>
      <c r="T193" s="5" t="s">
        <v>1379</v>
      </c>
      <c r="U193" s="8">
        <v>0.9</v>
      </c>
      <c r="V193" s="5" t="s">
        <v>83</v>
      </c>
      <c r="W193" s="5" t="s">
        <v>221</v>
      </c>
      <c r="X193" s="7">
        <v>257.88</v>
      </c>
      <c r="Y193" s="7">
        <v>42.98</v>
      </c>
      <c r="Z193" s="5" t="s">
        <v>1372</v>
      </c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</row>
    <row r="194" spans="1:54" x14ac:dyDescent="0.25">
      <c r="A194" s="5">
        <v>2032453027</v>
      </c>
      <c r="B194" s="5" t="s">
        <v>300</v>
      </c>
      <c r="C194" s="5" t="s">
        <v>301</v>
      </c>
      <c r="D194" s="5" t="str">
        <f>CONCATENATE(C194," ",B194)</f>
        <v>SAMUEL ADLER</v>
      </c>
      <c r="E194" s="5" t="s">
        <v>125</v>
      </c>
      <c r="F194" s="5" t="s">
        <v>290</v>
      </c>
      <c r="G194" s="5" t="s">
        <v>291</v>
      </c>
      <c r="H194" s="5">
        <v>371819</v>
      </c>
      <c r="I194" s="5" t="s">
        <v>1369</v>
      </c>
      <c r="J194" s="5" t="str">
        <f>CONCATENATE(H194,I194)</f>
        <v>371819AV6</v>
      </c>
      <c r="K194" s="5" t="s">
        <v>138</v>
      </c>
      <c r="L194" s="5" t="s">
        <v>107</v>
      </c>
      <c r="M194" s="5" t="str">
        <f>CONCATENATE(L194," ",K194)</f>
        <v>THOMAS PARDUE</v>
      </c>
      <c r="N194" s="5" t="s">
        <v>57</v>
      </c>
      <c r="O194" s="6">
        <v>46023</v>
      </c>
      <c r="P194" s="6">
        <v>46054</v>
      </c>
      <c r="Q194" s="7">
        <v>15</v>
      </c>
      <c r="R194" s="5">
        <f>DATEDIF(O194,P194,"M")</f>
        <v>1</v>
      </c>
      <c r="S194" s="5" t="s">
        <v>1378</v>
      </c>
      <c r="T194" s="5" t="s">
        <v>1379</v>
      </c>
      <c r="U194" s="8">
        <v>0.28999999999999998</v>
      </c>
      <c r="V194" s="5" t="s">
        <v>83</v>
      </c>
      <c r="W194" s="5" t="s">
        <v>221</v>
      </c>
      <c r="X194" s="7">
        <v>26.1</v>
      </c>
      <c r="Y194" s="7">
        <v>4.3499999999999996</v>
      </c>
      <c r="Z194" s="5" t="s">
        <v>1373</v>
      </c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</row>
    <row r="195" spans="1:54" x14ac:dyDescent="0.25">
      <c r="A195" s="5">
        <v>2032449150</v>
      </c>
      <c r="B195" s="5" t="s">
        <v>336</v>
      </c>
      <c r="C195" s="5" t="s">
        <v>337</v>
      </c>
      <c r="D195" s="5" t="str">
        <f>CONCATENATE(C195," ",B195)</f>
        <v>DEANNA ALLEN</v>
      </c>
      <c r="E195" s="5" t="s">
        <v>79</v>
      </c>
      <c r="F195" s="5" t="s">
        <v>86</v>
      </c>
      <c r="G195" s="5" t="s">
        <v>87</v>
      </c>
      <c r="H195" s="5">
        <v>371819</v>
      </c>
      <c r="I195" s="5" t="s">
        <v>1369</v>
      </c>
      <c r="J195" s="5" t="str">
        <f>CONCATENATE(H195,I195)</f>
        <v>371819AV6</v>
      </c>
      <c r="K195" s="5" t="s">
        <v>138</v>
      </c>
      <c r="L195" s="5" t="s">
        <v>107</v>
      </c>
      <c r="M195" s="5" t="str">
        <f>CONCATENATE(L195," ",K195)</f>
        <v>THOMAS PARDUE</v>
      </c>
      <c r="N195" s="5" t="s">
        <v>57</v>
      </c>
      <c r="O195" s="6">
        <v>45993</v>
      </c>
      <c r="P195" s="6">
        <v>46024</v>
      </c>
      <c r="Q195" s="7">
        <v>32.340000000000003</v>
      </c>
      <c r="R195" s="5">
        <f>DATEDIF(O195,P195,"M")</f>
        <v>1</v>
      </c>
      <c r="S195" s="5" t="s">
        <v>1378</v>
      </c>
      <c r="T195" s="5" t="s">
        <v>1379</v>
      </c>
      <c r="U195" s="9">
        <v>0.375</v>
      </c>
      <c r="V195" s="5" t="s">
        <v>83</v>
      </c>
      <c r="W195" s="5" t="s">
        <v>221</v>
      </c>
      <c r="X195" s="7">
        <v>72.78</v>
      </c>
      <c r="Y195" s="7">
        <v>12.13</v>
      </c>
      <c r="Z195" s="5" t="s">
        <v>87</v>
      </c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</row>
    <row r="196" spans="1:54" x14ac:dyDescent="0.25">
      <c r="A196" s="5">
        <v>2032450903</v>
      </c>
      <c r="B196" s="5" t="s">
        <v>338</v>
      </c>
      <c r="C196" s="5" t="s">
        <v>249</v>
      </c>
      <c r="D196" s="5" t="str">
        <f>CONCATENATE(C196," ",B196)</f>
        <v>ROBERT WOODS</v>
      </c>
      <c r="E196" s="5" t="s">
        <v>267</v>
      </c>
      <c r="F196" s="5" t="s">
        <v>86</v>
      </c>
      <c r="G196" s="5" t="s">
        <v>87</v>
      </c>
      <c r="H196" s="5">
        <v>371819</v>
      </c>
      <c r="I196" s="5" t="s">
        <v>1369</v>
      </c>
      <c r="J196" s="5" t="str">
        <f>CONCATENATE(H196,I196)</f>
        <v>371819AV6</v>
      </c>
      <c r="K196" s="5" t="s">
        <v>138</v>
      </c>
      <c r="L196" s="5" t="s">
        <v>107</v>
      </c>
      <c r="M196" s="5" t="str">
        <f>CONCATENATE(L196," ",K196)</f>
        <v>THOMAS PARDUE</v>
      </c>
      <c r="N196" s="5" t="s">
        <v>57</v>
      </c>
      <c r="O196" s="6">
        <v>45993</v>
      </c>
      <c r="P196" s="6">
        <v>46024</v>
      </c>
      <c r="Q196" s="7">
        <v>37.479999999999997</v>
      </c>
      <c r="R196" s="5">
        <f>DATEDIF(O196,P196,"M")</f>
        <v>1</v>
      </c>
      <c r="S196" s="5" t="s">
        <v>1378</v>
      </c>
      <c r="T196" s="5" t="s">
        <v>1379</v>
      </c>
      <c r="U196" s="9">
        <v>0.375</v>
      </c>
      <c r="V196" s="5" t="s">
        <v>83</v>
      </c>
      <c r="W196" s="5" t="s">
        <v>221</v>
      </c>
      <c r="X196" s="7">
        <v>84.36</v>
      </c>
      <c r="Y196" s="7">
        <v>14.06</v>
      </c>
      <c r="Z196" s="5" t="s">
        <v>87</v>
      </c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</row>
    <row r="197" spans="1:54" x14ac:dyDescent="0.25">
      <c r="A197" s="5">
        <v>2032450902</v>
      </c>
      <c r="B197" s="5" t="s">
        <v>338</v>
      </c>
      <c r="C197" s="5" t="s">
        <v>249</v>
      </c>
      <c r="D197" s="5" t="str">
        <f>CONCATENATE(C197," ",B197)</f>
        <v>ROBERT WOODS</v>
      </c>
      <c r="E197" s="5" t="s">
        <v>267</v>
      </c>
      <c r="F197" s="5" t="s">
        <v>126</v>
      </c>
      <c r="G197" s="5" t="s">
        <v>132</v>
      </c>
      <c r="H197" s="5">
        <v>371819</v>
      </c>
      <c r="I197" s="5" t="s">
        <v>1369</v>
      </c>
      <c r="J197" s="5" t="str">
        <f>CONCATENATE(H197,I197)</f>
        <v>371819AV6</v>
      </c>
      <c r="K197" s="5" t="s">
        <v>138</v>
      </c>
      <c r="L197" s="5" t="s">
        <v>107</v>
      </c>
      <c r="M197" s="5" t="str">
        <f>CONCATENATE(L197," ",K197)</f>
        <v>THOMAS PARDUE</v>
      </c>
      <c r="N197" s="5" t="s">
        <v>57</v>
      </c>
      <c r="O197" s="6">
        <v>45993</v>
      </c>
      <c r="P197" s="6">
        <v>46024</v>
      </c>
      <c r="Q197" s="7">
        <v>51.74</v>
      </c>
      <c r="R197" s="5">
        <f>DATEDIF(O197,P197,"M")</f>
        <v>1</v>
      </c>
      <c r="S197" s="5" t="s">
        <v>1378</v>
      </c>
      <c r="T197" s="5" t="s">
        <v>1379</v>
      </c>
      <c r="U197" s="8">
        <v>0.7</v>
      </c>
      <c r="V197" s="5" t="s">
        <v>83</v>
      </c>
      <c r="W197" s="5" t="s">
        <v>221</v>
      </c>
      <c r="X197" s="7">
        <v>217.32</v>
      </c>
      <c r="Y197" s="7">
        <v>36.22</v>
      </c>
      <c r="Z197" s="5" t="s">
        <v>132</v>
      </c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</row>
    <row r="198" spans="1:54" x14ac:dyDescent="0.25">
      <c r="A198" s="5">
        <v>2032453026</v>
      </c>
      <c r="B198" s="5" t="s">
        <v>300</v>
      </c>
      <c r="C198" s="5" t="s">
        <v>301</v>
      </c>
      <c r="D198" s="5" t="str">
        <f>CONCATENATE(C198," ",B198)</f>
        <v>SAMUEL ADLER</v>
      </c>
      <c r="E198" s="5" t="s">
        <v>125</v>
      </c>
      <c r="F198" s="5" t="s">
        <v>126</v>
      </c>
      <c r="G198" s="5" t="s">
        <v>132</v>
      </c>
      <c r="H198" s="5">
        <v>371819</v>
      </c>
      <c r="I198" s="5" t="s">
        <v>1369</v>
      </c>
      <c r="J198" s="5" t="str">
        <f>CONCATENATE(H198,I198)</f>
        <v>371819AV6</v>
      </c>
      <c r="K198" s="5" t="s">
        <v>138</v>
      </c>
      <c r="L198" s="5" t="s">
        <v>107</v>
      </c>
      <c r="M198" s="5" t="str">
        <f>CONCATENATE(L198," ",K198)</f>
        <v>THOMAS PARDUE</v>
      </c>
      <c r="N198" s="5" t="s">
        <v>57</v>
      </c>
      <c r="O198" s="6">
        <v>46023</v>
      </c>
      <c r="P198" s="6">
        <v>46054</v>
      </c>
      <c r="Q198" s="7">
        <v>14.93</v>
      </c>
      <c r="R198" s="5">
        <f>DATEDIF(O198,P198,"M")</f>
        <v>1</v>
      </c>
      <c r="S198" s="5" t="s">
        <v>1378</v>
      </c>
      <c r="T198" s="5" t="s">
        <v>1379</v>
      </c>
      <c r="U198" s="8">
        <v>0.7</v>
      </c>
      <c r="V198" s="5" t="s">
        <v>83</v>
      </c>
      <c r="W198" s="5" t="s">
        <v>221</v>
      </c>
      <c r="X198" s="7">
        <v>62.7</v>
      </c>
      <c r="Y198" s="7">
        <v>10.45</v>
      </c>
      <c r="Z198" s="5" t="s">
        <v>132</v>
      </c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</row>
    <row r="199" spans="1:54" x14ac:dyDescent="0.25">
      <c r="A199" s="5">
        <v>2032468755</v>
      </c>
      <c r="B199" s="5" t="s">
        <v>429</v>
      </c>
      <c r="C199" s="5" t="s">
        <v>71</v>
      </c>
      <c r="D199" s="5" t="str">
        <f>CONCATENATE(C199," ",B199)</f>
        <v>JOHN TOOGOOD</v>
      </c>
      <c r="E199" s="5" t="s">
        <v>357</v>
      </c>
      <c r="F199" s="5" t="s">
        <v>126</v>
      </c>
      <c r="G199" s="5" t="s">
        <v>132</v>
      </c>
      <c r="H199" s="5">
        <v>371819</v>
      </c>
      <c r="I199" s="5" t="s">
        <v>1369</v>
      </c>
      <c r="J199" s="5" t="str">
        <f>CONCATENATE(H199,I199)</f>
        <v>371819AV6</v>
      </c>
      <c r="K199" s="5" t="s">
        <v>138</v>
      </c>
      <c r="L199" s="5" t="s">
        <v>107</v>
      </c>
      <c r="M199" s="5" t="str">
        <f>CONCATENATE(L199," ",K199)</f>
        <v>THOMAS PARDUE</v>
      </c>
      <c r="N199" s="5" t="s">
        <v>57</v>
      </c>
      <c r="O199" s="6">
        <v>46023</v>
      </c>
      <c r="P199" s="6">
        <v>46054</v>
      </c>
      <c r="Q199" s="7">
        <v>167.54</v>
      </c>
      <c r="R199" s="5">
        <f>DATEDIF(O199,P199,"M")</f>
        <v>1</v>
      </c>
      <c r="S199" s="5" t="s">
        <v>1378</v>
      </c>
      <c r="T199" s="5" t="s">
        <v>1379</v>
      </c>
      <c r="U199" s="8">
        <v>0.7</v>
      </c>
      <c r="V199" s="5" t="s">
        <v>83</v>
      </c>
      <c r="W199" s="5" t="s">
        <v>221</v>
      </c>
      <c r="X199" s="7">
        <v>703.68</v>
      </c>
      <c r="Y199" s="7">
        <v>117.28</v>
      </c>
      <c r="Z199" s="5" t="s">
        <v>132</v>
      </c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</row>
    <row r="200" spans="1:54" x14ac:dyDescent="0.25">
      <c r="A200" s="5">
        <v>2032516769</v>
      </c>
      <c r="B200" s="5" t="s">
        <v>276</v>
      </c>
      <c r="C200" s="5" t="s">
        <v>277</v>
      </c>
      <c r="D200" s="5" t="str">
        <f>CONCATENATE(C200," ",B200)</f>
        <v>AMANDA TLACIL</v>
      </c>
      <c r="E200" s="5" t="s">
        <v>131</v>
      </c>
      <c r="F200" s="5" t="s">
        <v>126</v>
      </c>
      <c r="G200" s="5" t="s">
        <v>132</v>
      </c>
      <c r="H200" s="5">
        <v>371819</v>
      </c>
      <c r="I200" s="5" t="s">
        <v>1369</v>
      </c>
      <c r="J200" s="5" t="str">
        <f>CONCATENATE(H200,I200)</f>
        <v>371819AV6</v>
      </c>
      <c r="K200" s="5" t="s">
        <v>138</v>
      </c>
      <c r="L200" s="5" t="s">
        <v>107</v>
      </c>
      <c r="M200" s="5" t="str">
        <f>CONCATENATE(L200," ",K200)</f>
        <v>THOMAS PARDUE</v>
      </c>
      <c r="N200" s="5" t="s">
        <v>57</v>
      </c>
      <c r="O200" s="6">
        <v>45996</v>
      </c>
      <c r="P200" s="6">
        <v>46027</v>
      </c>
      <c r="Q200" s="7">
        <v>26.32</v>
      </c>
      <c r="R200" s="5">
        <f>DATEDIF(O200,P200,"M")</f>
        <v>1</v>
      </c>
      <c r="S200" s="5" t="s">
        <v>1378</v>
      </c>
      <c r="T200" s="5" t="s">
        <v>1379</v>
      </c>
      <c r="U200" s="8">
        <v>0.7</v>
      </c>
      <c r="V200" s="5" t="s">
        <v>83</v>
      </c>
      <c r="W200" s="5" t="s">
        <v>221</v>
      </c>
      <c r="X200" s="7">
        <v>110.52</v>
      </c>
      <c r="Y200" s="7">
        <v>18.420000000000002</v>
      </c>
      <c r="Z200" s="5" t="s">
        <v>132</v>
      </c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</row>
    <row r="201" spans="1:54" x14ac:dyDescent="0.25">
      <c r="A201" s="5">
        <v>2032495031</v>
      </c>
      <c r="B201" s="5" t="s">
        <v>443</v>
      </c>
      <c r="C201" s="5" t="s">
        <v>444</v>
      </c>
      <c r="D201" s="5" t="str">
        <f>CONCATENATE(C201," ",B201)</f>
        <v>LASHEILA GRAY</v>
      </c>
      <c r="E201" s="5" t="s">
        <v>97</v>
      </c>
      <c r="F201" s="5" t="s">
        <v>126</v>
      </c>
      <c r="G201" s="5" t="s">
        <v>375</v>
      </c>
      <c r="H201" s="5">
        <v>371819</v>
      </c>
      <c r="I201" s="5" t="s">
        <v>1369</v>
      </c>
      <c r="J201" s="5" t="str">
        <f>CONCATENATE(H201,I201)</f>
        <v>371819AV6</v>
      </c>
      <c r="K201" s="5" t="s">
        <v>138</v>
      </c>
      <c r="L201" s="5" t="s">
        <v>107</v>
      </c>
      <c r="M201" s="5" t="str">
        <f>CONCATENATE(L201," ",K201)</f>
        <v>THOMAS PARDUE</v>
      </c>
      <c r="N201" s="5" t="s">
        <v>57</v>
      </c>
      <c r="O201" s="6">
        <v>45995</v>
      </c>
      <c r="P201" s="6">
        <v>46026</v>
      </c>
      <c r="Q201" s="7">
        <v>68.42</v>
      </c>
      <c r="R201" s="5">
        <f>DATEDIF(O201,P201,"M")</f>
        <v>1</v>
      </c>
      <c r="S201" s="5" t="s">
        <v>1378</v>
      </c>
      <c r="T201" s="5" t="s">
        <v>1379</v>
      </c>
      <c r="U201" s="8">
        <v>0.9</v>
      </c>
      <c r="V201" s="5" t="s">
        <v>83</v>
      </c>
      <c r="W201" s="5" t="s">
        <v>221</v>
      </c>
      <c r="X201" s="7">
        <v>369.48</v>
      </c>
      <c r="Y201" s="7">
        <v>61.58</v>
      </c>
      <c r="Z201" s="5" t="s">
        <v>375</v>
      </c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</row>
    <row r="202" spans="1:54" x14ac:dyDescent="0.25">
      <c r="A202">
        <v>2032453024</v>
      </c>
      <c r="B202" t="s">
        <v>300</v>
      </c>
      <c r="C202" t="s">
        <v>301</v>
      </c>
      <c r="D202" t="str">
        <f>CONCATENATE(C202," ",B202)</f>
        <v>SAMUEL ADLER</v>
      </c>
      <c r="E202" t="s">
        <v>125</v>
      </c>
      <c r="F202" t="s">
        <v>469</v>
      </c>
      <c r="G202" t="s">
        <v>470</v>
      </c>
      <c r="H202">
        <v>371819</v>
      </c>
      <c r="I202" t="s">
        <v>1369</v>
      </c>
      <c r="J202">
        <v>371819</v>
      </c>
      <c r="K202" t="s">
        <v>138</v>
      </c>
      <c r="L202" t="s">
        <v>107</v>
      </c>
      <c r="M202" t="str">
        <f>CONCATENATE(L202," ",K202)</f>
        <v>THOMAS PARDUE</v>
      </c>
      <c r="N202" t="s">
        <v>57</v>
      </c>
      <c r="O202" s="1">
        <v>46023</v>
      </c>
      <c r="P202" s="1">
        <v>46054</v>
      </c>
      <c r="Q202" s="2">
        <v>208.65</v>
      </c>
      <c r="R202">
        <f>DATEDIF(O202,P202,"M")</f>
        <v>1</v>
      </c>
      <c r="S202" t="s">
        <v>60</v>
      </c>
      <c r="T202" t="s">
        <v>1370</v>
      </c>
      <c r="U202" s="4">
        <v>0.28999999999999998</v>
      </c>
      <c r="V202" t="s">
        <v>83</v>
      </c>
      <c r="W202" t="s">
        <v>221</v>
      </c>
      <c r="X202" s="2">
        <v>363.06</v>
      </c>
      <c r="Y202" s="2">
        <v>60.51</v>
      </c>
      <c r="Z202" t="s">
        <v>470</v>
      </c>
    </row>
    <row r="203" spans="1:54" x14ac:dyDescent="0.25">
      <c r="A203">
        <v>2032453025</v>
      </c>
      <c r="B203" t="s">
        <v>300</v>
      </c>
      <c r="C203" t="s">
        <v>301</v>
      </c>
      <c r="D203" t="str">
        <f>CONCATENATE(C203," ",B203)</f>
        <v>SAMUEL ADLER</v>
      </c>
      <c r="E203" t="s">
        <v>125</v>
      </c>
      <c r="F203" t="s">
        <v>469</v>
      </c>
      <c r="G203" t="s">
        <v>476</v>
      </c>
      <c r="H203">
        <v>371819</v>
      </c>
      <c r="I203" t="s">
        <v>1369</v>
      </c>
      <c r="J203">
        <v>371819</v>
      </c>
      <c r="K203" t="s">
        <v>138</v>
      </c>
      <c r="L203" t="s">
        <v>107</v>
      </c>
      <c r="M203" t="str">
        <f>CONCATENATE(L203," ",K203)</f>
        <v>THOMAS PARDUE</v>
      </c>
      <c r="N203" t="s">
        <v>57</v>
      </c>
      <c r="O203" s="1">
        <v>46023</v>
      </c>
      <c r="P203" s="1">
        <v>46054</v>
      </c>
      <c r="Q203" s="2">
        <v>9.9499999999999993</v>
      </c>
      <c r="R203">
        <f>DATEDIF(O203,P203,"M")</f>
        <v>1</v>
      </c>
      <c r="S203" t="s">
        <v>60</v>
      </c>
      <c r="T203" t="s">
        <v>1370</v>
      </c>
      <c r="U203" s="4">
        <v>0.28999999999999998</v>
      </c>
      <c r="V203" t="s">
        <v>83</v>
      </c>
      <c r="W203" t="s">
        <v>221</v>
      </c>
      <c r="X203" s="2">
        <v>17.34</v>
      </c>
      <c r="Y203" s="2">
        <v>2.89</v>
      </c>
      <c r="Z203" t="s">
        <v>470</v>
      </c>
    </row>
    <row r="204" spans="1:54" x14ac:dyDescent="0.25">
      <c r="A204" s="5">
        <v>2032459637</v>
      </c>
      <c r="B204" s="5" t="s">
        <v>342</v>
      </c>
      <c r="C204" s="5" t="s">
        <v>343</v>
      </c>
      <c r="D204" s="5" t="str">
        <f>CONCATENATE(C204," ",B204)</f>
        <v>ZACHARY ARNOLD</v>
      </c>
      <c r="E204" s="5" t="s">
        <v>200</v>
      </c>
      <c r="F204" s="5" t="s">
        <v>86</v>
      </c>
      <c r="G204" s="5" t="s">
        <v>87</v>
      </c>
      <c r="H204" s="5">
        <v>21313588</v>
      </c>
      <c r="I204" s="5" t="s">
        <v>1369</v>
      </c>
      <c r="J204" s="5" t="str">
        <f>CONCATENATE(H204,I204)</f>
        <v>21313588AV6</v>
      </c>
      <c r="K204" s="5" t="s">
        <v>344</v>
      </c>
      <c r="L204" s="5" t="s">
        <v>260</v>
      </c>
      <c r="M204" s="5" t="str">
        <f>CONCATENATE(L204," ",K204)</f>
        <v>WILLIAM GESKE</v>
      </c>
      <c r="N204" s="5" t="s">
        <v>57</v>
      </c>
      <c r="O204" s="6">
        <v>45994</v>
      </c>
      <c r="P204" s="6">
        <v>46025</v>
      </c>
      <c r="Q204" s="7">
        <v>55.63</v>
      </c>
      <c r="R204" s="5">
        <f>DATEDIF(O204,P204,"M")</f>
        <v>1</v>
      </c>
      <c r="S204" s="5" t="s">
        <v>1378</v>
      </c>
      <c r="T204" s="5" t="s">
        <v>1379</v>
      </c>
      <c r="U204" s="9">
        <v>0.375</v>
      </c>
      <c r="V204" s="5" t="s">
        <v>83</v>
      </c>
      <c r="W204" s="5" t="s">
        <v>221</v>
      </c>
      <c r="X204" s="7">
        <v>125.16</v>
      </c>
      <c r="Y204" s="7">
        <v>20.86</v>
      </c>
      <c r="Z204" s="5" t="s">
        <v>87</v>
      </c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</row>
    <row r="205" spans="1:54" x14ac:dyDescent="0.25">
      <c r="A205" s="5">
        <v>2032443548</v>
      </c>
      <c r="B205" s="5" t="s">
        <v>367</v>
      </c>
      <c r="C205" s="5" t="s">
        <v>368</v>
      </c>
      <c r="D205" s="5" t="str">
        <f>CONCATENATE(C205," ",B205)</f>
        <v>MARILYN CHEEVER</v>
      </c>
      <c r="E205" s="5" t="s">
        <v>200</v>
      </c>
      <c r="F205" s="5" t="s">
        <v>365</v>
      </c>
      <c r="G205" s="5" t="s">
        <v>369</v>
      </c>
      <c r="H205" s="5">
        <v>21313588</v>
      </c>
      <c r="I205" s="5" t="s">
        <v>1369</v>
      </c>
      <c r="J205" s="5" t="str">
        <f>CONCATENATE(H205,I205)</f>
        <v>21313588AV6</v>
      </c>
      <c r="K205" s="5" t="s">
        <v>344</v>
      </c>
      <c r="L205" s="5" t="s">
        <v>260</v>
      </c>
      <c r="M205" s="5" t="str">
        <f>CONCATENATE(L205," ",K205)</f>
        <v>WILLIAM GESKE</v>
      </c>
      <c r="N205" s="5" t="s">
        <v>57</v>
      </c>
      <c r="O205" s="6">
        <v>45993</v>
      </c>
      <c r="P205" s="6">
        <v>46024</v>
      </c>
      <c r="Q205" s="7">
        <v>161.63999999999999</v>
      </c>
      <c r="R205" s="5">
        <f>DATEDIF(O205,P205,"M")</f>
        <v>1</v>
      </c>
      <c r="S205" s="5" t="s">
        <v>1378</v>
      </c>
      <c r="T205" s="5" t="s">
        <v>1379</v>
      </c>
      <c r="U205" s="8">
        <v>0.19</v>
      </c>
      <c r="V205" s="5" t="s">
        <v>83</v>
      </c>
      <c r="W205" s="5" t="s">
        <v>221</v>
      </c>
      <c r="X205" s="7">
        <v>184.26</v>
      </c>
      <c r="Y205" s="7">
        <v>30.71</v>
      </c>
      <c r="Z205" s="5" t="s">
        <v>1374</v>
      </c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</row>
    <row r="206" spans="1:54" x14ac:dyDescent="0.25">
      <c r="A206" s="5">
        <v>2032443549</v>
      </c>
      <c r="B206" s="5" t="s">
        <v>367</v>
      </c>
      <c r="C206" s="5" t="s">
        <v>368</v>
      </c>
      <c r="D206" s="5" t="str">
        <f>CONCATENATE(C206," ",B206)</f>
        <v>MARILYN CHEEVER</v>
      </c>
      <c r="E206" s="5" t="s">
        <v>200</v>
      </c>
      <c r="F206" s="5" t="s">
        <v>126</v>
      </c>
      <c r="G206" s="5" t="s">
        <v>132</v>
      </c>
      <c r="H206" s="5">
        <v>21313588</v>
      </c>
      <c r="I206" s="5" t="s">
        <v>1369</v>
      </c>
      <c r="J206" s="5" t="str">
        <f>CONCATENATE(H206,I206)</f>
        <v>21313588AV6</v>
      </c>
      <c r="K206" s="5" t="s">
        <v>344</v>
      </c>
      <c r="L206" s="5" t="s">
        <v>260</v>
      </c>
      <c r="M206" s="5" t="str">
        <f>CONCATENATE(L206," ",K206)</f>
        <v>WILLIAM GESKE</v>
      </c>
      <c r="N206" s="5" t="s">
        <v>57</v>
      </c>
      <c r="O206" s="6">
        <v>45993</v>
      </c>
      <c r="P206" s="6">
        <v>46024</v>
      </c>
      <c r="Q206" s="7">
        <v>8.49</v>
      </c>
      <c r="R206" s="5">
        <f>DATEDIF(O206,P206,"M")</f>
        <v>1</v>
      </c>
      <c r="S206" s="5" t="s">
        <v>1378</v>
      </c>
      <c r="T206" s="5" t="s">
        <v>1379</v>
      </c>
      <c r="U206" s="8">
        <v>0.7</v>
      </c>
      <c r="V206" s="5" t="s">
        <v>83</v>
      </c>
      <c r="W206" s="5" t="s">
        <v>221</v>
      </c>
      <c r="X206" s="7">
        <v>35.64</v>
      </c>
      <c r="Y206" s="7">
        <v>5.94</v>
      </c>
      <c r="Z206" s="5" t="s">
        <v>132</v>
      </c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</row>
  </sheetData>
  <sortState xmlns:xlrd2="http://schemas.microsoft.com/office/spreadsheetml/2017/richdata2" ref="A2:BB206">
    <sortCondition ref="M2:M2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AllState Weekly 12-08-25.xlsx</vt:lpstr>
      <vt:lpstr>RN</vt:lpstr>
      <vt:lpstr>Chargeback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2025-12-15T06:21:01Z</dcterms:created>
  <dcterms:modified xsi:type="dcterms:W3CDTF">2026-01-09T15:28:45Z</dcterms:modified>
</cp:coreProperties>
</file>